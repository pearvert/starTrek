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 yWindow="6380" windowWidth="25440" windowHeight="6410" tabRatio="778" activeTab="12"/>
  </bookViews>
  <sheets>
    <sheet name="tropes" sheetId="3" r:id="rId1"/>
    <sheet name="Sheet3" sheetId="138" r:id="rId2"/>
    <sheet name="pullout" sheetId="108" r:id="rId3"/>
    <sheet name="episodes" sheetId="7" r:id="rId4"/>
    <sheet name="aliens" sheetId="121" r:id="rId5"/>
    <sheet name="catchphrase" sheetId="140" r:id="rId6"/>
    <sheet name="death" sheetId="143" r:id="rId7"/>
    <sheet name="exposition" sheetId="141" r:id="rId8"/>
    <sheet name="fight" sheetId="142" r:id="rId9"/>
    <sheet name="flipComm" sheetId="144" r:id="rId10"/>
    <sheet name="hugAndKiss" sheetId="145" r:id="rId11"/>
    <sheet name="landingParty" sheetId="147" r:id="rId12"/>
    <sheet name="love" sheetId="148" r:id="rId13"/>
    <sheet name="medicine" sheetId="150" r:id="rId14"/>
    <sheet name="padd" sheetId="151" r:id="rId15"/>
    <sheet name="phlebotinum" sheetId="152" r:id="rId16"/>
    <sheet name="setPiece" sheetId="154" r:id="rId17"/>
    <sheet name="sexism" sheetId="155" r:id="rId18"/>
    <sheet name="space" sheetId="156" r:id="rId19"/>
    <sheet name="shake" sheetId="158" r:id="rId20"/>
    <sheet name="telephone" sheetId="159" r:id="rId21"/>
    <sheet name="transporter" sheetId="160" r:id="rId22"/>
    <sheet name="tricorder" sheetId="161" r:id="rId23"/>
    <sheet name="warp" sheetId="162" r:id="rId24"/>
    <sheet name="weapon" sheetId="163" r:id="rId25"/>
    <sheet name="spokePos" sheetId="10" r:id="rId26"/>
  </sheets>
  <definedNames>
    <definedName name="_xlnm._FilterDatabase" localSheetId="0" hidden="1">tropes!$A$4:$R$2428</definedName>
  </definedNames>
  <calcPr calcId="145621"/>
</workbook>
</file>

<file path=xl/calcChain.xml><?xml version="1.0" encoding="utf-8"?>
<calcChain xmlns="http://schemas.openxmlformats.org/spreadsheetml/2006/main">
  <c r="N4" i="148" l="1"/>
  <c r="N5" i="148"/>
  <c r="N6" i="148"/>
  <c r="N7" i="148"/>
  <c r="N8" i="148"/>
  <c r="N9" i="148"/>
  <c r="N10" i="148"/>
  <c r="N11" i="148"/>
  <c r="N12" i="148"/>
  <c r="N13" i="148"/>
  <c r="N14" i="148"/>
  <c r="N15" i="148"/>
  <c r="N16" i="148"/>
  <c r="N17" i="148"/>
  <c r="N18" i="148"/>
  <c r="N19" i="148"/>
  <c r="N20" i="148"/>
  <c r="N21" i="148"/>
  <c r="N22" i="148"/>
  <c r="N23" i="148"/>
  <c r="N24" i="148"/>
  <c r="N25" i="148"/>
  <c r="N26" i="148"/>
  <c r="N27" i="148"/>
  <c r="N28" i="148"/>
  <c r="N29" i="148"/>
  <c r="N30" i="148"/>
  <c r="N31" i="148"/>
  <c r="N32" i="148"/>
  <c r="N33" i="148"/>
  <c r="N34" i="148"/>
  <c r="N35" i="148"/>
  <c r="N36" i="148"/>
  <c r="N37" i="148"/>
  <c r="N38" i="148"/>
  <c r="N39" i="148"/>
  <c r="N40" i="148"/>
  <c r="N41" i="148"/>
  <c r="N42" i="148"/>
  <c r="N43" i="148"/>
  <c r="N44" i="148"/>
  <c r="N45" i="148"/>
  <c r="N46" i="148"/>
  <c r="N47" i="148"/>
  <c r="N48" i="148"/>
  <c r="N49" i="148"/>
  <c r="N50" i="148"/>
  <c r="N51" i="148"/>
  <c r="N52" i="148"/>
  <c r="N53" i="148"/>
  <c r="N54" i="148"/>
  <c r="N55" i="148"/>
  <c r="N56" i="148"/>
  <c r="N57" i="148"/>
  <c r="N58" i="148"/>
  <c r="N59" i="148"/>
  <c r="N60" i="148"/>
  <c r="N61" i="148"/>
  <c r="N62" i="148"/>
  <c r="N63" i="148"/>
  <c r="N64" i="148"/>
  <c r="N65" i="148"/>
  <c r="N66" i="148"/>
  <c r="N67" i="148"/>
  <c r="N68" i="148"/>
  <c r="N69" i="148"/>
  <c r="N70" i="148"/>
  <c r="N71" i="148"/>
  <c r="N72" i="148"/>
  <c r="N73" i="148"/>
  <c r="N74" i="148"/>
  <c r="N75" i="148"/>
  <c r="N76" i="148"/>
  <c r="N77" i="148"/>
  <c r="N78" i="148"/>
  <c r="N79" i="148"/>
  <c r="N80" i="148"/>
  <c r="N81" i="148"/>
  <c r="N82" i="148"/>
  <c r="N83" i="148"/>
  <c r="N84" i="148"/>
  <c r="N85" i="148"/>
  <c r="N3" i="148"/>
  <c r="M62" i="148"/>
  <c r="L62" i="148"/>
  <c r="K62" i="148"/>
  <c r="J62" i="148"/>
  <c r="I62" i="148"/>
  <c r="H62" i="148"/>
  <c r="G62" i="148"/>
  <c r="F62" i="148"/>
  <c r="E62" i="148"/>
  <c r="D62" i="148"/>
  <c r="C62" i="148"/>
  <c r="B62" i="148"/>
  <c r="M80" i="148"/>
  <c r="L80" i="148"/>
  <c r="K80" i="148"/>
  <c r="J80" i="148"/>
  <c r="I80" i="148"/>
  <c r="H80" i="148"/>
  <c r="G80" i="148"/>
  <c r="F80" i="148"/>
  <c r="E80" i="148"/>
  <c r="D80" i="148"/>
  <c r="C80" i="148"/>
  <c r="B80" i="148"/>
  <c r="M69" i="148"/>
  <c r="L69" i="148"/>
  <c r="K69" i="148"/>
  <c r="J69" i="148"/>
  <c r="I69" i="148"/>
  <c r="H69" i="148"/>
  <c r="G69" i="148"/>
  <c r="F69" i="148"/>
  <c r="E69" i="148"/>
  <c r="D69" i="148"/>
  <c r="C69" i="148"/>
  <c r="B69" i="148"/>
  <c r="M68" i="148"/>
  <c r="L68" i="148"/>
  <c r="K68" i="148"/>
  <c r="J68" i="148"/>
  <c r="I68" i="148"/>
  <c r="H68" i="148"/>
  <c r="G68" i="148"/>
  <c r="F68" i="148"/>
  <c r="E68" i="148"/>
  <c r="D68" i="148"/>
  <c r="C68" i="148"/>
  <c r="B68" i="148"/>
  <c r="M81" i="148"/>
  <c r="L81" i="148"/>
  <c r="K81" i="148"/>
  <c r="J81" i="148"/>
  <c r="I81" i="148"/>
  <c r="H81" i="148"/>
  <c r="G81" i="148"/>
  <c r="F81" i="148"/>
  <c r="E81" i="148"/>
  <c r="D81" i="148"/>
  <c r="C81" i="148"/>
  <c r="B81" i="148"/>
  <c r="M82" i="148"/>
  <c r="L82" i="148"/>
  <c r="K82" i="148"/>
  <c r="J82" i="148"/>
  <c r="I82" i="148"/>
  <c r="H82" i="148"/>
  <c r="G82" i="148"/>
  <c r="F82" i="148"/>
  <c r="E82" i="148"/>
  <c r="D82" i="148"/>
  <c r="C82" i="148"/>
  <c r="B82" i="148"/>
  <c r="M65" i="148"/>
  <c r="L65" i="148"/>
  <c r="K65" i="148"/>
  <c r="J65" i="148"/>
  <c r="I65" i="148"/>
  <c r="H65" i="148"/>
  <c r="G65" i="148"/>
  <c r="F65" i="148"/>
  <c r="E65" i="148"/>
  <c r="D65" i="148"/>
  <c r="C65" i="148"/>
  <c r="B65" i="148"/>
  <c r="M25" i="148"/>
  <c r="L25" i="148"/>
  <c r="K25" i="148"/>
  <c r="J25" i="148"/>
  <c r="I25" i="148"/>
  <c r="H25" i="148"/>
  <c r="G25" i="148"/>
  <c r="F25" i="148"/>
  <c r="E25" i="148"/>
  <c r="D25" i="148"/>
  <c r="C25" i="148"/>
  <c r="B25" i="148"/>
  <c r="M51" i="148"/>
  <c r="L51" i="148"/>
  <c r="K51" i="148"/>
  <c r="J51" i="148"/>
  <c r="I51" i="148"/>
  <c r="H51" i="148"/>
  <c r="G51" i="148"/>
  <c r="F51" i="148"/>
  <c r="E51" i="148"/>
  <c r="D51" i="148"/>
  <c r="C51" i="148"/>
  <c r="B51" i="148"/>
  <c r="M13" i="148"/>
  <c r="L13" i="148"/>
  <c r="K13" i="148"/>
  <c r="J13" i="148"/>
  <c r="I13" i="148"/>
  <c r="H13" i="148"/>
  <c r="G13" i="148"/>
  <c r="F13" i="148"/>
  <c r="E13" i="148"/>
  <c r="D13" i="148"/>
  <c r="C13" i="148"/>
  <c r="B13" i="148"/>
  <c r="M73" i="148"/>
  <c r="L73" i="148"/>
  <c r="K73" i="148"/>
  <c r="J73" i="148"/>
  <c r="I73" i="148"/>
  <c r="H73" i="148"/>
  <c r="G73" i="148"/>
  <c r="F73" i="148"/>
  <c r="E73" i="148"/>
  <c r="D73" i="148"/>
  <c r="C73" i="148"/>
  <c r="B73" i="148"/>
  <c r="M8" i="148"/>
  <c r="L8" i="148"/>
  <c r="K8" i="148"/>
  <c r="J8" i="148"/>
  <c r="I8" i="148"/>
  <c r="H8" i="148"/>
  <c r="G8" i="148"/>
  <c r="F8" i="148"/>
  <c r="E8" i="148"/>
  <c r="D8" i="148"/>
  <c r="C8" i="148"/>
  <c r="B8" i="148"/>
  <c r="M29" i="148"/>
  <c r="L29" i="148"/>
  <c r="K29" i="148"/>
  <c r="J29" i="148"/>
  <c r="I29" i="148"/>
  <c r="H29" i="148"/>
  <c r="G29" i="148"/>
  <c r="F29" i="148"/>
  <c r="E29" i="148"/>
  <c r="D29" i="148"/>
  <c r="C29" i="148"/>
  <c r="B29" i="148"/>
  <c r="M19" i="148"/>
  <c r="L19" i="148"/>
  <c r="K19" i="148"/>
  <c r="J19" i="148"/>
  <c r="I19" i="148"/>
  <c r="H19" i="148"/>
  <c r="G19" i="148"/>
  <c r="F19" i="148"/>
  <c r="E19" i="148"/>
  <c r="D19" i="148"/>
  <c r="C19" i="148"/>
  <c r="B19" i="148"/>
  <c r="M44" i="148"/>
  <c r="L44" i="148"/>
  <c r="K44" i="148"/>
  <c r="J44" i="148"/>
  <c r="I44" i="148"/>
  <c r="H44" i="148"/>
  <c r="G44" i="148"/>
  <c r="F44" i="148"/>
  <c r="E44" i="148"/>
  <c r="D44" i="148"/>
  <c r="C44" i="148"/>
  <c r="B44" i="148"/>
  <c r="M30" i="148"/>
  <c r="L30" i="148"/>
  <c r="K30" i="148"/>
  <c r="J30" i="148"/>
  <c r="I30" i="148"/>
  <c r="H30" i="148"/>
  <c r="G30" i="148"/>
  <c r="F30" i="148"/>
  <c r="E30" i="148"/>
  <c r="D30" i="148"/>
  <c r="C30" i="148"/>
  <c r="B30" i="148"/>
  <c r="M71" i="148"/>
  <c r="L71" i="148"/>
  <c r="K71" i="148"/>
  <c r="J71" i="148"/>
  <c r="I71" i="148"/>
  <c r="H71" i="148"/>
  <c r="G71" i="148"/>
  <c r="F71" i="148"/>
  <c r="E71" i="148"/>
  <c r="D71" i="148"/>
  <c r="C71" i="148"/>
  <c r="B71" i="148"/>
  <c r="M83" i="148"/>
  <c r="L83" i="148"/>
  <c r="K83" i="148"/>
  <c r="J83" i="148"/>
  <c r="I83" i="148"/>
  <c r="H83" i="148"/>
  <c r="G83" i="148"/>
  <c r="F83" i="148"/>
  <c r="E83" i="148"/>
  <c r="D83" i="148"/>
  <c r="C83" i="148"/>
  <c r="B83" i="148"/>
  <c r="M28" i="148"/>
  <c r="L28" i="148"/>
  <c r="K28" i="148"/>
  <c r="J28" i="148"/>
  <c r="I28" i="148"/>
  <c r="H28" i="148"/>
  <c r="G28" i="148"/>
  <c r="F28" i="148"/>
  <c r="E28" i="148"/>
  <c r="D28" i="148"/>
  <c r="C28" i="148"/>
  <c r="B28" i="148"/>
  <c r="M11" i="148"/>
  <c r="L11" i="148"/>
  <c r="K11" i="148"/>
  <c r="J11" i="148"/>
  <c r="I11" i="148"/>
  <c r="H11" i="148"/>
  <c r="G11" i="148"/>
  <c r="F11" i="148"/>
  <c r="E11" i="148"/>
  <c r="D11" i="148"/>
  <c r="C11" i="148"/>
  <c r="B11" i="148"/>
  <c r="M52" i="148"/>
  <c r="L52" i="148"/>
  <c r="K52" i="148"/>
  <c r="J52" i="148"/>
  <c r="I52" i="148"/>
  <c r="H52" i="148"/>
  <c r="G52" i="148"/>
  <c r="F52" i="148"/>
  <c r="E52" i="148"/>
  <c r="D52" i="148"/>
  <c r="C52" i="148"/>
  <c r="B52" i="148"/>
  <c r="M78" i="148"/>
  <c r="L78" i="148"/>
  <c r="K78" i="148"/>
  <c r="J78" i="148"/>
  <c r="I78" i="148"/>
  <c r="H78" i="148"/>
  <c r="G78" i="148"/>
  <c r="F78" i="148"/>
  <c r="E78" i="148"/>
  <c r="D78" i="148"/>
  <c r="C78" i="148"/>
  <c r="B78" i="148"/>
  <c r="M10" i="148"/>
  <c r="L10" i="148"/>
  <c r="K10" i="148"/>
  <c r="J10" i="148"/>
  <c r="I10" i="148"/>
  <c r="H10" i="148"/>
  <c r="G10" i="148"/>
  <c r="F10" i="148"/>
  <c r="E10" i="148"/>
  <c r="D10" i="148"/>
  <c r="C10" i="148"/>
  <c r="B10" i="148"/>
  <c r="M56" i="148"/>
  <c r="L56" i="148"/>
  <c r="K56" i="148"/>
  <c r="J56" i="148"/>
  <c r="I56" i="148"/>
  <c r="H56" i="148"/>
  <c r="G56" i="148"/>
  <c r="F56" i="148"/>
  <c r="E56" i="148"/>
  <c r="D56" i="148"/>
  <c r="C56" i="148"/>
  <c r="B56" i="148"/>
  <c r="M61" i="148"/>
  <c r="L61" i="148"/>
  <c r="K61" i="148"/>
  <c r="J61" i="148"/>
  <c r="I61" i="148"/>
  <c r="H61" i="148"/>
  <c r="G61" i="148"/>
  <c r="F61" i="148"/>
  <c r="E61" i="148"/>
  <c r="D61" i="148"/>
  <c r="C61" i="148"/>
  <c r="B61" i="148"/>
  <c r="M54" i="148"/>
  <c r="L54" i="148"/>
  <c r="K54" i="148"/>
  <c r="J54" i="148"/>
  <c r="I54" i="148"/>
  <c r="H54" i="148"/>
  <c r="G54" i="148"/>
  <c r="F54" i="148"/>
  <c r="E54" i="148"/>
  <c r="D54" i="148"/>
  <c r="C54" i="148"/>
  <c r="B54" i="148"/>
  <c r="M85" i="148"/>
  <c r="L85" i="148"/>
  <c r="K85" i="148"/>
  <c r="J85" i="148"/>
  <c r="I85" i="148"/>
  <c r="H85" i="148"/>
  <c r="G85" i="148"/>
  <c r="F85" i="148"/>
  <c r="E85" i="148"/>
  <c r="D85" i="148"/>
  <c r="C85" i="148"/>
  <c r="B85" i="148"/>
  <c r="M53" i="148"/>
  <c r="L53" i="148"/>
  <c r="K53" i="148"/>
  <c r="J53" i="148"/>
  <c r="I53" i="148"/>
  <c r="H53" i="148"/>
  <c r="G53" i="148"/>
  <c r="F53" i="148"/>
  <c r="E53" i="148"/>
  <c r="D53" i="148"/>
  <c r="C53" i="148"/>
  <c r="B53" i="148"/>
  <c r="M6" i="148"/>
  <c r="L6" i="148"/>
  <c r="K6" i="148"/>
  <c r="J6" i="148"/>
  <c r="I6" i="148"/>
  <c r="H6" i="148"/>
  <c r="G6" i="148"/>
  <c r="F6" i="148"/>
  <c r="E6" i="148"/>
  <c r="D6" i="148"/>
  <c r="C6" i="148"/>
  <c r="B6" i="148"/>
  <c r="M77" i="148"/>
  <c r="L77" i="148"/>
  <c r="K77" i="148"/>
  <c r="J77" i="148"/>
  <c r="I77" i="148"/>
  <c r="H77" i="148"/>
  <c r="G77" i="148"/>
  <c r="F77" i="148"/>
  <c r="E77" i="148"/>
  <c r="D77" i="148"/>
  <c r="C77" i="148"/>
  <c r="B77" i="148"/>
  <c r="M63" i="148"/>
  <c r="L63" i="148"/>
  <c r="K63" i="148"/>
  <c r="J63" i="148"/>
  <c r="I63" i="148"/>
  <c r="H63" i="148"/>
  <c r="G63" i="148"/>
  <c r="F63" i="148"/>
  <c r="E63" i="148"/>
  <c r="D63" i="148"/>
  <c r="C63" i="148"/>
  <c r="B63" i="148"/>
  <c r="M14" i="148"/>
  <c r="L14" i="148"/>
  <c r="K14" i="148"/>
  <c r="J14" i="148"/>
  <c r="I14" i="148"/>
  <c r="H14" i="148"/>
  <c r="G14" i="148"/>
  <c r="F14" i="148"/>
  <c r="E14" i="148"/>
  <c r="D14" i="148"/>
  <c r="C14" i="148"/>
  <c r="B14" i="148"/>
  <c r="M7" i="148"/>
  <c r="L7" i="148"/>
  <c r="K7" i="148"/>
  <c r="J7" i="148"/>
  <c r="I7" i="148"/>
  <c r="H7" i="148"/>
  <c r="G7" i="148"/>
  <c r="F7" i="148"/>
  <c r="E7" i="148"/>
  <c r="D7" i="148"/>
  <c r="C7" i="148"/>
  <c r="B7" i="148"/>
  <c r="M38" i="148"/>
  <c r="L38" i="148"/>
  <c r="K38" i="148"/>
  <c r="J38" i="148"/>
  <c r="I38" i="148"/>
  <c r="H38" i="148"/>
  <c r="G38" i="148"/>
  <c r="F38" i="148"/>
  <c r="E38" i="148"/>
  <c r="D38" i="148"/>
  <c r="C38" i="148"/>
  <c r="B38" i="148"/>
  <c r="M4" i="148"/>
  <c r="L4" i="148"/>
  <c r="K4" i="148"/>
  <c r="J4" i="148"/>
  <c r="I4" i="148"/>
  <c r="H4" i="148"/>
  <c r="G4" i="148"/>
  <c r="F4" i="148"/>
  <c r="E4" i="148"/>
  <c r="D4" i="148"/>
  <c r="C4" i="148"/>
  <c r="B4" i="148"/>
  <c r="M49" i="148"/>
  <c r="L49" i="148"/>
  <c r="K49" i="148"/>
  <c r="J49" i="148"/>
  <c r="I49" i="148"/>
  <c r="H49" i="148"/>
  <c r="G49" i="148"/>
  <c r="F49" i="148"/>
  <c r="E49" i="148"/>
  <c r="D49" i="148"/>
  <c r="C49" i="148"/>
  <c r="B49" i="148"/>
  <c r="M37" i="148"/>
  <c r="L37" i="148"/>
  <c r="K37" i="148"/>
  <c r="J37" i="148"/>
  <c r="I37" i="148"/>
  <c r="H37" i="148"/>
  <c r="G37" i="148"/>
  <c r="F37" i="148"/>
  <c r="E37" i="148"/>
  <c r="D37" i="148"/>
  <c r="C37" i="148"/>
  <c r="B37" i="148"/>
  <c r="M43" i="148"/>
  <c r="L43" i="148"/>
  <c r="K43" i="148"/>
  <c r="J43" i="148"/>
  <c r="I43" i="148"/>
  <c r="H43" i="148"/>
  <c r="G43" i="148"/>
  <c r="F43" i="148"/>
  <c r="E43" i="148"/>
  <c r="D43" i="148"/>
  <c r="C43" i="148"/>
  <c r="B43" i="148"/>
  <c r="M76" i="148"/>
  <c r="L76" i="148"/>
  <c r="K76" i="148"/>
  <c r="J76" i="148"/>
  <c r="I76" i="148"/>
  <c r="H76" i="148"/>
  <c r="G76" i="148"/>
  <c r="F76" i="148"/>
  <c r="E76" i="148"/>
  <c r="D76" i="148"/>
  <c r="C76" i="148"/>
  <c r="B76" i="148"/>
  <c r="M23" i="148"/>
  <c r="L23" i="148"/>
  <c r="K23" i="148"/>
  <c r="J23" i="148"/>
  <c r="I23" i="148"/>
  <c r="H23" i="148"/>
  <c r="G23" i="148"/>
  <c r="F23" i="148"/>
  <c r="E23" i="148"/>
  <c r="D23" i="148"/>
  <c r="C23" i="148"/>
  <c r="B23" i="148"/>
  <c r="M5" i="148"/>
  <c r="L5" i="148"/>
  <c r="K5" i="148"/>
  <c r="J5" i="148"/>
  <c r="I5" i="148"/>
  <c r="H5" i="148"/>
  <c r="G5" i="148"/>
  <c r="F5" i="148"/>
  <c r="E5" i="148"/>
  <c r="D5" i="148"/>
  <c r="C5" i="148"/>
  <c r="B5" i="148"/>
  <c r="M84" i="148"/>
  <c r="L84" i="148"/>
  <c r="K84" i="148"/>
  <c r="J84" i="148"/>
  <c r="I84" i="148"/>
  <c r="H84" i="148"/>
  <c r="G84" i="148"/>
  <c r="F84" i="148"/>
  <c r="E84" i="148"/>
  <c r="D84" i="148"/>
  <c r="C84" i="148"/>
  <c r="B84" i="148"/>
  <c r="M22" i="148"/>
  <c r="L22" i="148"/>
  <c r="K22" i="148"/>
  <c r="J22" i="148"/>
  <c r="I22" i="148"/>
  <c r="H22" i="148"/>
  <c r="G22" i="148"/>
  <c r="F22" i="148"/>
  <c r="E22" i="148"/>
  <c r="D22" i="148"/>
  <c r="C22" i="148"/>
  <c r="B22" i="148"/>
  <c r="M21" i="148"/>
  <c r="L21" i="148"/>
  <c r="K21" i="148"/>
  <c r="J21" i="148"/>
  <c r="I21" i="148"/>
  <c r="H21" i="148"/>
  <c r="G21" i="148"/>
  <c r="F21" i="148"/>
  <c r="E21" i="148"/>
  <c r="D21" i="148"/>
  <c r="C21" i="148"/>
  <c r="B21" i="148"/>
  <c r="M57" i="148"/>
  <c r="L57" i="148"/>
  <c r="K57" i="148"/>
  <c r="J57" i="148"/>
  <c r="I57" i="148"/>
  <c r="H57" i="148"/>
  <c r="G57" i="148"/>
  <c r="F57" i="148"/>
  <c r="E57" i="148"/>
  <c r="D57" i="148"/>
  <c r="C57" i="148"/>
  <c r="B57" i="148"/>
  <c r="M32" i="148"/>
  <c r="L32" i="148"/>
  <c r="K32" i="148"/>
  <c r="J32" i="148"/>
  <c r="I32" i="148"/>
  <c r="H32" i="148"/>
  <c r="G32" i="148"/>
  <c r="F32" i="148"/>
  <c r="E32" i="148"/>
  <c r="D32" i="148"/>
  <c r="C32" i="148"/>
  <c r="B32" i="148"/>
  <c r="M50" i="148"/>
  <c r="L50" i="148"/>
  <c r="K50" i="148"/>
  <c r="J50" i="148"/>
  <c r="I50" i="148"/>
  <c r="H50" i="148"/>
  <c r="G50" i="148"/>
  <c r="F50" i="148"/>
  <c r="E50" i="148"/>
  <c r="D50" i="148"/>
  <c r="C50" i="148"/>
  <c r="B50" i="148"/>
  <c r="M26" i="148"/>
  <c r="L26" i="148"/>
  <c r="K26" i="148"/>
  <c r="J26" i="148"/>
  <c r="I26" i="148"/>
  <c r="H26" i="148"/>
  <c r="G26" i="148"/>
  <c r="F26" i="148"/>
  <c r="E26" i="148"/>
  <c r="D26" i="148"/>
  <c r="C26" i="148"/>
  <c r="B26" i="148"/>
  <c r="M12" i="148"/>
  <c r="L12" i="148"/>
  <c r="K12" i="148"/>
  <c r="J12" i="148"/>
  <c r="I12" i="148"/>
  <c r="H12" i="148"/>
  <c r="G12" i="148"/>
  <c r="F12" i="148"/>
  <c r="E12" i="148"/>
  <c r="D12" i="148"/>
  <c r="C12" i="148"/>
  <c r="B12" i="148"/>
  <c r="M39" i="148"/>
  <c r="L39" i="148"/>
  <c r="K39" i="148"/>
  <c r="J39" i="148"/>
  <c r="I39" i="148"/>
  <c r="H39" i="148"/>
  <c r="G39" i="148"/>
  <c r="F39" i="148"/>
  <c r="E39" i="148"/>
  <c r="D39" i="148"/>
  <c r="C39" i="148"/>
  <c r="B39" i="148"/>
  <c r="M67" i="148"/>
  <c r="L67" i="148"/>
  <c r="K67" i="148"/>
  <c r="J67" i="148"/>
  <c r="I67" i="148"/>
  <c r="H67" i="148"/>
  <c r="G67" i="148"/>
  <c r="F67" i="148"/>
  <c r="E67" i="148"/>
  <c r="D67" i="148"/>
  <c r="C67" i="148"/>
  <c r="B67" i="148"/>
  <c r="M55" i="148"/>
  <c r="L55" i="148"/>
  <c r="K55" i="148"/>
  <c r="J55" i="148"/>
  <c r="I55" i="148"/>
  <c r="H55" i="148"/>
  <c r="G55" i="148"/>
  <c r="F55" i="148"/>
  <c r="E55" i="148"/>
  <c r="D55" i="148"/>
  <c r="C55" i="148"/>
  <c r="B55" i="148"/>
  <c r="M75" i="148"/>
  <c r="L75" i="148"/>
  <c r="K75" i="148"/>
  <c r="J75" i="148"/>
  <c r="I75" i="148"/>
  <c r="H75" i="148"/>
  <c r="G75" i="148"/>
  <c r="F75" i="148"/>
  <c r="E75" i="148"/>
  <c r="D75" i="148"/>
  <c r="C75" i="148"/>
  <c r="B75" i="148"/>
  <c r="M72" i="148"/>
  <c r="L72" i="148"/>
  <c r="K72" i="148"/>
  <c r="J72" i="148"/>
  <c r="I72" i="148"/>
  <c r="H72" i="148"/>
  <c r="G72" i="148"/>
  <c r="F72" i="148"/>
  <c r="E72" i="148"/>
  <c r="D72" i="148"/>
  <c r="C72" i="148"/>
  <c r="B72" i="148"/>
  <c r="M70" i="148"/>
  <c r="L70" i="148"/>
  <c r="K70" i="148"/>
  <c r="J70" i="148"/>
  <c r="I70" i="148"/>
  <c r="H70" i="148"/>
  <c r="G70" i="148"/>
  <c r="F70" i="148"/>
  <c r="E70" i="148"/>
  <c r="D70" i="148"/>
  <c r="C70" i="148"/>
  <c r="B70" i="148"/>
  <c r="M66" i="148"/>
  <c r="L66" i="148"/>
  <c r="K66" i="148"/>
  <c r="J66" i="148"/>
  <c r="I66" i="148"/>
  <c r="H66" i="148"/>
  <c r="G66" i="148"/>
  <c r="F66" i="148"/>
  <c r="E66" i="148"/>
  <c r="D66" i="148"/>
  <c r="C66" i="148"/>
  <c r="B66" i="148"/>
  <c r="M35" i="148"/>
  <c r="L35" i="148"/>
  <c r="K35" i="148"/>
  <c r="J35" i="148"/>
  <c r="I35" i="148"/>
  <c r="H35" i="148"/>
  <c r="G35" i="148"/>
  <c r="F35" i="148"/>
  <c r="E35" i="148"/>
  <c r="D35" i="148"/>
  <c r="C35" i="148"/>
  <c r="B35" i="148"/>
  <c r="M17" i="148"/>
  <c r="L17" i="148"/>
  <c r="K17" i="148"/>
  <c r="J17" i="148"/>
  <c r="I17" i="148"/>
  <c r="H17" i="148"/>
  <c r="G17" i="148"/>
  <c r="F17" i="148"/>
  <c r="E17" i="148"/>
  <c r="D17" i="148"/>
  <c r="C17" i="148"/>
  <c r="B17" i="148"/>
  <c r="M2" i="148"/>
  <c r="L2" i="148"/>
  <c r="K2" i="148"/>
  <c r="J2" i="148"/>
  <c r="I2" i="148"/>
  <c r="H2" i="148"/>
  <c r="G2" i="148"/>
  <c r="F2" i="148"/>
  <c r="E2" i="148"/>
  <c r="D2" i="148"/>
  <c r="C2" i="148"/>
  <c r="B2" i="148"/>
  <c r="M24" i="148"/>
  <c r="L24" i="148"/>
  <c r="K24" i="148"/>
  <c r="J24" i="148"/>
  <c r="I24" i="148"/>
  <c r="H24" i="148"/>
  <c r="G24" i="148"/>
  <c r="F24" i="148"/>
  <c r="E24" i="148"/>
  <c r="D24" i="148"/>
  <c r="C24" i="148"/>
  <c r="B24" i="148"/>
  <c r="M46" i="148"/>
  <c r="L46" i="148"/>
  <c r="K46" i="148"/>
  <c r="J46" i="148"/>
  <c r="I46" i="148"/>
  <c r="H46" i="148"/>
  <c r="G46" i="148"/>
  <c r="F46" i="148"/>
  <c r="E46" i="148"/>
  <c r="D46" i="148"/>
  <c r="C46" i="148"/>
  <c r="B46" i="148"/>
  <c r="M3" i="148"/>
  <c r="L3" i="148"/>
  <c r="K3" i="148"/>
  <c r="J3" i="148"/>
  <c r="I3" i="148"/>
  <c r="H3" i="148"/>
  <c r="G3" i="148"/>
  <c r="F3" i="148"/>
  <c r="E3" i="148"/>
  <c r="D3" i="148"/>
  <c r="C3" i="148"/>
  <c r="B3" i="148"/>
  <c r="M34" i="148"/>
  <c r="L34" i="148"/>
  <c r="K34" i="148"/>
  <c r="J34" i="148"/>
  <c r="I34" i="148"/>
  <c r="H34" i="148"/>
  <c r="G34" i="148"/>
  <c r="F34" i="148"/>
  <c r="E34" i="148"/>
  <c r="D34" i="148"/>
  <c r="C34" i="148"/>
  <c r="B34" i="148"/>
  <c r="M16" i="148"/>
  <c r="L16" i="148"/>
  <c r="K16" i="148"/>
  <c r="J16" i="148"/>
  <c r="I16" i="148"/>
  <c r="H16" i="148"/>
  <c r="G16" i="148"/>
  <c r="F16" i="148"/>
  <c r="E16" i="148"/>
  <c r="D16" i="148"/>
  <c r="C16" i="148"/>
  <c r="B16" i="148"/>
  <c r="M45" i="148"/>
  <c r="L45" i="148"/>
  <c r="K45" i="148"/>
  <c r="J45" i="148"/>
  <c r="I45" i="148"/>
  <c r="H45" i="148"/>
  <c r="G45" i="148"/>
  <c r="F45" i="148"/>
  <c r="E45" i="148"/>
  <c r="D45" i="148"/>
  <c r="C45" i="148"/>
  <c r="B45" i="148"/>
  <c r="M64" i="148"/>
  <c r="L64" i="148"/>
  <c r="K64" i="148"/>
  <c r="J64" i="148"/>
  <c r="I64" i="148"/>
  <c r="H64" i="148"/>
  <c r="G64" i="148"/>
  <c r="F64" i="148"/>
  <c r="E64" i="148"/>
  <c r="D64" i="148"/>
  <c r="C64" i="148"/>
  <c r="B64" i="148"/>
  <c r="M59" i="148"/>
  <c r="L59" i="148"/>
  <c r="K59" i="148"/>
  <c r="J59" i="148"/>
  <c r="I59" i="148"/>
  <c r="H59" i="148"/>
  <c r="G59" i="148"/>
  <c r="F59" i="148"/>
  <c r="E59" i="148"/>
  <c r="D59" i="148"/>
  <c r="C59" i="148"/>
  <c r="B59" i="148"/>
  <c r="M31" i="148"/>
  <c r="L31" i="148"/>
  <c r="K31" i="148"/>
  <c r="J31" i="148"/>
  <c r="I31" i="148"/>
  <c r="H31" i="148"/>
  <c r="G31" i="148"/>
  <c r="F31" i="148"/>
  <c r="E31" i="148"/>
  <c r="D31" i="148"/>
  <c r="C31" i="148"/>
  <c r="B31" i="148"/>
  <c r="M48" i="148"/>
  <c r="L48" i="148"/>
  <c r="K48" i="148"/>
  <c r="J48" i="148"/>
  <c r="I48" i="148"/>
  <c r="H48" i="148"/>
  <c r="G48" i="148"/>
  <c r="F48" i="148"/>
  <c r="E48" i="148"/>
  <c r="D48" i="148"/>
  <c r="C48" i="148"/>
  <c r="B48" i="148"/>
  <c r="M42" i="148"/>
  <c r="L42" i="148"/>
  <c r="K42" i="148"/>
  <c r="J42" i="148"/>
  <c r="I42" i="148"/>
  <c r="H42" i="148"/>
  <c r="G42" i="148"/>
  <c r="F42" i="148"/>
  <c r="E42" i="148"/>
  <c r="D42" i="148"/>
  <c r="C42" i="148"/>
  <c r="B42" i="148"/>
  <c r="M15" i="148"/>
  <c r="L15" i="148"/>
  <c r="K15" i="148"/>
  <c r="J15" i="148"/>
  <c r="I15" i="148"/>
  <c r="H15" i="148"/>
  <c r="G15" i="148"/>
  <c r="F15" i="148"/>
  <c r="E15" i="148"/>
  <c r="D15" i="148"/>
  <c r="C15" i="148"/>
  <c r="B15" i="148"/>
  <c r="M40" i="148"/>
  <c r="L40" i="148"/>
  <c r="K40" i="148"/>
  <c r="J40" i="148"/>
  <c r="I40" i="148"/>
  <c r="H40" i="148"/>
  <c r="G40" i="148"/>
  <c r="F40" i="148"/>
  <c r="E40" i="148"/>
  <c r="D40" i="148"/>
  <c r="C40" i="148"/>
  <c r="B40" i="148"/>
  <c r="M79" i="148"/>
  <c r="L79" i="148"/>
  <c r="K79" i="148"/>
  <c r="J79" i="148"/>
  <c r="I79" i="148"/>
  <c r="H79" i="148"/>
  <c r="G79" i="148"/>
  <c r="F79" i="148"/>
  <c r="E79" i="148"/>
  <c r="D79" i="148"/>
  <c r="C79" i="148"/>
  <c r="B79" i="148"/>
  <c r="M47" i="148"/>
  <c r="L47" i="148"/>
  <c r="K47" i="148"/>
  <c r="J47" i="148"/>
  <c r="I47" i="148"/>
  <c r="H47" i="148"/>
  <c r="G47" i="148"/>
  <c r="F47" i="148"/>
  <c r="E47" i="148"/>
  <c r="D47" i="148"/>
  <c r="C47" i="148"/>
  <c r="B47" i="148"/>
  <c r="M27" i="148"/>
  <c r="L27" i="148"/>
  <c r="K27" i="148"/>
  <c r="J27" i="148"/>
  <c r="I27" i="148"/>
  <c r="H27" i="148"/>
  <c r="G27" i="148"/>
  <c r="F27" i="148"/>
  <c r="E27" i="148"/>
  <c r="D27" i="148"/>
  <c r="C27" i="148"/>
  <c r="B27" i="148"/>
  <c r="M9" i="148"/>
  <c r="L9" i="148"/>
  <c r="K9" i="148"/>
  <c r="J9" i="148"/>
  <c r="I9" i="148"/>
  <c r="H9" i="148"/>
  <c r="G9" i="148"/>
  <c r="F9" i="148"/>
  <c r="E9" i="148"/>
  <c r="D9" i="148"/>
  <c r="C9" i="148"/>
  <c r="B9" i="148"/>
  <c r="M74" i="148"/>
  <c r="L74" i="148"/>
  <c r="K74" i="148"/>
  <c r="J74" i="148"/>
  <c r="I74" i="148"/>
  <c r="H74" i="148"/>
  <c r="G74" i="148"/>
  <c r="F74" i="148"/>
  <c r="E74" i="148"/>
  <c r="D74" i="148"/>
  <c r="C74" i="148"/>
  <c r="B74" i="148"/>
  <c r="M41" i="148"/>
  <c r="L41" i="148"/>
  <c r="K41" i="148"/>
  <c r="J41" i="148"/>
  <c r="I41" i="148"/>
  <c r="H41" i="148"/>
  <c r="G41" i="148"/>
  <c r="F41" i="148"/>
  <c r="E41" i="148"/>
  <c r="D41" i="148"/>
  <c r="C41" i="148"/>
  <c r="B41" i="148"/>
  <c r="M20" i="148"/>
  <c r="L20" i="148"/>
  <c r="K20" i="148"/>
  <c r="J20" i="148"/>
  <c r="I20" i="148"/>
  <c r="H20" i="148"/>
  <c r="G20" i="148"/>
  <c r="F20" i="148"/>
  <c r="E20" i="148"/>
  <c r="D20" i="148"/>
  <c r="C20" i="148"/>
  <c r="B20" i="148"/>
  <c r="M60" i="148"/>
  <c r="L60" i="148"/>
  <c r="K60" i="148"/>
  <c r="J60" i="148"/>
  <c r="I60" i="148"/>
  <c r="H60" i="148"/>
  <c r="G60" i="148"/>
  <c r="F60" i="148"/>
  <c r="E60" i="148"/>
  <c r="D60" i="148"/>
  <c r="C60" i="148"/>
  <c r="B60" i="148"/>
  <c r="M36" i="148"/>
  <c r="L36" i="148"/>
  <c r="K36" i="148"/>
  <c r="J36" i="148"/>
  <c r="I36" i="148"/>
  <c r="H36" i="148"/>
  <c r="G36" i="148"/>
  <c r="F36" i="148"/>
  <c r="E36" i="148"/>
  <c r="D36" i="148"/>
  <c r="C36" i="148"/>
  <c r="B36" i="148"/>
  <c r="M33" i="148"/>
  <c r="L33" i="148"/>
  <c r="K33" i="148"/>
  <c r="J33" i="148"/>
  <c r="I33" i="148"/>
  <c r="H33" i="148"/>
  <c r="G33" i="148"/>
  <c r="F33" i="148"/>
  <c r="E33" i="148"/>
  <c r="D33" i="148"/>
  <c r="C33" i="148"/>
  <c r="B33" i="148"/>
  <c r="M58" i="148"/>
  <c r="L58" i="148"/>
  <c r="K58" i="148"/>
  <c r="J58" i="148"/>
  <c r="I58" i="148"/>
  <c r="H58" i="148"/>
  <c r="G58" i="148"/>
  <c r="F58" i="148"/>
  <c r="E58" i="148"/>
  <c r="D58" i="148"/>
  <c r="C58" i="148"/>
  <c r="B58" i="148"/>
  <c r="M18" i="148"/>
  <c r="L18" i="148"/>
  <c r="K18" i="148"/>
  <c r="J18" i="148"/>
  <c r="I18" i="148"/>
  <c r="H18" i="148"/>
  <c r="G18" i="148"/>
  <c r="F18" i="148"/>
  <c r="E18" i="148"/>
  <c r="D18" i="148"/>
  <c r="C18" i="148"/>
  <c r="B18" i="148"/>
  <c r="N4" i="147"/>
  <c r="N5" i="147"/>
  <c r="N6" i="147"/>
  <c r="N7" i="147"/>
  <c r="N8" i="147"/>
  <c r="N9" i="147"/>
  <c r="N10" i="147"/>
  <c r="N11" i="147"/>
  <c r="N12" i="147"/>
  <c r="N13" i="147"/>
  <c r="N14" i="147"/>
  <c r="N15" i="147"/>
  <c r="N16" i="147"/>
  <c r="N17" i="147"/>
  <c r="N18" i="147"/>
  <c r="N19" i="147"/>
  <c r="N20" i="147"/>
  <c r="N21" i="147"/>
  <c r="N22" i="147"/>
  <c r="N23" i="147"/>
  <c r="N24" i="147"/>
  <c r="N25" i="147"/>
  <c r="N26" i="147"/>
  <c r="N27" i="147"/>
  <c r="N28" i="147"/>
  <c r="N29" i="147"/>
  <c r="N30" i="147"/>
  <c r="N31" i="147"/>
  <c r="N32" i="147"/>
  <c r="N33" i="147"/>
  <c r="N34" i="147"/>
  <c r="N35" i="147"/>
  <c r="N36" i="147"/>
  <c r="N37" i="147"/>
  <c r="N38" i="147"/>
  <c r="N39" i="147"/>
  <c r="N40" i="147"/>
  <c r="N41" i="147"/>
  <c r="N42" i="147"/>
  <c r="N43" i="147"/>
  <c r="N44" i="147"/>
  <c r="N45" i="147"/>
  <c r="N46" i="147"/>
  <c r="N47" i="147"/>
  <c r="N48" i="147"/>
  <c r="N49" i="147"/>
  <c r="N50" i="147"/>
  <c r="N51" i="147"/>
  <c r="N52" i="147"/>
  <c r="N53" i="147"/>
  <c r="N54" i="147"/>
  <c r="N55" i="147"/>
  <c r="N56" i="147"/>
  <c r="N57" i="147"/>
  <c r="N58" i="147"/>
  <c r="N59" i="147"/>
  <c r="N60" i="147"/>
  <c r="N61" i="147"/>
  <c r="N62" i="147"/>
  <c r="N63" i="147"/>
  <c r="N64" i="147"/>
  <c r="N65" i="147"/>
  <c r="N66" i="147"/>
  <c r="N67" i="147"/>
  <c r="N68" i="147"/>
  <c r="N69" i="147"/>
  <c r="N70" i="147"/>
  <c r="N71" i="147"/>
  <c r="N72" i="147"/>
  <c r="N73" i="147"/>
  <c r="N74" i="147"/>
  <c r="N75" i="147"/>
  <c r="N76" i="147"/>
  <c r="N77" i="147"/>
  <c r="N78" i="147"/>
  <c r="N79" i="147"/>
  <c r="N80" i="147"/>
  <c r="N81" i="147"/>
  <c r="N82" i="147"/>
  <c r="N83" i="147"/>
  <c r="N84" i="147"/>
  <c r="N85" i="147"/>
  <c r="N86" i="147"/>
  <c r="N87" i="147"/>
  <c r="N88" i="147"/>
  <c r="N89" i="147"/>
  <c r="N90" i="147"/>
  <c r="N91" i="147"/>
  <c r="N92" i="147"/>
  <c r="N93" i="147"/>
  <c r="N94" i="147"/>
  <c r="N95" i="147"/>
  <c r="N96" i="147"/>
  <c r="N97" i="147"/>
  <c r="N98" i="147"/>
  <c r="N99" i="147"/>
  <c r="N100" i="147"/>
  <c r="N101" i="147"/>
  <c r="N102" i="147"/>
  <c r="N103" i="147"/>
  <c r="N104" i="147"/>
  <c r="N105" i="147"/>
  <c r="N106" i="147"/>
  <c r="N107" i="147"/>
  <c r="N108" i="147"/>
  <c r="N109" i="147"/>
  <c r="N110" i="147"/>
  <c r="N111" i="147"/>
  <c r="N112" i="147"/>
  <c r="N113" i="147"/>
  <c r="N114" i="147"/>
  <c r="N115" i="147"/>
  <c r="N116" i="147"/>
  <c r="N117" i="147"/>
  <c r="N118" i="147"/>
  <c r="N119" i="147"/>
  <c r="N120" i="147"/>
  <c r="N121" i="147"/>
  <c r="N122" i="147"/>
  <c r="N123" i="147"/>
  <c r="N124" i="147"/>
  <c r="N125" i="147"/>
  <c r="N126" i="147"/>
  <c r="N127" i="147"/>
  <c r="N128" i="147"/>
  <c r="N129" i="147"/>
  <c r="N130" i="147"/>
  <c r="N131" i="147"/>
  <c r="N132" i="147"/>
  <c r="N133" i="147"/>
  <c r="N134" i="147"/>
  <c r="N135" i="147"/>
  <c r="N136" i="147"/>
  <c r="N137" i="147"/>
  <c r="N138" i="147"/>
  <c r="N139" i="147"/>
  <c r="N140" i="147"/>
  <c r="N141" i="147"/>
  <c r="N142" i="147"/>
  <c r="N143" i="147"/>
  <c r="N144" i="147"/>
  <c r="N145" i="147"/>
  <c r="N146" i="147"/>
  <c r="N147" i="147"/>
  <c r="N148" i="147"/>
  <c r="N149" i="147"/>
  <c r="N150" i="147"/>
  <c r="N151" i="147"/>
  <c r="N152" i="147"/>
  <c r="N153" i="147"/>
  <c r="N154" i="147"/>
  <c r="N155" i="147"/>
  <c r="N156" i="147"/>
  <c r="N157" i="147"/>
  <c r="N158" i="147"/>
  <c r="N159" i="147"/>
  <c r="N160" i="147"/>
  <c r="N3" i="147"/>
  <c r="M113" i="147"/>
  <c r="L113" i="147"/>
  <c r="K113" i="147"/>
  <c r="J113" i="147"/>
  <c r="I113" i="147"/>
  <c r="H113" i="147"/>
  <c r="G113" i="147"/>
  <c r="F113" i="147"/>
  <c r="E113" i="147"/>
  <c r="D113" i="147"/>
  <c r="C113" i="147"/>
  <c r="B113" i="147"/>
  <c r="M83" i="147"/>
  <c r="L83" i="147"/>
  <c r="K83" i="147"/>
  <c r="J83" i="147"/>
  <c r="I83" i="147"/>
  <c r="H83" i="147"/>
  <c r="G83" i="147"/>
  <c r="F83" i="147"/>
  <c r="E83" i="147"/>
  <c r="D83" i="147"/>
  <c r="C83" i="147"/>
  <c r="B83" i="147"/>
  <c r="M42" i="147"/>
  <c r="L42" i="147"/>
  <c r="K42" i="147"/>
  <c r="J42" i="147"/>
  <c r="I42" i="147"/>
  <c r="H42" i="147"/>
  <c r="G42" i="147"/>
  <c r="F42" i="147"/>
  <c r="E42" i="147"/>
  <c r="D42" i="147"/>
  <c r="C42" i="147"/>
  <c r="B42" i="147"/>
  <c r="M61" i="147"/>
  <c r="L61" i="147"/>
  <c r="K61" i="147"/>
  <c r="J61" i="147"/>
  <c r="I61" i="147"/>
  <c r="H61" i="147"/>
  <c r="G61" i="147"/>
  <c r="F61" i="147"/>
  <c r="E61" i="147"/>
  <c r="D61" i="147"/>
  <c r="C61" i="147"/>
  <c r="B61" i="147"/>
  <c r="M9" i="147"/>
  <c r="L9" i="147"/>
  <c r="K9" i="147"/>
  <c r="J9" i="147"/>
  <c r="I9" i="147"/>
  <c r="H9" i="147"/>
  <c r="G9" i="147"/>
  <c r="F9" i="147"/>
  <c r="E9" i="147"/>
  <c r="D9" i="147"/>
  <c r="C9" i="147"/>
  <c r="B9" i="147"/>
  <c r="M53" i="147"/>
  <c r="L53" i="147"/>
  <c r="K53" i="147"/>
  <c r="J53" i="147"/>
  <c r="I53" i="147"/>
  <c r="H53" i="147"/>
  <c r="G53" i="147"/>
  <c r="F53" i="147"/>
  <c r="E53" i="147"/>
  <c r="D53" i="147"/>
  <c r="C53" i="147"/>
  <c r="B53" i="147"/>
  <c r="M151" i="147"/>
  <c r="L151" i="147"/>
  <c r="K151" i="147"/>
  <c r="J151" i="147"/>
  <c r="I151" i="147"/>
  <c r="H151" i="147"/>
  <c r="G151" i="147"/>
  <c r="F151" i="147"/>
  <c r="E151" i="147"/>
  <c r="D151" i="147"/>
  <c r="C151" i="147"/>
  <c r="B151" i="147"/>
  <c r="M124" i="147"/>
  <c r="L124" i="147"/>
  <c r="K124" i="147"/>
  <c r="J124" i="147"/>
  <c r="I124" i="147"/>
  <c r="H124" i="147"/>
  <c r="G124" i="147"/>
  <c r="F124" i="147"/>
  <c r="E124" i="147"/>
  <c r="D124" i="147"/>
  <c r="C124" i="147"/>
  <c r="B124" i="147"/>
  <c r="M107" i="147"/>
  <c r="L107" i="147"/>
  <c r="K107" i="147"/>
  <c r="J107" i="147"/>
  <c r="I107" i="147"/>
  <c r="H107" i="147"/>
  <c r="G107" i="147"/>
  <c r="F107" i="147"/>
  <c r="E107" i="147"/>
  <c r="D107" i="147"/>
  <c r="C107" i="147"/>
  <c r="B107" i="147"/>
  <c r="M8" i="147"/>
  <c r="L8" i="147"/>
  <c r="K8" i="147"/>
  <c r="J8" i="147"/>
  <c r="I8" i="147"/>
  <c r="H8" i="147"/>
  <c r="G8" i="147"/>
  <c r="F8" i="147"/>
  <c r="E8" i="147"/>
  <c r="D8" i="147"/>
  <c r="C8" i="147"/>
  <c r="B8" i="147"/>
  <c r="M29" i="147"/>
  <c r="L29" i="147"/>
  <c r="K29" i="147"/>
  <c r="J29" i="147"/>
  <c r="I29" i="147"/>
  <c r="H29" i="147"/>
  <c r="G29" i="147"/>
  <c r="F29" i="147"/>
  <c r="E29" i="147"/>
  <c r="D29" i="147"/>
  <c r="C29" i="147"/>
  <c r="B29" i="147"/>
  <c r="M28" i="147"/>
  <c r="L28" i="147"/>
  <c r="K28" i="147"/>
  <c r="J28" i="147"/>
  <c r="I28" i="147"/>
  <c r="H28" i="147"/>
  <c r="G28" i="147"/>
  <c r="F28" i="147"/>
  <c r="E28" i="147"/>
  <c r="D28" i="147"/>
  <c r="C28" i="147"/>
  <c r="B28" i="147"/>
  <c r="M27" i="147"/>
  <c r="L27" i="147"/>
  <c r="K27" i="147"/>
  <c r="J27" i="147"/>
  <c r="I27" i="147"/>
  <c r="H27" i="147"/>
  <c r="G27" i="147"/>
  <c r="F27" i="147"/>
  <c r="E27" i="147"/>
  <c r="D27" i="147"/>
  <c r="C27" i="147"/>
  <c r="B27" i="147"/>
  <c r="M26" i="147"/>
  <c r="L26" i="147"/>
  <c r="K26" i="147"/>
  <c r="J26" i="147"/>
  <c r="I26" i="147"/>
  <c r="H26" i="147"/>
  <c r="G26" i="147"/>
  <c r="F26" i="147"/>
  <c r="E26" i="147"/>
  <c r="D26" i="147"/>
  <c r="C26" i="147"/>
  <c r="B26" i="147"/>
  <c r="M145" i="147"/>
  <c r="L145" i="147"/>
  <c r="K145" i="147"/>
  <c r="J145" i="147"/>
  <c r="I145" i="147"/>
  <c r="H145" i="147"/>
  <c r="G145" i="147"/>
  <c r="F145" i="147"/>
  <c r="E145" i="147"/>
  <c r="D145" i="147"/>
  <c r="C145" i="147"/>
  <c r="B145" i="147"/>
  <c r="M89" i="147"/>
  <c r="L89" i="147"/>
  <c r="K89" i="147"/>
  <c r="J89" i="147"/>
  <c r="I89" i="147"/>
  <c r="H89" i="147"/>
  <c r="G89" i="147"/>
  <c r="F89" i="147"/>
  <c r="E89" i="147"/>
  <c r="D89" i="147"/>
  <c r="C89" i="147"/>
  <c r="B89" i="147"/>
  <c r="M76" i="147"/>
  <c r="L76" i="147"/>
  <c r="K76" i="147"/>
  <c r="J76" i="147"/>
  <c r="I76" i="147"/>
  <c r="H76" i="147"/>
  <c r="G76" i="147"/>
  <c r="F76" i="147"/>
  <c r="E76" i="147"/>
  <c r="D76" i="147"/>
  <c r="C76" i="147"/>
  <c r="B76" i="147"/>
  <c r="M68" i="147"/>
  <c r="L68" i="147"/>
  <c r="K68" i="147"/>
  <c r="J68" i="147"/>
  <c r="I68" i="147"/>
  <c r="H68" i="147"/>
  <c r="G68" i="147"/>
  <c r="F68" i="147"/>
  <c r="E68" i="147"/>
  <c r="D68" i="147"/>
  <c r="C68" i="147"/>
  <c r="B68" i="147"/>
  <c r="M52" i="147"/>
  <c r="L52" i="147"/>
  <c r="K52" i="147"/>
  <c r="J52" i="147"/>
  <c r="I52" i="147"/>
  <c r="H52" i="147"/>
  <c r="G52" i="147"/>
  <c r="F52" i="147"/>
  <c r="E52" i="147"/>
  <c r="D52" i="147"/>
  <c r="C52" i="147"/>
  <c r="B52" i="147"/>
  <c r="M25" i="147"/>
  <c r="L25" i="147"/>
  <c r="K25" i="147"/>
  <c r="J25" i="147"/>
  <c r="I25" i="147"/>
  <c r="H25" i="147"/>
  <c r="G25" i="147"/>
  <c r="F25" i="147"/>
  <c r="E25" i="147"/>
  <c r="D25" i="147"/>
  <c r="C25" i="147"/>
  <c r="B25" i="147"/>
  <c r="M160" i="147"/>
  <c r="L160" i="147"/>
  <c r="K160" i="147"/>
  <c r="J160" i="147"/>
  <c r="I160" i="147"/>
  <c r="H160" i="147"/>
  <c r="G160" i="147"/>
  <c r="F160" i="147"/>
  <c r="E160" i="147"/>
  <c r="D160" i="147"/>
  <c r="C160" i="147"/>
  <c r="B160" i="147"/>
  <c r="M150" i="147"/>
  <c r="L150" i="147"/>
  <c r="K150" i="147"/>
  <c r="J150" i="147"/>
  <c r="I150" i="147"/>
  <c r="H150" i="147"/>
  <c r="G150" i="147"/>
  <c r="F150" i="147"/>
  <c r="E150" i="147"/>
  <c r="D150" i="147"/>
  <c r="C150" i="147"/>
  <c r="B150" i="147"/>
  <c r="M144" i="147"/>
  <c r="L144" i="147"/>
  <c r="K144" i="147"/>
  <c r="J144" i="147"/>
  <c r="I144" i="147"/>
  <c r="H144" i="147"/>
  <c r="G144" i="147"/>
  <c r="F144" i="147"/>
  <c r="E144" i="147"/>
  <c r="D144" i="147"/>
  <c r="C144" i="147"/>
  <c r="B144" i="147"/>
  <c r="M132" i="147"/>
  <c r="L132" i="147"/>
  <c r="K132" i="147"/>
  <c r="J132" i="147"/>
  <c r="I132" i="147"/>
  <c r="H132" i="147"/>
  <c r="G132" i="147"/>
  <c r="F132" i="147"/>
  <c r="E132" i="147"/>
  <c r="D132" i="147"/>
  <c r="C132" i="147"/>
  <c r="B132" i="147"/>
  <c r="M116" i="147"/>
  <c r="L116" i="147"/>
  <c r="K116" i="147"/>
  <c r="J116" i="147"/>
  <c r="I116" i="147"/>
  <c r="H116" i="147"/>
  <c r="G116" i="147"/>
  <c r="F116" i="147"/>
  <c r="E116" i="147"/>
  <c r="D116" i="147"/>
  <c r="C116" i="147"/>
  <c r="B116" i="147"/>
  <c r="M112" i="147"/>
  <c r="L112" i="147"/>
  <c r="K112" i="147"/>
  <c r="J112" i="147"/>
  <c r="I112" i="147"/>
  <c r="H112" i="147"/>
  <c r="G112" i="147"/>
  <c r="F112" i="147"/>
  <c r="E112" i="147"/>
  <c r="D112" i="147"/>
  <c r="C112" i="147"/>
  <c r="B112" i="147"/>
  <c r="M106" i="147"/>
  <c r="L106" i="147"/>
  <c r="K106" i="147"/>
  <c r="J106" i="147"/>
  <c r="I106" i="147"/>
  <c r="H106" i="147"/>
  <c r="G106" i="147"/>
  <c r="F106" i="147"/>
  <c r="E106" i="147"/>
  <c r="D106" i="147"/>
  <c r="C106" i="147"/>
  <c r="B106" i="147"/>
  <c r="M101" i="147"/>
  <c r="L101" i="147"/>
  <c r="K101" i="147"/>
  <c r="J101" i="147"/>
  <c r="I101" i="147"/>
  <c r="H101" i="147"/>
  <c r="G101" i="147"/>
  <c r="F101" i="147"/>
  <c r="E101" i="147"/>
  <c r="D101" i="147"/>
  <c r="C101" i="147"/>
  <c r="B101" i="147"/>
  <c r="M95" i="147"/>
  <c r="L95" i="147"/>
  <c r="K95" i="147"/>
  <c r="J95" i="147"/>
  <c r="I95" i="147"/>
  <c r="H95" i="147"/>
  <c r="G95" i="147"/>
  <c r="F95" i="147"/>
  <c r="E95" i="147"/>
  <c r="D95" i="147"/>
  <c r="C95" i="147"/>
  <c r="B95" i="147"/>
  <c r="M93" i="147"/>
  <c r="L93" i="147"/>
  <c r="K93" i="147"/>
  <c r="J93" i="147"/>
  <c r="I93" i="147"/>
  <c r="H93" i="147"/>
  <c r="G93" i="147"/>
  <c r="F93" i="147"/>
  <c r="E93" i="147"/>
  <c r="D93" i="147"/>
  <c r="C93" i="147"/>
  <c r="B93" i="147"/>
  <c r="M88" i="147"/>
  <c r="L88" i="147"/>
  <c r="K88" i="147"/>
  <c r="J88" i="147"/>
  <c r="I88" i="147"/>
  <c r="H88" i="147"/>
  <c r="G88" i="147"/>
  <c r="F88" i="147"/>
  <c r="E88" i="147"/>
  <c r="D88" i="147"/>
  <c r="C88" i="147"/>
  <c r="B88" i="147"/>
  <c r="M82" i="147"/>
  <c r="L82" i="147"/>
  <c r="K82" i="147"/>
  <c r="J82" i="147"/>
  <c r="I82" i="147"/>
  <c r="H82" i="147"/>
  <c r="G82" i="147"/>
  <c r="F82" i="147"/>
  <c r="E82" i="147"/>
  <c r="D82" i="147"/>
  <c r="C82" i="147"/>
  <c r="B82" i="147"/>
  <c r="M75" i="147"/>
  <c r="L75" i="147"/>
  <c r="K75" i="147"/>
  <c r="J75" i="147"/>
  <c r="I75" i="147"/>
  <c r="H75" i="147"/>
  <c r="G75" i="147"/>
  <c r="F75" i="147"/>
  <c r="E75" i="147"/>
  <c r="D75" i="147"/>
  <c r="C75" i="147"/>
  <c r="B75" i="147"/>
  <c r="M66" i="147"/>
  <c r="L66" i="147"/>
  <c r="K66" i="147"/>
  <c r="J66" i="147"/>
  <c r="I66" i="147"/>
  <c r="H66" i="147"/>
  <c r="G66" i="147"/>
  <c r="F66" i="147"/>
  <c r="E66" i="147"/>
  <c r="D66" i="147"/>
  <c r="C66" i="147"/>
  <c r="B66" i="147"/>
  <c r="M60" i="147"/>
  <c r="L60" i="147"/>
  <c r="K60" i="147"/>
  <c r="J60" i="147"/>
  <c r="I60" i="147"/>
  <c r="H60" i="147"/>
  <c r="G60" i="147"/>
  <c r="F60" i="147"/>
  <c r="E60" i="147"/>
  <c r="D60" i="147"/>
  <c r="C60" i="147"/>
  <c r="B60" i="147"/>
  <c r="M41" i="147"/>
  <c r="L41" i="147"/>
  <c r="K41" i="147"/>
  <c r="J41" i="147"/>
  <c r="I41" i="147"/>
  <c r="H41" i="147"/>
  <c r="G41" i="147"/>
  <c r="F41" i="147"/>
  <c r="E41" i="147"/>
  <c r="D41" i="147"/>
  <c r="C41" i="147"/>
  <c r="B41" i="147"/>
  <c r="M32" i="147"/>
  <c r="L32" i="147"/>
  <c r="K32" i="147"/>
  <c r="J32" i="147"/>
  <c r="I32" i="147"/>
  <c r="H32" i="147"/>
  <c r="G32" i="147"/>
  <c r="F32" i="147"/>
  <c r="E32" i="147"/>
  <c r="D32" i="147"/>
  <c r="C32" i="147"/>
  <c r="B32" i="147"/>
  <c r="M23" i="147"/>
  <c r="L23" i="147"/>
  <c r="K23" i="147"/>
  <c r="J23" i="147"/>
  <c r="I23" i="147"/>
  <c r="H23" i="147"/>
  <c r="G23" i="147"/>
  <c r="F23" i="147"/>
  <c r="E23" i="147"/>
  <c r="D23" i="147"/>
  <c r="C23" i="147"/>
  <c r="B23" i="147"/>
  <c r="M21" i="147"/>
  <c r="L21" i="147"/>
  <c r="K21" i="147"/>
  <c r="J21" i="147"/>
  <c r="I21" i="147"/>
  <c r="H21" i="147"/>
  <c r="G21" i="147"/>
  <c r="F21" i="147"/>
  <c r="E21" i="147"/>
  <c r="D21" i="147"/>
  <c r="C21" i="147"/>
  <c r="B21" i="147"/>
  <c r="M15" i="147"/>
  <c r="L15" i="147"/>
  <c r="K15" i="147"/>
  <c r="J15" i="147"/>
  <c r="I15" i="147"/>
  <c r="H15" i="147"/>
  <c r="G15" i="147"/>
  <c r="F15" i="147"/>
  <c r="E15" i="147"/>
  <c r="D15" i="147"/>
  <c r="C15" i="147"/>
  <c r="B15" i="147"/>
  <c r="M7" i="147"/>
  <c r="L7" i="147"/>
  <c r="K7" i="147"/>
  <c r="J7" i="147"/>
  <c r="I7" i="147"/>
  <c r="H7" i="147"/>
  <c r="G7" i="147"/>
  <c r="F7" i="147"/>
  <c r="E7" i="147"/>
  <c r="D7" i="147"/>
  <c r="C7" i="147"/>
  <c r="B7" i="147"/>
  <c r="M159" i="147"/>
  <c r="L159" i="147"/>
  <c r="K159" i="147"/>
  <c r="J159" i="147"/>
  <c r="I159" i="147"/>
  <c r="H159" i="147"/>
  <c r="G159" i="147"/>
  <c r="F159" i="147"/>
  <c r="E159" i="147"/>
  <c r="D159" i="147"/>
  <c r="C159" i="147"/>
  <c r="B159" i="147"/>
  <c r="M158" i="147"/>
  <c r="L158" i="147"/>
  <c r="K158" i="147"/>
  <c r="J158" i="147"/>
  <c r="I158" i="147"/>
  <c r="H158" i="147"/>
  <c r="G158" i="147"/>
  <c r="F158" i="147"/>
  <c r="E158" i="147"/>
  <c r="D158" i="147"/>
  <c r="C158" i="147"/>
  <c r="B158" i="147"/>
  <c r="M157" i="147"/>
  <c r="L157" i="147"/>
  <c r="K157" i="147"/>
  <c r="J157" i="147"/>
  <c r="I157" i="147"/>
  <c r="H157" i="147"/>
  <c r="G157" i="147"/>
  <c r="F157" i="147"/>
  <c r="E157" i="147"/>
  <c r="D157" i="147"/>
  <c r="C157" i="147"/>
  <c r="B157" i="147"/>
  <c r="M156" i="147"/>
  <c r="L156" i="147"/>
  <c r="K156" i="147"/>
  <c r="J156" i="147"/>
  <c r="I156" i="147"/>
  <c r="H156" i="147"/>
  <c r="G156" i="147"/>
  <c r="F156" i="147"/>
  <c r="E156" i="147"/>
  <c r="D156" i="147"/>
  <c r="C156" i="147"/>
  <c r="B156" i="147"/>
  <c r="M155" i="147"/>
  <c r="L155" i="147"/>
  <c r="K155" i="147"/>
  <c r="J155" i="147"/>
  <c r="I155" i="147"/>
  <c r="H155" i="147"/>
  <c r="G155" i="147"/>
  <c r="F155" i="147"/>
  <c r="E155" i="147"/>
  <c r="D155" i="147"/>
  <c r="C155" i="147"/>
  <c r="B155" i="147"/>
  <c r="M143" i="147"/>
  <c r="L143" i="147"/>
  <c r="K143" i="147"/>
  <c r="J143" i="147"/>
  <c r="I143" i="147"/>
  <c r="H143" i="147"/>
  <c r="G143" i="147"/>
  <c r="F143" i="147"/>
  <c r="E143" i="147"/>
  <c r="D143" i="147"/>
  <c r="C143" i="147"/>
  <c r="B143" i="147"/>
  <c r="M139" i="147"/>
  <c r="L139" i="147"/>
  <c r="K139" i="147"/>
  <c r="J139" i="147"/>
  <c r="I139" i="147"/>
  <c r="H139" i="147"/>
  <c r="G139" i="147"/>
  <c r="F139" i="147"/>
  <c r="E139" i="147"/>
  <c r="D139" i="147"/>
  <c r="C139" i="147"/>
  <c r="B139" i="147"/>
  <c r="M123" i="147"/>
  <c r="L123" i="147"/>
  <c r="K123" i="147"/>
  <c r="J123" i="147"/>
  <c r="I123" i="147"/>
  <c r="H123" i="147"/>
  <c r="G123" i="147"/>
  <c r="F123" i="147"/>
  <c r="E123" i="147"/>
  <c r="D123" i="147"/>
  <c r="C123" i="147"/>
  <c r="B123" i="147"/>
  <c r="M120" i="147"/>
  <c r="L120" i="147"/>
  <c r="K120" i="147"/>
  <c r="J120" i="147"/>
  <c r="I120" i="147"/>
  <c r="H120" i="147"/>
  <c r="G120" i="147"/>
  <c r="F120" i="147"/>
  <c r="E120" i="147"/>
  <c r="D120" i="147"/>
  <c r="C120" i="147"/>
  <c r="B120" i="147"/>
  <c r="M111" i="147"/>
  <c r="L111" i="147"/>
  <c r="K111" i="147"/>
  <c r="J111" i="147"/>
  <c r="I111" i="147"/>
  <c r="H111" i="147"/>
  <c r="G111" i="147"/>
  <c r="F111" i="147"/>
  <c r="E111" i="147"/>
  <c r="D111" i="147"/>
  <c r="C111" i="147"/>
  <c r="B111" i="147"/>
  <c r="M105" i="147"/>
  <c r="L105" i="147"/>
  <c r="K105" i="147"/>
  <c r="J105" i="147"/>
  <c r="I105" i="147"/>
  <c r="H105" i="147"/>
  <c r="G105" i="147"/>
  <c r="F105" i="147"/>
  <c r="E105" i="147"/>
  <c r="D105" i="147"/>
  <c r="C105" i="147"/>
  <c r="B105" i="147"/>
  <c r="M59" i="147"/>
  <c r="L59" i="147"/>
  <c r="K59" i="147"/>
  <c r="J59" i="147"/>
  <c r="I59" i="147"/>
  <c r="H59" i="147"/>
  <c r="G59" i="147"/>
  <c r="F59" i="147"/>
  <c r="E59" i="147"/>
  <c r="D59" i="147"/>
  <c r="C59" i="147"/>
  <c r="B59" i="147"/>
  <c r="M51" i="147"/>
  <c r="L51" i="147"/>
  <c r="K51" i="147"/>
  <c r="J51" i="147"/>
  <c r="I51" i="147"/>
  <c r="H51" i="147"/>
  <c r="G51" i="147"/>
  <c r="F51" i="147"/>
  <c r="E51" i="147"/>
  <c r="D51" i="147"/>
  <c r="C51" i="147"/>
  <c r="B51" i="147"/>
  <c r="M154" i="147"/>
  <c r="L154" i="147"/>
  <c r="K154" i="147"/>
  <c r="J154" i="147"/>
  <c r="I154" i="147"/>
  <c r="H154" i="147"/>
  <c r="G154" i="147"/>
  <c r="F154" i="147"/>
  <c r="E154" i="147"/>
  <c r="D154" i="147"/>
  <c r="C154" i="147"/>
  <c r="B154" i="147"/>
  <c r="M100" i="147"/>
  <c r="L100" i="147"/>
  <c r="K100" i="147"/>
  <c r="J100" i="147"/>
  <c r="I100" i="147"/>
  <c r="H100" i="147"/>
  <c r="G100" i="147"/>
  <c r="F100" i="147"/>
  <c r="E100" i="147"/>
  <c r="D100" i="147"/>
  <c r="C100" i="147"/>
  <c r="B100" i="147"/>
  <c r="M99" i="147"/>
  <c r="L99" i="147"/>
  <c r="K99" i="147"/>
  <c r="J99" i="147"/>
  <c r="I99" i="147"/>
  <c r="H99" i="147"/>
  <c r="G99" i="147"/>
  <c r="F99" i="147"/>
  <c r="E99" i="147"/>
  <c r="D99" i="147"/>
  <c r="C99" i="147"/>
  <c r="B99" i="147"/>
  <c r="M104" i="147"/>
  <c r="L104" i="147"/>
  <c r="K104" i="147"/>
  <c r="J104" i="147"/>
  <c r="I104" i="147"/>
  <c r="H104" i="147"/>
  <c r="G104" i="147"/>
  <c r="F104" i="147"/>
  <c r="E104" i="147"/>
  <c r="D104" i="147"/>
  <c r="C104" i="147"/>
  <c r="B104" i="147"/>
  <c r="M98" i="147"/>
  <c r="L98" i="147"/>
  <c r="K98" i="147"/>
  <c r="J98" i="147"/>
  <c r="I98" i="147"/>
  <c r="H98" i="147"/>
  <c r="G98" i="147"/>
  <c r="F98" i="147"/>
  <c r="E98" i="147"/>
  <c r="D98" i="147"/>
  <c r="C98" i="147"/>
  <c r="B98" i="147"/>
  <c r="M40" i="147"/>
  <c r="L40" i="147"/>
  <c r="K40" i="147"/>
  <c r="J40" i="147"/>
  <c r="I40" i="147"/>
  <c r="H40" i="147"/>
  <c r="G40" i="147"/>
  <c r="F40" i="147"/>
  <c r="E40" i="147"/>
  <c r="D40" i="147"/>
  <c r="C40" i="147"/>
  <c r="B40" i="147"/>
  <c r="M103" i="147"/>
  <c r="L103" i="147"/>
  <c r="K103" i="147"/>
  <c r="J103" i="147"/>
  <c r="I103" i="147"/>
  <c r="H103" i="147"/>
  <c r="G103" i="147"/>
  <c r="F103" i="147"/>
  <c r="E103" i="147"/>
  <c r="D103" i="147"/>
  <c r="C103" i="147"/>
  <c r="B103" i="147"/>
  <c r="M97" i="147"/>
  <c r="L97" i="147"/>
  <c r="K97" i="147"/>
  <c r="J97" i="147"/>
  <c r="I97" i="147"/>
  <c r="H97" i="147"/>
  <c r="G97" i="147"/>
  <c r="F97" i="147"/>
  <c r="E97" i="147"/>
  <c r="D97" i="147"/>
  <c r="C97" i="147"/>
  <c r="B97" i="147"/>
  <c r="M39" i="147"/>
  <c r="L39" i="147"/>
  <c r="K39" i="147"/>
  <c r="J39" i="147"/>
  <c r="I39" i="147"/>
  <c r="H39" i="147"/>
  <c r="G39" i="147"/>
  <c r="F39" i="147"/>
  <c r="E39" i="147"/>
  <c r="D39" i="147"/>
  <c r="C39" i="147"/>
  <c r="B39" i="147"/>
  <c r="M110" i="147"/>
  <c r="L110" i="147"/>
  <c r="K110" i="147"/>
  <c r="J110" i="147"/>
  <c r="I110" i="147"/>
  <c r="H110" i="147"/>
  <c r="G110" i="147"/>
  <c r="F110" i="147"/>
  <c r="E110" i="147"/>
  <c r="D110" i="147"/>
  <c r="C110" i="147"/>
  <c r="B110" i="147"/>
  <c r="M6" i="147"/>
  <c r="L6" i="147"/>
  <c r="K6" i="147"/>
  <c r="J6" i="147"/>
  <c r="I6" i="147"/>
  <c r="H6" i="147"/>
  <c r="G6" i="147"/>
  <c r="F6" i="147"/>
  <c r="E6" i="147"/>
  <c r="D6" i="147"/>
  <c r="C6" i="147"/>
  <c r="B6" i="147"/>
  <c r="M36" i="147"/>
  <c r="L36" i="147"/>
  <c r="K36" i="147"/>
  <c r="J36" i="147"/>
  <c r="I36" i="147"/>
  <c r="H36" i="147"/>
  <c r="G36" i="147"/>
  <c r="F36" i="147"/>
  <c r="E36" i="147"/>
  <c r="D36" i="147"/>
  <c r="C36" i="147"/>
  <c r="B36" i="147"/>
  <c r="M5" i="147"/>
  <c r="L5" i="147"/>
  <c r="K5" i="147"/>
  <c r="J5" i="147"/>
  <c r="I5" i="147"/>
  <c r="H5" i="147"/>
  <c r="G5" i="147"/>
  <c r="F5" i="147"/>
  <c r="E5" i="147"/>
  <c r="D5" i="147"/>
  <c r="C5" i="147"/>
  <c r="B5" i="147"/>
  <c r="M153" i="147"/>
  <c r="L153" i="147"/>
  <c r="K153" i="147"/>
  <c r="J153" i="147"/>
  <c r="I153" i="147"/>
  <c r="H153" i="147"/>
  <c r="G153" i="147"/>
  <c r="F153" i="147"/>
  <c r="E153" i="147"/>
  <c r="D153" i="147"/>
  <c r="C153" i="147"/>
  <c r="B153" i="147"/>
  <c r="M149" i="147"/>
  <c r="L149" i="147"/>
  <c r="K149" i="147"/>
  <c r="J149" i="147"/>
  <c r="I149" i="147"/>
  <c r="H149" i="147"/>
  <c r="G149" i="147"/>
  <c r="F149" i="147"/>
  <c r="E149" i="147"/>
  <c r="D149" i="147"/>
  <c r="C149" i="147"/>
  <c r="B149" i="147"/>
  <c r="M142" i="147"/>
  <c r="L142" i="147"/>
  <c r="K142" i="147"/>
  <c r="J142" i="147"/>
  <c r="I142" i="147"/>
  <c r="H142" i="147"/>
  <c r="G142" i="147"/>
  <c r="F142" i="147"/>
  <c r="E142" i="147"/>
  <c r="D142" i="147"/>
  <c r="C142" i="147"/>
  <c r="B142" i="147"/>
  <c r="M138" i="147"/>
  <c r="L138" i="147"/>
  <c r="K138" i="147"/>
  <c r="J138" i="147"/>
  <c r="I138" i="147"/>
  <c r="H138" i="147"/>
  <c r="G138" i="147"/>
  <c r="F138" i="147"/>
  <c r="E138" i="147"/>
  <c r="D138" i="147"/>
  <c r="C138" i="147"/>
  <c r="B138" i="147"/>
  <c r="M131" i="147"/>
  <c r="L131" i="147"/>
  <c r="K131" i="147"/>
  <c r="J131" i="147"/>
  <c r="I131" i="147"/>
  <c r="H131" i="147"/>
  <c r="G131" i="147"/>
  <c r="F131" i="147"/>
  <c r="E131" i="147"/>
  <c r="D131" i="147"/>
  <c r="C131" i="147"/>
  <c r="B131" i="147"/>
  <c r="M122" i="147"/>
  <c r="L122" i="147"/>
  <c r="K122" i="147"/>
  <c r="J122" i="147"/>
  <c r="I122" i="147"/>
  <c r="H122" i="147"/>
  <c r="G122" i="147"/>
  <c r="F122" i="147"/>
  <c r="E122" i="147"/>
  <c r="D122" i="147"/>
  <c r="C122" i="147"/>
  <c r="B122" i="147"/>
  <c r="M119" i="147"/>
  <c r="L119" i="147"/>
  <c r="K119" i="147"/>
  <c r="J119" i="147"/>
  <c r="I119" i="147"/>
  <c r="H119" i="147"/>
  <c r="G119" i="147"/>
  <c r="F119" i="147"/>
  <c r="E119" i="147"/>
  <c r="D119" i="147"/>
  <c r="C119" i="147"/>
  <c r="B119" i="147"/>
  <c r="M115" i="147"/>
  <c r="L115" i="147"/>
  <c r="K115" i="147"/>
  <c r="J115" i="147"/>
  <c r="I115" i="147"/>
  <c r="H115" i="147"/>
  <c r="G115" i="147"/>
  <c r="F115" i="147"/>
  <c r="E115" i="147"/>
  <c r="D115" i="147"/>
  <c r="C115" i="147"/>
  <c r="B115" i="147"/>
  <c r="M109" i="147"/>
  <c r="L109" i="147"/>
  <c r="K109" i="147"/>
  <c r="J109" i="147"/>
  <c r="I109" i="147"/>
  <c r="H109" i="147"/>
  <c r="G109" i="147"/>
  <c r="F109" i="147"/>
  <c r="E109" i="147"/>
  <c r="D109" i="147"/>
  <c r="C109" i="147"/>
  <c r="B109" i="147"/>
  <c r="M92" i="147"/>
  <c r="L92" i="147"/>
  <c r="K92" i="147"/>
  <c r="J92" i="147"/>
  <c r="I92" i="147"/>
  <c r="H92" i="147"/>
  <c r="G92" i="147"/>
  <c r="F92" i="147"/>
  <c r="E92" i="147"/>
  <c r="D92" i="147"/>
  <c r="C92" i="147"/>
  <c r="B92" i="147"/>
  <c r="M87" i="147"/>
  <c r="L87" i="147"/>
  <c r="K87" i="147"/>
  <c r="J87" i="147"/>
  <c r="I87" i="147"/>
  <c r="H87" i="147"/>
  <c r="G87" i="147"/>
  <c r="F87" i="147"/>
  <c r="E87" i="147"/>
  <c r="D87" i="147"/>
  <c r="C87" i="147"/>
  <c r="B87" i="147"/>
  <c r="M74" i="147"/>
  <c r="L74" i="147"/>
  <c r="K74" i="147"/>
  <c r="J74" i="147"/>
  <c r="I74" i="147"/>
  <c r="H74" i="147"/>
  <c r="G74" i="147"/>
  <c r="F74" i="147"/>
  <c r="E74" i="147"/>
  <c r="D74" i="147"/>
  <c r="C74" i="147"/>
  <c r="B74" i="147"/>
  <c r="M58" i="147"/>
  <c r="L58" i="147"/>
  <c r="K58" i="147"/>
  <c r="J58" i="147"/>
  <c r="I58" i="147"/>
  <c r="H58" i="147"/>
  <c r="G58" i="147"/>
  <c r="F58" i="147"/>
  <c r="E58" i="147"/>
  <c r="D58" i="147"/>
  <c r="C58" i="147"/>
  <c r="B58" i="147"/>
  <c r="M47" i="147"/>
  <c r="L47" i="147"/>
  <c r="K47" i="147"/>
  <c r="J47" i="147"/>
  <c r="I47" i="147"/>
  <c r="H47" i="147"/>
  <c r="G47" i="147"/>
  <c r="F47" i="147"/>
  <c r="E47" i="147"/>
  <c r="D47" i="147"/>
  <c r="C47" i="147"/>
  <c r="B47" i="147"/>
  <c r="M38" i="147"/>
  <c r="L38" i="147"/>
  <c r="K38" i="147"/>
  <c r="J38" i="147"/>
  <c r="I38" i="147"/>
  <c r="H38" i="147"/>
  <c r="G38" i="147"/>
  <c r="F38" i="147"/>
  <c r="E38" i="147"/>
  <c r="D38" i="147"/>
  <c r="C38" i="147"/>
  <c r="B38" i="147"/>
  <c r="M14" i="147"/>
  <c r="L14" i="147"/>
  <c r="K14" i="147"/>
  <c r="J14" i="147"/>
  <c r="I14" i="147"/>
  <c r="H14" i="147"/>
  <c r="G14" i="147"/>
  <c r="F14" i="147"/>
  <c r="E14" i="147"/>
  <c r="D14" i="147"/>
  <c r="C14" i="147"/>
  <c r="B14" i="147"/>
  <c r="M137" i="147"/>
  <c r="L137" i="147"/>
  <c r="K137" i="147"/>
  <c r="J137" i="147"/>
  <c r="I137" i="147"/>
  <c r="H137" i="147"/>
  <c r="G137" i="147"/>
  <c r="F137" i="147"/>
  <c r="E137" i="147"/>
  <c r="D137" i="147"/>
  <c r="C137" i="147"/>
  <c r="B137" i="147"/>
  <c r="M86" i="147"/>
  <c r="L86" i="147"/>
  <c r="K86" i="147"/>
  <c r="J86" i="147"/>
  <c r="I86" i="147"/>
  <c r="H86" i="147"/>
  <c r="G86" i="147"/>
  <c r="F86" i="147"/>
  <c r="E86" i="147"/>
  <c r="D86" i="147"/>
  <c r="C86" i="147"/>
  <c r="B86" i="147"/>
  <c r="M65" i="147"/>
  <c r="L65" i="147"/>
  <c r="K65" i="147"/>
  <c r="J65" i="147"/>
  <c r="I65" i="147"/>
  <c r="H65" i="147"/>
  <c r="G65" i="147"/>
  <c r="F65" i="147"/>
  <c r="E65" i="147"/>
  <c r="D65" i="147"/>
  <c r="C65" i="147"/>
  <c r="B65" i="147"/>
  <c r="M81" i="147"/>
  <c r="L81" i="147"/>
  <c r="K81" i="147"/>
  <c r="J81" i="147"/>
  <c r="I81" i="147"/>
  <c r="H81" i="147"/>
  <c r="G81" i="147"/>
  <c r="F81" i="147"/>
  <c r="E81" i="147"/>
  <c r="D81" i="147"/>
  <c r="C81" i="147"/>
  <c r="B81" i="147"/>
  <c r="M85" i="147"/>
  <c r="L85" i="147"/>
  <c r="K85" i="147"/>
  <c r="J85" i="147"/>
  <c r="I85" i="147"/>
  <c r="H85" i="147"/>
  <c r="G85" i="147"/>
  <c r="F85" i="147"/>
  <c r="E85" i="147"/>
  <c r="D85" i="147"/>
  <c r="C85" i="147"/>
  <c r="B85" i="147"/>
  <c r="M80" i="147"/>
  <c r="L80" i="147"/>
  <c r="K80" i="147"/>
  <c r="J80" i="147"/>
  <c r="I80" i="147"/>
  <c r="H80" i="147"/>
  <c r="G80" i="147"/>
  <c r="F80" i="147"/>
  <c r="E80" i="147"/>
  <c r="D80" i="147"/>
  <c r="C80" i="147"/>
  <c r="B80" i="147"/>
  <c r="M118" i="147"/>
  <c r="L118" i="147"/>
  <c r="K118" i="147"/>
  <c r="J118" i="147"/>
  <c r="I118" i="147"/>
  <c r="H118" i="147"/>
  <c r="G118" i="147"/>
  <c r="F118" i="147"/>
  <c r="E118" i="147"/>
  <c r="D118" i="147"/>
  <c r="C118" i="147"/>
  <c r="B118" i="147"/>
  <c r="M57" i="147"/>
  <c r="L57" i="147"/>
  <c r="K57" i="147"/>
  <c r="J57" i="147"/>
  <c r="I57" i="147"/>
  <c r="H57" i="147"/>
  <c r="G57" i="147"/>
  <c r="F57" i="147"/>
  <c r="E57" i="147"/>
  <c r="D57" i="147"/>
  <c r="C57" i="147"/>
  <c r="B57" i="147"/>
  <c r="M46" i="147"/>
  <c r="L46" i="147"/>
  <c r="K46" i="147"/>
  <c r="J46" i="147"/>
  <c r="I46" i="147"/>
  <c r="H46" i="147"/>
  <c r="G46" i="147"/>
  <c r="F46" i="147"/>
  <c r="E46" i="147"/>
  <c r="D46" i="147"/>
  <c r="C46" i="147"/>
  <c r="B46" i="147"/>
  <c r="M152" i="147"/>
  <c r="L152" i="147"/>
  <c r="K152" i="147"/>
  <c r="J152" i="147"/>
  <c r="I152" i="147"/>
  <c r="H152" i="147"/>
  <c r="G152" i="147"/>
  <c r="F152" i="147"/>
  <c r="E152" i="147"/>
  <c r="D152" i="147"/>
  <c r="C152" i="147"/>
  <c r="B152" i="147"/>
  <c r="M148" i="147"/>
  <c r="L148" i="147"/>
  <c r="K148" i="147"/>
  <c r="J148" i="147"/>
  <c r="I148" i="147"/>
  <c r="H148" i="147"/>
  <c r="G148" i="147"/>
  <c r="F148" i="147"/>
  <c r="E148" i="147"/>
  <c r="D148" i="147"/>
  <c r="C148" i="147"/>
  <c r="B148" i="147"/>
  <c r="M141" i="147"/>
  <c r="L141" i="147"/>
  <c r="K141" i="147"/>
  <c r="J141" i="147"/>
  <c r="I141" i="147"/>
  <c r="H141" i="147"/>
  <c r="G141" i="147"/>
  <c r="F141" i="147"/>
  <c r="E141" i="147"/>
  <c r="D141" i="147"/>
  <c r="C141" i="147"/>
  <c r="B141" i="147"/>
  <c r="M136" i="147"/>
  <c r="L136" i="147"/>
  <c r="K136" i="147"/>
  <c r="J136" i="147"/>
  <c r="I136" i="147"/>
  <c r="H136" i="147"/>
  <c r="G136" i="147"/>
  <c r="F136" i="147"/>
  <c r="E136" i="147"/>
  <c r="D136" i="147"/>
  <c r="C136" i="147"/>
  <c r="B136" i="147"/>
  <c r="M130" i="147"/>
  <c r="L130" i="147"/>
  <c r="K130" i="147"/>
  <c r="J130" i="147"/>
  <c r="I130" i="147"/>
  <c r="H130" i="147"/>
  <c r="G130" i="147"/>
  <c r="F130" i="147"/>
  <c r="E130" i="147"/>
  <c r="D130" i="147"/>
  <c r="C130" i="147"/>
  <c r="B130" i="147"/>
  <c r="M121" i="147"/>
  <c r="L121" i="147"/>
  <c r="K121" i="147"/>
  <c r="J121" i="147"/>
  <c r="I121" i="147"/>
  <c r="H121" i="147"/>
  <c r="G121" i="147"/>
  <c r="F121" i="147"/>
  <c r="E121" i="147"/>
  <c r="D121" i="147"/>
  <c r="C121" i="147"/>
  <c r="B121" i="147"/>
  <c r="M117" i="147"/>
  <c r="L117" i="147"/>
  <c r="K117" i="147"/>
  <c r="J117" i="147"/>
  <c r="I117" i="147"/>
  <c r="H117" i="147"/>
  <c r="G117" i="147"/>
  <c r="F117" i="147"/>
  <c r="E117" i="147"/>
  <c r="D117" i="147"/>
  <c r="C117" i="147"/>
  <c r="B117" i="147"/>
  <c r="M108" i="147"/>
  <c r="L108" i="147"/>
  <c r="K108" i="147"/>
  <c r="J108" i="147"/>
  <c r="I108" i="147"/>
  <c r="H108" i="147"/>
  <c r="G108" i="147"/>
  <c r="F108" i="147"/>
  <c r="E108" i="147"/>
  <c r="D108" i="147"/>
  <c r="C108" i="147"/>
  <c r="B108" i="147"/>
  <c r="M102" i="147"/>
  <c r="L102" i="147"/>
  <c r="K102" i="147"/>
  <c r="J102" i="147"/>
  <c r="I102" i="147"/>
  <c r="H102" i="147"/>
  <c r="G102" i="147"/>
  <c r="F102" i="147"/>
  <c r="E102" i="147"/>
  <c r="D102" i="147"/>
  <c r="C102" i="147"/>
  <c r="B102" i="147"/>
  <c r="M96" i="147"/>
  <c r="L96" i="147"/>
  <c r="K96" i="147"/>
  <c r="J96" i="147"/>
  <c r="I96" i="147"/>
  <c r="H96" i="147"/>
  <c r="G96" i="147"/>
  <c r="F96" i="147"/>
  <c r="E96" i="147"/>
  <c r="D96" i="147"/>
  <c r="C96" i="147"/>
  <c r="B96" i="147"/>
  <c r="M94" i="147"/>
  <c r="L94" i="147"/>
  <c r="K94" i="147"/>
  <c r="J94" i="147"/>
  <c r="I94" i="147"/>
  <c r="H94" i="147"/>
  <c r="G94" i="147"/>
  <c r="F94" i="147"/>
  <c r="E94" i="147"/>
  <c r="D94" i="147"/>
  <c r="C94" i="147"/>
  <c r="B94" i="147"/>
  <c r="M91" i="147"/>
  <c r="L91" i="147"/>
  <c r="K91" i="147"/>
  <c r="J91" i="147"/>
  <c r="I91" i="147"/>
  <c r="H91" i="147"/>
  <c r="G91" i="147"/>
  <c r="F91" i="147"/>
  <c r="E91" i="147"/>
  <c r="D91" i="147"/>
  <c r="C91" i="147"/>
  <c r="B91" i="147"/>
  <c r="M84" i="147"/>
  <c r="L84" i="147"/>
  <c r="K84" i="147"/>
  <c r="J84" i="147"/>
  <c r="I84" i="147"/>
  <c r="H84" i="147"/>
  <c r="G84" i="147"/>
  <c r="F84" i="147"/>
  <c r="E84" i="147"/>
  <c r="D84" i="147"/>
  <c r="C84" i="147"/>
  <c r="B84" i="147"/>
  <c r="M79" i="147"/>
  <c r="L79" i="147"/>
  <c r="K79" i="147"/>
  <c r="J79" i="147"/>
  <c r="I79" i="147"/>
  <c r="H79" i="147"/>
  <c r="G79" i="147"/>
  <c r="F79" i="147"/>
  <c r="E79" i="147"/>
  <c r="D79" i="147"/>
  <c r="C79" i="147"/>
  <c r="B79" i="147"/>
  <c r="M73" i="147"/>
  <c r="L73" i="147"/>
  <c r="K73" i="147"/>
  <c r="J73" i="147"/>
  <c r="I73" i="147"/>
  <c r="H73" i="147"/>
  <c r="G73" i="147"/>
  <c r="F73" i="147"/>
  <c r="E73" i="147"/>
  <c r="D73" i="147"/>
  <c r="C73" i="147"/>
  <c r="B73" i="147"/>
  <c r="M67" i="147"/>
  <c r="L67" i="147"/>
  <c r="K67" i="147"/>
  <c r="J67" i="147"/>
  <c r="I67" i="147"/>
  <c r="H67" i="147"/>
  <c r="G67" i="147"/>
  <c r="F67" i="147"/>
  <c r="E67" i="147"/>
  <c r="D67" i="147"/>
  <c r="C67" i="147"/>
  <c r="B67" i="147"/>
  <c r="M64" i="147"/>
  <c r="L64" i="147"/>
  <c r="K64" i="147"/>
  <c r="J64" i="147"/>
  <c r="I64" i="147"/>
  <c r="H64" i="147"/>
  <c r="G64" i="147"/>
  <c r="F64" i="147"/>
  <c r="E64" i="147"/>
  <c r="D64" i="147"/>
  <c r="C64" i="147"/>
  <c r="B64" i="147"/>
  <c r="M50" i="147"/>
  <c r="L50" i="147"/>
  <c r="K50" i="147"/>
  <c r="J50" i="147"/>
  <c r="I50" i="147"/>
  <c r="H50" i="147"/>
  <c r="G50" i="147"/>
  <c r="F50" i="147"/>
  <c r="E50" i="147"/>
  <c r="D50" i="147"/>
  <c r="C50" i="147"/>
  <c r="B50" i="147"/>
  <c r="M45" i="147"/>
  <c r="L45" i="147"/>
  <c r="K45" i="147"/>
  <c r="J45" i="147"/>
  <c r="I45" i="147"/>
  <c r="H45" i="147"/>
  <c r="G45" i="147"/>
  <c r="F45" i="147"/>
  <c r="E45" i="147"/>
  <c r="D45" i="147"/>
  <c r="C45" i="147"/>
  <c r="B45" i="147"/>
  <c r="M44" i="147"/>
  <c r="L44" i="147"/>
  <c r="K44" i="147"/>
  <c r="J44" i="147"/>
  <c r="I44" i="147"/>
  <c r="H44" i="147"/>
  <c r="G44" i="147"/>
  <c r="F44" i="147"/>
  <c r="E44" i="147"/>
  <c r="D44" i="147"/>
  <c r="C44" i="147"/>
  <c r="B44" i="147"/>
  <c r="M37" i="147"/>
  <c r="L37" i="147"/>
  <c r="K37" i="147"/>
  <c r="J37" i="147"/>
  <c r="I37" i="147"/>
  <c r="H37" i="147"/>
  <c r="G37" i="147"/>
  <c r="F37" i="147"/>
  <c r="E37" i="147"/>
  <c r="D37" i="147"/>
  <c r="C37" i="147"/>
  <c r="B37" i="147"/>
  <c r="M35" i="147"/>
  <c r="L35" i="147"/>
  <c r="K35" i="147"/>
  <c r="J35" i="147"/>
  <c r="I35" i="147"/>
  <c r="H35" i="147"/>
  <c r="G35" i="147"/>
  <c r="F35" i="147"/>
  <c r="E35" i="147"/>
  <c r="D35" i="147"/>
  <c r="C35" i="147"/>
  <c r="B35" i="147"/>
  <c r="M31" i="147"/>
  <c r="L31" i="147"/>
  <c r="K31" i="147"/>
  <c r="J31" i="147"/>
  <c r="I31" i="147"/>
  <c r="H31" i="147"/>
  <c r="G31" i="147"/>
  <c r="F31" i="147"/>
  <c r="E31" i="147"/>
  <c r="D31" i="147"/>
  <c r="C31" i="147"/>
  <c r="B31" i="147"/>
  <c r="M24" i="147"/>
  <c r="L24" i="147"/>
  <c r="K24" i="147"/>
  <c r="J24" i="147"/>
  <c r="I24" i="147"/>
  <c r="H24" i="147"/>
  <c r="G24" i="147"/>
  <c r="F24" i="147"/>
  <c r="E24" i="147"/>
  <c r="D24" i="147"/>
  <c r="C24" i="147"/>
  <c r="B24" i="147"/>
  <c r="M20" i="147"/>
  <c r="L20" i="147"/>
  <c r="K20" i="147"/>
  <c r="J20" i="147"/>
  <c r="I20" i="147"/>
  <c r="H20" i="147"/>
  <c r="G20" i="147"/>
  <c r="F20" i="147"/>
  <c r="E20" i="147"/>
  <c r="D20" i="147"/>
  <c r="C20" i="147"/>
  <c r="B20" i="147"/>
  <c r="M13" i="147"/>
  <c r="L13" i="147"/>
  <c r="K13" i="147"/>
  <c r="J13" i="147"/>
  <c r="I13" i="147"/>
  <c r="H13" i="147"/>
  <c r="G13" i="147"/>
  <c r="F13" i="147"/>
  <c r="E13" i="147"/>
  <c r="D13" i="147"/>
  <c r="C13" i="147"/>
  <c r="B13" i="147"/>
  <c r="M135" i="147"/>
  <c r="L135" i="147"/>
  <c r="K135" i="147"/>
  <c r="J135" i="147"/>
  <c r="I135" i="147"/>
  <c r="H135" i="147"/>
  <c r="G135" i="147"/>
  <c r="F135" i="147"/>
  <c r="E135" i="147"/>
  <c r="D135" i="147"/>
  <c r="C135" i="147"/>
  <c r="B135" i="147"/>
  <c r="M134" i="147"/>
  <c r="L134" i="147"/>
  <c r="K134" i="147"/>
  <c r="J134" i="147"/>
  <c r="I134" i="147"/>
  <c r="H134" i="147"/>
  <c r="G134" i="147"/>
  <c r="F134" i="147"/>
  <c r="E134" i="147"/>
  <c r="D134" i="147"/>
  <c r="C134" i="147"/>
  <c r="B134" i="147"/>
  <c r="M19" i="147"/>
  <c r="L19" i="147"/>
  <c r="K19" i="147"/>
  <c r="J19" i="147"/>
  <c r="I19" i="147"/>
  <c r="H19" i="147"/>
  <c r="G19" i="147"/>
  <c r="F19" i="147"/>
  <c r="E19" i="147"/>
  <c r="D19" i="147"/>
  <c r="C19" i="147"/>
  <c r="B19" i="147"/>
  <c r="M43" i="147"/>
  <c r="L43" i="147"/>
  <c r="K43" i="147"/>
  <c r="J43" i="147"/>
  <c r="I43" i="147"/>
  <c r="H43" i="147"/>
  <c r="G43" i="147"/>
  <c r="F43" i="147"/>
  <c r="E43" i="147"/>
  <c r="D43" i="147"/>
  <c r="C43" i="147"/>
  <c r="B43" i="147"/>
  <c r="M18" i="147"/>
  <c r="L18" i="147"/>
  <c r="K18" i="147"/>
  <c r="J18" i="147"/>
  <c r="I18" i="147"/>
  <c r="H18" i="147"/>
  <c r="G18" i="147"/>
  <c r="F18" i="147"/>
  <c r="E18" i="147"/>
  <c r="D18" i="147"/>
  <c r="C18" i="147"/>
  <c r="B18" i="147"/>
  <c r="M4" i="147"/>
  <c r="L4" i="147"/>
  <c r="K4" i="147"/>
  <c r="J4" i="147"/>
  <c r="I4" i="147"/>
  <c r="H4" i="147"/>
  <c r="G4" i="147"/>
  <c r="F4" i="147"/>
  <c r="E4" i="147"/>
  <c r="D4" i="147"/>
  <c r="C4" i="147"/>
  <c r="B4" i="147"/>
  <c r="M72" i="147"/>
  <c r="L72" i="147"/>
  <c r="K72" i="147"/>
  <c r="J72" i="147"/>
  <c r="I72" i="147"/>
  <c r="H72" i="147"/>
  <c r="G72" i="147"/>
  <c r="F72" i="147"/>
  <c r="E72" i="147"/>
  <c r="D72" i="147"/>
  <c r="C72" i="147"/>
  <c r="B72" i="147"/>
  <c r="M71" i="147"/>
  <c r="L71" i="147"/>
  <c r="K71" i="147"/>
  <c r="J71" i="147"/>
  <c r="I71" i="147"/>
  <c r="H71" i="147"/>
  <c r="G71" i="147"/>
  <c r="F71" i="147"/>
  <c r="E71" i="147"/>
  <c r="D71" i="147"/>
  <c r="C71" i="147"/>
  <c r="B71" i="147"/>
  <c r="M70" i="147"/>
  <c r="L70" i="147"/>
  <c r="K70" i="147"/>
  <c r="J70" i="147"/>
  <c r="I70" i="147"/>
  <c r="H70" i="147"/>
  <c r="G70" i="147"/>
  <c r="F70" i="147"/>
  <c r="E70" i="147"/>
  <c r="D70" i="147"/>
  <c r="C70" i="147"/>
  <c r="B70" i="147"/>
  <c r="M3" i="147"/>
  <c r="L3" i="147"/>
  <c r="K3" i="147"/>
  <c r="J3" i="147"/>
  <c r="I3" i="147"/>
  <c r="H3" i="147"/>
  <c r="G3" i="147"/>
  <c r="F3" i="147"/>
  <c r="E3" i="147"/>
  <c r="D3" i="147"/>
  <c r="C3" i="147"/>
  <c r="B3" i="147"/>
  <c r="M69" i="147"/>
  <c r="L69" i="147"/>
  <c r="K69" i="147"/>
  <c r="J69" i="147"/>
  <c r="I69" i="147"/>
  <c r="H69" i="147"/>
  <c r="G69" i="147"/>
  <c r="F69" i="147"/>
  <c r="E69" i="147"/>
  <c r="D69" i="147"/>
  <c r="C69" i="147"/>
  <c r="B69" i="147"/>
  <c r="M2" i="147"/>
  <c r="L2" i="147"/>
  <c r="K2" i="147"/>
  <c r="J2" i="147"/>
  <c r="I2" i="147"/>
  <c r="H2" i="147"/>
  <c r="G2" i="147"/>
  <c r="F2" i="147"/>
  <c r="E2" i="147"/>
  <c r="D2" i="147"/>
  <c r="C2" i="147"/>
  <c r="B2" i="147"/>
  <c r="M30" i="147"/>
  <c r="L30" i="147"/>
  <c r="K30" i="147"/>
  <c r="J30" i="147"/>
  <c r="I30" i="147"/>
  <c r="H30" i="147"/>
  <c r="G30" i="147"/>
  <c r="F30" i="147"/>
  <c r="E30" i="147"/>
  <c r="D30" i="147"/>
  <c r="C30" i="147"/>
  <c r="B30" i="147"/>
  <c r="M147" i="147"/>
  <c r="L147" i="147"/>
  <c r="K147" i="147"/>
  <c r="J147" i="147"/>
  <c r="I147" i="147"/>
  <c r="H147" i="147"/>
  <c r="G147" i="147"/>
  <c r="F147" i="147"/>
  <c r="E147" i="147"/>
  <c r="D147" i="147"/>
  <c r="C147" i="147"/>
  <c r="B147" i="147"/>
  <c r="M129" i="147"/>
  <c r="L129" i="147"/>
  <c r="K129" i="147"/>
  <c r="J129" i="147"/>
  <c r="I129" i="147"/>
  <c r="H129" i="147"/>
  <c r="G129" i="147"/>
  <c r="F129" i="147"/>
  <c r="E129" i="147"/>
  <c r="D129" i="147"/>
  <c r="C129" i="147"/>
  <c r="B129" i="147"/>
  <c r="M78" i="147"/>
  <c r="L78" i="147"/>
  <c r="K78" i="147"/>
  <c r="J78" i="147"/>
  <c r="I78" i="147"/>
  <c r="H78" i="147"/>
  <c r="G78" i="147"/>
  <c r="F78" i="147"/>
  <c r="E78" i="147"/>
  <c r="D78" i="147"/>
  <c r="C78" i="147"/>
  <c r="B78" i="147"/>
  <c r="M146" i="147"/>
  <c r="L146" i="147"/>
  <c r="K146" i="147"/>
  <c r="J146" i="147"/>
  <c r="I146" i="147"/>
  <c r="H146" i="147"/>
  <c r="G146" i="147"/>
  <c r="F146" i="147"/>
  <c r="E146" i="147"/>
  <c r="D146" i="147"/>
  <c r="C146" i="147"/>
  <c r="B146" i="147"/>
  <c r="M12" i="147"/>
  <c r="L12" i="147"/>
  <c r="K12" i="147"/>
  <c r="J12" i="147"/>
  <c r="I12" i="147"/>
  <c r="H12" i="147"/>
  <c r="G12" i="147"/>
  <c r="F12" i="147"/>
  <c r="E12" i="147"/>
  <c r="D12" i="147"/>
  <c r="C12" i="147"/>
  <c r="B12" i="147"/>
  <c r="M90" i="147"/>
  <c r="L90" i="147"/>
  <c r="K90" i="147"/>
  <c r="J90" i="147"/>
  <c r="I90" i="147"/>
  <c r="H90" i="147"/>
  <c r="G90" i="147"/>
  <c r="F90" i="147"/>
  <c r="E90" i="147"/>
  <c r="D90" i="147"/>
  <c r="C90" i="147"/>
  <c r="B90" i="147"/>
  <c r="M34" i="147"/>
  <c r="L34" i="147"/>
  <c r="K34" i="147"/>
  <c r="J34" i="147"/>
  <c r="I34" i="147"/>
  <c r="H34" i="147"/>
  <c r="G34" i="147"/>
  <c r="F34" i="147"/>
  <c r="E34" i="147"/>
  <c r="D34" i="147"/>
  <c r="C34" i="147"/>
  <c r="B34" i="147"/>
  <c r="M49" i="147"/>
  <c r="L49" i="147"/>
  <c r="K49" i="147"/>
  <c r="J49" i="147"/>
  <c r="I49" i="147"/>
  <c r="H49" i="147"/>
  <c r="G49" i="147"/>
  <c r="F49" i="147"/>
  <c r="E49" i="147"/>
  <c r="D49" i="147"/>
  <c r="C49" i="147"/>
  <c r="B49" i="147"/>
  <c r="M33" i="147"/>
  <c r="L33" i="147"/>
  <c r="K33" i="147"/>
  <c r="J33" i="147"/>
  <c r="I33" i="147"/>
  <c r="H33" i="147"/>
  <c r="G33" i="147"/>
  <c r="F33" i="147"/>
  <c r="E33" i="147"/>
  <c r="D33" i="147"/>
  <c r="C33" i="147"/>
  <c r="B33" i="147"/>
  <c r="M22" i="147"/>
  <c r="L22" i="147"/>
  <c r="K22" i="147"/>
  <c r="J22" i="147"/>
  <c r="I22" i="147"/>
  <c r="H22" i="147"/>
  <c r="G22" i="147"/>
  <c r="F22" i="147"/>
  <c r="E22" i="147"/>
  <c r="D22" i="147"/>
  <c r="C22" i="147"/>
  <c r="B22" i="147"/>
  <c r="M63" i="147"/>
  <c r="L63" i="147"/>
  <c r="K63" i="147"/>
  <c r="J63" i="147"/>
  <c r="I63" i="147"/>
  <c r="H63" i="147"/>
  <c r="G63" i="147"/>
  <c r="F63" i="147"/>
  <c r="E63" i="147"/>
  <c r="D63" i="147"/>
  <c r="C63" i="147"/>
  <c r="B63" i="147"/>
  <c r="M128" i="147"/>
  <c r="L128" i="147"/>
  <c r="K128" i="147"/>
  <c r="J128" i="147"/>
  <c r="I128" i="147"/>
  <c r="H128" i="147"/>
  <c r="G128" i="147"/>
  <c r="F128" i="147"/>
  <c r="E128" i="147"/>
  <c r="D128" i="147"/>
  <c r="C128" i="147"/>
  <c r="B128" i="147"/>
  <c r="M56" i="147"/>
  <c r="L56" i="147"/>
  <c r="K56" i="147"/>
  <c r="J56" i="147"/>
  <c r="I56" i="147"/>
  <c r="H56" i="147"/>
  <c r="G56" i="147"/>
  <c r="F56" i="147"/>
  <c r="E56" i="147"/>
  <c r="D56" i="147"/>
  <c r="C56" i="147"/>
  <c r="B56" i="147"/>
  <c r="M62" i="147"/>
  <c r="L62" i="147"/>
  <c r="K62" i="147"/>
  <c r="J62" i="147"/>
  <c r="I62" i="147"/>
  <c r="H62" i="147"/>
  <c r="G62" i="147"/>
  <c r="F62" i="147"/>
  <c r="E62" i="147"/>
  <c r="D62" i="147"/>
  <c r="C62" i="147"/>
  <c r="B62" i="147"/>
  <c r="M17" i="147"/>
  <c r="L17" i="147"/>
  <c r="K17" i="147"/>
  <c r="J17" i="147"/>
  <c r="I17" i="147"/>
  <c r="H17" i="147"/>
  <c r="G17" i="147"/>
  <c r="F17" i="147"/>
  <c r="E17" i="147"/>
  <c r="D17" i="147"/>
  <c r="C17" i="147"/>
  <c r="B17" i="147"/>
  <c r="M127" i="147"/>
  <c r="L127" i="147"/>
  <c r="K127" i="147"/>
  <c r="J127" i="147"/>
  <c r="I127" i="147"/>
  <c r="H127" i="147"/>
  <c r="G127" i="147"/>
  <c r="F127" i="147"/>
  <c r="E127" i="147"/>
  <c r="D127" i="147"/>
  <c r="C127" i="147"/>
  <c r="B127" i="147"/>
  <c r="M126" i="147"/>
  <c r="L126" i="147"/>
  <c r="K126" i="147"/>
  <c r="J126" i="147"/>
  <c r="I126" i="147"/>
  <c r="H126" i="147"/>
  <c r="G126" i="147"/>
  <c r="F126" i="147"/>
  <c r="E126" i="147"/>
  <c r="D126" i="147"/>
  <c r="C126" i="147"/>
  <c r="B126" i="147"/>
  <c r="M55" i="147"/>
  <c r="L55" i="147"/>
  <c r="K55" i="147"/>
  <c r="J55" i="147"/>
  <c r="I55" i="147"/>
  <c r="H55" i="147"/>
  <c r="G55" i="147"/>
  <c r="F55" i="147"/>
  <c r="E55" i="147"/>
  <c r="D55" i="147"/>
  <c r="C55" i="147"/>
  <c r="B55" i="147"/>
  <c r="M16" i="147"/>
  <c r="L16" i="147"/>
  <c r="K16" i="147"/>
  <c r="J16" i="147"/>
  <c r="I16" i="147"/>
  <c r="H16" i="147"/>
  <c r="G16" i="147"/>
  <c r="F16" i="147"/>
  <c r="E16" i="147"/>
  <c r="D16" i="147"/>
  <c r="C16" i="147"/>
  <c r="B16" i="147"/>
  <c r="M48" i="147"/>
  <c r="L48" i="147"/>
  <c r="K48" i="147"/>
  <c r="J48" i="147"/>
  <c r="I48" i="147"/>
  <c r="H48" i="147"/>
  <c r="G48" i="147"/>
  <c r="F48" i="147"/>
  <c r="E48" i="147"/>
  <c r="D48" i="147"/>
  <c r="C48" i="147"/>
  <c r="B48" i="147"/>
  <c r="M114" i="147"/>
  <c r="L114" i="147"/>
  <c r="K114" i="147"/>
  <c r="J114" i="147"/>
  <c r="I114" i="147"/>
  <c r="H114" i="147"/>
  <c r="G114" i="147"/>
  <c r="F114" i="147"/>
  <c r="E114" i="147"/>
  <c r="D114" i="147"/>
  <c r="C114" i="147"/>
  <c r="B114" i="147"/>
  <c r="M140" i="147"/>
  <c r="L140" i="147"/>
  <c r="K140" i="147"/>
  <c r="J140" i="147"/>
  <c r="I140" i="147"/>
  <c r="H140" i="147"/>
  <c r="G140" i="147"/>
  <c r="F140" i="147"/>
  <c r="E140" i="147"/>
  <c r="D140" i="147"/>
  <c r="C140" i="147"/>
  <c r="B140" i="147"/>
  <c r="M11" i="147"/>
  <c r="L11" i="147"/>
  <c r="K11" i="147"/>
  <c r="J11" i="147"/>
  <c r="I11" i="147"/>
  <c r="H11" i="147"/>
  <c r="G11" i="147"/>
  <c r="F11" i="147"/>
  <c r="E11" i="147"/>
  <c r="D11" i="147"/>
  <c r="C11" i="147"/>
  <c r="B11" i="147"/>
  <c r="M133" i="147"/>
  <c r="L133" i="147"/>
  <c r="K133" i="147"/>
  <c r="J133" i="147"/>
  <c r="I133" i="147"/>
  <c r="H133" i="147"/>
  <c r="G133" i="147"/>
  <c r="F133" i="147"/>
  <c r="E133" i="147"/>
  <c r="D133" i="147"/>
  <c r="C133" i="147"/>
  <c r="B133" i="147"/>
  <c r="M54" i="147"/>
  <c r="L54" i="147"/>
  <c r="K54" i="147"/>
  <c r="J54" i="147"/>
  <c r="I54" i="147"/>
  <c r="H54" i="147"/>
  <c r="G54" i="147"/>
  <c r="F54" i="147"/>
  <c r="E54" i="147"/>
  <c r="D54" i="147"/>
  <c r="C54" i="147"/>
  <c r="B54" i="147"/>
  <c r="M125" i="147"/>
  <c r="L125" i="147"/>
  <c r="K125" i="147"/>
  <c r="J125" i="147"/>
  <c r="I125" i="147"/>
  <c r="H125" i="147"/>
  <c r="G125" i="147"/>
  <c r="F125" i="147"/>
  <c r="E125" i="147"/>
  <c r="D125" i="147"/>
  <c r="C125" i="147"/>
  <c r="B125" i="147"/>
  <c r="M10" i="147"/>
  <c r="L10" i="147"/>
  <c r="K10" i="147"/>
  <c r="J10" i="147"/>
  <c r="I10" i="147"/>
  <c r="H10" i="147"/>
  <c r="G10" i="147"/>
  <c r="F10" i="147"/>
  <c r="E10" i="147"/>
  <c r="D10" i="147"/>
  <c r="C10" i="147"/>
  <c r="B10" i="147"/>
  <c r="M77" i="147"/>
  <c r="L77" i="147"/>
  <c r="K77" i="147"/>
  <c r="J77" i="147"/>
  <c r="I77" i="147"/>
  <c r="H77" i="147"/>
  <c r="G77" i="147"/>
  <c r="F77" i="147"/>
  <c r="E77" i="147"/>
  <c r="D77" i="147"/>
  <c r="C77" i="147"/>
  <c r="B77" i="147"/>
  <c r="N4" i="145"/>
  <c r="N5" i="145"/>
  <c r="N6" i="145"/>
  <c r="N7" i="145"/>
  <c r="N8" i="145"/>
  <c r="N9" i="145"/>
  <c r="N10" i="145"/>
  <c r="N11" i="145"/>
  <c r="N12" i="145"/>
  <c r="N13" i="145"/>
  <c r="N14" i="145"/>
  <c r="N15" i="145"/>
  <c r="N16" i="145"/>
  <c r="N17" i="145"/>
  <c r="N18" i="145"/>
  <c r="N19" i="145"/>
  <c r="N20" i="145"/>
  <c r="N21" i="145"/>
  <c r="N22" i="145"/>
  <c r="N23" i="145"/>
  <c r="N24" i="145"/>
  <c r="N25" i="145"/>
  <c r="N26" i="145"/>
  <c r="N27" i="145"/>
  <c r="N28" i="145"/>
  <c r="N29" i="145"/>
  <c r="N30" i="145"/>
  <c r="N31" i="145"/>
  <c r="N32" i="145"/>
  <c r="N33" i="145"/>
  <c r="N34" i="145"/>
  <c r="N35" i="145"/>
  <c r="N36" i="145"/>
  <c r="N37" i="145"/>
  <c r="N38" i="145"/>
  <c r="N39" i="145"/>
  <c r="N40" i="145"/>
  <c r="N41" i="145"/>
  <c r="N42" i="145"/>
  <c r="N43" i="145"/>
  <c r="N44" i="145"/>
  <c r="N45" i="145"/>
  <c r="N46" i="145"/>
  <c r="N47" i="145"/>
  <c r="N48" i="145"/>
  <c r="N49" i="145"/>
  <c r="N50" i="145"/>
  <c r="N51" i="145"/>
  <c r="N52" i="145"/>
  <c r="N53" i="145"/>
  <c r="N54" i="145"/>
  <c r="N55" i="145"/>
  <c r="N56" i="145"/>
  <c r="N57" i="145"/>
  <c r="N58" i="145"/>
  <c r="N59" i="145"/>
  <c r="N60" i="145"/>
  <c r="N3" i="145"/>
  <c r="M53" i="145"/>
  <c r="L53" i="145"/>
  <c r="K53" i="145"/>
  <c r="J53" i="145"/>
  <c r="I53" i="145"/>
  <c r="H53" i="145"/>
  <c r="G53" i="145"/>
  <c r="F53" i="145"/>
  <c r="E53" i="145"/>
  <c r="D53" i="145"/>
  <c r="C53" i="145"/>
  <c r="B53" i="145"/>
  <c r="M27" i="145"/>
  <c r="L27" i="145"/>
  <c r="K27" i="145"/>
  <c r="J27" i="145"/>
  <c r="I27" i="145"/>
  <c r="H27" i="145"/>
  <c r="G27" i="145"/>
  <c r="F27" i="145"/>
  <c r="E27" i="145"/>
  <c r="D27" i="145"/>
  <c r="C27" i="145"/>
  <c r="B27" i="145"/>
  <c r="M26" i="145"/>
  <c r="L26" i="145"/>
  <c r="K26" i="145"/>
  <c r="J26" i="145"/>
  <c r="I26" i="145"/>
  <c r="H26" i="145"/>
  <c r="G26" i="145"/>
  <c r="F26" i="145"/>
  <c r="E26" i="145"/>
  <c r="D26" i="145"/>
  <c r="C26" i="145"/>
  <c r="B26" i="145"/>
  <c r="M25" i="145"/>
  <c r="L25" i="145"/>
  <c r="K25" i="145"/>
  <c r="J25" i="145"/>
  <c r="I25" i="145"/>
  <c r="H25" i="145"/>
  <c r="G25" i="145"/>
  <c r="F25" i="145"/>
  <c r="E25" i="145"/>
  <c r="D25" i="145"/>
  <c r="C25" i="145"/>
  <c r="B25" i="145"/>
  <c r="M60" i="145"/>
  <c r="L60" i="145"/>
  <c r="K60" i="145"/>
  <c r="J60" i="145"/>
  <c r="I60" i="145"/>
  <c r="H60" i="145"/>
  <c r="G60" i="145"/>
  <c r="F60" i="145"/>
  <c r="E60" i="145"/>
  <c r="D60" i="145"/>
  <c r="C60" i="145"/>
  <c r="B60" i="145"/>
  <c r="M5" i="145"/>
  <c r="L5" i="145"/>
  <c r="K5" i="145"/>
  <c r="J5" i="145"/>
  <c r="I5" i="145"/>
  <c r="H5" i="145"/>
  <c r="G5" i="145"/>
  <c r="F5" i="145"/>
  <c r="E5" i="145"/>
  <c r="D5" i="145"/>
  <c r="C5" i="145"/>
  <c r="B5" i="145"/>
  <c r="M40" i="145"/>
  <c r="L40" i="145"/>
  <c r="K40" i="145"/>
  <c r="J40" i="145"/>
  <c r="I40" i="145"/>
  <c r="H40" i="145"/>
  <c r="G40" i="145"/>
  <c r="F40" i="145"/>
  <c r="E40" i="145"/>
  <c r="D40" i="145"/>
  <c r="C40" i="145"/>
  <c r="B40" i="145"/>
  <c r="M34" i="145"/>
  <c r="L34" i="145"/>
  <c r="K34" i="145"/>
  <c r="J34" i="145"/>
  <c r="I34" i="145"/>
  <c r="H34" i="145"/>
  <c r="G34" i="145"/>
  <c r="F34" i="145"/>
  <c r="E34" i="145"/>
  <c r="D34" i="145"/>
  <c r="C34" i="145"/>
  <c r="B34" i="145"/>
  <c r="M11" i="145"/>
  <c r="L11" i="145"/>
  <c r="K11" i="145"/>
  <c r="J11" i="145"/>
  <c r="I11" i="145"/>
  <c r="H11" i="145"/>
  <c r="G11" i="145"/>
  <c r="F11" i="145"/>
  <c r="E11" i="145"/>
  <c r="D11" i="145"/>
  <c r="C11" i="145"/>
  <c r="B11" i="145"/>
  <c r="M50" i="145"/>
  <c r="L50" i="145"/>
  <c r="K50" i="145"/>
  <c r="J50" i="145"/>
  <c r="I50" i="145"/>
  <c r="H50" i="145"/>
  <c r="G50" i="145"/>
  <c r="F50" i="145"/>
  <c r="E50" i="145"/>
  <c r="D50" i="145"/>
  <c r="C50" i="145"/>
  <c r="B50" i="145"/>
  <c r="M4" i="145"/>
  <c r="L4" i="145"/>
  <c r="K4" i="145"/>
  <c r="J4" i="145"/>
  <c r="I4" i="145"/>
  <c r="H4" i="145"/>
  <c r="G4" i="145"/>
  <c r="F4" i="145"/>
  <c r="E4" i="145"/>
  <c r="D4" i="145"/>
  <c r="C4" i="145"/>
  <c r="B4" i="145"/>
  <c r="M59" i="145"/>
  <c r="L59" i="145"/>
  <c r="K59" i="145"/>
  <c r="J59" i="145"/>
  <c r="I59" i="145"/>
  <c r="H59" i="145"/>
  <c r="G59" i="145"/>
  <c r="F59" i="145"/>
  <c r="E59" i="145"/>
  <c r="D59" i="145"/>
  <c r="C59" i="145"/>
  <c r="B59" i="145"/>
  <c r="M19" i="145"/>
  <c r="L19" i="145"/>
  <c r="K19" i="145"/>
  <c r="J19" i="145"/>
  <c r="I19" i="145"/>
  <c r="H19" i="145"/>
  <c r="G19" i="145"/>
  <c r="F19" i="145"/>
  <c r="E19" i="145"/>
  <c r="D19" i="145"/>
  <c r="C19" i="145"/>
  <c r="B19" i="145"/>
  <c r="M39" i="145"/>
  <c r="L39" i="145"/>
  <c r="K39" i="145"/>
  <c r="J39" i="145"/>
  <c r="I39" i="145"/>
  <c r="H39" i="145"/>
  <c r="G39" i="145"/>
  <c r="F39" i="145"/>
  <c r="E39" i="145"/>
  <c r="D39" i="145"/>
  <c r="C39" i="145"/>
  <c r="B39" i="145"/>
  <c r="M14" i="145"/>
  <c r="L14" i="145"/>
  <c r="K14" i="145"/>
  <c r="J14" i="145"/>
  <c r="I14" i="145"/>
  <c r="H14" i="145"/>
  <c r="G14" i="145"/>
  <c r="F14" i="145"/>
  <c r="E14" i="145"/>
  <c r="D14" i="145"/>
  <c r="C14" i="145"/>
  <c r="B14" i="145"/>
  <c r="M21" i="145"/>
  <c r="L21" i="145"/>
  <c r="K21" i="145"/>
  <c r="J21" i="145"/>
  <c r="I21" i="145"/>
  <c r="H21" i="145"/>
  <c r="G21" i="145"/>
  <c r="F21" i="145"/>
  <c r="E21" i="145"/>
  <c r="D21" i="145"/>
  <c r="C21" i="145"/>
  <c r="B21" i="145"/>
  <c r="M30" i="145"/>
  <c r="L30" i="145"/>
  <c r="K30" i="145"/>
  <c r="J30" i="145"/>
  <c r="I30" i="145"/>
  <c r="H30" i="145"/>
  <c r="G30" i="145"/>
  <c r="F30" i="145"/>
  <c r="E30" i="145"/>
  <c r="D30" i="145"/>
  <c r="C30" i="145"/>
  <c r="B30" i="145"/>
  <c r="M3" i="145"/>
  <c r="L3" i="145"/>
  <c r="K3" i="145"/>
  <c r="J3" i="145"/>
  <c r="I3" i="145"/>
  <c r="H3" i="145"/>
  <c r="G3" i="145"/>
  <c r="F3" i="145"/>
  <c r="E3" i="145"/>
  <c r="D3" i="145"/>
  <c r="C3" i="145"/>
  <c r="B3" i="145"/>
  <c r="M2" i="145"/>
  <c r="L2" i="145"/>
  <c r="K2" i="145"/>
  <c r="J2" i="145"/>
  <c r="I2" i="145"/>
  <c r="H2" i="145"/>
  <c r="G2" i="145"/>
  <c r="F2" i="145"/>
  <c r="E2" i="145"/>
  <c r="D2" i="145"/>
  <c r="C2" i="145"/>
  <c r="B2" i="145"/>
  <c r="M48" i="145"/>
  <c r="L48" i="145"/>
  <c r="K48" i="145"/>
  <c r="J48" i="145"/>
  <c r="I48" i="145"/>
  <c r="H48" i="145"/>
  <c r="G48" i="145"/>
  <c r="F48" i="145"/>
  <c r="E48" i="145"/>
  <c r="D48" i="145"/>
  <c r="C48" i="145"/>
  <c r="B48" i="145"/>
  <c r="M47" i="145"/>
  <c r="L47" i="145"/>
  <c r="K47" i="145"/>
  <c r="J47" i="145"/>
  <c r="I47" i="145"/>
  <c r="H47" i="145"/>
  <c r="G47" i="145"/>
  <c r="F47" i="145"/>
  <c r="E47" i="145"/>
  <c r="D47" i="145"/>
  <c r="C47" i="145"/>
  <c r="B47" i="145"/>
  <c r="M46" i="145"/>
  <c r="L46" i="145"/>
  <c r="K46" i="145"/>
  <c r="J46" i="145"/>
  <c r="I46" i="145"/>
  <c r="H46" i="145"/>
  <c r="G46" i="145"/>
  <c r="F46" i="145"/>
  <c r="E46" i="145"/>
  <c r="D46" i="145"/>
  <c r="C46" i="145"/>
  <c r="B46" i="145"/>
  <c r="M33" i="145"/>
  <c r="L33" i="145"/>
  <c r="K33" i="145"/>
  <c r="J33" i="145"/>
  <c r="I33" i="145"/>
  <c r="H33" i="145"/>
  <c r="G33" i="145"/>
  <c r="F33" i="145"/>
  <c r="E33" i="145"/>
  <c r="D33" i="145"/>
  <c r="C33" i="145"/>
  <c r="B33" i="145"/>
  <c r="M9" i="145"/>
  <c r="L9" i="145"/>
  <c r="K9" i="145"/>
  <c r="J9" i="145"/>
  <c r="I9" i="145"/>
  <c r="H9" i="145"/>
  <c r="G9" i="145"/>
  <c r="F9" i="145"/>
  <c r="E9" i="145"/>
  <c r="D9" i="145"/>
  <c r="C9" i="145"/>
  <c r="B9" i="145"/>
  <c r="M45" i="145"/>
  <c r="L45" i="145"/>
  <c r="K45" i="145"/>
  <c r="J45" i="145"/>
  <c r="I45" i="145"/>
  <c r="H45" i="145"/>
  <c r="G45" i="145"/>
  <c r="F45" i="145"/>
  <c r="E45" i="145"/>
  <c r="D45" i="145"/>
  <c r="C45" i="145"/>
  <c r="B45" i="145"/>
  <c r="M38" i="145"/>
  <c r="L38" i="145"/>
  <c r="K38" i="145"/>
  <c r="J38" i="145"/>
  <c r="I38" i="145"/>
  <c r="H38" i="145"/>
  <c r="G38" i="145"/>
  <c r="F38" i="145"/>
  <c r="E38" i="145"/>
  <c r="D38" i="145"/>
  <c r="C38" i="145"/>
  <c r="B38" i="145"/>
  <c r="M13" i="145"/>
  <c r="L13" i="145"/>
  <c r="K13" i="145"/>
  <c r="J13" i="145"/>
  <c r="I13" i="145"/>
  <c r="H13" i="145"/>
  <c r="G13" i="145"/>
  <c r="F13" i="145"/>
  <c r="E13" i="145"/>
  <c r="D13" i="145"/>
  <c r="C13" i="145"/>
  <c r="B13" i="145"/>
  <c r="M31" i="145"/>
  <c r="L31" i="145"/>
  <c r="K31" i="145"/>
  <c r="J31" i="145"/>
  <c r="I31" i="145"/>
  <c r="H31" i="145"/>
  <c r="G31" i="145"/>
  <c r="F31" i="145"/>
  <c r="E31" i="145"/>
  <c r="D31" i="145"/>
  <c r="C31" i="145"/>
  <c r="B31" i="145"/>
  <c r="M32" i="145"/>
  <c r="L32" i="145"/>
  <c r="K32" i="145"/>
  <c r="J32" i="145"/>
  <c r="I32" i="145"/>
  <c r="H32" i="145"/>
  <c r="G32" i="145"/>
  <c r="F32" i="145"/>
  <c r="E32" i="145"/>
  <c r="D32" i="145"/>
  <c r="C32" i="145"/>
  <c r="B32" i="145"/>
  <c r="M36" i="145"/>
  <c r="L36" i="145"/>
  <c r="K36" i="145"/>
  <c r="J36" i="145"/>
  <c r="I36" i="145"/>
  <c r="H36" i="145"/>
  <c r="G36" i="145"/>
  <c r="F36" i="145"/>
  <c r="E36" i="145"/>
  <c r="D36" i="145"/>
  <c r="C36" i="145"/>
  <c r="B36" i="145"/>
  <c r="M8" i="145"/>
  <c r="L8" i="145"/>
  <c r="K8" i="145"/>
  <c r="J8" i="145"/>
  <c r="I8" i="145"/>
  <c r="H8" i="145"/>
  <c r="G8" i="145"/>
  <c r="F8" i="145"/>
  <c r="E8" i="145"/>
  <c r="D8" i="145"/>
  <c r="C8" i="145"/>
  <c r="B8" i="145"/>
  <c r="M7" i="145"/>
  <c r="L7" i="145"/>
  <c r="K7" i="145"/>
  <c r="J7" i="145"/>
  <c r="I7" i="145"/>
  <c r="H7" i="145"/>
  <c r="G7" i="145"/>
  <c r="F7" i="145"/>
  <c r="E7" i="145"/>
  <c r="D7" i="145"/>
  <c r="C7" i="145"/>
  <c r="B7" i="145"/>
  <c r="M44" i="145"/>
  <c r="L44" i="145"/>
  <c r="K44" i="145"/>
  <c r="J44" i="145"/>
  <c r="I44" i="145"/>
  <c r="H44" i="145"/>
  <c r="G44" i="145"/>
  <c r="F44" i="145"/>
  <c r="E44" i="145"/>
  <c r="D44" i="145"/>
  <c r="C44" i="145"/>
  <c r="B44" i="145"/>
  <c r="M16" i="145"/>
  <c r="L16" i="145"/>
  <c r="K16" i="145"/>
  <c r="J16" i="145"/>
  <c r="I16" i="145"/>
  <c r="H16" i="145"/>
  <c r="G16" i="145"/>
  <c r="F16" i="145"/>
  <c r="E16" i="145"/>
  <c r="D16" i="145"/>
  <c r="C16" i="145"/>
  <c r="B16" i="145"/>
  <c r="M24" i="145"/>
  <c r="L24" i="145"/>
  <c r="K24" i="145"/>
  <c r="J24" i="145"/>
  <c r="I24" i="145"/>
  <c r="H24" i="145"/>
  <c r="G24" i="145"/>
  <c r="F24" i="145"/>
  <c r="E24" i="145"/>
  <c r="D24" i="145"/>
  <c r="C24" i="145"/>
  <c r="B24" i="145"/>
  <c r="M20" i="145"/>
  <c r="L20" i="145"/>
  <c r="K20" i="145"/>
  <c r="J20" i="145"/>
  <c r="I20" i="145"/>
  <c r="H20" i="145"/>
  <c r="G20" i="145"/>
  <c r="F20" i="145"/>
  <c r="E20" i="145"/>
  <c r="D20" i="145"/>
  <c r="C20" i="145"/>
  <c r="B20" i="145"/>
  <c r="M15" i="145"/>
  <c r="L15" i="145"/>
  <c r="K15" i="145"/>
  <c r="J15" i="145"/>
  <c r="I15" i="145"/>
  <c r="H15" i="145"/>
  <c r="G15" i="145"/>
  <c r="F15" i="145"/>
  <c r="E15" i="145"/>
  <c r="D15" i="145"/>
  <c r="C15" i="145"/>
  <c r="B15" i="145"/>
  <c r="M29" i="145"/>
  <c r="L29" i="145"/>
  <c r="K29" i="145"/>
  <c r="J29" i="145"/>
  <c r="I29" i="145"/>
  <c r="H29" i="145"/>
  <c r="G29" i="145"/>
  <c r="F29" i="145"/>
  <c r="E29" i="145"/>
  <c r="D29" i="145"/>
  <c r="C29" i="145"/>
  <c r="B29" i="145"/>
  <c r="M51" i="145"/>
  <c r="L51" i="145"/>
  <c r="K51" i="145"/>
  <c r="J51" i="145"/>
  <c r="I51" i="145"/>
  <c r="H51" i="145"/>
  <c r="G51" i="145"/>
  <c r="F51" i="145"/>
  <c r="E51" i="145"/>
  <c r="D51" i="145"/>
  <c r="C51" i="145"/>
  <c r="B51" i="145"/>
  <c r="M37" i="145"/>
  <c r="L37" i="145"/>
  <c r="K37" i="145"/>
  <c r="J37" i="145"/>
  <c r="I37" i="145"/>
  <c r="H37" i="145"/>
  <c r="G37" i="145"/>
  <c r="F37" i="145"/>
  <c r="E37" i="145"/>
  <c r="D37" i="145"/>
  <c r="C37" i="145"/>
  <c r="B37" i="145"/>
  <c r="M49" i="145"/>
  <c r="L49" i="145"/>
  <c r="K49" i="145"/>
  <c r="J49" i="145"/>
  <c r="I49" i="145"/>
  <c r="H49" i="145"/>
  <c r="G49" i="145"/>
  <c r="F49" i="145"/>
  <c r="E49" i="145"/>
  <c r="D49" i="145"/>
  <c r="C49" i="145"/>
  <c r="B49" i="145"/>
  <c r="M35" i="145"/>
  <c r="L35" i="145"/>
  <c r="K35" i="145"/>
  <c r="J35" i="145"/>
  <c r="I35" i="145"/>
  <c r="H35" i="145"/>
  <c r="G35" i="145"/>
  <c r="F35" i="145"/>
  <c r="E35" i="145"/>
  <c r="D35" i="145"/>
  <c r="C35" i="145"/>
  <c r="B35" i="145"/>
  <c r="M6" i="145"/>
  <c r="L6" i="145"/>
  <c r="K6" i="145"/>
  <c r="J6" i="145"/>
  <c r="I6" i="145"/>
  <c r="H6" i="145"/>
  <c r="G6" i="145"/>
  <c r="F6" i="145"/>
  <c r="E6" i="145"/>
  <c r="D6" i="145"/>
  <c r="C6" i="145"/>
  <c r="B6" i="145"/>
  <c r="M10" i="145"/>
  <c r="L10" i="145"/>
  <c r="K10" i="145"/>
  <c r="J10" i="145"/>
  <c r="I10" i="145"/>
  <c r="H10" i="145"/>
  <c r="G10" i="145"/>
  <c r="F10" i="145"/>
  <c r="E10" i="145"/>
  <c r="D10" i="145"/>
  <c r="C10" i="145"/>
  <c r="B10" i="145"/>
  <c r="M22" i="145"/>
  <c r="L22" i="145"/>
  <c r="K22" i="145"/>
  <c r="J22" i="145"/>
  <c r="I22" i="145"/>
  <c r="H22" i="145"/>
  <c r="G22" i="145"/>
  <c r="F22" i="145"/>
  <c r="E22" i="145"/>
  <c r="D22" i="145"/>
  <c r="C22" i="145"/>
  <c r="B22" i="145"/>
  <c r="M43" i="145"/>
  <c r="L43" i="145"/>
  <c r="K43" i="145"/>
  <c r="J43" i="145"/>
  <c r="I43" i="145"/>
  <c r="H43" i="145"/>
  <c r="G43" i="145"/>
  <c r="F43" i="145"/>
  <c r="E43" i="145"/>
  <c r="D43" i="145"/>
  <c r="C43" i="145"/>
  <c r="B43" i="145"/>
  <c r="M42" i="145"/>
  <c r="L42" i="145"/>
  <c r="K42" i="145"/>
  <c r="J42" i="145"/>
  <c r="I42" i="145"/>
  <c r="H42" i="145"/>
  <c r="G42" i="145"/>
  <c r="F42" i="145"/>
  <c r="E42" i="145"/>
  <c r="D42" i="145"/>
  <c r="C42" i="145"/>
  <c r="B42" i="145"/>
  <c r="M41" i="145"/>
  <c r="L41" i="145"/>
  <c r="K41" i="145"/>
  <c r="J41" i="145"/>
  <c r="I41" i="145"/>
  <c r="H41" i="145"/>
  <c r="G41" i="145"/>
  <c r="F41" i="145"/>
  <c r="E41" i="145"/>
  <c r="D41" i="145"/>
  <c r="C41" i="145"/>
  <c r="B41" i="145"/>
  <c r="M52" i="145"/>
  <c r="L52" i="145"/>
  <c r="K52" i="145"/>
  <c r="J52" i="145"/>
  <c r="I52" i="145"/>
  <c r="H52" i="145"/>
  <c r="G52" i="145"/>
  <c r="F52" i="145"/>
  <c r="E52" i="145"/>
  <c r="D52" i="145"/>
  <c r="C52" i="145"/>
  <c r="B52" i="145"/>
  <c r="M23" i="145"/>
  <c r="L23" i="145"/>
  <c r="K23" i="145"/>
  <c r="J23" i="145"/>
  <c r="I23" i="145"/>
  <c r="H23" i="145"/>
  <c r="G23" i="145"/>
  <c r="F23" i="145"/>
  <c r="E23" i="145"/>
  <c r="D23" i="145"/>
  <c r="C23" i="145"/>
  <c r="B23" i="145"/>
  <c r="M58" i="145"/>
  <c r="L58" i="145"/>
  <c r="K58" i="145"/>
  <c r="J58" i="145"/>
  <c r="I58" i="145"/>
  <c r="H58" i="145"/>
  <c r="G58" i="145"/>
  <c r="F58" i="145"/>
  <c r="E58" i="145"/>
  <c r="D58" i="145"/>
  <c r="C58" i="145"/>
  <c r="B58" i="145"/>
  <c r="M57" i="145"/>
  <c r="L57" i="145"/>
  <c r="K57" i="145"/>
  <c r="J57" i="145"/>
  <c r="I57" i="145"/>
  <c r="H57" i="145"/>
  <c r="G57" i="145"/>
  <c r="F57" i="145"/>
  <c r="E57" i="145"/>
  <c r="D57" i="145"/>
  <c r="C57" i="145"/>
  <c r="B57" i="145"/>
  <c r="M56" i="145"/>
  <c r="L56" i="145"/>
  <c r="K56" i="145"/>
  <c r="J56" i="145"/>
  <c r="I56" i="145"/>
  <c r="H56" i="145"/>
  <c r="G56" i="145"/>
  <c r="F56" i="145"/>
  <c r="E56" i="145"/>
  <c r="D56" i="145"/>
  <c r="C56" i="145"/>
  <c r="B56" i="145"/>
  <c r="M55" i="145"/>
  <c r="L55" i="145"/>
  <c r="K55" i="145"/>
  <c r="J55" i="145"/>
  <c r="I55" i="145"/>
  <c r="H55" i="145"/>
  <c r="G55" i="145"/>
  <c r="F55" i="145"/>
  <c r="E55" i="145"/>
  <c r="D55" i="145"/>
  <c r="C55" i="145"/>
  <c r="B55" i="145"/>
  <c r="M54" i="145"/>
  <c r="L54" i="145"/>
  <c r="K54" i="145"/>
  <c r="J54" i="145"/>
  <c r="I54" i="145"/>
  <c r="H54" i="145"/>
  <c r="G54" i="145"/>
  <c r="F54" i="145"/>
  <c r="E54" i="145"/>
  <c r="D54" i="145"/>
  <c r="C54" i="145"/>
  <c r="B54" i="145"/>
  <c r="M18" i="145"/>
  <c r="L18" i="145"/>
  <c r="K18" i="145"/>
  <c r="J18" i="145"/>
  <c r="I18" i="145"/>
  <c r="H18" i="145"/>
  <c r="G18" i="145"/>
  <c r="F18" i="145"/>
  <c r="E18" i="145"/>
  <c r="D18" i="145"/>
  <c r="C18" i="145"/>
  <c r="B18" i="145"/>
  <c r="M17" i="145"/>
  <c r="L17" i="145"/>
  <c r="K17" i="145"/>
  <c r="J17" i="145"/>
  <c r="I17" i="145"/>
  <c r="H17" i="145"/>
  <c r="G17" i="145"/>
  <c r="F17" i="145"/>
  <c r="E17" i="145"/>
  <c r="D17" i="145"/>
  <c r="C17" i="145"/>
  <c r="B17" i="145"/>
  <c r="M12" i="145"/>
  <c r="L12" i="145"/>
  <c r="K12" i="145"/>
  <c r="J12" i="145"/>
  <c r="I12" i="145"/>
  <c r="H12" i="145"/>
  <c r="G12" i="145"/>
  <c r="F12" i="145"/>
  <c r="E12" i="145"/>
  <c r="D12" i="145"/>
  <c r="C12" i="145"/>
  <c r="B12" i="145"/>
  <c r="M28" i="145"/>
  <c r="L28" i="145"/>
  <c r="K28" i="145"/>
  <c r="J28" i="145"/>
  <c r="I28" i="145"/>
  <c r="H28" i="145"/>
  <c r="G28" i="145"/>
  <c r="F28" i="145"/>
  <c r="E28" i="145"/>
  <c r="D28" i="145"/>
  <c r="C28" i="145"/>
  <c r="B28" i="145"/>
  <c r="N4" i="144"/>
  <c r="N5" i="144"/>
  <c r="N6" i="144"/>
  <c r="N7" i="144"/>
  <c r="N8" i="144"/>
  <c r="N9" i="144"/>
  <c r="N10" i="144"/>
  <c r="N11" i="144"/>
  <c r="N12" i="144"/>
  <c r="N13" i="144"/>
  <c r="N14" i="144"/>
  <c r="N15" i="144"/>
  <c r="N16" i="144"/>
  <c r="N17" i="144"/>
  <c r="N18" i="144"/>
  <c r="N19" i="144"/>
  <c r="N20" i="144"/>
  <c r="N21" i="144"/>
  <c r="N22" i="144"/>
  <c r="N23" i="144"/>
  <c r="N24" i="144"/>
  <c r="N25" i="144"/>
  <c r="N26" i="144"/>
  <c r="N27" i="144"/>
  <c r="N28" i="144"/>
  <c r="N29" i="144"/>
  <c r="N30" i="144"/>
  <c r="N31" i="144"/>
  <c r="N32" i="144"/>
  <c r="N33" i="144"/>
  <c r="N34" i="144"/>
  <c r="N35" i="144"/>
  <c r="N36" i="144"/>
  <c r="N37" i="144"/>
  <c r="N38" i="144"/>
  <c r="N39" i="144"/>
  <c r="N40" i="144"/>
  <c r="N41" i="144"/>
  <c r="N42" i="144"/>
  <c r="N43" i="144"/>
  <c r="N44" i="144"/>
  <c r="N45" i="144"/>
  <c r="N46" i="144"/>
  <c r="N47" i="144"/>
  <c r="N48" i="144"/>
  <c r="N49" i="144"/>
  <c r="N50" i="144"/>
  <c r="N51" i="144"/>
  <c r="N52" i="144"/>
  <c r="N53" i="144"/>
  <c r="N54" i="144"/>
  <c r="N55" i="144"/>
  <c r="N56" i="144"/>
  <c r="N57" i="144"/>
  <c r="N58" i="144"/>
  <c r="N59" i="144"/>
  <c r="N60" i="144"/>
  <c r="N61" i="144"/>
  <c r="N62" i="144"/>
  <c r="N63" i="144"/>
  <c r="N64" i="144"/>
  <c r="N65" i="144"/>
  <c r="N66" i="144"/>
  <c r="N67" i="144"/>
  <c r="N68" i="144"/>
  <c r="N69" i="144"/>
  <c r="N70" i="144"/>
  <c r="N71" i="144"/>
  <c r="N72" i="144"/>
  <c r="N73" i="144"/>
  <c r="N74" i="144"/>
  <c r="N75" i="144"/>
  <c r="N76" i="144"/>
  <c r="N77" i="144"/>
  <c r="N78" i="144"/>
  <c r="N79" i="144"/>
  <c r="N80" i="144"/>
  <c r="N81" i="144"/>
  <c r="N82" i="144"/>
  <c r="N83" i="144"/>
  <c r="N84" i="144"/>
  <c r="N85" i="144"/>
  <c r="N86" i="144"/>
  <c r="N87" i="144"/>
  <c r="N88" i="144"/>
  <c r="N89" i="144"/>
  <c r="N90" i="144"/>
  <c r="N91" i="144"/>
  <c r="N92" i="144"/>
  <c r="N93" i="144"/>
  <c r="N94" i="144"/>
  <c r="N95" i="144"/>
  <c r="N96" i="144"/>
  <c r="N97" i="144"/>
  <c r="N98" i="144"/>
  <c r="N99" i="144"/>
  <c r="N100" i="144"/>
  <c r="N101" i="144"/>
  <c r="N102" i="144"/>
  <c r="N103" i="144"/>
  <c r="N104" i="144"/>
  <c r="N105" i="144"/>
  <c r="N106" i="144"/>
  <c r="N107" i="144"/>
  <c r="N108" i="144"/>
  <c r="N109" i="144"/>
  <c r="N110" i="144"/>
  <c r="N111" i="144"/>
  <c r="N112" i="144"/>
  <c r="N113" i="144"/>
  <c r="N114" i="144"/>
  <c r="N115" i="144"/>
  <c r="N116" i="144"/>
  <c r="N117" i="144"/>
  <c r="N118" i="144"/>
  <c r="N119" i="144"/>
  <c r="N120" i="144"/>
  <c r="N121" i="144"/>
  <c r="N122" i="144"/>
  <c r="N123" i="144"/>
  <c r="N124" i="144"/>
  <c r="N125" i="144"/>
  <c r="N126" i="144"/>
  <c r="N127" i="144"/>
  <c r="N128" i="144"/>
  <c r="N129" i="144"/>
  <c r="N130" i="144"/>
  <c r="N131" i="144"/>
  <c r="N132" i="144"/>
  <c r="N133" i="144"/>
  <c r="N134" i="144"/>
  <c r="N135" i="144"/>
  <c r="N136" i="144"/>
  <c r="N137" i="144"/>
  <c r="N138" i="144"/>
  <c r="N139" i="144"/>
  <c r="N140" i="144"/>
  <c r="N141" i="144"/>
  <c r="N142" i="144"/>
  <c r="N143" i="144"/>
  <c r="N144" i="144"/>
  <c r="N145" i="144"/>
  <c r="N146" i="144"/>
  <c r="N147" i="144"/>
  <c r="N148" i="144"/>
  <c r="N149" i="144"/>
  <c r="N150" i="144"/>
  <c r="N151" i="144"/>
  <c r="N152" i="144"/>
  <c r="N153" i="144"/>
  <c r="N154" i="144"/>
  <c r="N155" i="144"/>
  <c r="N156" i="144"/>
  <c r="N157" i="144"/>
  <c r="N158" i="144"/>
  <c r="N159" i="144"/>
  <c r="N160" i="144"/>
  <c r="N161" i="144"/>
  <c r="N162" i="144"/>
  <c r="N163" i="144"/>
  <c r="N164" i="144"/>
  <c r="N3" i="144"/>
  <c r="M32" i="144"/>
  <c r="L32" i="144"/>
  <c r="K32" i="144"/>
  <c r="J32" i="144"/>
  <c r="I32" i="144"/>
  <c r="H32" i="144"/>
  <c r="G32" i="144"/>
  <c r="F32" i="144"/>
  <c r="E32" i="144"/>
  <c r="D32" i="144"/>
  <c r="C32" i="144"/>
  <c r="B32" i="144"/>
  <c r="M116" i="144"/>
  <c r="L116" i="144"/>
  <c r="K116" i="144"/>
  <c r="J116" i="144"/>
  <c r="I116" i="144"/>
  <c r="H116" i="144"/>
  <c r="G116" i="144"/>
  <c r="F116" i="144"/>
  <c r="E116" i="144"/>
  <c r="D116" i="144"/>
  <c r="C116" i="144"/>
  <c r="B116" i="144"/>
  <c r="M115" i="144"/>
  <c r="L115" i="144"/>
  <c r="K115" i="144"/>
  <c r="J115" i="144"/>
  <c r="I115" i="144"/>
  <c r="H115" i="144"/>
  <c r="G115" i="144"/>
  <c r="F115" i="144"/>
  <c r="E115" i="144"/>
  <c r="D115" i="144"/>
  <c r="C115" i="144"/>
  <c r="B115" i="144"/>
  <c r="M100" i="144"/>
  <c r="L100" i="144"/>
  <c r="K100" i="144"/>
  <c r="J100" i="144"/>
  <c r="I100" i="144"/>
  <c r="H100" i="144"/>
  <c r="G100" i="144"/>
  <c r="F100" i="144"/>
  <c r="E100" i="144"/>
  <c r="D100" i="144"/>
  <c r="C100" i="144"/>
  <c r="B100" i="144"/>
  <c r="M99" i="144"/>
  <c r="L99" i="144"/>
  <c r="K99" i="144"/>
  <c r="J99" i="144"/>
  <c r="I99" i="144"/>
  <c r="H99" i="144"/>
  <c r="G99" i="144"/>
  <c r="F99" i="144"/>
  <c r="E99" i="144"/>
  <c r="D99" i="144"/>
  <c r="C99" i="144"/>
  <c r="B99" i="144"/>
  <c r="M98" i="144"/>
  <c r="L98" i="144"/>
  <c r="K98" i="144"/>
  <c r="J98" i="144"/>
  <c r="I98" i="144"/>
  <c r="H98" i="144"/>
  <c r="G98" i="144"/>
  <c r="F98" i="144"/>
  <c r="E98" i="144"/>
  <c r="D98" i="144"/>
  <c r="C98" i="144"/>
  <c r="B98" i="144"/>
  <c r="M22" i="144"/>
  <c r="L22" i="144"/>
  <c r="K22" i="144"/>
  <c r="J22" i="144"/>
  <c r="I22" i="144"/>
  <c r="H22" i="144"/>
  <c r="G22" i="144"/>
  <c r="F22" i="144"/>
  <c r="E22" i="144"/>
  <c r="D22" i="144"/>
  <c r="C22" i="144"/>
  <c r="B22" i="144"/>
  <c r="M21" i="144"/>
  <c r="L21" i="144"/>
  <c r="K21" i="144"/>
  <c r="J21" i="144"/>
  <c r="I21" i="144"/>
  <c r="H21" i="144"/>
  <c r="G21" i="144"/>
  <c r="F21" i="144"/>
  <c r="E21" i="144"/>
  <c r="D21" i="144"/>
  <c r="C21" i="144"/>
  <c r="B21" i="144"/>
  <c r="M20" i="144"/>
  <c r="L20" i="144"/>
  <c r="K20" i="144"/>
  <c r="J20" i="144"/>
  <c r="I20" i="144"/>
  <c r="H20" i="144"/>
  <c r="G20" i="144"/>
  <c r="F20" i="144"/>
  <c r="E20" i="144"/>
  <c r="D20" i="144"/>
  <c r="C20" i="144"/>
  <c r="B20" i="144"/>
  <c r="M19" i="144"/>
  <c r="L19" i="144"/>
  <c r="K19" i="144"/>
  <c r="J19" i="144"/>
  <c r="I19" i="144"/>
  <c r="H19" i="144"/>
  <c r="G19" i="144"/>
  <c r="F19" i="144"/>
  <c r="E19" i="144"/>
  <c r="D19" i="144"/>
  <c r="C19" i="144"/>
  <c r="B19" i="144"/>
  <c r="M66" i="144"/>
  <c r="L66" i="144"/>
  <c r="K66" i="144"/>
  <c r="J66" i="144"/>
  <c r="I66" i="144"/>
  <c r="H66" i="144"/>
  <c r="G66" i="144"/>
  <c r="F66" i="144"/>
  <c r="E66" i="144"/>
  <c r="D66" i="144"/>
  <c r="C66" i="144"/>
  <c r="B66" i="144"/>
  <c r="M55" i="144"/>
  <c r="L55" i="144"/>
  <c r="K55" i="144"/>
  <c r="J55" i="144"/>
  <c r="I55" i="144"/>
  <c r="H55" i="144"/>
  <c r="G55" i="144"/>
  <c r="F55" i="144"/>
  <c r="E55" i="144"/>
  <c r="D55" i="144"/>
  <c r="C55" i="144"/>
  <c r="B55" i="144"/>
  <c r="M58" i="144"/>
  <c r="L58" i="144"/>
  <c r="K58" i="144"/>
  <c r="J58" i="144"/>
  <c r="I58" i="144"/>
  <c r="H58" i="144"/>
  <c r="G58" i="144"/>
  <c r="F58" i="144"/>
  <c r="E58" i="144"/>
  <c r="D58" i="144"/>
  <c r="C58" i="144"/>
  <c r="B58" i="144"/>
  <c r="M114" i="144"/>
  <c r="L114" i="144"/>
  <c r="K114" i="144"/>
  <c r="J114" i="144"/>
  <c r="I114" i="144"/>
  <c r="H114" i="144"/>
  <c r="G114" i="144"/>
  <c r="F114" i="144"/>
  <c r="E114" i="144"/>
  <c r="D114" i="144"/>
  <c r="C114" i="144"/>
  <c r="B114" i="144"/>
  <c r="M164" i="144"/>
  <c r="L164" i="144"/>
  <c r="K164" i="144"/>
  <c r="J164" i="144"/>
  <c r="I164" i="144"/>
  <c r="H164" i="144"/>
  <c r="G164" i="144"/>
  <c r="F164" i="144"/>
  <c r="E164" i="144"/>
  <c r="D164" i="144"/>
  <c r="C164" i="144"/>
  <c r="B164" i="144"/>
  <c r="M93" i="144"/>
  <c r="L93" i="144"/>
  <c r="K93" i="144"/>
  <c r="J93" i="144"/>
  <c r="I93" i="144"/>
  <c r="H93" i="144"/>
  <c r="G93" i="144"/>
  <c r="F93" i="144"/>
  <c r="E93" i="144"/>
  <c r="D93" i="144"/>
  <c r="C93" i="144"/>
  <c r="B93" i="144"/>
  <c r="M83" i="144"/>
  <c r="L83" i="144"/>
  <c r="K83" i="144"/>
  <c r="J83" i="144"/>
  <c r="I83" i="144"/>
  <c r="H83" i="144"/>
  <c r="G83" i="144"/>
  <c r="F83" i="144"/>
  <c r="E83" i="144"/>
  <c r="D83" i="144"/>
  <c r="C83" i="144"/>
  <c r="B83" i="144"/>
  <c r="M60" i="144"/>
  <c r="L60" i="144"/>
  <c r="K60" i="144"/>
  <c r="J60" i="144"/>
  <c r="I60" i="144"/>
  <c r="H60" i="144"/>
  <c r="G60" i="144"/>
  <c r="F60" i="144"/>
  <c r="E60" i="144"/>
  <c r="D60" i="144"/>
  <c r="C60" i="144"/>
  <c r="B60" i="144"/>
  <c r="M17" i="144"/>
  <c r="L17" i="144"/>
  <c r="K17" i="144"/>
  <c r="J17" i="144"/>
  <c r="I17" i="144"/>
  <c r="H17" i="144"/>
  <c r="G17" i="144"/>
  <c r="F17" i="144"/>
  <c r="E17" i="144"/>
  <c r="D17" i="144"/>
  <c r="C17" i="144"/>
  <c r="B17" i="144"/>
  <c r="M163" i="144"/>
  <c r="L163" i="144"/>
  <c r="K163" i="144"/>
  <c r="J163" i="144"/>
  <c r="I163" i="144"/>
  <c r="H163" i="144"/>
  <c r="G163" i="144"/>
  <c r="F163" i="144"/>
  <c r="E163" i="144"/>
  <c r="D163" i="144"/>
  <c r="C163" i="144"/>
  <c r="B163" i="144"/>
  <c r="M73" i="144"/>
  <c r="L73" i="144"/>
  <c r="K73" i="144"/>
  <c r="J73" i="144"/>
  <c r="I73" i="144"/>
  <c r="H73" i="144"/>
  <c r="G73" i="144"/>
  <c r="F73" i="144"/>
  <c r="E73" i="144"/>
  <c r="D73" i="144"/>
  <c r="C73" i="144"/>
  <c r="B73" i="144"/>
  <c r="M65" i="144"/>
  <c r="L65" i="144"/>
  <c r="K65" i="144"/>
  <c r="J65" i="144"/>
  <c r="I65" i="144"/>
  <c r="H65" i="144"/>
  <c r="G65" i="144"/>
  <c r="F65" i="144"/>
  <c r="E65" i="144"/>
  <c r="D65" i="144"/>
  <c r="C65" i="144"/>
  <c r="B65" i="144"/>
  <c r="M104" i="144"/>
  <c r="L104" i="144"/>
  <c r="K104" i="144"/>
  <c r="J104" i="144"/>
  <c r="I104" i="144"/>
  <c r="H104" i="144"/>
  <c r="G104" i="144"/>
  <c r="F104" i="144"/>
  <c r="E104" i="144"/>
  <c r="D104" i="144"/>
  <c r="C104" i="144"/>
  <c r="B104" i="144"/>
  <c r="M103" i="144"/>
  <c r="L103" i="144"/>
  <c r="K103" i="144"/>
  <c r="J103" i="144"/>
  <c r="I103" i="144"/>
  <c r="H103" i="144"/>
  <c r="G103" i="144"/>
  <c r="F103" i="144"/>
  <c r="E103" i="144"/>
  <c r="D103" i="144"/>
  <c r="C103" i="144"/>
  <c r="B103" i="144"/>
  <c r="M131" i="144"/>
  <c r="L131" i="144"/>
  <c r="K131" i="144"/>
  <c r="J131" i="144"/>
  <c r="I131" i="144"/>
  <c r="H131" i="144"/>
  <c r="G131" i="144"/>
  <c r="F131" i="144"/>
  <c r="E131" i="144"/>
  <c r="D131" i="144"/>
  <c r="C131" i="144"/>
  <c r="B131" i="144"/>
  <c r="M16" i="144"/>
  <c r="L16" i="144"/>
  <c r="K16" i="144"/>
  <c r="J16" i="144"/>
  <c r="I16" i="144"/>
  <c r="H16" i="144"/>
  <c r="G16" i="144"/>
  <c r="F16" i="144"/>
  <c r="E16" i="144"/>
  <c r="D16" i="144"/>
  <c r="C16" i="144"/>
  <c r="B16" i="144"/>
  <c r="M8" i="144"/>
  <c r="L8" i="144"/>
  <c r="K8" i="144"/>
  <c r="J8" i="144"/>
  <c r="I8" i="144"/>
  <c r="H8" i="144"/>
  <c r="G8" i="144"/>
  <c r="F8" i="144"/>
  <c r="E8" i="144"/>
  <c r="D8" i="144"/>
  <c r="C8" i="144"/>
  <c r="B8" i="144"/>
  <c r="M153" i="144"/>
  <c r="L153" i="144"/>
  <c r="K153" i="144"/>
  <c r="J153" i="144"/>
  <c r="I153" i="144"/>
  <c r="H153" i="144"/>
  <c r="G153" i="144"/>
  <c r="F153" i="144"/>
  <c r="E153" i="144"/>
  <c r="D153" i="144"/>
  <c r="C153" i="144"/>
  <c r="B153" i="144"/>
  <c r="M152" i="144"/>
  <c r="L152" i="144"/>
  <c r="K152" i="144"/>
  <c r="J152" i="144"/>
  <c r="I152" i="144"/>
  <c r="H152" i="144"/>
  <c r="G152" i="144"/>
  <c r="F152" i="144"/>
  <c r="E152" i="144"/>
  <c r="D152" i="144"/>
  <c r="C152" i="144"/>
  <c r="B152" i="144"/>
  <c r="M151" i="144"/>
  <c r="L151" i="144"/>
  <c r="K151" i="144"/>
  <c r="J151" i="144"/>
  <c r="I151" i="144"/>
  <c r="H151" i="144"/>
  <c r="G151" i="144"/>
  <c r="F151" i="144"/>
  <c r="E151" i="144"/>
  <c r="D151" i="144"/>
  <c r="C151" i="144"/>
  <c r="B151" i="144"/>
  <c r="M113" i="144"/>
  <c r="L113" i="144"/>
  <c r="K113" i="144"/>
  <c r="J113" i="144"/>
  <c r="I113" i="144"/>
  <c r="H113" i="144"/>
  <c r="G113" i="144"/>
  <c r="F113" i="144"/>
  <c r="E113" i="144"/>
  <c r="D113" i="144"/>
  <c r="C113" i="144"/>
  <c r="B113" i="144"/>
  <c r="M112" i="144"/>
  <c r="L112" i="144"/>
  <c r="K112" i="144"/>
  <c r="J112" i="144"/>
  <c r="I112" i="144"/>
  <c r="H112" i="144"/>
  <c r="G112" i="144"/>
  <c r="F112" i="144"/>
  <c r="E112" i="144"/>
  <c r="D112" i="144"/>
  <c r="C112" i="144"/>
  <c r="B112" i="144"/>
  <c r="M150" i="144"/>
  <c r="L150" i="144"/>
  <c r="K150" i="144"/>
  <c r="J150" i="144"/>
  <c r="I150" i="144"/>
  <c r="H150" i="144"/>
  <c r="G150" i="144"/>
  <c r="F150" i="144"/>
  <c r="E150" i="144"/>
  <c r="D150" i="144"/>
  <c r="C150" i="144"/>
  <c r="B150" i="144"/>
  <c r="M97" i="144"/>
  <c r="L97" i="144"/>
  <c r="K97" i="144"/>
  <c r="J97" i="144"/>
  <c r="I97" i="144"/>
  <c r="H97" i="144"/>
  <c r="G97" i="144"/>
  <c r="F97" i="144"/>
  <c r="E97" i="144"/>
  <c r="D97" i="144"/>
  <c r="C97" i="144"/>
  <c r="B97" i="144"/>
  <c r="M28" i="144"/>
  <c r="L28" i="144"/>
  <c r="K28" i="144"/>
  <c r="J28" i="144"/>
  <c r="I28" i="144"/>
  <c r="H28" i="144"/>
  <c r="G28" i="144"/>
  <c r="F28" i="144"/>
  <c r="E28" i="144"/>
  <c r="D28" i="144"/>
  <c r="C28" i="144"/>
  <c r="B28" i="144"/>
  <c r="M130" i="144"/>
  <c r="L130" i="144"/>
  <c r="K130" i="144"/>
  <c r="J130" i="144"/>
  <c r="I130" i="144"/>
  <c r="H130" i="144"/>
  <c r="G130" i="144"/>
  <c r="F130" i="144"/>
  <c r="E130" i="144"/>
  <c r="D130" i="144"/>
  <c r="C130" i="144"/>
  <c r="B130" i="144"/>
  <c r="M7" i="144"/>
  <c r="L7" i="144"/>
  <c r="K7" i="144"/>
  <c r="J7" i="144"/>
  <c r="I7" i="144"/>
  <c r="H7" i="144"/>
  <c r="G7" i="144"/>
  <c r="F7" i="144"/>
  <c r="E7" i="144"/>
  <c r="D7" i="144"/>
  <c r="C7" i="144"/>
  <c r="B7" i="144"/>
  <c r="M6" i="144"/>
  <c r="L6" i="144"/>
  <c r="K6" i="144"/>
  <c r="J6" i="144"/>
  <c r="I6" i="144"/>
  <c r="H6" i="144"/>
  <c r="G6" i="144"/>
  <c r="F6" i="144"/>
  <c r="E6" i="144"/>
  <c r="D6" i="144"/>
  <c r="C6" i="144"/>
  <c r="B6" i="144"/>
  <c r="M5" i="144"/>
  <c r="L5" i="144"/>
  <c r="K5" i="144"/>
  <c r="J5" i="144"/>
  <c r="I5" i="144"/>
  <c r="H5" i="144"/>
  <c r="G5" i="144"/>
  <c r="F5" i="144"/>
  <c r="E5" i="144"/>
  <c r="D5" i="144"/>
  <c r="C5" i="144"/>
  <c r="B5" i="144"/>
  <c r="M4" i="144"/>
  <c r="L4" i="144"/>
  <c r="K4" i="144"/>
  <c r="J4" i="144"/>
  <c r="I4" i="144"/>
  <c r="H4" i="144"/>
  <c r="G4" i="144"/>
  <c r="F4" i="144"/>
  <c r="E4" i="144"/>
  <c r="D4" i="144"/>
  <c r="C4" i="144"/>
  <c r="B4" i="144"/>
  <c r="M3" i="144"/>
  <c r="L3" i="144"/>
  <c r="K3" i="144"/>
  <c r="J3" i="144"/>
  <c r="I3" i="144"/>
  <c r="H3" i="144"/>
  <c r="G3" i="144"/>
  <c r="F3" i="144"/>
  <c r="E3" i="144"/>
  <c r="D3" i="144"/>
  <c r="C3" i="144"/>
  <c r="B3" i="144"/>
  <c r="M2" i="144"/>
  <c r="L2" i="144"/>
  <c r="K2" i="144"/>
  <c r="J2" i="144"/>
  <c r="I2" i="144"/>
  <c r="H2" i="144"/>
  <c r="G2" i="144"/>
  <c r="F2" i="144"/>
  <c r="E2" i="144"/>
  <c r="D2" i="144"/>
  <c r="C2" i="144"/>
  <c r="B2" i="144"/>
  <c r="M24" i="144"/>
  <c r="L24" i="144"/>
  <c r="K24" i="144"/>
  <c r="J24" i="144"/>
  <c r="I24" i="144"/>
  <c r="H24" i="144"/>
  <c r="G24" i="144"/>
  <c r="F24" i="144"/>
  <c r="E24" i="144"/>
  <c r="D24" i="144"/>
  <c r="C24" i="144"/>
  <c r="B24" i="144"/>
  <c r="M45" i="144"/>
  <c r="L45" i="144"/>
  <c r="K45" i="144"/>
  <c r="J45" i="144"/>
  <c r="I45" i="144"/>
  <c r="H45" i="144"/>
  <c r="G45" i="144"/>
  <c r="F45" i="144"/>
  <c r="E45" i="144"/>
  <c r="D45" i="144"/>
  <c r="C45" i="144"/>
  <c r="B45" i="144"/>
  <c r="M111" i="144"/>
  <c r="L111" i="144"/>
  <c r="K111" i="144"/>
  <c r="J111" i="144"/>
  <c r="I111" i="144"/>
  <c r="H111" i="144"/>
  <c r="G111" i="144"/>
  <c r="F111" i="144"/>
  <c r="E111" i="144"/>
  <c r="D111" i="144"/>
  <c r="C111" i="144"/>
  <c r="B111" i="144"/>
  <c r="M44" i="144"/>
  <c r="L44" i="144"/>
  <c r="K44" i="144"/>
  <c r="J44" i="144"/>
  <c r="I44" i="144"/>
  <c r="H44" i="144"/>
  <c r="G44" i="144"/>
  <c r="F44" i="144"/>
  <c r="E44" i="144"/>
  <c r="D44" i="144"/>
  <c r="C44" i="144"/>
  <c r="B44" i="144"/>
  <c r="M82" i="144"/>
  <c r="L82" i="144"/>
  <c r="K82" i="144"/>
  <c r="J82" i="144"/>
  <c r="I82" i="144"/>
  <c r="H82" i="144"/>
  <c r="G82" i="144"/>
  <c r="F82" i="144"/>
  <c r="E82" i="144"/>
  <c r="D82" i="144"/>
  <c r="C82" i="144"/>
  <c r="B82" i="144"/>
  <c r="M43" i="144"/>
  <c r="L43" i="144"/>
  <c r="K43" i="144"/>
  <c r="J43" i="144"/>
  <c r="I43" i="144"/>
  <c r="H43" i="144"/>
  <c r="G43" i="144"/>
  <c r="F43" i="144"/>
  <c r="E43" i="144"/>
  <c r="D43" i="144"/>
  <c r="C43" i="144"/>
  <c r="B43" i="144"/>
  <c r="M102" i="144"/>
  <c r="L102" i="144"/>
  <c r="K102" i="144"/>
  <c r="J102" i="144"/>
  <c r="I102" i="144"/>
  <c r="H102" i="144"/>
  <c r="G102" i="144"/>
  <c r="F102" i="144"/>
  <c r="E102" i="144"/>
  <c r="D102" i="144"/>
  <c r="C102" i="144"/>
  <c r="B102" i="144"/>
  <c r="M50" i="144"/>
  <c r="L50" i="144"/>
  <c r="K50" i="144"/>
  <c r="J50" i="144"/>
  <c r="I50" i="144"/>
  <c r="H50" i="144"/>
  <c r="G50" i="144"/>
  <c r="F50" i="144"/>
  <c r="E50" i="144"/>
  <c r="D50" i="144"/>
  <c r="C50" i="144"/>
  <c r="B50" i="144"/>
  <c r="M92" i="144"/>
  <c r="L92" i="144"/>
  <c r="K92" i="144"/>
  <c r="J92" i="144"/>
  <c r="I92" i="144"/>
  <c r="H92" i="144"/>
  <c r="G92" i="144"/>
  <c r="F92" i="144"/>
  <c r="E92" i="144"/>
  <c r="D92" i="144"/>
  <c r="C92" i="144"/>
  <c r="B92" i="144"/>
  <c r="M81" i="144"/>
  <c r="L81" i="144"/>
  <c r="K81" i="144"/>
  <c r="J81" i="144"/>
  <c r="I81" i="144"/>
  <c r="H81" i="144"/>
  <c r="G81" i="144"/>
  <c r="F81" i="144"/>
  <c r="E81" i="144"/>
  <c r="D81" i="144"/>
  <c r="C81" i="144"/>
  <c r="B81" i="144"/>
  <c r="M80" i="144"/>
  <c r="L80" i="144"/>
  <c r="K80" i="144"/>
  <c r="J80" i="144"/>
  <c r="I80" i="144"/>
  <c r="H80" i="144"/>
  <c r="G80" i="144"/>
  <c r="F80" i="144"/>
  <c r="E80" i="144"/>
  <c r="D80" i="144"/>
  <c r="C80" i="144"/>
  <c r="B80" i="144"/>
  <c r="M31" i="144"/>
  <c r="L31" i="144"/>
  <c r="K31" i="144"/>
  <c r="J31" i="144"/>
  <c r="I31" i="144"/>
  <c r="H31" i="144"/>
  <c r="G31" i="144"/>
  <c r="F31" i="144"/>
  <c r="E31" i="144"/>
  <c r="D31" i="144"/>
  <c r="C31" i="144"/>
  <c r="B31" i="144"/>
  <c r="M79" i="144"/>
  <c r="L79" i="144"/>
  <c r="K79" i="144"/>
  <c r="J79" i="144"/>
  <c r="I79" i="144"/>
  <c r="H79" i="144"/>
  <c r="G79" i="144"/>
  <c r="F79" i="144"/>
  <c r="E79" i="144"/>
  <c r="D79" i="144"/>
  <c r="C79" i="144"/>
  <c r="B79" i="144"/>
  <c r="M30" i="144"/>
  <c r="L30" i="144"/>
  <c r="K30" i="144"/>
  <c r="J30" i="144"/>
  <c r="I30" i="144"/>
  <c r="H30" i="144"/>
  <c r="G30" i="144"/>
  <c r="F30" i="144"/>
  <c r="E30" i="144"/>
  <c r="D30" i="144"/>
  <c r="C30" i="144"/>
  <c r="B30" i="144"/>
  <c r="M101" i="144"/>
  <c r="L101" i="144"/>
  <c r="K101" i="144"/>
  <c r="J101" i="144"/>
  <c r="I101" i="144"/>
  <c r="H101" i="144"/>
  <c r="G101" i="144"/>
  <c r="F101" i="144"/>
  <c r="E101" i="144"/>
  <c r="D101" i="144"/>
  <c r="C101" i="144"/>
  <c r="B101" i="144"/>
  <c r="M96" i="144"/>
  <c r="L96" i="144"/>
  <c r="K96" i="144"/>
  <c r="J96" i="144"/>
  <c r="I96" i="144"/>
  <c r="H96" i="144"/>
  <c r="G96" i="144"/>
  <c r="F96" i="144"/>
  <c r="E96" i="144"/>
  <c r="D96" i="144"/>
  <c r="C96" i="144"/>
  <c r="B96" i="144"/>
  <c r="M162" i="144"/>
  <c r="L162" i="144"/>
  <c r="K162" i="144"/>
  <c r="J162" i="144"/>
  <c r="I162" i="144"/>
  <c r="H162" i="144"/>
  <c r="G162" i="144"/>
  <c r="F162" i="144"/>
  <c r="E162" i="144"/>
  <c r="D162" i="144"/>
  <c r="C162" i="144"/>
  <c r="B162" i="144"/>
  <c r="M149" i="144"/>
  <c r="L149" i="144"/>
  <c r="K149" i="144"/>
  <c r="J149" i="144"/>
  <c r="I149" i="144"/>
  <c r="H149" i="144"/>
  <c r="G149" i="144"/>
  <c r="F149" i="144"/>
  <c r="E149" i="144"/>
  <c r="D149" i="144"/>
  <c r="C149" i="144"/>
  <c r="B149" i="144"/>
  <c r="M148" i="144"/>
  <c r="L148" i="144"/>
  <c r="K148" i="144"/>
  <c r="J148" i="144"/>
  <c r="I148" i="144"/>
  <c r="H148" i="144"/>
  <c r="G148" i="144"/>
  <c r="F148" i="144"/>
  <c r="E148" i="144"/>
  <c r="D148" i="144"/>
  <c r="C148" i="144"/>
  <c r="B148" i="144"/>
  <c r="M147" i="144"/>
  <c r="L147" i="144"/>
  <c r="K147" i="144"/>
  <c r="J147" i="144"/>
  <c r="I147" i="144"/>
  <c r="H147" i="144"/>
  <c r="G147" i="144"/>
  <c r="F147" i="144"/>
  <c r="E147" i="144"/>
  <c r="D147" i="144"/>
  <c r="C147" i="144"/>
  <c r="B147" i="144"/>
  <c r="M146" i="144"/>
  <c r="L146" i="144"/>
  <c r="K146" i="144"/>
  <c r="J146" i="144"/>
  <c r="I146" i="144"/>
  <c r="H146" i="144"/>
  <c r="G146" i="144"/>
  <c r="F146" i="144"/>
  <c r="E146" i="144"/>
  <c r="D146" i="144"/>
  <c r="C146" i="144"/>
  <c r="B146" i="144"/>
  <c r="M145" i="144"/>
  <c r="L145" i="144"/>
  <c r="K145" i="144"/>
  <c r="J145" i="144"/>
  <c r="I145" i="144"/>
  <c r="H145" i="144"/>
  <c r="G145" i="144"/>
  <c r="F145" i="144"/>
  <c r="E145" i="144"/>
  <c r="D145" i="144"/>
  <c r="C145" i="144"/>
  <c r="B145" i="144"/>
  <c r="M144" i="144"/>
  <c r="L144" i="144"/>
  <c r="K144" i="144"/>
  <c r="J144" i="144"/>
  <c r="I144" i="144"/>
  <c r="H144" i="144"/>
  <c r="G144" i="144"/>
  <c r="F144" i="144"/>
  <c r="E144" i="144"/>
  <c r="D144" i="144"/>
  <c r="C144" i="144"/>
  <c r="B144" i="144"/>
  <c r="M110" i="144"/>
  <c r="L110" i="144"/>
  <c r="K110" i="144"/>
  <c r="J110" i="144"/>
  <c r="I110" i="144"/>
  <c r="H110" i="144"/>
  <c r="G110" i="144"/>
  <c r="F110" i="144"/>
  <c r="E110" i="144"/>
  <c r="D110" i="144"/>
  <c r="C110" i="144"/>
  <c r="B110" i="144"/>
  <c r="M107" i="144"/>
  <c r="L107" i="144"/>
  <c r="K107" i="144"/>
  <c r="J107" i="144"/>
  <c r="I107" i="144"/>
  <c r="H107" i="144"/>
  <c r="G107" i="144"/>
  <c r="F107" i="144"/>
  <c r="E107" i="144"/>
  <c r="D107" i="144"/>
  <c r="C107" i="144"/>
  <c r="B107" i="144"/>
  <c r="M129" i="144"/>
  <c r="L129" i="144"/>
  <c r="K129" i="144"/>
  <c r="J129" i="144"/>
  <c r="I129" i="144"/>
  <c r="H129" i="144"/>
  <c r="G129" i="144"/>
  <c r="F129" i="144"/>
  <c r="E129" i="144"/>
  <c r="D129" i="144"/>
  <c r="C129" i="144"/>
  <c r="B129" i="144"/>
  <c r="M128" i="144"/>
  <c r="L128" i="144"/>
  <c r="K128" i="144"/>
  <c r="J128" i="144"/>
  <c r="I128" i="144"/>
  <c r="H128" i="144"/>
  <c r="G128" i="144"/>
  <c r="F128" i="144"/>
  <c r="E128" i="144"/>
  <c r="D128" i="144"/>
  <c r="C128" i="144"/>
  <c r="B128" i="144"/>
  <c r="M127" i="144"/>
  <c r="L127" i="144"/>
  <c r="K127" i="144"/>
  <c r="J127" i="144"/>
  <c r="I127" i="144"/>
  <c r="H127" i="144"/>
  <c r="G127" i="144"/>
  <c r="F127" i="144"/>
  <c r="E127" i="144"/>
  <c r="D127" i="144"/>
  <c r="C127" i="144"/>
  <c r="B127" i="144"/>
  <c r="M126" i="144"/>
  <c r="L126" i="144"/>
  <c r="K126" i="144"/>
  <c r="J126" i="144"/>
  <c r="I126" i="144"/>
  <c r="H126" i="144"/>
  <c r="G126" i="144"/>
  <c r="F126" i="144"/>
  <c r="E126" i="144"/>
  <c r="D126" i="144"/>
  <c r="C126" i="144"/>
  <c r="B126" i="144"/>
  <c r="M42" i="144"/>
  <c r="L42" i="144"/>
  <c r="K42" i="144"/>
  <c r="J42" i="144"/>
  <c r="I42" i="144"/>
  <c r="H42" i="144"/>
  <c r="G42" i="144"/>
  <c r="F42" i="144"/>
  <c r="E42" i="144"/>
  <c r="D42" i="144"/>
  <c r="C42" i="144"/>
  <c r="B42" i="144"/>
  <c r="M41" i="144"/>
  <c r="L41" i="144"/>
  <c r="K41" i="144"/>
  <c r="J41" i="144"/>
  <c r="I41" i="144"/>
  <c r="H41" i="144"/>
  <c r="G41" i="144"/>
  <c r="F41" i="144"/>
  <c r="E41" i="144"/>
  <c r="D41" i="144"/>
  <c r="C41" i="144"/>
  <c r="B41" i="144"/>
  <c r="M15" i="144"/>
  <c r="L15" i="144"/>
  <c r="K15" i="144"/>
  <c r="J15" i="144"/>
  <c r="I15" i="144"/>
  <c r="H15" i="144"/>
  <c r="G15" i="144"/>
  <c r="F15" i="144"/>
  <c r="E15" i="144"/>
  <c r="D15" i="144"/>
  <c r="C15" i="144"/>
  <c r="B15" i="144"/>
  <c r="M125" i="144"/>
  <c r="L125" i="144"/>
  <c r="K125" i="144"/>
  <c r="J125" i="144"/>
  <c r="I125" i="144"/>
  <c r="H125" i="144"/>
  <c r="G125" i="144"/>
  <c r="F125" i="144"/>
  <c r="E125" i="144"/>
  <c r="D125" i="144"/>
  <c r="C125" i="144"/>
  <c r="B125" i="144"/>
  <c r="M161" i="144"/>
  <c r="L161" i="144"/>
  <c r="K161" i="144"/>
  <c r="J161" i="144"/>
  <c r="I161" i="144"/>
  <c r="H161" i="144"/>
  <c r="G161" i="144"/>
  <c r="F161" i="144"/>
  <c r="E161" i="144"/>
  <c r="D161" i="144"/>
  <c r="C161" i="144"/>
  <c r="B161" i="144"/>
  <c r="M109" i="144"/>
  <c r="L109" i="144"/>
  <c r="K109" i="144"/>
  <c r="J109" i="144"/>
  <c r="I109" i="144"/>
  <c r="H109" i="144"/>
  <c r="G109" i="144"/>
  <c r="F109" i="144"/>
  <c r="E109" i="144"/>
  <c r="D109" i="144"/>
  <c r="C109" i="144"/>
  <c r="B109" i="144"/>
  <c r="M59" i="144"/>
  <c r="L59" i="144"/>
  <c r="K59" i="144"/>
  <c r="J59" i="144"/>
  <c r="I59" i="144"/>
  <c r="H59" i="144"/>
  <c r="G59" i="144"/>
  <c r="F59" i="144"/>
  <c r="E59" i="144"/>
  <c r="D59" i="144"/>
  <c r="C59" i="144"/>
  <c r="B59" i="144"/>
  <c r="M23" i="144"/>
  <c r="L23" i="144"/>
  <c r="K23" i="144"/>
  <c r="J23" i="144"/>
  <c r="I23" i="144"/>
  <c r="H23" i="144"/>
  <c r="G23" i="144"/>
  <c r="F23" i="144"/>
  <c r="E23" i="144"/>
  <c r="D23" i="144"/>
  <c r="C23" i="144"/>
  <c r="B23" i="144"/>
  <c r="M78" i="144"/>
  <c r="L78" i="144"/>
  <c r="K78" i="144"/>
  <c r="J78" i="144"/>
  <c r="I78" i="144"/>
  <c r="H78" i="144"/>
  <c r="G78" i="144"/>
  <c r="F78" i="144"/>
  <c r="E78" i="144"/>
  <c r="D78" i="144"/>
  <c r="C78" i="144"/>
  <c r="B78" i="144"/>
  <c r="M77" i="144"/>
  <c r="L77" i="144"/>
  <c r="K77" i="144"/>
  <c r="J77" i="144"/>
  <c r="I77" i="144"/>
  <c r="H77" i="144"/>
  <c r="G77" i="144"/>
  <c r="F77" i="144"/>
  <c r="E77" i="144"/>
  <c r="D77" i="144"/>
  <c r="C77" i="144"/>
  <c r="B77" i="144"/>
  <c r="M91" i="144"/>
  <c r="L91" i="144"/>
  <c r="K91" i="144"/>
  <c r="J91" i="144"/>
  <c r="I91" i="144"/>
  <c r="H91" i="144"/>
  <c r="G91" i="144"/>
  <c r="F91" i="144"/>
  <c r="E91" i="144"/>
  <c r="D91" i="144"/>
  <c r="C91" i="144"/>
  <c r="B91" i="144"/>
  <c r="M40" i="144"/>
  <c r="L40" i="144"/>
  <c r="K40" i="144"/>
  <c r="J40" i="144"/>
  <c r="I40" i="144"/>
  <c r="H40" i="144"/>
  <c r="G40" i="144"/>
  <c r="F40" i="144"/>
  <c r="E40" i="144"/>
  <c r="D40" i="144"/>
  <c r="C40" i="144"/>
  <c r="B40" i="144"/>
  <c r="M90" i="144"/>
  <c r="L90" i="144"/>
  <c r="K90" i="144"/>
  <c r="J90" i="144"/>
  <c r="I90" i="144"/>
  <c r="H90" i="144"/>
  <c r="G90" i="144"/>
  <c r="F90" i="144"/>
  <c r="E90" i="144"/>
  <c r="D90" i="144"/>
  <c r="C90" i="144"/>
  <c r="B90" i="144"/>
  <c r="M39" i="144"/>
  <c r="L39" i="144"/>
  <c r="K39" i="144"/>
  <c r="J39" i="144"/>
  <c r="I39" i="144"/>
  <c r="H39" i="144"/>
  <c r="G39" i="144"/>
  <c r="F39" i="144"/>
  <c r="E39" i="144"/>
  <c r="D39" i="144"/>
  <c r="C39" i="144"/>
  <c r="B39" i="144"/>
  <c r="M76" i="144"/>
  <c r="L76" i="144"/>
  <c r="K76" i="144"/>
  <c r="J76" i="144"/>
  <c r="I76" i="144"/>
  <c r="H76" i="144"/>
  <c r="G76" i="144"/>
  <c r="F76" i="144"/>
  <c r="E76" i="144"/>
  <c r="D76" i="144"/>
  <c r="C76" i="144"/>
  <c r="B76" i="144"/>
  <c r="M57" i="144"/>
  <c r="L57" i="144"/>
  <c r="K57" i="144"/>
  <c r="J57" i="144"/>
  <c r="I57" i="144"/>
  <c r="H57" i="144"/>
  <c r="G57" i="144"/>
  <c r="F57" i="144"/>
  <c r="E57" i="144"/>
  <c r="D57" i="144"/>
  <c r="C57" i="144"/>
  <c r="B57" i="144"/>
  <c r="M14" i="144"/>
  <c r="L14" i="144"/>
  <c r="K14" i="144"/>
  <c r="J14" i="144"/>
  <c r="I14" i="144"/>
  <c r="H14" i="144"/>
  <c r="G14" i="144"/>
  <c r="F14" i="144"/>
  <c r="E14" i="144"/>
  <c r="D14" i="144"/>
  <c r="C14" i="144"/>
  <c r="B14" i="144"/>
  <c r="M143" i="144"/>
  <c r="L143" i="144"/>
  <c r="K143" i="144"/>
  <c r="J143" i="144"/>
  <c r="I143" i="144"/>
  <c r="H143" i="144"/>
  <c r="G143" i="144"/>
  <c r="F143" i="144"/>
  <c r="E143" i="144"/>
  <c r="D143" i="144"/>
  <c r="C143" i="144"/>
  <c r="B143" i="144"/>
  <c r="M142" i="144"/>
  <c r="L142" i="144"/>
  <c r="K142" i="144"/>
  <c r="J142" i="144"/>
  <c r="I142" i="144"/>
  <c r="H142" i="144"/>
  <c r="G142" i="144"/>
  <c r="F142" i="144"/>
  <c r="E142" i="144"/>
  <c r="D142" i="144"/>
  <c r="C142" i="144"/>
  <c r="B142" i="144"/>
  <c r="M141" i="144"/>
  <c r="L141" i="144"/>
  <c r="K141" i="144"/>
  <c r="J141" i="144"/>
  <c r="I141" i="144"/>
  <c r="H141" i="144"/>
  <c r="G141" i="144"/>
  <c r="F141" i="144"/>
  <c r="E141" i="144"/>
  <c r="D141" i="144"/>
  <c r="C141" i="144"/>
  <c r="B141" i="144"/>
  <c r="M140" i="144"/>
  <c r="L140" i="144"/>
  <c r="K140" i="144"/>
  <c r="J140" i="144"/>
  <c r="I140" i="144"/>
  <c r="H140" i="144"/>
  <c r="G140" i="144"/>
  <c r="F140" i="144"/>
  <c r="E140" i="144"/>
  <c r="D140" i="144"/>
  <c r="C140" i="144"/>
  <c r="B140" i="144"/>
  <c r="M139" i="144"/>
  <c r="L139" i="144"/>
  <c r="K139" i="144"/>
  <c r="J139" i="144"/>
  <c r="I139" i="144"/>
  <c r="H139" i="144"/>
  <c r="G139" i="144"/>
  <c r="F139" i="144"/>
  <c r="E139" i="144"/>
  <c r="D139" i="144"/>
  <c r="C139" i="144"/>
  <c r="B139" i="144"/>
  <c r="M108" i="144"/>
  <c r="L108" i="144"/>
  <c r="K108" i="144"/>
  <c r="J108" i="144"/>
  <c r="I108" i="144"/>
  <c r="H108" i="144"/>
  <c r="G108" i="144"/>
  <c r="F108" i="144"/>
  <c r="E108" i="144"/>
  <c r="D108" i="144"/>
  <c r="C108" i="144"/>
  <c r="B108" i="144"/>
  <c r="M89" i="144"/>
  <c r="L89" i="144"/>
  <c r="K89" i="144"/>
  <c r="J89" i="144"/>
  <c r="I89" i="144"/>
  <c r="H89" i="144"/>
  <c r="G89" i="144"/>
  <c r="F89" i="144"/>
  <c r="E89" i="144"/>
  <c r="D89" i="144"/>
  <c r="C89" i="144"/>
  <c r="B89" i="144"/>
  <c r="M38" i="144"/>
  <c r="L38" i="144"/>
  <c r="K38" i="144"/>
  <c r="J38" i="144"/>
  <c r="I38" i="144"/>
  <c r="H38" i="144"/>
  <c r="G38" i="144"/>
  <c r="F38" i="144"/>
  <c r="E38" i="144"/>
  <c r="D38" i="144"/>
  <c r="C38" i="144"/>
  <c r="B38" i="144"/>
  <c r="M27" i="144"/>
  <c r="L27" i="144"/>
  <c r="K27" i="144"/>
  <c r="J27" i="144"/>
  <c r="I27" i="144"/>
  <c r="H27" i="144"/>
  <c r="G27" i="144"/>
  <c r="F27" i="144"/>
  <c r="E27" i="144"/>
  <c r="D27" i="144"/>
  <c r="C27" i="144"/>
  <c r="B27" i="144"/>
  <c r="M88" i="144"/>
  <c r="L88" i="144"/>
  <c r="K88" i="144"/>
  <c r="J88" i="144"/>
  <c r="I88" i="144"/>
  <c r="H88" i="144"/>
  <c r="G88" i="144"/>
  <c r="F88" i="144"/>
  <c r="E88" i="144"/>
  <c r="D88" i="144"/>
  <c r="C88" i="144"/>
  <c r="B88" i="144"/>
  <c r="M75" i="144"/>
  <c r="L75" i="144"/>
  <c r="K75" i="144"/>
  <c r="J75" i="144"/>
  <c r="I75" i="144"/>
  <c r="H75" i="144"/>
  <c r="G75" i="144"/>
  <c r="F75" i="144"/>
  <c r="E75" i="144"/>
  <c r="D75" i="144"/>
  <c r="C75" i="144"/>
  <c r="B75" i="144"/>
  <c r="M37" i="144"/>
  <c r="L37" i="144"/>
  <c r="K37" i="144"/>
  <c r="J37" i="144"/>
  <c r="I37" i="144"/>
  <c r="H37" i="144"/>
  <c r="G37" i="144"/>
  <c r="F37" i="144"/>
  <c r="E37" i="144"/>
  <c r="D37" i="144"/>
  <c r="C37" i="144"/>
  <c r="B37" i="144"/>
  <c r="M87" i="144"/>
  <c r="L87" i="144"/>
  <c r="K87" i="144"/>
  <c r="J87" i="144"/>
  <c r="I87" i="144"/>
  <c r="H87" i="144"/>
  <c r="G87" i="144"/>
  <c r="F87" i="144"/>
  <c r="E87" i="144"/>
  <c r="D87" i="144"/>
  <c r="C87" i="144"/>
  <c r="B87" i="144"/>
  <c r="M157" i="144"/>
  <c r="L157" i="144"/>
  <c r="K157" i="144"/>
  <c r="J157" i="144"/>
  <c r="I157" i="144"/>
  <c r="H157" i="144"/>
  <c r="G157" i="144"/>
  <c r="F157" i="144"/>
  <c r="E157" i="144"/>
  <c r="D157" i="144"/>
  <c r="C157" i="144"/>
  <c r="B157" i="144"/>
  <c r="M160" i="144"/>
  <c r="L160" i="144"/>
  <c r="K160" i="144"/>
  <c r="J160" i="144"/>
  <c r="I160" i="144"/>
  <c r="H160" i="144"/>
  <c r="G160" i="144"/>
  <c r="F160" i="144"/>
  <c r="E160" i="144"/>
  <c r="D160" i="144"/>
  <c r="C160" i="144"/>
  <c r="B160" i="144"/>
  <c r="M35" i="144"/>
  <c r="L35" i="144"/>
  <c r="K35" i="144"/>
  <c r="J35" i="144"/>
  <c r="I35" i="144"/>
  <c r="H35" i="144"/>
  <c r="G35" i="144"/>
  <c r="F35" i="144"/>
  <c r="E35" i="144"/>
  <c r="D35" i="144"/>
  <c r="C35" i="144"/>
  <c r="B35" i="144"/>
  <c r="M124" i="144"/>
  <c r="L124" i="144"/>
  <c r="K124" i="144"/>
  <c r="J124" i="144"/>
  <c r="I124" i="144"/>
  <c r="H124" i="144"/>
  <c r="G124" i="144"/>
  <c r="F124" i="144"/>
  <c r="E124" i="144"/>
  <c r="D124" i="144"/>
  <c r="C124" i="144"/>
  <c r="B124" i="144"/>
  <c r="M49" i="144"/>
  <c r="L49" i="144"/>
  <c r="K49" i="144"/>
  <c r="J49" i="144"/>
  <c r="I49" i="144"/>
  <c r="H49" i="144"/>
  <c r="G49" i="144"/>
  <c r="F49" i="144"/>
  <c r="E49" i="144"/>
  <c r="D49" i="144"/>
  <c r="C49" i="144"/>
  <c r="B49" i="144"/>
  <c r="M48" i="144"/>
  <c r="L48" i="144"/>
  <c r="K48" i="144"/>
  <c r="J48" i="144"/>
  <c r="I48" i="144"/>
  <c r="H48" i="144"/>
  <c r="G48" i="144"/>
  <c r="F48" i="144"/>
  <c r="E48" i="144"/>
  <c r="D48" i="144"/>
  <c r="C48" i="144"/>
  <c r="B48" i="144"/>
  <c r="M159" i="144"/>
  <c r="L159" i="144"/>
  <c r="K159" i="144"/>
  <c r="J159" i="144"/>
  <c r="I159" i="144"/>
  <c r="H159" i="144"/>
  <c r="G159" i="144"/>
  <c r="F159" i="144"/>
  <c r="E159" i="144"/>
  <c r="D159" i="144"/>
  <c r="C159" i="144"/>
  <c r="B159" i="144"/>
  <c r="M156" i="144"/>
  <c r="L156" i="144"/>
  <c r="K156" i="144"/>
  <c r="J156" i="144"/>
  <c r="I156" i="144"/>
  <c r="H156" i="144"/>
  <c r="G156" i="144"/>
  <c r="F156" i="144"/>
  <c r="E156" i="144"/>
  <c r="D156" i="144"/>
  <c r="C156" i="144"/>
  <c r="B156" i="144"/>
  <c r="M155" i="144"/>
  <c r="L155" i="144"/>
  <c r="K155" i="144"/>
  <c r="J155" i="144"/>
  <c r="I155" i="144"/>
  <c r="H155" i="144"/>
  <c r="G155" i="144"/>
  <c r="F155" i="144"/>
  <c r="E155" i="144"/>
  <c r="D155" i="144"/>
  <c r="C155" i="144"/>
  <c r="B155" i="144"/>
  <c r="M154" i="144"/>
  <c r="L154" i="144"/>
  <c r="K154" i="144"/>
  <c r="J154" i="144"/>
  <c r="I154" i="144"/>
  <c r="H154" i="144"/>
  <c r="G154" i="144"/>
  <c r="F154" i="144"/>
  <c r="E154" i="144"/>
  <c r="D154" i="144"/>
  <c r="C154" i="144"/>
  <c r="B154" i="144"/>
  <c r="M54" i="144"/>
  <c r="L54" i="144"/>
  <c r="K54" i="144"/>
  <c r="J54" i="144"/>
  <c r="I54" i="144"/>
  <c r="H54" i="144"/>
  <c r="G54" i="144"/>
  <c r="F54" i="144"/>
  <c r="E54" i="144"/>
  <c r="D54" i="144"/>
  <c r="C54" i="144"/>
  <c r="B54" i="144"/>
  <c r="M95" i="144"/>
  <c r="L95" i="144"/>
  <c r="K95" i="144"/>
  <c r="J95" i="144"/>
  <c r="I95" i="144"/>
  <c r="H95" i="144"/>
  <c r="G95" i="144"/>
  <c r="F95" i="144"/>
  <c r="E95" i="144"/>
  <c r="D95" i="144"/>
  <c r="C95" i="144"/>
  <c r="B95" i="144"/>
  <c r="M53" i="144"/>
  <c r="L53" i="144"/>
  <c r="K53" i="144"/>
  <c r="J53" i="144"/>
  <c r="I53" i="144"/>
  <c r="H53" i="144"/>
  <c r="G53" i="144"/>
  <c r="F53" i="144"/>
  <c r="E53" i="144"/>
  <c r="D53" i="144"/>
  <c r="C53" i="144"/>
  <c r="B53" i="144"/>
  <c r="M94" i="144"/>
  <c r="L94" i="144"/>
  <c r="K94" i="144"/>
  <c r="J94" i="144"/>
  <c r="I94" i="144"/>
  <c r="H94" i="144"/>
  <c r="G94" i="144"/>
  <c r="F94" i="144"/>
  <c r="E94" i="144"/>
  <c r="D94" i="144"/>
  <c r="C94" i="144"/>
  <c r="B94" i="144"/>
  <c r="M52" i="144"/>
  <c r="L52" i="144"/>
  <c r="K52" i="144"/>
  <c r="J52" i="144"/>
  <c r="I52" i="144"/>
  <c r="H52" i="144"/>
  <c r="G52" i="144"/>
  <c r="F52" i="144"/>
  <c r="E52" i="144"/>
  <c r="D52" i="144"/>
  <c r="C52" i="144"/>
  <c r="B52" i="144"/>
  <c r="M138" i="144"/>
  <c r="L138" i="144"/>
  <c r="K138" i="144"/>
  <c r="J138" i="144"/>
  <c r="I138" i="144"/>
  <c r="H138" i="144"/>
  <c r="G138" i="144"/>
  <c r="F138" i="144"/>
  <c r="E138" i="144"/>
  <c r="D138" i="144"/>
  <c r="C138" i="144"/>
  <c r="B138" i="144"/>
  <c r="M137" i="144"/>
  <c r="L137" i="144"/>
  <c r="K137" i="144"/>
  <c r="J137" i="144"/>
  <c r="I137" i="144"/>
  <c r="H137" i="144"/>
  <c r="G137" i="144"/>
  <c r="F137" i="144"/>
  <c r="E137" i="144"/>
  <c r="D137" i="144"/>
  <c r="C137" i="144"/>
  <c r="B137" i="144"/>
  <c r="M136" i="144"/>
  <c r="L136" i="144"/>
  <c r="K136" i="144"/>
  <c r="J136" i="144"/>
  <c r="I136" i="144"/>
  <c r="H136" i="144"/>
  <c r="G136" i="144"/>
  <c r="F136" i="144"/>
  <c r="E136" i="144"/>
  <c r="D136" i="144"/>
  <c r="C136" i="144"/>
  <c r="B136" i="144"/>
  <c r="M135" i="144"/>
  <c r="L135" i="144"/>
  <c r="K135" i="144"/>
  <c r="J135" i="144"/>
  <c r="I135" i="144"/>
  <c r="H135" i="144"/>
  <c r="G135" i="144"/>
  <c r="F135" i="144"/>
  <c r="E135" i="144"/>
  <c r="D135" i="144"/>
  <c r="C135" i="144"/>
  <c r="B135" i="144"/>
  <c r="M106" i="144"/>
  <c r="L106" i="144"/>
  <c r="K106" i="144"/>
  <c r="J106" i="144"/>
  <c r="I106" i="144"/>
  <c r="H106" i="144"/>
  <c r="G106" i="144"/>
  <c r="F106" i="144"/>
  <c r="E106" i="144"/>
  <c r="D106" i="144"/>
  <c r="C106" i="144"/>
  <c r="B106" i="144"/>
  <c r="M72" i="144"/>
  <c r="L72" i="144"/>
  <c r="K72" i="144"/>
  <c r="J72" i="144"/>
  <c r="I72" i="144"/>
  <c r="H72" i="144"/>
  <c r="G72" i="144"/>
  <c r="F72" i="144"/>
  <c r="E72" i="144"/>
  <c r="D72" i="144"/>
  <c r="C72" i="144"/>
  <c r="B72" i="144"/>
  <c r="M71" i="144"/>
  <c r="L71" i="144"/>
  <c r="K71" i="144"/>
  <c r="J71" i="144"/>
  <c r="I71" i="144"/>
  <c r="H71" i="144"/>
  <c r="G71" i="144"/>
  <c r="F71" i="144"/>
  <c r="E71" i="144"/>
  <c r="D71" i="144"/>
  <c r="C71" i="144"/>
  <c r="B71" i="144"/>
  <c r="M123" i="144"/>
  <c r="L123" i="144"/>
  <c r="K123" i="144"/>
  <c r="J123" i="144"/>
  <c r="I123" i="144"/>
  <c r="H123" i="144"/>
  <c r="G123" i="144"/>
  <c r="F123" i="144"/>
  <c r="E123" i="144"/>
  <c r="D123" i="144"/>
  <c r="C123" i="144"/>
  <c r="B123" i="144"/>
  <c r="M122" i="144"/>
  <c r="L122" i="144"/>
  <c r="K122" i="144"/>
  <c r="J122" i="144"/>
  <c r="I122" i="144"/>
  <c r="H122" i="144"/>
  <c r="G122" i="144"/>
  <c r="F122" i="144"/>
  <c r="E122" i="144"/>
  <c r="D122" i="144"/>
  <c r="C122" i="144"/>
  <c r="B122" i="144"/>
  <c r="M121" i="144"/>
  <c r="L121" i="144"/>
  <c r="K121" i="144"/>
  <c r="J121" i="144"/>
  <c r="I121" i="144"/>
  <c r="H121" i="144"/>
  <c r="G121" i="144"/>
  <c r="F121" i="144"/>
  <c r="E121" i="144"/>
  <c r="D121" i="144"/>
  <c r="C121" i="144"/>
  <c r="B121" i="144"/>
  <c r="M120" i="144"/>
  <c r="L120" i="144"/>
  <c r="K120" i="144"/>
  <c r="J120" i="144"/>
  <c r="I120" i="144"/>
  <c r="H120" i="144"/>
  <c r="G120" i="144"/>
  <c r="F120" i="144"/>
  <c r="E120" i="144"/>
  <c r="D120" i="144"/>
  <c r="C120" i="144"/>
  <c r="B120" i="144"/>
  <c r="M119" i="144"/>
  <c r="L119" i="144"/>
  <c r="K119" i="144"/>
  <c r="J119" i="144"/>
  <c r="I119" i="144"/>
  <c r="H119" i="144"/>
  <c r="G119" i="144"/>
  <c r="F119" i="144"/>
  <c r="E119" i="144"/>
  <c r="D119" i="144"/>
  <c r="C119" i="144"/>
  <c r="B119" i="144"/>
  <c r="M118" i="144"/>
  <c r="L118" i="144"/>
  <c r="K118" i="144"/>
  <c r="J118" i="144"/>
  <c r="I118" i="144"/>
  <c r="H118" i="144"/>
  <c r="G118" i="144"/>
  <c r="F118" i="144"/>
  <c r="E118" i="144"/>
  <c r="D118" i="144"/>
  <c r="C118" i="144"/>
  <c r="B118" i="144"/>
  <c r="M86" i="144"/>
  <c r="L86" i="144"/>
  <c r="K86" i="144"/>
  <c r="J86" i="144"/>
  <c r="I86" i="144"/>
  <c r="H86" i="144"/>
  <c r="G86" i="144"/>
  <c r="F86" i="144"/>
  <c r="E86" i="144"/>
  <c r="D86" i="144"/>
  <c r="C86" i="144"/>
  <c r="B86" i="144"/>
  <c r="M70" i="144"/>
  <c r="L70" i="144"/>
  <c r="K70" i="144"/>
  <c r="J70" i="144"/>
  <c r="I70" i="144"/>
  <c r="H70" i="144"/>
  <c r="G70" i="144"/>
  <c r="F70" i="144"/>
  <c r="E70" i="144"/>
  <c r="D70" i="144"/>
  <c r="C70" i="144"/>
  <c r="B70" i="144"/>
  <c r="M51" i="144"/>
  <c r="L51" i="144"/>
  <c r="K51" i="144"/>
  <c r="J51" i="144"/>
  <c r="I51" i="144"/>
  <c r="H51" i="144"/>
  <c r="G51" i="144"/>
  <c r="F51" i="144"/>
  <c r="E51" i="144"/>
  <c r="D51" i="144"/>
  <c r="C51" i="144"/>
  <c r="B51" i="144"/>
  <c r="M13" i="144"/>
  <c r="L13" i="144"/>
  <c r="K13" i="144"/>
  <c r="J13" i="144"/>
  <c r="I13" i="144"/>
  <c r="H13" i="144"/>
  <c r="G13" i="144"/>
  <c r="F13" i="144"/>
  <c r="E13" i="144"/>
  <c r="D13" i="144"/>
  <c r="C13" i="144"/>
  <c r="B13" i="144"/>
  <c r="M64" i="144"/>
  <c r="L64" i="144"/>
  <c r="K64" i="144"/>
  <c r="J64" i="144"/>
  <c r="I64" i="144"/>
  <c r="H64" i="144"/>
  <c r="G64" i="144"/>
  <c r="F64" i="144"/>
  <c r="E64" i="144"/>
  <c r="D64" i="144"/>
  <c r="C64" i="144"/>
  <c r="B64" i="144"/>
  <c r="M12" i="144"/>
  <c r="L12" i="144"/>
  <c r="K12" i="144"/>
  <c r="J12" i="144"/>
  <c r="I12" i="144"/>
  <c r="H12" i="144"/>
  <c r="G12" i="144"/>
  <c r="F12" i="144"/>
  <c r="E12" i="144"/>
  <c r="D12" i="144"/>
  <c r="C12" i="144"/>
  <c r="B12" i="144"/>
  <c r="M63" i="144"/>
  <c r="L63" i="144"/>
  <c r="K63" i="144"/>
  <c r="J63" i="144"/>
  <c r="I63" i="144"/>
  <c r="H63" i="144"/>
  <c r="G63" i="144"/>
  <c r="F63" i="144"/>
  <c r="E63" i="144"/>
  <c r="D63" i="144"/>
  <c r="C63" i="144"/>
  <c r="B63" i="144"/>
  <c r="M11" i="144"/>
  <c r="L11" i="144"/>
  <c r="K11" i="144"/>
  <c r="J11" i="144"/>
  <c r="I11" i="144"/>
  <c r="H11" i="144"/>
  <c r="G11" i="144"/>
  <c r="F11" i="144"/>
  <c r="E11" i="144"/>
  <c r="D11" i="144"/>
  <c r="C11" i="144"/>
  <c r="B11" i="144"/>
  <c r="M134" i="144"/>
  <c r="L134" i="144"/>
  <c r="K134" i="144"/>
  <c r="J134" i="144"/>
  <c r="I134" i="144"/>
  <c r="H134" i="144"/>
  <c r="G134" i="144"/>
  <c r="F134" i="144"/>
  <c r="E134" i="144"/>
  <c r="D134" i="144"/>
  <c r="C134" i="144"/>
  <c r="B134" i="144"/>
  <c r="M85" i="144"/>
  <c r="L85" i="144"/>
  <c r="K85" i="144"/>
  <c r="J85" i="144"/>
  <c r="I85" i="144"/>
  <c r="H85" i="144"/>
  <c r="G85" i="144"/>
  <c r="F85" i="144"/>
  <c r="E85" i="144"/>
  <c r="D85" i="144"/>
  <c r="C85" i="144"/>
  <c r="B85" i="144"/>
  <c r="M62" i="144"/>
  <c r="L62" i="144"/>
  <c r="K62" i="144"/>
  <c r="J62" i="144"/>
  <c r="I62" i="144"/>
  <c r="H62" i="144"/>
  <c r="G62" i="144"/>
  <c r="F62" i="144"/>
  <c r="E62" i="144"/>
  <c r="D62" i="144"/>
  <c r="C62" i="144"/>
  <c r="B62" i="144"/>
  <c r="M47" i="144"/>
  <c r="L47" i="144"/>
  <c r="K47" i="144"/>
  <c r="J47" i="144"/>
  <c r="I47" i="144"/>
  <c r="H47" i="144"/>
  <c r="G47" i="144"/>
  <c r="F47" i="144"/>
  <c r="E47" i="144"/>
  <c r="D47" i="144"/>
  <c r="C47" i="144"/>
  <c r="B47" i="144"/>
  <c r="M34" i="144"/>
  <c r="L34" i="144"/>
  <c r="K34" i="144"/>
  <c r="J34" i="144"/>
  <c r="I34" i="144"/>
  <c r="H34" i="144"/>
  <c r="G34" i="144"/>
  <c r="F34" i="144"/>
  <c r="E34" i="144"/>
  <c r="D34" i="144"/>
  <c r="C34" i="144"/>
  <c r="B34" i="144"/>
  <c r="M26" i="144"/>
  <c r="L26" i="144"/>
  <c r="K26" i="144"/>
  <c r="J26" i="144"/>
  <c r="I26" i="144"/>
  <c r="H26" i="144"/>
  <c r="G26" i="144"/>
  <c r="F26" i="144"/>
  <c r="E26" i="144"/>
  <c r="D26" i="144"/>
  <c r="C26" i="144"/>
  <c r="B26" i="144"/>
  <c r="M10" i="144"/>
  <c r="L10" i="144"/>
  <c r="K10" i="144"/>
  <c r="J10" i="144"/>
  <c r="I10" i="144"/>
  <c r="H10" i="144"/>
  <c r="G10" i="144"/>
  <c r="F10" i="144"/>
  <c r="E10" i="144"/>
  <c r="D10" i="144"/>
  <c r="C10" i="144"/>
  <c r="B10" i="144"/>
  <c r="M133" i="144"/>
  <c r="L133" i="144"/>
  <c r="K133" i="144"/>
  <c r="J133" i="144"/>
  <c r="I133" i="144"/>
  <c r="H133" i="144"/>
  <c r="G133" i="144"/>
  <c r="F133" i="144"/>
  <c r="E133" i="144"/>
  <c r="D133" i="144"/>
  <c r="C133" i="144"/>
  <c r="B133" i="144"/>
  <c r="M84" i="144"/>
  <c r="L84" i="144"/>
  <c r="K84" i="144"/>
  <c r="J84" i="144"/>
  <c r="I84" i="144"/>
  <c r="H84" i="144"/>
  <c r="G84" i="144"/>
  <c r="F84" i="144"/>
  <c r="E84" i="144"/>
  <c r="D84" i="144"/>
  <c r="C84" i="144"/>
  <c r="B84" i="144"/>
  <c r="M61" i="144"/>
  <c r="L61" i="144"/>
  <c r="K61" i="144"/>
  <c r="J61" i="144"/>
  <c r="I61" i="144"/>
  <c r="H61" i="144"/>
  <c r="G61" i="144"/>
  <c r="F61" i="144"/>
  <c r="E61" i="144"/>
  <c r="D61" i="144"/>
  <c r="C61" i="144"/>
  <c r="B61" i="144"/>
  <c r="M46" i="144"/>
  <c r="L46" i="144"/>
  <c r="K46" i="144"/>
  <c r="J46" i="144"/>
  <c r="I46" i="144"/>
  <c r="H46" i="144"/>
  <c r="G46" i="144"/>
  <c r="F46" i="144"/>
  <c r="E46" i="144"/>
  <c r="D46" i="144"/>
  <c r="C46" i="144"/>
  <c r="B46" i="144"/>
  <c r="M33" i="144"/>
  <c r="L33" i="144"/>
  <c r="K33" i="144"/>
  <c r="J33" i="144"/>
  <c r="I33" i="144"/>
  <c r="H33" i="144"/>
  <c r="G33" i="144"/>
  <c r="F33" i="144"/>
  <c r="E33" i="144"/>
  <c r="D33" i="144"/>
  <c r="C33" i="144"/>
  <c r="B33" i="144"/>
  <c r="M25" i="144"/>
  <c r="L25" i="144"/>
  <c r="K25" i="144"/>
  <c r="J25" i="144"/>
  <c r="I25" i="144"/>
  <c r="H25" i="144"/>
  <c r="G25" i="144"/>
  <c r="F25" i="144"/>
  <c r="E25" i="144"/>
  <c r="D25" i="144"/>
  <c r="C25" i="144"/>
  <c r="B25" i="144"/>
  <c r="M9" i="144"/>
  <c r="L9" i="144"/>
  <c r="K9" i="144"/>
  <c r="J9" i="144"/>
  <c r="I9" i="144"/>
  <c r="H9" i="144"/>
  <c r="G9" i="144"/>
  <c r="F9" i="144"/>
  <c r="E9" i="144"/>
  <c r="D9" i="144"/>
  <c r="C9" i="144"/>
  <c r="B9" i="144"/>
  <c r="M105" i="144"/>
  <c r="L105" i="144"/>
  <c r="K105" i="144"/>
  <c r="J105" i="144"/>
  <c r="I105" i="144"/>
  <c r="H105" i="144"/>
  <c r="G105" i="144"/>
  <c r="F105" i="144"/>
  <c r="E105" i="144"/>
  <c r="D105" i="144"/>
  <c r="C105" i="144"/>
  <c r="B105" i="144"/>
  <c r="M132" i="144"/>
  <c r="L132" i="144"/>
  <c r="K132" i="144"/>
  <c r="J132" i="144"/>
  <c r="I132" i="144"/>
  <c r="H132" i="144"/>
  <c r="G132" i="144"/>
  <c r="F132" i="144"/>
  <c r="E132" i="144"/>
  <c r="D132" i="144"/>
  <c r="C132" i="144"/>
  <c r="B132" i="144"/>
  <c r="M158" i="144"/>
  <c r="L158" i="144"/>
  <c r="K158" i="144"/>
  <c r="J158" i="144"/>
  <c r="I158" i="144"/>
  <c r="H158" i="144"/>
  <c r="G158" i="144"/>
  <c r="F158" i="144"/>
  <c r="E158" i="144"/>
  <c r="D158" i="144"/>
  <c r="C158" i="144"/>
  <c r="B158" i="144"/>
  <c r="M69" i="144"/>
  <c r="L69" i="144"/>
  <c r="K69" i="144"/>
  <c r="J69" i="144"/>
  <c r="I69" i="144"/>
  <c r="H69" i="144"/>
  <c r="G69" i="144"/>
  <c r="F69" i="144"/>
  <c r="E69" i="144"/>
  <c r="D69" i="144"/>
  <c r="C69" i="144"/>
  <c r="B69" i="144"/>
  <c r="M67" i="144"/>
  <c r="L67" i="144"/>
  <c r="K67" i="144"/>
  <c r="J67" i="144"/>
  <c r="I67" i="144"/>
  <c r="H67" i="144"/>
  <c r="G67" i="144"/>
  <c r="F67" i="144"/>
  <c r="E67" i="144"/>
  <c r="D67" i="144"/>
  <c r="C67" i="144"/>
  <c r="B67" i="144"/>
  <c r="M36" i="144"/>
  <c r="L36" i="144"/>
  <c r="K36" i="144"/>
  <c r="J36" i="144"/>
  <c r="I36" i="144"/>
  <c r="H36" i="144"/>
  <c r="G36" i="144"/>
  <c r="F36" i="144"/>
  <c r="E36" i="144"/>
  <c r="D36" i="144"/>
  <c r="C36" i="144"/>
  <c r="B36" i="144"/>
  <c r="M29" i="144"/>
  <c r="L29" i="144"/>
  <c r="K29" i="144"/>
  <c r="J29" i="144"/>
  <c r="I29" i="144"/>
  <c r="H29" i="144"/>
  <c r="G29" i="144"/>
  <c r="F29" i="144"/>
  <c r="E29" i="144"/>
  <c r="D29" i="144"/>
  <c r="C29" i="144"/>
  <c r="B29" i="144"/>
  <c r="M18" i="144"/>
  <c r="L18" i="144"/>
  <c r="K18" i="144"/>
  <c r="J18" i="144"/>
  <c r="I18" i="144"/>
  <c r="H18" i="144"/>
  <c r="G18" i="144"/>
  <c r="F18" i="144"/>
  <c r="E18" i="144"/>
  <c r="D18" i="144"/>
  <c r="C18" i="144"/>
  <c r="B18" i="144"/>
  <c r="M117" i="144"/>
  <c r="L117" i="144"/>
  <c r="K117" i="144"/>
  <c r="J117" i="144"/>
  <c r="I117" i="144"/>
  <c r="H117" i="144"/>
  <c r="G117" i="144"/>
  <c r="F117" i="144"/>
  <c r="E117" i="144"/>
  <c r="D117" i="144"/>
  <c r="C117" i="144"/>
  <c r="B117" i="144"/>
  <c r="M74" i="144"/>
  <c r="L74" i="144"/>
  <c r="K74" i="144"/>
  <c r="J74" i="144"/>
  <c r="I74" i="144"/>
  <c r="H74" i="144"/>
  <c r="G74" i="144"/>
  <c r="F74" i="144"/>
  <c r="E74" i="144"/>
  <c r="D74" i="144"/>
  <c r="C74" i="144"/>
  <c r="B74" i="144"/>
  <c r="M56" i="144"/>
  <c r="L56" i="144"/>
  <c r="K56" i="144"/>
  <c r="J56" i="144"/>
  <c r="I56" i="144"/>
  <c r="H56" i="144"/>
  <c r="G56" i="144"/>
  <c r="F56" i="144"/>
  <c r="E56" i="144"/>
  <c r="D56" i="144"/>
  <c r="C56" i="144"/>
  <c r="B56" i="144"/>
  <c r="M68" i="144"/>
  <c r="L68" i="144"/>
  <c r="K68" i="144"/>
  <c r="J68" i="144"/>
  <c r="I68" i="144"/>
  <c r="H68" i="144"/>
  <c r="G68" i="144"/>
  <c r="F68" i="144"/>
  <c r="E68" i="144"/>
  <c r="D68" i="144"/>
  <c r="C68" i="144"/>
  <c r="B68" i="144"/>
  <c r="N4" i="142"/>
  <c r="N5" i="142"/>
  <c r="N6" i="142"/>
  <c r="N7" i="142"/>
  <c r="N8" i="142"/>
  <c r="N9" i="142"/>
  <c r="N10" i="142"/>
  <c r="N11" i="142"/>
  <c r="N12" i="142"/>
  <c r="N13" i="142"/>
  <c r="N14" i="142"/>
  <c r="N15" i="142"/>
  <c r="N16" i="142"/>
  <c r="N17" i="142"/>
  <c r="N18" i="142"/>
  <c r="N19" i="142"/>
  <c r="N20" i="142"/>
  <c r="N21" i="142"/>
  <c r="N22" i="142"/>
  <c r="N23" i="142"/>
  <c r="N24" i="142"/>
  <c r="N25" i="142"/>
  <c r="N26" i="142"/>
  <c r="N27" i="142"/>
  <c r="N28" i="142"/>
  <c r="N29" i="142"/>
  <c r="N30" i="142"/>
  <c r="N31" i="142"/>
  <c r="N32" i="142"/>
  <c r="N33" i="142"/>
  <c r="N34" i="142"/>
  <c r="N35" i="142"/>
  <c r="N36" i="142"/>
  <c r="N37" i="142"/>
  <c r="N38" i="142"/>
  <c r="N39" i="142"/>
  <c r="N40" i="142"/>
  <c r="N41" i="142"/>
  <c r="N42" i="142"/>
  <c r="N43" i="142"/>
  <c r="N44" i="142"/>
  <c r="N45" i="142"/>
  <c r="N46" i="142"/>
  <c r="N47" i="142"/>
  <c r="N48" i="142"/>
  <c r="N49" i="142"/>
  <c r="N50" i="142"/>
  <c r="N51" i="142"/>
  <c r="N52" i="142"/>
  <c r="N53" i="142"/>
  <c r="N54" i="142"/>
  <c r="N55" i="142"/>
  <c r="N56" i="142"/>
  <c r="N57" i="142"/>
  <c r="N58" i="142"/>
  <c r="N59" i="142"/>
  <c r="N60" i="142"/>
  <c r="N61" i="142"/>
  <c r="N62" i="142"/>
  <c r="N63" i="142"/>
  <c r="N64" i="142"/>
  <c r="N65" i="142"/>
  <c r="N66" i="142"/>
  <c r="N67" i="142"/>
  <c r="N68" i="142"/>
  <c r="N69" i="142"/>
  <c r="N70" i="142"/>
  <c r="N71" i="142"/>
  <c r="N72" i="142"/>
  <c r="N73" i="142"/>
  <c r="N74" i="142"/>
  <c r="N75" i="142"/>
  <c r="N76" i="142"/>
  <c r="N77" i="142"/>
  <c r="N78" i="142"/>
  <c r="N79" i="142"/>
  <c r="N80" i="142"/>
  <c r="N81" i="142"/>
  <c r="N82" i="142"/>
  <c r="N83" i="142"/>
  <c r="N84" i="142"/>
  <c r="N85" i="142"/>
  <c r="N86" i="142"/>
  <c r="N87" i="142"/>
  <c r="N88" i="142"/>
  <c r="N89" i="142"/>
  <c r="N90" i="142"/>
  <c r="N91" i="142"/>
  <c r="N92" i="142"/>
  <c r="N93" i="142"/>
  <c r="N94" i="142"/>
  <c r="N95" i="142"/>
  <c r="N96" i="142"/>
  <c r="N97" i="142"/>
  <c r="N98" i="142"/>
  <c r="N99" i="142"/>
  <c r="N100" i="142"/>
  <c r="N101" i="142"/>
  <c r="N102" i="142"/>
  <c r="N103" i="142"/>
  <c r="N104" i="142"/>
  <c r="N105" i="142"/>
  <c r="N106" i="142"/>
  <c r="N107" i="142"/>
  <c r="N108" i="142"/>
  <c r="N109" i="142"/>
  <c r="N110" i="142"/>
  <c r="N111" i="142"/>
  <c r="N112" i="142"/>
  <c r="N113" i="142"/>
  <c r="N114" i="142"/>
  <c r="N115" i="142"/>
  <c r="N116" i="142"/>
  <c r="N117" i="142"/>
  <c r="N118" i="142"/>
  <c r="N119" i="142"/>
  <c r="N120" i="142"/>
  <c r="N121" i="142"/>
  <c r="N122" i="142"/>
  <c r="N123" i="142"/>
  <c r="N124" i="142"/>
  <c r="N125" i="142"/>
  <c r="N126" i="142"/>
  <c r="N127" i="142"/>
  <c r="N128" i="142"/>
  <c r="N129" i="142"/>
  <c r="N130" i="142"/>
  <c r="N131" i="142"/>
  <c r="N3" i="142"/>
  <c r="M41" i="142"/>
  <c r="L41" i="142"/>
  <c r="K41" i="142"/>
  <c r="J41" i="142"/>
  <c r="I41" i="142"/>
  <c r="H41" i="142"/>
  <c r="G41" i="142"/>
  <c r="F41" i="142"/>
  <c r="E41" i="142"/>
  <c r="D41" i="142"/>
  <c r="C41" i="142"/>
  <c r="B41" i="142"/>
  <c r="M67" i="142"/>
  <c r="L67" i="142"/>
  <c r="K67" i="142"/>
  <c r="J67" i="142"/>
  <c r="I67" i="142"/>
  <c r="H67" i="142"/>
  <c r="G67" i="142"/>
  <c r="F67" i="142"/>
  <c r="E67" i="142"/>
  <c r="D67" i="142"/>
  <c r="C67" i="142"/>
  <c r="B67" i="142"/>
  <c r="M47" i="142"/>
  <c r="L47" i="142"/>
  <c r="K47" i="142"/>
  <c r="J47" i="142"/>
  <c r="I47" i="142"/>
  <c r="H47" i="142"/>
  <c r="G47" i="142"/>
  <c r="F47" i="142"/>
  <c r="E47" i="142"/>
  <c r="D47" i="142"/>
  <c r="C47" i="142"/>
  <c r="B47" i="142"/>
  <c r="M128" i="142"/>
  <c r="L128" i="142"/>
  <c r="K128" i="142"/>
  <c r="J128" i="142"/>
  <c r="I128" i="142"/>
  <c r="H128" i="142"/>
  <c r="G128" i="142"/>
  <c r="F128" i="142"/>
  <c r="E128" i="142"/>
  <c r="D128" i="142"/>
  <c r="C128" i="142"/>
  <c r="B128" i="142"/>
  <c r="M86" i="142"/>
  <c r="L86" i="142"/>
  <c r="K86" i="142"/>
  <c r="J86" i="142"/>
  <c r="I86" i="142"/>
  <c r="H86" i="142"/>
  <c r="G86" i="142"/>
  <c r="F86" i="142"/>
  <c r="E86" i="142"/>
  <c r="D86" i="142"/>
  <c r="C86" i="142"/>
  <c r="B86" i="142"/>
  <c r="M80" i="142"/>
  <c r="L80" i="142"/>
  <c r="K80" i="142"/>
  <c r="J80" i="142"/>
  <c r="I80" i="142"/>
  <c r="H80" i="142"/>
  <c r="G80" i="142"/>
  <c r="F80" i="142"/>
  <c r="E80" i="142"/>
  <c r="D80" i="142"/>
  <c r="C80" i="142"/>
  <c r="B80" i="142"/>
  <c r="M3" i="142"/>
  <c r="L3" i="142"/>
  <c r="K3" i="142"/>
  <c r="J3" i="142"/>
  <c r="I3" i="142"/>
  <c r="H3" i="142"/>
  <c r="G3" i="142"/>
  <c r="F3" i="142"/>
  <c r="E3" i="142"/>
  <c r="D3" i="142"/>
  <c r="C3" i="142"/>
  <c r="B3" i="142"/>
  <c r="M63" i="142"/>
  <c r="L63" i="142"/>
  <c r="K63" i="142"/>
  <c r="J63" i="142"/>
  <c r="I63" i="142"/>
  <c r="H63" i="142"/>
  <c r="G63" i="142"/>
  <c r="F63" i="142"/>
  <c r="E63" i="142"/>
  <c r="D63" i="142"/>
  <c r="C63" i="142"/>
  <c r="B63" i="142"/>
  <c r="M127" i="142"/>
  <c r="L127" i="142"/>
  <c r="K127" i="142"/>
  <c r="J127" i="142"/>
  <c r="I127" i="142"/>
  <c r="H127" i="142"/>
  <c r="G127" i="142"/>
  <c r="F127" i="142"/>
  <c r="E127" i="142"/>
  <c r="D127" i="142"/>
  <c r="C127" i="142"/>
  <c r="B127" i="142"/>
  <c r="M126" i="142"/>
  <c r="L126" i="142"/>
  <c r="K126" i="142"/>
  <c r="J126" i="142"/>
  <c r="I126" i="142"/>
  <c r="H126" i="142"/>
  <c r="G126" i="142"/>
  <c r="F126" i="142"/>
  <c r="E126" i="142"/>
  <c r="D126" i="142"/>
  <c r="C126" i="142"/>
  <c r="B126" i="142"/>
  <c r="M125" i="142"/>
  <c r="L125" i="142"/>
  <c r="K125" i="142"/>
  <c r="J125" i="142"/>
  <c r="I125" i="142"/>
  <c r="H125" i="142"/>
  <c r="G125" i="142"/>
  <c r="F125" i="142"/>
  <c r="E125" i="142"/>
  <c r="D125" i="142"/>
  <c r="C125" i="142"/>
  <c r="B125" i="142"/>
  <c r="M124" i="142"/>
  <c r="L124" i="142"/>
  <c r="K124" i="142"/>
  <c r="J124" i="142"/>
  <c r="I124" i="142"/>
  <c r="H124" i="142"/>
  <c r="G124" i="142"/>
  <c r="F124" i="142"/>
  <c r="E124" i="142"/>
  <c r="D124" i="142"/>
  <c r="C124" i="142"/>
  <c r="B124" i="142"/>
  <c r="M123" i="142"/>
  <c r="L123" i="142"/>
  <c r="K123" i="142"/>
  <c r="J123" i="142"/>
  <c r="I123" i="142"/>
  <c r="H123" i="142"/>
  <c r="G123" i="142"/>
  <c r="F123" i="142"/>
  <c r="E123" i="142"/>
  <c r="D123" i="142"/>
  <c r="C123" i="142"/>
  <c r="B123" i="142"/>
  <c r="M71" i="142"/>
  <c r="L71" i="142"/>
  <c r="K71" i="142"/>
  <c r="J71" i="142"/>
  <c r="I71" i="142"/>
  <c r="H71" i="142"/>
  <c r="G71" i="142"/>
  <c r="F71" i="142"/>
  <c r="E71" i="142"/>
  <c r="D71" i="142"/>
  <c r="C71" i="142"/>
  <c r="B71" i="142"/>
  <c r="M70" i="142"/>
  <c r="L70" i="142"/>
  <c r="K70" i="142"/>
  <c r="J70" i="142"/>
  <c r="I70" i="142"/>
  <c r="H70" i="142"/>
  <c r="G70" i="142"/>
  <c r="F70" i="142"/>
  <c r="E70" i="142"/>
  <c r="D70" i="142"/>
  <c r="C70" i="142"/>
  <c r="B70" i="142"/>
  <c r="M69" i="142"/>
  <c r="L69" i="142"/>
  <c r="K69" i="142"/>
  <c r="J69" i="142"/>
  <c r="I69" i="142"/>
  <c r="H69" i="142"/>
  <c r="G69" i="142"/>
  <c r="F69" i="142"/>
  <c r="E69" i="142"/>
  <c r="D69" i="142"/>
  <c r="C69" i="142"/>
  <c r="B69" i="142"/>
  <c r="M4" i="142"/>
  <c r="L4" i="142"/>
  <c r="K4" i="142"/>
  <c r="J4" i="142"/>
  <c r="I4" i="142"/>
  <c r="H4" i="142"/>
  <c r="G4" i="142"/>
  <c r="F4" i="142"/>
  <c r="E4" i="142"/>
  <c r="D4" i="142"/>
  <c r="C4" i="142"/>
  <c r="B4" i="142"/>
  <c r="M91" i="142"/>
  <c r="L91" i="142"/>
  <c r="K91" i="142"/>
  <c r="J91" i="142"/>
  <c r="I91" i="142"/>
  <c r="H91" i="142"/>
  <c r="G91" i="142"/>
  <c r="F91" i="142"/>
  <c r="E91" i="142"/>
  <c r="D91" i="142"/>
  <c r="C91" i="142"/>
  <c r="B91" i="142"/>
  <c r="M46" i="142"/>
  <c r="L46" i="142"/>
  <c r="K46" i="142"/>
  <c r="J46" i="142"/>
  <c r="I46" i="142"/>
  <c r="H46" i="142"/>
  <c r="G46" i="142"/>
  <c r="F46" i="142"/>
  <c r="E46" i="142"/>
  <c r="D46" i="142"/>
  <c r="C46" i="142"/>
  <c r="B46" i="142"/>
  <c r="M66" i="142"/>
  <c r="L66" i="142"/>
  <c r="K66" i="142"/>
  <c r="J66" i="142"/>
  <c r="I66" i="142"/>
  <c r="H66" i="142"/>
  <c r="G66" i="142"/>
  <c r="F66" i="142"/>
  <c r="E66" i="142"/>
  <c r="D66" i="142"/>
  <c r="C66" i="142"/>
  <c r="B66" i="142"/>
  <c r="M57" i="142"/>
  <c r="L57" i="142"/>
  <c r="K57" i="142"/>
  <c r="J57" i="142"/>
  <c r="I57" i="142"/>
  <c r="H57" i="142"/>
  <c r="G57" i="142"/>
  <c r="F57" i="142"/>
  <c r="E57" i="142"/>
  <c r="D57" i="142"/>
  <c r="C57" i="142"/>
  <c r="B57" i="142"/>
  <c r="M40" i="142"/>
  <c r="L40" i="142"/>
  <c r="K40" i="142"/>
  <c r="J40" i="142"/>
  <c r="I40" i="142"/>
  <c r="H40" i="142"/>
  <c r="G40" i="142"/>
  <c r="F40" i="142"/>
  <c r="E40" i="142"/>
  <c r="D40" i="142"/>
  <c r="C40" i="142"/>
  <c r="B40" i="142"/>
  <c r="M122" i="142"/>
  <c r="L122" i="142"/>
  <c r="K122" i="142"/>
  <c r="J122" i="142"/>
  <c r="I122" i="142"/>
  <c r="H122" i="142"/>
  <c r="G122" i="142"/>
  <c r="F122" i="142"/>
  <c r="E122" i="142"/>
  <c r="D122" i="142"/>
  <c r="C122" i="142"/>
  <c r="B122" i="142"/>
  <c r="M65" i="142"/>
  <c r="L65" i="142"/>
  <c r="K65" i="142"/>
  <c r="J65" i="142"/>
  <c r="I65" i="142"/>
  <c r="H65" i="142"/>
  <c r="G65" i="142"/>
  <c r="F65" i="142"/>
  <c r="E65" i="142"/>
  <c r="D65" i="142"/>
  <c r="C65" i="142"/>
  <c r="B65" i="142"/>
  <c r="M121" i="142"/>
  <c r="L121" i="142"/>
  <c r="K121" i="142"/>
  <c r="J121" i="142"/>
  <c r="I121" i="142"/>
  <c r="H121" i="142"/>
  <c r="G121" i="142"/>
  <c r="F121" i="142"/>
  <c r="E121" i="142"/>
  <c r="D121" i="142"/>
  <c r="C121" i="142"/>
  <c r="B121" i="142"/>
  <c r="M120" i="142"/>
  <c r="L120" i="142"/>
  <c r="K120" i="142"/>
  <c r="J120" i="142"/>
  <c r="I120" i="142"/>
  <c r="H120" i="142"/>
  <c r="G120" i="142"/>
  <c r="F120" i="142"/>
  <c r="E120" i="142"/>
  <c r="D120" i="142"/>
  <c r="C120" i="142"/>
  <c r="B120" i="142"/>
  <c r="M39" i="142"/>
  <c r="L39" i="142"/>
  <c r="K39" i="142"/>
  <c r="J39" i="142"/>
  <c r="I39" i="142"/>
  <c r="H39" i="142"/>
  <c r="G39" i="142"/>
  <c r="F39" i="142"/>
  <c r="E39" i="142"/>
  <c r="D39" i="142"/>
  <c r="C39" i="142"/>
  <c r="B39" i="142"/>
  <c r="M114" i="142"/>
  <c r="L114" i="142"/>
  <c r="K114" i="142"/>
  <c r="J114" i="142"/>
  <c r="I114" i="142"/>
  <c r="H114" i="142"/>
  <c r="G114" i="142"/>
  <c r="F114" i="142"/>
  <c r="E114" i="142"/>
  <c r="D114" i="142"/>
  <c r="C114" i="142"/>
  <c r="B114" i="142"/>
  <c r="M85" i="142"/>
  <c r="L85" i="142"/>
  <c r="K85" i="142"/>
  <c r="J85" i="142"/>
  <c r="I85" i="142"/>
  <c r="H85" i="142"/>
  <c r="G85" i="142"/>
  <c r="F85" i="142"/>
  <c r="E85" i="142"/>
  <c r="D85" i="142"/>
  <c r="C85" i="142"/>
  <c r="B85" i="142"/>
  <c r="M119" i="142"/>
  <c r="L119" i="142"/>
  <c r="K119" i="142"/>
  <c r="J119" i="142"/>
  <c r="I119" i="142"/>
  <c r="H119" i="142"/>
  <c r="G119" i="142"/>
  <c r="F119" i="142"/>
  <c r="E119" i="142"/>
  <c r="D119" i="142"/>
  <c r="C119" i="142"/>
  <c r="B119" i="142"/>
  <c r="M118" i="142"/>
  <c r="L118" i="142"/>
  <c r="K118" i="142"/>
  <c r="J118" i="142"/>
  <c r="I118" i="142"/>
  <c r="H118" i="142"/>
  <c r="G118" i="142"/>
  <c r="F118" i="142"/>
  <c r="E118" i="142"/>
  <c r="D118" i="142"/>
  <c r="C118" i="142"/>
  <c r="B118" i="142"/>
  <c r="M52" i="142"/>
  <c r="L52" i="142"/>
  <c r="K52" i="142"/>
  <c r="J52" i="142"/>
  <c r="I52" i="142"/>
  <c r="H52" i="142"/>
  <c r="G52" i="142"/>
  <c r="F52" i="142"/>
  <c r="E52" i="142"/>
  <c r="D52" i="142"/>
  <c r="C52" i="142"/>
  <c r="B52" i="142"/>
  <c r="M117" i="142"/>
  <c r="L117" i="142"/>
  <c r="K117" i="142"/>
  <c r="J117" i="142"/>
  <c r="I117" i="142"/>
  <c r="H117" i="142"/>
  <c r="G117" i="142"/>
  <c r="F117" i="142"/>
  <c r="E117" i="142"/>
  <c r="D117" i="142"/>
  <c r="C117" i="142"/>
  <c r="B117" i="142"/>
  <c r="M101" i="142"/>
  <c r="L101" i="142"/>
  <c r="K101" i="142"/>
  <c r="J101" i="142"/>
  <c r="I101" i="142"/>
  <c r="H101" i="142"/>
  <c r="G101" i="142"/>
  <c r="F101" i="142"/>
  <c r="E101" i="142"/>
  <c r="D101" i="142"/>
  <c r="C101" i="142"/>
  <c r="B101" i="142"/>
  <c r="M64" i="142"/>
  <c r="L64" i="142"/>
  <c r="K64" i="142"/>
  <c r="J64" i="142"/>
  <c r="I64" i="142"/>
  <c r="H64" i="142"/>
  <c r="G64" i="142"/>
  <c r="F64" i="142"/>
  <c r="E64" i="142"/>
  <c r="D64" i="142"/>
  <c r="C64" i="142"/>
  <c r="B64" i="142"/>
  <c r="M113" i="142"/>
  <c r="L113" i="142"/>
  <c r="K113" i="142"/>
  <c r="J113" i="142"/>
  <c r="I113" i="142"/>
  <c r="H113" i="142"/>
  <c r="G113" i="142"/>
  <c r="F113" i="142"/>
  <c r="E113" i="142"/>
  <c r="D113" i="142"/>
  <c r="C113" i="142"/>
  <c r="B113" i="142"/>
  <c r="M112" i="142"/>
  <c r="L112" i="142"/>
  <c r="K112" i="142"/>
  <c r="J112" i="142"/>
  <c r="I112" i="142"/>
  <c r="H112" i="142"/>
  <c r="G112" i="142"/>
  <c r="F112" i="142"/>
  <c r="E112" i="142"/>
  <c r="D112" i="142"/>
  <c r="C112" i="142"/>
  <c r="B112" i="142"/>
  <c r="M116" i="142"/>
  <c r="L116" i="142"/>
  <c r="K116" i="142"/>
  <c r="J116" i="142"/>
  <c r="I116" i="142"/>
  <c r="H116" i="142"/>
  <c r="G116" i="142"/>
  <c r="F116" i="142"/>
  <c r="E116" i="142"/>
  <c r="D116" i="142"/>
  <c r="C116" i="142"/>
  <c r="B116" i="142"/>
  <c r="M28" i="142"/>
  <c r="L28" i="142"/>
  <c r="K28" i="142"/>
  <c r="J28" i="142"/>
  <c r="I28" i="142"/>
  <c r="H28" i="142"/>
  <c r="G28" i="142"/>
  <c r="F28" i="142"/>
  <c r="E28" i="142"/>
  <c r="D28" i="142"/>
  <c r="C28" i="142"/>
  <c r="B28" i="142"/>
  <c r="M44" i="142"/>
  <c r="L44" i="142"/>
  <c r="K44" i="142"/>
  <c r="J44" i="142"/>
  <c r="I44" i="142"/>
  <c r="H44" i="142"/>
  <c r="G44" i="142"/>
  <c r="F44" i="142"/>
  <c r="E44" i="142"/>
  <c r="D44" i="142"/>
  <c r="C44" i="142"/>
  <c r="B44" i="142"/>
  <c r="M84" i="142"/>
  <c r="L84" i="142"/>
  <c r="K84" i="142"/>
  <c r="J84" i="142"/>
  <c r="I84" i="142"/>
  <c r="H84" i="142"/>
  <c r="G84" i="142"/>
  <c r="F84" i="142"/>
  <c r="E84" i="142"/>
  <c r="D84" i="142"/>
  <c r="C84" i="142"/>
  <c r="B84" i="142"/>
  <c r="M105" i="142"/>
  <c r="L105" i="142"/>
  <c r="K105" i="142"/>
  <c r="J105" i="142"/>
  <c r="I105" i="142"/>
  <c r="H105" i="142"/>
  <c r="G105" i="142"/>
  <c r="F105" i="142"/>
  <c r="E105" i="142"/>
  <c r="D105" i="142"/>
  <c r="C105" i="142"/>
  <c r="B105" i="142"/>
  <c r="M51" i="142"/>
  <c r="L51" i="142"/>
  <c r="K51" i="142"/>
  <c r="J51" i="142"/>
  <c r="I51" i="142"/>
  <c r="H51" i="142"/>
  <c r="G51" i="142"/>
  <c r="F51" i="142"/>
  <c r="E51" i="142"/>
  <c r="D51" i="142"/>
  <c r="C51" i="142"/>
  <c r="B51" i="142"/>
  <c r="M79" i="142"/>
  <c r="L79" i="142"/>
  <c r="K79" i="142"/>
  <c r="J79" i="142"/>
  <c r="I79" i="142"/>
  <c r="H79" i="142"/>
  <c r="G79" i="142"/>
  <c r="F79" i="142"/>
  <c r="E79" i="142"/>
  <c r="D79" i="142"/>
  <c r="C79" i="142"/>
  <c r="B79" i="142"/>
  <c r="M68" i="142"/>
  <c r="L68" i="142"/>
  <c r="K68" i="142"/>
  <c r="J68" i="142"/>
  <c r="I68" i="142"/>
  <c r="H68" i="142"/>
  <c r="G68" i="142"/>
  <c r="F68" i="142"/>
  <c r="E68" i="142"/>
  <c r="D68" i="142"/>
  <c r="C68" i="142"/>
  <c r="B68" i="142"/>
  <c r="M56" i="142"/>
  <c r="L56" i="142"/>
  <c r="K56" i="142"/>
  <c r="J56" i="142"/>
  <c r="I56" i="142"/>
  <c r="H56" i="142"/>
  <c r="G56" i="142"/>
  <c r="F56" i="142"/>
  <c r="E56" i="142"/>
  <c r="D56" i="142"/>
  <c r="C56" i="142"/>
  <c r="B56" i="142"/>
  <c r="M18" i="142"/>
  <c r="L18" i="142"/>
  <c r="K18" i="142"/>
  <c r="J18" i="142"/>
  <c r="I18" i="142"/>
  <c r="H18" i="142"/>
  <c r="G18" i="142"/>
  <c r="F18" i="142"/>
  <c r="E18" i="142"/>
  <c r="D18" i="142"/>
  <c r="C18" i="142"/>
  <c r="B18" i="142"/>
  <c r="M60" i="142"/>
  <c r="L60" i="142"/>
  <c r="K60" i="142"/>
  <c r="J60" i="142"/>
  <c r="I60" i="142"/>
  <c r="H60" i="142"/>
  <c r="G60" i="142"/>
  <c r="F60" i="142"/>
  <c r="E60" i="142"/>
  <c r="D60" i="142"/>
  <c r="C60" i="142"/>
  <c r="B60" i="142"/>
  <c r="M78" i="142"/>
  <c r="L78" i="142"/>
  <c r="K78" i="142"/>
  <c r="J78" i="142"/>
  <c r="I78" i="142"/>
  <c r="H78" i="142"/>
  <c r="G78" i="142"/>
  <c r="F78" i="142"/>
  <c r="E78" i="142"/>
  <c r="D78" i="142"/>
  <c r="C78" i="142"/>
  <c r="B78" i="142"/>
  <c r="M83" i="142"/>
  <c r="L83" i="142"/>
  <c r="K83" i="142"/>
  <c r="J83" i="142"/>
  <c r="I83" i="142"/>
  <c r="H83" i="142"/>
  <c r="G83" i="142"/>
  <c r="F83" i="142"/>
  <c r="E83" i="142"/>
  <c r="D83" i="142"/>
  <c r="C83" i="142"/>
  <c r="B83" i="142"/>
  <c r="M30" i="142"/>
  <c r="L30" i="142"/>
  <c r="K30" i="142"/>
  <c r="J30" i="142"/>
  <c r="I30" i="142"/>
  <c r="H30" i="142"/>
  <c r="G30" i="142"/>
  <c r="F30" i="142"/>
  <c r="E30" i="142"/>
  <c r="D30" i="142"/>
  <c r="C30" i="142"/>
  <c r="B30" i="142"/>
  <c r="M43" i="142"/>
  <c r="L43" i="142"/>
  <c r="K43" i="142"/>
  <c r="J43" i="142"/>
  <c r="I43" i="142"/>
  <c r="H43" i="142"/>
  <c r="G43" i="142"/>
  <c r="F43" i="142"/>
  <c r="E43" i="142"/>
  <c r="D43" i="142"/>
  <c r="C43" i="142"/>
  <c r="B43" i="142"/>
  <c r="M100" i="142"/>
  <c r="L100" i="142"/>
  <c r="K100" i="142"/>
  <c r="J100" i="142"/>
  <c r="I100" i="142"/>
  <c r="H100" i="142"/>
  <c r="G100" i="142"/>
  <c r="F100" i="142"/>
  <c r="E100" i="142"/>
  <c r="D100" i="142"/>
  <c r="C100" i="142"/>
  <c r="B100" i="142"/>
  <c r="M29" i="142"/>
  <c r="L29" i="142"/>
  <c r="K29" i="142"/>
  <c r="J29" i="142"/>
  <c r="I29" i="142"/>
  <c r="H29" i="142"/>
  <c r="G29" i="142"/>
  <c r="F29" i="142"/>
  <c r="E29" i="142"/>
  <c r="D29" i="142"/>
  <c r="C29" i="142"/>
  <c r="B29" i="142"/>
  <c r="M109" i="142"/>
  <c r="L109" i="142"/>
  <c r="K109" i="142"/>
  <c r="J109" i="142"/>
  <c r="I109" i="142"/>
  <c r="H109" i="142"/>
  <c r="G109" i="142"/>
  <c r="F109" i="142"/>
  <c r="E109" i="142"/>
  <c r="D109" i="142"/>
  <c r="C109" i="142"/>
  <c r="B109" i="142"/>
  <c r="M130" i="142"/>
  <c r="L130" i="142"/>
  <c r="K130" i="142"/>
  <c r="J130" i="142"/>
  <c r="I130" i="142"/>
  <c r="H130" i="142"/>
  <c r="G130" i="142"/>
  <c r="F130" i="142"/>
  <c r="E130" i="142"/>
  <c r="D130" i="142"/>
  <c r="C130" i="142"/>
  <c r="B130" i="142"/>
  <c r="M32" i="142"/>
  <c r="L32" i="142"/>
  <c r="K32" i="142"/>
  <c r="J32" i="142"/>
  <c r="I32" i="142"/>
  <c r="H32" i="142"/>
  <c r="G32" i="142"/>
  <c r="F32" i="142"/>
  <c r="E32" i="142"/>
  <c r="D32" i="142"/>
  <c r="C32" i="142"/>
  <c r="B32" i="142"/>
  <c r="M90" i="142"/>
  <c r="L90" i="142"/>
  <c r="K90" i="142"/>
  <c r="J90" i="142"/>
  <c r="I90" i="142"/>
  <c r="H90" i="142"/>
  <c r="G90" i="142"/>
  <c r="F90" i="142"/>
  <c r="E90" i="142"/>
  <c r="D90" i="142"/>
  <c r="C90" i="142"/>
  <c r="B90" i="142"/>
  <c r="M89" i="142"/>
  <c r="L89" i="142"/>
  <c r="K89" i="142"/>
  <c r="J89" i="142"/>
  <c r="I89" i="142"/>
  <c r="H89" i="142"/>
  <c r="G89" i="142"/>
  <c r="F89" i="142"/>
  <c r="E89" i="142"/>
  <c r="D89" i="142"/>
  <c r="C89" i="142"/>
  <c r="B89" i="142"/>
  <c r="M99" i="142"/>
  <c r="L99" i="142"/>
  <c r="K99" i="142"/>
  <c r="J99" i="142"/>
  <c r="I99" i="142"/>
  <c r="H99" i="142"/>
  <c r="G99" i="142"/>
  <c r="F99" i="142"/>
  <c r="E99" i="142"/>
  <c r="D99" i="142"/>
  <c r="C99" i="142"/>
  <c r="B99" i="142"/>
  <c r="M35" i="142"/>
  <c r="L35" i="142"/>
  <c r="K35" i="142"/>
  <c r="J35" i="142"/>
  <c r="I35" i="142"/>
  <c r="H35" i="142"/>
  <c r="G35" i="142"/>
  <c r="F35" i="142"/>
  <c r="E35" i="142"/>
  <c r="D35" i="142"/>
  <c r="C35" i="142"/>
  <c r="B35" i="142"/>
  <c r="M115" i="142"/>
  <c r="L115" i="142"/>
  <c r="K115" i="142"/>
  <c r="J115" i="142"/>
  <c r="I115" i="142"/>
  <c r="H115" i="142"/>
  <c r="G115" i="142"/>
  <c r="F115" i="142"/>
  <c r="E115" i="142"/>
  <c r="D115" i="142"/>
  <c r="C115" i="142"/>
  <c r="B115" i="142"/>
  <c r="M17" i="142"/>
  <c r="L17" i="142"/>
  <c r="K17" i="142"/>
  <c r="J17" i="142"/>
  <c r="I17" i="142"/>
  <c r="H17" i="142"/>
  <c r="G17" i="142"/>
  <c r="F17" i="142"/>
  <c r="E17" i="142"/>
  <c r="D17" i="142"/>
  <c r="C17" i="142"/>
  <c r="B17" i="142"/>
  <c r="M111" i="142"/>
  <c r="L111" i="142"/>
  <c r="K111" i="142"/>
  <c r="J111" i="142"/>
  <c r="I111" i="142"/>
  <c r="H111" i="142"/>
  <c r="G111" i="142"/>
  <c r="F111" i="142"/>
  <c r="E111" i="142"/>
  <c r="D111" i="142"/>
  <c r="C111" i="142"/>
  <c r="B111" i="142"/>
  <c r="M110" i="142"/>
  <c r="L110" i="142"/>
  <c r="K110" i="142"/>
  <c r="J110" i="142"/>
  <c r="I110" i="142"/>
  <c r="H110" i="142"/>
  <c r="G110" i="142"/>
  <c r="F110" i="142"/>
  <c r="E110" i="142"/>
  <c r="D110" i="142"/>
  <c r="C110" i="142"/>
  <c r="B110" i="142"/>
  <c r="M88" i="142"/>
  <c r="L88" i="142"/>
  <c r="K88" i="142"/>
  <c r="J88" i="142"/>
  <c r="I88" i="142"/>
  <c r="H88" i="142"/>
  <c r="G88" i="142"/>
  <c r="F88" i="142"/>
  <c r="E88" i="142"/>
  <c r="D88" i="142"/>
  <c r="C88" i="142"/>
  <c r="B88" i="142"/>
  <c r="M87" i="142"/>
  <c r="L87" i="142"/>
  <c r="K87" i="142"/>
  <c r="J87" i="142"/>
  <c r="I87" i="142"/>
  <c r="H87" i="142"/>
  <c r="G87" i="142"/>
  <c r="F87" i="142"/>
  <c r="E87" i="142"/>
  <c r="D87" i="142"/>
  <c r="C87" i="142"/>
  <c r="B87" i="142"/>
  <c r="M31" i="142"/>
  <c r="L31" i="142"/>
  <c r="K31" i="142"/>
  <c r="J31" i="142"/>
  <c r="I31" i="142"/>
  <c r="H31" i="142"/>
  <c r="G31" i="142"/>
  <c r="F31" i="142"/>
  <c r="E31" i="142"/>
  <c r="D31" i="142"/>
  <c r="C31" i="142"/>
  <c r="B31" i="142"/>
  <c r="M16" i="142"/>
  <c r="L16" i="142"/>
  <c r="K16" i="142"/>
  <c r="J16" i="142"/>
  <c r="I16" i="142"/>
  <c r="H16" i="142"/>
  <c r="G16" i="142"/>
  <c r="F16" i="142"/>
  <c r="E16" i="142"/>
  <c r="D16" i="142"/>
  <c r="C16" i="142"/>
  <c r="B16" i="142"/>
  <c r="M108" i="142"/>
  <c r="L108" i="142"/>
  <c r="K108" i="142"/>
  <c r="J108" i="142"/>
  <c r="I108" i="142"/>
  <c r="H108" i="142"/>
  <c r="G108" i="142"/>
  <c r="F108" i="142"/>
  <c r="E108" i="142"/>
  <c r="D108" i="142"/>
  <c r="C108" i="142"/>
  <c r="B108" i="142"/>
  <c r="M107" i="142"/>
  <c r="L107" i="142"/>
  <c r="K107" i="142"/>
  <c r="J107" i="142"/>
  <c r="I107" i="142"/>
  <c r="H107" i="142"/>
  <c r="G107" i="142"/>
  <c r="F107" i="142"/>
  <c r="E107" i="142"/>
  <c r="D107" i="142"/>
  <c r="C107" i="142"/>
  <c r="B107" i="142"/>
  <c r="M106" i="142"/>
  <c r="L106" i="142"/>
  <c r="K106" i="142"/>
  <c r="J106" i="142"/>
  <c r="I106" i="142"/>
  <c r="H106" i="142"/>
  <c r="G106" i="142"/>
  <c r="F106" i="142"/>
  <c r="E106" i="142"/>
  <c r="D106" i="142"/>
  <c r="C106" i="142"/>
  <c r="B106" i="142"/>
  <c r="M25" i="142"/>
  <c r="L25" i="142"/>
  <c r="K25" i="142"/>
  <c r="J25" i="142"/>
  <c r="I25" i="142"/>
  <c r="H25" i="142"/>
  <c r="G25" i="142"/>
  <c r="F25" i="142"/>
  <c r="E25" i="142"/>
  <c r="D25" i="142"/>
  <c r="C25" i="142"/>
  <c r="B25" i="142"/>
  <c r="M34" i="142"/>
  <c r="L34" i="142"/>
  <c r="K34" i="142"/>
  <c r="J34" i="142"/>
  <c r="I34" i="142"/>
  <c r="H34" i="142"/>
  <c r="G34" i="142"/>
  <c r="F34" i="142"/>
  <c r="E34" i="142"/>
  <c r="D34" i="142"/>
  <c r="C34" i="142"/>
  <c r="B34" i="142"/>
  <c r="M59" i="142"/>
  <c r="L59" i="142"/>
  <c r="K59" i="142"/>
  <c r="J59" i="142"/>
  <c r="I59" i="142"/>
  <c r="H59" i="142"/>
  <c r="G59" i="142"/>
  <c r="F59" i="142"/>
  <c r="E59" i="142"/>
  <c r="D59" i="142"/>
  <c r="C59" i="142"/>
  <c r="B59" i="142"/>
  <c r="M23" i="142"/>
  <c r="L23" i="142"/>
  <c r="K23" i="142"/>
  <c r="J23" i="142"/>
  <c r="I23" i="142"/>
  <c r="H23" i="142"/>
  <c r="G23" i="142"/>
  <c r="F23" i="142"/>
  <c r="E23" i="142"/>
  <c r="D23" i="142"/>
  <c r="C23" i="142"/>
  <c r="B23" i="142"/>
  <c r="M22" i="142"/>
  <c r="L22" i="142"/>
  <c r="K22" i="142"/>
  <c r="J22" i="142"/>
  <c r="I22" i="142"/>
  <c r="H22" i="142"/>
  <c r="G22" i="142"/>
  <c r="F22" i="142"/>
  <c r="E22" i="142"/>
  <c r="D22" i="142"/>
  <c r="C22" i="142"/>
  <c r="B22" i="142"/>
  <c r="M21" i="142"/>
  <c r="L21" i="142"/>
  <c r="K21" i="142"/>
  <c r="J21" i="142"/>
  <c r="I21" i="142"/>
  <c r="H21" i="142"/>
  <c r="G21" i="142"/>
  <c r="F21" i="142"/>
  <c r="E21" i="142"/>
  <c r="D21" i="142"/>
  <c r="C21" i="142"/>
  <c r="B21" i="142"/>
  <c r="M58" i="142"/>
  <c r="L58" i="142"/>
  <c r="K58" i="142"/>
  <c r="J58" i="142"/>
  <c r="I58" i="142"/>
  <c r="H58" i="142"/>
  <c r="G58" i="142"/>
  <c r="F58" i="142"/>
  <c r="E58" i="142"/>
  <c r="D58" i="142"/>
  <c r="C58" i="142"/>
  <c r="B58" i="142"/>
  <c r="M20" i="142"/>
  <c r="L20" i="142"/>
  <c r="K20" i="142"/>
  <c r="J20" i="142"/>
  <c r="I20" i="142"/>
  <c r="H20" i="142"/>
  <c r="G20" i="142"/>
  <c r="F20" i="142"/>
  <c r="E20" i="142"/>
  <c r="D20" i="142"/>
  <c r="C20" i="142"/>
  <c r="B20" i="142"/>
  <c r="M24" i="142"/>
  <c r="L24" i="142"/>
  <c r="K24" i="142"/>
  <c r="J24" i="142"/>
  <c r="I24" i="142"/>
  <c r="H24" i="142"/>
  <c r="G24" i="142"/>
  <c r="F24" i="142"/>
  <c r="E24" i="142"/>
  <c r="D24" i="142"/>
  <c r="C24" i="142"/>
  <c r="B24" i="142"/>
  <c r="M19" i="142"/>
  <c r="L19" i="142"/>
  <c r="K19" i="142"/>
  <c r="J19" i="142"/>
  <c r="I19" i="142"/>
  <c r="H19" i="142"/>
  <c r="G19" i="142"/>
  <c r="F19" i="142"/>
  <c r="E19" i="142"/>
  <c r="D19" i="142"/>
  <c r="C19" i="142"/>
  <c r="B19" i="142"/>
  <c r="M42" i="142"/>
  <c r="L42" i="142"/>
  <c r="K42" i="142"/>
  <c r="J42" i="142"/>
  <c r="I42" i="142"/>
  <c r="H42" i="142"/>
  <c r="G42" i="142"/>
  <c r="F42" i="142"/>
  <c r="E42" i="142"/>
  <c r="D42" i="142"/>
  <c r="C42" i="142"/>
  <c r="B42" i="142"/>
  <c r="M33" i="142"/>
  <c r="L33" i="142"/>
  <c r="K33" i="142"/>
  <c r="J33" i="142"/>
  <c r="I33" i="142"/>
  <c r="H33" i="142"/>
  <c r="G33" i="142"/>
  <c r="F33" i="142"/>
  <c r="E33" i="142"/>
  <c r="D33" i="142"/>
  <c r="C33" i="142"/>
  <c r="B33" i="142"/>
  <c r="M55" i="142"/>
  <c r="L55" i="142"/>
  <c r="K55" i="142"/>
  <c r="J55" i="142"/>
  <c r="I55" i="142"/>
  <c r="H55" i="142"/>
  <c r="G55" i="142"/>
  <c r="F55" i="142"/>
  <c r="E55" i="142"/>
  <c r="D55" i="142"/>
  <c r="C55" i="142"/>
  <c r="B55" i="142"/>
  <c r="M38" i="142"/>
  <c r="L38" i="142"/>
  <c r="K38" i="142"/>
  <c r="J38" i="142"/>
  <c r="I38" i="142"/>
  <c r="H38" i="142"/>
  <c r="G38" i="142"/>
  <c r="F38" i="142"/>
  <c r="E38" i="142"/>
  <c r="D38" i="142"/>
  <c r="C38" i="142"/>
  <c r="B38" i="142"/>
  <c r="M54" i="142"/>
  <c r="L54" i="142"/>
  <c r="K54" i="142"/>
  <c r="J54" i="142"/>
  <c r="I54" i="142"/>
  <c r="H54" i="142"/>
  <c r="G54" i="142"/>
  <c r="F54" i="142"/>
  <c r="E54" i="142"/>
  <c r="D54" i="142"/>
  <c r="C54" i="142"/>
  <c r="B54" i="142"/>
  <c r="M27" i="142"/>
  <c r="L27" i="142"/>
  <c r="K27" i="142"/>
  <c r="J27" i="142"/>
  <c r="I27" i="142"/>
  <c r="H27" i="142"/>
  <c r="G27" i="142"/>
  <c r="F27" i="142"/>
  <c r="E27" i="142"/>
  <c r="D27" i="142"/>
  <c r="C27" i="142"/>
  <c r="B27" i="142"/>
  <c r="M26" i="142"/>
  <c r="L26" i="142"/>
  <c r="K26" i="142"/>
  <c r="J26" i="142"/>
  <c r="I26" i="142"/>
  <c r="H26" i="142"/>
  <c r="G26" i="142"/>
  <c r="F26" i="142"/>
  <c r="E26" i="142"/>
  <c r="D26" i="142"/>
  <c r="C26" i="142"/>
  <c r="B26" i="142"/>
  <c r="M98" i="142"/>
  <c r="L98" i="142"/>
  <c r="K98" i="142"/>
  <c r="J98" i="142"/>
  <c r="I98" i="142"/>
  <c r="H98" i="142"/>
  <c r="G98" i="142"/>
  <c r="F98" i="142"/>
  <c r="E98" i="142"/>
  <c r="D98" i="142"/>
  <c r="C98" i="142"/>
  <c r="B98" i="142"/>
  <c r="M97" i="142"/>
  <c r="L97" i="142"/>
  <c r="K97" i="142"/>
  <c r="J97" i="142"/>
  <c r="I97" i="142"/>
  <c r="H97" i="142"/>
  <c r="G97" i="142"/>
  <c r="F97" i="142"/>
  <c r="E97" i="142"/>
  <c r="D97" i="142"/>
  <c r="C97" i="142"/>
  <c r="B97" i="142"/>
  <c r="M131" i="142"/>
  <c r="L131" i="142"/>
  <c r="K131" i="142"/>
  <c r="J131" i="142"/>
  <c r="I131" i="142"/>
  <c r="H131" i="142"/>
  <c r="G131" i="142"/>
  <c r="F131" i="142"/>
  <c r="E131" i="142"/>
  <c r="D131" i="142"/>
  <c r="C131" i="142"/>
  <c r="B131" i="142"/>
  <c r="M104" i="142"/>
  <c r="L104" i="142"/>
  <c r="K104" i="142"/>
  <c r="J104" i="142"/>
  <c r="I104" i="142"/>
  <c r="H104" i="142"/>
  <c r="G104" i="142"/>
  <c r="F104" i="142"/>
  <c r="E104" i="142"/>
  <c r="D104" i="142"/>
  <c r="C104" i="142"/>
  <c r="B104" i="142"/>
  <c r="M12" i="142"/>
  <c r="L12" i="142"/>
  <c r="K12" i="142"/>
  <c r="J12" i="142"/>
  <c r="I12" i="142"/>
  <c r="H12" i="142"/>
  <c r="G12" i="142"/>
  <c r="F12" i="142"/>
  <c r="E12" i="142"/>
  <c r="D12" i="142"/>
  <c r="C12" i="142"/>
  <c r="B12" i="142"/>
  <c r="M103" i="142"/>
  <c r="L103" i="142"/>
  <c r="K103" i="142"/>
  <c r="J103" i="142"/>
  <c r="I103" i="142"/>
  <c r="H103" i="142"/>
  <c r="G103" i="142"/>
  <c r="F103" i="142"/>
  <c r="E103" i="142"/>
  <c r="D103" i="142"/>
  <c r="C103" i="142"/>
  <c r="B103" i="142"/>
  <c r="M9" i="142"/>
  <c r="L9" i="142"/>
  <c r="K9" i="142"/>
  <c r="J9" i="142"/>
  <c r="I9" i="142"/>
  <c r="H9" i="142"/>
  <c r="G9" i="142"/>
  <c r="F9" i="142"/>
  <c r="E9" i="142"/>
  <c r="D9" i="142"/>
  <c r="C9" i="142"/>
  <c r="B9" i="142"/>
  <c r="M82" i="142"/>
  <c r="L82" i="142"/>
  <c r="K82" i="142"/>
  <c r="J82" i="142"/>
  <c r="I82" i="142"/>
  <c r="H82" i="142"/>
  <c r="G82" i="142"/>
  <c r="F82" i="142"/>
  <c r="E82" i="142"/>
  <c r="D82" i="142"/>
  <c r="C82" i="142"/>
  <c r="B82" i="142"/>
  <c r="M81" i="142"/>
  <c r="L81" i="142"/>
  <c r="K81" i="142"/>
  <c r="J81" i="142"/>
  <c r="I81" i="142"/>
  <c r="H81" i="142"/>
  <c r="G81" i="142"/>
  <c r="F81" i="142"/>
  <c r="E81" i="142"/>
  <c r="D81" i="142"/>
  <c r="C81" i="142"/>
  <c r="B81" i="142"/>
  <c r="M50" i="142"/>
  <c r="L50" i="142"/>
  <c r="K50" i="142"/>
  <c r="J50" i="142"/>
  <c r="I50" i="142"/>
  <c r="H50" i="142"/>
  <c r="G50" i="142"/>
  <c r="F50" i="142"/>
  <c r="E50" i="142"/>
  <c r="D50" i="142"/>
  <c r="C50" i="142"/>
  <c r="B50" i="142"/>
  <c r="M62" i="142"/>
  <c r="L62" i="142"/>
  <c r="K62" i="142"/>
  <c r="J62" i="142"/>
  <c r="I62" i="142"/>
  <c r="H62" i="142"/>
  <c r="G62" i="142"/>
  <c r="F62" i="142"/>
  <c r="E62" i="142"/>
  <c r="D62" i="142"/>
  <c r="C62" i="142"/>
  <c r="B62" i="142"/>
  <c r="M11" i="142"/>
  <c r="L11" i="142"/>
  <c r="K11" i="142"/>
  <c r="J11" i="142"/>
  <c r="I11" i="142"/>
  <c r="H11" i="142"/>
  <c r="G11" i="142"/>
  <c r="F11" i="142"/>
  <c r="E11" i="142"/>
  <c r="D11" i="142"/>
  <c r="C11" i="142"/>
  <c r="B11" i="142"/>
  <c r="M77" i="142"/>
  <c r="L77" i="142"/>
  <c r="K77" i="142"/>
  <c r="J77" i="142"/>
  <c r="I77" i="142"/>
  <c r="H77" i="142"/>
  <c r="G77" i="142"/>
  <c r="F77" i="142"/>
  <c r="E77" i="142"/>
  <c r="D77" i="142"/>
  <c r="C77" i="142"/>
  <c r="B77" i="142"/>
  <c r="M10" i="142"/>
  <c r="L10" i="142"/>
  <c r="K10" i="142"/>
  <c r="J10" i="142"/>
  <c r="I10" i="142"/>
  <c r="H10" i="142"/>
  <c r="G10" i="142"/>
  <c r="F10" i="142"/>
  <c r="E10" i="142"/>
  <c r="D10" i="142"/>
  <c r="C10" i="142"/>
  <c r="B10" i="142"/>
  <c r="M8" i="142"/>
  <c r="L8" i="142"/>
  <c r="K8" i="142"/>
  <c r="J8" i="142"/>
  <c r="I8" i="142"/>
  <c r="H8" i="142"/>
  <c r="G8" i="142"/>
  <c r="F8" i="142"/>
  <c r="E8" i="142"/>
  <c r="D8" i="142"/>
  <c r="C8" i="142"/>
  <c r="B8" i="142"/>
  <c r="M49" i="142"/>
  <c r="L49" i="142"/>
  <c r="K49" i="142"/>
  <c r="J49" i="142"/>
  <c r="I49" i="142"/>
  <c r="H49" i="142"/>
  <c r="G49" i="142"/>
  <c r="F49" i="142"/>
  <c r="E49" i="142"/>
  <c r="D49" i="142"/>
  <c r="C49" i="142"/>
  <c r="B49" i="142"/>
  <c r="M61" i="142"/>
  <c r="L61" i="142"/>
  <c r="K61" i="142"/>
  <c r="J61" i="142"/>
  <c r="I61" i="142"/>
  <c r="H61" i="142"/>
  <c r="G61" i="142"/>
  <c r="F61" i="142"/>
  <c r="E61" i="142"/>
  <c r="D61" i="142"/>
  <c r="C61" i="142"/>
  <c r="B61" i="142"/>
  <c r="M102" i="142"/>
  <c r="L102" i="142"/>
  <c r="K102" i="142"/>
  <c r="J102" i="142"/>
  <c r="I102" i="142"/>
  <c r="H102" i="142"/>
  <c r="G102" i="142"/>
  <c r="F102" i="142"/>
  <c r="E102" i="142"/>
  <c r="D102" i="142"/>
  <c r="C102" i="142"/>
  <c r="B102" i="142"/>
  <c r="M7" i="142"/>
  <c r="L7" i="142"/>
  <c r="K7" i="142"/>
  <c r="J7" i="142"/>
  <c r="I7" i="142"/>
  <c r="H7" i="142"/>
  <c r="G7" i="142"/>
  <c r="F7" i="142"/>
  <c r="E7" i="142"/>
  <c r="D7" i="142"/>
  <c r="C7" i="142"/>
  <c r="B7" i="142"/>
  <c r="M45" i="142"/>
  <c r="L45" i="142"/>
  <c r="K45" i="142"/>
  <c r="J45" i="142"/>
  <c r="I45" i="142"/>
  <c r="H45" i="142"/>
  <c r="G45" i="142"/>
  <c r="F45" i="142"/>
  <c r="E45" i="142"/>
  <c r="D45" i="142"/>
  <c r="C45" i="142"/>
  <c r="B45" i="142"/>
  <c r="M6" i="142"/>
  <c r="L6" i="142"/>
  <c r="K6" i="142"/>
  <c r="J6" i="142"/>
  <c r="I6" i="142"/>
  <c r="H6" i="142"/>
  <c r="G6" i="142"/>
  <c r="F6" i="142"/>
  <c r="E6" i="142"/>
  <c r="D6" i="142"/>
  <c r="C6" i="142"/>
  <c r="B6" i="142"/>
  <c r="M37" i="142"/>
  <c r="L37" i="142"/>
  <c r="K37" i="142"/>
  <c r="J37" i="142"/>
  <c r="I37" i="142"/>
  <c r="H37" i="142"/>
  <c r="G37" i="142"/>
  <c r="F37" i="142"/>
  <c r="E37" i="142"/>
  <c r="D37" i="142"/>
  <c r="C37" i="142"/>
  <c r="B37" i="142"/>
  <c r="M129" i="142"/>
  <c r="L129" i="142"/>
  <c r="K129" i="142"/>
  <c r="J129" i="142"/>
  <c r="I129" i="142"/>
  <c r="H129" i="142"/>
  <c r="G129" i="142"/>
  <c r="F129" i="142"/>
  <c r="E129" i="142"/>
  <c r="D129" i="142"/>
  <c r="C129" i="142"/>
  <c r="B129" i="142"/>
  <c r="M15" i="142"/>
  <c r="L15" i="142"/>
  <c r="K15" i="142"/>
  <c r="J15" i="142"/>
  <c r="I15" i="142"/>
  <c r="H15" i="142"/>
  <c r="G15" i="142"/>
  <c r="F15" i="142"/>
  <c r="E15" i="142"/>
  <c r="D15" i="142"/>
  <c r="C15" i="142"/>
  <c r="B15" i="142"/>
  <c r="M14" i="142"/>
  <c r="L14" i="142"/>
  <c r="K14" i="142"/>
  <c r="J14" i="142"/>
  <c r="I14" i="142"/>
  <c r="H14" i="142"/>
  <c r="G14" i="142"/>
  <c r="F14" i="142"/>
  <c r="E14" i="142"/>
  <c r="D14" i="142"/>
  <c r="C14" i="142"/>
  <c r="B14" i="142"/>
  <c r="M96" i="142"/>
  <c r="L96" i="142"/>
  <c r="K96" i="142"/>
  <c r="J96" i="142"/>
  <c r="I96" i="142"/>
  <c r="H96" i="142"/>
  <c r="G96" i="142"/>
  <c r="F96" i="142"/>
  <c r="E96" i="142"/>
  <c r="D96" i="142"/>
  <c r="C96" i="142"/>
  <c r="B96" i="142"/>
  <c r="M95" i="142"/>
  <c r="L95" i="142"/>
  <c r="K95" i="142"/>
  <c r="J95" i="142"/>
  <c r="I95" i="142"/>
  <c r="H95" i="142"/>
  <c r="G95" i="142"/>
  <c r="F95" i="142"/>
  <c r="E95" i="142"/>
  <c r="D95" i="142"/>
  <c r="C95" i="142"/>
  <c r="B95" i="142"/>
  <c r="M94" i="142"/>
  <c r="L94" i="142"/>
  <c r="K94" i="142"/>
  <c r="J94" i="142"/>
  <c r="I94" i="142"/>
  <c r="H94" i="142"/>
  <c r="G94" i="142"/>
  <c r="F94" i="142"/>
  <c r="E94" i="142"/>
  <c r="D94" i="142"/>
  <c r="C94" i="142"/>
  <c r="B94" i="142"/>
  <c r="M93" i="142"/>
  <c r="L93" i="142"/>
  <c r="K93" i="142"/>
  <c r="J93" i="142"/>
  <c r="I93" i="142"/>
  <c r="H93" i="142"/>
  <c r="G93" i="142"/>
  <c r="F93" i="142"/>
  <c r="E93" i="142"/>
  <c r="D93" i="142"/>
  <c r="C93" i="142"/>
  <c r="B93" i="142"/>
  <c r="M13" i="142"/>
  <c r="L13" i="142"/>
  <c r="K13" i="142"/>
  <c r="J13" i="142"/>
  <c r="I13" i="142"/>
  <c r="H13" i="142"/>
  <c r="G13" i="142"/>
  <c r="F13" i="142"/>
  <c r="E13" i="142"/>
  <c r="D13" i="142"/>
  <c r="C13" i="142"/>
  <c r="B13" i="142"/>
  <c r="M76" i="142"/>
  <c r="L76" i="142"/>
  <c r="K76" i="142"/>
  <c r="J76" i="142"/>
  <c r="I76" i="142"/>
  <c r="H76" i="142"/>
  <c r="G76" i="142"/>
  <c r="F76" i="142"/>
  <c r="E76" i="142"/>
  <c r="D76" i="142"/>
  <c r="C76" i="142"/>
  <c r="B76" i="142"/>
  <c r="M75" i="142"/>
  <c r="L75" i="142"/>
  <c r="K75" i="142"/>
  <c r="J75" i="142"/>
  <c r="I75" i="142"/>
  <c r="H75" i="142"/>
  <c r="G75" i="142"/>
  <c r="F75" i="142"/>
  <c r="E75" i="142"/>
  <c r="D75" i="142"/>
  <c r="C75" i="142"/>
  <c r="B75" i="142"/>
  <c r="M74" i="142"/>
  <c r="L74" i="142"/>
  <c r="K74" i="142"/>
  <c r="J74" i="142"/>
  <c r="I74" i="142"/>
  <c r="H74" i="142"/>
  <c r="G74" i="142"/>
  <c r="F74" i="142"/>
  <c r="E74" i="142"/>
  <c r="D74" i="142"/>
  <c r="C74" i="142"/>
  <c r="B74" i="142"/>
  <c r="M73" i="142"/>
  <c r="L73" i="142"/>
  <c r="K73" i="142"/>
  <c r="J73" i="142"/>
  <c r="I73" i="142"/>
  <c r="H73" i="142"/>
  <c r="G73" i="142"/>
  <c r="F73" i="142"/>
  <c r="E73" i="142"/>
  <c r="D73" i="142"/>
  <c r="C73" i="142"/>
  <c r="B73" i="142"/>
  <c r="M72" i="142"/>
  <c r="L72" i="142"/>
  <c r="K72" i="142"/>
  <c r="J72" i="142"/>
  <c r="I72" i="142"/>
  <c r="H72" i="142"/>
  <c r="G72" i="142"/>
  <c r="F72" i="142"/>
  <c r="E72" i="142"/>
  <c r="D72" i="142"/>
  <c r="C72" i="142"/>
  <c r="B72" i="142"/>
  <c r="M92" i="142"/>
  <c r="L92" i="142"/>
  <c r="K92" i="142"/>
  <c r="J92" i="142"/>
  <c r="I92" i="142"/>
  <c r="H92" i="142"/>
  <c r="G92" i="142"/>
  <c r="F92" i="142"/>
  <c r="E92" i="142"/>
  <c r="D92" i="142"/>
  <c r="C92" i="142"/>
  <c r="B92" i="142"/>
  <c r="M36" i="142"/>
  <c r="L36" i="142"/>
  <c r="K36" i="142"/>
  <c r="J36" i="142"/>
  <c r="I36" i="142"/>
  <c r="H36" i="142"/>
  <c r="G36" i="142"/>
  <c r="F36" i="142"/>
  <c r="E36" i="142"/>
  <c r="D36" i="142"/>
  <c r="C36" i="142"/>
  <c r="B36" i="142"/>
  <c r="M53" i="142"/>
  <c r="L53" i="142"/>
  <c r="K53" i="142"/>
  <c r="J53" i="142"/>
  <c r="I53" i="142"/>
  <c r="H53" i="142"/>
  <c r="G53" i="142"/>
  <c r="F53" i="142"/>
  <c r="E53" i="142"/>
  <c r="D53" i="142"/>
  <c r="C53" i="142"/>
  <c r="B53" i="142"/>
  <c r="M5" i="142"/>
  <c r="L5" i="142"/>
  <c r="K5" i="142"/>
  <c r="J5" i="142"/>
  <c r="I5" i="142"/>
  <c r="H5" i="142"/>
  <c r="G5" i="142"/>
  <c r="F5" i="142"/>
  <c r="E5" i="142"/>
  <c r="D5" i="142"/>
  <c r="C5" i="142"/>
  <c r="B5" i="142"/>
  <c r="M2" i="142"/>
  <c r="L2" i="142"/>
  <c r="K2" i="142"/>
  <c r="J2" i="142"/>
  <c r="I2" i="142"/>
  <c r="H2" i="142"/>
  <c r="G2" i="142"/>
  <c r="F2" i="142"/>
  <c r="E2" i="142"/>
  <c r="D2" i="142"/>
  <c r="C2" i="142"/>
  <c r="B2" i="142"/>
  <c r="M48" i="142"/>
  <c r="L48" i="142"/>
  <c r="K48" i="142"/>
  <c r="J48" i="142"/>
  <c r="I48" i="142"/>
  <c r="H48" i="142"/>
  <c r="G48" i="142"/>
  <c r="F48" i="142"/>
  <c r="E48" i="142"/>
  <c r="D48" i="142"/>
  <c r="C48" i="142"/>
  <c r="B48" i="142"/>
  <c r="N4" i="141"/>
  <c r="N5" i="141"/>
  <c r="N6" i="141"/>
  <c r="N7" i="141"/>
  <c r="N8" i="141"/>
  <c r="N9" i="141"/>
  <c r="N10" i="141"/>
  <c r="N11" i="141"/>
  <c r="N12" i="141"/>
  <c r="N13" i="141"/>
  <c r="N14" i="141"/>
  <c r="N15" i="141"/>
  <c r="N16" i="141"/>
  <c r="N17" i="141"/>
  <c r="N18" i="141"/>
  <c r="N19" i="141"/>
  <c r="N20" i="141"/>
  <c r="N21" i="141"/>
  <c r="N22" i="141"/>
  <c r="N23" i="141"/>
  <c r="N24" i="141"/>
  <c r="N25" i="141"/>
  <c r="N26" i="141"/>
  <c r="N27" i="141"/>
  <c r="N28" i="141"/>
  <c r="N29" i="141"/>
  <c r="N30" i="141"/>
  <c r="N31" i="141"/>
  <c r="N32" i="141"/>
  <c r="N33" i="141"/>
  <c r="N34" i="141"/>
  <c r="N35" i="141"/>
  <c r="N36" i="141"/>
  <c r="N37" i="141"/>
  <c r="N38" i="141"/>
  <c r="N39" i="141"/>
  <c r="N40" i="141"/>
  <c r="N41" i="141"/>
  <c r="N42" i="141"/>
  <c r="N43" i="141"/>
  <c r="N44" i="141"/>
  <c r="N45" i="141"/>
  <c r="N46" i="141"/>
  <c r="N47" i="141"/>
  <c r="N48" i="141"/>
  <c r="N49" i="141"/>
  <c r="N50" i="141"/>
  <c r="N51" i="141"/>
  <c r="N52" i="141"/>
  <c r="N53" i="141"/>
  <c r="N54" i="141"/>
  <c r="N55" i="141"/>
  <c r="N56" i="141"/>
  <c r="N57" i="141"/>
  <c r="N58" i="141"/>
  <c r="N59" i="141"/>
  <c r="N60" i="141"/>
  <c r="N61" i="141"/>
  <c r="N62" i="141"/>
  <c r="N63" i="141"/>
  <c r="N64" i="141"/>
  <c r="N65" i="141"/>
  <c r="N66" i="141"/>
  <c r="N67" i="141"/>
  <c r="N68" i="141"/>
  <c r="N69" i="141"/>
  <c r="N70" i="141"/>
  <c r="N71" i="141"/>
  <c r="N72" i="141"/>
  <c r="N73" i="141"/>
  <c r="N74" i="141"/>
  <c r="N75" i="141"/>
  <c r="N76" i="141"/>
  <c r="N77" i="141"/>
  <c r="N78" i="141"/>
  <c r="N79" i="141"/>
  <c r="N80" i="141"/>
  <c r="N81" i="141"/>
  <c r="N82" i="141"/>
  <c r="N83" i="141"/>
  <c r="N84" i="141"/>
  <c r="N85" i="141"/>
  <c r="N86" i="141"/>
  <c r="N87" i="141"/>
  <c r="N88" i="141"/>
  <c r="N89" i="141"/>
  <c r="N90" i="141"/>
  <c r="N91" i="141"/>
  <c r="N92" i="141"/>
  <c r="N93" i="141"/>
  <c r="N94" i="141"/>
  <c r="N95" i="141"/>
  <c r="N96" i="141"/>
  <c r="N97" i="141"/>
  <c r="N98" i="141"/>
  <c r="N99" i="141"/>
  <c r="N100" i="141"/>
  <c r="N101" i="141"/>
  <c r="N102" i="141"/>
  <c r="N103" i="141"/>
  <c r="N104" i="141"/>
  <c r="N105" i="141"/>
  <c r="N106" i="141"/>
  <c r="N107" i="141"/>
  <c r="N108" i="141"/>
  <c r="N109" i="141"/>
  <c r="N110" i="141"/>
  <c r="N111" i="141"/>
  <c r="N112" i="141"/>
  <c r="N113" i="141"/>
  <c r="N114" i="141"/>
  <c r="N115" i="141"/>
  <c r="N116" i="141"/>
  <c r="N117" i="141"/>
  <c r="N118" i="141"/>
  <c r="N119" i="141"/>
  <c r="N120" i="141"/>
  <c r="N121" i="141"/>
  <c r="N122" i="141"/>
  <c r="N123" i="141"/>
  <c r="N124" i="141"/>
  <c r="N125" i="141"/>
  <c r="N126" i="141"/>
  <c r="N127" i="141"/>
  <c r="N128" i="141"/>
  <c r="N129" i="141"/>
  <c r="N130" i="141"/>
  <c r="N131" i="141"/>
  <c r="N132" i="141"/>
  <c r="N133" i="141"/>
  <c r="N134" i="141"/>
  <c r="N135" i="141"/>
  <c r="N136" i="141"/>
  <c r="N137" i="141"/>
  <c r="N138" i="141"/>
  <c r="N139" i="141"/>
  <c r="N140" i="141"/>
  <c r="N141" i="141"/>
  <c r="N142" i="141"/>
  <c r="N143" i="141"/>
  <c r="N144" i="141"/>
  <c r="N145" i="141"/>
  <c r="N146" i="141"/>
  <c r="N147" i="141"/>
  <c r="N148" i="141"/>
  <c r="N149" i="141"/>
  <c r="N150" i="141"/>
  <c r="N151" i="141"/>
  <c r="N152" i="141"/>
  <c r="N153" i="141"/>
  <c r="N154" i="141"/>
  <c r="N155" i="141"/>
  <c r="N156" i="141"/>
  <c r="N157" i="141"/>
  <c r="N158" i="141"/>
  <c r="N159" i="141"/>
  <c r="N160" i="141"/>
  <c r="N161" i="141"/>
  <c r="N162" i="141"/>
  <c r="N163" i="141"/>
  <c r="N164" i="141"/>
  <c r="N165" i="141"/>
  <c r="N166" i="141"/>
  <c r="N167" i="141"/>
  <c r="N168" i="141"/>
  <c r="N3" i="141"/>
  <c r="M122" i="141"/>
  <c r="L122" i="141"/>
  <c r="K122" i="141"/>
  <c r="J122" i="141"/>
  <c r="I122" i="141"/>
  <c r="H122" i="141"/>
  <c r="G122" i="141"/>
  <c r="F122" i="141"/>
  <c r="E122" i="141"/>
  <c r="D122" i="141"/>
  <c r="C122" i="141"/>
  <c r="B122" i="141"/>
  <c r="M86" i="141"/>
  <c r="L86" i="141"/>
  <c r="K86" i="141"/>
  <c r="J86" i="141"/>
  <c r="I86" i="141"/>
  <c r="H86" i="141"/>
  <c r="G86" i="141"/>
  <c r="F86" i="141"/>
  <c r="E86" i="141"/>
  <c r="D86" i="141"/>
  <c r="C86" i="141"/>
  <c r="B86" i="141"/>
  <c r="M121" i="141"/>
  <c r="L121" i="141"/>
  <c r="K121" i="141"/>
  <c r="J121" i="141"/>
  <c r="I121" i="141"/>
  <c r="H121" i="141"/>
  <c r="G121" i="141"/>
  <c r="F121" i="141"/>
  <c r="E121" i="141"/>
  <c r="D121" i="141"/>
  <c r="C121" i="141"/>
  <c r="B121" i="141"/>
  <c r="M152" i="141"/>
  <c r="L152" i="141"/>
  <c r="K152" i="141"/>
  <c r="J152" i="141"/>
  <c r="I152" i="141"/>
  <c r="H152" i="141"/>
  <c r="G152" i="141"/>
  <c r="F152" i="141"/>
  <c r="E152" i="141"/>
  <c r="D152" i="141"/>
  <c r="C152" i="141"/>
  <c r="B152" i="141"/>
  <c r="M115" i="141"/>
  <c r="L115" i="141"/>
  <c r="K115" i="141"/>
  <c r="J115" i="141"/>
  <c r="I115" i="141"/>
  <c r="H115" i="141"/>
  <c r="G115" i="141"/>
  <c r="F115" i="141"/>
  <c r="E115" i="141"/>
  <c r="D115" i="141"/>
  <c r="C115" i="141"/>
  <c r="B115" i="141"/>
  <c r="M143" i="141"/>
  <c r="L143" i="141"/>
  <c r="K143" i="141"/>
  <c r="J143" i="141"/>
  <c r="I143" i="141"/>
  <c r="H143" i="141"/>
  <c r="G143" i="141"/>
  <c r="F143" i="141"/>
  <c r="E143" i="141"/>
  <c r="D143" i="141"/>
  <c r="C143" i="141"/>
  <c r="B143" i="141"/>
  <c r="M18" i="141"/>
  <c r="L18" i="141"/>
  <c r="K18" i="141"/>
  <c r="J18" i="141"/>
  <c r="I18" i="141"/>
  <c r="H18" i="141"/>
  <c r="G18" i="141"/>
  <c r="F18" i="141"/>
  <c r="E18" i="141"/>
  <c r="D18" i="141"/>
  <c r="C18" i="141"/>
  <c r="B18" i="141"/>
  <c r="M40" i="141"/>
  <c r="L40" i="141"/>
  <c r="K40" i="141"/>
  <c r="J40" i="141"/>
  <c r="I40" i="141"/>
  <c r="H40" i="141"/>
  <c r="G40" i="141"/>
  <c r="F40" i="141"/>
  <c r="E40" i="141"/>
  <c r="D40" i="141"/>
  <c r="C40" i="141"/>
  <c r="B40" i="141"/>
  <c r="M39" i="141"/>
  <c r="L39" i="141"/>
  <c r="K39" i="141"/>
  <c r="J39" i="141"/>
  <c r="I39" i="141"/>
  <c r="H39" i="141"/>
  <c r="G39" i="141"/>
  <c r="F39" i="141"/>
  <c r="E39" i="141"/>
  <c r="D39" i="141"/>
  <c r="C39" i="141"/>
  <c r="B39" i="141"/>
  <c r="M7" i="141"/>
  <c r="L7" i="141"/>
  <c r="K7" i="141"/>
  <c r="J7" i="141"/>
  <c r="I7" i="141"/>
  <c r="H7" i="141"/>
  <c r="G7" i="141"/>
  <c r="F7" i="141"/>
  <c r="E7" i="141"/>
  <c r="D7" i="141"/>
  <c r="C7" i="141"/>
  <c r="B7" i="141"/>
  <c r="M29" i="141"/>
  <c r="L29" i="141"/>
  <c r="K29" i="141"/>
  <c r="J29" i="141"/>
  <c r="I29" i="141"/>
  <c r="H29" i="141"/>
  <c r="G29" i="141"/>
  <c r="F29" i="141"/>
  <c r="E29" i="141"/>
  <c r="D29" i="141"/>
  <c r="C29" i="141"/>
  <c r="B29" i="141"/>
  <c r="M38" i="141"/>
  <c r="L38" i="141"/>
  <c r="K38" i="141"/>
  <c r="J38" i="141"/>
  <c r="I38" i="141"/>
  <c r="H38" i="141"/>
  <c r="G38" i="141"/>
  <c r="F38" i="141"/>
  <c r="E38" i="141"/>
  <c r="D38" i="141"/>
  <c r="C38" i="141"/>
  <c r="B38" i="141"/>
  <c r="M23" i="141"/>
  <c r="L23" i="141"/>
  <c r="K23" i="141"/>
  <c r="J23" i="141"/>
  <c r="I23" i="141"/>
  <c r="H23" i="141"/>
  <c r="G23" i="141"/>
  <c r="F23" i="141"/>
  <c r="E23" i="141"/>
  <c r="D23" i="141"/>
  <c r="C23" i="141"/>
  <c r="B23" i="141"/>
  <c r="M120" i="141"/>
  <c r="L120" i="141"/>
  <c r="K120" i="141"/>
  <c r="J120" i="141"/>
  <c r="I120" i="141"/>
  <c r="H120" i="141"/>
  <c r="G120" i="141"/>
  <c r="F120" i="141"/>
  <c r="E120" i="141"/>
  <c r="D120" i="141"/>
  <c r="C120" i="141"/>
  <c r="B120" i="141"/>
  <c r="M81" i="141"/>
  <c r="L81" i="141"/>
  <c r="K81" i="141"/>
  <c r="J81" i="141"/>
  <c r="I81" i="141"/>
  <c r="H81" i="141"/>
  <c r="G81" i="141"/>
  <c r="F81" i="141"/>
  <c r="E81" i="141"/>
  <c r="D81" i="141"/>
  <c r="C81" i="141"/>
  <c r="B81" i="141"/>
  <c r="M94" i="141"/>
  <c r="L94" i="141"/>
  <c r="K94" i="141"/>
  <c r="J94" i="141"/>
  <c r="I94" i="141"/>
  <c r="H94" i="141"/>
  <c r="G94" i="141"/>
  <c r="F94" i="141"/>
  <c r="E94" i="141"/>
  <c r="D94" i="141"/>
  <c r="C94" i="141"/>
  <c r="B94" i="141"/>
  <c r="M100" i="141"/>
  <c r="L100" i="141"/>
  <c r="K100" i="141"/>
  <c r="J100" i="141"/>
  <c r="I100" i="141"/>
  <c r="H100" i="141"/>
  <c r="G100" i="141"/>
  <c r="F100" i="141"/>
  <c r="E100" i="141"/>
  <c r="D100" i="141"/>
  <c r="C100" i="141"/>
  <c r="B100" i="141"/>
  <c r="M68" i="141"/>
  <c r="L68" i="141"/>
  <c r="K68" i="141"/>
  <c r="J68" i="141"/>
  <c r="I68" i="141"/>
  <c r="H68" i="141"/>
  <c r="G68" i="141"/>
  <c r="F68" i="141"/>
  <c r="E68" i="141"/>
  <c r="D68" i="141"/>
  <c r="C68" i="141"/>
  <c r="B68" i="141"/>
  <c r="M47" i="141"/>
  <c r="L47" i="141"/>
  <c r="K47" i="141"/>
  <c r="J47" i="141"/>
  <c r="I47" i="141"/>
  <c r="H47" i="141"/>
  <c r="G47" i="141"/>
  <c r="F47" i="141"/>
  <c r="E47" i="141"/>
  <c r="D47" i="141"/>
  <c r="C47" i="141"/>
  <c r="B47" i="141"/>
  <c r="M6" i="141"/>
  <c r="L6" i="141"/>
  <c r="K6" i="141"/>
  <c r="J6" i="141"/>
  <c r="I6" i="141"/>
  <c r="H6" i="141"/>
  <c r="G6" i="141"/>
  <c r="F6" i="141"/>
  <c r="E6" i="141"/>
  <c r="D6" i="141"/>
  <c r="C6" i="141"/>
  <c r="B6" i="141"/>
  <c r="M93" i="141"/>
  <c r="L93" i="141"/>
  <c r="K93" i="141"/>
  <c r="J93" i="141"/>
  <c r="I93" i="141"/>
  <c r="H93" i="141"/>
  <c r="G93" i="141"/>
  <c r="F93" i="141"/>
  <c r="E93" i="141"/>
  <c r="D93" i="141"/>
  <c r="C93" i="141"/>
  <c r="B93" i="141"/>
  <c r="M99" i="141"/>
  <c r="L99" i="141"/>
  <c r="K99" i="141"/>
  <c r="J99" i="141"/>
  <c r="I99" i="141"/>
  <c r="H99" i="141"/>
  <c r="G99" i="141"/>
  <c r="F99" i="141"/>
  <c r="E99" i="141"/>
  <c r="D99" i="141"/>
  <c r="C99" i="141"/>
  <c r="B99" i="141"/>
  <c r="M52" i="141"/>
  <c r="L52" i="141"/>
  <c r="K52" i="141"/>
  <c r="J52" i="141"/>
  <c r="I52" i="141"/>
  <c r="H52" i="141"/>
  <c r="G52" i="141"/>
  <c r="F52" i="141"/>
  <c r="E52" i="141"/>
  <c r="D52" i="141"/>
  <c r="C52" i="141"/>
  <c r="B52" i="141"/>
  <c r="M114" i="141"/>
  <c r="L114" i="141"/>
  <c r="K114" i="141"/>
  <c r="J114" i="141"/>
  <c r="I114" i="141"/>
  <c r="H114" i="141"/>
  <c r="G114" i="141"/>
  <c r="F114" i="141"/>
  <c r="E114" i="141"/>
  <c r="D114" i="141"/>
  <c r="C114" i="141"/>
  <c r="B114" i="141"/>
  <c r="M67" i="141"/>
  <c r="L67" i="141"/>
  <c r="K67" i="141"/>
  <c r="J67" i="141"/>
  <c r="I67" i="141"/>
  <c r="H67" i="141"/>
  <c r="G67" i="141"/>
  <c r="F67" i="141"/>
  <c r="E67" i="141"/>
  <c r="D67" i="141"/>
  <c r="C67" i="141"/>
  <c r="B67" i="141"/>
  <c r="M46" i="141"/>
  <c r="L46" i="141"/>
  <c r="K46" i="141"/>
  <c r="J46" i="141"/>
  <c r="I46" i="141"/>
  <c r="H46" i="141"/>
  <c r="G46" i="141"/>
  <c r="F46" i="141"/>
  <c r="E46" i="141"/>
  <c r="D46" i="141"/>
  <c r="C46" i="141"/>
  <c r="B46" i="141"/>
  <c r="M119" i="141"/>
  <c r="L119" i="141"/>
  <c r="K119" i="141"/>
  <c r="J119" i="141"/>
  <c r="I119" i="141"/>
  <c r="H119" i="141"/>
  <c r="G119" i="141"/>
  <c r="F119" i="141"/>
  <c r="E119" i="141"/>
  <c r="D119" i="141"/>
  <c r="C119" i="141"/>
  <c r="B119" i="141"/>
  <c r="M80" i="141"/>
  <c r="L80" i="141"/>
  <c r="K80" i="141"/>
  <c r="J80" i="141"/>
  <c r="I80" i="141"/>
  <c r="H80" i="141"/>
  <c r="G80" i="141"/>
  <c r="F80" i="141"/>
  <c r="E80" i="141"/>
  <c r="D80" i="141"/>
  <c r="C80" i="141"/>
  <c r="B80" i="141"/>
  <c r="M22" i="141"/>
  <c r="L22" i="141"/>
  <c r="K22" i="141"/>
  <c r="J22" i="141"/>
  <c r="I22" i="141"/>
  <c r="H22" i="141"/>
  <c r="G22" i="141"/>
  <c r="F22" i="141"/>
  <c r="E22" i="141"/>
  <c r="D22" i="141"/>
  <c r="C22" i="141"/>
  <c r="B22" i="141"/>
  <c r="M28" i="141"/>
  <c r="L28" i="141"/>
  <c r="K28" i="141"/>
  <c r="J28" i="141"/>
  <c r="I28" i="141"/>
  <c r="H28" i="141"/>
  <c r="G28" i="141"/>
  <c r="F28" i="141"/>
  <c r="E28" i="141"/>
  <c r="D28" i="141"/>
  <c r="C28" i="141"/>
  <c r="B28" i="141"/>
  <c r="M57" i="141"/>
  <c r="L57" i="141"/>
  <c r="K57" i="141"/>
  <c r="J57" i="141"/>
  <c r="I57" i="141"/>
  <c r="H57" i="141"/>
  <c r="G57" i="141"/>
  <c r="F57" i="141"/>
  <c r="E57" i="141"/>
  <c r="D57" i="141"/>
  <c r="C57" i="141"/>
  <c r="B57" i="141"/>
  <c r="M5" i="141"/>
  <c r="L5" i="141"/>
  <c r="K5" i="141"/>
  <c r="J5" i="141"/>
  <c r="I5" i="141"/>
  <c r="H5" i="141"/>
  <c r="G5" i="141"/>
  <c r="F5" i="141"/>
  <c r="E5" i="141"/>
  <c r="D5" i="141"/>
  <c r="C5" i="141"/>
  <c r="B5" i="141"/>
  <c r="M37" i="141"/>
  <c r="L37" i="141"/>
  <c r="K37" i="141"/>
  <c r="J37" i="141"/>
  <c r="I37" i="141"/>
  <c r="H37" i="141"/>
  <c r="G37" i="141"/>
  <c r="F37" i="141"/>
  <c r="E37" i="141"/>
  <c r="D37" i="141"/>
  <c r="C37" i="141"/>
  <c r="B37" i="141"/>
  <c r="M17" i="141"/>
  <c r="L17" i="141"/>
  <c r="K17" i="141"/>
  <c r="J17" i="141"/>
  <c r="I17" i="141"/>
  <c r="H17" i="141"/>
  <c r="G17" i="141"/>
  <c r="F17" i="141"/>
  <c r="E17" i="141"/>
  <c r="D17" i="141"/>
  <c r="C17" i="141"/>
  <c r="B17" i="141"/>
  <c r="M160" i="141"/>
  <c r="L160" i="141"/>
  <c r="K160" i="141"/>
  <c r="J160" i="141"/>
  <c r="I160" i="141"/>
  <c r="H160" i="141"/>
  <c r="G160" i="141"/>
  <c r="F160" i="141"/>
  <c r="E160" i="141"/>
  <c r="D160" i="141"/>
  <c r="C160" i="141"/>
  <c r="B160" i="141"/>
  <c r="M85" i="141"/>
  <c r="L85" i="141"/>
  <c r="K85" i="141"/>
  <c r="J85" i="141"/>
  <c r="I85" i="141"/>
  <c r="H85" i="141"/>
  <c r="G85" i="141"/>
  <c r="F85" i="141"/>
  <c r="E85" i="141"/>
  <c r="D85" i="141"/>
  <c r="C85" i="141"/>
  <c r="B85" i="141"/>
  <c r="M21" i="141"/>
  <c r="L21" i="141"/>
  <c r="K21" i="141"/>
  <c r="J21" i="141"/>
  <c r="I21" i="141"/>
  <c r="H21" i="141"/>
  <c r="G21" i="141"/>
  <c r="F21" i="141"/>
  <c r="E21" i="141"/>
  <c r="D21" i="141"/>
  <c r="C21" i="141"/>
  <c r="B21" i="141"/>
  <c r="M72" i="141"/>
  <c r="L72" i="141"/>
  <c r="K72" i="141"/>
  <c r="J72" i="141"/>
  <c r="I72" i="141"/>
  <c r="H72" i="141"/>
  <c r="G72" i="141"/>
  <c r="F72" i="141"/>
  <c r="E72" i="141"/>
  <c r="D72" i="141"/>
  <c r="C72" i="141"/>
  <c r="B72" i="141"/>
  <c r="M61" i="141"/>
  <c r="L61" i="141"/>
  <c r="K61" i="141"/>
  <c r="J61" i="141"/>
  <c r="I61" i="141"/>
  <c r="H61" i="141"/>
  <c r="G61" i="141"/>
  <c r="F61" i="141"/>
  <c r="E61" i="141"/>
  <c r="D61" i="141"/>
  <c r="C61" i="141"/>
  <c r="B61" i="141"/>
  <c r="M75" i="141"/>
  <c r="L75" i="141"/>
  <c r="K75" i="141"/>
  <c r="J75" i="141"/>
  <c r="I75" i="141"/>
  <c r="H75" i="141"/>
  <c r="G75" i="141"/>
  <c r="F75" i="141"/>
  <c r="E75" i="141"/>
  <c r="D75" i="141"/>
  <c r="C75" i="141"/>
  <c r="B75" i="141"/>
  <c r="M147" i="141"/>
  <c r="L147" i="141"/>
  <c r="K147" i="141"/>
  <c r="J147" i="141"/>
  <c r="I147" i="141"/>
  <c r="H147" i="141"/>
  <c r="G147" i="141"/>
  <c r="F147" i="141"/>
  <c r="E147" i="141"/>
  <c r="D147" i="141"/>
  <c r="C147" i="141"/>
  <c r="B147" i="141"/>
  <c r="M150" i="141"/>
  <c r="L150" i="141"/>
  <c r="K150" i="141"/>
  <c r="J150" i="141"/>
  <c r="I150" i="141"/>
  <c r="H150" i="141"/>
  <c r="G150" i="141"/>
  <c r="F150" i="141"/>
  <c r="E150" i="141"/>
  <c r="D150" i="141"/>
  <c r="C150" i="141"/>
  <c r="B150" i="141"/>
  <c r="M118" i="141"/>
  <c r="L118" i="141"/>
  <c r="K118" i="141"/>
  <c r="J118" i="141"/>
  <c r="I118" i="141"/>
  <c r="H118" i="141"/>
  <c r="G118" i="141"/>
  <c r="F118" i="141"/>
  <c r="E118" i="141"/>
  <c r="D118" i="141"/>
  <c r="C118" i="141"/>
  <c r="B118" i="141"/>
  <c r="M135" i="141"/>
  <c r="L135" i="141"/>
  <c r="K135" i="141"/>
  <c r="J135" i="141"/>
  <c r="I135" i="141"/>
  <c r="H135" i="141"/>
  <c r="G135" i="141"/>
  <c r="F135" i="141"/>
  <c r="E135" i="141"/>
  <c r="D135" i="141"/>
  <c r="C135" i="141"/>
  <c r="B135" i="141"/>
  <c r="M104" i="141"/>
  <c r="L104" i="141"/>
  <c r="K104" i="141"/>
  <c r="J104" i="141"/>
  <c r="I104" i="141"/>
  <c r="H104" i="141"/>
  <c r="G104" i="141"/>
  <c r="F104" i="141"/>
  <c r="E104" i="141"/>
  <c r="D104" i="141"/>
  <c r="C104" i="141"/>
  <c r="B104" i="141"/>
  <c r="M107" i="141"/>
  <c r="L107" i="141"/>
  <c r="K107" i="141"/>
  <c r="J107" i="141"/>
  <c r="I107" i="141"/>
  <c r="H107" i="141"/>
  <c r="G107" i="141"/>
  <c r="F107" i="141"/>
  <c r="E107" i="141"/>
  <c r="D107" i="141"/>
  <c r="C107" i="141"/>
  <c r="B107" i="141"/>
  <c r="M92" i="141"/>
  <c r="L92" i="141"/>
  <c r="K92" i="141"/>
  <c r="J92" i="141"/>
  <c r="I92" i="141"/>
  <c r="H92" i="141"/>
  <c r="G92" i="141"/>
  <c r="F92" i="141"/>
  <c r="E92" i="141"/>
  <c r="D92" i="141"/>
  <c r="C92" i="141"/>
  <c r="B92" i="141"/>
  <c r="M130" i="141"/>
  <c r="L130" i="141"/>
  <c r="K130" i="141"/>
  <c r="J130" i="141"/>
  <c r="I130" i="141"/>
  <c r="H130" i="141"/>
  <c r="G130" i="141"/>
  <c r="F130" i="141"/>
  <c r="E130" i="141"/>
  <c r="D130" i="141"/>
  <c r="C130" i="141"/>
  <c r="B130" i="141"/>
  <c r="M89" i="141"/>
  <c r="L89" i="141"/>
  <c r="K89" i="141"/>
  <c r="J89" i="141"/>
  <c r="I89" i="141"/>
  <c r="H89" i="141"/>
  <c r="G89" i="141"/>
  <c r="F89" i="141"/>
  <c r="E89" i="141"/>
  <c r="D89" i="141"/>
  <c r="C89" i="141"/>
  <c r="B89" i="141"/>
  <c r="M98" i="141"/>
  <c r="L98" i="141"/>
  <c r="K98" i="141"/>
  <c r="J98" i="141"/>
  <c r="I98" i="141"/>
  <c r="H98" i="141"/>
  <c r="G98" i="141"/>
  <c r="F98" i="141"/>
  <c r="E98" i="141"/>
  <c r="D98" i="141"/>
  <c r="C98" i="141"/>
  <c r="B98" i="141"/>
  <c r="M79" i="141"/>
  <c r="L79" i="141"/>
  <c r="K79" i="141"/>
  <c r="J79" i="141"/>
  <c r="I79" i="141"/>
  <c r="H79" i="141"/>
  <c r="G79" i="141"/>
  <c r="F79" i="141"/>
  <c r="E79" i="141"/>
  <c r="D79" i="141"/>
  <c r="C79" i="141"/>
  <c r="B79" i="141"/>
  <c r="M66" i="141"/>
  <c r="L66" i="141"/>
  <c r="K66" i="141"/>
  <c r="J66" i="141"/>
  <c r="I66" i="141"/>
  <c r="H66" i="141"/>
  <c r="G66" i="141"/>
  <c r="F66" i="141"/>
  <c r="E66" i="141"/>
  <c r="D66" i="141"/>
  <c r="C66" i="141"/>
  <c r="B66" i="141"/>
  <c r="M51" i="141"/>
  <c r="L51" i="141"/>
  <c r="K51" i="141"/>
  <c r="J51" i="141"/>
  <c r="I51" i="141"/>
  <c r="H51" i="141"/>
  <c r="G51" i="141"/>
  <c r="F51" i="141"/>
  <c r="E51" i="141"/>
  <c r="D51" i="141"/>
  <c r="C51" i="141"/>
  <c r="B51" i="141"/>
  <c r="M27" i="141"/>
  <c r="L27" i="141"/>
  <c r="K27" i="141"/>
  <c r="J27" i="141"/>
  <c r="I27" i="141"/>
  <c r="H27" i="141"/>
  <c r="G27" i="141"/>
  <c r="F27" i="141"/>
  <c r="E27" i="141"/>
  <c r="D27" i="141"/>
  <c r="C27" i="141"/>
  <c r="B27" i="141"/>
  <c r="M11" i="141"/>
  <c r="L11" i="141"/>
  <c r="K11" i="141"/>
  <c r="J11" i="141"/>
  <c r="I11" i="141"/>
  <c r="H11" i="141"/>
  <c r="G11" i="141"/>
  <c r="F11" i="141"/>
  <c r="E11" i="141"/>
  <c r="D11" i="141"/>
  <c r="C11" i="141"/>
  <c r="B11" i="141"/>
  <c r="M56" i="141"/>
  <c r="L56" i="141"/>
  <c r="K56" i="141"/>
  <c r="J56" i="141"/>
  <c r="I56" i="141"/>
  <c r="H56" i="141"/>
  <c r="G56" i="141"/>
  <c r="F56" i="141"/>
  <c r="E56" i="141"/>
  <c r="D56" i="141"/>
  <c r="C56" i="141"/>
  <c r="B56" i="141"/>
  <c r="M4" i="141"/>
  <c r="L4" i="141"/>
  <c r="K4" i="141"/>
  <c r="J4" i="141"/>
  <c r="I4" i="141"/>
  <c r="H4" i="141"/>
  <c r="G4" i="141"/>
  <c r="F4" i="141"/>
  <c r="E4" i="141"/>
  <c r="D4" i="141"/>
  <c r="C4" i="141"/>
  <c r="B4" i="141"/>
  <c r="M36" i="141"/>
  <c r="L36" i="141"/>
  <c r="K36" i="141"/>
  <c r="J36" i="141"/>
  <c r="I36" i="141"/>
  <c r="H36" i="141"/>
  <c r="G36" i="141"/>
  <c r="F36" i="141"/>
  <c r="E36" i="141"/>
  <c r="D36" i="141"/>
  <c r="C36" i="141"/>
  <c r="B36" i="141"/>
  <c r="M16" i="141"/>
  <c r="L16" i="141"/>
  <c r="K16" i="141"/>
  <c r="J16" i="141"/>
  <c r="I16" i="141"/>
  <c r="H16" i="141"/>
  <c r="G16" i="141"/>
  <c r="F16" i="141"/>
  <c r="E16" i="141"/>
  <c r="D16" i="141"/>
  <c r="C16" i="141"/>
  <c r="B16" i="141"/>
  <c r="M45" i="141"/>
  <c r="L45" i="141"/>
  <c r="K45" i="141"/>
  <c r="J45" i="141"/>
  <c r="I45" i="141"/>
  <c r="H45" i="141"/>
  <c r="G45" i="141"/>
  <c r="F45" i="141"/>
  <c r="E45" i="141"/>
  <c r="D45" i="141"/>
  <c r="C45" i="141"/>
  <c r="B45" i="141"/>
  <c r="M113" i="141"/>
  <c r="L113" i="141"/>
  <c r="K113" i="141"/>
  <c r="J113" i="141"/>
  <c r="I113" i="141"/>
  <c r="H113" i="141"/>
  <c r="G113" i="141"/>
  <c r="F113" i="141"/>
  <c r="E113" i="141"/>
  <c r="D113" i="141"/>
  <c r="C113" i="141"/>
  <c r="B113" i="141"/>
  <c r="M163" i="141"/>
  <c r="L163" i="141"/>
  <c r="K163" i="141"/>
  <c r="J163" i="141"/>
  <c r="I163" i="141"/>
  <c r="H163" i="141"/>
  <c r="G163" i="141"/>
  <c r="F163" i="141"/>
  <c r="E163" i="141"/>
  <c r="D163" i="141"/>
  <c r="C163" i="141"/>
  <c r="B163" i="141"/>
  <c r="M84" i="141"/>
  <c r="L84" i="141"/>
  <c r="K84" i="141"/>
  <c r="J84" i="141"/>
  <c r="I84" i="141"/>
  <c r="H84" i="141"/>
  <c r="G84" i="141"/>
  <c r="F84" i="141"/>
  <c r="E84" i="141"/>
  <c r="D84" i="141"/>
  <c r="C84" i="141"/>
  <c r="B84" i="141"/>
  <c r="M156" i="141"/>
  <c r="L156" i="141"/>
  <c r="K156" i="141"/>
  <c r="J156" i="141"/>
  <c r="I156" i="141"/>
  <c r="H156" i="141"/>
  <c r="G156" i="141"/>
  <c r="F156" i="141"/>
  <c r="E156" i="141"/>
  <c r="D156" i="141"/>
  <c r="C156" i="141"/>
  <c r="B156" i="141"/>
  <c r="M162" i="141"/>
  <c r="L162" i="141"/>
  <c r="K162" i="141"/>
  <c r="J162" i="141"/>
  <c r="I162" i="141"/>
  <c r="H162" i="141"/>
  <c r="G162" i="141"/>
  <c r="F162" i="141"/>
  <c r="E162" i="141"/>
  <c r="D162" i="141"/>
  <c r="C162" i="141"/>
  <c r="B162" i="141"/>
  <c r="M50" i="141"/>
  <c r="L50" i="141"/>
  <c r="K50" i="141"/>
  <c r="J50" i="141"/>
  <c r="I50" i="141"/>
  <c r="H50" i="141"/>
  <c r="G50" i="141"/>
  <c r="F50" i="141"/>
  <c r="E50" i="141"/>
  <c r="D50" i="141"/>
  <c r="C50" i="141"/>
  <c r="B50" i="141"/>
  <c r="M63" i="141"/>
  <c r="L63" i="141"/>
  <c r="K63" i="141"/>
  <c r="J63" i="141"/>
  <c r="I63" i="141"/>
  <c r="H63" i="141"/>
  <c r="G63" i="141"/>
  <c r="F63" i="141"/>
  <c r="E63" i="141"/>
  <c r="D63" i="141"/>
  <c r="C63" i="141"/>
  <c r="B63" i="141"/>
  <c r="M149" i="141"/>
  <c r="L149" i="141"/>
  <c r="K149" i="141"/>
  <c r="J149" i="141"/>
  <c r="I149" i="141"/>
  <c r="H149" i="141"/>
  <c r="G149" i="141"/>
  <c r="F149" i="141"/>
  <c r="E149" i="141"/>
  <c r="D149" i="141"/>
  <c r="C149" i="141"/>
  <c r="B149" i="141"/>
  <c r="M134" i="141"/>
  <c r="L134" i="141"/>
  <c r="K134" i="141"/>
  <c r="J134" i="141"/>
  <c r="I134" i="141"/>
  <c r="H134" i="141"/>
  <c r="G134" i="141"/>
  <c r="F134" i="141"/>
  <c r="E134" i="141"/>
  <c r="D134" i="141"/>
  <c r="C134" i="141"/>
  <c r="B134" i="141"/>
  <c r="M117" i="141"/>
  <c r="L117" i="141"/>
  <c r="K117" i="141"/>
  <c r="J117" i="141"/>
  <c r="I117" i="141"/>
  <c r="H117" i="141"/>
  <c r="G117" i="141"/>
  <c r="F117" i="141"/>
  <c r="E117" i="141"/>
  <c r="D117" i="141"/>
  <c r="C117" i="141"/>
  <c r="B117" i="141"/>
  <c r="M146" i="141"/>
  <c r="L146" i="141"/>
  <c r="K146" i="141"/>
  <c r="J146" i="141"/>
  <c r="I146" i="141"/>
  <c r="H146" i="141"/>
  <c r="G146" i="141"/>
  <c r="F146" i="141"/>
  <c r="E146" i="141"/>
  <c r="D146" i="141"/>
  <c r="C146" i="141"/>
  <c r="B146" i="141"/>
  <c r="M91" i="141"/>
  <c r="L91" i="141"/>
  <c r="K91" i="141"/>
  <c r="J91" i="141"/>
  <c r="I91" i="141"/>
  <c r="H91" i="141"/>
  <c r="G91" i="141"/>
  <c r="F91" i="141"/>
  <c r="E91" i="141"/>
  <c r="D91" i="141"/>
  <c r="C91" i="141"/>
  <c r="B91" i="141"/>
  <c r="M106" i="141"/>
  <c r="L106" i="141"/>
  <c r="K106" i="141"/>
  <c r="J106" i="141"/>
  <c r="I106" i="141"/>
  <c r="H106" i="141"/>
  <c r="G106" i="141"/>
  <c r="F106" i="141"/>
  <c r="E106" i="141"/>
  <c r="D106" i="141"/>
  <c r="C106" i="141"/>
  <c r="B106" i="141"/>
  <c r="M88" i="141"/>
  <c r="L88" i="141"/>
  <c r="K88" i="141"/>
  <c r="J88" i="141"/>
  <c r="I88" i="141"/>
  <c r="H88" i="141"/>
  <c r="G88" i="141"/>
  <c r="F88" i="141"/>
  <c r="E88" i="141"/>
  <c r="D88" i="141"/>
  <c r="C88" i="141"/>
  <c r="B88" i="141"/>
  <c r="M159" i="141"/>
  <c r="L159" i="141"/>
  <c r="K159" i="141"/>
  <c r="J159" i="141"/>
  <c r="I159" i="141"/>
  <c r="H159" i="141"/>
  <c r="G159" i="141"/>
  <c r="F159" i="141"/>
  <c r="E159" i="141"/>
  <c r="D159" i="141"/>
  <c r="C159" i="141"/>
  <c r="B159" i="141"/>
  <c r="M127" i="141"/>
  <c r="L127" i="141"/>
  <c r="K127" i="141"/>
  <c r="J127" i="141"/>
  <c r="I127" i="141"/>
  <c r="H127" i="141"/>
  <c r="G127" i="141"/>
  <c r="F127" i="141"/>
  <c r="E127" i="141"/>
  <c r="D127" i="141"/>
  <c r="C127" i="141"/>
  <c r="B127" i="141"/>
  <c r="M112" i="141"/>
  <c r="L112" i="141"/>
  <c r="K112" i="141"/>
  <c r="J112" i="141"/>
  <c r="I112" i="141"/>
  <c r="H112" i="141"/>
  <c r="G112" i="141"/>
  <c r="F112" i="141"/>
  <c r="E112" i="141"/>
  <c r="D112" i="141"/>
  <c r="C112" i="141"/>
  <c r="B112" i="141"/>
  <c r="M103" i="141"/>
  <c r="L103" i="141"/>
  <c r="K103" i="141"/>
  <c r="J103" i="141"/>
  <c r="I103" i="141"/>
  <c r="H103" i="141"/>
  <c r="G103" i="141"/>
  <c r="F103" i="141"/>
  <c r="E103" i="141"/>
  <c r="D103" i="141"/>
  <c r="C103" i="141"/>
  <c r="B103" i="141"/>
  <c r="M129" i="141"/>
  <c r="L129" i="141"/>
  <c r="K129" i="141"/>
  <c r="J129" i="141"/>
  <c r="I129" i="141"/>
  <c r="H129" i="141"/>
  <c r="G129" i="141"/>
  <c r="F129" i="141"/>
  <c r="E129" i="141"/>
  <c r="D129" i="141"/>
  <c r="C129" i="141"/>
  <c r="B129" i="141"/>
  <c r="M74" i="141"/>
  <c r="L74" i="141"/>
  <c r="K74" i="141"/>
  <c r="J74" i="141"/>
  <c r="I74" i="141"/>
  <c r="H74" i="141"/>
  <c r="G74" i="141"/>
  <c r="F74" i="141"/>
  <c r="E74" i="141"/>
  <c r="D74" i="141"/>
  <c r="C74" i="141"/>
  <c r="B74" i="141"/>
  <c r="M60" i="141"/>
  <c r="L60" i="141"/>
  <c r="K60" i="141"/>
  <c r="J60" i="141"/>
  <c r="I60" i="141"/>
  <c r="H60" i="141"/>
  <c r="G60" i="141"/>
  <c r="F60" i="141"/>
  <c r="E60" i="141"/>
  <c r="D60" i="141"/>
  <c r="C60" i="141"/>
  <c r="B60" i="141"/>
  <c r="M97" i="141"/>
  <c r="L97" i="141"/>
  <c r="K97" i="141"/>
  <c r="J97" i="141"/>
  <c r="I97" i="141"/>
  <c r="H97" i="141"/>
  <c r="G97" i="141"/>
  <c r="F97" i="141"/>
  <c r="E97" i="141"/>
  <c r="D97" i="141"/>
  <c r="C97" i="141"/>
  <c r="B97" i="141"/>
  <c r="M78" i="141"/>
  <c r="L78" i="141"/>
  <c r="K78" i="141"/>
  <c r="J78" i="141"/>
  <c r="I78" i="141"/>
  <c r="H78" i="141"/>
  <c r="G78" i="141"/>
  <c r="F78" i="141"/>
  <c r="E78" i="141"/>
  <c r="D78" i="141"/>
  <c r="C78" i="141"/>
  <c r="B78" i="141"/>
  <c r="M65" i="141"/>
  <c r="L65" i="141"/>
  <c r="K65" i="141"/>
  <c r="J65" i="141"/>
  <c r="I65" i="141"/>
  <c r="H65" i="141"/>
  <c r="G65" i="141"/>
  <c r="F65" i="141"/>
  <c r="E65" i="141"/>
  <c r="D65" i="141"/>
  <c r="C65" i="141"/>
  <c r="B65" i="141"/>
  <c r="M44" i="141"/>
  <c r="L44" i="141"/>
  <c r="K44" i="141"/>
  <c r="J44" i="141"/>
  <c r="I44" i="141"/>
  <c r="H44" i="141"/>
  <c r="G44" i="141"/>
  <c r="F44" i="141"/>
  <c r="E44" i="141"/>
  <c r="D44" i="141"/>
  <c r="C44" i="141"/>
  <c r="B44" i="141"/>
  <c r="M83" i="141"/>
  <c r="L83" i="141"/>
  <c r="K83" i="141"/>
  <c r="J83" i="141"/>
  <c r="I83" i="141"/>
  <c r="H83" i="141"/>
  <c r="G83" i="141"/>
  <c r="F83" i="141"/>
  <c r="E83" i="141"/>
  <c r="D83" i="141"/>
  <c r="C83" i="141"/>
  <c r="B83" i="141"/>
  <c r="M71" i="141"/>
  <c r="L71" i="141"/>
  <c r="K71" i="141"/>
  <c r="J71" i="141"/>
  <c r="I71" i="141"/>
  <c r="H71" i="141"/>
  <c r="G71" i="141"/>
  <c r="F71" i="141"/>
  <c r="E71" i="141"/>
  <c r="D71" i="141"/>
  <c r="C71" i="141"/>
  <c r="B71" i="141"/>
  <c r="M20" i="141"/>
  <c r="L20" i="141"/>
  <c r="K20" i="141"/>
  <c r="J20" i="141"/>
  <c r="I20" i="141"/>
  <c r="H20" i="141"/>
  <c r="G20" i="141"/>
  <c r="F20" i="141"/>
  <c r="E20" i="141"/>
  <c r="D20" i="141"/>
  <c r="C20" i="141"/>
  <c r="B20" i="141"/>
  <c r="M26" i="141"/>
  <c r="L26" i="141"/>
  <c r="K26" i="141"/>
  <c r="J26" i="141"/>
  <c r="I26" i="141"/>
  <c r="H26" i="141"/>
  <c r="G26" i="141"/>
  <c r="F26" i="141"/>
  <c r="E26" i="141"/>
  <c r="D26" i="141"/>
  <c r="C26" i="141"/>
  <c r="B26" i="141"/>
  <c r="M10" i="141"/>
  <c r="L10" i="141"/>
  <c r="K10" i="141"/>
  <c r="J10" i="141"/>
  <c r="I10" i="141"/>
  <c r="H10" i="141"/>
  <c r="G10" i="141"/>
  <c r="F10" i="141"/>
  <c r="E10" i="141"/>
  <c r="D10" i="141"/>
  <c r="C10" i="141"/>
  <c r="B10" i="141"/>
  <c r="M55" i="141"/>
  <c r="L55" i="141"/>
  <c r="K55" i="141"/>
  <c r="J55" i="141"/>
  <c r="I55" i="141"/>
  <c r="H55" i="141"/>
  <c r="G55" i="141"/>
  <c r="F55" i="141"/>
  <c r="E55" i="141"/>
  <c r="D55" i="141"/>
  <c r="C55" i="141"/>
  <c r="B55" i="141"/>
  <c r="M35" i="141"/>
  <c r="L35" i="141"/>
  <c r="K35" i="141"/>
  <c r="J35" i="141"/>
  <c r="I35" i="141"/>
  <c r="H35" i="141"/>
  <c r="G35" i="141"/>
  <c r="F35" i="141"/>
  <c r="E35" i="141"/>
  <c r="D35" i="141"/>
  <c r="C35" i="141"/>
  <c r="B35" i="141"/>
  <c r="M15" i="141"/>
  <c r="L15" i="141"/>
  <c r="K15" i="141"/>
  <c r="J15" i="141"/>
  <c r="I15" i="141"/>
  <c r="H15" i="141"/>
  <c r="G15" i="141"/>
  <c r="F15" i="141"/>
  <c r="E15" i="141"/>
  <c r="D15" i="141"/>
  <c r="C15" i="141"/>
  <c r="B15" i="141"/>
  <c r="M132" i="141"/>
  <c r="L132" i="141"/>
  <c r="K132" i="141"/>
  <c r="J132" i="141"/>
  <c r="I132" i="141"/>
  <c r="H132" i="141"/>
  <c r="G132" i="141"/>
  <c r="F132" i="141"/>
  <c r="E132" i="141"/>
  <c r="D132" i="141"/>
  <c r="C132" i="141"/>
  <c r="B132" i="141"/>
  <c r="M3" i="141"/>
  <c r="L3" i="141"/>
  <c r="K3" i="141"/>
  <c r="J3" i="141"/>
  <c r="I3" i="141"/>
  <c r="H3" i="141"/>
  <c r="G3" i="141"/>
  <c r="F3" i="141"/>
  <c r="E3" i="141"/>
  <c r="D3" i="141"/>
  <c r="C3" i="141"/>
  <c r="B3" i="141"/>
  <c r="M82" i="141"/>
  <c r="L82" i="141"/>
  <c r="K82" i="141"/>
  <c r="J82" i="141"/>
  <c r="I82" i="141"/>
  <c r="H82" i="141"/>
  <c r="G82" i="141"/>
  <c r="F82" i="141"/>
  <c r="E82" i="141"/>
  <c r="D82" i="141"/>
  <c r="C82" i="141"/>
  <c r="B82" i="141"/>
  <c r="M155" i="141"/>
  <c r="L155" i="141"/>
  <c r="K155" i="141"/>
  <c r="J155" i="141"/>
  <c r="I155" i="141"/>
  <c r="H155" i="141"/>
  <c r="G155" i="141"/>
  <c r="F155" i="141"/>
  <c r="E155" i="141"/>
  <c r="D155" i="141"/>
  <c r="C155" i="141"/>
  <c r="B155" i="141"/>
  <c r="M62" i="141"/>
  <c r="L62" i="141"/>
  <c r="K62" i="141"/>
  <c r="J62" i="141"/>
  <c r="I62" i="141"/>
  <c r="H62" i="141"/>
  <c r="G62" i="141"/>
  <c r="F62" i="141"/>
  <c r="E62" i="141"/>
  <c r="D62" i="141"/>
  <c r="C62" i="141"/>
  <c r="B62" i="141"/>
  <c r="M131" i="141"/>
  <c r="L131" i="141"/>
  <c r="K131" i="141"/>
  <c r="J131" i="141"/>
  <c r="I131" i="141"/>
  <c r="H131" i="141"/>
  <c r="G131" i="141"/>
  <c r="F131" i="141"/>
  <c r="E131" i="141"/>
  <c r="D131" i="141"/>
  <c r="C131" i="141"/>
  <c r="B131" i="141"/>
  <c r="M145" i="141"/>
  <c r="L145" i="141"/>
  <c r="K145" i="141"/>
  <c r="J145" i="141"/>
  <c r="I145" i="141"/>
  <c r="H145" i="141"/>
  <c r="G145" i="141"/>
  <c r="F145" i="141"/>
  <c r="E145" i="141"/>
  <c r="D145" i="141"/>
  <c r="C145" i="141"/>
  <c r="B145" i="141"/>
  <c r="M154" i="141"/>
  <c r="L154" i="141"/>
  <c r="K154" i="141"/>
  <c r="J154" i="141"/>
  <c r="I154" i="141"/>
  <c r="H154" i="141"/>
  <c r="G154" i="141"/>
  <c r="F154" i="141"/>
  <c r="E154" i="141"/>
  <c r="D154" i="141"/>
  <c r="C154" i="141"/>
  <c r="B154" i="141"/>
  <c r="M158" i="141"/>
  <c r="L158" i="141"/>
  <c r="K158" i="141"/>
  <c r="J158" i="141"/>
  <c r="I158" i="141"/>
  <c r="H158" i="141"/>
  <c r="G158" i="141"/>
  <c r="F158" i="141"/>
  <c r="E158" i="141"/>
  <c r="D158" i="141"/>
  <c r="C158" i="141"/>
  <c r="B158" i="141"/>
  <c r="M148" i="141"/>
  <c r="L148" i="141"/>
  <c r="K148" i="141"/>
  <c r="J148" i="141"/>
  <c r="I148" i="141"/>
  <c r="H148" i="141"/>
  <c r="G148" i="141"/>
  <c r="F148" i="141"/>
  <c r="E148" i="141"/>
  <c r="D148" i="141"/>
  <c r="C148" i="141"/>
  <c r="B148" i="141"/>
  <c r="M144" i="141"/>
  <c r="L144" i="141"/>
  <c r="K144" i="141"/>
  <c r="J144" i="141"/>
  <c r="I144" i="141"/>
  <c r="H144" i="141"/>
  <c r="G144" i="141"/>
  <c r="F144" i="141"/>
  <c r="E144" i="141"/>
  <c r="D144" i="141"/>
  <c r="C144" i="141"/>
  <c r="B144" i="141"/>
  <c r="M142" i="141"/>
  <c r="L142" i="141"/>
  <c r="K142" i="141"/>
  <c r="J142" i="141"/>
  <c r="I142" i="141"/>
  <c r="H142" i="141"/>
  <c r="G142" i="141"/>
  <c r="F142" i="141"/>
  <c r="E142" i="141"/>
  <c r="D142" i="141"/>
  <c r="C142" i="141"/>
  <c r="B142" i="141"/>
  <c r="M116" i="141"/>
  <c r="L116" i="141"/>
  <c r="K116" i="141"/>
  <c r="J116" i="141"/>
  <c r="I116" i="141"/>
  <c r="H116" i="141"/>
  <c r="G116" i="141"/>
  <c r="F116" i="141"/>
  <c r="E116" i="141"/>
  <c r="D116" i="141"/>
  <c r="C116" i="141"/>
  <c r="B116" i="141"/>
  <c r="M139" i="141"/>
  <c r="L139" i="141"/>
  <c r="K139" i="141"/>
  <c r="J139" i="141"/>
  <c r="I139" i="141"/>
  <c r="H139" i="141"/>
  <c r="G139" i="141"/>
  <c r="F139" i="141"/>
  <c r="E139" i="141"/>
  <c r="D139" i="141"/>
  <c r="C139" i="141"/>
  <c r="B139" i="141"/>
  <c r="M133" i="141"/>
  <c r="L133" i="141"/>
  <c r="K133" i="141"/>
  <c r="J133" i="141"/>
  <c r="I133" i="141"/>
  <c r="H133" i="141"/>
  <c r="G133" i="141"/>
  <c r="F133" i="141"/>
  <c r="E133" i="141"/>
  <c r="D133" i="141"/>
  <c r="C133" i="141"/>
  <c r="B133" i="141"/>
  <c r="M126" i="141"/>
  <c r="L126" i="141"/>
  <c r="K126" i="141"/>
  <c r="J126" i="141"/>
  <c r="I126" i="141"/>
  <c r="H126" i="141"/>
  <c r="G126" i="141"/>
  <c r="F126" i="141"/>
  <c r="E126" i="141"/>
  <c r="D126" i="141"/>
  <c r="C126" i="141"/>
  <c r="B126" i="141"/>
  <c r="M123" i="141"/>
  <c r="L123" i="141"/>
  <c r="K123" i="141"/>
  <c r="J123" i="141"/>
  <c r="I123" i="141"/>
  <c r="H123" i="141"/>
  <c r="G123" i="141"/>
  <c r="F123" i="141"/>
  <c r="E123" i="141"/>
  <c r="D123" i="141"/>
  <c r="C123" i="141"/>
  <c r="B123" i="141"/>
  <c r="M111" i="141"/>
  <c r="L111" i="141"/>
  <c r="K111" i="141"/>
  <c r="J111" i="141"/>
  <c r="I111" i="141"/>
  <c r="H111" i="141"/>
  <c r="G111" i="141"/>
  <c r="F111" i="141"/>
  <c r="E111" i="141"/>
  <c r="D111" i="141"/>
  <c r="C111" i="141"/>
  <c r="B111" i="141"/>
  <c r="M102" i="141"/>
  <c r="L102" i="141"/>
  <c r="K102" i="141"/>
  <c r="J102" i="141"/>
  <c r="I102" i="141"/>
  <c r="H102" i="141"/>
  <c r="G102" i="141"/>
  <c r="F102" i="141"/>
  <c r="E102" i="141"/>
  <c r="D102" i="141"/>
  <c r="C102" i="141"/>
  <c r="B102" i="141"/>
  <c r="M105" i="141"/>
  <c r="L105" i="141"/>
  <c r="K105" i="141"/>
  <c r="J105" i="141"/>
  <c r="I105" i="141"/>
  <c r="H105" i="141"/>
  <c r="G105" i="141"/>
  <c r="F105" i="141"/>
  <c r="E105" i="141"/>
  <c r="D105" i="141"/>
  <c r="C105" i="141"/>
  <c r="B105" i="141"/>
  <c r="M90" i="141"/>
  <c r="L90" i="141"/>
  <c r="K90" i="141"/>
  <c r="J90" i="141"/>
  <c r="I90" i="141"/>
  <c r="H90" i="141"/>
  <c r="G90" i="141"/>
  <c r="F90" i="141"/>
  <c r="E90" i="141"/>
  <c r="D90" i="141"/>
  <c r="C90" i="141"/>
  <c r="B90" i="141"/>
  <c r="M128" i="141"/>
  <c r="L128" i="141"/>
  <c r="K128" i="141"/>
  <c r="J128" i="141"/>
  <c r="I128" i="141"/>
  <c r="H128" i="141"/>
  <c r="G128" i="141"/>
  <c r="F128" i="141"/>
  <c r="E128" i="141"/>
  <c r="D128" i="141"/>
  <c r="C128" i="141"/>
  <c r="B128" i="141"/>
  <c r="M87" i="141"/>
  <c r="L87" i="141"/>
  <c r="K87" i="141"/>
  <c r="J87" i="141"/>
  <c r="I87" i="141"/>
  <c r="H87" i="141"/>
  <c r="G87" i="141"/>
  <c r="F87" i="141"/>
  <c r="E87" i="141"/>
  <c r="D87" i="141"/>
  <c r="C87" i="141"/>
  <c r="B87" i="141"/>
  <c r="M73" i="141"/>
  <c r="L73" i="141"/>
  <c r="K73" i="141"/>
  <c r="J73" i="141"/>
  <c r="I73" i="141"/>
  <c r="H73" i="141"/>
  <c r="G73" i="141"/>
  <c r="F73" i="141"/>
  <c r="E73" i="141"/>
  <c r="D73" i="141"/>
  <c r="C73" i="141"/>
  <c r="B73" i="141"/>
  <c r="M153" i="141"/>
  <c r="L153" i="141"/>
  <c r="K153" i="141"/>
  <c r="J153" i="141"/>
  <c r="I153" i="141"/>
  <c r="H153" i="141"/>
  <c r="G153" i="141"/>
  <c r="F153" i="141"/>
  <c r="E153" i="141"/>
  <c r="D153" i="141"/>
  <c r="C153" i="141"/>
  <c r="B153" i="141"/>
  <c r="M59" i="141"/>
  <c r="L59" i="141"/>
  <c r="K59" i="141"/>
  <c r="J59" i="141"/>
  <c r="I59" i="141"/>
  <c r="H59" i="141"/>
  <c r="G59" i="141"/>
  <c r="F59" i="141"/>
  <c r="E59" i="141"/>
  <c r="D59" i="141"/>
  <c r="C59" i="141"/>
  <c r="B59" i="141"/>
  <c r="M96" i="141"/>
  <c r="L96" i="141"/>
  <c r="K96" i="141"/>
  <c r="J96" i="141"/>
  <c r="I96" i="141"/>
  <c r="H96" i="141"/>
  <c r="G96" i="141"/>
  <c r="F96" i="141"/>
  <c r="E96" i="141"/>
  <c r="D96" i="141"/>
  <c r="C96" i="141"/>
  <c r="B96" i="141"/>
  <c r="M77" i="141"/>
  <c r="L77" i="141"/>
  <c r="K77" i="141"/>
  <c r="J77" i="141"/>
  <c r="I77" i="141"/>
  <c r="H77" i="141"/>
  <c r="G77" i="141"/>
  <c r="F77" i="141"/>
  <c r="E77" i="141"/>
  <c r="D77" i="141"/>
  <c r="C77" i="141"/>
  <c r="B77" i="141"/>
  <c r="M64" i="141"/>
  <c r="L64" i="141"/>
  <c r="K64" i="141"/>
  <c r="J64" i="141"/>
  <c r="I64" i="141"/>
  <c r="H64" i="141"/>
  <c r="G64" i="141"/>
  <c r="F64" i="141"/>
  <c r="E64" i="141"/>
  <c r="D64" i="141"/>
  <c r="C64" i="141"/>
  <c r="B64" i="141"/>
  <c r="M49" i="141"/>
  <c r="L49" i="141"/>
  <c r="K49" i="141"/>
  <c r="J49" i="141"/>
  <c r="I49" i="141"/>
  <c r="H49" i="141"/>
  <c r="G49" i="141"/>
  <c r="F49" i="141"/>
  <c r="E49" i="141"/>
  <c r="D49" i="141"/>
  <c r="C49" i="141"/>
  <c r="B49" i="141"/>
  <c r="M43" i="141"/>
  <c r="L43" i="141"/>
  <c r="K43" i="141"/>
  <c r="J43" i="141"/>
  <c r="I43" i="141"/>
  <c r="H43" i="141"/>
  <c r="G43" i="141"/>
  <c r="F43" i="141"/>
  <c r="E43" i="141"/>
  <c r="D43" i="141"/>
  <c r="C43" i="141"/>
  <c r="B43" i="141"/>
  <c r="M42" i="141"/>
  <c r="L42" i="141"/>
  <c r="K42" i="141"/>
  <c r="J42" i="141"/>
  <c r="I42" i="141"/>
  <c r="H42" i="141"/>
  <c r="G42" i="141"/>
  <c r="F42" i="141"/>
  <c r="E42" i="141"/>
  <c r="D42" i="141"/>
  <c r="C42" i="141"/>
  <c r="B42" i="141"/>
  <c r="M70" i="141"/>
  <c r="L70" i="141"/>
  <c r="K70" i="141"/>
  <c r="J70" i="141"/>
  <c r="I70" i="141"/>
  <c r="H70" i="141"/>
  <c r="G70" i="141"/>
  <c r="F70" i="141"/>
  <c r="E70" i="141"/>
  <c r="D70" i="141"/>
  <c r="C70" i="141"/>
  <c r="B70" i="141"/>
  <c r="M25" i="141"/>
  <c r="L25" i="141"/>
  <c r="K25" i="141"/>
  <c r="J25" i="141"/>
  <c r="I25" i="141"/>
  <c r="H25" i="141"/>
  <c r="G25" i="141"/>
  <c r="F25" i="141"/>
  <c r="E25" i="141"/>
  <c r="D25" i="141"/>
  <c r="C25" i="141"/>
  <c r="B25" i="141"/>
  <c r="M9" i="141"/>
  <c r="L9" i="141"/>
  <c r="K9" i="141"/>
  <c r="J9" i="141"/>
  <c r="I9" i="141"/>
  <c r="H9" i="141"/>
  <c r="G9" i="141"/>
  <c r="F9" i="141"/>
  <c r="E9" i="141"/>
  <c r="D9" i="141"/>
  <c r="C9" i="141"/>
  <c r="B9" i="141"/>
  <c r="M2" i="141"/>
  <c r="L2" i="141"/>
  <c r="K2" i="141"/>
  <c r="J2" i="141"/>
  <c r="I2" i="141"/>
  <c r="H2" i="141"/>
  <c r="G2" i="141"/>
  <c r="F2" i="141"/>
  <c r="E2" i="141"/>
  <c r="D2" i="141"/>
  <c r="C2" i="141"/>
  <c r="B2" i="141"/>
  <c r="M54" i="141"/>
  <c r="L54" i="141"/>
  <c r="K54" i="141"/>
  <c r="J54" i="141"/>
  <c r="I54" i="141"/>
  <c r="H54" i="141"/>
  <c r="G54" i="141"/>
  <c r="F54" i="141"/>
  <c r="E54" i="141"/>
  <c r="D54" i="141"/>
  <c r="C54" i="141"/>
  <c r="B54" i="141"/>
  <c r="M34" i="141"/>
  <c r="L34" i="141"/>
  <c r="K34" i="141"/>
  <c r="J34" i="141"/>
  <c r="I34" i="141"/>
  <c r="H34" i="141"/>
  <c r="G34" i="141"/>
  <c r="F34" i="141"/>
  <c r="E34" i="141"/>
  <c r="D34" i="141"/>
  <c r="C34" i="141"/>
  <c r="B34" i="141"/>
  <c r="M14" i="141"/>
  <c r="L14" i="141"/>
  <c r="K14" i="141"/>
  <c r="J14" i="141"/>
  <c r="I14" i="141"/>
  <c r="H14" i="141"/>
  <c r="G14" i="141"/>
  <c r="F14" i="141"/>
  <c r="E14" i="141"/>
  <c r="D14" i="141"/>
  <c r="C14" i="141"/>
  <c r="B14" i="141"/>
  <c r="M19" i="141"/>
  <c r="L19" i="141"/>
  <c r="K19" i="141"/>
  <c r="J19" i="141"/>
  <c r="I19" i="141"/>
  <c r="H19" i="141"/>
  <c r="G19" i="141"/>
  <c r="F19" i="141"/>
  <c r="E19" i="141"/>
  <c r="D19" i="141"/>
  <c r="C19" i="141"/>
  <c r="B19" i="141"/>
  <c r="M161" i="141"/>
  <c r="L161" i="141"/>
  <c r="K161" i="141"/>
  <c r="J161" i="141"/>
  <c r="I161" i="141"/>
  <c r="H161" i="141"/>
  <c r="G161" i="141"/>
  <c r="F161" i="141"/>
  <c r="E161" i="141"/>
  <c r="D161" i="141"/>
  <c r="C161" i="141"/>
  <c r="B161" i="141"/>
  <c r="M151" i="141"/>
  <c r="L151" i="141"/>
  <c r="K151" i="141"/>
  <c r="J151" i="141"/>
  <c r="I151" i="141"/>
  <c r="H151" i="141"/>
  <c r="G151" i="141"/>
  <c r="F151" i="141"/>
  <c r="E151" i="141"/>
  <c r="D151" i="141"/>
  <c r="C151" i="141"/>
  <c r="B151" i="141"/>
  <c r="M33" i="141"/>
  <c r="L33" i="141"/>
  <c r="K33" i="141"/>
  <c r="J33" i="141"/>
  <c r="I33" i="141"/>
  <c r="H33" i="141"/>
  <c r="G33" i="141"/>
  <c r="F33" i="141"/>
  <c r="E33" i="141"/>
  <c r="D33" i="141"/>
  <c r="C33" i="141"/>
  <c r="B33" i="141"/>
  <c r="M168" i="141"/>
  <c r="L168" i="141"/>
  <c r="K168" i="141"/>
  <c r="J168" i="141"/>
  <c r="I168" i="141"/>
  <c r="H168" i="141"/>
  <c r="G168" i="141"/>
  <c r="F168" i="141"/>
  <c r="E168" i="141"/>
  <c r="D168" i="141"/>
  <c r="C168" i="141"/>
  <c r="B168" i="141"/>
  <c r="M167" i="141"/>
  <c r="L167" i="141"/>
  <c r="K167" i="141"/>
  <c r="J167" i="141"/>
  <c r="I167" i="141"/>
  <c r="H167" i="141"/>
  <c r="G167" i="141"/>
  <c r="F167" i="141"/>
  <c r="E167" i="141"/>
  <c r="D167" i="141"/>
  <c r="C167" i="141"/>
  <c r="B167" i="141"/>
  <c r="M108" i="141"/>
  <c r="L108" i="141"/>
  <c r="K108" i="141"/>
  <c r="J108" i="141"/>
  <c r="I108" i="141"/>
  <c r="H108" i="141"/>
  <c r="G108" i="141"/>
  <c r="F108" i="141"/>
  <c r="E108" i="141"/>
  <c r="D108" i="141"/>
  <c r="C108" i="141"/>
  <c r="B108" i="141"/>
  <c r="M13" i="141"/>
  <c r="L13" i="141"/>
  <c r="K13" i="141"/>
  <c r="J13" i="141"/>
  <c r="I13" i="141"/>
  <c r="H13" i="141"/>
  <c r="G13" i="141"/>
  <c r="F13" i="141"/>
  <c r="E13" i="141"/>
  <c r="D13" i="141"/>
  <c r="C13" i="141"/>
  <c r="B13" i="141"/>
  <c r="M53" i="141"/>
  <c r="L53" i="141"/>
  <c r="K53" i="141"/>
  <c r="J53" i="141"/>
  <c r="I53" i="141"/>
  <c r="H53" i="141"/>
  <c r="G53" i="141"/>
  <c r="F53" i="141"/>
  <c r="E53" i="141"/>
  <c r="D53" i="141"/>
  <c r="C53" i="141"/>
  <c r="B53" i="141"/>
  <c r="M12" i="141"/>
  <c r="L12" i="141"/>
  <c r="K12" i="141"/>
  <c r="J12" i="141"/>
  <c r="I12" i="141"/>
  <c r="H12" i="141"/>
  <c r="G12" i="141"/>
  <c r="F12" i="141"/>
  <c r="E12" i="141"/>
  <c r="D12" i="141"/>
  <c r="C12" i="141"/>
  <c r="B12" i="141"/>
  <c r="M69" i="141"/>
  <c r="L69" i="141"/>
  <c r="K69" i="141"/>
  <c r="J69" i="141"/>
  <c r="I69" i="141"/>
  <c r="H69" i="141"/>
  <c r="G69" i="141"/>
  <c r="F69" i="141"/>
  <c r="E69" i="141"/>
  <c r="D69" i="141"/>
  <c r="C69" i="141"/>
  <c r="B69" i="141"/>
  <c r="M76" i="141"/>
  <c r="L76" i="141"/>
  <c r="K76" i="141"/>
  <c r="J76" i="141"/>
  <c r="I76" i="141"/>
  <c r="H76" i="141"/>
  <c r="G76" i="141"/>
  <c r="F76" i="141"/>
  <c r="E76" i="141"/>
  <c r="D76" i="141"/>
  <c r="C76" i="141"/>
  <c r="B76" i="141"/>
  <c r="M110" i="141"/>
  <c r="L110" i="141"/>
  <c r="K110" i="141"/>
  <c r="J110" i="141"/>
  <c r="I110" i="141"/>
  <c r="H110" i="141"/>
  <c r="G110" i="141"/>
  <c r="F110" i="141"/>
  <c r="E110" i="141"/>
  <c r="D110" i="141"/>
  <c r="C110" i="141"/>
  <c r="B110" i="141"/>
  <c r="M157" i="141"/>
  <c r="L157" i="141"/>
  <c r="K157" i="141"/>
  <c r="J157" i="141"/>
  <c r="I157" i="141"/>
  <c r="H157" i="141"/>
  <c r="G157" i="141"/>
  <c r="F157" i="141"/>
  <c r="E157" i="141"/>
  <c r="D157" i="141"/>
  <c r="C157" i="141"/>
  <c r="B157" i="141"/>
  <c r="M138" i="141"/>
  <c r="L138" i="141"/>
  <c r="K138" i="141"/>
  <c r="J138" i="141"/>
  <c r="I138" i="141"/>
  <c r="H138" i="141"/>
  <c r="G138" i="141"/>
  <c r="F138" i="141"/>
  <c r="E138" i="141"/>
  <c r="D138" i="141"/>
  <c r="C138" i="141"/>
  <c r="B138" i="141"/>
  <c r="M141" i="141"/>
  <c r="L141" i="141"/>
  <c r="K141" i="141"/>
  <c r="J141" i="141"/>
  <c r="I141" i="141"/>
  <c r="H141" i="141"/>
  <c r="G141" i="141"/>
  <c r="F141" i="141"/>
  <c r="E141" i="141"/>
  <c r="D141" i="141"/>
  <c r="C141" i="141"/>
  <c r="B141" i="141"/>
  <c r="M137" i="141"/>
  <c r="L137" i="141"/>
  <c r="K137" i="141"/>
  <c r="J137" i="141"/>
  <c r="I137" i="141"/>
  <c r="H137" i="141"/>
  <c r="G137" i="141"/>
  <c r="F137" i="141"/>
  <c r="E137" i="141"/>
  <c r="D137" i="141"/>
  <c r="C137" i="141"/>
  <c r="B137" i="141"/>
  <c r="M32" i="141"/>
  <c r="L32" i="141"/>
  <c r="K32" i="141"/>
  <c r="J32" i="141"/>
  <c r="I32" i="141"/>
  <c r="H32" i="141"/>
  <c r="G32" i="141"/>
  <c r="F32" i="141"/>
  <c r="E32" i="141"/>
  <c r="D32" i="141"/>
  <c r="C32" i="141"/>
  <c r="B32" i="141"/>
  <c r="M166" i="141"/>
  <c r="L166" i="141"/>
  <c r="K166" i="141"/>
  <c r="J166" i="141"/>
  <c r="I166" i="141"/>
  <c r="H166" i="141"/>
  <c r="G166" i="141"/>
  <c r="F166" i="141"/>
  <c r="E166" i="141"/>
  <c r="D166" i="141"/>
  <c r="C166" i="141"/>
  <c r="B166" i="141"/>
  <c r="M165" i="141"/>
  <c r="L165" i="141"/>
  <c r="K165" i="141"/>
  <c r="J165" i="141"/>
  <c r="I165" i="141"/>
  <c r="H165" i="141"/>
  <c r="G165" i="141"/>
  <c r="F165" i="141"/>
  <c r="E165" i="141"/>
  <c r="D165" i="141"/>
  <c r="C165" i="141"/>
  <c r="B165" i="141"/>
  <c r="M31" i="141"/>
  <c r="L31" i="141"/>
  <c r="K31" i="141"/>
  <c r="J31" i="141"/>
  <c r="I31" i="141"/>
  <c r="H31" i="141"/>
  <c r="G31" i="141"/>
  <c r="F31" i="141"/>
  <c r="E31" i="141"/>
  <c r="D31" i="141"/>
  <c r="C31" i="141"/>
  <c r="B31" i="141"/>
  <c r="M109" i="141"/>
  <c r="L109" i="141"/>
  <c r="K109" i="141"/>
  <c r="J109" i="141"/>
  <c r="I109" i="141"/>
  <c r="H109" i="141"/>
  <c r="G109" i="141"/>
  <c r="F109" i="141"/>
  <c r="E109" i="141"/>
  <c r="D109" i="141"/>
  <c r="C109" i="141"/>
  <c r="B109" i="141"/>
  <c r="M125" i="141"/>
  <c r="L125" i="141"/>
  <c r="K125" i="141"/>
  <c r="J125" i="141"/>
  <c r="I125" i="141"/>
  <c r="H125" i="141"/>
  <c r="G125" i="141"/>
  <c r="F125" i="141"/>
  <c r="E125" i="141"/>
  <c r="D125" i="141"/>
  <c r="C125" i="141"/>
  <c r="B125" i="141"/>
  <c r="M136" i="141"/>
  <c r="L136" i="141"/>
  <c r="K136" i="141"/>
  <c r="J136" i="141"/>
  <c r="I136" i="141"/>
  <c r="H136" i="141"/>
  <c r="G136" i="141"/>
  <c r="F136" i="141"/>
  <c r="E136" i="141"/>
  <c r="D136" i="141"/>
  <c r="C136" i="141"/>
  <c r="B136" i="141"/>
  <c r="M101" i="141"/>
  <c r="L101" i="141"/>
  <c r="K101" i="141"/>
  <c r="J101" i="141"/>
  <c r="I101" i="141"/>
  <c r="H101" i="141"/>
  <c r="G101" i="141"/>
  <c r="F101" i="141"/>
  <c r="E101" i="141"/>
  <c r="D101" i="141"/>
  <c r="C101" i="141"/>
  <c r="B101" i="141"/>
  <c r="M41" i="141"/>
  <c r="L41" i="141"/>
  <c r="K41" i="141"/>
  <c r="J41" i="141"/>
  <c r="I41" i="141"/>
  <c r="H41" i="141"/>
  <c r="G41" i="141"/>
  <c r="F41" i="141"/>
  <c r="E41" i="141"/>
  <c r="D41" i="141"/>
  <c r="C41" i="141"/>
  <c r="B41" i="141"/>
  <c r="M140" i="141"/>
  <c r="L140" i="141"/>
  <c r="K140" i="141"/>
  <c r="J140" i="141"/>
  <c r="I140" i="141"/>
  <c r="H140" i="141"/>
  <c r="G140" i="141"/>
  <c r="F140" i="141"/>
  <c r="E140" i="141"/>
  <c r="D140" i="141"/>
  <c r="C140" i="141"/>
  <c r="B140" i="141"/>
  <c r="M30" i="141"/>
  <c r="L30" i="141"/>
  <c r="K30" i="141"/>
  <c r="J30" i="141"/>
  <c r="I30" i="141"/>
  <c r="H30" i="141"/>
  <c r="G30" i="141"/>
  <c r="F30" i="141"/>
  <c r="E30" i="141"/>
  <c r="D30" i="141"/>
  <c r="C30" i="141"/>
  <c r="B30" i="141"/>
  <c r="M8" i="141"/>
  <c r="L8" i="141"/>
  <c r="K8" i="141"/>
  <c r="J8" i="141"/>
  <c r="I8" i="141"/>
  <c r="H8" i="141"/>
  <c r="G8" i="141"/>
  <c r="F8" i="141"/>
  <c r="E8" i="141"/>
  <c r="D8" i="141"/>
  <c r="C8" i="141"/>
  <c r="B8" i="141"/>
  <c r="M124" i="141"/>
  <c r="L124" i="141"/>
  <c r="K124" i="141"/>
  <c r="J124" i="141"/>
  <c r="I124" i="141"/>
  <c r="H124" i="141"/>
  <c r="G124" i="141"/>
  <c r="F124" i="141"/>
  <c r="E124" i="141"/>
  <c r="D124" i="141"/>
  <c r="C124" i="141"/>
  <c r="B124" i="141"/>
  <c r="M95" i="141"/>
  <c r="L95" i="141"/>
  <c r="K95" i="141"/>
  <c r="J95" i="141"/>
  <c r="I95" i="141"/>
  <c r="H95" i="141"/>
  <c r="G95" i="141"/>
  <c r="F95" i="141"/>
  <c r="E95" i="141"/>
  <c r="D95" i="141"/>
  <c r="C95" i="141"/>
  <c r="B95" i="141"/>
  <c r="M58" i="141"/>
  <c r="L58" i="141"/>
  <c r="K58" i="141"/>
  <c r="J58" i="141"/>
  <c r="I58" i="141"/>
  <c r="H58" i="141"/>
  <c r="G58" i="141"/>
  <c r="F58" i="141"/>
  <c r="E58" i="141"/>
  <c r="D58" i="141"/>
  <c r="C58" i="141"/>
  <c r="B58" i="141"/>
  <c r="M48" i="141"/>
  <c r="L48" i="141"/>
  <c r="K48" i="141"/>
  <c r="J48" i="141"/>
  <c r="I48" i="141"/>
  <c r="H48" i="141"/>
  <c r="G48" i="141"/>
  <c r="F48" i="141"/>
  <c r="E48" i="141"/>
  <c r="D48" i="141"/>
  <c r="C48" i="141"/>
  <c r="B48" i="141"/>
  <c r="M24" i="141"/>
  <c r="L24" i="141"/>
  <c r="K24" i="141"/>
  <c r="J24" i="141"/>
  <c r="I24" i="141"/>
  <c r="H24" i="141"/>
  <c r="G24" i="141"/>
  <c r="F24" i="141"/>
  <c r="E24" i="141"/>
  <c r="D24" i="141"/>
  <c r="C24" i="141"/>
  <c r="B24" i="141"/>
  <c r="M164" i="141"/>
  <c r="L164" i="141"/>
  <c r="K164" i="141"/>
  <c r="J164" i="141"/>
  <c r="I164" i="141"/>
  <c r="H164" i="141"/>
  <c r="G164" i="141"/>
  <c r="F164" i="141"/>
  <c r="E164" i="141"/>
  <c r="D164" i="141"/>
  <c r="C164" i="141"/>
  <c r="B164" i="141"/>
  <c r="N4" i="143"/>
  <c r="N5" i="143"/>
  <c r="N6" i="143"/>
  <c r="N7" i="143"/>
  <c r="N8" i="143"/>
  <c r="N9" i="143"/>
  <c r="N10" i="143"/>
  <c r="N11" i="143"/>
  <c r="N12" i="143"/>
  <c r="N13" i="143"/>
  <c r="N14" i="143"/>
  <c r="N15" i="143"/>
  <c r="N16" i="143"/>
  <c r="N17" i="143"/>
  <c r="N18" i="143"/>
  <c r="N19" i="143"/>
  <c r="N20" i="143"/>
  <c r="N21" i="143"/>
  <c r="N22" i="143"/>
  <c r="N23" i="143"/>
  <c r="N24" i="143"/>
  <c r="N25" i="143"/>
  <c r="N26" i="143"/>
  <c r="N27" i="143"/>
  <c r="N28" i="143"/>
  <c r="N29" i="143"/>
  <c r="N30" i="143"/>
  <c r="N31" i="143"/>
  <c r="N32" i="143"/>
  <c r="N33" i="143"/>
  <c r="N34" i="143"/>
  <c r="N35" i="143"/>
  <c r="N36" i="143"/>
  <c r="N37" i="143"/>
  <c r="N38" i="143"/>
  <c r="N39" i="143"/>
  <c r="N40" i="143"/>
  <c r="N41" i="143"/>
  <c r="N42" i="143"/>
  <c r="N43" i="143"/>
  <c r="N44" i="143"/>
  <c r="N45" i="143"/>
  <c r="N46" i="143"/>
  <c r="N47" i="143"/>
  <c r="N48" i="143"/>
  <c r="N49" i="143"/>
  <c r="N50" i="143"/>
  <c r="N51" i="143"/>
  <c r="N52" i="143"/>
  <c r="N53" i="143"/>
  <c r="N54" i="143"/>
  <c r="N55" i="143"/>
  <c r="N56" i="143"/>
  <c r="N57" i="143"/>
  <c r="N58" i="143"/>
  <c r="N59" i="143"/>
  <c r="N60" i="143"/>
  <c r="N61" i="143"/>
  <c r="N62" i="143"/>
  <c r="N63" i="143"/>
  <c r="N64" i="143"/>
  <c r="N65" i="143"/>
  <c r="N66" i="143"/>
  <c r="N67" i="143"/>
  <c r="N68" i="143"/>
  <c r="N69" i="143"/>
  <c r="N70" i="143"/>
  <c r="N71" i="143"/>
  <c r="N72" i="143"/>
  <c r="N73" i="143"/>
  <c r="N74" i="143"/>
  <c r="N75" i="143"/>
  <c r="N76" i="143"/>
  <c r="N77" i="143"/>
  <c r="N78" i="143"/>
  <c r="N79" i="143"/>
  <c r="N80" i="143"/>
  <c r="N81" i="143"/>
  <c r="N82" i="143"/>
  <c r="N83" i="143"/>
  <c r="N84" i="143"/>
  <c r="N85" i="143"/>
  <c r="N86" i="143"/>
  <c r="N87" i="143"/>
  <c r="N88" i="143"/>
  <c r="N89" i="143"/>
  <c r="N90" i="143"/>
  <c r="N91" i="143"/>
  <c r="N92" i="143"/>
  <c r="N93" i="143"/>
  <c r="N94" i="143"/>
  <c r="N95" i="143"/>
  <c r="N3" i="143"/>
  <c r="M38" i="143"/>
  <c r="L38" i="143"/>
  <c r="K38" i="143"/>
  <c r="J38" i="143"/>
  <c r="I38" i="143"/>
  <c r="H38" i="143"/>
  <c r="G38" i="143"/>
  <c r="F38" i="143"/>
  <c r="E38" i="143"/>
  <c r="D38" i="143"/>
  <c r="C38" i="143"/>
  <c r="B38" i="143"/>
  <c r="M37" i="143"/>
  <c r="L37" i="143"/>
  <c r="K37" i="143"/>
  <c r="J37" i="143"/>
  <c r="I37" i="143"/>
  <c r="H37" i="143"/>
  <c r="G37" i="143"/>
  <c r="F37" i="143"/>
  <c r="E37" i="143"/>
  <c r="D37" i="143"/>
  <c r="C37" i="143"/>
  <c r="B37" i="143"/>
  <c r="M36" i="143"/>
  <c r="L36" i="143"/>
  <c r="K36" i="143"/>
  <c r="J36" i="143"/>
  <c r="I36" i="143"/>
  <c r="H36" i="143"/>
  <c r="G36" i="143"/>
  <c r="F36" i="143"/>
  <c r="E36" i="143"/>
  <c r="D36" i="143"/>
  <c r="C36" i="143"/>
  <c r="B36" i="143"/>
  <c r="M24" i="143"/>
  <c r="L24" i="143"/>
  <c r="K24" i="143"/>
  <c r="J24" i="143"/>
  <c r="I24" i="143"/>
  <c r="H24" i="143"/>
  <c r="G24" i="143"/>
  <c r="F24" i="143"/>
  <c r="E24" i="143"/>
  <c r="D24" i="143"/>
  <c r="C24" i="143"/>
  <c r="B24" i="143"/>
  <c r="M69" i="143"/>
  <c r="L69" i="143"/>
  <c r="K69" i="143"/>
  <c r="J69" i="143"/>
  <c r="I69" i="143"/>
  <c r="H69" i="143"/>
  <c r="G69" i="143"/>
  <c r="F69" i="143"/>
  <c r="E69" i="143"/>
  <c r="D69" i="143"/>
  <c r="C69" i="143"/>
  <c r="B69" i="143"/>
  <c r="M23" i="143"/>
  <c r="L23" i="143"/>
  <c r="K23" i="143"/>
  <c r="J23" i="143"/>
  <c r="I23" i="143"/>
  <c r="H23" i="143"/>
  <c r="G23" i="143"/>
  <c r="F23" i="143"/>
  <c r="E23" i="143"/>
  <c r="D23" i="143"/>
  <c r="C23" i="143"/>
  <c r="B23" i="143"/>
  <c r="M22" i="143"/>
  <c r="L22" i="143"/>
  <c r="K22" i="143"/>
  <c r="J22" i="143"/>
  <c r="I22" i="143"/>
  <c r="H22" i="143"/>
  <c r="G22" i="143"/>
  <c r="F22" i="143"/>
  <c r="E22" i="143"/>
  <c r="D22" i="143"/>
  <c r="C22" i="143"/>
  <c r="B22" i="143"/>
  <c r="M21" i="143"/>
  <c r="L21" i="143"/>
  <c r="K21" i="143"/>
  <c r="J21" i="143"/>
  <c r="I21" i="143"/>
  <c r="H21" i="143"/>
  <c r="G21" i="143"/>
  <c r="F21" i="143"/>
  <c r="E21" i="143"/>
  <c r="D21" i="143"/>
  <c r="C21" i="143"/>
  <c r="B21" i="143"/>
  <c r="M12" i="143"/>
  <c r="L12" i="143"/>
  <c r="K12" i="143"/>
  <c r="J12" i="143"/>
  <c r="I12" i="143"/>
  <c r="H12" i="143"/>
  <c r="G12" i="143"/>
  <c r="F12" i="143"/>
  <c r="E12" i="143"/>
  <c r="D12" i="143"/>
  <c r="C12" i="143"/>
  <c r="B12" i="143"/>
  <c r="M20" i="143"/>
  <c r="L20" i="143"/>
  <c r="K20" i="143"/>
  <c r="J20" i="143"/>
  <c r="I20" i="143"/>
  <c r="H20" i="143"/>
  <c r="G20" i="143"/>
  <c r="F20" i="143"/>
  <c r="E20" i="143"/>
  <c r="D20" i="143"/>
  <c r="C20" i="143"/>
  <c r="B20" i="143"/>
  <c r="M19" i="143"/>
  <c r="L19" i="143"/>
  <c r="K19" i="143"/>
  <c r="J19" i="143"/>
  <c r="I19" i="143"/>
  <c r="H19" i="143"/>
  <c r="G19" i="143"/>
  <c r="F19" i="143"/>
  <c r="E19" i="143"/>
  <c r="D19" i="143"/>
  <c r="C19" i="143"/>
  <c r="B19" i="143"/>
  <c r="M68" i="143"/>
  <c r="L68" i="143"/>
  <c r="K68" i="143"/>
  <c r="J68" i="143"/>
  <c r="I68" i="143"/>
  <c r="H68" i="143"/>
  <c r="G68" i="143"/>
  <c r="F68" i="143"/>
  <c r="E68" i="143"/>
  <c r="D68" i="143"/>
  <c r="C68" i="143"/>
  <c r="B68" i="143"/>
  <c r="M67" i="143"/>
  <c r="L67" i="143"/>
  <c r="K67" i="143"/>
  <c r="J67" i="143"/>
  <c r="I67" i="143"/>
  <c r="H67" i="143"/>
  <c r="G67" i="143"/>
  <c r="F67" i="143"/>
  <c r="E67" i="143"/>
  <c r="D67" i="143"/>
  <c r="C67" i="143"/>
  <c r="B67" i="143"/>
  <c r="M66" i="143"/>
  <c r="L66" i="143"/>
  <c r="K66" i="143"/>
  <c r="J66" i="143"/>
  <c r="I66" i="143"/>
  <c r="H66" i="143"/>
  <c r="G66" i="143"/>
  <c r="F66" i="143"/>
  <c r="E66" i="143"/>
  <c r="D66" i="143"/>
  <c r="C66" i="143"/>
  <c r="B66" i="143"/>
  <c r="M65" i="143"/>
  <c r="L65" i="143"/>
  <c r="K65" i="143"/>
  <c r="J65" i="143"/>
  <c r="I65" i="143"/>
  <c r="H65" i="143"/>
  <c r="G65" i="143"/>
  <c r="F65" i="143"/>
  <c r="E65" i="143"/>
  <c r="D65" i="143"/>
  <c r="C65" i="143"/>
  <c r="B65" i="143"/>
  <c r="M55" i="143"/>
  <c r="L55" i="143"/>
  <c r="K55" i="143"/>
  <c r="J55" i="143"/>
  <c r="I55" i="143"/>
  <c r="H55" i="143"/>
  <c r="G55" i="143"/>
  <c r="F55" i="143"/>
  <c r="E55" i="143"/>
  <c r="D55" i="143"/>
  <c r="C55" i="143"/>
  <c r="B55" i="143"/>
  <c r="M33" i="143"/>
  <c r="L33" i="143"/>
  <c r="K33" i="143"/>
  <c r="J33" i="143"/>
  <c r="I33" i="143"/>
  <c r="H33" i="143"/>
  <c r="G33" i="143"/>
  <c r="F33" i="143"/>
  <c r="E33" i="143"/>
  <c r="D33" i="143"/>
  <c r="C33" i="143"/>
  <c r="B33" i="143"/>
  <c r="M93" i="143"/>
  <c r="L93" i="143"/>
  <c r="K93" i="143"/>
  <c r="J93" i="143"/>
  <c r="I93" i="143"/>
  <c r="H93" i="143"/>
  <c r="G93" i="143"/>
  <c r="F93" i="143"/>
  <c r="E93" i="143"/>
  <c r="D93" i="143"/>
  <c r="C93" i="143"/>
  <c r="B93" i="143"/>
  <c r="M72" i="143"/>
  <c r="L72" i="143"/>
  <c r="K72" i="143"/>
  <c r="J72" i="143"/>
  <c r="I72" i="143"/>
  <c r="H72" i="143"/>
  <c r="G72" i="143"/>
  <c r="F72" i="143"/>
  <c r="E72" i="143"/>
  <c r="D72" i="143"/>
  <c r="C72" i="143"/>
  <c r="B72" i="143"/>
  <c r="M71" i="143"/>
  <c r="L71" i="143"/>
  <c r="K71" i="143"/>
  <c r="J71" i="143"/>
  <c r="I71" i="143"/>
  <c r="H71" i="143"/>
  <c r="G71" i="143"/>
  <c r="F71" i="143"/>
  <c r="E71" i="143"/>
  <c r="D71" i="143"/>
  <c r="C71" i="143"/>
  <c r="B71" i="143"/>
  <c r="M70" i="143"/>
  <c r="L70" i="143"/>
  <c r="K70" i="143"/>
  <c r="J70" i="143"/>
  <c r="I70" i="143"/>
  <c r="H70" i="143"/>
  <c r="G70" i="143"/>
  <c r="F70" i="143"/>
  <c r="E70" i="143"/>
  <c r="D70" i="143"/>
  <c r="C70" i="143"/>
  <c r="B70" i="143"/>
  <c r="M46" i="143"/>
  <c r="L46" i="143"/>
  <c r="K46" i="143"/>
  <c r="J46" i="143"/>
  <c r="I46" i="143"/>
  <c r="H46" i="143"/>
  <c r="G46" i="143"/>
  <c r="F46" i="143"/>
  <c r="E46" i="143"/>
  <c r="D46" i="143"/>
  <c r="C46" i="143"/>
  <c r="B46" i="143"/>
  <c r="M76" i="143"/>
  <c r="L76" i="143"/>
  <c r="K76" i="143"/>
  <c r="J76" i="143"/>
  <c r="I76" i="143"/>
  <c r="H76" i="143"/>
  <c r="G76" i="143"/>
  <c r="F76" i="143"/>
  <c r="E76" i="143"/>
  <c r="D76" i="143"/>
  <c r="C76" i="143"/>
  <c r="B76" i="143"/>
  <c r="M75" i="143"/>
  <c r="L75" i="143"/>
  <c r="K75" i="143"/>
  <c r="J75" i="143"/>
  <c r="I75" i="143"/>
  <c r="H75" i="143"/>
  <c r="G75" i="143"/>
  <c r="F75" i="143"/>
  <c r="E75" i="143"/>
  <c r="D75" i="143"/>
  <c r="C75" i="143"/>
  <c r="B75" i="143"/>
  <c r="M74" i="143"/>
  <c r="L74" i="143"/>
  <c r="K74" i="143"/>
  <c r="J74" i="143"/>
  <c r="I74" i="143"/>
  <c r="H74" i="143"/>
  <c r="G74" i="143"/>
  <c r="F74" i="143"/>
  <c r="E74" i="143"/>
  <c r="D74" i="143"/>
  <c r="C74" i="143"/>
  <c r="B74" i="143"/>
  <c r="M78" i="143"/>
  <c r="L78" i="143"/>
  <c r="K78" i="143"/>
  <c r="J78" i="143"/>
  <c r="I78" i="143"/>
  <c r="H78" i="143"/>
  <c r="G78" i="143"/>
  <c r="F78" i="143"/>
  <c r="E78" i="143"/>
  <c r="D78" i="143"/>
  <c r="C78" i="143"/>
  <c r="B78" i="143"/>
  <c r="M73" i="143"/>
  <c r="L73" i="143"/>
  <c r="K73" i="143"/>
  <c r="J73" i="143"/>
  <c r="I73" i="143"/>
  <c r="H73" i="143"/>
  <c r="G73" i="143"/>
  <c r="F73" i="143"/>
  <c r="E73" i="143"/>
  <c r="D73" i="143"/>
  <c r="C73" i="143"/>
  <c r="B73" i="143"/>
  <c r="M64" i="143"/>
  <c r="L64" i="143"/>
  <c r="K64" i="143"/>
  <c r="J64" i="143"/>
  <c r="I64" i="143"/>
  <c r="H64" i="143"/>
  <c r="G64" i="143"/>
  <c r="F64" i="143"/>
  <c r="E64" i="143"/>
  <c r="D64" i="143"/>
  <c r="C64" i="143"/>
  <c r="B64" i="143"/>
  <c r="M94" i="143"/>
  <c r="L94" i="143"/>
  <c r="K94" i="143"/>
  <c r="J94" i="143"/>
  <c r="I94" i="143"/>
  <c r="H94" i="143"/>
  <c r="G94" i="143"/>
  <c r="F94" i="143"/>
  <c r="E94" i="143"/>
  <c r="D94" i="143"/>
  <c r="C94" i="143"/>
  <c r="B94" i="143"/>
  <c r="M92" i="143"/>
  <c r="L92" i="143"/>
  <c r="K92" i="143"/>
  <c r="J92" i="143"/>
  <c r="I92" i="143"/>
  <c r="H92" i="143"/>
  <c r="G92" i="143"/>
  <c r="F92" i="143"/>
  <c r="E92" i="143"/>
  <c r="D92" i="143"/>
  <c r="C92" i="143"/>
  <c r="B92" i="143"/>
  <c r="M91" i="143"/>
  <c r="L91" i="143"/>
  <c r="K91" i="143"/>
  <c r="J91" i="143"/>
  <c r="I91" i="143"/>
  <c r="H91" i="143"/>
  <c r="G91" i="143"/>
  <c r="F91" i="143"/>
  <c r="E91" i="143"/>
  <c r="D91" i="143"/>
  <c r="C91" i="143"/>
  <c r="B91" i="143"/>
  <c r="M57" i="143"/>
  <c r="L57" i="143"/>
  <c r="K57" i="143"/>
  <c r="J57" i="143"/>
  <c r="I57" i="143"/>
  <c r="H57" i="143"/>
  <c r="G57" i="143"/>
  <c r="F57" i="143"/>
  <c r="E57" i="143"/>
  <c r="D57" i="143"/>
  <c r="C57" i="143"/>
  <c r="B57" i="143"/>
  <c r="M32" i="143"/>
  <c r="L32" i="143"/>
  <c r="K32" i="143"/>
  <c r="J32" i="143"/>
  <c r="I32" i="143"/>
  <c r="H32" i="143"/>
  <c r="G32" i="143"/>
  <c r="F32" i="143"/>
  <c r="E32" i="143"/>
  <c r="D32" i="143"/>
  <c r="C32" i="143"/>
  <c r="B32" i="143"/>
  <c r="M47" i="143"/>
  <c r="L47" i="143"/>
  <c r="K47" i="143"/>
  <c r="J47" i="143"/>
  <c r="I47" i="143"/>
  <c r="H47" i="143"/>
  <c r="G47" i="143"/>
  <c r="F47" i="143"/>
  <c r="E47" i="143"/>
  <c r="D47" i="143"/>
  <c r="C47" i="143"/>
  <c r="B47" i="143"/>
  <c r="M54" i="143"/>
  <c r="L54" i="143"/>
  <c r="K54" i="143"/>
  <c r="J54" i="143"/>
  <c r="I54" i="143"/>
  <c r="H54" i="143"/>
  <c r="G54" i="143"/>
  <c r="F54" i="143"/>
  <c r="E54" i="143"/>
  <c r="D54" i="143"/>
  <c r="C54" i="143"/>
  <c r="B54" i="143"/>
  <c r="M61" i="143"/>
  <c r="L61" i="143"/>
  <c r="K61" i="143"/>
  <c r="J61" i="143"/>
  <c r="I61" i="143"/>
  <c r="H61" i="143"/>
  <c r="G61" i="143"/>
  <c r="F61" i="143"/>
  <c r="E61" i="143"/>
  <c r="D61" i="143"/>
  <c r="C61" i="143"/>
  <c r="B61" i="143"/>
  <c r="M90" i="143"/>
  <c r="L90" i="143"/>
  <c r="K90" i="143"/>
  <c r="J90" i="143"/>
  <c r="I90" i="143"/>
  <c r="H90" i="143"/>
  <c r="G90" i="143"/>
  <c r="F90" i="143"/>
  <c r="E90" i="143"/>
  <c r="D90" i="143"/>
  <c r="C90" i="143"/>
  <c r="B90" i="143"/>
  <c r="M89" i="143"/>
  <c r="L89" i="143"/>
  <c r="K89" i="143"/>
  <c r="J89" i="143"/>
  <c r="I89" i="143"/>
  <c r="H89" i="143"/>
  <c r="G89" i="143"/>
  <c r="F89" i="143"/>
  <c r="E89" i="143"/>
  <c r="D89" i="143"/>
  <c r="C89" i="143"/>
  <c r="B89" i="143"/>
  <c r="M53" i="143"/>
  <c r="L53" i="143"/>
  <c r="K53" i="143"/>
  <c r="J53" i="143"/>
  <c r="I53" i="143"/>
  <c r="H53" i="143"/>
  <c r="G53" i="143"/>
  <c r="F53" i="143"/>
  <c r="E53" i="143"/>
  <c r="D53" i="143"/>
  <c r="C53" i="143"/>
  <c r="B53" i="143"/>
  <c r="M88" i="143"/>
  <c r="L88" i="143"/>
  <c r="K88" i="143"/>
  <c r="J88" i="143"/>
  <c r="I88" i="143"/>
  <c r="H88" i="143"/>
  <c r="G88" i="143"/>
  <c r="F88" i="143"/>
  <c r="E88" i="143"/>
  <c r="D88" i="143"/>
  <c r="C88" i="143"/>
  <c r="B88" i="143"/>
  <c r="M26" i="143"/>
  <c r="L26" i="143"/>
  <c r="K26" i="143"/>
  <c r="J26" i="143"/>
  <c r="I26" i="143"/>
  <c r="H26" i="143"/>
  <c r="G26" i="143"/>
  <c r="F26" i="143"/>
  <c r="E26" i="143"/>
  <c r="D26" i="143"/>
  <c r="C26" i="143"/>
  <c r="B26" i="143"/>
  <c r="M31" i="143"/>
  <c r="L31" i="143"/>
  <c r="K31" i="143"/>
  <c r="J31" i="143"/>
  <c r="I31" i="143"/>
  <c r="H31" i="143"/>
  <c r="G31" i="143"/>
  <c r="F31" i="143"/>
  <c r="E31" i="143"/>
  <c r="D31" i="143"/>
  <c r="C31" i="143"/>
  <c r="B31" i="143"/>
  <c r="M50" i="143"/>
  <c r="L50" i="143"/>
  <c r="K50" i="143"/>
  <c r="J50" i="143"/>
  <c r="I50" i="143"/>
  <c r="H50" i="143"/>
  <c r="G50" i="143"/>
  <c r="F50" i="143"/>
  <c r="E50" i="143"/>
  <c r="D50" i="143"/>
  <c r="C50" i="143"/>
  <c r="B50" i="143"/>
  <c r="M49" i="143"/>
  <c r="L49" i="143"/>
  <c r="K49" i="143"/>
  <c r="J49" i="143"/>
  <c r="I49" i="143"/>
  <c r="H49" i="143"/>
  <c r="G49" i="143"/>
  <c r="F49" i="143"/>
  <c r="E49" i="143"/>
  <c r="D49" i="143"/>
  <c r="C49" i="143"/>
  <c r="B49" i="143"/>
  <c r="M59" i="143"/>
  <c r="L59" i="143"/>
  <c r="K59" i="143"/>
  <c r="J59" i="143"/>
  <c r="I59" i="143"/>
  <c r="H59" i="143"/>
  <c r="G59" i="143"/>
  <c r="F59" i="143"/>
  <c r="E59" i="143"/>
  <c r="D59" i="143"/>
  <c r="C59" i="143"/>
  <c r="B59" i="143"/>
  <c r="M8" i="143"/>
  <c r="L8" i="143"/>
  <c r="K8" i="143"/>
  <c r="J8" i="143"/>
  <c r="I8" i="143"/>
  <c r="H8" i="143"/>
  <c r="G8" i="143"/>
  <c r="F8" i="143"/>
  <c r="E8" i="143"/>
  <c r="D8" i="143"/>
  <c r="C8" i="143"/>
  <c r="B8" i="143"/>
  <c r="M25" i="143"/>
  <c r="L25" i="143"/>
  <c r="K25" i="143"/>
  <c r="J25" i="143"/>
  <c r="I25" i="143"/>
  <c r="H25" i="143"/>
  <c r="G25" i="143"/>
  <c r="F25" i="143"/>
  <c r="E25" i="143"/>
  <c r="D25" i="143"/>
  <c r="C25" i="143"/>
  <c r="B25" i="143"/>
  <c r="M58" i="143"/>
  <c r="L58" i="143"/>
  <c r="K58" i="143"/>
  <c r="J58" i="143"/>
  <c r="I58" i="143"/>
  <c r="H58" i="143"/>
  <c r="G58" i="143"/>
  <c r="F58" i="143"/>
  <c r="E58" i="143"/>
  <c r="D58" i="143"/>
  <c r="C58" i="143"/>
  <c r="B58" i="143"/>
  <c r="M84" i="143"/>
  <c r="L84" i="143"/>
  <c r="K84" i="143"/>
  <c r="J84" i="143"/>
  <c r="I84" i="143"/>
  <c r="H84" i="143"/>
  <c r="G84" i="143"/>
  <c r="F84" i="143"/>
  <c r="E84" i="143"/>
  <c r="D84" i="143"/>
  <c r="C84" i="143"/>
  <c r="B84" i="143"/>
  <c r="M11" i="143"/>
  <c r="L11" i="143"/>
  <c r="K11" i="143"/>
  <c r="J11" i="143"/>
  <c r="I11" i="143"/>
  <c r="H11" i="143"/>
  <c r="G11" i="143"/>
  <c r="F11" i="143"/>
  <c r="E11" i="143"/>
  <c r="D11" i="143"/>
  <c r="C11" i="143"/>
  <c r="B11" i="143"/>
  <c r="M60" i="143"/>
  <c r="L60" i="143"/>
  <c r="K60" i="143"/>
  <c r="J60" i="143"/>
  <c r="I60" i="143"/>
  <c r="H60" i="143"/>
  <c r="G60" i="143"/>
  <c r="F60" i="143"/>
  <c r="E60" i="143"/>
  <c r="D60" i="143"/>
  <c r="C60" i="143"/>
  <c r="B60" i="143"/>
  <c r="M27" i="143"/>
  <c r="L27" i="143"/>
  <c r="K27" i="143"/>
  <c r="J27" i="143"/>
  <c r="I27" i="143"/>
  <c r="H27" i="143"/>
  <c r="G27" i="143"/>
  <c r="F27" i="143"/>
  <c r="E27" i="143"/>
  <c r="D27" i="143"/>
  <c r="C27" i="143"/>
  <c r="B27" i="143"/>
  <c r="M48" i="143"/>
  <c r="L48" i="143"/>
  <c r="K48" i="143"/>
  <c r="J48" i="143"/>
  <c r="I48" i="143"/>
  <c r="H48" i="143"/>
  <c r="G48" i="143"/>
  <c r="F48" i="143"/>
  <c r="E48" i="143"/>
  <c r="D48" i="143"/>
  <c r="C48" i="143"/>
  <c r="B48" i="143"/>
  <c r="M87" i="143"/>
  <c r="L87" i="143"/>
  <c r="K87" i="143"/>
  <c r="J87" i="143"/>
  <c r="I87" i="143"/>
  <c r="H87" i="143"/>
  <c r="G87" i="143"/>
  <c r="F87" i="143"/>
  <c r="E87" i="143"/>
  <c r="D87" i="143"/>
  <c r="C87" i="143"/>
  <c r="B87" i="143"/>
  <c r="M86" i="143"/>
  <c r="L86" i="143"/>
  <c r="K86" i="143"/>
  <c r="J86" i="143"/>
  <c r="I86" i="143"/>
  <c r="H86" i="143"/>
  <c r="G86" i="143"/>
  <c r="F86" i="143"/>
  <c r="E86" i="143"/>
  <c r="D86" i="143"/>
  <c r="C86" i="143"/>
  <c r="B86" i="143"/>
  <c r="M85" i="143"/>
  <c r="L85" i="143"/>
  <c r="K85" i="143"/>
  <c r="J85" i="143"/>
  <c r="I85" i="143"/>
  <c r="H85" i="143"/>
  <c r="G85" i="143"/>
  <c r="F85" i="143"/>
  <c r="E85" i="143"/>
  <c r="D85" i="143"/>
  <c r="C85" i="143"/>
  <c r="B85" i="143"/>
  <c r="M95" i="143"/>
  <c r="L95" i="143"/>
  <c r="K95" i="143"/>
  <c r="J95" i="143"/>
  <c r="I95" i="143"/>
  <c r="H95" i="143"/>
  <c r="G95" i="143"/>
  <c r="F95" i="143"/>
  <c r="E95" i="143"/>
  <c r="D95" i="143"/>
  <c r="C95" i="143"/>
  <c r="B95" i="143"/>
  <c r="M52" i="143"/>
  <c r="L52" i="143"/>
  <c r="K52" i="143"/>
  <c r="J52" i="143"/>
  <c r="I52" i="143"/>
  <c r="H52" i="143"/>
  <c r="G52" i="143"/>
  <c r="F52" i="143"/>
  <c r="E52" i="143"/>
  <c r="D52" i="143"/>
  <c r="C52" i="143"/>
  <c r="B52" i="143"/>
  <c r="M40" i="143"/>
  <c r="L40" i="143"/>
  <c r="K40" i="143"/>
  <c r="J40" i="143"/>
  <c r="I40" i="143"/>
  <c r="H40" i="143"/>
  <c r="G40" i="143"/>
  <c r="F40" i="143"/>
  <c r="E40" i="143"/>
  <c r="D40" i="143"/>
  <c r="C40" i="143"/>
  <c r="B40" i="143"/>
  <c r="M62" i="143"/>
  <c r="L62" i="143"/>
  <c r="K62" i="143"/>
  <c r="J62" i="143"/>
  <c r="I62" i="143"/>
  <c r="H62" i="143"/>
  <c r="G62" i="143"/>
  <c r="F62" i="143"/>
  <c r="E62" i="143"/>
  <c r="D62" i="143"/>
  <c r="C62" i="143"/>
  <c r="B62" i="143"/>
  <c r="M35" i="143"/>
  <c r="L35" i="143"/>
  <c r="K35" i="143"/>
  <c r="J35" i="143"/>
  <c r="I35" i="143"/>
  <c r="H35" i="143"/>
  <c r="G35" i="143"/>
  <c r="F35" i="143"/>
  <c r="E35" i="143"/>
  <c r="D35" i="143"/>
  <c r="C35" i="143"/>
  <c r="B35" i="143"/>
  <c r="M43" i="143"/>
  <c r="L43" i="143"/>
  <c r="K43" i="143"/>
  <c r="J43" i="143"/>
  <c r="I43" i="143"/>
  <c r="H43" i="143"/>
  <c r="G43" i="143"/>
  <c r="F43" i="143"/>
  <c r="E43" i="143"/>
  <c r="D43" i="143"/>
  <c r="C43" i="143"/>
  <c r="B43" i="143"/>
  <c r="M45" i="143"/>
  <c r="L45" i="143"/>
  <c r="K45" i="143"/>
  <c r="J45" i="143"/>
  <c r="I45" i="143"/>
  <c r="H45" i="143"/>
  <c r="G45" i="143"/>
  <c r="F45" i="143"/>
  <c r="E45" i="143"/>
  <c r="D45" i="143"/>
  <c r="C45" i="143"/>
  <c r="B45" i="143"/>
  <c r="M16" i="143"/>
  <c r="L16" i="143"/>
  <c r="K16" i="143"/>
  <c r="J16" i="143"/>
  <c r="I16" i="143"/>
  <c r="H16" i="143"/>
  <c r="G16" i="143"/>
  <c r="F16" i="143"/>
  <c r="E16" i="143"/>
  <c r="D16" i="143"/>
  <c r="C16" i="143"/>
  <c r="B16" i="143"/>
  <c r="M42" i="143"/>
  <c r="L42" i="143"/>
  <c r="K42" i="143"/>
  <c r="J42" i="143"/>
  <c r="I42" i="143"/>
  <c r="H42" i="143"/>
  <c r="G42" i="143"/>
  <c r="F42" i="143"/>
  <c r="E42" i="143"/>
  <c r="D42" i="143"/>
  <c r="C42" i="143"/>
  <c r="B42" i="143"/>
  <c r="M44" i="143"/>
  <c r="L44" i="143"/>
  <c r="K44" i="143"/>
  <c r="J44" i="143"/>
  <c r="I44" i="143"/>
  <c r="H44" i="143"/>
  <c r="G44" i="143"/>
  <c r="F44" i="143"/>
  <c r="E44" i="143"/>
  <c r="D44" i="143"/>
  <c r="C44" i="143"/>
  <c r="B44" i="143"/>
  <c r="M51" i="143"/>
  <c r="L51" i="143"/>
  <c r="K51" i="143"/>
  <c r="J51" i="143"/>
  <c r="I51" i="143"/>
  <c r="H51" i="143"/>
  <c r="G51" i="143"/>
  <c r="F51" i="143"/>
  <c r="E51" i="143"/>
  <c r="D51" i="143"/>
  <c r="C51" i="143"/>
  <c r="B51" i="143"/>
  <c r="M15" i="143"/>
  <c r="L15" i="143"/>
  <c r="K15" i="143"/>
  <c r="J15" i="143"/>
  <c r="I15" i="143"/>
  <c r="H15" i="143"/>
  <c r="G15" i="143"/>
  <c r="F15" i="143"/>
  <c r="E15" i="143"/>
  <c r="D15" i="143"/>
  <c r="C15" i="143"/>
  <c r="B15" i="143"/>
  <c r="M30" i="143"/>
  <c r="L30" i="143"/>
  <c r="K30" i="143"/>
  <c r="J30" i="143"/>
  <c r="I30" i="143"/>
  <c r="H30" i="143"/>
  <c r="G30" i="143"/>
  <c r="F30" i="143"/>
  <c r="E30" i="143"/>
  <c r="D30" i="143"/>
  <c r="C30" i="143"/>
  <c r="B30" i="143"/>
  <c r="M63" i="143"/>
  <c r="L63" i="143"/>
  <c r="K63" i="143"/>
  <c r="J63" i="143"/>
  <c r="I63" i="143"/>
  <c r="H63" i="143"/>
  <c r="G63" i="143"/>
  <c r="F63" i="143"/>
  <c r="E63" i="143"/>
  <c r="D63" i="143"/>
  <c r="C63" i="143"/>
  <c r="B63" i="143"/>
  <c r="M29" i="143"/>
  <c r="L29" i="143"/>
  <c r="K29" i="143"/>
  <c r="J29" i="143"/>
  <c r="I29" i="143"/>
  <c r="H29" i="143"/>
  <c r="G29" i="143"/>
  <c r="F29" i="143"/>
  <c r="E29" i="143"/>
  <c r="D29" i="143"/>
  <c r="C29" i="143"/>
  <c r="B29" i="143"/>
  <c r="M81" i="143"/>
  <c r="L81" i="143"/>
  <c r="K81" i="143"/>
  <c r="J81" i="143"/>
  <c r="I81" i="143"/>
  <c r="H81" i="143"/>
  <c r="G81" i="143"/>
  <c r="F81" i="143"/>
  <c r="E81" i="143"/>
  <c r="D81" i="143"/>
  <c r="C81" i="143"/>
  <c r="B81" i="143"/>
  <c r="M7" i="143"/>
  <c r="L7" i="143"/>
  <c r="K7" i="143"/>
  <c r="J7" i="143"/>
  <c r="I7" i="143"/>
  <c r="H7" i="143"/>
  <c r="G7" i="143"/>
  <c r="F7" i="143"/>
  <c r="E7" i="143"/>
  <c r="D7" i="143"/>
  <c r="C7" i="143"/>
  <c r="B7" i="143"/>
  <c r="M77" i="143"/>
  <c r="L77" i="143"/>
  <c r="K77" i="143"/>
  <c r="J77" i="143"/>
  <c r="I77" i="143"/>
  <c r="H77" i="143"/>
  <c r="G77" i="143"/>
  <c r="F77" i="143"/>
  <c r="E77" i="143"/>
  <c r="D77" i="143"/>
  <c r="C77" i="143"/>
  <c r="B77" i="143"/>
  <c r="M34" i="143"/>
  <c r="L34" i="143"/>
  <c r="K34" i="143"/>
  <c r="J34" i="143"/>
  <c r="I34" i="143"/>
  <c r="H34" i="143"/>
  <c r="G34" i="143"/>
  <c r="F34" i="143"/>
  <c r="E34" i="143"/>
  <c r="D34" i="143"/>
  <c r="C34" i="143"/>
  <c r="B34" i="143"/>
  <c r="M9" i="143"/>
  <c r="L9" i="143"/>
  <c r="K9" i="143"/>
  <c r="J9" i="143"/>
  <c r="I9" i="143"/>
  <c r="H9" i="143"/>
  <c r="G9" i="143"/>
  <c r="F9" i="143"/>
  <c r="E9" i="143"/>
  <c r="D9" i="143"/>
  <c r="C9" i="143"/>
  <c r="B9" i="143"/>
  <c r="M18" i="143"/>
  <c r="L18" i="143"/>
  <c r="K18" i="143"/>
  <c r="J18" i="143"/>
  <c r="I18" i="143"/>
  <c r="H18" i="143"/>
  <c r="G18" i="143"/>
  <c r="F18" i="143"/>
  <c r="E18" i="143"/>
  <c r="D18" i="143"/>
  <c r="C18" i="143"/>
  <c r="B18" i="143"/>
  <c r="M14" i="143"/>
  <c r="L14" i="143"/>
  <c r="K14" i="143"/>
  <c r="J14" i="143"/>
  <c r="I14" i="143"/>
  <c r="H14" i="143"/>
  <c r="G14" i="143"/>
  <c r="F14" i="143"/>
  <c r="E14" i="143"/>
  <c r="D14" i="143"/>
  <c r="C14" i="143"/>
  <c r="B14" i="143"/>
  <c r="M10" i="143"/>
  <c r="L10" i="143"/>
  <c r="K10" i="143"/>
  <c r="J10" i="143"/>
  <c r="I10" i="143"/>
  <c r="H10" i="143"/>
  <c r="G10" i="143"/>
  <c r="F10" i="143"/>
  <c r="E10" i="143"/>
  <c r="D10" i="143"/>
  <c r="C10" i="143"/>
  <c r="B10" i="143"/>
  <c r="M13" i="143"/>
  <c r="L13" i="143"/>
  <c r="K13" i="143"/>
  <c r="J13" i="143"/>
  <c r="I13" i="143"/>
  <c r="H13" i="143"/>
  <c r="G13" i="143"/>
  <c r="F13" i="143"/>
  <c r="E13" i="143"/>
  <c r="D13" i="143"/>
  <c r="C13" i="143"/>
  <c r="B13" i="143"/>
  <c r="M28" i="143"/>
  <c r="L28" i="143"/>
  <c r="K28" i="143"/>
  <c r="J28" i="143"/>
  <c r="I28" i="143"/>
  <c r="H28" i="143"/>
  <c r="G28" i="143"/>
  <c r="F28" i="143"/>
  <c r="E28" i="143"/>
  <c r="D28" i="143"/>
  <c r="C28" i="143"/>
  <c r="B28" i="143"/>
  <c r="M6" i="143"/>
  <c r="L6" i="143"/>
  <c r="K6" i="143"/>
  <c r="J6" i="143"/>
  <c r="I6" i="143"/>
  <c r="H6" i="143"/>
  <c r="G6" i="143"/>
  <c r="F6" i="143"/>
  <c r="E6" i="143"/>
  <c r="D6" i="143"/>
  <c r="C6" i="143"/>
  <c r="B6" i="143"/>
  <c r="M39" i="143"/>
  <c r="L39" i="143"/>
  <c r="K39" i="143"/>
  <c r="J39" i="143"/>
  <c r="I39" i="143"/>
  <c r="H39" i="143"/>
  <c r="G39" i="143"/>
  <c r="F39" i="143"/>
  <c r="E39" i="143"/>
  <c r="D39" i="143"/>
  <c r="C39" i="143"/>
  <c r="B39" i="143"/>
  <c r="M17" i="143"/>
  <c r="L17" i="143"/>
  <c r="K17" i="143"/>
  <c r="J17" i="143"/>
  <c r="I17" i="143"/>
  <c r="H17" i="143"/>
  <c r="G17" i="143"/>
  <c r="F17" i="143"/>
  <c r="E17" i="143"/>
  <c r="D17" i="143"/>
  <c r="C17" i="143"/>
  <c r="B17" i="143"/>
  <c r="M5" i="143"/>
  <c r="L5" i="143"/>
  <c r="K5" i="143"/>
  <c r="J5" i="143"/>
  <c r="I5" i="143"/>
  <c r="H5" i="143"/>
  <c r="G5" i="143"/>
  <c r="F5" i="143"/>
  <c r="E5" i="143"/>
  <c r="D5" i="143"/>
  <c r="C5" i="143"/>
  <c r="B5" i="143"/>
  <c r="M41" i="143"/>
  <c r="L41" i="143"/>
  <c r="K41" i="143"/>
  <c r="J41" i="143"/>
  <c r="I41" i="143"/>
  <c r="H41" i="143"/>
  <c r="G41" i="143"/>
  <c r="F41" i="143"/>
  <c r="E41" i="143"/>
  <c r="D41" i="143"/>
  <c r="C41" i="143"/>
  <c r="B41" i="143"/>
  <c r="M4" i="143"/>
  <c r="L4" i="143"/>
  <c r="K4" i="143"/>
  <c r="J4" i="143"/>
  <c r="I4" i="143"/>
  <c r="H4" i="143"/>
  <c r="G4" i="143"/>
  <c r="F4" i="143"/>
  <c r="E4" i="143"/>
  <c r="D4" i="143"/>
  <c r="C4" i="143"/>
  <c r="B4" i="143"/>
  <c r="M83" i="143"/>
  <c r="L83" i="143"/>
  <c r="K83" i="143"/>
  <c r="J83" i="143"/>
  <c r="I83" i="143"/>
  <c r="H83" i="143"/>
  <c r="G83" i="143"/>
  <c r="F83" i="143"/>
  <c r="E83" i="143"/>
  <c r="D83" i="143"/>
  <c r="C83" i="143"/>
  <c r="B83" i="143"/>
  <c r="M80" i="143"/>
  <c r="L80" i="143"/>
  <c r="K80" i="143"/>
  <c r="J80" i="143"/>
  <c r="I80" i="143"/>
  <c r="H80" i="143"/>
  <c r="G80" i="143"/>
  <c r="F80" i="143"/>
  <c r="E80" i="143"/>
  <c r="D80" i="143"/>
  <c r="C80" i="143"/>
  <c r="B80" i="143"/>
  <c r="M3" i="143"/>
  <c r="L3" i="143"/>
  <c r="K3" i="143"/>
  <c r="J3" i="143"/>
  <c r="I3" i="143"/>
  <c r="H3" i="143"/>
  <c r="G3" i="143"/>
  <c r="F3" i="143"/>
  <c r="E3" i="143"/>
  <c r="D3" i="143"/>
  <c r="C3" i="143"/>
  <c r="B3" i="143"/>
  <c r="M82" i="143"/>
  <c r="L82" i="143"/>
  <c r="K82" i="143"/>
  <c r="J82" i="143"/>
  <c r="I82" i="143"/>
  <c r="H82" i="143"/>
  <c r="G82" i="143"/>
  <c r="F82" i="143"/>
  <c r="E82" i="143"/>
  <c r="D82" i="143"/>
  <c r="C82" i="143"/>
  <c r="B82" i="143"/>
  <c r="M2" i="143"/>
  <c r="L2" i="143"/>
  <c r="K2" i="143"/>
  <c r="J2" i="143"/>
  <c r="I2" i="143"/>
  <c r="H2" i="143"/>
  <c r="G2" i="143"/>
  <c r="F2" i="143"/>
  <c r="E2" i="143"/>
  <c r="D2" i="143"/>
  <c r="C2" i="143"/>
  <c r="B2" i="143"/>
  <c r="M79" i="143"/>
  <c r="L79" i="143"/>
  <c r="K79" i="143"/>
  <c r="J79" i="143"/>
  <c r="I79" i="143"/>
  <c r="H79" i="143"/>
  <c r="G79" i="143"/>
  <c r="F79" i="143"/>
  <c r="E79" i="143"/>
  <c r="D79" i="143"/>
  <c r="C79" i="143"/>
  <c r="B79" i="143"/>
  <c r="M56" i="143"/>
  <c r="L56" i="143"/>
  <c r="K56" i="143"/>
  <c r="J56" i="143"/>
  <c r="I56" i="143"/>
  <c r="H56" i="143"/>
  <c r="G56" i="143"/>
  <c r="F56" i="143"/>
  <c r="E56" i="143"/>
  <c r="D56" i="143"/>
  <c r="C56" i="143"/>
  <c r="B56" i="143"/>
  <c r="N4" i="140"/>
  <c r="N5" i="140"/>
  <c r="N6" i="140"/>
  <c r="N7" i="140"/>
  <c r="N8" i="140"/>
  <c r="N9" i="140"/>
  <c r="N10" i="140"/>
  <c r="N11" i="140"/>
  <c r="N12" i="140"/>
  <c r="N13" i="140"/>
  <c r="N14" i="140"/>
  <c r="N15" i="140"/>
  <c r="N16" i="140"/>
  <c r="N17" i="140"/>
  <c r="N18" i="140"/>
  <c r="N19" i="140"/>
  <c r="N20" i="140"/>
  <c r="N21" i="140"/>
  <c r="N22" i="140"/>
  <c r="N23" i="140"/>
  <c r="N24" i="140"/>
  <c r="N25" i="140"/>
  <c r="N26" i="140"/>
  <c r="N27" i="140"/>
  <c r="N28" i="140"/>
  <c r="N29" i="140"/>
  <c r="N30" i="140"/>
  <c r="N31" i="140"/>
  <c r="N32" i="140"/>
  <c r="N33" i="140"/>
  <c r="N34" i="140"/>
  <c r="N35" i="140"/>
  <c r="N36" i="140"/>
  <c r="N37" i="140"/>
  <c r="N38" i="140"/>
  <c r="N39" i="140"/>
  <c r="N40" i="140"/>
  <c r="N41" i="140"/>
  <c r="N42" i="140"/>
  <c r="N43" i="140"/>
  <c r="N44" i="140"/>
  <c r="N45" i="140"/>
  <c r="N46" i="140"/>
  <c r="N47" i="140"/>
  <c r="N48" i="140"/>
  <c r="N49" i="140"/>
  <c r="N50" i="140"/>
  <c r="N51" i="140"/>
  <c r="N52" i="140"/>
  <c r="N53" i="140"/>
  <c r="N54" i="140"/>
  <c r="N55" i="140"/>
  <c r="N56" i="140"/>
  <c r="N57" i="140"/>
  <c r="N58" i="140"/>
  <c r="N59" i="140"/>
  <c r="N60" i="140"/>
  <c r="N61" i="140"/>
  <c r="N62" i="140"/>
  <c r="N63" i="140"/>
  <c r="N64" i="140"/>
  <c r="N65" i="140"/>
  <c r="N66" i="140"/>
  <c r="N67" i="140"/>
  <c r="N68" i="140"/>
  <c r="N69" i="140"/>
  <c r="N70" i="140"/>
  <c r="N71" i="140"/>
  <c r="N72" i="140"/>
  <c r="N73" i="140"/>
  <c r="N74" i="140"/>
  <c r="N75" i="140"/>
  <c r="N76" i="140"/>
  <c r="N77" i="140"/>
  <c r="N78" i="140"/>
  <c r="N79" i="140"/>
  <c r="N80" i="140"/>
  <c r="N81" i="140"/>
  <c r="N82" i="140"/>
  <c r="N83" i="140"/>
  <c r="N84" i="140"/>
  <c r="N85" i="140"/>
  <c r="N86" i="140"/>
  <c r="N87" i="140"/>
  <c r="N88" i="140"/>
  <c r="N89" i="140"/>
  <c r="N90" i="140"/>
  <c r="N91" i="140"/>
  <c r="N92" i="140"/>
  <c r="N93" i="140"/>
  <c r="N94" i="140"/>
  <c r="N95" i="140"/>
  <c r="N96" i="140"/>
  <c r="N97" i="140"/>
  <c r="N98" i="140"/>
  <c r="N99" i="140"/>
  <c r="N100" i="140"/>
  <c r="N101" i="140"/>
  <c r="N102" i="140"/>
  <c r="N103" i="140"/>
  <c r="N104" i="140"/>
  <c r="N105" i="140"/>
  <c r="N106" i="140"/>
  <c r="N107" i="140"/>
  <c r="N108" i="140"/>
  <c r="N109" i="140"/>
  <c r="N110" i="140"/>
  <c r="N111" i="140"/>
  <c r="N112" i="140"/>
  <c r="N113" i="140"/>
  <c r="N114" i="140"/>
  <c r="N115" i="140"/>
  <c r="N116" i="140"/>
  <c r="N117" i="140"/>
  <c r="N118" i="140"/>
  <c r="N119" i="140"/>
  <c r="N120" i="140"/>
  <c r="N121" i="140"/>
  <c r="N122" i="140"/>
  <c r="N123" i="140"/>
  <c r="N124" i="140"/>
  <c r="N125" i="140"/>
  <c r="N126" i="140"/>
  <c r="N127" i="140"/>
  <c r="N128" i="140"/>
  <c r="N129" i="140"/>
  <c r="N130" i="140"/>
  <c r="N131" i="140"/>
  <c r="N132" i="140"/>
  <c r="N133" i="140"/>
  <c r="N134" i="140"/>
  <c r="N135" i="140"/>
  <c r="N136" i="140"/>
  <c r="N137" i="140"/>
  <c r="N138" i="140"/>
  <c r="N139" i="140"/>
  <c r="N140" i="140"/>
  <c r="N141" i="140"/>
  <c r="N142" i="140"/>
  <c r="N143" i="140"/>
  <c r="N144" i="140"/>
  <c r="N145" i="140"/>
  <c r="N146" i="140"/>
  <c r="N147" i="140"/>
  <c r="N148" i="140"/>
  <c r="N149" i="140"/>
  <c r="N150" i="140"/>
  <c r="N151" i="140"/>
  <c r="N152" i="140"/>
  <c r="N153" i="140"/>
  <c r="N154" i="140"/>
  <c r="N155" i="140"/>
  <c r="N156" i="140"/>
  <c r="N157" i="140"/>
  <c r="N158" i="140"/>
  <c r="N159" i="140"/>
  <c r="N160" i="140"/>
  <c r="N161" i="140"/>
  <c r="N162" i="140"/>
  <c r="N163" i="140"/>
  <c r="N164" i="140"/>
  <c r="N165" i="140"/>
  <c r="N166" i="140"/>
  <c r="N167" i="140"/>
  <c r="N168" i="140"/>
  <c r="N169" i="140"/>
  <c r="N170" i="140"/>
  <c r="N171" i="140"/>
  <c r="N3" i="140"/>
  <c r="M45" i="140"/>
  <c r="L45" i="140"/>
  <c r="K45" i="140"/>
  <c r="J45" i="140"/>
  <c r="I45" i="140"/>
  <c r="H45" i="140"/>
  <c r="G45" i="140"/>
  <c r="F45" i="140"/>
  <c r="E45" i="140"/>
  <c r="D45" i="140"/>
  <c r="C45" i="140"/>
  <c r="B45" i="140"/>
  <c r="M54" i="140"/>
  <c r="L54" i="140"/>
  <c r="K54" i="140"/>
  <c r="J54" i="140"/>
  <c r="I54" i="140"/>
  <c r="H54" i="140"/>
  <c r="G54" i="140"/>
  <c r="F54" i="140"/>
  <c r="E54" i="140"/>
  <c r="D54" i="140"/>
  <c r="C54" i="140"/>
  <c r="B54" i="140"/>
  <c r="M72" i="140"/>
  <c r="L72" i="140"/>
  <c r="K72" i="140"/>
  <c r="J72" i="140"/>
  <c r="I72" i="140"/>
  <c r="H72" i="140"/>
  <c r="G72" i="140"/>
  <c r="F72" i="140"/>
  <c r="E72" i="140"/>
  <c r="D72" i="140"/>
  <c r="C72" i="140"/>
  <c r="B72" i="140"/>
  <c r="M22" i="140"/>
  <c r="L22" i="140"/>
  <c r="K22" i="140"/>
  <c r="J22" i="140"/>
  <c r="I22" i="140"/>
  <c r="H22" i="140"/>
  <c r="G22" i="140"/>
  <c r="F22" i="140"/>
  <c r="E22" i="140"/>
  <c r="D22" i="140"/>
  <c r="C22" i="140"/>
  <c r="B22" i="140"/>
  <c r="M58" i="140"/>
  <c r="L58" i="140"/>
  <c r="K58" i="140"/>
  <c r="J58" i="140"/>
  <c r="I58" i="140"/>
  <c r="H58" i="140"/>
  <c r="G58" i="140"/>
  <c r="F58" i="140"/>
  <c r="E58" i="140"/>
  <c r="D58" i="140"/>
  <c r="C58" i="140"/>
  <c r="B58" i="140"/>
  <c r="M90" i="140"/>
  <c r="L90" i="140"/>
  <c r="K90" i="140"/>
  <c r="J90" i="140"/>
  <c r="I90" i="140"/>
  <c r="H90" i="140"/>
  <c r="G90" i="140"/>
  <c r="F90" i="140"/>
  <c r="E90" i="140"/>
  <c r="D90" i="140"/>
  <c r="C90" i="140"/>
  <c r="B90" i="140"/>
  <c r="M89" i="140"/>
  <c r="L89" i="140"/>
  <c r="K89" i="140"/>
  <c r="J89" i="140"/>
  <c r="I89" i="140"/>
  <c r="H89" i="140"/>
  <c r="G89" i="140"/>
  <c r="F89" i="140"/>
  <c r="E89" i="140"/>
  <c r="D89" i="140"/>
  <c r="C89" i="140"/>
  <c r="B89" i="140"/>
  <c r="M140" i="140"/>
  <c r="L140" i="140"/>
  <c r="K140" i="140"/>
  <c r="J140" i="140"/>
  <c r="I140" i="140"/>
  <c r="H140" i="140"/>
  <c r="G140" i="140"/>
  <c r="F140" i="140"/>
  <c r="E140" i="140"/>
  <c r="D140" i="140"/>
  <c r="C140" i="140"/>
  <c r="B140" i="140"/>
  <c r="M139" i="140"/>
  <c r="L139" i="140"/>
  <c r="K139" i="140"/>
  <c r="J139" i="140"/>
  <c r="I139" i="140"/>
  <c r="H139" i="140"/>
  <c r="G139" i="140"/>
  <c r="F139" i="140"/>
  <c r="E139" i="140"/>
  <c r="D139" i="140"/>
  <c r="C139" i="140"/>
  <c r="B139" i="140"/>
  <c r="M95" i="140"/>
  <c r="L95" i="140"/>
  <c r="K95" i="140"/>
  <c r="J95" i="140"/>
  <c r="I95" i="140"/>
  <c r="H95" i="140"/>
  <c r="G95" i="140"/>
  <c r="F95" i="140"/>
  <c r="E95" i="140"/>
  <c r="D95" i="140"/>
  <c r="C95" i="140"/>
  <c r="B95" i="140"/>
  <c r="M94" i="140"/>
  <c r="L94" i="140"/>
  <c r="K94" i="140"/>
  <c r="J94" i="140"/>
  <c r="I94" i="140"/>
  <c r="H94" i="140"/>
  <c r="G94" i="140"/>
  <c r="F94" i="140"/>
  <c r="E94" i="140"/>
  <c r="D94" i="140"/>
  <c r="C94" i="140"/>
  <c r="B94" i="140"/>
  <c r="M138" i="140"/>
  <c r="L138" i="140"/>
  <c r="K138" i="140"/>
  <c r="J138" i="140"/>
  <c r="I138" i="140"/>
  <c r="H138" i="140"/>
  <c r="G138" i="140"/>
  <c r="F138" i="140"/>
  <c r="E138" i="140"/>
  <c r="D138" i="140"/>
  <c r="C138" i="140"/>
  <c r="B138" i="140"/>
  <c r="M137" i="140"/>
  <c r="L137" i="140"/>
  <c r="K137" i="140"/>
  <c r="J137" i="140"/>
  <c r="I137" i="140"/>
  <c r="H137" i="140"/>
  <c r="G137" i="140"/>
  <c r="F137" i="140"/>
  <c r="E137" i="140"/>
  <c r="D137" i="140"/>
  <c r="C137" i="140"/>
  <c r="B137" i="140"/>
  <c r="M19" i="140"/>
  <c r="L19" i="140"/>
  <c r="K19" i="140"/>
  <c r="J19" i="140"/>
  <c r="I19" i="140"/>
  <c r="H19" i="140"/>
  <c r="G19" i="140"/>
  <c r="F19" i="140"/>
  <c r="E19" i="140"/>
  <c r="D19" i="140"/>
  <c r="C19" i="140"/>
  <c r="B19" i="140"/>
  <c r="M18" i="140"/>
  <c r="L18" i="140"/>
  <c r="K18" i="140"/>
  <c r="J18" i="140"/>
  <c r="I18" i="140"/>
  <c r="H18" i="140"/>
  <c r="G18" i="140"/>
  <c r="F18" i="140"/>
  <c r="E18" i="140"/>
  <c r="D18" i="140"/>
  <c r="C18" i="140"/>
  <c r="B18" i="140"/>
  <c r="M11" i="140"/>
  <c r="L11" i="140"/>
  <c r="K11" i="140"/>
  <c r="J11" i="140"/>
  <c r="I11" i="140"/>
  <c r="H11" i="140"/>
  <c r="G11" i="140"/>
  <c r="F11" i="140"/>
  <c r="E11" i="140"/>
  <c r="D11" i="140"/>
  <c r="C11" i="140"/>
  <c r="B11" i="140"/>
  <c r="M3" i="140"/>
  <c r="L3" i="140"/>
  <c r="K3" i="140"/>
  <c r="J3" i="140"/>
  <c r="I3" i="140"/>
  <c r="H3" i="140"/>
  <c r="G3" i="140"/>
  <c r="F3" i="140"/>
  <c r="E3" i="140"/>
  <c r="D3" i="140"/>
  <c r="C3" i="140"/>
  <c r="B3" i="140"/>
  <c r="M93" i="140"/>
  <c r="L93" i="140"/>
  <c r="K93" i="140"/>
  <c r="J93" i="140"/>
  <c r="I93" i="140"/>
  <c r="H93" i="140"/>
  <c r="G93" i="140"/>
  <c r="F93" i="140"/>
  <c r="E93" i="140"/>
  <c r="D93" i="140"/>
  <c r="C93" i="140"/>
  <c r="B93" i="140"/>
  <c r="M10" i="140"/>
  <c r="L10" i="140"/>
  <c r="K10" i="140"/>
  <c r="J10" i="140"/>
  <c r="I10" i="140"/>
  <c r="H10" i="140"/>
  <c r="G10" i="140"/>
  <c r="F10" i="140"/>
  <c r="E10" i="140"/>
  <c r="D10" i="140"/>
  <c r="C10" i="140"/>
  <c r="B10" i="140"/>
  <c r="M8" i="140"/>
  <c r="L8" i="140"/>
  <c r="K8" i="140"/>
  <c r="J8" i="140"/>
  <c r="I8" i="140"/>
  <c r="H8" i="140"/>
  <c r="G8" i="140"/>
  <c r="F8" i="140"/>
  <c r="E8" i="140"/>
  <c r="D8" i="140"/>
  <c r="C8" i="140"/>
  <c r="B8" i="140"/>
  <c r="M92" i="140"/>
  <c r="L92" i="140"/>
  <c r="K92" i="140"/>
  <c r="J92" i="140"/>
  <c r="I92" i="140"/>
  <c r="H92" i="140"/>
  <c r="G92" i="140"/>
  <c r="F92" i="140"/>
  <c r="E92" i="140"/>
  <c r="D92" i="140"/>
  <c r="C92" i="140"/>
  <c r="B92" i="140"/>
  <c r="M2" i="140"/>
  <c r="L2" i="140"/>
  <c r="K2" i="140"/>
  <c r="J2" i="140"/>
  <c r="I2" i="140"/>
  <c r="H2" i="140"/>
  <c r="G2" i="140"/>
  <c r="F2" i="140"/>
  <c r="E2" i="140"/>
  <c r="D2" i="140"/>
  <c r="C2" i="140"/>
  <c r="B2" i="140"/>
  <c r="M40" i="140"/>
  <c r="L40" i="140"/>
  <c r="K40" i="140"/>
  <c r="J40" i="140"/>
  <c r="I40" i="140"/>
  <c r="H40" i="140"/>
  <c r="G40" i="140"/>
  <c r="F40" i="140"/>
  <c r="E40" i="140"/>
  <c r="D40" i="140"/>
  <c r="C40" i="140"/>
  <c r="B40" i="140"/>
  <c r="M142" i="140"/>
  <c r="L142" i="140"/>
  <c r="K142" i="140"/>
  <c r="J142" i="140"/>
  <c r="I142" i="140"/>
  <c r="H142" i="140"/>
  <c r="G142" i="140"/>
  <c r="F142" i="140"/>
  <c r="E142" i="140"/>
  <c r="D142" i="140"/>
  <c r="C142" i="140"/>
  <c r="B142" i="140"/>
  <c r="M99" i="140"/>
  <c r="L99" i="140"/>
  <c r="K99" i="140"/>
  <c r="J99" i="140"/>
  <c r="I99" i="140"/>
  <c r="H99" i="140"/>
  <c r="G99" i="140"/>
  <c r="F99" i="140"/>
  <c r="E99" i="140"/>
  <c r="D99" i="140"/>
  <c r="C99" i="140"/>
  <c r="B99" i="140"/>
  <c r="M98" i="140"/>
  <c r="L98" i="140"/>
  <c r="K98" i="140"/>
  <c r="J98" i="140"/>
  <c r="I98" i="140"/>
  <c r="H98" i="140"/>
  <c r="G98" i="140"/>
  <c r="F98" i="140"/>
  <c r="E98" i="140"/>
  <c r="D98" i="140"/>
  <c r="C98" i="140"/>
  <c r="B98" i="140"/>
  <c r="M38" i="140"/>
  <c r="L38" i="140"/>
  <c r="K38" i="140"/>
  <c r="J38" i="140"/>
  <c r="I38" i="140"/>
  <c r="H38" i="140"/>
  <c r="G38" i="140"/>
  <c r="F38" i="140"/>
  <c r="E38" i="140"/>
  <c r="D38" i="140"/>
  <c r="C38" i="140"/>
  <c r="B38" i="140"/>
  <c r="M24" i="140"/>
  <c r="L24" i="140"/>
  <c r="K24" i="140"/>
  <c r="J24" i="140"/>
  <c r="I24" i="140"/>
  <c r="H24" i="140"/>
  <c r="G24" i="140"/>
  <c r="F24" i="140"/>
  <c r="E24" i="140"/>
  <c r="D24" i="140"/>
  <c r="C24" i="140"/>
  <c r="B24" i="140"/>
  <c r="M23" i="140"/>
  <c r="L23" i="140"/>
  <c r="K23" i="140"/>
  <c r="J23" i="140"/>
  <c r="I23" i="140"/>
  <c r="H23" i="140"/>
  <c r="G23" i="140"/>
  <c r="F23" i="140"/>
  <c r="E23" i="140"/>
  <c r="D23" i="140"/>
  <c r="C23" i="140"/>
  <c r="B23" i="140"/>
  <c r="M9" i="140"/>
  <c r="L9" i="140"/>
  <c r="K9" i="140"/>
  <c r="J9" i="140"/>
  <c r="I9" i="140"/>
  <c r="H9" i="140"/>
  <c r="G9" i="140"/>
  <c r="F9" i="140"/>
  <c r="E9" i="140"/>
  <c r="D9" i="140"/>
  <c r="C9" i="140"/>
  <c r="B9" i="140"/>
  <c r="M85" i="140"/>
  <c r="L85" i="140"/>
  <c r="K85" i="140"/>
  <c r="J85" i="140"/>
  <c r="I85" i="140"/>
  <c r="H85" i="140"/>
  <c r="G85" i="140"/>
  <c r="F85" i="140"/>
  <c r="E85" i="140"/>
  <c r="D85" i="140"/>
  <c r="C85" i="140"/>
  <c r="B85" i="140"/>
  <c r="M66" i="140"/>
  <c r="L66" i="140"/>
  <c r="K66" i="140"/>
  <c r="J66" i="140"/>
  <c r="I66" i="140"/>
  <c r="H66" i="140"/>
  <c r="G66" i="140"/>
  <c r="F66" i="140"/>
  <c r="E66" i="140"/>
  <c r="D66" i="140"/>
  <c r="C66" i="140"/>
  <c r="B66" i="140"/>
  <c r="M13" i="140"/>
  <c r="L13" i="140"/>
  <c r="K13" i="140"/>
  <c r="J13" i="140"/>
  <c r="I13" i="140"/>
  <c r="H13" i="140"/>
  <c r="G13" i="140"/>
  <c r="F13" i="140"/>
  <c r="E13" i="140"/>
  <c r="D13" i="140"/>
  <c r="C13" i="140"/>
  <c r="B13" i="140"/>
  <c r="M129" i="140"/>
  <c r="L129" i="140"/>
  <c r="K129" i="140"/>
  <c r="J129" i="140"/>
  <c r="I129" i="140"/>
  <c r="H129" i="140"/>
  <c r="G129" i="140"/>
  <c r="F129" i="140"/>
  <c r="E129" i="140"/>
  <c r="D129" i="140"/>
  <c r="C129" i="140"/>
  <c r="B129" i="140"/>
  <c r="M106" i="140"/>
  <c r="L106" i="140"/>
  <c r="K106" i="140"/>
  <c r="J106" i="140"/>
  <c r="I106" i="140"/>
  <c r="H106" i="140"/>
  <c r="G106" i="140"/>
  <c r="F106" i="140"/>
  <c r="E106" i="140"/>
  <c r="D106" i="140"/>
  <c r="C106" i="140"/>
  <c r="B106" i="140"/>
  <c r="M48" i="140"/>
  <c r="L48" i="140"/>
  <c r="K48" i="140"/>
  <c r="J48" i="140"/>
  <c r="I48" i="140"/>
  <c r="H48" i="140"/>
  <c r="G48" i="140"/>
  <c r="F48" i="140"/>
  <c r="E48" i="140"/>
  <c r="D48" i="140"/>
  <c r="C48" i="140"/>
  <c r="B48" i="140"/>
  <c r="M65" i="140"/>
  <c r="L65" i="140"/>
  <c r="K65" i="140"/>
  <c r="J65" i="140"/>
  <c r="I65" i="140"/>
  <c r="H65" i="140"/>
  <c r="G65" i="140"/>
  <c r="F65" i="140"/>
  <c r="E65" i="140"/>
  <c r="D65" i="140"/>
  <c r="C65" i="140"/>
  <c r="B65" i="140"/>
  <c r="M28" i="140"/>
  <c r="L28" i="140"/>
  <c r="K28" i="140"/>
  <c r="J28" i="140"/>
  <c r="I28" i="140"/>
  <c r="H28" i="140"/>
  <c r="G28" i="140"/>
  <c r="F28" i="140"/>
  <c r="E28" i="140"/>
  <c r="D28" i="140"/>
  <c r="C28" i="140"/>
  <c r="B28" i="140"/>
  <c r="M53" i="140"/>
  <c r="L53" i="140"/>
  <c r="K53" i="140"/>
  <c r="J53" i="140"/>
  <c r="I53" i="140"/>
  <c r="H53" i="140"/>
  <c r="G53" i="140"/>
  <c r="F53" i="140"/>
  <c r="E53" i="140"/>
  <c r="D53" i="140"/>
  <c r="C53" i="140"/>
  <c r="B53" i="140"/>
  <c r="M91" i="140"/>
  <c r="L91" i="140"/>
  <c r="K91" i="140"/>
  <c r="J91" i="140"/>
  <c r="I91" i="140"/>
  <c r="H91" i="140"/>
  <c r="G91" i="140"/>
  <c r="F91" i="140"/>
  <c r="E91" i="140"/>
  <c r="D91" i="140"/>
  <c r="C91" i="140"/>
  <c r="B91" i="140"/>
  <c r="M113" i="140"/>
  <c r="L113" i="140"/>
  <c r="K113" i="140"/>
  <c r="J113" i="140"/>
  <c r="I113" i="140"/>
  <c r="H113" i="140"/>
  <c r="G113" i="140"/>
  <c r="F113" i="140"/>
  <c r="E113" i="140"/>
  <c r="D113" i="140"/>
  <c r="C113" i="140"/>
  <c r="B113" i="140"/>
  <c r="M152" i="140"/>
  <c r="L152" i="140"/>
  <c r="K152" i="140"/>
  <c r="J152" i="140"/>
  <c r="I152" i="140"/>
  <c r="H152" i="140"/>
  <c r="G152" i="140"/>
  <c r="F152" i="140"/>
  <c r="E152" i="140"/>
  <c r="D152" i="140"/>
  <c r="C152" i="140"/>
  <c r="B152" i="140"/>
  <c r="M47" i="140"/>
  <c r="L47" i="140"/>
  <c r="K47" i="140"/>
  <c r="J47" i="140"/>
  <c r="I47" i="140"/>
  <c r="H47" i="140"/>
  <c r="G47" i="140"/>
  <c r="F47" i="140"/>
  <c r="E47" i="140"/>
  <c r="D47" i="140"/>
  <c r="C47" i="140"/>
  <c r="B47" i="140"/>
  <c r="M163" i="140"/>
  <c r="L163" i="140"/>
  <c r="K163" i="140"/>
  <c r="J163" i="140"/>
  <c r="I163" i="140"/>
  <c r="H163" i="140"/>
  <c r="G163" i="140"/>
  <c r="F163" i="140"/>
  <c r="E163" i="140"/>
  <c r="D163" i="140"/>
  <c r="C163" i="140"/>
  <c r="B163" i="140"/>
  <c r="M17" i="140"/>
  <c r="L17" i="140"/>
  <c r="K17" i="140"/>
  <c r="J17" i="140"/>
  <c r="I17" i="140"/>
  <c r="H17" i="140"/>
  <c r="G17" i="140"/>
  <c r="F17" i="140"/>
  <c r="E17" i="140"/>
  <c r="D17" i="140"/>
  <c r="C17" i="140"/>
  <c r="B17" i="140"/>
  <c r="M154" i="140"/>
  <c r="L154" i="140"/>
  <c r="K154" i="140"/>
  <c r="J154" i="140"/>
  <c r="I154" i="140"/>
  <c r="H154" i="140"/>
  <c r="G154" i="140"/>
  <c r="F154" i="140"/>
  <c r="E154" i="140"/>
  <c r="D154" i="140"/>
  <c r="C154" i="140"/>
  <c r="B154" i="140"/>
  <c r="M170" i="140"/>
  <c r="L170" i="140"/>
  <c r="K170" i="140"/>
  <c r="J170" i="140"/>
  <c r="I170" i="140"/>
  <c r="H170" i="140"/>
  <c r="G170" i="140"/>
  <c r="F170" i="140"/>
  <c r="E170" i="140"/>
  <c r="D170" i="140"/>
  <c r="C170" i="140"/>
  <c r="B170" i="140"/>
  <c r="M31" i="140"/>
  <c r="L31" i="140"/>
  <c r="K31" i="140"/>
  <c r="J31" i="140"/>
  <c r="I31" i="140"/>
  <c r="H31" i="140"/>
  <c r="G31" i="140"/>
  <c r="F31" i="140"/>
  <c r="E31" i="140"/>
  <c r="D31" i="140"/>
  <c r="C31" i="140"/>
  <c r="B31" i="140"/>
  <c r="M37" i="140"/>
  <c r="L37" i="140"/>
  <c r="K37" i="140"/>
  <c r="J37" i="140"/>
  <c r="I37" i="140"/>
  <c r="H37" i="140"/>
  <c r="G37" i="140"/>
  <c r="F37" i="140"/>
  <c r="E37" i="140"/>
  <c r="D37" i="140"/>
  <c r="C37" i="140"/>
  <c r="B37" i="140"/>
  <c r="M50" i="140"/>
  <c r="L50" i="140"/>
  <c r="K50" i="140"/>
  <c r="J50" i="140"/>
  <c r="I50" i="140"/>
  <c r="H50" i="140"/>
  <c r="G50" i="140"/>
  <c r="F50" i="140"/>
  <c r="E50" i="140"/>
  <c r="D50" i="140"/>
  <c r="C50" i="140"/>
  <c r="B50" i="140"/>
  <c r="M27" i="140"/>
  <c r="L27" i="140"/>
  <c r="K27" i="140"/>
  <c r="J27" i="140"/>
  <c r="I27" i="140"/>
  <c r="H27" i="140"/>
  <c r="G27" i="140"/>
  <c r="F27" i="140"/>
  <c r="E27" i="140"/>
  <c r="D27" i="140"/>
  <c r="C27" i="140"/>
  <c r="B27" i="140"/>
  <c r="M169" i="140"/>
  <c r="L169" i="140"/>
  <c r="K169" i="140"/>
  <c r="J169" i="140"/>
  <c r="I169" i="140"/>
  <c r="H169" i="140"/>
  <c r="G169" i="140"/>
  <c r="F169" i="140"/>
  <c r="E169" i="140"/>
  <c r="D169" i="140"/>
  <c r="C169" i="140"/>
  <c r="B169" i="140"/>
  <c r="M84" i="140"/>
  <c r="L84" i="140"/>
  <c r="K84" i="140"/>
  <c r="J84" i="140"/>
  <c r="I84" i="140"/>
  <c r="H84" i="140"/>
  <c r="G84" i="140"/>
  <c r="F84" i="140"/>
  <c r="E84" i="140"/>
  <c r="D84" i="140"/>
  <c r="C84" i="140"/>
  <c r="B84" i="140"/>
  <c r="M118" i="140"/>
  <c r="L118" i="140"/>
  <c r="K118" i="140"/>
  <c r="J118" i="140"/>
  <c r="I118" i="140"/>
  <c r="H118" i="140"/>
  <c r="G118" i="140"/>
  <c r="F118" i="140"/>
  <c r="E118" i="140"/>
  <c r="D118" i="140"/>
  <c r="C118" i="140"/>
  <c r="B118" i="140"/>
  <c r="M156" i="140"/>
  <c r="L156" i="140"/>
  <c r="K156" i="140"/>
  <c r="J156" i="140"/>
  <c r="I156" i="140"/>
  <c r="H156" i="140"/>
  <c r="G156" i="140"/>
  <c r="F156" i="140"/>
  <c r="E156" i="140"/>
  <c r="D156" i="140"/>
  <c r="C156" i="140"/>
  <c r="B156" i="140"/>
  <c r="M151" i="140"/>
  <c r="L151" i="140"/>
  <c r="K151" i="140"/>
  <c r="J151" i="140"/>
  <c r="I151" i="140"/>
  <c r="H151" i="140"/>
  <c r="G151" i="140"/>
  <c r="F151" i="140"/>
  <c r="E151" i="140"/>
  <c r="D151" i="140"/>
  <c r="C151" i="140"/>
  <c r="B151" i="140"/>
  <c r="M157" i="140"/>
  <c r="L157" i="140"/>
  <c r="K157" i="140"/>
  <c r="J157" i="140"/>
  <c r="I157" i="140"/>
  <c r="H157" i="140"/>
  <c r="G157" i="140"/>
  <c r="F157" i="140"/>
  <c r="E157" i="140"/>
  <c r="D157" i="140"/>
  <c r="C157" i="140"/>
  <c r="B157" i="140"/>
  <c r="M166" i="140"/>
  <c r="L166" i="140"/>
  <c r="K166" i="140"/>
  <c r="J166" i="140"/>
  <c r="I166" i="140"/>
  <c r="H166" i="140"/>
  <c r="G166" i="140"/>
  <c r="F166" i="140"/>
  <c r="E166" i="140"/>
  <c r="D166" i="140"/>
  <c r="C166" i="140"/>
  <c r="B166" i="140"/>
  <c r="M34" i="140"/>
  <c r="L34" i="140"/>
  <c r="K34" i="140"/>
  <c r="J34" i="140"/>
  <c r="I34" i="140"/>
  <c r="H34" i="140"/>
  <c r="G34" i="140"/>
  <c r="F34" i="140"/>
  <c r="E34" i="140"/>
  <c r="D34" i="140"/>
  <c r="C34" i="140"/>
  <c r="B34" i="140"/>
  <c r="M146" i="140"/>
  <c r="L146" i="140"/>
  <c r="K146" i="140"/>
  <c r="J146" i="140"/>
  <c r="I146" i="140"/>
  <c r="H146" i="140"/>
  <c r="G146" i="140"/>
  <c r="F146" i="140"/>
  <c r="E146" i="140"/>
  <c r="D146" i="140"/>
  <c r="C146" i="140"/>
  <c r="B146" i="140"/>
  <c r="M83" i="140"/>
  <c r="L83" i="140"/>
  <c r="K83" i="140"/>
  <c r="J83" i="140"/>
  <c r="I83" i="140"/>
  <c r="H83" i="140"/>
  <c r="G83" i="140"/>
  <c r="F83" i="140"/>
  <c r="E83" i="140"/>
  <c r="D83" i="140"/>
  <c r="C83" i="140"/>
  <c r="B83" i="140"/>
  <c r="M162" i="140"/>
  <c r="L162" i="140"/>
  <c r="K162" i="140"/>
  <c r="J162" i="140"/>
  <c r="I162" i="140"/>
  <c r="H162" i="140"/>
  <c r="G162" i="140"/>
  <c r="F162" i="140"/>
  <c r="E162" i="140"/>
  <c r="D162" i="140"/>
  <c r="C162" i="140"/>
  <c r="B162" i="140"/>
  <c r="M112" i="140"/>
  <c r="L112" i="140"/>
  <c r="K112" i="140"/>
  <c r="J112" i="140"/>
  <c r="I112" i="140"/>
  <c r="H112" i="140"/>
  <c r="G112" i="140"/>
  <c r="F112" i="140"/>
  <c r="E112" i="140"/>
  <c r="D112" i="140"/>
  <c r="C112" i="140"/>
  <c r="B112" i="140"/>
  <c r="M7" i="140"/>
  <c r="L7" i="140"/>
  <c r="K7" i="140"/>
  <c r="J7" i="140"/>
  <c r="I7" i="140"/>
  <c r="H7" i="140"/>
  <c r="G7" i="140"/>
  <c r="F7" i="140"/>
  <c r="E7" i="140"/>
  <c r="D7" i="140"/>
  <c r="C7" i="140"/>
  <c r="B7" i="140"/>
  <c r="M171" i="140"/>
  <c r="L171" i="140"/>
  <c r="K171" i="140"/>
  <c r="J171" i="140"/>
  <c r="I171" i="140"/>
  <c r="H171" i="140"/>
  <c r="G171" i="140"/>
  <c r="F171" i="140"/>
  <c r="E171" i="140"/>
  <c r="D171" i="140"/>
  <c r="C171" i="140"/>
  <c r="B171" i="140"/>
  <c r="M161" i="140"/>
  <c r="L161" i="140"/>
  <c r="K161" i="140"/>
  <c r="J161" i="140"/>
  <c r="I161" i="140"/>
  <c r="H161" i="140"/>
  <c r="G161" i="140"/>
  <c r="F161" i="140"/>
  <c r="E161" i="140"/>
  <c r="D161" i="140"/>
  <c r="C161" i="140"/>
  <c r="B161" i="140"/>
  <c r="M168" i="140"/>
  <c r="L168" i="140"/>
  <c r="K168" i="140"/>
  <c r="J168" i="140"/>
  <c r="I168" i="140"/>
  <c r="H168" i="140"/>
  <c r="G168" i="140"/>
  <c r="F168" i="140"/>
  <c r="E168" i="140"/>
  <c r="D168" i="140"/>
  <c r="C168" i="140"/>
  <c r="B168" i="140"/>
  <c r="M167" i="140"/>
  <c r="L167" i="140"/>
  <c r="K167" i="140"/>
  <c r="J167" i="140"/>
  <c r="I167" i="140"/>
  <c r="H167" i="140"/>
  <c r="G167" i="140"/>
  <c r="F167" i="140"/>
  <c r="E167" i="140"/>
  <c r="D167" i="140"/>
  <c r="C167" i="140"/>
  <c r="B167" i="140"/>
  <c r="M128" i="140"/>
  <c r="L128" i="140"/>
  <c r="K128" i="140"/>
  <c r="J128" i="140"/>
  <c r="I128" i="140"/>
  <c r="H128" i="140"/>
  <c r="G128" i="140"/>
  <c r="F128" i="140"/>
  <c r="E128" i="140"/>
  <c r="D128" i="140"/>
  <c r="C128" i="140"/>
  <c r="B128" i="140"/>
  <c r="M160" i="140"/>
  <c r="L160" i="140"/>
  <c r="K160" i="140"/>
  <c r="J160" i="140"/>
  <c r="I160" i="140"/>
  <c r="H160" i="140"/>
  <c r="G160" i="140"/>
  <c r="F160" i="140"/>
  <c r="E160" i="140"/>
  <c r="D160" i="140"/>
  <c r="C160" i="140"/>
  <c r="B160" i="140"/>
  <c r="M148" i="140"/>
  <c r="L148" i="140"/>
  <c r="K148" i="140"/>
  <c r="J148" i="140"/>
  <c r="I148" i="140"/>
  <c r="H148" i="140"/>
  <c r="G148" i="140"/>
  <c r="F148" i="140"/>
  <c r="E148" i="140"/>
  <c r="D148" i="140"/>
  <c r="C148" i="140"/>
  <c r="B148" i="140"/>
  <c r="M150" i="140"/>
  <c r="L150" i="140"/>
  <c r="K150" i="140"/>
  <c r="J150" i="140"/>
  <c r="I150" i="140"/>
  <c r="H150" i="140"/>
  <c r="G150" i="140"/>
  <c r="F150" i="140"/>
  <c r="E150" i="140"/>
  <c r="D150" i="140"/>
  <c r="C150" i="140"/>
  <c r="B150" i="140"/>
  <c r="M43" i="140"/>
  <c r="L43" i="140"/>
  <c r="K43" i="140"/>
  <c r="J43" i="140"/>
  <c r="I43" i="140"/>
  <c r="H43" i="140"/>
  <c r="G43" i="140"/>
  <c r="F43" i="140"/>
  <c r="E43" i="140"/>
  <c r="D43" i="140"/>
  <c r="C43" i="140"/>
  <c r="B43" i="140"/>
  <c r="M88" i="140"/>
  <c r="L88" i="140"/>
  <c r="K88" i="140"/>
  <c r="J88" i="140"/>
  <c r="I88" i="140"/>
  <c r="H88" i="140"/>
  <c r="G88" i="140"/>
  <c r="F88" i="140"/>
  <c r="E88" i="140"/>
  <c r="D88" i="140"/>
  <c r="C88" i="140"/>
  <c r="B88" i="140"/>
  <c r="M159" i="140"/>
  <c r="L159" i="140"/>
  <c r="K159" i="140"/>
  <c r="J159" i="140"/>
  <c r="I159" i="140"/>
  <c r="H159" i="140"/>
  <c r="G159" i="140"/>
  <c r="F159" i="140"/>
  <c r="E159" i="140"/>
  <c r="D159" i="140"/>
  <c r="C159" i="140"/>
  <c r="B159" i="140"/>
  <c r="M158" i="140"/>
  <c r="L158" i="140"/>
  <c r="K158" i="140"/>
  <c r="J158" i="140"/>
  <c r="I158" i="140"/>
  <c r="H158" i="140"/>
  <c r="G158" i="140"/>
  <c r="F158" i="140"/>
  <c r="E158" i="140"/>
  <c r="D158" i="140"/>
  <c r="C158" i="140"/>
  <c r="B158" i="140"/>
  <c r="M165" i="140"/>
  <c r="L165" i="140"/>
  <c r="K165" i="140"/>
  <c r="J165" i="140"/>
  <c r="I165" i="140"/>
  <c r="H165" i="140"/>
  <c r="G165" i="140"/>
  <c r="F165" i="140"/>
  <c r="E165" i="140"/>
  <c r="D165" i="140"/>
  <c r="C165" i="140"/>
  <c r="B165" i="140"/>
  <c r="M80" i="140"/>
  <c r="L80" i="140"/>
  <c r="K80" i="140"/>
  <c r="J80" i="140"/>
  <c r="I80" i="140"/>
  <c r="H80" i="140"/>
  <c r="G80" i="140"/>
  <c r="F80" i="140"/>
  <c r="E80" i="140"/>
  <c r="D80" i="140"/>
  <c r="C80" i="140"/>
  <c r="B80" i="140"/>
  <c r="M136" i="140"/>
  <c r="L136" i="140"/>
  <c r="K136" i="140"/>
  <c r="J136" i="140"/>
  <c r="I136" i="140"/>
  <c r="H136" i="140"/>
  <c r="G136" i="140"/>
  <c r="F136" i="140"/>
  <c r="E136" i="140"/>
  <c r="D136" i="140"/>
  <c r="C136" i="140"/>
  <c r="B136" i="140"/>
  <c r="M64" i="140"/>
  <c r="L64" i="140"/>
  <c r="K64" i="140"/>
  <c r="J64" i="140"/>
  <c r="I64" i="140"/>
  <c r="H64" i="140"/>
  <c r="G64" i="140"/>
  <c r="F64" i="140"/>
  <c r="E64" i="140"/>
  <c r="D64" i="140"/>
  <c r="C64" i="140"/>
  <c r="B64" i="140"/>
  <c r="M153" i="140"/>
  <c r="L153" i="140"/>
  <c r="K153" i="140"/>
  <c r="J153" i="140"/>
  <c r="I153" i="140"/>
  <c r="H153" i="140"/>
  <c r="G153" i="140"/>
  <c r="F153" i="140"/>
  <c r="E153" i="140"/>
  <c r="D153" i="140"/>
  <c r="C153" i="140"/>
  <c r="B153" i="140"/>
  <c r="M149" i="140"/>
  <c r="L149" i="140"/>
  <c r="K149" i="140"/>
  <c r="J149" i="140"/>
  <c r="I149" i="140"/>
  <c r="H149" i="140"/>
  <c r="G149" i="140"/>
  <c r="F149" i="140"/>
  <c r="E149" i="140"/>
  <c r="D149" i="140"/>
  <c r="C149" i="140"/>
  <c r="B149" i="140"/>
  <c r="M71" i="140"/>
  <c r="L71" i="140"/>
  <c r="K71" i="140"/>
  <c r="J71" i="140"/>
  <c r="I71" i="140"/>
  <c r="H71" i="140"/>
  <c r="G71" i="140"/>
  <c r="F71" i="140"/>
  <c r="E71" i="140"/>
  <c r="D71" i="140"/>
  <c r="C71" i="140"/>
  <c r="B71" i="140"/>
  <c r="M144" i="140"/>
  <c r="L144" i="140"/>
  <c r="K144" i="140"/>
  <c r="J144" i="140"/>
  <c r="I144" i="140"/>
  <c r="H144" i="140"/>
  <c r="G144" i="140"/>
  <c r="F144" i="140"/>
  <c r="E144" i="140"/>
  <c r="D144" i="140"/>
  <c r="C144" i="140"/>
  <c r="B144" i="140"/>
  <c r="M147" i="140"/>
  <c r="L147" i="140"/>
  <c r="K147" i="140"/>
  <c r="J147" i="140"/>
  <c r="I147" i="140"/>
  <c r="H147" i="140"/>
  <c r="G147" i="140"/>
  <c r="F147" i="140"/>
  <c r="E147" i="140"/>
  <c r="D147" i="140"/>
  <c r="C147" i="140"/>
  <c r="B147" i="140"/>
  <c r="M143" i="140"/>
  <c r="L143" i="140"/>
  <c r="K143" i="140"/>
  <c r="J143" i="140"/>
  <c r="I143" i="140"/>
  <c r="H143" i="140"/>
  <c r="G143" i="140"/>
  <c r="F143" i="140"/>
  <c r="E143" i="140"/>
  <c r="D143" i="140"/>
  <c r="C143" i="140"/>
  <c r="B143" i="140"/>
  <c r="M79" i="140"/>
  <c r="L79" i="140"/>
  <c r="K79" i="140"/>
  <c r="J79" i="140"/>
  <c r="I79" i="140"/>
  <c r="H79" i="140"/>
  <c r="G79" i="140"/>
  <c r="F79" i="140"/>
  <c r="E79" i="140"/>
  <c r="D79" i="140"/>
  <c r="C79" i="140"/>
  <c r="B79" i="140"/>
  <c r="M135" i="140"/>
  <c r="L135" i="140"/>
  <c r="K135" i="140"/>
  <c r="J135" i="140"/>
  <c r="I135" i="140"/>
  <c r="H135" i="140"/>
  <c r="G135" i="140"/>
  <c r="F135" i="140"/>
  <c r="E135" i="140"/>
  <c r="D135" i="140"/>
  <c r="C135" i="140"/>
  <c r="B135" i="140"/>
  <c r="M164" i="140"/>
  <c r="L164" i="140"/>
  <c r="K164" i="140"/>
  <c r="J164" i="140"/>
  <c r="I164" i="140"/>
  <c r="H164" i="140"/>
  <c r="G164" i="140"/>
  <c r="F164" i="140"/>
  <c r="E164" i="140"/>
  <c r="D164" i="140"/>
  <c r="C164" i="140"/>
  <c r="B164" i="140"/>
  <c r="M155" i="140"/>
  <c r="L155" i="140"/>
  <c r="K155" i="140"/>
  <c r="J155" i="140"/>
  <c r="I155" i="140"/>
  <c r="H155" i="140"/>
  <c r="G155" i="140"/>
  <c r="F155" i="140"/>
  <c r="E155" i="140"/>
  <c r="D155" i="140"/>
  <c r="C155" i="140"/>
  <c r="B155" i="140"/>
  <c r="M30" i="140"/>
  <c r="L30" i="140"/>
  <c r="K30" i="140"/>
  <c r="J30" i="140"/>
  <c r="I30" i="140"/>
  <c r="H30" i="140"/>
  <c r="G30" i="140"/>
  <c r="F30" i="140"/>
  <c r="E30" i="140"/>
  <c r="D30" i="140"/>
  <c r="C30" i="140"/>
  <c r="B30" i="140"/>
  <c r="M78" i="140"/>
  <c r="L78" i="140"/>
  <c r="K78" i="140"/>
  <c r="J78" i="140"/>
  <c r="I78" i="140"/>
  <c r="H78" i="140"/>
  <c r="G78" i="140"/>
  <c r="F78" i="140"/>
  <c r="E78" i="140"/>
  <c r="D78" i="140"/>
  <c r="C78" i="140"/>
  <c r="B78" i="140"/>
  <c r="M141" i="140"/>
  <c r="L141" i="140"/>
  <c r="K141" i="140"/>
  <c r="J141" i="140"/>
  <c r="I141" i="140"/>
  <c r="H141" i="140"/>
  <c r="G141" i="140"/>
  <c r="F141" i="140"/>
  <c r="E141" i="140"/>
  <c r="D141" i="140"/>
  <c r="C141" i="140"/>
  <c r="B141" i="140"/>
  <c r="M111" i="140"/>
  <c r="L111" i="140"/>
  <c r="K111" i="140"/>
  <c r="J111" i="140"/>
  <c r="I111" i="140"/>
  <c r="H111" i="140"/>
  <c r="G111" i="140"/>
  <c r="F111" i="140"/>
  <c r="E111" i="140"/>
  <c r="D111" i="140"/>
  <c r="C111" i="140"/>
  <c r="B111" i="140"/>
  <c r="M63" i="140"/>
  <c r="L63" i="140"/>
  <c r="K63" i="140"/>
  <c r="J63" i="140"/>
  <c r="I63" i="140"/>
  <c r="H63" i="140"/>
  <c r="G63" i="140"/>
  <c r="F63" i="140"/>
  <c r="E63" i="140"/>
  <c r="D63" i="140"/>
  <c r="C63" i="140"/>
  <c r="B63" i="140"/>
  <c r="M52" i="140"/>
  <c r="L52" i="140"/>
  <c r="K52" i="140"/>
  <c r="J52" i="140"/>
  <c r="I52" i="140"/>
  <c r="H52" i="140"/>
  <c r="G52" i="140"/>
  <c r="F52" i="140"/>
  <c r="E52" i="140"/>
  <c r="D52" i="140"/>
  <c r="C52" i="140"/>
  <c r="B52" i="140"/>
  <c r="M70" i="140"/>
  <c r="L70" i="140"/>
  <c r="K70" i="140"/>
  <c r="J70" i="140"/>
  <c r="I70" i="140"/>
  <c r="H70" i="140"/>
  <c r="G70" i="140"/>
  <c r="F70" i="140"/>
  <c r="E70" i="140"/>
  <c r="D70" i="140"/>
  <c r="C70" i="140"/>
  <c r="B70" i="140"/>
  <c r="M121" i="140"/>
  <c r="L121" i="140"/>
  <c r="K121" i="140"/>
  <c r="J121" i="140"/>
  <c r="I121" i="140"/>
  <c r="H121" i="140"/>
  <c r="G121" i="140"/>
  <c r="F121" i="140"/>
  <c r="E121" i="140"/>
  <c r="D121" i="140"/>
  <c r="C121" i="140"/>
  <c r="B121" i="140"/>
  <c r="M36" i="140"/>
  <c r="L36" i="140"/>
  <c r="K36" i="140"/>
  <c r="J36" i="140"/>
  <c r="I36" i="140"/>
  <c r="H36" i="140"/>
  <c r="G36" i="140"/>
  <c r="F36" i="140"/>
  <c r="E36" i="140"/>
  <c r="D36" i="140"/>
  <c r="C36" i="140"/>
  <c r="B36" i="140"/>
  <c r="M15" i="140"/>
  <c r="L15" i="140"/>
  <c r="K15" i="140"/>
  <c r="J15" i="140"/>
  <c r="I15" i="140"/>
  <c r="H15" i="140"/>
  <c r="G15" i="140"/>
  <c r="F15" i="140"/>
  <c r="E15" i="140"/>
  <c r="D15" i="140"/>
  <c r="C15" i="140"/>
  <c r="B15" i="140"/>
  <c r="M124" i="140"/>
  <c r="L124" i="140"/>
  <c r="K124" i="140"/>
  <c r="J124" i="140"/>
  <c r="I124" i="140"/>
  <c r="H124" i="140"/>
  <c r="G124" i="140"/>
  <c r="F124" i="140"/>
  <c r="E124" i="140"/>
  <c r="D124" i="140"/>
  <c r="C124" i="140"/>
  <c r="B124" i="140"/>
  <c r="M87" i="140"/>
  <c r="L87" i="140"/>
  <c r="K87" i="140"/>
  <c r="J87" i="140"/>
  <c r="I87" i="140"/>
  <c r="H87" i="140"/>
  <c r="G87" i="140"/>
  <c r="F87" i="140"/>
  <c r="E87" i="140"/>
  <c r="D87" i="140"/>
  <c r="C87" i="140"/>
  <c r="B87" i="140"/>
  <c r="M105" i="140"/>
  <c r="L105" i="140"/>
  <c r="K105" i="140"/>
  <c r="J105" i="140"/>
  <c r="I105" i="140"/>
  <c r="H105" i="140"/>
  <c r="G105" i="140"/>
  <c r="F105" i="140"/>
  <c r="E105" i="140"/>
  <c r="D105" i="140"/>
  <c r="C105" i="140"/>
  <c r="B105" i="140"/>
  <c r="M6" i="140"/>
  <c r="L6" i="140"/>
  <c r="K6" i="140"/>
  <c r="J6" i="140"/>
  <c r="I6" i="140"/>
  <c r="H6" i="140"/>
  <c r="G6" i="140"/>
  <c r="F6" i="140"/>
  <c r="E6" i="140"/>
  <c r="D6" i="140"/>
  <c r="C6" i="140"/>
  <c r="B6" i="140"/>
  <c r="M16" i="140"/>
  <c r="L16" i="140"/>
  <c r="K16" i="140"/>
  <c r="J16" i="140"/>
  <c r="I16" i="140"/>
  <c r="H16" i="140"/>
  <c r="G16" i="140"/>
  <c r="F16" i="140"/>
  <c r="E16" i="140"/>
  <c r="D16" i="140"/>
  <c r="C16" i="140"/>
  <c r="B16" i="140"/>
  <c r="M127" i="140"/>
  <c r="L127" i="140"/>
  <c r="K127" i="140"/>
  <c r="J127" i="140"/>
  <c r="I127" i="140"/>
  <c r="H127" i="140"/>
  <c r="G127" i="140"/>
  <c r="F127" i="140"/>
  <c r="E127" i="140"/>
  <c r="D127" i="140"/>
  <c r="C127" i="140"/>
  <c r="B127" i="140"/>
  <c r="M131" i="140"/>
  <c r="L131" i="140"/>
  <c r="K131" i="140"/>
  <c r="J131" i="140"/>
  <c r="I131" i="140"/>
  <c r="H131" i="140"/>
  <c r="G131" i="140"/>
  <c r="F131" i="140"/>
  <c r="E131" i="140"/>
  <c r="D131" i="140"/>
  <c r="C131" i="140"/>
  <c r="B131" i="140"/>
  <c r="M73" i="140"/>
  <c r="L73" i="140"/>
  <c r="K73" i="140"/>
  <c r="J73" i="140"/>
  <c r="I73" i="140"/>
  <c r="H73" i="140"/>
  <c r="G73" i="140"/>
  <c r="F73" i="140"/>
  <c r="E73" i="140"/>
  <c r="D73" i="140"/>
  <c r="C73" i="140"/>
  <c r="B73" i="140"/>
  <c r="M44" i="140"/>
  <c r="L44" i="140"/>
  <c r="K44" i="140"/>
  <c r="J44" i="140"/>
  <c r="I44" i="140"/>
  <c r="H44" i="140"/>
  <c r="G44" i="140"/>
  <c r="F44" i="140"/>
  <c r="E44" i="140"/>
  <c r="D44" i="140"/>
  <c r="C44" i="140"/>
  <c r="B44" i="140"/>
  <c r="M14" i="140"/>
  <c r="L14" i="140"/>
  <c r="K14" i="140"/>
  <c r="J14" i="140"/>
  <c r="I14" i="140"/>
  <c r="H14" i="140"/>
  <c r="G14" i="140"/>
  <c r="F14" i="140"/>
  <c r="E14" i="140"/>
  <c r="D14" i="140"/>
  <c r="C14" i="140"/>
  <c r="B14" i="140"/>
  <c r="M4" i="140"/>
  <c r="L4" i="140"/>
  <c r="K4" i="140"/>
  <c r="J4" i="140"/>
  <c r="I4" i="140"/>
  <c r="H4" i="140"/>
  <c r="G4" i="140"/>
  <c r="F4" i="140"/>
  <c r="E4" i="140"/>
  <c r="D4" i="140"/>
  <c r="C4" i="140"/>
  <c r="B4" i="140"/>
  <c r="M29" i="140"/>
  <c r="L29" i="140"/>
  <c r="K29" i="140"/>
  <c r="J29" i="140"/>
  <c r="I29" i="140"/>
  <c r="H29" i="140"/>
  <c r="G29" i="140"/>
  <c r="F29" i="140"/>
  <c r="E29" i="140"/>
  <c r="D29" i="140"/>
  <c r="C29" i="140"/>
  <c r="B29" i="140"/>
  <c r="M60" i="140"/>
  <c r="L60" i="140"/>
  <c r="K60" i="140"/>
  <c r="J60" i="140"/>
  <c r="I60" i="140"/>
  <c r="H60" i="140"/>
  <c r="G60" i="140"/>
  <c r="F60" i="140"/>
  <c r="E60" i="140"/>
  <c r="D60" i="140"/>
  <c r="C60" i="140"/>
  <c r="B60" i="140"/>
  <c r="M116" i="140"/>
  <c r="L116" i="140"/>
  <c r="K116" i="140"/>
  <c r="J116" i="140"/>
  <c r="I116" i="140"/>
  <c r="H116" i="140"/>
  <c r="G116" i="140"/>
  <c r="F116" i="140"/>
  <c r="E116" i="140"/>
  <c r="D116" i="140"/>
  <c r="C116" i="140"/>
  <c r="B116" i="140"/>
  <c r="M67" i="140"/>
  <c r="L67" i="140"/>
  <c r="K67" i="140"/>
  <c r="J67" i="140"/>
  <c r="I67" i="140"/>
  <c r="H67" i="140"/>
  <c r="G67" i="140"/>
  <c r="F67" i="140"/>
  <c r="E67" i="140"/>
  <c r="D67" i="140"/>
  <c r="C67" i="140"/>
  <c r="B67" i="140"/>
  <c r="M100" i="140"/>
  <c r="L100" i="140"/>
  <c r="K100" i="140"/>
  <c r="J100" i="140"/>
  <c r="I100" i="140"/>
  <c r="H100" i="140"/>
  <c r="G100" i="140"/>
  <c r="F100" i="140"/>
  <c r="E100" i="140"/>
  <c r="D100" i="140"/>
  <c r="C100" i="140"/>
  <c r="B100" i="140"/>
  <c r="M126" i="140"/>
  <c r="L126" i="140"/>
  <c r="K126" i="140"/>
  <c r="J126" i="140"/>
  <c r="I126" i="140"/>
  <c r="H126" i="140"/>
  <c r="G126" i="140"/>
  <c r="F126" i="140"/>
  <c r="E126" i="140"/>
  <c r="D126" i="140"/>
  <c r="C126" i="140"/>
  <c r="B126" i="140"/>
  <c r="M125" i="140"/>
  <c r="L125" i="140"/>
  <c r="K125" i="140"/>
  <c r="J125" i="140"/>
  <c r="I125" i="140"/>
  <c r="H125" i="140"/>
  <c r="G125" i="140"/>
  <c r="F125" i="140"/>
  <c r="E125" i="140"/>
  <c r="D125" i="140"/>
  <c r="C125" i="140"/>
  <c r="B125" i="140"/>
  <c r="M115" i="140"/>
  <c r="L115" i="140"/>
  <c r="K115" i="140"/>
  <c r="J115" i="140"/>
  <c r="I115" i="140"/>
  <c r="H115" i="140"/>
  <c r="G115" i="140"/>
  <c r="F115" i="140"/>
  <c r="E115" i="140"/>
  <c r="D115" i="140"/>
  <c r="C115" i="140"/>
  <c r="B115" i="140"/>
  <c r="M35" i="140"/>
  <c r="L35" i="140"/>
  <c r="K35" i="140"/>
  <c r="J35" i="140"/>
  <c r="I35" i="140"/>
  <c r="H35" i="140"/>
  <c r="G35" i="140"/>
  <c r="F35" i="140"/>
  <c r="E35" i="140"/>
  <c r="D35" i="140"/>
  <c r="C35" i="140"/>
  <c r="B35" i="140"/>
  <c r="M59" i="140"/>
  <c r="L59" i="140"/>
  <c r="K59" i="140"/>
  <c r="J59" i="140"/>
  <c r="I59" i="140"/>
  <c r="H59" i="140"/>
  <c r="G59" i="140"/>
  <c r="F59" i="140"/>
  <c r="E59" i="140"/>
  <c r="D59" i="140"/>
  <c r="C59" i="140"/>
  <c r="B59" i="140"/>
  <c r="M46" i="140"/>
  <c r="L46" i="140"/>
  <c r="K46" i="140"/>
  <c r="J46" i="140"/>
  <c r="I46" i="140"/>
  <c r="H46" i="140"/>
  <c r="G46" i="140"/>
  <c r="F46" i="140"/>
  <c r="E46" i="140"/>
  <c r="D46" i="140"/>
  <c r="C46" i="140"/>
  <c r="B46" i="140"/>
  <c r="M123" i="140"/>
  <c r="L123" i="140"/>
  <c r="K123" i="140"/>
  <c r="J123" i="140"/>
  <c r="I123" i="140"/>
  <c r="H123" i="140"/>
  <c r="G123" i="140"/>
  <c r="F123" i="140"/>
  <c r="E123" i="140"/>
  <c r="D123" i="140"/>
  <c r="C123" i="140"/>
  <c r="B123" i="140"/>
  <c r="M130" i="140"/>
  <c r="L130" i="140"/>
  <c r="K130" i="140"/>
  <c r="J130" i="140"/>
  <c r="I130" i="140"/>
  <c r="H130" i="140"/>
  <c r="G130" i="140"/>
  <c r="F130" i="140"/>
  <c r="E130" i="140"/>
  <c r="D130" i="140"/>
  <c r="C130" i="140"/>
  <c r="B130" i="140"/>
  <c r="M20" i="140"/>
  <c r="L20" i="140"/>
  <c r="K20" i="140"/>
  <c r="J20" i="140"/>
  <c r="I20" i="140"/>
  <c r="H20" i="140"/>
  <c r="G20" i="140"/>
  <c r="F20" i="140"/>
  <c r="E20" i="140"/>
  <c r="D20" i="140"/>
  <c r="C20" i="140"/>
  <c r="B20" i="140"/>
  <c r="M97" i="140"/>
  <c r="L97" i="140"/>
  <c r="K97" i="140"/>
  <c r="J97" i="140"/>
  <c r="I97" i="140"/>
  <c r="H97" i="140"/>
  <c r="G97" i="140"/>
  <c r="F97" i="140"/>
  <c r="E97" i="140"/>
  <c r="D97" i="140"/>
  <c r="C97" i="140"/>
  <c r="B97" i="140"/>
  <c r="M26" i="140"/>
  <c r="L26" i="140"/>
  <c r="K26" i="140"/>
  <c r="J26" i="140"/>
  <c r="I26" i="140"/>
  <c r="H26" i="140"/>
  <c r="G26" i="140"/>
  <c r="F26" i="140"/>
  <c r="E26" i="140"/>
  <c r="D26" i="140"/>
  <c r="C26" i="140"/>
  <c r="B26" i="140"/>
  <c r="M108" i="140"/>
  <c r="L108" i="140"/>
  <c r="K108" i="140"/>
  <c r="J108" i="140"/>
  <c r="I108" i="140"/>
  <c r="H108" i="140"/>
  <c r="G108" i="140"/>
  <c r="F108" i="140"/>
  <c r="E108" i="140"/>
  <c r="D108" i="140"/>
  <c r="C108" i="140"/>
  <c r="B108" i="140"/>
  <c r="M122" i="140"/>
  <c r="L122" i="140"/>
  <c r="K122" i="140"/>
  <c r="J122" i="140"/>
  <c r="I122" i="140"/>
  <c r="H122" i="140"/>
  <c r="G122" i="140"/>
  <c r="F122" i="140"/>
  <c r="E122" i="140"/>
  <c r="D122" i="140"/>
  <c r="C122" i="140"/>
  <c r="B122" i="140"/>
  <c r="M41" i="140"/>
  <c r="L41" i="140"/>
  <c r="K41" i="140"/>
  <c r="J41" i="140"/>
  <c r="I41" i="140"/>
  <c r="H41" i="140"/>
  <c r="G41" i="140"/>
  <c r="F41" i="140"/>
  <c r="E41" i="140"/>
  <c r="D41" i="140"/>
  <c r="C41" i="140"/>
  <c r="B41" i="140"/>
  <c r="M5" i="140"/>
  <c r="L5" i="140"/>
  <c r="K5" i="140"/>
  <c r="J5" i="140"/>
  <c r="I5" i="140"/>
  <c r="H5" i="140"/>
  <c r="G5" i="140"/>
  <c r="F5" i="140"/>
  <c r="E5" i="140"/>
  <c r="D5" i="140"/>
  <c r="C5" i="140"/>
  <c r="B5" i="140"/>
  <c r="M104" i="140"/>
  <c r="L104" i="140"/>
  <c r="K104" i="140"/>
  <c r="J104" i="140"/>
  <c r="I104" i="140"/>
  <c r="H104" i="140"/>
  <c r="G104" i="140"/>
  <c r="F104" i="140"/>
  <c r="E104" i="140"/>
  <c r="D104" i="140"/>
  <c r="C104" i="140"/>
  <c r="B104" i="140"/>
  <c r="M77" i="140"/>
  <c r="L77" i="140"/>
  <c r="K77" i="140"/>
  <c r="J77" i="140"/>
  <c r="I77" i="140"/>
  <c r="H77" i="140"/>
  <c r="G77" i="140"/>
  <c r="F77" i="140"/>
  <c r="E77" i="140"/>
  <c r="D77" i="140"/>
  <c r="C77" i="140"/>
  <c r="B77" i="140"/>
  <c r="M82" i="140"/>
  <c r="L82" i="140"/>
  <c r="K82" i="140"/>
  <c r="J82" i="140"/>
  <c r="I82" i="140"/>
  <c r="H82" i="140"/>
  <c r="G82" i="140"/>
  <c r="F82" i="140"/>
  <c r="E82" i="140"/>
  <c r="D82" i="140"/>
  <c r="C82" i="140"/>
  <c r="B82" i="140"/>
  <c r="M103" i="140"/>
  <c r="L103" i="140"/>
  <c r="K103" i="140"/>
  <c r="J103" i="140"/>
  <c r="I103" i="140"/>
  <c r="H103" i="140"/>
  <c r="G103" i="140"/>
  <c r="F103" i="140"/>
  <c r="E103" i="140"/>
  <c r="D103" i="140"/>
  <c r="C103" i="140"/>
  <c r="B103" i="140"/>
  <c r="M76" i="140"/>
  <c r="L76" i="140"/>
  <c r="K76" i="140"/>
  <c r="J76" i="140"/>
  <c r="I76" i="140"/>
  <c r="H76" i="140"/>
  <c r="G76" i="140"/>
  <c r="F76" i="140"/>
  <c r="E76" i="140"/>
  <c r="D76" i="140"/>
  <c r="C76" i="140"/>
  <c r="B76" i="140"/>
  <c r="M75" i="140"/>
  <c r="L75" i="140"/>
  <c r="K75" i="140"/>
  <c r="J75" i="140"/>
  <c r="I75" i="140"/>
  <c r="H75" i="140"/>
  <c r="G75" i="140"/>
  <c r="F75" i="140"/>
  <c r="E75" i="140"/>
  <c r="D75" i="140"/>
  <c r="C75" i="140"/>
  <c r="B75" i="140"/>
  <c r="M120" i="140"/>
  <c r="L120" i="140"/>
  <c r="K120" i="140"/>
  <c r="J120" i="140"/>
  <c r="I120" i="140"/>
  <c r="H120" i="140"/>
  <c r="G120" i="140"/>
  <c r="F120" i="140"/>
  <c r="E120" i="140"/>
  <c r="D120" i="140"/>
  <c r="C120" i="140"/>
  <c r="B120" i="140"/>
  <c r="M117" i="140"/>
  <c r="L117" i="140"/>
  <c r="K117" i="140"/>
  <c r="J117" i="140"/>
  <c r="I117" i="140"/>
  <c r="H117" i="140"/>
  <c r="G117" i="140"/>
  <c r="F117" i="140"/>
  <c r="E117" i="140"/>
  <c r="D117" i="140"/>
  <c r="C117" i="140"/>
  <c r="B117" i="140"/>
  <c r="M119" i="140"/>
  <c r="L119" i="140"/>
  <c r="K119" i="140"/>
  <c r="J119" i="140"/>
  <c r="I119" i="140"/>
  <c r="H119" i="140"/>
  <c r="G119" i="140"/>
  <c r="F119" i="140"/>
  <c r="E119" i="140"/>
  <c r="D119" i="140"/>
  <c r="C119" i="140"/>
  <c r="B119" i="140"/>
  <c r="M132" i="140"/>
  <c r="L132" i="140"/>
  <c r="K132" i="140"/>
  <c r="J132" i="140"/>
  <c r="I132" i="140"/>
  <c r="H132" i="140"/>
  <c r="G132" i="140"/>
  <c r="F132" i="140"/>
  <c r="E132" i="140"/>
  <c r="D132" i="140"/>
  <c r="C132" i="140"/>
  <c r="B132" i="140"/>
  <c r="M86" i="140"/>
  <c r="L86" i="140"/>
  <c r="K86" i="140"/>
  <c r="J86" i="140"/>
  <c r="I86" i="140"/>
  <c r="H86" i="140"/>
  <c r="G86" i="140"/>
  <c r="F86" i="140"/>
  <c r="E86" i="140"/>
  <c r="D86" i="140"/>
  <c r="C86" i="140"/>
  <c r="B86" i="140"/>
  <c r="M74" i="140"/>
  <c r="L74" i="140"/>
  <c r="K74" i="140"/>
  <c r="J74" i="140"/>
  <c r="I74" i="140"/>
  <c r="H74" i="140"/>
  <c r="G74" i="140"/>
  <c r="F74" i="140"/>
  <c r="E74" i="140"/>
  <c r="D74" i="140"/>
  <c r="C74" i="140"/>
  <c r="B74" i="140"/>
  <c r="M62" i="140"/>
  <c r="L62" i="140"/>
  <c r="K62" i="140"/>
  <c r="J62" i="140"/>
  <c r="I62" i="140"/>
  <c r="H62" i="140"/>
  <c r="G62" i="140"/>
  <c r="F62" i="140"/>
  <c r="E62" i="140"/>
  <c r="D62" i="140"/>
  <c r="C62" i="140"/>
  <c r="B62" i="140"/>
  <c r="M42" i="140"/>
  <c r="L42" i="140"/>
  <c r="K42" i="140"/>
  <c r="J42" i="140"/>
  <c r="I42" i="140"/>
  <c r="H42" i="140"/>
  <c r="G42" i="140"/>
  <c r="F42" i="140"/>
  <c r="E42" i="140"/>
  <c r="D42" i="140"/>
  <c r="C42" i="140"/>
  <c r="B42" i="140"/>
  <c r="M61" i="140"/>
  <c r="L61" i="140"/>
  <c r="K61" i="140"/>
  <c r="J61" i="140"/>
  <c r="I61" i="140"/>
  <c r="H61" i="140"/>
  <c r="G61" i="140"/>
  <c r="F61" i="140"/>
  <c r="E61" i="140"/>
  <c r="D61" i="140"/>
  <c r="C61" i="140"/>
  <c r="B61" i="140"/>
  <c r="M102" i="140"/>
  <c r="L102" i="140"/>
  <c r="K102" i="140"/>
  <c r="J102" i="140"/>
  <c r="I102" i="140"/>
  <c r="H102" i="140"/>
  <c r="G102" i="140"/>
  <c r="F102" i="140"/>
  <c r="E102" i="140"/>
  <c r="D102" i="140"/>
  <c r="C102" i="140"/>
  <c r="B102" i="140"/>
  <c r="M69" i="140"/>
  <c r="L69" i="140"/>
  <c r="K69" i="140"/>
  <c r="J69" i="140"/>
  <c r="I69" i="140"/>
  <c r="H69" i="140"/>
  <c r="G69" i="140"/>
  <c r="F69" i="140"/>
  <c r="E69" i="140"/>
  <c r="D69" i="140"/>
  <c r="C69" i="140"/>
  <c r="B69" i="140"/>
  <c r="M51" i="140"/>
  <c r="L51" i="140"/>
  <c r="K51" i="140"/>
  <c r="J51" i="140"/>
  <c r="I51" i="140"/>
  <c r="H51" i="140"/>
  <c r="G51" i="140"/>
  <c r="F51" i="140"/>
  <c r="E51" i="140"/>
  <c r="D51" i="140"/>
  <c r="C51" i="140"/>
  <c r="B51" i="140"/>
  <c r="M25" i="140"/>
  <c r="L25" i="140"/>
  <c r="K25" i="140"/>
  <c r="J25" i="140"/>
  <c r="I25" i="140"/>
  <c r="H25" i="140"/>
  <c r="G25" i="140"/>
  <c r="F25" i="140"/>
  <c r="E25" i="140"/>
  <c r="D25" i="140"/>
  <c r="C25" i="140"/>
  <c r="B25" i="140"/>
  <c r="M49" i="140"/>
  <c r="L49" i="140"/>
  <c r="K49" i="140"/>
  <c r="J49" i="140"/>
  <c r="I49" i="140"/>
  <c r="H49" i="140"/>
  <c r="G49" i="140"/>
  <c r="F49" i="140"/>
  <c r="E49" i="140"/>
  <c r="D49" i="140"/>
  <c r="C49" i="140"/>
  <c r="B49" i="140"/>
  <c r="M134" i="140"/>
  <c r="L134" i="140"/>
  <c r="K134" i="140"/>
  <c r="J134" i="140"/>
  <c r="I134" i="140"/>
  <c r="H134" i="140"/>
  <c r="G134" i="140"/>
  <c r="F134" i="140"/>
  <c r="E134" i="140"/>
  <c r="D134" i="140"/>
  <c r="C134" i="140"/>
  <c r="B134" i="140"/>
  <c r="M39" i="140"/>
  <c r="L39" i="140"/>
  <c r="K39" i="140"/>
  <c r="J39" i="140"/>
  <c r="I39" i="140"/>
  <c r="H39" i="140"/>
  <c r="G39" i="140"/>
  <c r="F39" i="140"/>
  <c r="E39" i="140"/>
  <c r="D39" i="140"/>
  <c r="C39" i="140"/>
  <c r="B39" i="140"/>
  <c r="M101" i="140"/>
  <c r="L101" i="140"/>
  <c r="K101" i="140"/>
  <c r="J101" i="140"/>
  <c r="I101" i="140"/>
  <c r="H101" i="140"/>
  <c r="G101" i="140"/>
  <c r="F101" i="140"/>
  <c r="E101" i="140"/>
  <c r="D101" i="140"/>
  <c r="C101" i="140"/>
  <c r="B101" i="140"/>
  <c r="M21" i="140"/>
  <c r="L21" i="140"/>
  <c r="K21" i="140"/>
  <c r="J21" i="140"/>
  <c r="I21" i="140"/>
  <c r="H21" i="140"/>
  <c r="G21" i="140"/>
  <c r="F21" i="140"/>
  <c r="E21" i="140"/>
  <c r="D21" i="140"/>
  <c r="C21" i="140"/>
  <c r="B21" i="140"/>
  <c r="M110" i="140"/>
  <c r="L110" i="140"/>
  <c r="K110" i="140"/>
  <c r="J110" i="140"/>
  <c r="I110" i="140"/>
  <c r="H110" i="140"/>
  <c r="G110" i="140"/>
  <c r="F110" i="140"/>
  <c r="E110" i="140"/>
  <c r="D110" i="140"/>
  <c r="C110" i="140"/>
  <c r="B110" i="140"/>
  <c r="M81" i="140"/>
  <c r="L81" i="140"/>
  <c r="K81" i="140"/>
  <c r="J81" i="140"/>
  <c r="I81" i="140"/>
  <c r="H81" i="140"/>
  <c r="G81" i="140"/>
  <c r="F81" i="140"/>
  <c r="E81" i="140"/>
  <c r="D81" i="140"/>
  <c r="C81" i="140"/>
  <c r="B81" i="140"/>
  <c r="M57" i="140"/>
  <c r="L57" i="140"/>
  <c r="K57" i="140"/>
  <c r="J57" i="140"/>
  <c r="I57" i="140"/>
  <c r="H57" i="140"/>
  <c r="G57" i="140"/>
  <c r="F57" i="140"/>
  <c r="E57" i="140"/>
  <c r="D57" i="140"/>
  <c r="C57" i="140"/>
  <c r="B57" i="140"/>
  <c r="M68" i="140"/>
  <c r="L68" i="140"/>
  <c r="K68" i="140"/>
  <c r="J68" i="140"/>
  <c r="I68" i="140"/>
  <c r="H68" i="140"/>
  <c r="G68" i="140"/>
  <c r="F68" i="140"/>
  <c r="E68" i="140"/>
  <c r="D68" i="140"/>
  <c r="C68" i="140"/>
  <c r="B68" i="140"/>
  <c r="M56" i="140"/>
  <c r="L56" i="140"/>
  <c r="K56" i="140"/>
  <c r="J56" i="140"/>
  <c r="I56" i="140"/>
  <c r="H56" i="140"/>
  <c r="G56" i="140"/>
  <c r="F56" i="140"/>
  <c r="E56" i="140"/>
  <c r="D56" i="140"/>
  <c r="C56" i="140"/>
  <c r="B56" i="140"/>
  <c r="M55" i="140"/>
  <c r="L55" i="140"/>
  <c r="K55" i="140"/>
  <c r="J55" i="140"/>
  <c r="I55" i="140"/>
  <c r="H55" i="140"/>
  <c r="G55" i="140"/>
  <c r="F55" i="140"/>
  <c r="E55" i="140"/>
  <c r="D55" i="140"/>
  <c r="C55" i="140"/>
  <c r="B55" i="140"/>
  <c r="M109" i="140"/>
  <c r="L109" i="140"/>
  <c r="K109" i="140"/>
  <c r="J109" i="140"/>
  <c r="I109" i="140"/>
  <c r="H109" i="140"/>
  <c r="G109" i="140"/>
  <c r="F109" i="140"/>
  <c r="E109" i="140"/>
  <c r="D109" i="140"/>
  <c r="C109" i="140"/>
  <c r="B109" i="140"/>
  <c r="M33" i="140"/>
  <c r="L33" i="140"/>
  <c r="K33" i="140"/>
  <c r="J33" i="140"/>
  <c r="I33" i="140"/>
  <c r="H33" i="140"/>
  <c r="G33" i="140"/>
  <c r="F33" i="140"/>
  <c r="E33" i="140"/>
  <c r="D33" i="140"/>
  <c r="C33" i="140"/>
  <c r="B33" i="140"/>
  <c r="M133" i="140"/>
  <c r="L133" i="140"/>
  <c r="K133" i="140"/>
  <c r="J133" i="140"/>
  <c r="I133" i="140"/>
  <c r="H133" i="140"/>
  <c r="G133" i="140"/>
  <c r="F133" i="140"/>
  <c r="E133" i="140"/>
  <c r="D133" i="140"/>
  <c r="C133" i="140"/>
  <c r="B133" i="140"/>
  <c r="M12" i="140"/>
  <c r="L12" i="140"/>
  <c r="K12" i="140"/>
  <c r="J12" i="140"/>
  <c r="I12" i="140"/>
  <c r="H12" i="140"/>
  <c r="G12" i="140"/>
  <c r="F12" i="140"/>
  <c r="E12" i="140"/>
  <c r="D12" i="140"/>
  <c r="C12" i="140"/>
  <c r="B12" i="140"/>
  <c r="M32" i="140"/>
  <c r="L32" i="140"/>
  <c r="K32" i="140"/>
  <c r="J32" i="140"/>
  <c r="I32" i="140"/>
  <c r="H32" i="140"/>
  <c r="G32" i="140"/>
  <c r="F32" i="140"/>
  <c r="E32" i="140"/>
  <c r="D32" i="140"/>
  <c r="C32" i="140"/>
  <c r="B32" i="140"/>
  <c r="M114" i="140"/>
  <c r="L114" i="140"/>
  <c r="K114" i="140"/>
  <c r="J114" i="140"/>
  <c r="I114" i="140"/>
  <c r="H114" i="140"/>
  <c r="G114" i="140"/>
  <c r="F114" i="140"/>
  <c r="E114" i="140"/>
  <c r="D114" i="140"/>
  <c r="C114" i="140"/>
  <c r="B114" i="140"/>
  <c r="M96" i="140"/>
  <c r="L96" i="140"/>
  <c r="K96" i="140"/>
  <c r="J96" i="140"/>
  <c r="I96" i="140"/>
  <c r="H96" i="140"/>
  <c r="G96" i="140"/>
  <c r="F96" i="140"/>
  <c r="E96" i="140"/>
  <c r="D96" i="140"/>
  <c r="C96" i="140"/>
  <c r="B96" i="140"/>
  <c r="M145" i="140"/>
  <c r="L145" i="140"/>
  <c r="K145" i="140"/>
  <c r="J145" i="140"/>
  <c r="I145" i="140"/>
  <c r="H145" i="140"/>
  <c r="G145" i="140"/>
  <c r="F145" i="140"/>
  <c r="E145" i="140"/>
  <c r="D145" i="140"/>
  <c r="C145" i="140"/>
  <c r="B145" i="140"/>
  <c r="M107" i="140"/>
  <c r="L107" i="140"/>
  <c r="K107" i="140"/>
  <c r="J107" i="140"/>
  <c r="I107" i="140"/>
  <c r="H107" i="140"/>
  <c r="G107" i="140"/>
  <c r="F107" i="140"/>
  <c r="E107" i="140"/>
  <c r="D107" i="140"/>
  <c r="C107" i="140"/>
  <c r="B107" i="140"/>
  <c r="N4" i="121"/>
  <c r="N5" i="121"/>
  <c r="N6" i="121"/>
  <c r="N7" i="121"/>
  <c r="N8" i="121"/>
  <c r="N9" i="121"/>
  <c r="N10" i="121"/>
  <c r="N11" i="121"/>
  <c r="N12" i="121"/>
  <c r="N13" i="121"/>
  <c r="N14" i="121"/>
  <c r="N15" i="121"/>
  <c r="N16" i="121"/>
  <c r="N17" i="121"/>
  <c r="N18" i="121"/>
  <c r="N19" i="121"/>
  <c r="N20" i="121"/>
  <c r="N21" i="121"/>
  <c r="N22" i="121"/>
  <c r="N23" i="121"/>
  <c r="N24" i="121"/>
  <c r="N25" i="121"/>
  <c r="N26" i="121"/>
  <c r="N27" i="121"/>
  <c r="N28" i="121"/>
  <c r="N29" i="121"/>
  <c r="N30" i="121"/>
  <c r="N31" i="121"/>
  <c r="N32" i="121"/>
  <c r="N33" i="121"/>
  <c r="N34" i="121"/>
  <c r="N35" i="121"/>
  <c r="N36" i="121"/>
  <c r="N37" i="121"/>
  <c r="N38" i="121"/>
  <c r="N39" i="121"/>
  <c r="N40" i="121"/>
  <c r="N41" i="121"/>
  <c r="N42" i="121"/>
  <c r="N43" i="121"/>
  <c r="N44" i="121"/>
  <c r="N3" i="121"/>
  <c r="M38" i="121"/>
  <c r="L38" i="121"/>
  <c r="K38" i="121"/>
  <c r="J38" i="121"/>
  <c r="I38" i="121"/>
  <c r="H38" i="121"/>
  <c r="G38" i="121"/>
  <c r="F38" i="121"/>
  <c r="E38" i="121"/>
  <c r="D38" i="121"/>
  <c r="C38" i="121"/>
  <c r="B38" i="121"/>
  <c r="M26" i="121"/>
  <c r="L26" i="121"/>
  <c r="K26" i="121"/>
  <c r="J26" i="121"/>
  <c r="I26" i="121"/>
  <c r="H26" i="121"/>
  <c r="G26" i="121"/>
  <c r="F26" i="121"/>
  <c r="E26" i="121"/>
  <c r="D26" i="121"/>
  <c r="C26" i="121"/>
  <c r="B26" i="121"/>
  <c r="M34" i="121"/>
  <c r="L34" i="121"/>
  <c r="K34" i="121"/>
  <c r="J34" i="121"/>
  <c r="I34" i="121"/>
  <c r="H34" i="121"/>
  <c r="G34" i="121"/>
  <c r="F34" i="121"/>
  <c r="E34" i="121"/>
  <c r="D34" i="121"/>
  <c r="C34" i="121"/>
  <c r="B34" i="121"/>
  <c r="M25" i="121"/>
  <c r="L25" i="121"/>
  <c r="K25" i="121"/>
  <c r="J25" i="121"/>
  <c r="I25" i="121"/>
  <c r="H25" i="121"/>
  <c r="G25" i="121"/>
  <c r="F25" i="121"/>
  <c r="E25" i="121"/>
  <c r="D25" i="121"/>
  <c r="C25" i="121"/>
  <c r="B25" i="121"/>
  <c r="M4" i="121"/>
  <c r="L4" i="121"/>
  <c r="K4" i="121"/>
  <c r="J4" i="121"/>
  <c r="I4" i="121"/>
  <c r="H4" i="121"/>
  <c r="G4" i="121"/>
  <c r="F4" i="121"/>
  <c r="E4" i="121"/>
  <c r="D4" i="121"/>
  <c r="C4" i="121"/>
  <c r="B4" i="121"/>
  <c r="M28" i="121"/>
  <c r="L28" i="121"/>
  <c r="K28" i="121"/>
  <c r="J28" i="121"/>
  <c r="I28" i="121"/>
  <c r="H28" i="121"/>
  <c r="G28" i="121"/>
  <c r="F28" i="121"/>
  <c r="E28" i="121"/>
  <c r="D28" i="121"/>
  <c r="C28" i="121"/>
  <c r="B28" i="121"/>
  <c r="M18" i="121"/>
  <c r="L18" i="121"/>
  <c r="K18" i="121"/>
  <c r="J18" i="121"/>
  <c r="I18" i="121"/>
  <c r="H18" i="121"/>
  <c r="G18" i="121"/>
  <c r="F18" i="121"/>
  <c r="E18" i="121"/>
  <c r="D18" i="121"/>
  <c r="C18" i="121"/>
  <c r="B18" i="121"/>
  <c r="M19" i="121"/>
  <c r="L19" i="121"/>
  <c r="K19" i="121"/>
  <c r="J19" i="121"/>
  <c r="I19" i="121"/>
  <c r="H19" i="121"/>
  <c r="G19" i="121"/>
  <c r="F19" i="121"/>
  <c r="E19" i="121"/>
  <c r="D19" i="121"/>
  <c r="C19" i="121"/>
  <c r="B19" i="121"/>
  <c r="M11" i="121"/>
  <c r="L11" i="121"/>
  <c r="K11" i="121"/>
  <c r="J11" i="121"/>
  <c r="I11" i="121"/>
  <c r="H11" i="121"/>
  <c r="G11" i="121"/>
  <c r="F11" i="121"/>
  <c r="E11" i="121"/>
  <c r="D11" i="121"/>
  <c r="C11" i="121"/>
  <c r="B11" i="121"/>
  <c r="M8" i="121"/>
  <c r="L8" i="121"/>
  <c r="K8" i="121"/>
  <c r="J8" i="121"/>
  <c r="I8" i="121"/>
  <c r="H8" i="121"/>
  <c r="G8" i="121"/>
  <c r="F8" i="121"/>
  <c r="E8" i="121"/>
  <c r="D8" i="121"/>
  <c r="C8" i="121"/>
  <c r="B8" i="121"/>
  <c r="M2" i="121"/>
  <c r="L2" i="121"/>
  <c r="K2" i="121"/>
  <c r="J2" i="121"/>
  <c r="I2" i="121"/>
  <c r="H2" i="121"/>
  <c r="G2" i="121"/>
  <c r="F2" i="121"/>
  <c r="E2" i="121"/>
  <c r="D2" i="121"/>
  <c r="C2" i="121"/>
  <c r="B2" i="121"/>
  <c r="M24" i="121"/>
  <c r="L24" i="121"/>
  <c r="K24" i="121"/>
  <c r="J24" i="121"/>
  <c r="I24" i="121"/>
  <c r="H24" i="121"/>
  <c r="G24" i="121"/>
  <c r="F24" i="121"/>
  <c r="E24" i="121"/>
  <c r="D24" i="121"/>
  <c r="C24" i="121"/>
  <c r="B24" i="121"/>
  <c r="M5" i="121"/>
  <c r="L5" i="121"/>
  <c r="K5" i="121"/>
  <c r="J5" i="121"/>
  <c r="I5" i="121"/>
  <c r="H5" i="121"/>
  <c r="G5" i="121"/>
  <c r="F5" i="121"/>
  <c r="E5" i="121"/>
  <c r="D5" i="121"/>
  <c r="C5" i="121"/>
  <c r="B5" i="121"/>
  <c r="M7" i="121"/>
  <c r="L7" i="121"/>
  <c r="K7" i="121"/>
  <c r="J7" i="121"/>
  <c r="I7" i="121"/>
  <c r="H7" i="121"/>
  <c r="G7" i="121"/>
  <c r="F7" i="121"/>
  <c r="E7" i="121"/>
  <c r="D7" i="121"/>
  <c r="C7" i="121"/>
  <c r="B7" i="121"/>
  <c r="M16" i="121"/>
  <c r="L16" i="121"/>
  <c r="K16" i="121"/>
  <c r="J16" i="121"/>
  <c r="I16" i="121"/>
  <c r="H16" i="121"/>
  <c r="G16" i="121"/>
  <c r="F16" i="121"/>
  <c r="E16" i="121"/>
  <c r="D16" i="121"/>
  <c r="C16" i="121"/>
  <c r="B16" i="121"/>
  <c r="M17" i="121"/>
  <c r="L17" i="121"/>
  <c r="K17" i="121"/>
  <c r="J17" i="121"/>
  <c r="I17" i="121"/>
  <c r="H17" i="121"/>
  <c r="G17" i="121"/>
  <c r="F17" i="121"/>
  <c r="E17" i="121"/>
  <c r="D17" i="121"/>
  <c r="C17" i="121"/>
  <c r="B17" i="121"/>
  <c r="M42" i="121"/>
  <c r="L42" i="121"/>
  <c r="K42" i="121"/>
  <c r="J42" i="121"/>
  <c r="I42" i="121"/>
  <c r="H42" i="121"/>
  <c r="G42" i="121"/>
  <c r="F42" i="121"/>
  <c r="E42" i="121"/>
  <c r="D42" i="121"/>
  <c r="C42" i="121"/>
  <c r="B42" i="121"/>
  <c r="M32" i="121"/>
  <c r="L32" i="121"/>
  <c r="K32" i="121"/>
  <c r="J32" i="121"/>
  <c r="I32" i="121"/>
  <c r="H32" i="121"/>
  <c r="G32" i="121"/>
  <c r="F32" i="121"/>
  <c r="E32" i="121"/>
  <c r="D32" i="121"/>
  <c r="C32" i="121"/>
  <c r="B32" i="121"/>
  <c r="M35" i="121"/>
  <c r="L35" i="121"/>
  <c r="K35" i="121"/>
  <c r="J35" i="121"/>
  <c r="I35" i="121"/>
  <c r="H35" i="121"/>
  <c r="G35" i="121"/>
  <c r="F35" i="121"/>
  <c r="E35" i="121"/>
  <c r="D35" i="121"/>
  <c r="C35" i="121"/>
  <c r="B35" i="121"/>
  <c r="M31" i="121"/>
  <c r="L31" i="121"/>
  <c r="K31" i="121"/>
  <c r="J31" i="121"/>
  <c r="I31" i="121"/>
  <c r="H31" i="121"/>
  <c r="G31" i="121"/>
  <c r="F31" i="121"/>
  <c r="E31" i="121"/>
  <c r="D31" i="121"/>
  <c r="C31" i="121"/>
  <c r="B31" i="121"/>
  <c r="M40" i="121"/>
  <c r="L40" i="121"/>
  <c r="K40" i="121"/>
  <c r="J40" i="121"/>
  <c r="I40" i="121"/>
  <c r="H40" i="121"/>
  <c r="G40" i="121"/>
  <c r="F40" i="121"/>
  <c r="E40" i="121"/>
  <c r="D40" i="121"/>
  <c r="C40" i="121"/>
  <c r="B40" i="121"/>
  <c r="M12" i="121"/>
  <c r="L12" i="121"/>
  <c r="K12" i="121"/>
  <c r="J12" i="121"/>
  <c r="I12" i="121"/>
  <c r="H12" i="121"/>
  <c r="G12" i="121"/>
  <c r="F12" i="121"/>
  <c r="E12" i="121"/>
  <c r="D12" i="121"/>
  <c r="C12" i="121"/>
  <c r="B12" i="121"/>
  <c r="M6" i="121"/>
  <c r="L6" i="121"/>
  <c r="K6" i="121"/>
  <c r="J6" i="121"/>
  <c r="I6" i="121"/>
  <c r="H6" i="121"/>
  <c r="G6" i="121"/>
  <c r="F6" i="121"/>
  <c r="E6" i="121"/>
  <c r="D6" i="121"/>
  <c r="C6" i="121"/>
  <c r="B6" i="121"/>
  <c r="M23" i="121"/>
  <c r="L23" i="121"/>
  <c r="K23" i="121"/>
  <c r="J23" i="121"/>
  <c r="I23" i="121"/>
  <c r="H23" i="121"/>
  <c r="G23" i="121"/>
  <c r="F23" i="121"/>
  <c r="E23" i="121"/>
  <c r="D23" i="121"/>
  <c r="C23" i="121"/>
  <c r="B23" i="121"/>
  <c r="M15" i="121"/>
  <c r="L15" i="121"/>
  <c r="K15" i="121"/>
  <c r="J15" i="121"/>
  <c r="I15" i="121"/>
  <c r="H15" i="121"/>
  <c r="G15" i="121"/>
  <c r="F15" i="121"/>
  <c r="E15" i="121"/>
  <c r="D15" i="121"/>
  <c r="C15" i="121"/>
  <c r="B15" i="121"/>
  <c r="M30" i="121"/>
  <c r="L30" i="121"/>
  <c r="K30" i="121"/>
  <c r="J30" i="121"/>
  <c r="I30" i="121"/>
  <c r="H30" i="121"/>
  <c r="G30" i="121"/>
  <c r="F30" i="121"/>
  <c r="E30" i="121"/>
  <c r="D30" i="121"/>
  <c r="C30" i="121"/>
  <c r="B30" i="121"/>
  <c r="M29" i="121"/>
  <c r="L29" i="121"/>
  <c r="K29" i="121"/>
  <c r="J29" i="121"/>
  <c r="I29" i="121"/>
  <c r="H29" i="121"/>
  <c r="G29" i="121"/>
  <c r="F29" i="121"/>
  <c r="E29" i="121"/>
  <c r="D29" i="121"/>
  <c r="C29" i="121"/>
  <c r="B29" i="121"/>
  <c r="M20" i="121"/>
  <c r="L20" i="121"/>
  <c r="K20" i="121"/>
  <c r="J20" i="121"/>
  <c r="I20" i="121"/>
  <c r="H20" i="121"/>
  <c r="G20" i="121"/>
  <c r="F20" i="121"/>
  <c r="E20" i="121"/>
  <c r="D20" i="121"/>
  <c r="C20" i="121"/>
  <c r="B20" i="121"/>
  <c r="M14" i="121"/>
  <c r="L14" i="121"/>
  <c r="K14" i="121"/>
  <c r="J14" i="121"/>
  <c r="I14" i="121"/>
  <c r="H14" i="121"/>
  <c r="G14" i="121"/>
  <c r="F14" i="121"/>
  <c r="E14" i="121"/>
  <c r="D14" i="121"/>
  <c r="C14" i="121"/>
  <c r="B14" i="121"/>
  <c r="M13" i="121"/>
  <c r="L13" i="121"/>
  <c r="K13" i="121"/>
  <c r="J13" i="121"/>
  <c r="I13" i="121"/>
  <c r="H13" i="121"/>
  <c r="G13" i="121"/>
  <c r="F13" i="121"/>
  <c r="E13" i="121"/>
  <c r="D13" i="121"/>
  <c r="C13" i="121"/>
  <c r="B13" i="121"/>
  <c r="M39" i="121"/>
  <c r="L39" i="121"/>
  <c r="K39" i="121"/>
  <c r="J39" i="121"/>
  <c r="I39" i="121"/>
  <c r="H39" i="121"/>
  <c r="G39" i="121"/>
  <c r="F39" i="121"/>
  <c r="E39" i="121"/>
  <c r="D39" i="121"/>
  <c r="C39" i="121"/>
  <c r="B39" i="121"/>
  <c r="M44" i="121"/>
  <c r="L44" i="121"/>
  <c r="K44" i="121"/>
  <c r="J44" i="121"/>
  <c r="I44" i="121"/>
  <c r="H44" i="121"/>
  <c r="G44" i="121"/>
  <c r="F44" i="121"/>
  <c r="E44" i="121"/>
  <c r="D44" i="121"/>
  <c r="C44" i="121"/>
  <c r="B44" i="121"/>
  <c r="M27" i="121"/>
  <c r="L27" i="121"/>
  <c r="K27" i="121"/>
  <c r="J27" i="121"/>
  <c r="I27" i="121"/>
  <c r="H27" i="121"/>
  <c r="G27" i="121"/>
  <c r="F27" i="121"/>
  <c r="E27" i="121"/>
  <c r="D27" i="121"/>
  <c r="C27" i="121"/>
  <c r="B27" i="121"/>
  <c r="M3" i="121"/>
  <c r="L3" i="121"/>
  <c r="K3" i="121"/>
  <c r="J3" i="121"/>
  <c r="I3" i="121"/>
  <c r="H3" i="121"/>
  <c r="G3" i="121"/>
  <c r="F3" i="121"/>
  <c r="E3" i="121"/>
  <c r="D3" i="121"/>
  <c r="C3" i="121"/>
  <c r="B3" i="121"/>
  <c r="M36" i="121"/>
  <c r="L36" i="121"/>
  <c r="K36" i="121"/>
  <c r="J36" i="121"/>
  <c r="I36" i="121"/>
  <c r="H36" i="121"/>
  <c r="G36" i="121"/>
  <c r="F36" i="121"/>
  <c r="E36" i="121"/>
  <c r="D36" i="121"/>
  <c r="C36" i="121"/>
  <c r="B36" i="121"/>
  <c r="M21" i="121"/>
  <c r="L21" i="121"/>
  <c r="K21" i="121"/>
  <c r="J21" i="121"/>
  <c r="I21" i="121"/>
  <c r="H21" i="121"/>
  <c r="G21" i="121"/>
  <c r="F21" i="121"/>
  <c r="E21" i="121"/>
  <c r="D21" i="121"/>
  <c r="C21" i="121"/>
  <c r="B21" i="121"/>
  <c r="M33" i="121"/>
  <c r="L33" i="121"/>
  <c r="K33" i="121"/>
  <c r="J33" i="121"/>
  <c r="I33" i="121"/>
  <c r="H33" i="121"/>
  <c r="G33" i="121"/>
  <c r="F33" i="121"/>
  <c r="E33" i="121"/>
  <c r="D33" i="121"/>
  <c r="C33" i="121"/>
  <c r="B33" i="121"/>
  <c r="M43" i="121"/>
  <c r="L43" i="121"/>
  <c r="K43" i="121"/>
  <c r="J43" i="121"/>
  <c r="I43" i="121"/>
  <c r="H43" i="121"/>
  <c r="G43" i="121"/>
  <c r="F43" i="121"/>
  <c r="E43" i="121"/>
  <c r="D43" i="121"/>
  <c r="C43" i="121"/>
  <c r="B43" i="121"/>
  <c r="M41" i="121"/>
  <c r="L41" i="121"/>
  <c r="K41" i="121"/>
  <c r="J41" i="121"/>
  <c r="I41" i="121"/>
  <c r="H41" i="121"/>
  <c r="G41" i="121"/>
  <c r="F41" i="121"/>
  <c r="E41" i="121"/>
  <c r="D41" i="121"/>
  <c r="C41" i="121"/>
  <c r="B41" i="121"/>
  <c r="M9" i="121"/>
  <c r="L9" i="121"/>
  <c r="K9" i="121"/>
  <c r="J9" i="121"/>
  <c r="I9" i="121"/>
  <c r="H9" i="121"/>
  <c r="G9" i="121"/>
  <c r="F9" i="121"/>
  <c r="E9" i="121"/>
  <c r="D9" i="121"/>
  <c r="C9" i="121"/>
  <c r="B9" i="121"/>
  <c r="M10" i="121"/>
  <c r="L10" i="121"/>
  <c r="K10" i="121"/>
  <c r="J10" i="121"/>
  <c r="I10" i="121"/>
  <c r="H10" i="121"/>
  <c r="G10" i="121"/>
  <c r="F10" i="121"/>
  <c r="E10" i="121"/>
  <c r="D10" i="121"/>
  <c r="C10" i="121"/>
  <c r="B10" i="121"/>
  <c r="M22" i="121"/>
  <c r="L22" i="121"/>
  <c r="K22" i="121"/>
  <c r="J22" i="121"/>
  <c r="I22" i="121"/>
  <c r="H22" i="121"/>
  <c r="G22" i="121"/>
  <c r="F22" i="121"/>
  <c r="E22" i="121"/>
  <c r="D22" i="121"/>
  <c r="C22" i="121"/>
  <c r="B22" i="121"/>
  <c r="M37" i="121"/>
  <c r="L37" i="121"/>
  <c r="K37" i="121"/>
  <c r="J37" i="121"/>
  <c r="I37" i="121"/>
  <c r="H37" i="121"/>
  <c r="G37" i="121"/>
  <c r="F37" i="121"/>
  <c r="E37" i="121"/>
  <c r="D37" i="121"/>
  <c r="C37" i="121"/>
  <c r="B37" i="121"/>
  <c r="R1800" i="3"/>
  <c r="R1729" i="3"/>
  <c r="J1729" i="3"/>
  <c r="K1729" i="3"/>
  <c r="L1729" i="3"/>
  <c r="M1729" i="3"/>
  <c r="R801" i="3"/>
  <c r="J1218" i="3" l="1"/>
  <c r="K1218" i="3"/>
  <c r="L1218" i="3"/>
  <c r="M1218" i="3"/>
  <c r="J1366" i="3"/>
  <c r="K1366" i="3"/>
  <c r="P1366" i="3" s="1"/>
  <c r="L1366" i="3"/>
  <c r="M1366" i="3"/>
  <c r="R1366" i="3"/>
  <c r="R269" i="3" l="1"/>
  <c r="R268" i="3"/>
  <c r="R283" i="3"/>
  <c r="R267" i="3"/>
  <c r="R292" i="3"/>
  <c r="R286" i="3"/>
  <c r="R285" i="3"/>
  <c r="B14" i="138" l="1"/>
  <c r="B3" i="138"/>
  <c r="B4" i="138"/>
  <c r="B5" i="138"/>
  <c r="B6" i="138"/>
  <c r="B7" i="138"/>
  <c r="B8" i="138"/>
  <c r="B9" i="138"/>
  <c r="B10" i="138"/>
  <c r="B11" i="138"/>
  <c r="B12" i="138"/>
  <c r="B13" i="138"/>
  <c r="B15" i="138"/>
  <c r="B16" i="138"/>
  <c r="B17" i="138"/>
  <c r="B18" i="138"/>
  <c r="B19" i="138"/>
  <c r="B20" i="138"/>
  <c r="B21" i="138"/>
  <c r="B2" i="138"/>
  <c r="R582" i="3"/>
  <c r="P1775" i="3"/>
  <c r="P2421" i="3"/>
  <c r="P1413" i="3"/>
  <c r="P1471" i="3"/>
  <c r="J356" i="3" l="1"/>
  <c r="K356" i="3"/>
  <c r="P356" i="3" s="1"/>
  <c r="L356" i="3"/>
  <c r="M356" i="3"/>
  <c r="J2426" i="3"/>
  <c r="K2426" i="3"/>
  <c r="P2426" i="3" s="1"/>
  <c r="L2426" i="3"/>
  <c r="M2426" i="3"/>
  <c r="J127" i="3"/>
  <c r="K127" i="3"/>
  <c r="L127" i="3"/>
  <c r="M127" i="3"/>
  <c r="J134" i="3"/>
  <c r="K134" i="3"/>
  <c r="L134" i="3"/>
  <c r="M134" i="3"/>
  <c r="J136" i="3"/>
  <c r="K136" i="3"/>
  <c r="L136" i="3"/>
  <c r="M136" i="3"/>
  <c r="J293" i="3"/>
  <c r="K293" i="3"/>
  <c r="L293" i="3"/>
  <c r="M293" i="3"/>
  <c r="J305" i="3"/>
  <c r="K305" i="3"/>
  <c r="L305" i="3"/>
  <c r="M305" i="3"/>
  <c r="J285" i="3"/>
  <c r="K285" i="3"/>
  <c r="L285" i="3"/>
  <c r="M285" i="3"/>
  <c r="J286" i="3"/>
  <c r="K286" i="3"/>
  <c r="L286" i="3"/>
  <c r="M286" i="3"/>
  <c r="J292" i="3"/>
  <c r="K292" i="3"/>
  <c r="L292" i="3"/>
  <c r="M292" i="3"/>
  <c r="J267" i="3"/>
  <c r="K267" i="3"/>
  <c r="L267" i="3"/>
  <c r="M267" i="3"/>
  <c r="J283" i="3"/>
  <c r="K283" i="3"/>
  <c r="L283" i="3"/>
  <c r="M283" i="3"/>
  <c r="J268" i="3"/>
  <c r="K268" i="3"/>
  <c r="L268" i="3"/>
  <c r="M268" i="3"/>
  <c r="J269" i="3"/>
  <c r="K269" i="3"/>
  <c r="L269" i="3"/>
  <c r="M269" i="3"/>
  <c r="J1512" i="3"/>
  <c r="K1512" i="3"/>
  <c r="P1512" i="3" s="1"/>
  <c r="L1512" i="3"/>
  <c r="M1512" i="3"/>
  <c r="J1134" i="3"/>
  <c r="K1134" i="3"/>
  <c r="P1134" i="3" s="1"/>
  <c r="L1134" i="3"/>
  <c r="M1134" i="3"/>
  <c r="J1211" i="3"/>
  <c r="K1211" i="3"/>
  <c r="P1211" i="3" s="1"/>
  <c r="L1211" i="3"/>
  <c r="M1211" i="3"/>
  <c r="J374" i="3"/>
  <c r="K374" i="3"/>
  <c r="L374" i="3"/>
  <c r="M374" i="3"/>
  <c r="J443" i="3"/>
  <c r="K443" i="3"/>
  <c r="L443" i="3"/>
  <c r="M443" i="3"/>
  <c r="J446" i="3"/>
  <c r="K446" i="3"/>
  <c r="L446" i="3"/>
  <c r="M446" i="3"/>
  <c r="J605" i="3"/>
  <c r="K605" i="3"/>
  <c r="L605" i="3"/>
  <c r="M605" i="3"/>
  <c r="J625" i="3"/>
  <c r="K625" i="3"/>
  <c r="L625" i="3"/>
  <c r="M625" i="3"/>
  <c r="J526" i="3"/>
  <c r="K526" i="3"/>
  <c r="L526" i="3"/>
  <c r="M526" i="3"/>
  <c r="J626" i="3"/>
  <c r="K626" i="3"/>
  <c r="L626" i="3"/>
  <c r="M626" i="3"/>
  <c r="J628" i="3"/>
  <c r="K628" i="3"/>
  <c r="L628" i="3"/>
  <c r="M628" i="3"/>
  <c r="J627" i="3"/>
  <c r="K627" i="3"/>
  <c r="L627" i="3"/>
  <c r="M627" i="3"/>
  <c r="J600" i="3"/>
  <c r="K600" i="3"/>
  <c r="L600" i="3"/>
  <c r="M600" i="3"/>
  <c r="J621" i="3"/>
  <c r="K621" i="3"/>
  <c r="P621" i="3" s="1"/>
  <c r="L621" i="3"/>
  <c r="M621" i="3"/>
  <c r="J607" i="3"/>
  <c r="K607" i="3"/>
  <c r="L607" i="3"/>
  <c r="M607" i="3"/>
  <c r="J608" i="3"/>
  <c r="K608" i="3"/>
  <c r="L608" i="3"/>
  <c r="M608" i="3"/>
  <c r="J615" i="3"/>
  <c r="K615" i="3"/>
  <c r="L615" i="3"/>
  <c r="M615" i="3"/>
  <c r="J613" i="3"/>
  <c r="K613" i="3"/>
  <c r="L613" i="3"/>
  <c r="M613" i="3"/>
  <c r="J612" i="3"/>
  <c r="K612" i="3"/>
  <c r="L612" i="3"/>
  <c r="M612" i="3"/>
  <c r="J634" i="3"/>
  <c r="K634" i="3"/>
  <c r="L634" i="3"/>
  <c r="M634" i="3"/>
  <c r="J629" i="3"/>
  <c r="K629" i="3"/>
  <c r="L629" i="3"/>
  <c r="M629" i="3"/>
  <c r="J742" i="3"/>
  <c r="K742" i="3"/>
  <c r="L742" i="3"/>
  <c r="M742" i="3"/>
  <c r="J725" i="3"/>
  <c r="K725" i="3"/>
  <c r="L725" i="3"/>
  <c r="M725" i="3"/>
  <c r="J786" i="3"/>
  <c r="K786" i="3"/>
  <c r="L786" i="3"/>
  <c r="M786" i="3"/>
  <c r="J698" i="3"/>
  <c r="K698" i="3"/>
  <c r="L698" i="3"/>
  <c r="M698" i="3"/>
  <c r="J781" i="3"/>
  <c r="K781" i="3"/>
  <c r="L781" i="3"/>
  <c r="M781" i="3"/>
  <c r="J942" i="3"/>
  <c r="K942" i="3"/>
  <c r="L942" i="3"/>
  <c r="M942" i="3"/>
  <c r="J967" i="3"/>
  <c r="K967" i="3"/>
  <c r="L967" i="3"/>
  <c r="M967" i="3"/>
  <c r="J1014" i="3"/>
  <c r="K1014" i="3"/>
  <c r="L1014" i="3"/>
  <c r="M1014" i="3"/>
  <c r="J980" i="3"/>
  <c r="K980" i="3"/>
  <c r="L980" i="3"/>
  <c r="M980" i="3"/>
  <c r="J989" i="3"/>
  <c r="K989" i="3"/>
  <c r="L989" i="3"/>
  <c r="M989" i="3"/>
  <c r="J990" i="3"/>
  <c r="K990" i="3"/>
  <c r="L990" i="3"/>
  <c r="M990" i="3"/>
  <c r="J991" i="3"/>
  <c r="K991" i="3"/>
  <c r="L991" i="3"/>
  <c r="M991" i="3"/>
  <c r="J992" i="3"/>
  <c r="K992" i="3"/>
  <c r="L992" i="3"/>
  <c r="M992" i="3"/>
  <c r="J993" i="3"/>
  <c r="K993" i="3"/>
  <c r="L993" i="3"/>
  <c r="M993" i="3"/>
  <c r="J1367" i="3"/>
  <c r="K1367" i="3"/>
  <c r="P1367" i="3" s="1"/>
  <c r="L1367" i="3"/>
  <c r="M1367" i="3"/>
  <c r="J1325" i="3"/>
  <c r="K1325" i="3"/>
  <c r="P1325" i="3" s="1"/>
  <c r="L1325" i="3"/>
  <c r="M1325" i="3"/>
  <c r="J1267" i="3"/>
  <c r="K1267" i="3"/>
  <c r="P1267" i="3" s="1"/>
  <c r="L1267" i="3"/>
  <c r="M1267" i="3"/>
  <c r="J1324" i="3"/>
  <c r="K1324" i="3"/>
  <c r="P1324" i="3" s="1"/>
  <c r="L1324" i="3"/>
  <c r="M1324" i="3"/>
  <c r="J1358" i="3"/>
  <c r="K1358" i="3"/>
  <c r="P1358" i="3" s="1"/>
  <c r="L1358" i="3"/>
  <c r="M1358" i="3"/>
  <c r="J1318" i="3"/>
  <c r="K1318" i="3"/>
  <c r="P1318" i="3" s="1"/>
  <c r="L1318" i="3"/>
  <c r="M1318" i="3"/>
  <c r="J1319" i="3"/>
  <c r="K1319" i="3"/>
  <c r="P1319" i="3" s="1"/>
  <c r="L1319" i="3"/>
  <c r="M1319" i="3"/>
  <c r="J1312" i="3"/>
  <c r="K1312" i="3"/>
  <c r="P1312" i="3" s="1"/>
  <c r="L1312" i="3"/>
  <c r="M1312" i="3"/>
  <c r="J2334" i="3"/>
  <c r="K2334" i="3"/>
  <c r="P2334" i="3" s="1"/>
  <c r="L2334" i="3"/>
  <c r="M2334" i="3"/>
  <c r="J2333" i="3"/>
  <c r="K2333" i="3"/>
  <c r="P2333" i="3" s="1"/>
  <c r="L2333" i="3"/>
  <c r="M2333" i="3"/>
  <c r="J2332" i="3"/>
  <c r="K2332" i="3"/>
  <c r="P2332" i="3" s="1"/>
  <c r="L2332" i="3"/>
  <c r="M2332" i="3"/>
  <c r="J1475" i="3"/>
  <c r="K1475" i="3"/>
  <c r="P1475" i="3" s="1"/>
  <c r="L1475" i="3"/>
  <c r="M1475" i="3"/>
  <c r="J196" i="3"/>
  <c r="K196" i="3"/>
  <c r="L196" i="3"/>
  <c r="M196" i="3"/>
  <c r="J1632" i="3"/>
  <c r="K1632" i="3"/>
  <c r="P1632" i="3" s="1"/>
  <c r="L1632" i="3"/>
  <c r="M1632" i="3"/>
  <c r="J1502" i="3"/>
  <c r="K1502" i="3"/>
  <c r="P1502" i="3" s="1"/>
  <c r="L1502" i="3"/>
  <c r="M1502" i="3"/>
  <c r="J1823" i="3"/>
  <c r="K1823" i="3"/>
  <c r="P1823" i="3" s="1"/>
  <c r="L1823" i="3"/>
  <c r="M1823" i="3"/>
  <c r="J1844" i="3"/>
  <c r="K1844" i="3"/>
  <c r="P1844" i="3" s="1"/>
  <c r="L1844" i="3"/>
  <c r="M1844" i="3"/>
  <c r="J1992" i="3"/>
  <c r="K1992" i="3"/>
  <c r="P1992" i="3" s="1"/>
  <c r="L1992" i="3"/>
  <c r="M1992" i="3"/>
  <c r="J1975" i="3"/>
  <c r="K1975" i="3"/>
  <c r="P1975" i="3" s="1"/>
  <c r="L1975" i="3"/>
  <c r="M1975" i="3"/>
  <c r="J1944" i="3"/>
  <c r="K1944" i="3"/>
  <c r="P1944" i="3" s="1"/>
  <c r="L1944" i="3"/>
  <c r="M1944" i="3"/>
  <c r="J1968" i="3"/>
  <c r="K1968" i="3"/>
  <c r="P1968" i="3" s="1"/>
  <c r="L1968" i="3"/>
  <c r="M1968" i="3"/>
  <c r="J1943" i="3"/>
  <c r="K1943" i="3"/>
  <c r="P1943" i="3" s="1"/>
  <c r="L1943" i="3"/>
  <c r="M1943" i="3"/>
  <c r="J2012" i="3"/>
  <c r="K2012" i="3"/>
  <c r="P2012" i="3" s="1"/>
  <c r="L2012" i="3"/>
  <c r="M2012" i="3"/>
  <c r="J1991" i="3"/>
  <c r="K1991" i="3"/>
  <c r="P1991" i="3" s="1"/>
  <c r="L1991" i="3"/>
  <c r="M1991" i="3"/>
  <c r="J2013" i="3"/>
  <c r="K2013" i="3"/>
  <c r="P2013" i="3" s="1"/>
  <c r="L2013" i="3"/>
  <c r="M2013" i="3"/>
  <c r="J1942" i="3"/>
  <c r="K1942" i="3"/>
  <c r="P1942" i="3" s="1"/>
  <c r="L1942" i="3"/>
  <c r="M1942" i="3"/>
  <c r="J582" i="3"/>
  <c r="K582" i="3"/>
  <c r="P582" i="3" s="1"/>
  <c r="L582" i="3"/>
  <c r="M582" i="3"/>
  <c r="J2239" i="3"/>
  <c r="K2239" i="3"/>
  <c r="P2239" i="3" s="1"/>
  <c r="L2239" i="3"/>
  <c r="M2239" i="3"/>
  <c r="J2240" i="3"/>
  <c r="K2240" i="3"/>
  <c r="P2240" i="3" s="1"/>
  <c r="L2240" i="3"/>
  <c r="M2240" i="3"/>
  <c r="J2244" i="3"/>
  <c r="K2244" i="3"/>
  <c r="P2244" i="3" s="1"/>
  <c r="L2244" i="3"/>
  <c r="M2244" i="3"/>
  <c r="J341" i="3"/>
  <c r="K341" i="3"/>
  <c r="P341" i="3" s="1"/>
  <c r="L341" i="3"/>
  <c r="M341" i="3"/>
  <c r="J2430" i="3"/>
  <c r="K2430" i="3"/>
  <c r="P2430" i="3" s="1"/>
  <c r="L2430" i="3"/>
  <c r="M2430" i="3"/>
  <c r="J371" i="3"/>
  <c r="K371" i="3"/>
  <c r="P371" i="3" s="1"/>
  <c r="L371" i="3"/>
  <c r="M371" i="3"/>
  <c r="J370" i="3"/>
  <c r="K370" i="3"/>
  <c r="P370" i="3" s="1"/>
  <c r="L370" i="3"/>
  <c r="M370" i="3"/>
  <c r="J357" i="3"/>
  <c r="K357" i="3"/>
  <c r="P357" i="3" s="1"/>
  <c r="L357" i="3"/>
  <c r="M357" i="3"/>
  <c r="J1046" i="3"/>
  <c r="K1046" i="3"/>
  <c r="P1046" i="3" s="1"/>
  <c r="L1046" i="3"/>
  <c r="M1046" i="3"/>
  <c r="J51" i="3"/>
  <c r="K51" i="3"/>
  <c r="L51" i="3"/>
  <c r="M51" i="3"/>
  <c r="J874" i="3"/>
  <c r="K874" i="3"/>
  <c r="P874" i="3" s="1"/>
  <c r="L874" i="3"/>
  <c r="M874" i="3"/>
  <c r="J1834" i="3"/>
  <c r="K1834" i="3"/>
  <c r="P1834" i="3" s="1"/>
  <c r="L1834" i="3"/>
  <c r="M1834" i="3"/>
  <c r="J1474" i="3"/>
  <c r="K1474" i="3"/>
  <c r="P1474" i="3" s="1"/>
  <c r="L1474" i="3"/>
  <c r="M1474" i="3"/>
  <c r="J160" i="3"/>
  <c r="K160" i="3"/>
  <c r="L160" i="3"/>
  <c r="M160" i="3"/>
  <c r="J1193" i="3"/>
  <c r="K1193" i="3"/>
  <c r="P1193" i="3" s="1"/>
  <c r="L1193" i="3"/>
  <c r="M1193" i="3"/>
  <c r="J1773" i="3"/>
  <c r="K1773" i="3"/>
  <c r="P1773" i="3" s="1"/>
  <c r="L1773" i="3"/>
  <c r="M1773" i="3"/>
  <c r="J44" i="3"/>
  <c r="K44" i="3"/>
  <c r="L44" i="3"/>
  <c r="M44" i="3"/>
  <c r="J28" i="3"/>
  <c r="K28" i="3"/>
  <c r="L28" i="3"/>
  <c r="M28" i="3"/>
  <c r="J135" i="3"/>
  <c r="K135" i="3"/>
  <c r="L135" i="3"/>
  <c r="M135" i="3"/>
  <c r="J149" i="3"/>
  <c r="K149" i="3"/>
  <c r="L149" i="3"/>
  <c r="M149" i="3"/>
  <c r="J546" i="3"/>
  <c r="K546" i="3"/>
  <c r="L546" i="3"/>
  <c r="M546" i="3"/>
  <c r="J1117" i="3"/>
  <c r="K1117" i="3"/>
  <c r="P1117" i="3" s="1"/>
  <c r="L1117" i="3"/>
  <c r="M1117" i="3"/>
  <c r="J1114" i="3"/>
  <c r="K1114" i="3"/>
  <c r="P1114" i="3" s="1"/>
  <c r="L1114" i="3"/>
  <c r="M1114" i="3"/>
  <c r="K1728" i="3"/>
  <c r="P1728" i="3" s="1"/>
  <c r="L1728" i="3"/>
  <c r="M1728" i="3"/>
  <c r="J1667" i="3"/>
  <c r="K1667" i="3"/>
  <c r="P1667" i="3" s="1"/>
  <c r="L1667" i="3"/>
  <c r="M1667" i="3"/>
  <c r="J12" i="3"/>
  <c r="K12" i="3"/>
  <c r="L12" i="3"/>
  <c r="M12" i="3"/>
  <c r="J4" i="3"/>
  <c r="K4" i="3"/>
  <c r="L4" i="3"/>
  <c r="M4" i="3"/>
  <c r="J138" i="3"/>
  <c r="K138" i="3"/>
  <c r="L138" i="3"/>
  <c r="M138" i="3"/>
  <c r="J148" i="3"/>
  <c r="K148" i="3"/>
  <c r="L148" i="3"/>
  <c r="M148" i="3"/>
  <c r="J164" i="3"/>
  <c r="K164" i="3"/>
  <c r="L164" i="3"/>
  <c r="M164" i="3"/>
  <c r="J872" i="3"/>
  <c r="K872" i="3"/>
  <c r="P872" i="3" s="1"/>
  <c r="L872" i="3"/>
  <c r="M872" i="3"/>
  <c r="J1473" i="3"/>
  <c r="K1473" i="3"/>
  <c r="P1473" i="3" s="1"/>
  <c r="L1473" i="3"/>
  <c r="M1473" i="3"/>
  <c r="J178" i="3"/>
  <c r="K178" i="3"/>
  <c r="L178" i="3"/>
  <c r="M178" i="3"/>
  <c r="J1194" i="3"/>
  <c r="K1194" i="3"/>
  <c r="P1194" i="3" s="1"/>
  <c r="L1194" i="3"/>
  <c r="M1194" i="3"/>
  <c r="J1390" i="3"/>
  <c r="K1390" i="3"/>
  <c r="P1390" i="3" s="1"/>
  <c r="L1390" i="3"/>
  <c r="M1390" i="3"/>
  <c r="J1436" i="3"/>
  <c r="K1436" i="3"/>
  <c r="P1436" i="3" s="1"/>
  <c r="L1436" i="3"/>
  <c r="M1436" i="3"/>
  <c r="J1195" i="3"/>
  <c r="K1195" i="3"/>
  <c r="P1195" i="3" s="1"/>
  <c r="L1195" i="3"/>
  <c r="M1195" i="3"/>
  <c r="J1835" i="3"/>
  <c r="K1835" i="3"/>
  <c r="P1835" i="3" s="1"/>
  <c r="L1835" i="3"/>
  <c r="M1835" i="3"/>
  <c r="J323" i="3"/>
  <c r="K323" i="3"/>
  <c r="P323" i="3" s="1"/>
  <c r="L323" i="3"/>
  <c r="M323" i="3"/>
  <c r="J46" i="3"/>
  <c r="K46" i="3"/>
  <c r="L46" i="3"/>
  <c r="M46" i="3"/>
  <c r="J1196" i="3"/>
  <c r="K1196" i="3"/>
  <c r="P1196" i="3" s="1"/>
  <c r="L1196" i="3"/>
  <c r="M1196" i="3"/>
  <c r="J1197" i="3"/>
  <c r="K1197" i="3"/>
  <c r="P1197" i="3" s="1"/>
  <c r="L1197" i="3"/>
  <c r="M1197" i="3"/>
  <c r="J1836" i="3"/>
  <c r="K1836" i="3"/>
  <c r="P1836" i="3" s="1"/>
  <c r="L1836" i="3"/>
  <c r="M1836" i="3"/>
  <c r="J139" i="3"/>
  <c r="K139" i="3"/>
  <c r="L139" i="3"/>
  <c r="M139" i="3"/>
  <c r="J174" i="3"/>
  <c r="K174" i="3"/>
  <c r="L174" i="3"/>
  <c r="M174" i="3"/>
  <c r="J1198" i="3"/>
  <c r="K1198" i="3"/>
  <c r="P1198" i="3" s="1"/>
  <c r="L1198" i="3"/>
  <c r="M1198" i="3"/>
  <c r="J130" i="3"/>
  <c r="K130" i="3"/>
  <c r="L130" i="3"/>
  <c r="M130" i="3"/>
  <c r="J165" i="3"/>
  <c r="K165" i="3"/>
  <c r="L165" i="3"/>
  <c r="M165" i="3"/>
  <c r="J1113" i="3"/>
  <c r="K1113" i="3"/>
  <c r="P1113" i="3" s="1"/>
  <c r="L1113" i="3"/>
  <c r="M1113" i="3"/>
  <c r="J1199" i="3"/>
  <c r="K1199" i="3"/>
  <c r="P1199" i="3" s="1"/>
  <c r="L1199" i="3"/>
  <c r="M1199" i="3"/>
  <c r="J1200" i="3"/>
  <c r="K1200" i="3"/>
  <c r="P1200" i="3" s="1"/>
  <c r="L1200" i="3"/>
  <c r="M1200" i="3"/>
  <c r="J1439" i="3"/>
  <c r="K1439" i="3"/>
  <c r="P1439" i="3" s="1"/>
  <c r="L1439" i="3"/>
  <c r="M1439" i="3"/>
  <c r="J163" i="3"/>
  <c r="K163" i="3"/>
  <c r="L163" i="3"/>
  <c r="M163" i="3"/>
  <c r="J144" i="3"/>
  <c r="K144" i="3"/>
  <c r="L144" i="3"/>
  <c r="M144" i="3"/>
  <c r="J145" i="3"/>
  <c r="K145" i="3"/>
  <c r="L145" i="3"/>
  <c r="M145" i="3"/>
  <c r="J1837" i="3"/>
  <c r="K1837" i="3"/>
  <c r="P1837" i="3" s="1"/>
  <c r="L1837" i="3"/>
  <c r="M1837" i="3"/>
  <c r="J2210" i="3"/>
  <c r="K2210" i="3"/>
  <c r="P2210" i="3" s="1"/>
  <c r="L2210" i="3"/>
  <c r="M2210" i="3"/>
  <c r="J150" i="3"/>
  <c r="K150" i="3"/>
  <c r="L150" i="3"/>
  <c r="M150" i="3"/>
  <c r="J154" i="3"/>
  <c r="K154" i="3"/>
  <c r="L154" i="3"/>
  <c r="M154" i="3"/>
  <c r="J1838" i="3"/>
  <c r="K1838" i="3"/>
  <c r="P1838" i="3" s="1"/>
  <c r="L1838" i="3"/>
  <c r="M1838" i="3"/>
  <c r="J158" i="3"/>
  <c r="K158" i="3"/>
  <c r="L158" i="3"/>
  <c r="M158" i="3"/>
  <c r="J1415" i="3"/>
  <c r="K1415" i="3"/>
  <c r="P1415" i="3" s="1"/>
  <c r="L1415" i="3"/>
  <c r="M1415" i="3"/>
  <c r="J1441" i="3"/>
  <c r="K1441" i="3"/>
  <c r="P1441" i="3" s="1"/>
  <c r="L1441" i="3"/>
  <c r="M1441" i="3"/>
  <c r="J1433" i="3"/>
  <c r="K1433" i="3"/>
  <c r="P1433" i="3" s="1"/>
  <c r="L1433" i="3"/>
  <c r="M1433" i="3"/>
  <c r="J1431" i="3"/>
  <c r="K1431" i="3"/>
  <c r="P1431" i="3" s="1"/>
  <c r="L1431" i="3"/>
  <c r="M1431" i="3"/>
  <c r="J1405" i="3"/>
  <c r="K1405" i="3"/>
  <c r="P1405" i="3" s="1"/>
  <c r="L1405" i="3"/>
  <c r="M1405" i="3"/>
  <c r="J1839" i="3"/>
  <c r="K1839" i="3"/>
  <c r="P1839" i="3" s="1"/>
  <c r="L1839" i="3"/>
  <c r="M1839" i="3"/>
  <c r="J16" i="3"/>
  <c r="K16" i="3"/>
  <c r="L16" i="3"/>
  <c r="M16" i="3"/>
  <c r="J1687" i="3"/>
  <c r="K1687" i="3"/>
  <c r="P1687" i="3" s="1"/>
  <c r="L1687" i="3"/>
  <c r="M1687" i="3"/>
  <c r="J2410" i="3"/>
  <c r="K2410" i="3"/>
  <c r="P2410" i="3" s="1"/>
  <c r="L2410" i="3"/>
  <c r="M2410" i="3"/>
  <c r="J1201" i="3"/>
  <c r="K1201" i="3"/>
  <c r="P1201" i="3" s="1"/>
  <c r="L1201" i="3"/>
  <c r="M1201" i="3"/>
  <c r="J1404" i="3"/>
  <c r="K1404" i="3"/>
  <c r="P1404" i="3" s="1"/>
  <c r="L1404" i="3"/>
  <c r="M1404" i="3"/>
  <c r="J1381" i="3"/>
  <c r="K1381" i="3"/>
  <c r="P1381" i="3" s="1"/>
  <c r="L1381" i="3"/>
  <c r="M1381" i="3"/>
  <c r="J176" i="3"/>
  <c r="K176" i="3"/>
  <c r="L176" i="3"/>
  <c r="M176" i="3"/>
  <c r="J1202" i="3"/>
  <c r="K1202" i="3"/>
  <c r="P1202" i="3" s="1"/>
  <c r="L1202" i="3"/>
  <c r="M1202" i="3"/>
  <c r="J1799" i="3"/>
  <c r="K1799" i="3"/>
  <c r="P1799" i="3" s="1"/>
  <c r="L1799" i="3"/>
  <c r="M1799" i="3"/>
  <c r="J1101" i="3"/>
  <c r="K1101" i="3"/>
  <c r="P1101" i="3" s="1"/>
  <c r="L1101" i="3"/>
  <c r="M1101" i="3"/>
  <c r="J2409" i="3"/>
  <c r="K2409" i="3"/>
  <c r="P2409" i="3" s="1"/>
  <c r="L2409" i="3"/>
  <c r="M2409" i="3"/>
  <c r="J131" i="3"/>
  <c r="K131" i="3"/>
  <c r="L131" i="3"/>
  <c r="M131" i="3"/>
  <c r="J294" i="3"/>
  <c r="K294" i="3"/>
  <c r="L294" i="3"/>
  <c r="M294" i="3"/>
  <c r="J1203" i="3"/>
  <c r="K1203" i="3"/>
  <c r="P1203" i="3" s="1"/>
  <c r="L1203" i="3"/>
  <c r="M1203" i="3"/>
  <c r="J1204" i="3"/>
  <c r="K1204" i="3"/>
  <c r="P1204" i="3" s="1"/>
  <c r="L1204" i="3"/>
  <c r="M1204" i="3"/>
  <c r="J1388" i="3"/>
  <c r="K1388" i="3"/>
  <c r="P1388" i="3" s="1"/>
  <c r="L1388" i="3"/>
  <c r="M1388" i="3"/>
  <c r="J849" i="3"/>
  <c r="K849" i="3"/>
  <c r="L849" i="3"/>
  <c r="M849" i="3"/>
  <c r="J856" i="3"/>
  <c r="K856" i="3"/>
  <c r="L856" i="3"/>
  <c r="M856" i="3"/>
  <c r="J1205" i="3"/>
  <c r="K1205" i="3"/>
  <c r="P1205" i="3" s="1"/>
  <c r="L1205" i="3"/>
  <c r="M1205" i="3"/>
  <c r="J2423" i="3"/>
  <c r="K2423" i="3"/>
  <c r="P2423" i="3" s="1"/>
  <c r="L2423" i="3"/>
  <c r="M2423" i="3"/>
  <c r="J1206" i="3"/>
  <c r="K1206" i="3"/>
  <c r="P1206" i="3" s="1"/>
  <c r="L1206" i="3"/>
  <c r="M1206" i="3"/>
  <c r="J266" i="3"/>
  <c r="K266" i="3"/>
  <c r="L266" i="3"/>
  <c r="M266" i="3"/>
  <c r="J1376" i="3"/>
  <c r="K1376" i="3"/>
  <c r="P1376" i="3" s="1"/>
  <c r="L1376" i="3"/>
  <c r="M1376" i="3"/>
  <c r="J26" i="3"/>
  <c r="K26" i="3"/>
  <c r="L26" i="3"/>
  <c r="M26" i="3"/>
  <c r="J143" i="3"/>
  <c r="K143" i="3"/>
  <c r="L143" i="3"/>
  <c r="M143" i="3"/>
  <c r="J162" i="3"/>
  <c r="K162" i="3"/>
  <c r="L162" i="3"/>
  <c r="M162" i="3"/>
  <c r="J1207" i="3"/>
  <c r="K1207" i="3"/>
  <c r="P1207" i="3" s="1"/>
  <c r="L1207" i="3"/>
  <c r="M1207" i="3"/>
  <c r="J1414" i="3"/>
  <c r="K1414" i="3"/>
  <c r="P1414" i="3" s="1"/>
  <c r="L1414" i="3"/>
  <c r="M1414" i="3"/>
  <c r="J8" i="3"/>
  <c r="K8" i="3"/>
  <c r="L8" i="3"/>
  <c r="M8" i="3"/>
  <c r="J1208" i="3"/>
  <c r="K1208" i="3"/>
  <c r="P1208" i="3" s="1"/>
  <c r="L1208" i="3"/>
  <c r="M1208" i="3"/>
  <c r="J1442" i="3"/>
  <c r="K1442" i="3"/>
  <c r="P1442" i="3" s="1"/>
  <c r="L1442" i="3"/>
  <c r="M1442" i="3"/>
  <c r="J331" i="3"/>
  <c r="K331" i="3"/>
  <c r="P331" i="3" s="1"/>
  <c r="L331" i="3"/>
  <c r="M331" i="3"/>
  <c r="J152" i="3"/>
  <c r="K152" i="3"/>
  <c r="L152" i="3"/>
  <c r="M152" i="3"/>
  <c r="J30" i="3"/>
  <c r="K30" i="3"/>
  <c r="L30" i="3"/>
  <c r="M30" i="3"/>
  <c r="J153" i="3"/>
  <c r="K153" i="3"/>
  <c r="L153" i="3"/>
  <c r="M153" i="3"/>
  <c r="J168" i="3"/>
  <c r="K168" i="3"/>
  <c r="L168" i="3"/>
  <c r="M168" i="3"/>
  <c r="J1077" i="3"/>
  <c r="K1077" i="3"/>
  <c r="P1077" i="3" s="1"/>
  <c r="L1077" i="3"/>
  <c r="M1077" i="3"/>
  <c r="J1092" i="3"/>
  <c r="K1092" i="3"/>
  <c r="P1092" i="3" s="1"/>
  <c r="L1092" i="3"/>
  <c r="M1092" i="3"/>
  <c r="J1209" i="3"/>
  <c r="K1209" i="3"/>
  <c r="P1209" i="3" s="1"/>
  <c r="L1209" i="3"/>
  <c r="M1209" i="3"/>
  <c r="J1399" i="3"/>
  <c r="K1399" i="3"/>
  <c r="P1399" i="3" s="1"/>
  <c r="L1399" i="3"/>
  <c r="M1399" i="3"/>
  <c r="J1402" i="3"/>
  <c r="K1402" i="3"/>
  <c r="P1402" i="3" s="1"/>
  <c r="L1402" i="3"/>
  <c r="M1402" i="3"/>
  <c r="J334" i="3"/>
  <c r="K334" i="3"/>
  <c r="P334" i="3" s="1"/>
  <c r="L334" i="3"/>
  <c r="M334" i="3"/>
  <c r="J9" i="3"/>
  <c r="K9" i="3"/>
  <c r="L9" i="3"/>
  <c r="M9" i="3"/>
  <c r="J173" i="3"/>
  <c r="K173" i="3"/>
  <c r="L173" i="3"/>
  <c r="M173" i="3"/>
  <c r="J15" i="3"/>
  <c r="K15" i="3"/>
  <c r="L15" i="3"/>
  <c r="M15" i="3"/>
  <c r="J1790" i="3"/>
  <c r="K1790" i="3"/>
  <c r="P1790" i="3" s="1"/>
  <c r="L1790" i="3"/>
  <c r="M1790" i="3"/>
  <c r="J155" i="3"/>
  <c r="K155" i="3"/>
  <c r="L155" i="3"/>
  <c r="M155" i="3"/>
  <c r="J1469" i="3"/>
  <c r="K1469" i="3"/>
  <c r="P1469" i="3" s="1"/>
  <c r="L1469" i="3"/>
  <c r="M1469" i="3"/>
  <c r="J1840" i="3"/>
  <c r="K1840" i="3"/>
  <c r="P1840" i="3" s="1"/>
  <c r="L1840" i="3"/>
  <c r="M1840" i="3"/>
  <c r="J1210" i="3"/>
  <c r="K1210" i="3"/>
  <c r="P1210" i="3" s="1"/>
  <c r="L1210" i="3"/>
  <c r="M1210" i="3"/>
  <c r="J1714" i="3"/>
  <c r="K1714" i="3"/>
  <c r="P1714" i="3" s="1"/>
  <c r="L1714" i="3"/>
  <c r="M1714" i="3"/>
  <c r="J1741" i="3"/>
  <c r="K1741" i="3"/>
  <c r="P1741" i="3" s="1"/>
  <c r="L1741" i="3"/>
  <c r="M1741" i="3"/>
  <c r="P993" i="3" l="1"/>
  <c r="P992" i="3"/>
  <c r="P991" i="3"/>
  <c r="P990" i="3"/>
  <c r="P989" i="3"/>
  <c r="P980" i="3"/>
  <c r="P1014" i="3"/>
  <c r="P967" i="3"/>
  <c r="P942" i="3"/>
  <c r="P629" i="3"/>
  <c r="P634" i="3"/>
  <c r="P546" i="3"/>
  <c r="P781" i="3"/>
  <c r="P698" i="3"/>
  <c r="P786" i="3"/>
  <c r="P725" i="3"/>
  <c r="P742" i="3"/>
  <c r="P612" i="3"/>
  <c r="P613" i="3"/>
  <c r="P615" i="3"/>
  <c r="P608" i="3"/>
  <c r="P607" i="3"/>
  <c r="P600" i="3"/>
  <c r="P627" i="3"/>
  <c r="P628" i="3"/>
  <c r="P626" i="3"/>
  <c r="P526" i="3"/>
  <c r="P625" i="3"/>
  <c r="P605" i="3"/>
  <c r="P856" i="3"/>
  <c r="P849" i="3"/>
  <c r="P149" i="3"/>
  <c r="P135" i="3"/>
  <c r="P28" i="3"/>
  <c r="P44" i="3"/>
  <c r="P160" i="3"/>
  <c r="P51" i="3"/>
  <c r="P196" i="3"/>
  <c r="P446" i="3"/>
  <c r="P443" i="3"/>
  <c r="P374" i="3"/>
  <c r="P269" i="3"/>
  <c r="P268" i="3"/>
  <c r="P283" i="3"/>
  <c r="P267" i="3"/>
  <c r="P292" i="3"/>
  <c r="P286" i="3"/>
  <c r="P285" i="3"/>
  <c r="P305" i="3"/>
  <c r="P293" i="3"/>
  <c r="P136" i="3"/>
  <c r="P134" i="3"/>
  <c r="P127" i="3"/>
  <c r="P155" i="3"/>
  <c r="P15" i="3"/>
  <c r="P173" i="3"/>
  <c r="P9" i="3"/>
  <c r="P168" i="3"/>
  <c r="P153" i="3"/>
  <c r="P30" i="3"/>
  <c r="P152" i="3"/>
  <c r="P8" i="3"/>
  <c r="P162" i="3"/>
  <c r="P143" i="3"/>
  <c r="P26" i="3"/>
  <c r="P266" i="3"/>
  <c r="P294" i="3"/>
  <c r="P131" i="3"/>
  <c r="P176" i="3"/>
  <c r="P16" i="3"/>
  <c r="P158" i="3"/>
  <c r="P154" i="3"/>
  <c r="P150" i="3"/>
  <c r="P145" i="3"/>
  <c r="P144" i="3"/>
  <c r="P163" i="3"/>
  <c r="P165" i="3"/>
  <c r="P130" i="3"/>
  <c r="P174" i="3"/>
  <c r="P139" i="3"/>
  <c r="P46" i="3"/>
  <c r="P178" i="3"/>
  <c r="P164" i="3"/>
  <c r="P148" i="3"/>
  <c r="P138" i="3"/>
  <c r="P4" i="3"/>
  <c r="P12" i="3"/>
  <c r="R1501" i="3"/>
  <c r="R569" i="3"/>
  <c r="J1391" i="3" l="1"/>
  <c r="K1391" i="3"/>
  <c r="P1391" i="3" s="1"/>
  <c r="L1391" i="3"/>
  <c r="M1391" i="3"/>
  <c r="J318" i="3"/>
  <c r="K318" i="3"/>
  <c r="L318" i="3"/>
  <c r="M318" i="3"/>
  <c r="R318" i="3"/>
  <c r="J1727" i="3"/>
  <c r="K1727" i="3"/>
  <c r="P1727" i="3" s="1"/>
  <c r="L1727" i="3"/>
  <c r="M1727" i="3"/>
  <c r="J1717" i="3"/>
  <c r="K1717" i="3"/>
  <c r="P1717" i="3" s="1"/>
  <c r="L1717" i="3"/>
  <c r="M1717" i="3"/>
  <c r="J1716" i="3"/>
  <c r="K1716" i="3"/>
  <c r="P1716" i="3" s="1"/>
  <c r="L1716" i="3"/>
  <c r="M1716" i="3"/>
  <c r="J1715" i="3"/>
  <c r="K1715" i="3"/>
  <c r="P1715" i="3" s="1"/>
  <c r="L1715" i="3"/>
  <c r="M1715" i="3"/>
  <c r="J1721" i="3"/>
  <c r="K1721" i="3"/>
  <c r="P1721" i="3" s="1"/>
  <c r="L1721" i="3"/>
  <c r="M1721" i="3"/>
  <c r="J1718" i="3"/>
  <c r="K1718" i="3"/>
  <c r="P1718" i="3" s="1"/>
  <c r="L1718" i="3"/>
  <c r="M1718" i="3"/>
  <c r="J1719" i="3"/>
  <c r="K1719" i="3"/>
  <c r="P1719" i="3" s="1"/>
  <c r="L1719" i="3"/>
  <c r="M1719" i="3"/>
  <c r="J1720" i="3"/>
  <c r="K1720" i="3"/>
  <c r="P1720" i="3" s="1"/>
  <c r="L1720" i="3"/>
  <c r="M1720" i="3"/>
  <c r="J1724" i="3"/>
  <c r="K1724" i="3"/>
  <c r="P1724" i="3" s="1"/>
  <c r="L1724" i="3"/>
  <c r="M1724" i="3"/>
  <c r="J1725" i="3"/>
  <c r="K1725" i="3"/>
  <c r="P1725" i="3" s="1"/>
  <c r="L1725" i="3"/>
  <c r="M1725" i="3"/>
  <c r="R1725" i="3"/>
  <c r="R1090" i="3"/>
  <c r="J1090" i="3"/>
  <c r="K1090" i="3"/>
  <c r="P1090" i="3" s="1"/>
  <c r="L1090" i="3"/>
  <c r="M1090" i="3"/>
  <c r="J1804" i="3"/>
  <c r="K1804" i="3"/>
  <c r="P1804" i="3" s="1"/>
  <c r="L1804" i="3"/>
  <c r="M1804" i="3"/>
  <c r="J1801" i="3"/>
  <c r="K1801" i="3"/>
  <c r="P1801" i="3" s="1"/>
  <c r="L1801" i="3"/>
  <c r="M1801" i="3"/>
  <c r="J1501" i="3"/>
  <c r="K1501" i="3"/>
  <c r="P1501" i="3" s="1"/>
  <c r="L1501" i="3"/>
  <c r="M1501" i="3"/>
  <c r="P318" i="3" l="1"/>
  <c r="J1789" i="3"/>
  <c r="K1789" i="3"/>
  <c r="P1789" i="3" s="1"/>
  <c r="L1789" i="3"/>
  <c r="M1789" i="3"/>
  <c r="J1785" i="3"/>
  <c r="K1785" i="3"/>
  <c r="P1785" i="3" s="1"/>
  <c r="L1785" i="3"/>
  <c r="M1785" i="3"/>
  <c r="J1788" i="3"/>
  <c r="K1788" i="3"/>
  <c r="P1788" i="3" s="1"/>
  <c r="L1788" i="3"/>
  <c r="M1788" i="3"/>
  <c r="M152" i="108"/>
  <c r="M153" i="108"/>
  <c r="M154" i="108"/>
  <c r="M155" i="108"/>
  <c r="M156" i="108"/>
  <c r="M157" i="108"/>
  <c r="M158" i="108"/>
  <c r="M159" i="108"/>
  <c r="M160" i="108"/>
  <c r="M161" i="108"/>
  <c r="M162" i="108"/>
  <c r="M163" i="108"/>
  <c r="M164" i="108"/>
  <c r="M165" i="108"/>
  <c r="M166" i="108"/>
  <c r="M167" i="108"/>
  <c r="M168" i="108"/>
  <c r="M169" i="108"/>
  <c r="M170" i="108"/>
  <c r="M171" i="108"/>
  <c r="M172" i="108"/>
  <c r="M173" i="108"/>
  <c r="M174" i="108"/>
  <c r="M175" i="108"/>
  <c r="M176" i="108"/>
  <c r="M177" i="108"/>
  <c r="M178" i="108"/>
  <c r="M179" i="108"/>
  <c r="M180" i="108"/>
  <c r="M181" i="108"/>
  <c r="M182" i="108"/>
  <c r="M183" i="108"/>
  <c r="M184" i="108"/>
  <c r="M185" i="108"/>
  <c r="M186" i="108"/>
  <c r="M187" i="108"/>
  <c r="M188" i="108"/>
  <c r="M189" i="108"/>
  <c r="M190" i="108"/>
  <c r="M191" i="108"/>
  <c r="M192" i="108"/>
  <c r="M193" i="108"/>
  <c r="M194" i="108"/>
  <c r="M195" i="108"/>
  <c r="M196" i="108"/>
  <c r="M197" i="108"/>
  <c r="M198" i="108"/>
  <c r="M199" i="108"/>
  <c r="M200" i="108"/>
  <c r="M201" i="108"/>
  <c r="M202" i="108"/>
  <c r="M203" i="108"/>
  <c r="M204" i="108"/>
  <c r="M205" i="108"/>
  <c r="M206" i="108"/>
  <c r="M207" i="108"/>
  <c r="M208" i="108"/>
  <c r="M209" i="108"/>
  <c r="M210" i="108"/>
  <c r="M211" i="108"/>
  <c r="M212" i="108"/>
  <c r="M213" i="108"/>
  <c r="M214" i="108"/>
  <c r="M215" i="108"/>
  <c r="M216" i="108"/>
  <c r="M217" i="108"/>
  <c r="M218" i="108"/>
  <c r="M219" i="108"/>
  <c r="M220" i="108"/>
  <c r="M221" i="108"/>
  <c r="M222" i="108"/>
  <c r="M223" i="108"/>
  <c r="M224" i="108"/>
  <c r="M225" i="108"/>
  <c r="M226" i="108"/>
  <c r="M227" i="108"/>
  <c r="M228" i="108"/>
  <c r="M229" i="108"/>
  <c r="M230" i="108"/>
  <c r="M231" i="108"/>
  <c r="M232" i="108"/>
  <c r="M233" i="108"/>
  <c r="M234" i="108"/>
  <c r="M235" i="108"/>
  <c r="M236" i="108"/>
  <c r="M237" i="108"/>
  <c r="M238" i="108"/>
  <c r="M239" i="108"/>
  <c r="M240" i="108"/>
  <c r="M241" i="108"/>
  <c r="M242" i="108"/>
  <c r="M243" i="108"/>
  <c r="M244" i="108"/>
  <c r="M245" i="108"/>
  <c r="M246" i="108"/>
  <c r="M247" i="108"/>
  <c r="M248" i="108"/>
  <c r="M249" i="108"/>
  <c r="M250" i="108"/>
  <c r="M251" i="108"/>
  <c r="M252" i="108"/>
  <c r="M253" i="108"/>
  <c r="M254" i="108"/>
  <c r="M255" i="108"/>
  <c r="M256" i="108"/>
  <c r="M257" i="108"/>
  <c r="M258" i="108"/>
  <c r="M259" i="108"/>
  <c r="M260" i="108"/>
  <c r="M261" i="108"/>
  <c r="M262" i="108"/>
  <c r="M263" i="108"/>
  <c r="M264" i="108"/>
  <c r="M265" i="108"/>
  <c r="M266" i="108"/>
  <c r="M267" i="108"/>
  <c r="M268" i="108"/>
  <c r="M269" i="108"/>
  <c r="M270" i="108"/>
  <c r="M271" i="108"/>
  <c r="M272" i="108"/>
  <c r="M273" i="108"/>
  <c r="M274" i="108"/>
  <c r="M275" i="108"/>
  <c r="M276" i="108"/>
  <c r="M277" i="108"/>
  <c r="M278" i="108"/>
  <c r="M279" i="108"/>
  <c r="M280" i="108"/>
  <c r="M281" i="108"/>
  <c r="M282" i="108"/>
  <c r="M283" i="108"/>
  <c r="M284" i="108"/>
  <c r="M285" i="108"/>
  <c r="M286" i="108"/>
  <c r="M287" i="108"/>
  <c r="M288" i="108"/>
  <c r="M289" i="108"/>
  <c r="M290" i="108"/>
  <c r="M291" i="108"/>
  <c r="M292" i="108"/>
  <c r="M293" i="108"/>
  <c r="M294" i="108"/>
  <c r="M295" i="108"/>
  <c r="M296" i="108"/>
  <c r="M297" i="108"/>
  <c r="M298" i="108"/>
  <c r="M299" i="108"/>
  <c r="M300" i="108"/>
  <c r="M301" i="108"/>
  <c r="M302" i="108"/>
  <c r="M303" i="108"/>
  <c r="M304" i="108"/>
  <c r="M305" i="108"/>
  <c r="M306" i="108"/>
  <c r="M307" i="108"/>
  <c r="M308" i="108"/>
  <c r="M309" i="108"/>
  <c r="M310" i="108"/>
  <c r="M311" i="108"/>
  <c r="M312" i="108"/>
  <c r="M313" i="108"/>
  <c r="M314" i="108"/>
  <c r="M315" i="108"/>
  <c r="M316" i="108"/>
  <c r="M317" i="108"/>
  <c r="M318" i="108"/>
  <c r="M319" i="108"/>
  <c r="M320" i="108"/>
  <c r="M321" i="108"/>
  <c r="M322" i="108"/>
  <c r="M323" i="108"/>
  <c r="M324" i="108"/>
  <c r="M325" i="108"/>
  <c r="M326" i="108"/>
  <c r="M327" i="108"/>
  <c r="M328" i="108"/>
  <c r="M329" i="108"/>
  <c r="M330" i="108"/>
  <c r="M331" i="108"/>
  <c r="M332" i="108"/>
  <c r="M333" i="108"/>
  <c r="M334" i="108"/>
  <c r="M335" i="108"/>
  <c r="M336" i="108"/>
  <c r="M337" i="108"/>
  <c r="M338" i="108"/>
  <c r="M339" i="108"/>
  <c r="M340" i="108"/>
  <c r="M341" i="108"/>
  <c r="M342" i="108"/>
  <c r="M343" i="108"/>
  <c r="M344" i="108"/>
  <c r="M345" i="108"/>
  <c r="M346" i="108"/>
  <c r="M347" i="108"/>
  <c r="M348" i="108"/>
  <c r="M349" i="108"/>
  <c r="M350" i="108"/>
  <c r="M351" i="108"/>
  <c r="M352" i="108"/>
  <c r="M353" i="108"/>
  <c r="M354" i="108"/>
  <c r="M355" i="108"/>
  <c r="M356" i="108"/>
  <c r="M357" i="108"/>
  <c r="M358" i="108"/>
  <c r="M359" i="108"/>
  <c r="M360" i="108"/>
  <c r="M361" i="108"/>
  <c r="M362" i="108"/>
  <c r="M363" i="108"/>
  <c r="M364" i="108"/>
  <c r="M365" i="108"/>
  <c r="M366" i="108"/>
  <c r="M367" i="108"/>
  <c r="M368" i="108"/>
  <c r="M369" i="108"/>
  <c r="M370" i="108"/>
  <c r="M371" i="108"/>
  <c r="M372" i="108"/>
  <c r="M373" i="108"/>
  <c r="M374" i="108"/>
  <c r="M375" i="108"/>
  <c r="M376" i="108"/>
  <c r="M377" i="108"/>
  <c r="M378" i="108"/>
  <c r="M379" i="108"/>
  <c r="M380" i="108"/>
  <c r="M381" i="108"/>
  <c r="M382" i="108"/>
  <c r="M383" i="108"/>
  <c r="M384" i="108"/>
  <c r="M385" i="108"/>
  <c r="M386" i="108"/>
  <c r="M387" i="108"/>
  <c r="M388" i="108"/>
  <c r="M389" i="108"/>
  <c r="M390" i="108"/>
  <c r="M391" i="108"/>
  <c r="M392" i="108"/>
  <c r="M393" i="108"/>
  <c r="M394" i="108"/>
  <c r="M395" i="108"/>
  <c r="M396" i="108"/>
  <c r="M397" i="108"/>
  <c r="M398" i="108"/>
  <c r="M399" i="108"/>
  <c r="M400" i="108"/>
  <c r="M401" i="108"/>
  <c r="M402" i="108"/>
  <c r="M403" i="108"/>
  <c r="M404" i="108"/>
  <c r="M405" i="108"/>
  <c r="M406" i="108"/>
  <c r="M407" i="108"/>
  <c r="M408" i="108"/>
  <c r="M409" i="108"/>
  <c r="M410" i="108"/>
  <c r="M411" i="108"/>
  <c r="M412" i="108"/>
  <c r="M413" i="108"/>
  <c r="M414" i="108"/>
  <c r="M415" i="108"/>
  <c r="M416" i="108"/>
  <c r="M417" i="108"/>
  <c r="M418" i="108"/>
  <c r="M419" i="108"/>
  <c r="M420" i="108"/>
  <c r="M421" i="108"/>
  <c r="M422" i="108"/>
  <c r="M423" i="108"/>
  <c r="M424" i="108"/>
  <c r="M425" i="108"/>
  <c r="M426" i="108"/>
  <c r="M427" i="108"/>
  <c r="M428" i="108"/>
  <c r="M429" i="108"/>
  <c r="M430" i="108"/>
  <c r="M431" i="108"/>
  <c r="M432" i="108"/>
  <c r="M433" i="108"/>
  <c r="M434" i="108"/>
  <c r="M435" i="108"/>
  <c r="M436" i="108"/>
  <c r="M437" i="108"/>
  <c r="M438" i="108"/>
  <c r="M439" i="108"/>
  <c r="M440" i="108"/>
  <c r="M441" i="108"/>
  <c r="M442" i="108"/>
  <c r="M443" i="108"/>
  <c r="M444" i="108"/>
  <c r="M445" i="108"/>
  <c r="M446" i="108"/>
  <c r="M447" i="108"/>
  <c r="M448" i="108"/>
  <c r="M449" i="108"/>
  <c r="M450" i="108"/>
  <c r="M451" i="108"/>
  <c r="M452" i="108"/>
  <c r="M453" i="108"/>
  <c r="M454" i="108"/>
  <c r="M455" i="108"/>
  <c r="M456" i="108"/>
  <c r="M457" i="108"/>
  <c r="M458" i="108"/>
  <c r="M459" i="108"/>
  <c r="M460" i="108"/>
  <c r="M461" i="108"/>
  <c r="M462" i="108"/>
  <c r="M463" i="108"/>
  <c r="M464" i="108"/>
  <c r="M465" i="108"/>
  <c r="M466" i="108"/>
  <c r="M467" i="108"/>
  <c r="M468" i="108"/>
  <c r="M469" i="108"/>
  <c r="M470" i="108"/>
  <c r="M471" i="108"/>
  <c r="M472" i="108"/>
  <c r="M473" i="108"/>
  <c r="M474" i="108"/>
  <c r="M475" i="108"/>
  <c r="M476" i="108"/>
  <c r="M477" i="108"/>
  <c r="M478" i="108"/>
  <c r="M479" i="108"/>
  <c r="M480" i="108"/>
  <c r="M481" i="108"/>
  <c r="M482" i="108"/>
  <c r="M483" i="108"/>
  <c r="M484" i="108"/>
  <c r="M485" i="108"/>
  <c r="M486" i="108"/>
  <c r="M487" i="108"/>
  <c r="M488" i="108"/>
  <c r="M489" i="108"/>
  <c r="M490" i="108"/>
  <c r="M491" i="108"/>
  <c r="M492" i="108"/>
  <c r="M493" i="108"/>
  <c r="M494" i="108"/>
  <c r="M495" i="108"/>
  <c r="M496" i="108"/>
  <c r="M497" i="108"/>
  <c r="M498" i="108"/>
  <c r="M499" i="108"/>
  <c r="M500" i="108"/>
  <c r="M501" i="108"/>
  <c r="M502" i="108"/>
  <c r="M503" i="108"/>
  <c r="M504" i="108"/>
  <c r="M505" i="108"/>
  <c r="M506" i="108"/>
  <c r="M507" i="108"/>
  <c r="M508" i="108"/>
  <c r="M509" i="108"/>
  <c r="M510" i="108"/>
  <c r="M511" i="108"/>
  <c r="M512" i="108"/>
  <c r="M513" i="108"/>
  <c r="M514" i="108"/>
  <c r="M515" i="108"/>
  <c r="M516" i="108"/>
  <c r="M517" i="108"/>
  <c r="M518" i="108"/>
  <c r="M519" i="108"/>
  <c r="M520" i="108"/>
  <c r="M521" i="108"/>
  <c r="M522" i="108"/>
  <c r="M523" i="108"/>
  <c r="M524" i="108"/>
  <c r="M525" i="108"/>
  <c r="M526" i="108"/>
  <c r="M527" i="108"/>
  <c r="M528" i="108"/>
  <c r="M529" i="108"/>
  <c r="M530" i="108"/>
  <c r="M531" i="108"/>
  <c r="M532" i="108"/>
  <c r="M533" i="108"/>
  <c r="M534" i="108"/>
  <c r="M535" i="108"/>
  <c r="M536" i="108"/>
  <c r="M537" i="108"/>
  <c r="M538" i="108"/>
  <c r="M539" i="108"/>
  <c r="M540" i="108"/>
  <c r="M541" i="108"/>
  <c r="M542" i="108"/>
  <c r="M543" i="108"/>
  <c r="M544" i="108"/>
  <c r="M545" i="108"/>
  <c r="M546" i="108"/>
  <c r="M547" i="108"/>
  <c r="M548" i="108"/>
  <c r="M549" i="108"/>
  <c r="M550" i="108"/>
  <c r="M551" i="108"/>
  <c r="M552" i="108"/>
  <c r="M553" i="108"/>
  <c r="M554" i="108"/>
  <c r="M555" i="108"/>
  <c r="M556" i="108"/>
  <c r="M557" i="108"/>
  <c r="M558" i="108"/>
  <c r="M559" i="108"/>
  <c r="M560" i="108"/>
  <c r="M561" i="108"/>
  <c r="M562" i="108"/>
  <c r="M563" i="108"/>
  <c r="M564" i="108"/>
  <c r="M565" i="108"/>
  <c r="M566" i="108"/>
  <c r="M567" i="108"/>
  <c r="M568" i="108"/>
  <c r="M569" i="108"/>
  <c r="M570" i="108"/>
  <c r="M571" i="108"/>
  <c r="M572" i="108"/>
  <c r="M573" i="108"/>
  <c r="M574" i="108"/>
  <c r="M575" i="108"/>
  <c r="M576" i="108"/>
  <c r="M577" i="108"/>
  <c r="M578" i="108"/>
  <c r="M579" i="108"/>
  <c r="M580" i="108"/>
  <c r="M581" i="108"/>
  <c r="M582" i="108"/>
  <c r="M583" i="108"/>
  <c r="M584" i="108"/>
  <c r="M585" i="108"/>
  <c r="M586" i="108"/>
  <c r="M587" i="108"/>
  <c r="M588" i="108"/>
  <c r="M589" i="108"/>
  <c r="M590" i="108"/>
  <c r="M591" i="108"/>
  <c r="M592" i="108"/>
  <c r="M593" i="108"/>
  <c r="M594" i="108"/>
  <c r="M595" i="108"/>
  <c r="M596" i="108"/>
  <c r="M597" i="108"/>
  <c r="M598" i="108"/>
  <c r="M599" i="108"/>
  <c r="M600" i="108"/>
  <c r="M601" i="108"/>
  <c r="M602" i="108"/>
  <c r="M603" i="108"/>
  <c r="M604" i="108"/>
  <c r="M605" i="108"/>
  <c r="M606" i="108"/>
  <c r="M607" i="108"/>
  <c r="M608" i="108"/>
  <c r="M609" i="108"/>
  <c r="M610" i="108"/>
  <c r="M611" i="108"/>
  <c r="M612" i="108"/>
  <c r="M613" i="108"/>
  <c r="M614" i="108"/>
  <c r="M615" i="108"/>
  <c r="M616" i="108"/>
  <c r="M617" i="108"/>
  <c r="M618" i="108"/>
  <c r="M619" i="108"/>
  <c r="M620" i="108"/>
  <c r="M621" i="108"/>
  <c r="M622" i="108"/>
  <c r="M623" i="108"/>
  <c r="M624" i="108"/>
  <c r="M625" i="108"/>
  <c r="M626" i="108"/>
  <c r="M627" i="108"/>
  <c r="M628" i="108"/>
  <c r="M629" i="108"/>
  <c r="M630" i="108"/>
  <c r="M631" i="108"/>
  <c r="M632" i="108"/>
  <c r="M633" i="108"/>
  <c r="M634" i="108"/>
  <c r="M635" i="108"/>
  <c r="M636" i="108"/>
  <c r="M637" i="108"/>
  <c r="M638" i="108"/>
  <c r="M639" i="108"/>
  <c r="M640" i="108"/>
  <c r="M641" i="108"/>
  <c r="M642" i="108"/>
  <c r="M643" i="108"/>
  <c r="M644" i="108"/>
  <c r="M645" i="108"/>
  <c r="M646" i="108"/>
  <c r="M647" i="108"/>
  <c r="M648" i="108"/>
  <c r="M649" i="108"/>
  <c r="M650" i="108"/>
  <c r="M651" i="108"/>
  <c r="M652" i="108"/>
  <c r="M653" i="108"/>
  <c r="M654" i="108"/>
  <c r="M655" i="108"/>
  <c r="M656" i="108"/>
  <c r="M657" i="108"/>
  <c r="M658" i="108"/>
  <c r="M659" i="108"/>
  <c r="M660" i="108"/>
  <c r="M661" i="108"/>
  <c r="M662" i="108"/>
  <c r="M663" i="108"/>
  <c r="M664" i="108"/>
  <c r="M665" i="108"/>
  <c r="M666" i="108"/>
  <c r="M667" i="108"/>
  <c r="M668" i="108"/>
  <c r="M669" i="108"/>
  <c r="M670" i="108"/>
  <c r="M671" i="108"/>
  <c r="M672" i="108"/>
  <c r="M673" i="108"/>
  <c r="M674" i="108"/>
  <c r="M675" i="108"/>
  <c r="M676" i="108"/>
  <c r="M677" i="108"/>
  <c r="M678" i="108"/>
  <c r="M679" i="108"/>
  <c r="M680" i="108"/>
  <c r="M681" i="108"/>
  <c r="M682" i="108"/>
  <c r="M683" i="108"/>
  <c r="M684" i="108"/>
  <c r="M685" i="108"/>
  <c r="M686" i="108"/>
  <c r="M687" i="108"/>
  <c r="M688" i="108"/>
  <c r="M689" i="108"/>
  <c r="M690" i="108"/>
  <c r="M691" i="108"/>
  <c r="M692" i="108"/>
  <c r="M693" i="108"/>
  <c r="M694" i="108"/>
  <c r="M695" i="108"/>
  <c r="M696" i="108"/>
  <c r="M697" i="108"/>
  <c r="M698" i="108"/>
  <c r="M699" i="108"/>
  <c r="M700" i="108"/>
  <c r="M701" i="108"/>
  <c r="M702" i="108"/>
  <c r="M703" i="108"/>
  <c r="M704" i="108"/>
  <c r="M705" i="108"/>
  <c r="M706" i="108"/>
  <c r="M707" i="108"/>
  <c r="M708" i="108"/>
  <c r="M709" i="108"/>
  <c r="M710" i="108"/>
  <c r="M711" i="108"/>
  <c r="M712" i="108"/>
  <c r="M713" i="108"/>
  <c r="M714" i="108"/>
  <c r="M715" i="108"/>
  <c r="M716" i="108"/>
  <c r="M717" i="108"/>
  <c r="M718" i="108"/>
  <c r="M719" i="108"/>
  <c r="M720" i="108"/>
  <c r="M721" i="108"/>
  <c r="M722" i="108"/>
  <c r="M723" i="108"/>
  <c r="M724" i="108"/>
  <c r="M725" i="108"/>
  <c r="M726" i="108"/>
  <c r="M727" i="108"/>
  <c r="M728" i="108"/>
  <c r="M729" i="108"/>
  <c r="M730" i="108"/>
  <c r="M731" i="108"/>
  <c r="M732" i="108"/>
  <c r="M733" i="108"/>
  <c r="M734" i="108"/>
  <c r="M735" i="108"/>
  <c r="M736" i="108"/>
  <c r="M737" i="108"/>
  <c r="M738" i="108"/>
  <c r="M739" i="108"/>
  <c r="M740" i="108"/>
  <c r="M741" i="108"/>
  <c r="M742" i="108"/>
  <c r="M743" i="108"/>
  <c r="M744" i="108"/>
  <c r="M745" i="108"/>
  <c r="M746" i="108"/>
  <c r="M747" i="108"/>
  <c r="M748" i="108"/>
  <c r="M749" i="108"/>
  <c r="M750" i="108"/>
  <c r="M751" i="108"/>
  <c r="M752" i="108"/>
  <c r="M753" i="108"/>
  <c r="M754" i="108"/>
  <c r="M755" i="108"/>
  <c r="J1040" i="3" l="1"/>
  <c r="K1040" i="3"/>
  <c r="P1040" i="3" s="1"/>
  <c r="L1040" i="3"/>
  <c r="M1040" i="3"/>
  <c r="J1069" i="3"/>
  <c r="K1069" i="3"/>
  <c r="P1069" i="3" s="1"/>
  <c r="L1069" i="3"/>
  <c r="M1069" i="3"/>
  <c r="J1891" i="3"/>
  <c r="K1891" i="3"/>
  <c r="P1891" i="3" s="1"/>
  <c r="L1891" i="3"/>
  <c r="M1891" i="3"/>
  <c r="R1891" i="3"/>
  <c r="J1892" i="3"/>
  <c r="K1892" i="3"/>
  <c r="P1892" i="3" s="1"/>
  <c r="L1892" i="3"/>
  <c r="M1892" i="3"/>
  <c r="R1892" i="3"/>
  <c r="J1893" i="3"/>
  <c r="K1893" i="3"/>
  <c r="P1893" i="3" s="1"/>
  <c r="L1893" i="3"/>
  <c r="M1893" i="3"/>
  <c r="R1893" i="3"/>
  <c r="J1894" i="3"/>
  <c r="K1894" i="3"/>
  <c r="P1894" i="3" s="1"/>
  <c r="L1894" i="3"/>
  <c r="M1894" i="3"/>
  <c r="R1894" i="3"/>
  <c r="J1895" i="3"/>
  <c r="K1895" i="3"/>
  <c r="P1895" i="3" s="1"/>
  <c r="L1895" i="3"/>
  <c r="M1895" i="3"/>
  <c r="R1895" i="3"/>
  <c r="J1896" i="3"/>
  <c r="K1896" i="3"/>
  <c r="P1896" i="3" s="1"/>
  <c r="L1896" i="3"/>
  <c r="M1896" i="3"/>
  <c r="R1896" i="3"/>
  <c r="J1897" i="3"/>
  <c r="K1897" i="3"/>
  <c r="P1897" i="3" s="1"/>
  <c r="L1897" i="3"/>
  <c r="M1897" i="3"/>
  <c r="R1897" i="3"/>
  <c r="J1898" i="3"/>
  <c r="K1898" i="3"/>
  <c r="P1898" i="3" s="1"/>
  <c r="L1898" i="3"/>
  <c r="M1898" i="3"/>
  <c r="R1898" i="3"/>
  <c r="J1899" i="3"/>
  <c r="K1899" i="3"/>
  <c r="P1899" i="3" s="1"/>
  <c r="L1899" i="3"/>
  <c r="M1899" i="3"/>
  <c r="R1899" i="3"/>
  <c r="J1900" i="3"/>
  <c r="K1900" i="3"/>
  <c r="P1900" i="3" s="1"/>
  <c r="L1900" i="3"/>
  <c r="M1900" i="3"/>
  <c r="R1900" i="3"/>
  <c r="J1901" i="3"/>
  <c r="K1901" i="3"/>
  <c r="P1901" i="3" s="1"/>
  <c r="L1901" i="3"/>
  <c r="M1901" i="3"/>
  <c r="R1901" i="3"/>
  <c r="J1903" i="3"/>
  <c r="K1903" i="3"/>
  <c r="P1903" i="3" s="1"/>
  <c r="L1903" i="3"/>
  <c r="M1903" i="3"/>
  <c r="R1903" i="3"/>
  <c r="J1904" i="3"/>
  <c r="K1904" i="3"/>
  <c r="P1904" i="3" s="1"/>
  <c r="L1904" i="3"/>
  <c r="M1904" i="3"/>
  <c r="R1904" i="3"/>
  <c r="J1905" i="3"/>
  <c r="K1905" i="3"/>
  <c r="P1905" i="3" s="1"/>
  <c r="L1905" i="3"/>
  <c r="M1905" i="3"/>
  <c r="R1905" i="3"/>
  <c r="J1906" i="3"/>
  <c r="K1906" i="3"/>
  <c r="P1906" i="3" s="1"/>
  <c r="L1906" i="3"/>
  <c r="M1906" i="3"/>
  <c r="R1906" i="3"/>
  <c r="J1907" i="3"/>
  <c r="K1907" i="3"/>
  <c r="P1907" i="3" s="1"/>
  <c r="L1907" i="3"/>
  <c r="M1907" i="3"/>
  <c r="R1907" i="3"/>
  <c r="J1888" i="3"/>
  <c r="K1888" i="3"/>
  <c r="P1888" i="3" s="1"/>
  <c r="L1888" i="3"/>
  <c r="M1888" i="3"/>
  <c r="R1888" i="3"/>
  <c r="J1908" i="3"/>
  <c r="K1908" i="3"/>
  <c r="P1908" i="3" s="1"/>
  <c r="L1908" i="3"/>
  <c r="M1908" i="3"/>
  <c r="R1908" i="3"/>
  <c r="J1902" i="3"/>
  <c r="K1902" i="3"/>
  <c r="P1902" i="3" s="1"/>
  <c r="L1902" i="3"/>
  <c r="M1902" i="3"/>
  <c r="R1902" i="3"/>
  <c r="J1909" i="3"/>
  <c r="K1909" i="3"/>
  <c r="P1909" i="3" s="1"/>
  <c r="L1909" i="3"/>
  <c r="M1909" i="3"/>
  <c r="R1909" i="3"/>
  <c r="J1910" i="3"/>
  <c r="K1910" i="3"/>
  <c r="P1910" i="3" s="1"/>
  <c r="L1910" i="3"/>
  <c r="M1910" i="3"/>
  <c r="R1910" i="3"/>
  <c r="J1911" i="3"/>
  <c r="K1911" i="3"/>
  <c r="P1911" i="3" s="1"/>
  <c r="L1911" i="3"/>
  <c r="M1911" i="3"/>
  <c r="R1911" i="3"/>
  <c r="J1912" i="3"/>
  <c r="K1912" i="3"/>
  <c r="P1912" i="3" s="1"/>
  <c r="L1912" i="3"/>
  <c r="M1912" i="3"/>
  <c r="R1912" i="3"/>
  <c r="J1913" i="3"/>
  <c r="K1913" i="3"/>
  <c r="P1913" i="3" s="1"/>
  <c r="L1913" i="3"/>
  <c r="M1913" i="3"/>
  <c r="R1913" i="3"/>
  <c r="J1914" i="3"/>
  <c r="K1914" i="3"/>
  <c r="P1914" i="3" s="1"/>
  <c r="L1914" i="3"/>
  <c r="M1914" i="3"/>
  <c r="R1914" i="3"/>
  <c r="J1915" i="3"/>
  <c r="K1915" i="3"/>
  <c r="P1915" i="3" s="1"/>
  <c r="L1915" i="3"/>
  <c r="M1915" i="3"/>
  <c r="R1915" i="3"/>
  <c r="J2069" i="3"/>
  <c r="K2069" i="3"/>
  <c r="P2069" i="3" s="1"/>
  <c r="L2069" i="3"/>
  <c r="M2069" i="3"/>
  <c r="B433" i="108" l="1"/>
  <c r="C433" i="108"/>
  <c r="D433" i="108"/>
  <c r="E433" i="108"/>
  <c r="F433" i="108"/>
  <c r="G433" i="108"/>
  <c r="H433" i="108"/>
  <c r="B157" i="108"/>
  <c r="C157" i="108"/>
  <c r="D157" i="108"/>
  <c r="E157" i="108"/>
  <c r="F157" i="108"/>
  <c r="G157" i="108"/>
  <c r="H157" i="108"/>
  <c r="B495" i="108"/>
  <c r="C495" i="108"/>
  <c r="D495" i="108"/>
  <c r="E495" i="108"/>
  <c r="F495" i="108"/>
  <c r="G495" i="108"/>
  <c r="H495" i="108"/>
  <c r="B496" i="108"/>
  <c r="C496" i="108"/>
  <c r="D496" i="108"/>
  <c r="E496" i="108"/>
  <c r="F496" i="108"/>
  <c r="G496" i="108"/>
  <c r="H496" i="108"/>
  <c r="B434" i="108"/>
  <c r="C434" i="108"/>
  <c r="D434" i="108"/>
  <c r="E434" i="108"/>
  <c r="F434" i="108"/>
  <c r="G434" i="108"/>
  <c r="H434" i="108"/>
  <c r="B435" i="108"/>
  <c r="C435" i="108"/>
  <c r="D435" i="108"/>
  <c r="E435" i="108"/>
  <c r="F435" i="108"/>
  <c r="G435" i="108"/>
  <c r="H435" i="108"/>
  <c r="B414" i="108"/>
  <c r="C414" i="108"/>
  <c r="D414" i="108"/>
  <c r="E414" i="108"/>
  <c r="F414" i="108"/>
  <c r="G414" i="108"/>
  <c r="H414" i="108"/>
  <c r="B454" i="108"/>
  <c r="C454" i="108"/>
  <c r="D454" i="108"/>
  <c r="E454" i="108"/>
  <c r="F454" i="108"/>
  <c r="G454" i="108"/>
  <c r="H454" i="108"/>
  <c r="B416" i="108"/>
  <c r="C416" i="108"/>
  <c r="D416" i="108"/>
  <c r="E416" i="108"/>
  <c r="F416" i="108"/>
  <c r="G416" i="108"/>
  <c r="H416" i="108"/>
  <c r="B621" i="108"/>
  <c r="C621" i="108"/>
  <c r="D621" i="108"/>
  <c r="E621" i="108"/>
  <c r="F621" i="108"/>
  <c r="G621" i="108"/>
  <c r="H621" i="108"/>
  <c r="B200" i="108"/>
  <c r="C200" i="108"/>
  <c r="D200" i="108"/>
  <c r="E200" i="108"/>
  <c r="F200" i="108"/>
  <c r="G200" i="108"/>
  <c r="H200" i="108"/>
  <c r="B750" i="108"/>
  <c r="C750" i="108"/>
  <c r="D750" i="108"/>
  <c r="E750" i="108"/>
  <c r="F750" i="108"/>
  <c r="G750" i="108"/>
  <c r="H750" i="108"/>
  <c r="B747" i="108"/>
  <c r="C747" i="108"/>
  <c r="D747" i="108"/>
  <c r="E747" i="108"/>
  <c r="F747" i="108"/>
  <c r="G747" i="108"/>
  <c r="H747" i="108"/>
  <c r="B499" i="108"/>
  <c r="C499" i="108"/>
  <c r="D499" i="108"/>
  <c r="E499" i="108"/>
  <c r="F499" i="108"/>
  <c r="G499" i="108"/>
  <c r="H499" i="108"/>
  <c r="B633" i="108"/>
  <c r="C633" i="108"/>
  <c r="D633" i="108"/>
  <c r="E633" i="108"/>
  <c r="F633" i="108"/>
  <c r="G633" i="108"/>
  <c r="H633" i="108"/>
  <c r="B470" i="108"/>
  <c r="C470" i="108"/>
  <c r="D470" i="108"/>
  <c r="E470" i="108"/>
  <c r="F470" i="108"/>
  <c r="G470" i="108"/>
  <c r="H470" i="108"/>
  <c r="B78" i="108"/>
  <c r="C78" i="108"/>
  <c r="D78" i="108"/>
  <c r="E78" i="108"/>
  <c r="F78" i="108"/>
  <c r="G78" i="108"/>
  <c r="H78" i="108"/>
  <c r="B171" i="108"/>
  <c r="C171" i="108"/>
  <c r="D171" i="108"/>
  <c r="E171" i="108"/>
  <c r="F171" i="108"/>
  <c r="G171" i="108"/>
  <c r="H171" i="108"/>
  <c r="B224" i="108"/>
  <c r="C224" i="108"/>
  <c r="D224" i="108"/>
  <c r="E224" i="108"/>
  <c r="F224" i="108"/>
  <c r="G224" i="108"/>
  <c r="H224" i="108"/>
  <c r="B373" i="108"/>
  <c r="C373" i="108"/>
  <c r="D373" i="108"/>
  <c r="E373" i="108"/>
  <c r="F373" i="108"/>
  <c r="G373" i="108"/>
  <c r="H373" i="108"/>
  <c r="B490" i="108"/>
  <c r="C490" i="108"/>
  <c r="D490" i="108"/>
  <c r="E490" i="108"/>
  <c r="F490" i="108"/>
  <c r="G490" i="108"/>
  <c r="H490" i="108"/>
  <c r="B17" i="108"/>
  <c r="C17" i="108"/>
  <c r="D17" i="108"/>
  <c r="E17" i="108"/>
  <c r="F17" i="108"/>
  <c r="G17" i="108"/>
  <c r="H17" i="108"/>
  <c r="B90" i="108"/>
  <c r="C90" i="108"/>
  <c r="D90" i="108"/>
  <c r="E90" i="108"/>
  <c r="F90" i="108"/>
  <c r="G90" i="108"/>
  <c r="H90" i="108"/>
  <c r="B584" i="108"/>
  <c r="C584" i="108"/>
  <c r="D584" i="108"/>
  <c r="E584" i="108"/>
  <c r="F584" i="108"/>
  <c r="G584" i="108"/>
  <c r="H584" i="108"/>
  <c r="B122" i="108"/>
  <c r="C122" i="108"/>
  <c r="D122" i="108"/>
  <c r="E122" i="108"/>
  <c r="F122" i="108"/>
  <c r="G122" i="108"/>
  <c r="H122" i="108"/>
  <c r="B389" i="108"/>
  <c r="C389" i="108"/>
  <c r="D389" i="108"/>
  <c r="E389" i="108"/>
  <c r="F389" i="108"/>
  <c r="G389" i="108"/>
  <c r="H389" i="108"/>
  <c r="B564" i="108"/>
  <c r="C564" i="108"/>
  <c r="D564" i="108"/>
  <c r="E564" i="108"/>
  <c r="F564" i="108"/>
  <c r="G564" i="108"/>
  <c r="H564" i="108"/>
  <c r="B491" i="108"/>
  <c r="C491" i="108"/>
  <c r="D491" i="108"/>
  <c r="E491" i="108"/>
  <c r="F491" i="108"/>
  <c r="G491" i="108"/>
  <c r="H491" i="108"/>
  <c r="B427" i="108"/>
  <c r="C427" i="108"/>
  <c r="D427" i="108"/>
  <c r="E427" i="108"/>
  <c r="F427" i="108"/>
  <c r="G427" i="108"/>
  <c r="H427" i="108"/>
  <c r="B91" i="108"/>
  <c r="C91" i="108"/>
  <c r="D91" i="108"/>
  <c r="E91" i="108"/>
  <c r="F91" i="108"/>
  <c r="G91" i="108"/>
  <c r="H91" i="108"/>
  <c r="B92" i="108"/>
  <c r="C92" i="108"/>
  <c r="D92" i="108"/>
  <c r="E92" i="108"/>
  <c r="F92" i="108"/>
  <c r="G92" i="108"/>
  <c r="H92" i="108"/>
  <c r="B565" i="108"/>
  <c r="C565" i="108"/>
  <c r="D565" i="108"/>
  <c r="E565" i="108"/>
  <c r="F565" i="108"/>
  <c r="G565" i="108"/>
  <c r="H565" i="108"/>
  <c r="B585" i="108"/>
  <c r="C585" i="108"/>
  <c r="D585" i="108"/>
  <c r="E585" i="108"/>
  <c r="F585" i="108"/>
  <c r="G585" i="108"/>
  <c r="H585" i="108"/>
  <c r="B586" i="108"/>
  <c r="C586" i="108"/>
  <c r="D586" i="108"/>
  <c r="E586" i="108"/>
  <c r="F586" i="108"/>
  <c r="G586" i="108"/>
  <c r="H586" i="108"/>
  <c r="B566" i="108"/>
  <c r="C566" i="108"/>
  <c r="D566" i="108"/>
  <c r="E566" i="108"/>
  <c r="F566" i="108"/>
  <c r="G566" i="108"/>
  <c r="H566" i="108"/>
  <c r="B727" i="108"/>
  <c r="C727" i="108"/>
  <c r="D727" i="108"/>
  <c r="E727" i="108"/>
  <c r="F727" i="108"/>
  <c r="G727" i="108"/>
  <c r="H727" i="108"/>
  <c r="B428" i="108"/>
  <c r="C428" i="108"/>
  <c r="D428" i="108"/>
  <c r="E428" i="108"/>
  <c r="F428" i="108"/>
  <c r="G428" i="108"/>
  <c r="H428" i="108"/>
  <c r="B300" i="108"/>
  <c r="C300" i="108"/>
  <c r="D300" i="108"/>
  <c r="E300" i="108"/>
  <c r="F300" i="108"/>
  <c r="G300" i="108"/>
  <c r="H300" i="108"/>
  <c r="B256" i="108"/>
  <c r="C256" i="108"/>
  <c r="D256" i="108"/>
  <c r="E256" i="108"/>
  <c r="F256" i="108"/>
  <c r="G256" i="108"/>
  <c r="H256" i="108"/>
  <c r="B38" i="108"/>
  <c r="C38" i="108"/>
  <c r="D38" i="108"/>
  <c r="E38" i="108"/>
  <c r="F38" i="108"/>
  <c r="G38" i="108"/>
  <c r="H38" i="108"/>
  <c r="B194" i="108"/>
  <c r="C194" i="108"/>
  <c r="D194" i="108"/>
  <c r="E194" i="108"/>
  <c r="F194" i="108"/>
  <c r="G194" i="108"/>
  <c r="H194" i="108"/>
  <c r="B39" i="108"/>
  <c r="C39" i="108"/>
  <c r="D39" i="108"/>
  <c r="E39" i="108"/>
  <c r="F39" i="108"/>
  <c r="G39" i="108"/>
  <c r="H39" i="108"/>
  <c r="B93" i="108"/>
  <c r="C93" i="108"/>
  <c r="D93" i="108"/>
  <c r="E93" i="108"/>
  <c r="F93" i="108"/>
  <c r="G93" i="108"/>
  <c r="H93" i="108"/>
  <c r="B604" i="108"/>
  <c r="C604" i="108"/>
  <c r="D604" i="108"/>
  <c r="E604" i="108"/>
  <c r="F604" i="108"/>
  <c r="G604" i="108"/>
  <c r="H604" i="108"/>
  <c r="B449" i="108"/>
  <c r="C449" i="108"/>
  <c r="D449" i="108"/>
  <c r="E449" i="108"/>
  <c r="F449" i="108"/>
  <c r="G449" i="108"/>
  <c r="H449" i="108"/>
  <c r="B691" i="108"/>
  <c r="C691" i="108"/>
  <c r="D691" i="108"/>
  <c r="E691" i="108"/>
  <c r="F691" i="108"/>
  <c r="G691" i="108"/>
  <c r="H691" i="108"/>
  <c r="B473" i="108"/>
  <c r="C473" i="108"/>
  <c r="D473" i="108"/>
  <c r="E473" i="108"/>
  <c r="F473" i="108"/>
  <c r="G473" i="108"/>
  <c r="H473" i="108"/>
  <c r="B728" i="108"/>
  <c r="C728" i="108"/>
  <c r="D728" i="108"/>
  <c r="E728" i="108"/>
  <c r="F728" i="108"/>
  <c r="G728" i="108"/>
  <c r="H728" i="108"/>
  <c r="B537" i="108"/>
  <c r="C537" i="108"/>
  <c r="D537" i="108"/>
  <c r="E537" i="108"/>
  <c r="F537" i="108"/>
  <c r="G537" i="108"/>
  <c r="H537" i="108"/>
  <c r="B746" i="108"/>
  <c r="C746" i="108"/>
  <c r="D746" i="108"/>
  <c r="E746" i="108"/>
  <c r="F746" i="108"/>
  <c r="G746" i="108"/>
  <c r="H746" i="108"/>
  <c r="B721" i="108"/>
  <c r="C721" i="108"/>
  <c r="D721" i="108"/>
  <c r="E721" i="108"/>
  <c r="F721" i="108"/>
  <c r="G721" i="108"/>
  <c r="H721" i="108"/>
  <c r="B408" i="108"/>
  <c r="C408" i="108"/>
  <c r="D408" i="108"/>
  <c r="E408" i="108"/>
  <c r="F408" i="108"/>
  <c r="G408" i="108"/>
  <c r="H408" i="108"/>
  <c r="B149" i="108"/>
  <c r="C149" i="108"/>
  <c r="D149" i="108"/>
  <c r="E149" i="108"/>
  <c r="F149" i="108"/>
  <c r="G149" i="108"/>
  <c r="H149" i="108"/>
  <c r="B150" i="108"/>
  <c r="C150" i="108"/>
  <c r="D150" i="108"/>
  <c r="E150" i="108"/>
  <c r="F150" i="108"/>
  <c r="G150" i="108"/>
  <c r="H150" i="108"/>
  <c r="B151" i="108"/>
  <c r="C151" i="108"/>
  <c r="D151" i="108"/>
  <c r="E151" i="108"/>
  <c r="F151" i="108"/>
  <c r="G151" i="108"/>
  <c r="H151" i="108"/>
  <c r="B152" i="108"/>
  <c r="C152" i="108"/>
  <c r="D152" i="108"/>
  <c r="E152" i="108"/>
  <c r="F152" i="108"/>
  <c r="G152" i="108"/>
  <c r="H152" i="108"/>
  <c r="B153" i="108"/>
  <c r="C153" i="108"/>
  <c r="D153" i="108"/>
  <c r="E153" i="108"/>
  <c r="F153" i="108"/>
  <c r="G153" i="108"/>
  <c r="H153" i="108"/>
  <c r="B619" i="108"/>
  <c r="C619" i="108"/>
  <c r="D619" i="108"/>
  <c r="E619" i="108"/>
  <c r="F619" i="108"/>
  <c r="G619" i="108"/>
  <c r="H619" i="108"/>
  <c r="B590" i="108"/>
  <c r="C590" i="108"/>
  <c r="D590" i="108"/>
  <c r="E590" i="108"/>
  <c r="F590" i="108"/>
  <c r="G590" i="108"/>
  <c r="H590" i="108"/>
  <c r="I590" i="108"/>
  <c r="B260" i="108"/>
  <c r="C260" i="108"/>
  <c r="D260" i="108"/>
  <c r="E260" i="108"/>
  <c r="F260" i="108"/>
  <c r="G260" i="108"/>
  <c r="H260" i="108"/>
  <c r="B589" i="108"/>
  <c r="C589" i="108"/>
  <c r="D589" i="108"/>
  <c r="E589" i="108"/>
  <c r="F589" i="108"/>
  <c r="G589" i="108"/>
  <c r="H589" i="108"/>
  <c r="B591" i="108"/>
  <c r="C591" i="108"/>
  <c r="D591" i="108"/>
  <c r="E591" i="108"/>
  <c r="F591" i="108"/>
  <c r="G591" i="108"/>
  <c r="H591" i="108"/>
  <c r="B426" i="108"/>
  <c r="C426" i="108"/>
  <c r="D426" i="108"/>
  <c r="E426" i="108"/>
  <c r="F426" i="108"/>
  <c r="G426" i="108"/>
  <c r="H426" i="108"/>
  <c r="B487" i="108"/>
  <c r="C487" i="108"/>
  <c r="D487" i="108"/>
  <c r="E487" i="108"/>
  <c r="F487" i="108"/>
  <c r="G487" i="108"/>
  <c r="H487" i="108"/>
  <c r="B617" i="108"/>
  <c r="C617" i="108"/>
  <c r="D617" i="108"/>
  <c r="E617" i="108"/>
  <c r="F617" i="108"/>
  <c r="G617" i="108"/>
  <c r="H617" i="108"/>
  <c r="B333" i="108"/>
  <c r="C333" i="108"/>
  <c r="D333" i="108"/>
  <c r="E333" i="108"/>
  <c r="F333" i="108"/>
  <c r="G333" i="108"/>
  <c r="H333" i="108"/>
  <c r="B754" i="108"/>
  <c r="C754" i="108"/>
  <c r="D754" i="108"/>
  <c r="E754" i="108"/>
  <c r="F754" i="108"/>
  <c r="G754" i="108"/>
  <c r="H754" i="108"/>
  <c r="B536" i="108"/>
  <c r="C536" i="108"/>
  <c r="D536" i="108"/>
  <c r="E536" i="108"/>
  <c r="F536" i="108"/>
  <c r="G536" i="108"/>
  <c r="H536" i="108"/>
  <c r="B718" i="108"/>
  <c r="C718" i="108"/>
  <c r="D718" i="108"/>
  <c r="E718" i="108"/>
  <c r="F718" i="108"/>
  <c r="G718" i="108"/>
  <c r="H718" i="108"/>
  <c r="B64" i="108"/>
  <c r="C64" i="108"/>
  <c r="D64" i="108"/>
  <c r="E64" i="108"/>
  <c r="F64" i="108"/>
  <c r="G64" i="108"/>
  <c r="H64" i="108"/>
  <c r="B47" i="108"/>
  <c r="C47" i="108"/>
  <c r="D47" i="108"/>
  <c r="E47" i="108"/>
  <c r="F47" i="108"/>
  <c r="G47" i="108"/>
  <c r="H47" i="108"/>
  <c r="B107" i="108"/>
  <c r="C107" i="108"/>
  <c r="D107" i="108"/>
  <c r="E107" i="108"/>
  <c r="F107" i="108"/>
  <c r="G107" i="108"/>
  <c r="H107" i="108"/>
  <c r="B201" i="108"/>
  <c r="C201" i="108"/>
  <c r="D201" i="108"/>
  <c r="E201" i="108"/>
  <c r="F201" i="108"/>
  <c r="G201" i="108"/>
  <c r="H201" i="108"/>
  <c r="B2" i="108"/>
  <c r="C2" i="108"/>
  <c r="D2" i="108"/>
  <c r="E2" i="108"/>
  <c r="F2" i="108"/>
  <c r="G2" i="108"/>
  <c r="H2" i="108"/>
  <c r="B26" i="108"/>
  <c r="C26" i="108"/>
  <c r="D26" i="108"/>
  <c r="E26" i="108"/>
  <c r="F26" i="108"/>
  <c r="G26" i="108"/>
  <c r="H26" i="108"/>
  <c r="B84" i="108"/>
  <c r="C84" i="108"/>
  <c r="D84" i="108"/>
  <c r="E84" i="108"/>
  <c r="F84" i="108"/>
  <c r="G84" i="108"/>
  <c r="H84" i="108"/>
  <c r="B265" i="108"/>
  <c r="C265" i="108"/>
  <c r="D265" i="108"/>
  <c r="E265" i="108"/>
  <c r="F265" i="108"/>
  <c r="G265" i="108"/>
  <c r="H265" i="108"/>
  <c r="B130" i="108"/>
  <c r="C130" i="108"/>
  <c r="D130" i="108"/>
  <c r="E130" i="108"/>
  <c r="F130" i="108"/>
  <c r="G130" i="108"/>
  <c r="H130" i="108"/>
  <c r="B158" i="108"/>
  <c r="C158" i="108"/>
  <c r="D158" i="108"/>
  <c r="E158" i="108"/>
  <c r="F158" i="108"/>
  <c r="G158" i="108"/>
  <c r="H158" i="108"/>
  <c r="B183" i="108"/>
  <c r="C183" i="108"/>
  <c r="D183" i="108"/>
  <c r="E183" i="108"/>
  <c r="F183" i="108"/>
  <c r="G183" i="108"/>
  <c r="H183" i="108"/>
  <c r="B245" i="108"/>
  <c r="C245" i="108"/>
  <c r="D245" i="108"/>
  <c r="E245" i="108"/>
  <c r="F245" i="108"/>
  <c r="G245" i="108"/>
  <c r="H245" i="108"/>
  <c r="B309" i="108"/>
  <c r="C309" i="108"/>
  <c r="D309" i="108"/>
  <c r="E309" i="108"/>
  <c r="F309" i="108"/>
  <c r="G309" i="108"/>
  <c r="H309" i="108"/>
  <c r="B378" i="108"/>
  <c r="C378" i="108"/>
  <c r="D378" i="108"/>
  <c r="E378" i="108"/>
  <c r="F378" i="108"/>
  <c r="G378" i="108"/>
  <c r="H378" i="108"/>
  <c r="B231" i="108"/>
  <c r="C231" i="108"/>
  <c r="D231" i="108"/>
  <c r="E231" i="108"/>
  <c r="F231" i="108"/>
  <c r="G231" i="108"/>
  <c r="H231" i="108"/>
  <c r="B698" i="108"/>
  <c r="C698" i="108"/>
  <c r="D698" i="108"/>
  <c r="E698" i="108"/>
  <c r="F698" i="108"/>
  <c r="G698" i="108"/>
  <c r="H698" i="108"/>
  <c r="B285" i="108"/>
  <c r="C285" i="108"/>
  <c r="D285" i="108"/>
  <c r="E285" i="108"/>
  <c r="F285" i="108"/>
  <c r="G285" i="108"/>
  <c r="H285" i="108"/>
  <c r="B342" i="108"/>
  <c r="C342" i="108"/>
  <c r="D342" i="108"/>
  <c r="E342" i="108"/>
  <c r="F342" i="108"/>
  <c r="G342" i="108"/>
  <c r="H342" i="108"/>
  <c r="B515" i="108"/>
  <c r="C515" i="108"/>
  <c r="D515" i="108"/>
  <c r="E515" i="108"/>
  <c r="F515" i="108"/>
  <c r="G515" i="108"/>
  <c r="H515" i="108"/>
  <c r="B360" i="108"/>
  <c r="C360" i="108"/>
  <c r="D360" i="108"/>
  <c r="E360" i="108"/>
  <c r="F360" i="108"/>
  <c r="G360" i="108"/>
  <c r="H360" i="108"/>
  <c r="B418" i="108"/>
  <c r="C418" i="108"/>
  <c r="D418" i="108"/>
  <c r="E418" i="108"/>
  <c r="F418" i="108"/>
  <c r="G418" i="108"/>
  <c r="H418" i="108"/>
  <c r="B397" i="108"/>
  <c r="C397" i="108"/>
  <c r="D397" i="108"/>
  <c r="E397" i="108"/>
  <c r="F397" i="108"/>
  <c r="G397" i="108"/>
  <c r="H397" i="108"/>
  <c r="B436" i="108"/>
  <c r="C436" i="108"/>
  <c r="D436" i="108"/>
  <c r="E436" i="108"/>
  <c r="F436" i="108"/>
  <c r="G436" i="108"/>
  <c r="H436" i="108"/>
  <c r="B478" i="108"/>
  <c r="C478" i="108"/>
  <c r="D478" i="108"/>
  <c r="E478" i="108"/>
  <c r="F478" i="108"/>
  <c r="G478" i="108"/>
  <c r="H478" i="108"/>
  <c r="B497" i="108"/>
  <c r="C497" i="108"/>
  <c r="D497" i="108"/>
  <c r="E497" i="108"/>
  <c r="F497" i="108"/>
  <c r="G497" i="108"/>
  <c r="H497" i="108"/>
  <c r="B548" i="108"/>
  <c r="C548" i="108"/>
  <c r="D548" i="108"/>
  <c r="E548" i="108"/>
  <c r="F548" i="108"/>
  <c r="G548" i="108"/>
  <c r="H548" i="108"/>
  <c r="B574" i="108"/>
  <c r="C574" i="108"/>
  <c r="D574" i="108"/>
  <c r="E574" i="108"/>
  <c r="F574" i="108"/>
  <c r="G574" i="108"/>
  <c r="H574" i="108"/>
  <c r="B455" i="108"/>
  <c r="C455" i="108"/>
  <c r="D455" i="108"/>
  <c r="E455" i="108"/>
  <c r="F455" i="108"/>
  <c r="G455" i="108"/>
  <c r="H455" i="108"/>
  <c r="B594" i="108"/>
  <c r="C594" i="108"/>
  <c r="D594" i="108"/>
  <c r="E594" i="108"/>
  <c r="F594" i="108"/>
  <c r="G594" i="108"/>
  <c r="H594" i="108"/>
  <c r="B608" i="108"/>
  <c r="C608" i="108"/>
  <c r="D608" i="108"/>
  <c r="E608" i="108"/>
  <c r="F608" i="108"/>
  <c r="G608" i="108"/>
  <c r="H608" i="108"/>
  <c r="B648" i="108"/>
  <c r="C648" i="108"/>
  <c r="D648" i="108"/>
  <c r="E648" i="108"/>
  <c r="F648" i="108"/>
  <c r="G648" i="108"/>
  <c r="H648" i="108"/>
  <c r="B715" i="108"/>
  <c r="C715" i="108"/>
  <c r="D715" i="108"/>
  <c r="E715" i="108"/>
  <c r="F715" i="108"/>
  <c r="G715" i="108"/>
  <c r="H715" i="108"/>
  <c r="B623" i="108"/>
  <c r="C623" i="108"/>
  <c r="D623" i="108"/>
  <c r="E623" i="108"/>
  <c r="F623" i="108"/>
  <c r="G623" i="108"/>
  <c r="H623" i="108"/>
  <c r="B530" i="108"/>
  <c r="C530" i="108"/>
  <c r="D530" i="108"/>
  <c r="E530" i="108"/>
  <c r="F530" i="108"/>
  <c r="G530" i="108"/>
  <c r="H530" i="108"/>
  <c r="B241" i="108"/>
  <c r="C241" i="108"/>
  <c r="D241" i="108"/>
  <c r="E241" i="108"/>
  <c r="F241" i="108"/>
  <c r="G241" i="108"/>
  <c r="H241" i="108"/>
  <c r="B3" i="108"/>
  <c r="C3" i="108"/>
  <c r="D3" i="108"/>
  <c r="E3" i="108"/>
  <c r="F3" i="108"/>
  <c r="G3" i="108"/>
  <c r="H3" i="108"/>
  <c r="B531" i="108"/>
  <c r="C531" i="108"/>
  <c r="D531" i="108"/>
  <c r="E531" i="108"/>
  <c r="F531" i="108"/>
  <c r="G531" i="108"/>
  <c r="H531" i="108"/>
  <c r="B48" i="108"/>
  <c r="C48" i="108"/>
  <c r="D48" i="108"/>
  <c r="E48" i="108"/>
  <c r="F48" i="108"/>
  <c r="G48" i="108"/>
  <c r="H48" i="108"/>
  <c r="B108" i="108"/>
  <c r="C108" i="108"/>
  <c r="D108" i="108"/>
  <c r="E108" i="108"/>
  <c r="F108" i="108"/>
  <c r="G108" i="108"/>
  <c r="H108" i="108"/>
  <c r="B202" i="108"/>
  <c r="C202" i="108"/>
  <c r="D202" i="108"/>
  <c r="E202" i="108"/>
  <c r="F202" i="108"/>
  <c r="G202" i="108"/>
  <c r="H202" i="108"/>
  <c r="B27" i="108"/>
  <c r="C27" i="108"/>
  <c r="D27" i="108"/>
  <c r="E27" i="108"/>
  <c r="F27" i="108"/>
  <c r="G27" i="108"/>
  <c r="H27" i="108"/>
  <c r="B85" i="108"/>
  <c r="C85" i="108"/>
  <c r="D85" i="108"/>
  <c r="E85" i="108"/>
  <c r="F85" i="108"/>
  <c r="G85" i="108"/>
  <c r="H85" i="108"/>
  <c r="B65" i="108"/>
  <c r="C65" i="108"/>
  <c r="D65" i="108"/>
  <c r="E65" i="108"/>
  <c r="F65" i="108"/>
  <c r="G65" i="108"/>
  <c r="H65" i="108"/>
  <c r="B266" i="108"/>
  <c r="C266" i="108"/>
  <c r="D266" i="108"/>
  <c r="E266" i="108"/>
  <c r="F266" i="108"/>
  <c r="G266" i="108"/>
  <c r="H266" i="108"/>
  <c r="B325" i="108"/>
  <c r="C325" i="108"/>
  <c r="D325" i="108"/>
  <c r="E325" i="108"/>
  <c r="F325" i="108"/>
  <c r="G325" i="108"/>
  <c r="H325" i="108"/>
  <c r="B159" i="108"/>
  <c r="C159" i="108"/>
  <c r="D159" i="108"/>
  <c r="E159" i="108"/>
  <c r="F159" i="108"/>
  <c r="G159" i="108"/>
  <c r="H159" i="108"/>
  <c r="B246" i="108"/>
  <c r="C246" i="108"/>
  <c r="D246" i="108"/>
  <c r="E246" i="108"/>
  <c r="F246" i="108"/>
  <c r="G246" i="108"/>
  <c r="H246" i="108"/>
  <c r="B310" i="108"/>
  <c r="C310" i="108"/>
  <c r="D310" i="108"/>
  <c r="E310" i="108"/>
  <c r="F310" i="108"/>
  <c r="G310" i="108"/>
  <c r="H310" i="108"/>
  <c r="B379" i="108"/>
  <c r="C379" i="108"/>
  <c r="D379" i="108"/>
  <c r="E379" i="108"/>
  <c r="F379" i="108"/>
  <c r="G379" i="108"/>
  <c r="H379" i="108"/>
  <c r="B232" i="108"/>
  <c r="C232" i="108"/>
  <c r="D232" i="108"/>
  <c r="E232" i="108"/>
  <c r="F232" i="108"/>
  <c r="G232" i="108"/>
  <c r="H232" i="108"/>
  <c r="B286" i="108"/>
  <c r="C286" i="108"/>
  <c r="D286" i="108"/>
  <c r="E286" i="108"/>
  <c r="F286" i="108"/>
  <c r="G286" i="108"/>
  <c r="H286" i="108"/>
  <c r="B516" i="108"/>
  <c r="C516" i="108"/>
  <c r="D516" i="108"/>
  <c r="E516" i="108"/>
  <c r="F516" i="108"/>
  <c r="G516" i="108"/>
  <c r="H516" i="108"/>
  <c r="B398" i="108"/>
  <c r="C398" i="108"/>
  <c r="D398" i="108"/>
  <c r="E398" i="108"/>
  <c r="F398" i="108"/>
  <c r="G398" i="108"/>
  <c r="H398" i="108"/>
  <c r="B437" i="108"/>
  <c r="C437" i="108"/>
  <c r="D437" i="108"/>
  <c r="E437" i="108"/>
  <c r="F437" i="108"/>
  <c r="G437" i="108"/>
  <c r="H437" i="108"/>
  <c r="B498" i="108"/>
  <c r="C498" i="108"/>
  <c r="D498" i="108"/>
  <c r="E498" i="108"/>
  <c r="F498" i="108"/>
  <c r="G498" i="108"/>
  <c r="H498" i="108"/>
  <c r="B343" i="108"/>
  <c r="C343" i="108"/>
  <c r="D343" i="108"/>
  <c r="E343" i="108"/>
  <c r="F343" i="108"/>
  <c r="G343" i="108"/>
  <c r="H343" i="108"/>
  <c r="B419" i="108"/>
  <c r="C419" i="108"/>
  <c r="D419" i="108"/>
  <c r="E419" i="108"/>
  <c r="F419" i="108"/>
  <c r="G419" i="108"/>
  <c r="H419" i="108"/>
  <c r="B361" i="108"/>
  <c r="C361" i="108"/>
  <c r="D361" i="108"/>
  <c r="E361" i="108"/>
  <c r="F361" i="108"/>
  <c r="G361" i="108"/>
  <c r="H361" i="108"/>
  <c r="B624" i="108"/>
  <c r="C624" i="108"/>
  <c r="D624" i="108"/>
  <c r="E624" i="108"/>
  <c r="F624" i="108"/>
  <c r="G624" i="108"/>
  <c r="H624" i="108"/>
  <c r="B456" i="108"/>
  <c r="C456" i="108"/>
  <c r="D456" i="108"/>
  <c r="E456" i="108"/>
  <c r="F456" i="108"/>
  <c r="G456" i="108"/>
  <c r="H456" i="108"/>
  <c r="B549" i="108"/>
  <c r="C549" i="108"/>
  <c r="D549" i="108"/>
  <c r="E549" i="108"/>
  <c r="F549" i="108"/>
  <c r="G549" i="108"/>
  <c r="H549" i="108"/>
  <c r="B649" i="108"/>
  <c r="C649" i="108"/>
  <c r="D649" i="108"/>
  <c r="E649" i="108"/>
  <c r="F649" i="108"/>
  <c r="G649" i="108"/>
  <c r="H649" i="108"/>
  <c r="B242" i="108"/>
  <c r="C242" i="108"/>
  <c r="D242" i="108"/>
  <c r="E242" i="108"/>
  <c r="F242" i="108"/>
  <c r="G242" i="108"/>
  <c r="H242" i="108"/>
  <c r="B438" i="108"/>
  <c r="C438" i="108"/>
  <c r="D438" i="108"/>
  <c r="E438" i="108"/>
  <c r="F438" i="108"/>
  <c r="G438" i="108"/>
  <c r="H438" i="108"/>
  <c r="B160" i="108"/>
  <c r="C160" i="108"/>
  <c r="D160" i="108"/>
  <c r="E160" i="108"/>
  <c r="F160" i="108"/>
  <c r="G160" i="108"/>
  <c r="H160" i="108"/>
  <c r="B49" i="108"/>
  <c r="C49" i="108"/>
  <c r="D49" i="108"/>
  <c r="E49" i="108"/>
  <c r="F49" i="108"/>
  <c r="G49" i="108"/>
  <c r="H49" i="108"/>
  <c r="B109" i="108"/>
  <c r="C109" i="108"/>
  <c r="D109" i="108"/>
  <c r="E109" i="108"/>
  <c r="F109" i="108"/>
  <c r="G109" i="108"/>
  <c r="H109" i="108"/>
  <c r="B4" i="108"/>
  <c r="C4" i="108"/>
  <c r="D4" i="108"/>
  <c r="E4" i="108"/>
  <c r="F4" i="108"/>
  <c r="G4" i="108"/>
  <c r="H4" i="108"/>
  <c r="B203" i="108"/>
  <c r="C203" i="108"/>
  <c r="D203" i="108"/>
  <c r="E203" i="108"/>
  <c r="F203" i="108"/>
  <c r="G203" i="108"/>
  <c r="H203" i="108"/>
  <c r="B28" i="108"/>
  <c r="C28" i="108"/>
  <c r="D28" i="108"/>
  <c r="E28" i="108"/>
  <c r="F28" i="108"/>
  <c r="G28" i="108"/>
  <c r="H28" i="108"/>
  <c r="B86" i="108"/>
  <c r="C86" i="108"/>
  <c r="D86" i="108"/>
  <c r="E86" i="108"/>
  <c r="F86" i="108"/>
  <c r="G86" i="108"/>
  <c r="H86" i="108"/>
  <c r="B184" i="108"/>
  <c r="C184" i="108"/>
  <c r="D184" i="108"/>
  <c r="E184" i="108"/>
  <c r="F184" i="108"/>
  <c r="G184" i="108"/>
  <c r="H184" i="108"/>
  <c r="B247" i="108"/>
  <c r="C247" i="108"/>
  <c r="D247" i="108"/>
  <c r="E247" i="108"/>
  <c r="F247" i="108"/>
  <c r="G247" i="108"/>
  <c r="H247" i="108"/>
  <c r="B311" i="108"/>
  <c r="C311" i="108"/>
  <c r="D311" i="108"/>
  <c r="E311" i="108"/>
  <c r="F311" i="108"/>
  <c r="G311" i="108"/>
  <c r="H311" i="108"/>
  <c r="B380" i="108"/>
  <c r="C380" i="108"/>
  <c r="D380" i="108"/>
  <c r="E380" i="108"/>
  <c r="F380" i="108"/>
  <c r="G380" i="108"/>
  <c r="H380" i="108"/>
  <c r="B344" i="108"/>
  <c r="C344" i="108"/>
  <c r="D344" i="108"/>
  <c r="E344" i="108"/>
  <c r="F344" i="108"/>
  <c r="G344" i="108"/>
  <c r="H344" i="108"/>
  <c r="B517" i="108"/>
  <c r="C517" i="108"/>
  <c r="D517" i="108"/>
  <c r="E517" i="108"/>
  <c r="F517" i="108"/>
  <c r="G517" i="108"/>
  <c r="H517" i="108"/>
  <c r="B362" i="108"/>
  <c r="C362" i="108"/>
  <c r="D362" i="108"/>
  <c r="E362" i="108"/>
  <c r="F362" i="108"/>
  <c r="G362" i="108"/>
  <c r="H362" i="108"/>
  <c r="B420" i="108"/>
  <c r="C420" i="108"/>
  <c r="D420" i="108"/>
  <c r="E420" i="108"/>
  <c r="F420" i="108"/>
  <c r="G420" i="108"/>
  <c r="H420" i="108"/>
  <c r="B399" i="108"/>
  <c r="C399" i="108"/>
  <c r="D399" i="108"/>
  <c r="E399" i="108"/>
  <c r="F399" i="108"/>
  <c r="G399" i="108"/>
  <c r="H399" i="108"/>
  <c r="B550" i="108"/>
  <c r="C550" i="108"/>
  <c r="D550" i="108"/>
  <c r="E550" i="108"/>
  <c r="F550" i="108"/>
  <c r="G550" i="108"/>
  <c r="H550" i="108"/>
  <c r="B457" i="108"/>
  <c r="C457" i="108"/>
  <c r="D457" i="108"/>
  <c r="E457" i="108"/>
  <c r="F457" i="108"/>
  <c r="G457" i="108"/>
  <c r="H457" i="108"/>
  <c r="B650" i="108"/>
  <c r="C650" i="108"/>
  <c r="D650" i="108"/>
  <c r="E650" i="108"/>
  <c r="F650" i="108"/>
  <c r="G650" i="108"/>
  <c r="H650" i="108"/>
  <c r="B625" i="108"/>
  <c r="C625" i="108"/>
  <c r="D625" i="108"/>
  <c r="E625" i="108"/>
  <c r="F625" i="108"/>
  <c r="G625" i="108"/>
  <c r="H625" i="108"/>
  <c r="B287" i="108"/>
  <c r="C287" i="108"/>
  <c r="D287" i="108"/>
  <c r="E287" i="108"/>
  <c r="F287" i="108"/>
  <c r="G287" i="108"/>
  <c r="H287" i="108"/>
  <c r="B233" i="108"/>
  <c r="C233" i="108"/>
  <c r="D233" i="108"/>
  <c r="E233" i="108"/>
  <c r="F233" i="108"/>
  <c r="G233" i="108"/>
  <c r="H233" i="108"/>
  <c r="B267" i="108"/>
  <c r="C267" i="108"/>
  <c r="D267" i="108"/>
  <c r="E267" i="108"/>
  <c r="F267" i="108"/>
  <c r="G267" i="108"/>
  <c r="H267" i="108"/>
  <c r="B66" i="108"/>
  <c r="C66" i="108"/>
  <c r="D66" i="108"/>
  <c r="E66" i="108"/>
  <c r="F66" i="108"/>
  <c r="G66" i="108"/>
  <c r="H66" i="108"/>
  <c r="B50" i="108"/>
  <c r="C50" i="108"/>
  <c r="D50" i="108"/>
  <c r="E50" i="108"/>
  <c r="F50" i="108"/>
  <c r="G50" i="108"/>
  <c r="H50" i="108"/>
  <c r="B110" i="108"/>
  <c r="C110" i="108"/>
  <c r="D110" i="108"/>
  <c r="E110" i="108"/>
  <c r="F110" i="108"/>
  <c r="G110" i="108"/>
  <c r="H110" i="108"/>
  <c r="B5" i="108"/>
  <c r="C5" i="108"/>
  <c r="D5" i="108"/>
  <c r="E5" i="108"/>
  <c r="F5" i="108"/>
  <c r="G5" i="108"/>
  <c r="H5" i="108"/>
  <c r="B204" i="108"/>
  <c r="C204" i="108"/>
  <c r="D204" i="108"/>
  <c r="E204" i="108"/>
  <c r="F204" i="108"/>
  <c r="G204" i="108"/>
  <c r="H204" i="108"/>
  <c r="B87" i="108"/>
  <c r="C87" i="108"/>
  <c r="D87" i="108"/>
  <c r="E87" i="108"/>
  <c r="F87" i="108"/>
  <c r="G87" i="108"/>
  <c r="H87" i="108"/>
  <c r="B67" i="108"/>
  <c r="C67" i="108"/>
  <c r="D67" i="108"/>
  <c r="E67" i="108"/>
  <c r="F67" i="108"/>
  <c r="G67" i="108"/>
  <c r="H67" i="108"/>
  <c r="B312" i="108"/>
  <c r="C312" i="108"/>
  <c r="D312" i="108"/>
  <c r="E312" i="108"/>
  <c r="F312" i="108"/>
  <c r="G312" i="108"/>
  <c r="H312" i="108"/>
  <c r="B458" i="108"/>
  <c r="C458" i="108"/>
  <c r="D458" i="108"/>
  <c r="E458" i="108"/>
  <c r="F458" i="108"/>
  <c r="G458" i="108"/>
  <c r="H458" i="108"/>
  <c r="B161" i="108"/>
  <c r="C161" i="108"/>
  <c r="D161" i="108"/>
  <c r="E161" i="108"/>
  <c r="F161" i="108"/>
  <c r="G161" i="108"/>
  <c r="H161" i="108"/>
  <c r="B6" i="108"/>
  <c r="C6" i="108"/>
  <c r="D6" i="108"/>
  <c r="E6" i="108"/>
  <c r="F6" i="108"/>
  <c r="G6" i="108"/>
  <c r="H6" i="108"/>
  <c r="B162" i="108"/>
  <c r="C162" i="108"/>
  <c r="D162" i="108"/>
  <c r="E162" i="108"/>
  <c r="F162" i="108"/>
  <c r="G162" i="108"/>
  <c r="H162" i="108"/>
  <c r="B248" i="108"/>
  <c r="C248" i="108"/>
  <c r="D248" i="108"/>
  <c r="E248" i="108"/>
  <c r="F248" i="108"/>
  <c r="G248" i="108"/>
  <c r="H248" i="108"/>
  <c r="B381" i="108"/>
  <c r="C381" i="108"/>
  <c r="D381" i="108"/>
  <c r="E381" i="108"/>
  <c r="F381" i="108"/>
  <c r="G381" i="108"/>
  <c r="H381" i="108"/>
  <c r="B363" i="108"/>
  <c r="C363" i="108"/>
  <c r="D363" i="108"/>
  <c r="E363" i="108"/>
  <c r="F363" i="108"/>
  <c r="G363" i="108"/>
  <c r="H363" i="108"/>
  <c r="B313" i="108"/>
  <c r="C313" i="108"/>
  <c r="D313" i="108"/>
  <c r="E313" i="108"/>
  <c r="F313" i="108"/>
  <c r="G313" i="108"/>
  <c r="H313" i="108"/>
  <c r="B459" i="108"/>
  <c r="C459" i="108"/>
  <c r="D459" i="108"/>
  <c r="E459" i="108"/>
  <c r="F459" i="108"/>
  <c r="G459" i="108"/>
  <c r="H459" i="108"/>
  <c r="B68" i="108"/>
  <c r="C68" i="108"/>
  <c r="D68" i="108"/>
  <c r="E68" i="108"/>
  <c r="F68" i="108"/>
  <c r="G68" i="108"/>
  <c r="H68" i="108"/>
  <c r="B111" i="108"/>
  <c r="C111" i="108"/>
  <c r="D111" i="108"/>
  <c r="E111" i="108"/>
  <c r="F111" i="108"/>
  <c r="G111" i="108"/>
  <c r="H111" i="108"/>
  <c r="B7" i="108"/>
  <c r="C7" i="108"/>
  <c r="D7" i="108"/>
  <c r="E7" i="108"/>
  <c r="F7" i="108"/>
  <c r="G7" i="108"/>
  <c r="H7" i="108"/>
  <c r="B112" i="108"/>
  <c r="C112" i="108"/>
  <c r="D112" i="108"/>
  <c r="E112" i="108"/>
  <c r="F112" i="108"/>
  <c r="G112" i="108"/>
  <c r="H112" i="108"/>
  <c r="B113" i="108"/>
  <c r="C113" i="108"/>
  <c r="D113" i="108"/>
  <c r="E113" i="108"/>
  <c r="F113" i="108"/>
  <c r="G113" i="108"/>
  <c r="H113" i="108"/>
  <c r="B730" i="108"/>
  <c r="C730" i="108"/>
  <c r="D730" i="108"/>
  <c r="E730" i="108"/>
  <c r="F730" i="108"/>
  <c r="G730" i="108"/>
  <c r="H730" i="108"/>
  <c r="B731" i="108"/>
  <c r="C731" i="108"/>
  <c r="D731" i="108"/>
  <c r="E731" i="108"/>
  <c r="F731" i="108"/>
  <c r="G731" i="108"/>
  <c r="H731" i="108"/>
  <c r="B341" i="108"/>
  <c r="C341" i="108"/>
  <c r="D341" i="108"/>
  <c r="E341" i="108"/>
  <c r="F341" i="108"/>
  <c r="G341" i="108"/>
  <c r="H341" i="108"/>
  <c r="B167" i="108"/>
  <c r="C167" i="108"/>
  <c r="D167" i="108"/>
  <c r="E167" i="108"/>
  <c r="F167" i="108"/>
  <c r="G167" i="108"/>
  <c r="H167" i="108"/>
  <c r="B53" i="108"/>
  <c r="C53" i="108"/>
  <c r="D53" i="108"/>
  <c r="E53" i="108"/>
  <c r="F53" i="108"/>
  <c r="G53" i="108"/>
  <c r="H53" i="108"/>
  <c r="B88" i="108"/>
  <c r="C88" i="108"/>
  <c r="D88" i="108"/>
  <c r="E88" i="108"/>
  <c r="F88" i="108"/>
  <c r="G88" i="108"/>
  <c r="H88" i="108"/>
  <c r="B89" i="108"/>
  <c r="C89" i="108"/>
  <c r="D89" i="108"/>
  <c r="E89" i="108"/>
  <c r="F89" i="108"/>
  <c r="G89" i="108"/>
  <c r="H89" i="108"/>
  <c r="B193" i="108"/>
  <c r="C193" i="108"/>
  <c r="D193" i="108"/>
  <c r="E193" i="108"/>
  <c r="F193" i="108"/>
  <c r="G193" i="108"/>
  <c r="H193" i="108"/>
  <c r="B170" i="108"/>
  <c r="C170" i="108"/>
  <c r="D170" i="108"/>
  <c r="E170" i="108"/>
  <c r="F170" i="108"/>
  <c r="G170" i="108"/>
  <c r="H170" i="108"/>
  <c r="B371" i="108"/>
  <c r="C371" i="108"/>
  <c r="D371" i="108"/>
  <c r="E371" i="108"/>
  <c r="F371" i="108"/>
  <c r="G371" i="108"/>
  <c r="H371" i="108"/>
  <c r="B506" i="108"/>
  <c r="C506" i="108"/>
  <c r="D506" i="108"/>
  <c r="E506" i="108"/>
  <c r="F506" i="108"/>
  <c r="G506" i="108"/>
  <c r="H506" i="108"/>
  <c r="B372" i="108"/>
  <c r="C372" i="108"/>
  <c r="D372" i="108"/>
  <c r="E372" i="108"/>
  <c r="F372" i="108"/>
  <c r="G372" i="108"/>
  <c r="H372" i="108"/>
  <c r="B445" i="108"/>
  <c r="C445" i="108"/>
  <c r="D445" i="108"/>
  <c r="E445" i="108"/>
  <c r="F445" i="108"/>
  <c r="G445" i="108"/>
  <c r="H445" i="108"/>
  <c r="B507" i="108"/>
  <c r="C507" i="108"/>
  <c r="D507" i="108"/>
  <c r="E507" i="108"/>
  <c r="F507" i="108"/>
  <c r="G507" i="108"/>
  <c r="H507" i="108"/>
  <c r="B405" i="108"/>
  <c r="C405" i="108"/>
  <c r="D405" i="108"/>
  <c r="E405" i="108"/>
  <c r="F405" i="108"/>
  <c r="G405" i="108"/>
  <c r="H405" i="108"/>
  <c r="B634" i="108"/>
  <c r="C634" i="108"/>
  <c r="D634" i="108"/>
  <c r="E634" i="108"/>
  <c r="F634" i="108"/>
  <c r="G634" i="108"/>
  <c r="H634" i="108"/>
  <c r="B525" i="108"/>
  <c r="C525" i="108"/>
  <c r="D525" i="108"/>
  <c r="E525" i="108"/>
  <c r="F525" i="108"/>
  <c r="G525" i="108"/>
  <c r="H525" i="108"/>
  <c r="B388" i="108"/>
  <c r="C388" i="108"/>
  <c r="D388" i="108"/>
  <c r="E388" i="108"/>
  <c r="F388" i="108"/>
  <c r="G388" i="108"/>
  <c r="H388" i="108"/>
  <c r="B705" i="108"/>
  <c r="C705" i="108"/>
  <c r="D705" i="108"/>
  <c r="E705" i="108"/>
  <c r="F705" i="108"/>
  <c r="G705" i="108"/>
  <c r="H705" i="108"/>
  <c r="B471" i="108"/>
  <c r="C471" i="108"/>
  <c r="D471" i="108"/>
  <c r="E471" i="108"/>
  <c r="F471" i="108"/>
  <c r="G471" i="108"/>
  <c r="H471" i="108"/>
  <c r="B406" i="108"/>
  <c r="C406" i="108"/>
  <c r="D406" i="108"/>
  <c r="E406" i="108"/>
  <c r="F406" i="108"/>
  <c r="G406" i="108"/>
  <c r="H406" i="108"/>
  <c r="B57" i="108"/>
  <c r="C57" i="108"/>
  <c r="D57" i="108"/>
  <c r="E57" i="108"/>
  <c r="F57" i="108"/>
  <c r="G57" i="108"/>
  <c r="H57" i="108"/>
  <c r="B354" i="108"/>
  <c r="C354" i="108"/>
  <c r="D354" i="108"/>
  <c r="E354" i="108"/>
  <c r="F354" i="108"/>
  <c r="G354" i="108"/>
  <c r="H354" i="108"/>
  <c r="B375" i="108"/>
  <c r="C375" i="108"/>
  <c r="D375" i="108"/>
  <c r="E375" i="108"/>
  <c r="F375" i="108"/>
  <c r="G375" i="108"/>
  <c r="H375" i="108"/>
  <c r="B447" i="108"/>
  <c r="C447" i="108"/>
  <c r="D447" i="108"/>
  <c r="E447" i="108"/>
  <c r="F447" i="108"/>
  <c r="G447" i="108"/>
  <c r="H447" i="108"/>
  <c r="B448" i="108"/>
  <c r="C448" i="108"/>
  <c r="D448" i="108"/>
  <c r="E448" i="108"/>
  <c r="F448" i="108"/>
  <c r="G448" i="108"/>
  <c r="H448" i="108"/>
  <c r="B58" i="108"/>
  <c r="C58" i="108"/>
  <c r="D58" i="108"/>
  <c r="E58" i="108"/>
  <c r="F58" i="108"/>
  <c r="G58" i="108"/>
  <c r="H58" i="108"/>
  <c r="B588" i="108"/>
  <c r="C588" i="108"/>
  <c r="D588" i="108"/>
  <c r="E588" i="108"/>
  <c r="F588" i="108"/>
  <c r="G588" i="108"/>
  <c r="H588" i="108"/>
  <c r="B336" i="108"/>
  <c r="C336" i="108"/>
  <c r="D336" i="108"/>
  <c r="E336" i="108"/>
  <c r="F336" i="108"/>
  <c r="G336" i="108"/>
  <c r="H336" i="108"/>
  <c r="B337" i="108"/>
  <c r="C337" i="108"/>
  <c r="D337" i="108"/>
  <c r="E337" i="108"/>
  <c r="F337" i="108"/>
  <c r="G337" i="108"/>
  <c r="H337" i="108"/>
  <c r="B432" i="108"/>
  <c r="C432" i="108"/>
  <c r="D432" i="108"/>
  <c r="E432" i="108"/>
  <c r="F432" i="108"/>
  <c r="G432" i="108"/>
  <c r="H432" i="108"/>
  <c r="B359" i="108"/>
  <c r="C359" i="108"/>
  <c r="D359" i="108"/>
  <c r="E359" i="108"/>
  <c r="F359" i="108"/>
  <c r="G359" i="108"/>
  <c r="H359" i="108"/>
  <c r="B99" i="108"/>
  <c r="C99" i="108"/>
  <c r="D99" i="108"/>
  <c r="E99" i="108"/>
  <c r="F99" i="108"/>
  <c r="G99" i="108"/>
  <c r="H99" i="108"/>
  <c r="B98" i="108"/>
  <c r="C98" i="108"/>
  <c r="D98" i="108"/>
  <c r="E98" i="108"/>
  <c r="F98" i="108"/>
  <c r="G98" i="108"/>
  <c r="H98" i="108"/>
  <c r="B636" i="108"/>
  <c r="C636" i="108"/>
  <c r="D636" i="108"/>
  <c r="E636" i="108"/>
  <c r="F636" i="108"/>
  <c r="G636" i="108"/>
  <c r="H636" i="108"/>
  <c r="B635" i="108"/>
  <c r="C635" i="108"/>
  <c r="D635" i="108"/>
  <c r="E635" i="108"/>
  <c r="F635" i="108"/>
  <c r="G635" i="108"/>
  <c r="H635" i="108"/>
  <c r="B666" i="108"/>
  <c r="C666" i="108"/>
  <c r="D666" i="108"/>
  <c r="E666" i="108"/>
  <c r="F666" i="108"/>
  <c r="G666" i="108"/>
  <c r="H666" i="108"/>
  <c r="B429" i="108"/>
  <c r="C429" i="108"/>
  <c r="D429" i="108"/>
  <c r="E429" i="108"/>
  <c r="F429" i="108"/>
  <c r="G429" i="108"/>
  <c r="H429" i="108"/>
  <c r="B138" i="108"/>
  <c r="C138" i="108"/>
  <c r="D138" i="108"/>
  <c r="E138" i="108"/>
  <c r="F138" i="108"/>
  <c r="G138" i="108"/>
  <c r="H138" i="108"/>
  <c r="B139" i="108"/>
  <c r="C139" i="108"/>
  <c r="D139" i="108"/>
  <c r="E139" i="108"/>
  <c r="F139" i="108"/>
  <c r="G139" i="108"/>
  <c r="H139" i="108"/>
  <c r="B140" i="108"/>
  <c r="C140" i="108"/>
  <c r="D140" i="108"/>
  <c r="E140" i="108"/>
  <c r="F140" i="108"/>
  <c r="G140" i="108"/>
  <c r="H140" i="108"/>
  <c r="B144" i="108"/>
  <c r="C144" i="108"/>
  <c r="D144" i="108"/>
  <c r="E144" i="108"/>
  <c r="F144" i="108"/>
  <c r="G144" i="108"/>
  <c r="H144" i="108"/>
  <c r="B145" i="108"/>
  <c r="C145" i="108"/>
  <c r="D145" i="108"/>
  <c r="E145" i="108"/>
  <c r="F145" i="108"/>
  <c r="G145" i="108"/>
  <c r="H145" i="108"/>
  <c r="B460" i="108"/>
  <c r="C460" i="108"/>
  <c r="D460" i="108"/>
  <c r="E460" i="108"/>
  <c r="F460" i="108"/>
  <c r="G460" i="108"/>
  <c r="H460" i="108"/>
  <c r="B651" i="108"/>
  <c r="C651" i="108"/>
  <c r="D651" i="108"/>
  <c r="E651" i="108"/>
  <c r="F651" i="108"/>
  <c r="G651" i="108"/>
  <c r="H651" i="108"/>
  <c r="B716" i="108"/>
  <c r="C716" i="108"/>
  <c r="D716" i="108"/>
  <c r="E716" i="108"/>
  <c r="F716" i="108"/>
  <c r="G716" i="108"/>
  <c r="H716" i="108"/>
  <c r="B670" i="108"/>
  <c r="C670" i="108"/>
  <c r="D670" i="108"/>
  <c r="E670" i="108"/>
  <c r="F670" i="108"/>
  <c r="G670" i="108"/>
  <c r="H670" i="108"/>
  <c r="B595" i="108"/>
  <c r="C595" i="108"/>
  <c r="D595" i="108"/>
  <c r="E595" i="108"/>
  <c r="F595" i="108"/>
  <c r="G595" i="108"/>
  <c r="H595" i="108"/>
  <c r="B441" i="108"/>
  <c r="C441" i="108"/>
  <c r="D441" i="108"/>
  <c r="E441" i="108"/>
  <c r="F441" i="108"/>
  <c r="G441" i="108"/>
  <c r="H441" i="108"/>
  <c r="B442" i="108"/>
  <c r="C442" i="108"/>
  <c r="D442" i="108"/>
  <c r="E442" i="108"/>
  <c r="F442" i="108"/>
  <c r="G442" i="108"/>
  <c r="H442" i="108"/>
  <c r="B345" i="108"/>
  <c r="C345" i="108"/>
  <c r="D345" i="108"/>
  <c r="E345" i="108"/>
  <c r="F345" i="108"/>
  <c r="G345" i="108"/>
  <c r="H345" i="108"/>
  <c r="B440" i="108"/>
  <c r="C440" i="108"/>
  <c r="D440" i="108"/>
  <c r="E440" i="108"/>
  <c r="F440" i="108"/>
  <c r="G440" i="108"/>
  <c r="H440" i="108"/>
  <c r="B481" i="108"/>
  <c r="C481" i="108"/>
  <c r="D481" i="108"/>
  <c r="E481" i="108"/>
  <c r="F481" i="108"/>
  <c r="G481" i="108"/>
  <c r="H481" i="108"/>
  <c r="B652" i="108"/>
  <c r="C652" i="108"/>
  <c r="D652" i="108"/>
  <c r="E652" i="108"/>
  <c r="F652" i="108"/>
  <c r="G652" i="108"/>
  <c r="H652" i="108"/>
  <c r="B653" i="108"/>
  <c r="C653" i="108"/>
  <c r="D653" i="108"/>
  <c r="E653" i="108"/>
  <c r="F653" i="108"/>
  <c r="G653" i="108"/>
  <c r="H653" i="108"/>
  <c r="B654" i="108"/>
  <c r="C654" i="108"/>
  <c r="D654" i="108"/>
  <c r="E654" i="108"/>
  <c r="F654" i="108"/>
  <c r="G654" i="108"/>
  <c r="H654" i="108"/>
  <c r="B655" i="108"/>
  <c r="C655" i="108"/>
  <c r="D655" i="108"/>
  <c r="E655" i="108"/>
  <c r="F655" i="108"/>
  <c r="G655" i="108"/>
  <c r="H655" i="108"/>
  <c r="B656" i="108"/>
  <c r="C656" i="108"/>
  <c r="D656" i="108"/>
  <c r="E656" i="108"/>
  <c r="F656" i="108"/>
  <c r="G656" i="108"/>
  <c r="H656" i="108"/>
  <c r="B657" i="108"/>
  <c r="C657" i="108"/>
  <c r="D657" i="108"/>
  <c r="E657" i="108"/>
  <c r="F657" i="108"/>
  <c r="G657" i="108"/>
  <c r="H657" i="108"/>
  <c r="B674" i="108"/>
  <c r="C674" i="108"/>
  <c r="D674" i="108"/>
  <c r="E674" i="108"/>
  <c r="F674" i="108"/>
  <c r="G674" i="108"/>
  <c r="H674" i="108"/>
  <c r="B675" i="108"/>
  <c r="C675" i="108"/>
  <c r="D675" i="108"/>
  <c r="E675" i="108"/>
  <c r="F675" i="108"/>
  <c r="G675" i="108"/>
  <c r="H675" i="108"/>
  <c r="B676" i="108"/>
  <c r="C676" i="108"/>
  <c r="D676" i="108"/>
  <c r="E676" i="108"/>
  <c r="F676" i="108"/>
  <c r="G676" i="108"/>
  <c r="H676" i="108"/>
  <c r="B596" i="108"/>
  <c r="C596" i="108"/>
  <c r="D596" i="108"/>
  <c r="E596" i="108"/>
  <c r="F596" i="108"/>
  <c r="G596" i="108"/>
  <c r="H596" i="108"/>
  <c r="B673" i="108"/>
  <c r="C673" i="108"/>
  <c r="D673" i="108"/>
  <c r="E673" i="108"/>
  <c r="F673" i="108"/>
  <c r="G673" i="108"/>
  <c r="H673" i="108"/>
  <c r="B346" i="108"/>
  <c r="C346" i="108"/>
  <c r="D346" i="108"/>
  <c r="E346" i="108"/>
  <c r="F346" i="108"/>
  <c r="G346" i="108"/>
  <c r="H346" i="108"/>
  <c r="B347" i="108"/>
  <c r="C347" i="108"/>
  <c r="D347" i="108"/>
  <c r="E347" i="108"/>
  <c r="F347" i="108"/>
  <c r="G347" i="108"/>
  <c r="H347" i="108"/>
  <c r="B348" i="108"/>
  <c r="C348" i="108"/>
  <c r="D348" i="108"/>
  <c r="E348" i="108"/>
  <c r="F348" i="108"/>
  <c r="G348" i="108"/>
  <c r="H348" i="108"/>
  <c r="B500" i="108"/>
  <c r="C500" i="108"/>
  <c r="D500" i="108"/>
  <c r="E500" i="108"/>
  <c r="F500" i="108"/>
  <c r="G500" i="108"/>
  <c r="H500" i="108"/>
  <c r="B501" i="108"/>
  <c r="C501" i="108"/>
  <c r="D501" i="108"/>
  <c r="E501" i="108"/>
  <c r="F501" i="108"/>
  <c r="G501" i="108"/>
  <c r="H501" i="108"/>
  <c r="B699" i="108"/>
  <c r="C699" i="108"/>
  <c r="D699" i="108"/>
  <c r="E699" i="108"/>
  <c r="F699" i="108"/>
  <c r="G699" i="108"/>
  <c r="H699" i="108"/>
  <c r="B700" i="108"/>
  <c r="C700" i="108"/>
  <c r="D700" i="108"/>
  <c r="E700" i="108"/>
  <c r="F700" i="108"/>
  <c r="G700" i="108"/>
  <c r="H700" i="108"/>
  <c r="B701" i="108"/>
  <c r="C701" i="108"/>
  <c r="D701" i="108"/>
  <c r="E701" i="108"/>
  <c r="F701" i="108"/>
  <c r="G701" i="108"/>
  <c r="H701" i="108"/>
  <c r="B726" i="108"/>
  <c r="C726" i="108"/>
  <c r="D726" i="108"/>
  <c r="E726" i="108"/>
  <c r="F726" i="108"/>
  <c r="G726" i="108"/>
  <c r="H726" i="108"/>
  <c r="B328" i="108"/>
  <c r="C328" i="108"/>
  <c r="D328" i="108"/>
  <c r="E328" i="108"/>
  <c r="F328" i="108"/>
  <c r="G328" i="108"/>
  <c r="H328" i="108"/>
  <c r="B329" i="108"/>
  <c r="C329" i="108"/>
  <c r="D329" i="108"/>
  <c r="E329" i="108"/>
  <c r="F329" i="108"/>
  <c r="G329" i="108"/>
  <c r="H329" i="108"/>
  <c r="B658" i="108"/>
  <c r="C658" i="108"/>
  <c r="D658" i="108"/>
  <c r="E658" i="108"/>
  <c r="F658" i="108"/>
  <c r="G658" i="108"/>
  <c r="H658" i="108"/>
  <c r="B8" i="108"/>
  <c r="C8" i="108"/>
  <c r="D8" i="108"/>
  <c r="E8" i="108"/>
  <c r="F8" i="108"/>
  <c r="G8" i="108"/>
  <c r="H8" i="108"/>
  <c r="B9" i="108"/>
  <c r="C9" i="108"/>
  <c r="D9" i="108"/>
  <c r="E9" i="108"/>
  <c r="F9" i="108"/>
  <c r="G9" i="108"/>
  <c r="H9" i="108"/>
  <c r="B10" i="108"/>
  <c r="C10" i="108"/>
  <c r="D10" i="108"/>
  <c r="E10" i="108"/>
  <c r="F10" i="108"/>
  <c r="G10" i="108"/>
  <c r="H10" i="108"/>
  <c r="B11" i="108"/>
  <c r="C11" i="108"/>
  <c r="D11" i="108"/>
  <c r="E11" i="108"/>
  <c r="F11" i="108"/>
  <c r="G11" i="108"/>
  <c r="H11" i="108"/>
  <c r="B12" i="108"/>
  <c r="C12" i="108"/>
  <c r="D12" i="108"/>
  <c r="E12" i="108"/>
  <c r="F12" i="108"/>
  <c r="G12" i="108"/>
  <c r="H12" i="108"/>
  <c r="B52" i="108"/>
  <c r="C52" i="108"/>
  <c r="D52" i="108"/>
  <c r="E52" i="108"/>
  <c r="F52" i="108"/>
  <c r="G52" i="108"/>
  <c r="H52" i="108"/>
  <c r="B131" i="108"/>
  <c r="C131" i="108"/>
  <c r="D131" i="108"/>
  <c r="E131" i="108"/>
  <c r="F131" i="108"/>
  <c r="G131" i="108"/>
  <c r="H131" i="108"/>
  <c r="B132" i="108"/>
  <c r="C132" i="108"/>
  <c r="D132" i="108"/>
  <c r="E132" i="108"/>
  <c r="F132" i="108"/>
  <c r="G132" i="108"/>
  <c r="H132" i="108"/>
  <c r="B164" i="108"/>
  <c r="C164" i="108"/>
  <c r="D164" i="108"/>
  <c r="E164" i="108"/>
  <c r="F164" i="108"/>
  <c r="G164" i="108"/>
  <c r="H164" i="108"/>
  <c r="B185" i="108"/>
  <c r="C185" i="108"/>
  <c r="D185" i="108"/>
  <c r="E185" i="108"/>
  <c r="F185" i="108"/>
  <c r="G185" i="108"/>
  <c r="H185" i="108"/>
  <c r="B186" i="108"/>
  <c r="C186" i="108"/>
  <c r="D186" i="108"/>
  <c r="E186" i="108"/>
  <c r="F186" i="108"/>
  <c r="G186" i="108"/>
  <c r="H186" i="108"/>
  <c r="B249" i="108"/>
  <c r="C249" i="108"/>
  <c r="D249" i="108"/>
  <c r="E249" i="108"/>
  <c r="F249" i="108"/>
  <c r="G249" i="108"/>
  <c r="H249" i="108"/>
  <c r="B289" i="108"/>
  <c r="C289" i="108"/>
  <c r="D289" i="108"/>
  <c r="E289" i="108"/>
  <c r="F289" i="108"/>
  <c r="G289" i="108"/>
  <c r="H289" i="108"/>
  <c r="B326" i="108"/>
  <c r="C326" i="108"/>
  <c r="D326" i="108"/>
  <c r="E326" i="108"/>
  <c r="F326" i="108"/>
  <c r="G326" i="108"/>
  <c r="H326" i="108"/>
  <c r="B327" i="108"/>
  <c r="C327" i="108"/>
  <c r="D327" i="108"/>
  <c r="E327" i="108"/>
  <c r="F327" i="108"/>
  <c r="G327" i="108"/>
  <c r="H327" i="108"/>
  <c r="B400" i="108"/>
  <c r="C400" i="108"/>
  <c r="D400" i="108"/>
  <c r="E400" i="108"/>
  <c r="F400" i="108"/>
  <c r="G400" i="108"/>
  <c r="H400" i="108"/>
  <c r="B401" i="108"/>
  <c r="C401" i="108"/>
  <c r="D401" i="108"/>
  <c r="E401" i="108"/>
  <c r="F401" i="108"/>
  <c r="G401" i="108"/>
  <c r="H401" i="108"/>
  <c r="B402" i="108"/>
  <c r="C402" i="108"/>
  <c r="D402" i="108"/>
  <c r="E402" i="108"/>
  <c r="F402" i="108"/>
  <c r="G402" i="108"/>
  <c r="H402" i="108"/>
  <c r="B403" i="108"/>
  <c r="C403" i="108"/>
  <c r="D403" i="108"/>
  <c r="E403" i="108"/>
  <c r="F403" i="108"/>
  <c r="G403" i="108"/>
  <c r="H403" i="108"/>
  <c r="B421" i="108"/>
  <c r="C421" i="108"/>
  <c r="D421" i="108"/>
  <c r="E421" i="108"/>
  <c r="F421" i="108"/>
  <c r="G421" i="108"/>
  <c r="H421" i="108"/>
  <c r="B439" i="108"/>
  <c r="C439" i="108"/>
  <c r="D439" i="108"/>
  <c r="E439" i="108"/>
  <c r="F439" i="108"/>
  <c r="G439" i="108"/>
  <c r="H439" i="108"/>
  <c r="B479" i="108"/>
  <c r="C479" i="108"/>
  <c r="D479" i="108"/>
  <c r="E479" i="108"/>
  <c r="F479" i="108"/>
  <c r="G479" i="108"/>
  <c r="H479" i="108"/>
  <c r="B480" i="108"/>
  <c r="C480" i="108"/>
  <c r="D480" i="108"/>
  <c r="E480" i="108"/>
  <c r="F480" i="108"/>
  <c r="G480" i="108"/>
  <c r="H480" i="108"/>
  <c r="B671" i="108"/>
  <c r="C671" i="108"/>
  <c r="D671" i="108"/>
  <c r="E671" i="108"/>
  <c r="F671" i="108"/>
  <c r="G671" i="108"/>
  <c r="H671" i="108"/>
  <c r="B672" i="108"/>
  <c r="C672" i="108"/>
  <c r="D672" i="108"/>
  <c r="E672" i="108"/>
  <c r="F672" i="108"/>
  <c r="G672" i="108"/>
  <c r="H672" i="108"/>
  <c r="B702" i="108"/>
  <c r="C702" i="108"/>
  <c r="D702" i="108"/>
  <c r="E702" i="108"/>
  <c r="F702" i="108"/>
  <c r="G702" i="108"/>
  <c r="H702" i="108"/>
  <c r="B482" i="108"/>
  <c r="C482" i="108"/>
  <c r="D482" i="108"/>
  <c r="E482" i="108"/>
  <c r="F482" i="108"/>
  <c r="G482" i="108"/>
  <c r="H482" i="108"/>
  <c r="B290" i="108"/>
  <c r="C290" i="108"/>
  <c r="D290" i="108"/>
  <c r="E290" i="108"/>
  <c r="F290" i="108"/>
  <c r="G290" i="108"/>
  <c r="H290" i="108"/>
  <c r="B461" i="108"/>
  <c r="C461" i="108"/>
  <c r="D461" i="108"/>
  <c r="E461" i="108"/>
  <c r="F461" i="108"/>
  <c r="G461" i="108"/>
  <c r="H461" i="108"/>
  <c r="B483" i="108"/>
  <c r="C483" i="108"/>
  <c r="D483" i="108"/>
  <c r="E483" i="108"/>
  <c r="F483" i="108"/>
  <c r="G483" i="108"/>
  <c r="H483" i="108"/>
  <c r="B133" i="108"/>
  <c r="C133" i="108"/>
  <c r="D133" i="108"/>
  <c r="E133" i="108"/>
  <c r="F133" i="108"/>
  <c r="G133" i="108"/>
  <c r="H133" i="108"/>
  <c r="B291" i="108"/>
  <c r="C291" i="108"/>
  <c r="D291" i="108"/>
  <c r="E291" i="108"/>
  <c r="F291" i="108"/>
  <c r="G291" i="108"/>
  <c r="H291" i="108"/>
  <c r="B484" i="108"/>
  <c r="C484" i="108"/>
  <c r="D484" i="108"/>
  <c r="E484" i="108"/>
  <c r="F484" i="108"/>
  <c r="G484" i="108"/>
  <c r="H484" i="108"/>
  <c r="B626" i="108"/>
  <c r="C626" i="108"/>
  <c r="D626" i="108"/>
  <c r="E626" i="108"/>
  <c r="F626" i="108"/>
  <c r="G626" i="108"/>
  <c r="H626" i="108"/>
  <c r="B677" i="108"/>
  <c r="C677" i="108"/>
  <c r="D677" i="108"/>
  <c r="E677" i="108"/>
  <c r="F677" i="108"/>
  <c r="G677" i="108"/>
  <c r="H677" i="108"/>
  <c r="B678" i="108"/>
  <c r="C678" i="108"/>
  <c r="D678" i="108"/>
  <c r="E678" i="108"/>
  <c r="F678" i="108"/>
  <c r="G678" i="108"/>
  <c r="H678" i="108"/>
  <c r="B679" i="108"/>
  <c r="C679" i="108"/>
  <c r="D679" i="108"/>
  <c r="E679" i="108"/>
  <c r="F679" i="108"/>
  <c r="G679" i="108"/>
  <c r="H679" i="108"/>
  <c r="B680" i="108"/>
  <c r="C680" i="108"/>
  <c r="D680" i="108"/>
  <c r="E680" i="108"/>
  <c r="F680" i="108"/>
  <c r="G680" i="108"/>
  <c r="H680" i="108"/>
  <c r="B681" i="108"/>
  <c r="C681" i="108"/>
  <c r="D681" i="108"/>
  <c r="E681" i="108"/>
  <c r="F681" i="108"/>
  <c r="G681" i="108"/>
  <c r="H681" i="108"/>
  <c r="B463" i="108"/>
  <c r="C463" i="108"/>
  <c r="D463" i="108"/>
  <c r="E463" i="108"/>
  <c r="F463" i="108"/>
  <c r="G463" i="108"/>
  <c r="H463" i="108"/>
  <c r="B464" i="108"/>
  <c r="C464" i="108"/>
  <c r="D464" i="108"/>
  <c r="E464" i="108"/>
  <c r="F464" i="108"/>
  <c r="G464" i="108"/>
  <c r="H464" i="108"/>
  <c r="B13" i="108"/>
  <c r="C13" i="108"/>
  <c r="D13" i="108"/>
  <c r="E13" i="108"/>
  <c r="F13" i="108"/>
  <c r="G13" i="108"/>
  <c r="H13" i="108"/>
  <c r="B292" i="108"/>
  <c r="C292" i="108"/>
  <c r="D292" i="108"/>
  <c r="E292" i="108"/>
  <c r="F292" i="108"/>
  <c r="G292" i="108"/>
  <c r="H292" i="108"/>
  <c r="B293" i="108"/>
  <c r="C293" i="108"/>
  <c r="D293" i="108"/>
  <c r="E293" i="108"/>
  <c r="F293" i="108"/>
  <c r="G293" i="108"/>
  <c r="H293" i="108"/>
  <c r="B364" i="108"/>
  <c r="C364" i="108"/>
  <c r="D364" i="108"/>
  <c r="E364" i="108"/>
  <c r="F364" i="108"/>
  <c r="G364" i="108"/>
  <c r="H364" i="108"/>
  <c r="B462" i="108"/>
  <c r="C462" i="108"/>
  <c r="D462" i="108"/>
  <c r="E462" i="108"/>
  <c r="F462" i="108"/>
  <c r="G462" i="108"/>
  <c r="H462" i="108"/>
  <c r="B485" i="108"/>
  <c r="C485" i="108"/>
  <c r="D485" i="108"/>
  <c r="E485" i="108"/>
  <c r="F485" i="108"/>
  <c r="G485" i="108"/>
  <c r="H485" i="108"/>
  <c r="B486" i="108"/>
  <c r="C486" i="108"/>
  <c r="D486" i="108"/>
  <c r="E486" i="108"/>
  <c r="F486" i="108"/>
  <c r="G486" i="108"/>
  <c r="H486" i="108"/>
  <c r="B114" i="108"/>
  <c r="C114" i="108"/>
  <c r="D114" i="108"/>
  <c r="E114" i="108"/>
  <c r="F114" i="108"/>
  <c r="G114" i="108"/>
  <c r="H114" i="108"/>
  <c r="B383" i="108"/>
  <c r="C383" i="108"/>
  <c r="D383" i="108"/>
  <c r="E383" i="108"/>
  <c r="F383" i="108"/>
  <c r="G383" i="108"/>
  <c r="H383" i="108"/>
  <c r="B627" i="108"/>
  <c r="C627" i="108"/>
  <c r="D627" i="108"/>
  <c r="E627" i="108"/>
  <c r="F627" i="108"/>
  <c r="G627" i="108"/>
  <c r="H627" i="108"/>
  <c r="B659" i="108"/>
  <c r="C659" i="108"/>
  <c r="D659" i="108"/>
  <c r="E659" i="108"/>
  <c r="F659" i="108"/>
  <c r="G659" i="108"/>
  <c r="H659" i="108"/>
  <c r="B660" i="108"/>
  <c r="C660" i="108"/>
  <c r="D660" i="108"/>
  <c r="E660" i="108"/>
  <c r="F660" i="108"/>
  <c r="G660" i="108"/>
  <c r="H660" i="108"/>
  <c r="B661" i="108"/>
  <c r="C661" i="108"/>
  <c r="D661" i="108"/>
  <c r="E661" i="108"/>
  <c r="F661" i="108"/>
  <c r="G661" i="108"/>
  <c r="H661" i="108"/>
  <c r="B662" i="108"/>
  <c r="C662" i="108"/>
  <c r="D662" i="108"/>
  <c r="E662" i="108"/>
  <c r="F662" i="108"/>
  <c r="G662" i="108"/>
  <c r="H662" i="108"/>
  <c r="B663" i="108"/>
  <c r="C663" i="108"/>
  <c r="D663" i="108"/>
  <c r="E663" i="108"/>
  <c r="F663" i="108"/>
  <c r="G663" i="108"/>
  <c r="H663" i="108"/>
  <c r="B597" i="108"/>
  <c r="C597" i="108"/>
  <c r="D597" i="108"/>
  <c r="E597" i="108"/>
  <c r="F597" i="108"/>
  <c r="G597" i="108"/>
  <c r="H597" i="108"/>
  <c r="B628" i="108"/>
  <c r="C628" i="108"/>
  <c r="D628" i="108"/>
  <c r="E628" i="108"/>
  <c r="F628" i="108"/>
  <c r="G628" i="108"/>
  <c r="H628" i="108"/>
  <c r="B682" i="108"/>
  <c r="C682" i="108"/>
  <c r="D682" i="108"/>
  <c r="E682" i="108"/>
  <c r="F682" i="108"/>
  <c r="G682" i="108"/>
  <c r="H682" i="108"/>
  <c r="B683" i="108"/>
  <c r="C683" i="108"/>
  <c r="D683" i="108"/>
  <c r="E683" i="108"/>
  <c r="F683" i="108"/>
  <c r="G683" i="108"/>
  <c r="H683" i="108"/>
  <c r="B684" i="108"/>
  <c r="C684" i="108"/>
  <c r="D684" i="108"/>
  <c r="E684" i="108"/>
  <c r="F684" i="108"/>
  <c r="G684" i="108"/>
  <c r="H684" i="108"/>
  <c r="B685" i="108"/>
  <c r="C685" i="108"/>
  <c r="D685" i="108"/>
  <c r="E685" i="108"/>
  <c r="F685" i="108"/>
  <c r="G685" i="108"/>
  <c r="H685" i="108"/>
  <c r="B686" i="108"/>
  <c r="C686" i="108"/>
  <c r="D686" i="108"/>
  <c r="E686" i="108"/>
  <c r="F686" i="108"/>
  <c r="G686" i="108"/>
  <c r="H686" i="108"/>
  <c r="B14" i="108"/>
  <c r="C14" i="108"/>
  <c r="D14" i="108"/>
  <c r="E14" i="108"/>
  <c r="F14" i="108"/>
  <c r="G14" i="108"/>
  <c r="H14" i="108"/>
  <c r="B294" i="108"/>
  <c r="C294" i="108"/>
  <c r="D294" i="108"/>
  <c r="E294" i="108"/>
  <c r="F294" i="108"/>
  <c r="G294" i="108"/>
  <c r="H294" i="108"/>
  <c r="B295" i="108"/>
  <c r="C295" i="108"/>
  <c r="D295" i="108"/>
  <c r="E295" i="108"/>
  <c r="F295" i="108"/>
  <c r="G295" i="108"/>
  <c r="H295" i="108"/>
  <c r="B687" i="108"/>
  <c r="C687" i="108"/>
  <c r="D687" i="108"/>
  <c r="E687" i="108"/>
  <c r="F687" i="108"/>
  <c r="G687" i="108"/>
  <c r="H687" i="108"/>
  <c r="B729" i="108"/>
  <c r="C729" i="108"/>
  <c r="D729" i="108"/>
  <c r="E729" i="108"/>
  <c r="F729" i="108"/>
  <c r="G729" i="108"/>
  <c r="H729" i="108"/>
  <c r="B18" i="108"/>
  <c r="C18" i="108"/>
  <c r="D18" i="108"/>
  <c r="E18" i="108"/>
  <c r="F18" i="108"/>
  <c r="G18" i="108"/>
  <c r="H18" i="108"/>
  <c r="B59" i="108"/>
  <c r="C59" i="108"/>
  <c r="D59" i="108"/>
  <c r="E59" i="108"/>
  <c r="F59" i="108"/>
  <c r="G59" i="108"/>
  <c r="H59" i="108"/>
  <c r="B96" i="108"/>
  <c r="C96" i="108"/>
  <c r="D96" i="108"/>
  <c r="E96" i="108"/>
  <c r="F96" i="108"/>
  <c r="G96" i="108"/>
  <c r="H96" i="108"/>
  <c r="B125" i="108"/>
  <c r="C125" i="108"/>
  <c r="D125" i="108"/>
  <c r="E125" i="108"/>
  <c r="F125" i="108"/>
  <c r="G125" i="108"/>
  <c r="H125" i="108"/>
  <c r="B148" i="108"/>
  <c r="C148" i="108"/>
  <c r="D148" i="108"/>
  <c r="E148" i="108"/>
  <c r="F148" i="108"/>
  <c r="G148" i="108"/>
  <c r="H148" i="108"/>
  <c r="B174" i="108"/>
  <c r="C174" i="108"/>
  <c r="D174" i="108"/>
  <c r="E174" i="108"/>
  <c r="F174" i="108"/>
  <c r="G174" i="108"/>
  <c r="H174" i="108"/>
  <c r="B196" i="108"/>
  <c r="C196" i="108"/>
  <c r="D196" i="108"/>
  <c r="E196" i="108"/>
  <c r="F196" i="108"/>
  <c r="G196" i="108"/>
  <c r="H196" i="108"/>
  <c r="B225" i="108"/>
  <c r="C225" i="108"/>
  <c r="D225" i="108"/>
  <c r="E225" i="108"/>
  <c r="F225" i="108"/>
  <c r="G225" i="108"/>
  <c r="H225" i="108"/>
  <c r="B304" i="108"/>
  <c r="C304" i="108"/>
  <c r="D304" i="108"/>
  <c r="E304" i="108"/>
  <c r="F304" i="108"/>
  <c r="G304" i="108"/>
  <c r="H304" i="108"/>
  <c r="B711" i="108"/>
  <c r="C711" i="108"/>
  <c r="D711" i="108"/>
  <c r="E711" i="108"/>
  <c r="F711" i="108"/>
  <c r="G711" i="108"/>
  <c r="H711" i="108"/>
  <c r="B720" i="108"/>
  <c r="C720" i="108"/>
  <c r="D720" i="108"/>
  <c r="E720" i="108"/>
  <c r="F720" i="108"/>
  <c r="G720" i="108"/>
  <c r="H720" i="108"/>
  <c r="B587" i="108"/>
  <c r="C587" i="108"/>
  <c r="D587" i="108"/>
  <c r="E587" i="108"/>
  <c r="F587" i="108"/>
  <c r="G587" i="108"/>
  <c r="H587" i="108"/>
  <c r="B355" i="108"/>
  <c r="C355" i="108"/>
  <c r="D355" i="108"/>
  <c r="E355" i="108"/>
  <c r="F355" i="108"/>
  <c r="G355" i="108"/>
  <c r="H355" i="108"/>
  <c r="B376" i="108"/>
  <c r="C376" i="108"/>
  <c r="D376" i="108"/>
  <c r="E376" i="108"/>
  <c r="F376" i="108"/>
  <c r="G376" i="108"/>
  <c r="H376" i="108"/>
  <c r="B407" i="108"/>
  <c r="C407" i="108"/>
  <c r="D407" i="108"/>
  <c r="E407" i="108"/>
  <c r="F407" i="108"/>
  <c r="G407" i="108"/>
  <c r="H407" i="108"/>
  <c r="B450" i="108"/>
  <c r="C450" i="108"/>
  <c r="D450" i="108"/>
  <c r="E450" i="108"/>
  <c r="F450" i="108"/>
  <c r="G450" i="108"/>
  <c r="H450" i="108"/>
  <c r="B474" i="108"/>
  <c r="C474" i="108"/>
  <c r="D474" i="108"/>
  <c r="E474" i="108"/>
  <c r="F474" i="108"/>
  <c r="G474" i="108"/>
  <c r="H474" i="108"/>
  <c r="B492" i="108"/>
  <c r="C492" i="108"/>
  <c r="D492" i="108"/>
  <c r="E492" i="108"/>
  <c r="F492" i="108"/>
  <c r="G492" i="108"/>
  <c r="H492" i="108"/>
  <c r="B508" i="108"/>
  <c r="C508" i="108"/>
  <c r="D508" i="108"/>
  <c r="E508" i="108"/>
  <c r="F508" i="108"/>
  <c r="G508" i="108"/>
  <c r="H508" i="108"/>
  <c r="B526" i="108"/>
  <c r="C526" i="108"/>
  <c r="D526" i="108"/>
  <c r="E526" i="108"/>
  <c r="F526" i="108"/>
  <c r="G526" i="108"/>
  <c r="H526" i="108"/>
  <c r="B540" i="108"/>
  <c r="C540" i="108"/>
  <c r="D540" i="108"/>
  <c r="E540" i="108"/>
  <c r="F540" i="108"/>
  <c r="G540" i="108"/>
  <c r="H540" i="108"/>
  <c r="B567" i="108"/>
  <c r="C567" i="108"/>
  <c r="D567" i="108"/>
  <c r="E567" i="108"/>
  <c r="F567" i="108"/>
  <c r="G567" i="108"/>
  <c r="H567" i="108"/>
  <c r="B605" i="108"/>
  <c r="C605" i="108"/>
  <c r="D605" i="108"/>
  <c r="E605" i="108"/>
  <c r="F605" i="108"/>
  <c r="G605" i="108"/>
  <c r="H605" i="108"/>
  <c r="B641" i="108"/>
  <c r="C641" i="108"/>
  <c r="D641" i="108"/>
  <c r="E641" i="108"/>
  <c r="F641" i="108"/>
  <c r="G641" i="108"/>
  <c r="H641" i="108"/>
  <c r="B665" i="108"/>
  <c r="C665" i="108"/>
  <c r="D665" i="108"/>
  <c r="E665" i="108"/>
  <c r="F665" i="108"/>
  <c r="G665" i="108"/>
  <c r="H665" i="108"/>
  <c r="B692" i="108"/>
  <c r="C692" i="108"/>
  <c r="D692" i="108"/>
  <c r="E692" i="108"/>
  <c r="F692" i="108"/>
  <c r="G692" i="108"/>
  <c r="H692" i="108"/>
  <c r="B748" i="108"/>
  <c r="C748" i="108"/>
  <c r="D748" i="108"/>
  <c r="E748" i="108"/>
  <c r="F748" i="108"/>
  <c r="G748" i="108"/>
  <c r="H748" i="108"/>
  <c r="B755" i="108"/>
  <c r="C755" i="108"/>
  <c r="D755" i="108"/>
  <c r="E755" i="108"/>
  <c r="F755" i="108"/>
  <c r="G755" i="108"/>
  <c r="H755" i="108"/>
  <c r="B178" i="108"/>
  <c r="C178" i="108"/>
  <c r="D178" i="108"/>
  <c r="E178" i="108"/>
  <c r="F178" i="108"/>
  <c r="G178" i="108"/>
  <c r="H178" i="108"/>
  <c r="B395" i="108"/>
  <c r="C395" i="108"/>
  <c r="D395" i="108"/>
  <c r="E395" i="108"/>
  <c r="F395" i="108"/>
  <c r="G395" i="108"/>
  <c r="H395" i="108"/>
  <c r="B541" i="108"/>
  <c r="C541" i="108"/>
  <c r="D541" i="108"/>
  <c r="E541" i="108"/>
  <c r="F541" i="108"/>
  <c r="G541" i="108"/>
  <c r="H541" i="108"/>
  <c r="B642" i="108"/>
  <c r="C642" i="108"/>
  <c r="D642" i="108"/>
  <c r="E642" i="108"/>
  <c r="F642" i="108"/>
  <c r="G642" i="108"/>
  <c r="H642" i="108"/>
  <c r="B261" i="108"/>
  <c r="C261" i="108"/>
  <c r="D261" i="108"/>
  <c r="E261" i="108"/>
  <c r="F261" i="108"/>
  <c r="G261" i="108"/>
  <c r="H261" i="108"/>
  <c r="B391" i="108"/>
  <c r="C391" i="108"/>
  <c r="D391" i="108"/>
  <c r="E391" i="108"/>
  <c r="F391" i="108"/>
  <c r="G391" i="108"/>
  <c r="H391" i="108"/>
  <c r="B195" i="108"/>
  <c r="C195" i="108"/>
  <c r="D195" i="108"/>
  <c r="E195" i="108"/>
  <c r="F195" i="108"/>
  <c r="G195" i="108"/>
  <c r="H195" i="108"/>
  <c r="B472" i="108"/>
  <c r="C472" i="108"/>
  <c r="D472" i="108"/>
  <c r="E472" i="108"/>
  <c r="F472" i="108"/>
  <c r="G472" i="108"/>
  <c r="H472" i="108"/>
  <c r="B374" i="108"/>
  <c r="C374" i="108"/>
  <c r="D374" i="108"/>
  <c r="E374" i="108"/>
  <c r="F374" i="108"/>
  <c r="G374" i="108"/>
  <c r="H374" i="108"/>
  <c r="B123" i="108"/>
  <c r="C123" i="108"/>
  <c r="D123" i="108"/>
  <c r="E123" i="108"/>
  <c r="F123" i="108"/>
  <c r="G123" i="108"/>
  <c r="H123" i="108"/>
  <c r="B257" i="108"/>
  <c r="C257" i="108"/>
  <c r="D257" i="108"/>
  <c r="E257" i="108"/>
  <c r="F257" i="108"/>
  <c r="G257" i="108"/>
  <c r="H257" i="108"/>
  <c r="B638" i="108"/>
  <c r="C638" i="108"/>
  <c r="D638" i="108"/>
  <c r="E638" i="108"/>
  <c r="F638" i="108"/>
  <c r="G638" i="108"/>
  <c r="H638" i="108"/>
  <c r="B446" i="108"/>
  <c r="C446" i="108"/>
  <c r="D446" i="108"/>
  <c r="E446" i="108"/>
  <c r="F446" i="108"/>
  <c r="G446" i="108"/>
  <c r="H446" i="108"/>
  <c r="B172" i="108"/>
  <c r="C172" i="108"/>
  <c r="D172" i="108"/>
  <c r="E172" i="108"/>
  <c r="F172" i="108"/>
  <c r="G172" i="108"/>
  <c r="H172" i="108"/>
  <c r="B124" i="108"/>
  <c r="C124" i="108"/>
  <c r="D124" i="108"/>
  <c r="E124" i="108"/>
  <c r="F124" i="108"/>
  <c r="G124" i="108"/>
  <c r="H124" i="108"/>
  <c r="B301" i="108"/>
  <c r="C301" i="108"/>
  <c r="D301" i="108"/>
  <c r="E301" i="108"/>
  <c r="F301" i="108"/>
  <c r="G301" i="108"/>
  <c r="H301" i="108"/>
  <c r="B706" i="108"/>
  <c r="C706" i="108"/>
  <c r="D706" i="108"/>
  <c r="E706" i="108"/>
  <c r="F706" i="108"/>
  <c r="G706" i="108"/>
  <c r="H706" i="108"/>
  <c r="B544" i="108"/>
  <c r="C544" i="108"/>
  <c r="D544" i="108"/>
  <c r="E544" i="108"/>
  <c r="F544" i="108"/>
  <c r="G544" i="108"/>
  <c r="H544" i="108"/>
  <c r="B539" i="108"/>
  <c r="C539" i="108"/>
  <c r="D539" i="108"/>
  <c r="E539" i="108"/>
  <c r="F539" i="108"/>
  <c r="G539" i="108"/>
  <c r="H539" i="108"/>
  <c r="B259" i="108"/>
  <c r="C259" i="108"/>
  <c r="D259" i="108"/>
  <c r="E259" i="108"/>
  <c r="F259" i="108"/>
  <c r="G259" i="108"/>
  <c r="H259" i="108"/>
  <c r="B615" i="108"/>
  <c r="C615" i="108"/>
  <c r="D615" i="108"/>
  <c r="E615" i="108"/>
  <c r="F615" i="108"/>
  <c r="G615" i="108"/>
  <c r="H615" i="108"/>
  <c r="B631" i="108"/>
  <c r="C631" i="108"/>
  <c r="D631" i="108"/>
  <c r="E631" i="108"/>
  <c r="F631" i="108"/>
  <c r="G631" i="108"/>
  <c r="H631" i="108"/>
  <c r="B251" i="108"/>
  <c r="C251" i="108"/>
  <c r="D251" i="108"/>
  <c r="E251" i="108"/>
  <c r="F251" i="108"/>
  <c r="G251" i="108"/>
  <c r="H251" i="108"/>
  <c r="B166" i="108"/>
  <c r="C166" i="108"/>
  <c r="D166" i="108"/>
  <c r="E166" i="108"/>
  <c r="F166" i="108"/>
  <c r="G166" i="108"/>
  <c r="H166" i="108"/>
  <c r="B535" i="108"/>
  <c r="C535" i="108"/>
  <c r="D535" i="108"/>
  <c r="E535" i="108"/>
  <c r="F535" i="108"/>
  <c r="G535" i="108"/>
  <c r="H535" i="108"/>
  <c r="B707" i="108"/>
  <c r="C707" i="108"/>
  <c r="D707" i="108"/>
  <c r="E707" i="108"/>
  <c r="F707" i="108"/>
  <c r="G707" i="108"/>
  <c r="H707" i="108"/>
  <c r="B719" i="108"/>
  <c r="C719" i="108"/>
  <c r="D719" i="108"/>
  <c r="E719" i="108"/>
  <c r="F719" i="108"/>
  <c r="G719" i="108"/>
  <c r="H719" i="108"/>
  <c r="B173" i="108"/>
  <c r="C173" i="108"/>
  <c r="D173" i="108"/>
  <c r="E173" i="108"/>
  <c r="F173" i="108"/>
  <c r="G173" i="108"/>
  <c r="H173" i="108"/>
  <c r="B181" i="108"/>
  <c r="C181" i="108"/>
  <c r="D181" i="108"/>
  <c r="E181" i="108"/>
  <c r="F181" i="108"/>
  <c r="G181" i="108"/>
  <c r="H181" i="108"/>
  <c r="B384" i="108"/>
  <c r="C384" i="108"/>
  <c r="D384" i="108"/>
  <c r="E384" i="108"/>
  <c r="F384" i="108"/>
  <c r="G384" i="108"/>
  <c r="H384" i="108"/>
  <c r="B390" i="108"/>
  <c r="C390" i="108"/>
  <c r="D390" i="108"/>
  <c r="E390" i="108"/>
  <c r="F390" i="108"/>
  <c r="G390" i="108"/>
  <c r="H390" i="108"/>
  <c r="B276" i="108"/>
  <c r="C276" i="108"/>
  <c r="D276" i="108"/>
  <c r="E276" i="108"/>
  <c r="F276" i="108"/>
  <c r="G276" i="108"/>
  <c r="H276" i="108"/>
  <c r="B165" i="108"/>
  <c r="C165" i="108"/>
  <c r="D165" i="108"/>
  <c r="E165" i="108"/>
  <c r="F165" i="108"/>
  <c r="G165" i="108"/>
  <c r="H165" i="108"/>
  <c r="B284" i="108"/>
  <c r="C284" i="108"/>
  <c r="D284" i="108"/>
  <c r="E284" i="108"/>
  <c r="F284" i="108"/>
  <c r="G284" i="108"/>
  <c r="H284" i="108"/>
  <c r="B244" i="108"/>
  <c r="C244" i="108"/>
  <c r="D244" i="108"/>
  <c r="E244" i="108"/>
  <c r="F244" i="108"/>
  <c r="G244" i="108"/>
  <c r="H244" i="108"/>
  <c r="B622" i="108"/>
  <c r="C622" i="108"/>
  <c r="D622" i="108"/>
  <c r="E622" i="108"/>
  <c r="F622" i="108"/>
  <c r="G622" i="108"/>
  <c r="H622" i="108"/>
  <c r="B182" i="108"/>
  <c r="C182" i="108"/>
  <c r="D182" i="108"/>
  <c r="E182" i="108"/>
  <c r="F182" i="108"/>
  <c r="G182" i="108"/>
  <c r="H182" i="108"/>
  <c r="B303" i="108"/>
  <c r="C303" i="108"/>
  <c r="D303" i="108"/>
  <c r="E303" i="108"/>
  <c r="F303" i="108"/>
  <c r="G303" i="108"/>
  <c r="H303" i="108"/>
  <c r="B709" i="108"/>
  <c r="C709" i="108"/>
  <c r="D709" i="108"/>
  <c r="E709" i="108"/>
  <c r="F709" i="108"/>
  <c r="G709" i="108"/>
  <c r="H709" i="108"/>
  <c r="B710" i="108"/>
  <c r="C710" i="108"/>
  <c r="D710" i="108"/>
  <c r="E710" i="108"/>
  <c r="F710" i="108"/>
  <c r="G710" i="108"/>
  <c r="H710" i="108"/>
  <c r="B639" i="108"/>
  <c r="C639" i="108"/>
  <c r="D639" i="108"/>
  <c r="E639" i="108"/>
  <c r="F639" i="108"/>
  <c r="G639" i="108"/>
  <c r="H639" i="108"/>
  <c r="B393" i="108"/>
  <c r="C393" i="108"/>
  <c r="D393" i="108"/>
  <c r="E393" i="108"/>
  <c r="F393" i="108"/>
  <c r="G393" i="108"/>
  <c r="H393" i="108"/>
  <c r="B752" i="108"/>
  <c r="C752" i="108"/>
  <c r="D752" i="108"/>
  <c r="E752" i="108"/>
  <c r="F752" i="108"/>
  <c r="G752" i="108"/>
  <c r="H752" i="108"/>
  <c r="B753" i="108"/>
  <c r="C753" i="108"/>
  <c r="D753" i="108"/>
  <c r="E753" i="108"/>
  <c r="F753" i="108"/>
  <c r="G753" i="108"/>
  <c r="H753" i="108"/>
  <c r="B547" i="108"/>
  <c r="C547" i="108"/>
  <c r="D547" i="108"/>
  <c r="E547" i="108"/>
  <c r="F547" i="108"/>
  <c r="G547" i="108"/>
  <c r="H547" i="108"/>
  <c r="B146" i="108"/>
  <c r="C146" i="108"/>
  <c r="D146" i="108"/>
  <c r="E146" i="108"/>
  <c r="F146" i="108"/>
  <c r="G146" i="108"/>
  <c r="H146" i="108"/>
  <c r="B147" i="108"/>
  <c r="C147" i="108"/>
  <c r="D147" i="108"/>
  <c r="E147" i="108"/>
  <c r="F147" i="108"/>
  <c r="G147" i="108"/>
  <c r="H147" i="108"/>
  <c r="B305" i="108"/>
  <c r="C305" i="108"/>
  <c r="D305" i="108"/>
  <c r="E305" i="108"/>
  <c r="F305" i="108"/>
  <c r="G305" i="108"/>
  <c r="H305" i="108"/>
  <c r="B394" i="108"/>
  <c r="C394" i="108"/>
  <c r="D394" i="108"/>
  <c r="E394" i="108"/>
  <c r="F394" i="108"/>
  <c r="G394" i="108"/>
  <c r="H394" i="108"/>
  <c r="B197" i="108"/>
  <c r="C197" i="108"/>
  <c r="D197" i="108"/>
  <c r="E197" i="108"/>
  <c r="F197" i="108"/>
  <c r="G197" i="108"/>
  <c r="H197" i="108"/>
  <c r="B307" i="108"/>
  <c r="C307" i="108"/>
  <c r="D307" i="108"/>
  <c r="E307" i="108"/>
  <c r="F307" i="108"/>
  <c r="G307" i="108"/>
  <c r="H307" i="108"/>
  <c r="B83" i="108"/>
  <c r="C83" i="108"/>
  <c r="D83" i="108"/>
  <c r="E83" i="108"/>
  <c r="F83" i="108"/>
  <c r="G83" i="108"/>
  <c r="H83" i="108"/>
  <c r="B637" i="108"/>
  <c r="C637" i="108"/>
  <c r="D637" i="108"/>
  <c r="E637" i="108"/>
  <c r="F637" i="108"/>
  <c r="G637" i="108"/>
  <c r="H637" i="108"/>
  <c r="B545" i="108"/>
  <c r="C545" i="108"/>
  <c r="D545" i="108"/>
  <c r="E545" i="108"/>
  <c r="F545" i="108"/>
  <c r="G545" i="108"/>
  <c r="H545" i="108"/>
  <c r="B546" i="108"/>
  <c r="C546" i="108"/>
  <c r="D546" i="108"/>
  <c r="E546" i="108"/>
  <c r="F546" i="108"/>
  <c r="G546" i="108"/>
  <c r="H546" i="108"/>
  <c r="B714" i="108"/>
  <c r="C714" i="108"/>
  <c r="D714" i="108"/>
  <c r="E714" i="108"/>
  <c r="F714" i="108"/>
  <c r="G714" i="108"/>
  <c r="H714" i="108"/>
  <c r="B230" i="108"/>
  <c r="C230" i="108"/>
  <c r="D230" i="108"/>
  <c r="E230" i="108"/>
  <c r="F230" i="108"/>
  <c r="G230" i="108"/>
  <c r="H230" i="108"/>
  <c r="B396" i="108"/>
  <c r="C396" i="108"/>
  <c r="D396" i="108"/>
  <c r="E396" i="108"/>
  <c r="F396" i="108"/>
  <c r="G396" i="108"/>
  <c r="H396" i="108"/>
  <c r="B129" i="108"/>
  <c r="C129" i="108"/>
  <c r="D129" i="108"/>
  <c r="E129" i="108"/>
  <c r="F129" i="108"/>
  <c r="G129" i="108"/>
  <c r="H129" i="108"/>
  <c r="B46" i="108"/>
  <c r="C46" i="108"/>
  <c r="D46" i="108"/>
  <c r="E46" i="108"/>
  <c r="F46" i="108"/>
  <c r="G46" i="108"/>
  <c r="H46" i="108"/>
  <c r="B723" i="108"/>
  <c r="C723" i="108"/>
  <c r="D723" i="108"/>
  <c r="E723" i="108"/>
  <c r="F723" i="108"/>
  <c r="G723" i="108"/>
  <c r="H723" i="108"/>
  <c r="B82" i="108"/>
  <c r="C82" i="108"/>
  <c r="D82" i="108"/>
  <c r="E82" i="108"/>
  <c r="F82" i="108"/>
  <c r="G82" i="108"/>
  <c r="H82" i="108"/>
  <c r="B477" i="108"/>
  <c r="C477" i="108"/>
  <c r="D477" i="108"/>
  <c r="E477" i="108"/>
  <c r="F477" i="108"/>
  <c r="G477" i="108"/>
  <c r="H477" i="108"/>
  <c r="B199" i="108"/>
  <c r="C199" i="108"/>
  <c r="D199" i="108"/>
  <c r="E199" i="108"/>
  <c r="F199" i="108"/>
  <c r="G199" i="108"/>
  <c r="H199" i="108"/>
  <c r="B180" i="108"/>
  <c r="C180" i="108"/>
  <c r="D180" i="108"/>
  <c r="E180" i="108"/>
  <c r="F180" i="108"/>
  <c r="G180" i="108"/>
  <c r="H180" i="108"/>
  <c r="B751" i="108"/>
  <c r="C751" i="108"/>
  <c r="D751" i="108"/>
  <c r="E751" i="108"/>
  <c r="F751" i="108"/>
  <c r="G751" i="108"/>
  <c r="H751" i="108"/>
  <c r="B749" i="108"/>
  <c r="C749" i="108"/>
  <c r="D749" i="108"/>
  <c r="E749" i="108"/>
  <c r="F749" i="108"/>
  <c r="G749" i="108"/>
  <c r="H749" i="108"/>
  <c r="B708" i="108"/>
  <c r="C708" i="108"/>
  <c r="D708" i="108"/>
  <c r="E708" i="108"/>
  <c r="F708" i="108"/>
  <c r="G708" i="108"/>
  <c r="H708" i="108"/>
  <c r="B523" i="108"/>
  <c r="C523" i="108"/>
  <c r="D523" i="108"/>
  <c r="E523" i="108"/>
  <c r="F523" i="108"/>
  <c r="G523" i="108"/>
  <c r="H523" i="108"/>
  <c r="B252" i="108"/>
  <c r="C252" i="108"/>
  <c r="D252" i="108"/>
  <c r="E252" i="108"/>
  <c r="F252" i="108"/>
  <c r="G252" i="108"/>
  <c r="H252" i="108"/>
  <c r="B504" i="108"/>
  <c r="C504" i="108"/>
  <c r="D504" i="108"/>
  <c r="E504" i="108"/>
  <c r="F504" i="108"/>
  <c r="G504" i="108"/>
  <c r="H504" i="108"/>
  <c r="B36" i="108"/>
  <c r="C36" i="108"/>
  <c r="D36" i="108"/>
  <c r="E36" i="108"/>
  <c r="F36" i="108"/>
  <c r="G36" i="108"/>
  <c r="H36" i="108"/>
  <c r="B70" i="108"/>
  <c r="C70" i="108"/>
  <c r="D70" i="108"/>
  <c r="E70" i="108"/>
  <c r="F70" i="108"/>
  <c r="G70" i="108"/>
  <c r="H70" i="108"/>
  <c r="B141" i="108"/>
  <c r="C141" i="108"/>
  <c r="D141" i="108"/>
  <c r="E141" i="108"/>
  <c r="F141" i="108"/>
  <c r="G141" i="108"/>
  <c r="H141" i="108"/>
  <c r="B237" i="108"/>
  <c r="C237" i="108"/>
  <c r="D237" i="108"/>
  <c r="E237" i="108"/>
  <c r="F237" i="108"/>
  <c r="G237" i="108"/>
  <c r="H237" i="108"/>
  <c r="B253" i="108"/>
  <c r="C253" i="108"/>
  <c r="D253" i="108"/>
  <c r="E253" i="108"/>
  <c r="F253" i="108"/>
  <c r="G253" i="108"/>
  <c r="H253" i="108"/>
  <c r="B332" i="108"/>
  <c r="C332" i="108"/>
  <c r="D332" i="108"/>
  <c r="E332" i="108"/>
  <c r="F332" i="108"/>
  <c r="G332" i="108"/>
  <c r="H332" i="108"/>
  <c r="B580" i="108"/>
  <c r="C580" i="108"/>
  <c r="D580" i="108"/>
  <c r="E580" i="108"/>
  <c r="F580" i="108"/>
  <c r="G580" i="108"/>
  <c r="H580" i="108"/>
  <c r="B425" i="108"/>
  <c r="C425" i="108"/>
  <c r="D425" i="108"/>
  <c r="E425" i="108"/>
  <c r="F425" i="108"/>
  <c r="G425" i="108"/>
  <c r="H425" i="108"/>
  <c r="B37" i="108"/>
  <c r="C37" i="108"/>
  <c r="D37" i="108"/>
  <c r="E37" i="108"/>
  <c r="F37" i="108"/>
  <c r="G37" i="108"/>
  <c r="H37" i="108"/>
  <c r="B71" i="108"/>
  <c r="C71" i="108"/>
  <c r="D71" i="108"/>
  <c r="E71" i="108"/>
  <c r="F71" i="108"/>
  <c r="G71" i="108"/>
  <c r="H71" i="108"/>
  <c r="B117" i="108"/>
  <c r="C117" i="108"/>
  <c r="D117" i="108"/>
  <c r="E117" i="108"/>
  <c r="F117" i="108"/>
  <c r="G117" i="108"/>
  <c r="H117" i="108"/>
  <c r="B118" i="108"/>
  <c r="C118" i="108"/>
  <c r="D118" i="108"/>
  <c r="E118" i="108"/>
  <c r="F118" i="108"/>
  <c r="G118" i="108"/>
  <c r="H118" i="108"/>
  <c r="B238" i="108"/>
  <c r="C238" i="108"/>
  <c r="D238" i="108"/>
  <c r="E238" i="108"/>
  <c r="F238" i="108"/>
  <c r="G238" i="108"/>
  <c r="H238" i="108"/>
  <c r="B243" i="108"/>
  <c r="C243" i="108"/>
  <c r="D243" i="108"/>
  <c r="E243" i="108"/>
  <c r="F243" i="108"/>
  <c r="G243" i="108"/>
  <c r="H243" i="108"/>
  <c r="B119" i="108"/>
  <c r="C119" i="108"/>
  <c r="D119" i="108"/>
  <c r="E119" i="108"/>
  <c r="F119" i="108"/>
  <c r="G119" i="108"/>
  <c r="H119" i="108"/>
  <c r="B368" i="108"/>
  <c r="C368" i="108"/>
  <c r="D368" i="108"/>
  <c r="E368" i="108"/>
  <c r="F368" i="108"/>
  <c r="G368" i="108"/>
  <c r="H368" i="108"/>
  <c r="B72" i="108"/>
  <c r="C72" i="108"/>
  <c r="D72" i="108"/>
  <c r="E72" i="108"/>
  <c r="F72" i="108"/>
  <c r="G72" i="108"/>
  <c r="H72" i="108"/>
  <c r="B73" i="108"/>
  <c r="C73" i="108"/>
  <c r="D73" i="108"/>
  <c r="E73" i="108"/>
  <c r="F73" i="108"/>
  <c r="G73" i="108"/>
  <c r="H73" i="108"/>
  <c r="B321" i="108"/>
  <c r="C321" i="108"/>
  <c r="D321" i="108"/>
  <c r="E321" i="108"/>
  <c r="F321" i="108"/>
  <c r="G321" i="108"/>
  <c r="H321" i="108"/>
  <c r="B385" i="108"/>
  <c r="C385" i="108"/>
  <c r="D385" i="108"/>
  <c r="E385" i="108"/>
  <c r="F385" i="108"/>
  <c r="G385" i="108"/>
  <c r="H385" i="108"/>
  <c r="B120" i="108"/>
  <c r="C120" i="108"/>
  <c r="D120" i="108"/>
  <c r="E120" i="108"/>
  <c r="F120" i="108"/>
  <c r="G120" i="108"/>
  <c r="H120" i="108"/>
  <c r="B616" i="108"/>
  <c r="C616" i="108"/>
  <c r="D616" i="108"/>
  <c r="E616" i="108"/>
  <c r="F616" i="108"/>
  <c r="G616" i="108"/>
  <c r="H616" i="108"/>
  <c r="B297" i="108"/>
  <c r="C297" i="108"/>
  <c r="D297" i="108"/>
  <c r="E297" i="108"/>
  <c r="F297" i="108"/>
  <c r="G297" i="108"/>
  <c r="H297" i="108"/>
  <c r="B632" i="108"/>
  <c r="C632" i="108"/>
  <c r="D632" i="108"/>
  <c r="E632" i="108"/>
  <c r="F632" i="108"/>
  <c r="G632" i="108"/>
  <c r="H632" i="108"/>
  <c r="B74" i="108"/>
  <c r="C74" i="108"/>
  <c r="D74" i="108"/>
  <c r="E74" i="108"/>
  <c r="F74" i="108"/>
  <c r="G74" i="108"/>
  <c r="H74" i="108"/>
  <c r="B534" i="108"/>
  <c r="C534" i="108"/>
  <c r="D534" i="108"/>
  <c r="E534" i="108"/>
  <c r="F534" i="108"/>
  <c r="G534" i="108"/>
  <c r="H534" i="108"/>
  <c r="B640" i="108"/>
  <c r="C640" i="108"/>
  <c r="D640" i="108"/>
  <c r="E640" i="108"/>
  <c r="F640" i="108"/>
  <c r="G640" i="108"/>
  <c r="H640" i="108"/>
  <c r="B602" i="108"/>
  <c r="C602" i="108"/>
  <c r="D602" i="108"/>
  <c r="E602" i="108"/>
  <c r="F602" i="108"/>
  <c r="G602" i="108"/>
  <c r="H602" i="108"/>
  <c r="B322" i="108"/>
  <c r="C322" i="108"/>
  <c r="D322" i="108"/>
  <c r="E322" i="108"/>
  <c r="F322" i="108"/>
  <c r="G322" i="108"/>
  <c r="H322" i="108"/>
  <c r="B603" i="108"/>
  <c r="C603" i="108"/>
  <c r="D603" i="108"/>
  <c r="E603" i="108"/>
  <c r="F603" i="108"/>
  <c r="G603" i="108"/>
  <c r="H603" i="108"/>
  <c r="B725" i="108"/>
  <c r="C725" i="108"/>
  <c r="D725" i="108"/>
  <c r="E725" i="108"/>
  <c r="F725" i="108"/>
  <c r="G725" i="108"/>
  <c r="H725" i="108"/>
  <c r="B105" i="108"/>
  <c r="C105" i="108"/>
  <c r="D105" i="108"/>
  <c r="E105" i="108"/>
  <c r="F105" i="108"/>
  <c r="G105" i="108"/>
  <c r="H105" i="108"/>
  <c r="B592" i="108"/>
  <c r="C592" i="108"/>
  <c r="D592" i="108"/>
  <c r="E592" i="108"/>
  <c r="F592" i="108"/>
  <c r="G592" i="108"/>
  <c r="H592" i="108"/>
  <c r="B23" i="108"/>
  <c r="C23" i="108"/>
  <c r="D23" i="108"/>
  <c r="E23" i="108"/>
  <c r="F23" i="108"/>
  <c r="G23" i="108"/>
  <c r="H23" i="108"/>
  <c r="B24" i="108"/>
  <c r="C24" i="108"/>
  <c r="D24" i="108"/>
  <c r="E24" i="108"/>
  <c r="F24" i="108"/>
  <c r="G24" i="108"/>
  <c r="H24" i="108"/>
  <c r="B513" i="108"/>
  <c r="C513" i="108"/>
  <c r="D513" i="108"/>
  <c r="E513" i="108"/>
  <c r="F513" i="108"/>
  <c r="G513" i="108"/>
  <c r="H513" i="108"/>
  <c r="B694" i="108"/>
  <c r="C694" i="108"/>
  <c r="D694" i="108"/>
  <c r="E694" i="108"/>
  <c r="F694" i="108"/>
  <c r="G694" i="108"/>
  <c r="H694" i="108"/>
  <c r="B695" i="108"/>
  <c r="C695" i="108"/>
  <c r="D695" i="108"/>
  <c r="E695" i="108"/>
  <c r="F695" i="108"/>
  <c r="G695" i="108"/>
  <c r="H695" i="108"/>
  <c r="B528" i="108"/>
  <c r="C528" i="108"/>
  <c r="D528" i="108"/>
  <c r="E528" i="108"/>
  <c r="F528" i="108"/>
  <c r="G528" i="108"/>
  <c r="H528" i="108"/>
  <c r="B572" i="108"/>
  <c r="C572" i="108"/>
  <c r="D572" i="108"/>
  <c r="E572" i="108"/>
  <c r="F572" i="108"/>
  <c r="G572" i="108"/>
  <c r="H572" i="108"/>
  <c r="B263" i="108"/>
  <c r="C263" i="108"/>
  <c r="D263" i="108"/>
  <c r="E263" i="108"/>
  <c r="F263" i="108"/>
  <c r="G263" i="108"/>
  <c r="H263" i="108"/>
  <c r="B264" i="108"/>
  <c r="C264" i="108"/>
  <c r="D264" i="108"/>
  <c r="E264" i="108"/>
  <c r="F264" i="108"/>
  <c r="G264" i="108"/>
  <c r="H264" i="108"/>
  <c r="B229" i="108"/>
  <c r="C229" i="108"/>
  <c r="D229" i="108"/>
  <c r="E229" i="108"/>
  <c r="F229" i="108"/>
  <c r="G229" i="108"/>
  <c r="H229" i="108"/>
  <c r="B643" i="108"/>
  <c r="C643" i="108"/>
  <c r="D643" i="108"/>
  <c r="E643" i="108"/>
  <c r="F643" i="108"/>
  <c r="G643" i="108"/>
  <c r="H643" i="108"/>
  <c r="B644" i="108"/>
  <c r="C644" i="108"/>
  <c r="D644" i="108"/>
  <c r="E644" i="108"/>
  <c r="F644" i="108"/>
  <c r="G644" i="108"/>
  <c r="H644" i="108"/>
  <c r="B645" i="108"/>
  <c r="C645" i="108"/>
  <c r="D645" i="108"/>
  <c r="E645" i="108"/>
  <c r="F645" i="108"/>
  <c r="G645" i="108"/>
  <c r="H645" i="108"/>
  <c r="B696" i="108"/>
  <c r="C696" i="108"/>
  <c r="D696" i="108"/>
  <c r="E696" i="108"/>
  <c r="F696" i="108"/>
  <c r="G696" i="108"/>
  <c r="H696" i="108"/>
  <c r="B25" i="108"/>
  <c r="C25" i="108"/>
  <c r="D25" i="108"/>
  <c r="E25" i="108"/>
  <c r="F25" i="108"/>
  <c r="G25" i="108"/>
  <c r="H25" i="108"/>
  <c r="B529" i="108"/>
  <c r="C529" i="108"/>
  <c r="D529" i="108"/>
  <c r="E529" i="108"/>
  <c r="F529" i="108"/>
  <c r="G529" i="108"/>
  <c r="H529" i="108"/>
  <c r="B127" i="108"/>
  <c r="C127" i="108"/>
  <c r="D127" i="108"/>
  <c r="E127" i="108"/>
  <c r="F127" i="108"/>
  <c r="G127" i="108"/>
  <c r="H127" i="108"/>
  <c r="B713" i="108"/>
  <c r="C713" i="108"/>
  <c r="D713" i="108"/>
  <c r="E713" i="108"/>
  <c r="F713" i="108"/>
  <c r="G713" i="108"/>
  <c r="H713" i="108"/>
  <c r="B593" i="108"/>
  <c r="C593" i="108"/>
  <c r="D593" i="108"/>
  <c r="E593" i="108"/>
  <c r="F593" i="108"/>
  <c r="G593" i="108"/>
  <c r="H593" i="108"/>
  <c r="B239" i="108"/>
  <c r="C239" i="108"/>
  <c r="D239" i="108"/>
  <c r="E239" i="108"/>
  <c r="F239" i="108"/>
  <c r="G239" i="108"/>
  <c r="H239" i="108"/>
  <c r="B494" i="108"/>
  <c r="C494" i="108"/>
  <c r="D494" i="108"/>
  <c r="E494" i="108"/>
  <c r="F494" i="108"/>
  <c r="G494" i="108"/>
  <c r="H494" i="108"/>
  <c r="B358" i="108"/>
  <c r="C358" i="108"/>
  <c r="D358" i="108"/>
  <c r="E358" i="108"/>
  <c r="F358" i="108"/>
  <c r="G358" i="108"/>
  <c r="H358" i="108"/>
  <c r="B573" i="108"/>
  <c r="C573" i="108"/>
  <c r="D573" i="108"/>
  <c r="E573" i="108"/>
  <c r="F573" i="108"/>
  <c r="G573" i="108"/>
  <c r="H573" i="108"/>
  <c r="B475" i="108"/>
  <c r="C475" i="108"/>
  <c r="D475" i="108"/>
  <c r="E475" i="108"/>
  <c r="F475" i="108"/>
  <c r="G475" i="108"/>
  <c r="H475" i="108"/>
  <c r="B415" i="108"/>
  <c r="C415" i="108"/>
  <c r="D415" i="108"/>
  <c r="E415" i="108"/>
  <c r="F415" i="108"/>
  <c r="G415" i="108"/>
  <c r="H415" i="108"/>
  <c r="B542" i="108"/>
  <c r="C542" i="108"/>
  <c r="D542" i="108"/>
  <c r="E542" i="108"/>
  <c r="F542" i="108"/>
  <c r="G542" i="108"/>
  <c r="H542" i="108"/>
  <c r="B543" i="108"/>
  <c r="C543" i="108"/>
  <c r="D543" i="108"/>
  <c r="E543" i="108"/>
  <c r="F543" i="108"/>
  <c r="G543" i="108"/>
  <c r="H543" i="108"/>
  <c r="B453" i="108"/>
  <c r="C453" i="108"/>
  <c r="D453" i="108"/>
  <c r="E453" i="108"/>
  <c r="F453" i="108"/>
  <c r="G453" i="108"/>
  <c r="H453" i="108"/>
  <c r="B308" i="108"/>
  <c r="C308" i="108"/>
  <c r="D308" i="108"/>
  <c r="E308" i="108"/>
  <c r="F308" i="108"/>
  <c r="G308" i="108"/>
  <c r="H308" i="108"/>
  <c r="B668" i="108"/>
  <c r="C668" i="108"/>
  <c r="D668" i="108"/>
  <c r="E668" i="108"/>
  <c r="F668" i="108"/>
  <c r="G668" i="108"/>
  <c r="H668" i="108"/>
  <c r="B722" i="108"/>
  <c r="C722" i="108"/>
  <c r="D722" i="108"/>
  <c r="E722" i="108"/>
  <c r="F722" i="108"/>
  <c r="G722" i="108"/>
  <c r="H722" i="108"/>
  <c r="B607" i="108"/>
  <c r="C607" i="108"/>
  <c r="D607" i="108"/>
  <c r="E607" i="108"/>
  <c r="F607" i="108"/>
  <c r="G607" i="108"/>
  <c r="H607" i="108"/>
  <c r="B669" i="108"/>
  <c r="C669" i="108"/>
  <c r="D669" i="108"/>
  <c r="E669" i="108"/>
  <c r="F669" i="108"/>
  <c r="G669" i="108"/>
  <c r="H669" i="108"/>
  <c r="B106" i="108"/>
  <c r="C106" i="108"/>
  <c r="D106" i="108"/>
  <c r="E106" i="108"/>
  <c r="F106" i="108"/>
  <c r="G106" i="108"/>
  <c r="H106" i="108"/>
  <c r="B240" i="108"/>
  <c r="C240" i="108"/>
  <c r="D240" i="108"/>
  <c r="E240" i="108"/>
  <c r="F240" i="108"/>
  <c r="G240" i="108"/>
  <c r="H240" i="108"/>
  <c r="B128" i="108"/>
  <c r="C128" i="108"/>
  <c r="D128" i="108"/>
  <c r="E128" i="108"/>
  <c r="F128" i="108"/>
  <c r="G128" i="108"/>
  <c r="H128" i="108"/>
  <c r="B198" i="108"/>
  <c r="C198" i="108"/>
  <c r="D198" i="108"/>
  <c r="E198" i="108"/>
  <c r="F198" i="108"/>
  <c r="G198" i="108"/>
  <c r="H198" i="108"/>
  <c r="B156" i="108"/>
  <c r="C156" i="108"/>
  <c r="D156" i="108"/>
  <c r="E156" i="108"/>
  <c r="F156" i="108"/>
  <c r="G156" i="108"/>
  <c r="H156" i="108"/>
  <c r="B377" i="108"/>
  <c r="C377" i="108"/>
  <c r="D377" i="108"/>
  <c r="E377" i="108"/>
  <c r="F377" i="108"/>
  <c r="G377" i="108"/>
  <c r="H377" i="108"/>
  <c r="B431" i="108"/>
  <c r="C431" i="108"/>
  <c r="D431" i="108"/>
  <c r="E431" i="108"/>
  <c r="F431" i="108"/>
  <c r="G431" i="108"/>
  <c r="H431" i="108"/>
  <c r="B697" i="108"/>
  <c r="C697" i="108"/>
  <c r="D697" i="108"/>
  <c r="E697" i="108"/>
  <c r="F697" i="108"/>
  <c r="G697" i="108"/>
  <c r="H697" i="108"/>
  <c r="B179" i="108"/>
  <c r="C179" i="108"/>
  <c r="D179" i="108"/>
  <c r="E179" i="108"/>
  <c r="F179" i="108"/>
  <c r="G179" i="108"/>
  <c r="H179" i="108"/>
  <c r="B339" i="108"/>
  <c r="C339" i="108"/>
  <c r="D339" i="108"/>
  <c r="E339" i="108"/>
  <c r="F339" i="108"/>
  <c r="G339" i="108"/>
  <c r="H339" i="108"/>
  <c r="B743" i="108"/>
  <c r="C743" i="108"/>
  <c r="D743" i="108"/>
  <c r="E743" i="108"/>
  <c r="F743" i="108"/>
  <c r="G743" i="108"/>
  <c r="H743" i="108"/>
  <c r="B606" i="108"/>
  <c r="C606" i="108"/>
  <c r="D606" i="108"/>
  <c r="E606" i="108"/>
  <c r="F606" i="108"/>
  <c r="G606" i="108"/>
  <c r="H606" i="108"/>
  <c r="B142" i="108"/>
  <c r="C142" i="108"/>
  <c r="D142" i="108"/>
  <c r="E142" i="108"/>
  <c r="F142" i="108"/>
  <c r="G142" i="108"/>
  <c r="H142" i="108"/>
  <c r="B143" i="108"/>
  <c r="C143" i="108"/>
  <c r="D143" i="108"/>
  <c r="E143" i="108"/>
  <c r="F143" i="108"/>
  <c r="G143" i="108"/>
  <c r="H143" i="108"/>
  <c r="B488" i="108"/>
  <c r="C488" i="108"/>
  <c r="D488" i="108"/>
  <c r="E488" i="108"/>
  <c r="F488" i="108"/>
  <c r="G488" i="108"/>
  <c r="H488" i="108"/>
  <c r="B468" i="108"/>
  <c r="C468" i="108"/>
  <c r="D468" i="108"/>
  <c r="E468" i="108"/>
  <c r="F468" i="108"/>
  <c r="G468" i="108"/>
  <c r="H468" i="108"/>
  <c r="B469" i="108"/>
  <c r="C469" i="108"/>
  <c r="D469" i="108"/>
  <c r="E469" i="108"/>
  <c r="F469" i="108"/>
  <c r="G469" i="108"/>
  <c r="H469" i="108"/>
  <c r="B54" i="108"/>
  <c r="C54" i="108"/>
  <c r="D54" i="108"/>
  <c r="E54" i="108"/>
  <c r="F54" i="108"/>
  <c r="G54" i="108"/>
  <c r="H54" i="108"/>
  <c r="B538" i="108"/>
  <c r="C538" i="108"/>
  <c r="D538" i="108"/>
  <c r="E538" i="108"/>
  <c r="F538" i="108"/>
  <c r="G538" i="108"/>
  <c r="H538" i="108"/>
  <c r="B55" i="108"/>
  <c r="C55" i="108"/>
  <c r="D55" i="108"/>
  <c r="E55" i="108"/>
  <c r="F55" i="108"/>
  <c r="G55" i="108"/>
  <c r="H55" i="108"/>
  <c r="B664" i="108"/>
  <c r="C664" i="108"/>
  <c r="D664" i="108"/>
  <c r="E664" i="108"/>
  <c r="F664" i="108"/>
  <c r="G664" i="108"/>
  <c r="H664" i="108"/>
  <c r="B277" i="108"/>
  <c r="C277" i="108"/>
  <c r="D277" i="108"/>
  <c r="E277" i="108"/>
  <c r="F277" i="108"/>
  <c r="G277" i="108"/>
  <c r="H277" i="108"/>
  <c r="B476" i="108"/>
  <c r="C476" i="108"/>
  <c r="D476" i="108"/>
  <c r="E476" i="108"/>
  <c r="F476" i="108"/>
  <c r="G476" i="108"/>
  <c r="H476" i="108"/>
  <c r="B417" i="108"/>
  <c r="C417" i="108"/>
  <c r="D417" i="108"/>
  <c r="E417" i="108"/>
  <c r="F417" i="108"/>
  <c r="G417" i="108"/>
  <c r="H417" i="108"/>
  <c r="B283" i="108"/>
  <c r="C283" i="108"/>
  <c r="D283" i="108"/>
  <c r="E283" i="108"/>
  <c r="F283" i="108"/>
  <c r="G283" i="108"/>
  <c r="H283" i="108"/>
  <c r="B43" i="108"/>
  <c r="C43" i="108"/>
  <c r="D43" i="108"/>
  <c r="E43" i="108"/>
  <c r="F43" i="108"/>
  <c r="G43" i="108"/>
  <c r="H43" i="108"/>
  <c r="B62" i="108"/>
  <c r="C62" i="108"/>
  <c r="D62" i="108"/>
  <c r="E62" i="108"/>
  <c r="F62" i="108"/>
  <c r="G62" i="108"/>
  <c r="H62" i="108"/>
  <c r="B258" i="108"/>
  <c r="C258" i="108"/>
  <c r="D258" i="108"/>
  <c r="E258" i="108"/>
  <c r="F258" i="108"/>
  <c r="G258" i="108"/>
  <c r="H258" i="108"/>
  <c r="B392" i="108"/>
  <c r="C392" i="108"/>
  <c r="D392" i="108"/>
  <c r="E392" i="108"/>
  <c r="F392" i="108"/>
  <c r="G392" i="108"/>
  <c r="H392" i="108"/>
  <c r="B40" i="108"/>
  <c r="C40" i="108"/>
  <c r="D40" i="108"/>
  <c r="E40" i="108"/>
  <c r="F40" i="108"/>
  <c r="G40" i="108"/>
  <c r="H40" i="108"/>
  <c r="B94" i="108"/>
  <c r="C94" i="108"/>
  <c r="D94" i="108"/>
  <c r="E94" i="108"/>
  <c r="F94" i="108"/>
  <c r="G94" i="108"/>
  <c r="H94" i="108"/>
  <c r="B95" i="108"/>
  <c r="C95" i="108"/>
  <c r="D95" i="108"/>
  <c r="E95" i="108"/>
  <c r="F95" i="108"/>
  <c r="G95" i="108"/>
  <c r="H95" i="108"/>
  <c r="B744" i="108"/>
  <c r="C744" i="108"/>
  <c r="D744" i="108"/>
  <c r="E744" i="108"/>
  <c r="F744" i="108"/>
  <c r="G744" i="108"/>
  <c r="H744" i="108"/>
  <c r="B745" i="108"/>
  <c r="C745" i="108"/>
  <c r="D745" i="108"/>
  <c r="E745" i="108"/>
  <c r="F745" i="108"/>
  <c r="G745" i="108"/>
  <c r="H745" i="108"/>
  <c r="B559" i="108"/>
  <c r="C559" i="108"/>
  <c r="D559" i="108"/>
  <c r="E559" i="108"/>
  <c r="F559" i="108"/>
  <c r="G559" i="108"/>
  <c r="H559" i="108"/>
  <c r="B568" i="108"/>
  <c r="C568" i="108"/>
  <c r="D568" i="108"/>
  <c r="E568" i="108"/>
  <c r="F568" i="108"/>
  <c r="G568" i="108"/>
  <c r="H568" i="108"/>
  <c r="B175" i="108"/>
  <c r="C175" i="108"/>
  <c r="D175" i="108"/>
  <c r="E175" i="108"/>
  <c r="F175" i="108"/>
  <c r="G175" i="108"/>
  <c r="H175" i="108"/>
  <c r="B126" i="108"/>
  <c r="C126" i="108"/>
  <c r="D126" i="108"/>
  <c r="E126" i="108"/>
  <c r="F126" i="108"/>
  <c r="G126" i="108"/>
  <c r="H126" i="108"/>
  <c r="B430" i="108"/>
  <c r="C430" i="108"/>
  <c r="D430" i="108"/>
  <c r="E430" i="108"/>
  <c r="F430" i="108"/>
  <c r="G430" i="108"/>
  <c r="H430" i="108"/>
  <c r="B226" i="108"/>
  <c r="C226" i="108"/>
  <c r="D226" i="108"/>
  <c r="E226" i="108"/>
  <c r="F226" i="108"/>
  <c r="G226" i="108"/>
  <c r="H226" i="108"/>
  <c r="B19" i="108"/>
  <c r="C19" i="108"/>
  <c r="D19" i="108"/>
  <c r="E19" i="108"/>
  <c r="F19" i="108"/>
  <c r="G19" i="108"/>
  <c r="H19" i="108"/>
  <c r="B712" i="108"/>
  <c r="C712" i="108"/>
  <c r="D712" i="108"/>
  <c r="E712" i="108"/>
  <c r="F712" i="108"/>
  <c r="G712" i="108"/>
  <c r="H712" i="108"/>
  <c r="B44" i="108"/>
  <c r="C44" i="108"/>
  <c r="D44" i="108"/>
  <c r="E44" i="108"/>
  <c r="F44" i="108"/>
  <c r="G44" i="108"/>
  <c r="H44" i="108"/>
  <c r="B163" i="108"/>
  <c r="C163" i="108"/>
  <c r="D163" i="108"/>
  <c r="E163" i="108"/>
  <c r="F163" i="108"/>
  <c r="G163" i="108"/>
  <c r="H163" i="108"/>
  <c r="B51" i="108"/>
  <c r="C51" i="108"/>
  <c r="D51" i="108"/>
  <c r="E51" i="108"/>
  <c r="F51" i="108"/>
  <c r="G51" i="108"/>
  <c r="H51" i="108"/>
  <c r="B288" i="108"/>
  <c r="C288" i="108"/>
  <c r="D288" i="108"/>
  <c r="E288" i="108"/>
  <c r="F288" i="108"/>
  <c r="G288" i="108"/>
  <c r="H288" i="108"/>
  <c r="B382" i="108"/>
  <c r="C382" i="108"/>
  <c r="D382" i="108"/>
  <c r="E382" i="108"/>
  <c r="F382" i="108"/>
  <c r="G382" i="108"/>
  <c r="H382" i="108"/>
  <c r="B575" i="108"/>
  <c r="C575" i="108"/>
  <c r="D575" i="108"/>
  <c r="E575" i="108"/>
  <c r="F575" i="108"/>
  <c r="G575" i="108"/>
  <c r="H575" i="108"/>
  <c r="B69" i="108"/>
  <c r="C69" i="108"/>
  <c r="D69" i="108"/>
  <c r="E69" i="108"/>
  <c r="F69" i="108"/>
  <c r="G69" i="108"/>
  <c r="H69" i="108"/>
  <c r="B298" i="108"/>
  <c r="C298" i="108"/>
  <c r="D298" i="108"/>
  <c r="E298" i="108"/>
  <c r="F298" i="108"/>
  <c r="G298" i="108"/>
  <c r="H298" i="108"/>
  <c r="B80" i="108"/>
  <c r="C80" i="108"/>
  <c r="D80" i="108"/>
  <c r="E80" i="108"/>
  <c r="F80" i="108"/>
  <c r="G80" i="108"/>
  <c r="H80" i="108"/>
  <c r="B176" i="108"/>
  <c r="C176" i="108"/>
  <c r="D176" i="108"/>
  <c r="E176" i="108"/>
  <c r="F176" i="108"/>
  <c r="G176" i="108"/>
  <c r="H176" i="108"/>
  <c r="B45" i="108"/>
  <c r="C45" i="108"/>
  <c r="D45" i="108"/>
  <c r="E45" i="108"/>
  <c r="F45" i="108"/>
  <c r="G45" i="108"/>
  <c r="H45" i="108"/>
  <c r="B104" i="108"/>
  <c r="C104" i="108"/>
  <c r="D104" i="108"/>
  <c r="E104" i="108"/>
  <c r="F104" i="108"/>
  <c r="G104" i="108"/>
  <c r="H104" i="108"/>
  <c r="B155" i="108"/>
  <c r="C155" i="108"/>
  <c r="D155" i="108"/>
  <c r="E155" i="108"/>
  <c r="F155" i="108"/>
  <c r="G155" i="108"/>
  <c r="H155" i="108"/>
  <c r="B42" i="108"/>
  <c r="C42" i="108"/>
  <c r="D42" i="108"/>
  <c r="E42" i="108"/>
  <c r="F42" i="108"/>
  <c r="G42" i="108"/>
  <c r="H42" i="108"/>
  <c r="B228" i="108"/>
  <c r="C228" i="108"/>
  <c r="D228" i="108"/>
  <c r="E228" i="108"/>
  <c r="F228" i="108"/>
  <c r="G228" i="108"/>
  <c r="H228" i="108"/>
  <c r="B646" i="108"/>
  <c r="C646" i="108"/>
  <c r="D646" i="108"/>
  <c r="E646" i="108"/>
  <c r="F646" i="108"/>
  <c r="G646" i="108"/>
  <c r="H646" i="108"/>
  <c r="B97" i="108"/>
  <c r="C97" i="108"/>
  <c r="D97" i="108"/>
  <c r="E97" i="108"/>
  <c r="F97" i="108"/>
  <c r="G97" i="108"/>
  <c r="H97" i="108"/>
  <c r="B79" i="108"/>
  <c r="C79" i="108"/>
  <c r="D79" i="108"/>
  <c r="E79" i="108"/>
  <c r="F79" i="108"/>
  <c r="G79" i="108"/>
  <c r="H79" i="108"/>
  <c r="B306" i="108"/>
  <c r="C306" i="108"/>
  <c r="D306" i="108"/>
  <c r="E306" i="108"/>
  <c r="F306" i="108"/>
  <c r="G306" i="108"/>
  <c r="H306" i="108"/>
  <c r="B41" i="108"/>
  <c r="C41" i="108"/>
  <c r="D41" i="108"/>
  <c r="E41" i="108"/>
  <c r="F41" i="108"/>
  <c r="G41" i="108"/>
  <c r="H41" i="108"/>
  <c r="B63" i="108"/>
  <c r="C63" i="108"/>
  <c r="D63" i="108"/>
  <c r="E63" i="108"/>
  <c r="F63" i="108"/>
  <c r="G63" i="108"/>
  <c r="H63" i="108"/>
  <c r="B262" i="108"/>
  <c r="C262" i="108"/>
  <c r="D262" i="108"/>
  <c r="E262" i="108"/>
  <c r="F262" i="108"/>
  <c r="G262" i="108"/>
  <c r="H262" i="108"/>
  <c r="B667" i="108"/>
  <c r="C667" i="108"/>
  <c r="D667" i="108"/>
  <c r="E667" i="108"/>
  <c r="F667" i="108"/>
  <c r="G667" i="108"/>
  <c r="H667" i="108"/>
  <c r="B404" i="108"/>
  <c r="C404" i="108"/>
  <c r="D404" i="108"/>
  <c r="E404" i="108"/>
  <c r="F404" i="108"/>
  <c r="G404" i="108"/>
  <c r="H404" i="108"/>
  <c r="B551" i="108"/>
  <c r="C551" i="108"/>
  <c r="D551" i="108"/>
  <c r="E551" i="108"/>
  <c r="F551" i="108"/>
  <c r="G551" i="108"/>
  <c r="H551" i="108"/>
  <c r="B115" i="108"/>
  <c r="C115" i="108"/>
  <c r="D115" i="108"/>
  <c r="E115" i="108"/>
  <c r="F115" i="108"/>
  <c r="G115" i="108"/>
  <c r="H115" i="108"/>
  <c r="B250" i="108"/>
  <c r="C250" i="108"/>
  <c r="D250" i="108"/>
  <c r="E250" i="108"/>
  <c r="F250" i="108"/>
  <c r="G250" i="108"/>
  <c r="H250" i="108"/>
  <c r="B609" i="108"/>
  <c r="C609" i="108"/>
  <c r="D609" i="108"/>
  <c r="E609" i="108"/>
  <c r="F609" i="108"/>
  <c r="G609" i="108"/>
  <c r="H609" i="108"/>
  <c r="B732" i="108"/>
  <c r="C732" i="108"/>
  <c r="D732" i="108"/>
  <c r="E732" i="108"/>
  <c r="F732" i="108"/>
  <c r="G732" i="108"/>
  <c r="H732" i="108"/>
  <c r="B610" i="108"/>
  <c r="C610" i="108"/>
  <c r="D610" i="108"/>
  <c r="E610" i="108"/>
  <c r="F610" i="108"/>
  <c r="G610" i="108"/>
  <c r="H610" i="108"/>
  <c r="B314" i="108"/>
  <c r="C314" i="108"/>
  <c r="D314" i="108"/>
  <c r="E314" i="108"/>
  <c r="F314" i="108"/>
  <c r="G314" i="108"/>
  <c r="H314" i="108"/>
  <c r="B552" i="108"/>
  <c r="C552" i="108"/>
  <c r="D552" i="108"/>
  <c r="E552" i="108"/>
  <c r="F552" i="108"/>
  <c r="G552" i="108"/>
  <c r="H552" i="108"/>
  <c r="B532" i="108"/>
  <c r="C532" i="108"/>
  <c r="D532" i="108"/>
  <c r="E532" i="108"/>
  <c r="F532" i="108"/>
  <c r="G532" i="108"/>
  <c r="H532" i="108"/>
  <c r="B268" i="108"/>
  <c r="C268" i="108"/>
  <c r="D268" i="108"/>
  <c r="E268" i="108"/>
  <c r="F268" i="108"/>
  <c r="G268" i="108"/>
  <c r="H268" i="108"/>
  <c r="B733" i="108"/>
  <c r="C733" i="108"/>
  <c r="D733" i="108"/>
  <c r="E733" i="108"/>
  <c r="F733" i="108"/>
  <c r="G733" i="108"/>
  <c r="H733" i="108"/>
  <c r="B611" i="108"/>
  <c r="C611" i="108"/>
  <c r="D611" i="108"/>
  <c r="E611" i="108"/>
  <c r="F611" i="108"/>
  <c r="G611" i="108"/>
  <c r="H611" i="108"/>
  <c r="B576" i="108"/>
  <c r="C576" i="108"/>
  <c r="D576" i="108"/>
  <c r="E576" i="108"/>
  <c r="F576" i="108"/>
  <c r="G576" i="108"/>
  <c r="H576" i="108"/>
  <c r="B234" i="108"/>
  <c r="C234" i="108"/>
  <c r="D234" i="108"/>
  <c r="E234" i="108"/>
  <c r="F234" i="108"/>
  <c r="G234" i="108"/>
  <c r="H234" i="108"/>
  <c r="B205" i="108"/>
  <c r="C205" i="108"/>
  <c r="D205" i="108"/>
  <c r="E205" i="108"/>
  <c r="F205" i="108"/>
  <c r="G205" i="108"/>
  <c r="H205" i="108"/>
  <c r="B717" i="108"/>
  <c r="C717" i="108"/>
  <c r="D717" i="108"/>
  <c r="E717" i="108"/>
  <c r="F717" i="108"/>
  <c r="G717" i="108"/>
  <c r="H717" i="108"/>
  <c r="B15" i="108"/>
  <c r="C15" i="108"/>
  <c r="D15" i="108"/>
  <c r="E15" i="108"/>
  <c r="F15" i="108"/>
  <c r="G15" i="108"/>
  <c r="H15" i="108"/>
  <c r="B688" i="108"/>
  <c r="C688" i="108"/>
  <c r="D688" i="108"/>
  <c r="E688" i="108"/>
  <c r="F688" i="108"/>
  <c r="G688" i="108"/>
  <c r="H688" i="108"/>
  <c r="B734" i="108"/>
  <c r="C734" i="108"/>
  <c r="D734" i="108"/>
  <c r="E734" i="108"/>
  <c r="F734" i="108"/>
  <c r="G734" i="108"/>
  <c r="H734" i="108"/>
  <c r="B689" i="108"/>
  <c r="C689" i="108"/>
  <c r="D689" i="108"/>
  <c r="E689" i="108"/>
  <c r="F689" i="108"/>
  <c r="G689" i="108"/>
  <c r="H689" i="108"/>
  <c r="B735" i="108"/>
  <c r="C735" i="108"/>
  <c r="D735" i="108"/>
  <c r="E735" i="108"/>
  <c r="F735" i="108"/>
  <c r="G735" i="108"/>
  <c r="H735" i="108"/>
  <c r="B629" i="108"/>
  <c r="C629" i="108"/>
  <c r="D629" i="108"/>
  <c r="E629" i="108"/>
  <c r="F629" i="108"/>
  <c r="G629" i="108"/>
  <c r="H629" i="108"/>
  <c r="B630" i="108"/>
  <c r="C630" i="108"/>
  <c r="D630" i="108"/>
  <c r="E630" i="108"/>
  <c r="F630" i="108"/>
  <c r="G630" i="108"/>
  <c r="H630" i="108"/>
  <c r="B553" i="108"/>
  <c r="C553" i="108"/>
  <c r="D553" i="108"/>
  <c r="E553" i="108"/>
  <c r="F553" i="108"/>
  <c r="G553" i="108"/>
  <c r="H553" i="108"/>
  <c r="B612" i="108"/>
  <c r="C612" i="108"/>
  <c r="D612" i="108"/>
  <c r="E612" i="108"/>
  <c r="F612" i="108"/>
  <c r="G612" i="108"/>
  <c r="H612" i="108"/>
  <c r="B269" i="108"/>
  <c r="C269" i="108"/>
  <c r="D269" i="108"/>
  <c r="E269" i="108"/>
  <c r="F269" i="108"/>
  <c r="G269" i="108"/>
  <c r="H269" i="108"/>
  <c r="B443" i="108"/>
  <c r="C443" i="108"/>
  <c r="D443" i="108"/>
  <c r="E443" i="108"/>
  <c r="F443" i="108"/>
  <c r="G443" i="108"/>
  <c r="H443" i="108"/>
  <c r="B330" i="108"/>
  <c r="C330" i="108"/>
  <c r="D330" i="108"/>
  <c r="E330" i="108"/>
  <c r="F330" i="108"/>
  <c r="G330" i="108"/>
  <c r="H330" i="108"/>
  <c r="B703" i="108"/>
  <c r="C703" i="108"/>
  <c r="D703" i="108"/>
  <c r="E703" i="108"/>
  <c r="F703" i="108"/>
  <c r="G703" i="108"/>
  <c r="H703" i="108"/>
  <c r="B533" i="108"/>
  <c r="C533" i="108"/>
  <c r="D533" i="108"/>
  <c r="E533" i="108"/>
  <c r="F533" i="108"/>
  <c r="G533" i="108"/>
  <c r="H533" i="108"/>
  <c r="B315" i="108"/>
  <c r="C315" i="108"/>
  <c r="D315" i="108"/>
  <c r="E315" i="108"/>
  <c r="F315" i="108"/>
  <c r="G315" i="108"/>
  <c r="H315" i="108"/>
  <c r="B316" i="108"/>
  <c r="C316" i="108"/>
  <c r="D316" i="108"/>
  <c r="E316" i="108"/>
  <c r="F316" i="108"/>
  <c r="G316" i="108"/>
  <c r="H316" i="108"/>
  <c r="B134" i="108"/>
  <c r="C134" i="108"/>
  <c r="D134" i="108"/>
  <c r="E134" i="108"/>
  <c r="F134" i="108"/>
  <c r="G134" i="108"/>
  <c r="H134" i="108"/>
  <c r="B465" i="108"/>
  <c r="C465" i="108"/>
  <c r="D465" i="108"/>
  <c r="E465" i="108"/>
  <c r="F465" i="108"/>
  <c r="G465" i="108"/>
  <c r="H465" i="108"/>
  <c r="B317" i="108"/>
  <c r="C317" i="108"/>
  <c r="D317" i="108"/>
  <c r="E317" i="108"/>
  <c r="F317" i="108"/>
  <c r="G317" i="108"/>
  <c r="H317" i="108"/>
  <c r="B29" i="108"/>
  <c r="C29" i="108"/>
  <c r="D29" i="108"/>
  <c r="E29" i="108"/>
  <c r="F29" i="108"/>
  <c r="G29" i="108"/>
  <c r="H29" i="108"/>
  <c r="B518" i="108"/>
  <c r="C518" i="108"/>
  <c r="D518" i="108"/>
  <c r="E518" i="108"/>
  <c r="F518" i="108"/>
  <c r="G518" i="108"/>
  <c r="H518" i="108"/>
  <c r="B206" i="108"/>
  <c r="C206" i="108"/>
  <c r="D206" i="108"/>
  <c r="E206" i="108"/>
  <c r="F206" i="108"/>
  <c r="G206" i="108"/>
  <c r="H206" i="108"/>
  <c r="B207" i="108"/>
  <c r="C207" i="108"/>
  <c r="D207" i="108"/>
  <c r="E207" i="108"/>
  <c r="F207" i="108"/>
  <c r="G207" i="108"/>
  <c r="H207" i="108"/>
  <c r="B208" i="108"/>
  <c r="C208" i="108"/>
  <c r="D208" i="108"/>
  <c r="E208" i="108"/>
  <c r="F208" i="108"/>
  <c r="G208" i="108"/>
  <c r="H208" i="108"/>
  <c r="B209" i="108"/>
  <c r="C209" i="108"/>
  <c r="D209" i="108"/>
  <c r="E209" i="108"/>
  <c r="F209" i="108"/>
  <c r="G209" i="108"/>
  <c r="H209" i="108"/>
  <c r="B210" i="108"/>
  <c r="C210" i="108"/>
  <c r="D210" i="108"/>
  <c r="E210" i="108"/>
  <c r="F210" i="108"/>
  <c r="G210" i="108"/>
  <c r="H210" i="108"/>
  <c r="B187" i="108"/>
  <c r="C187" i="108"/>
  <c r="D187" i="108"/>
  <c r="E187" i="108"/>
  <c r="F187" i="108"/>
  <c r="G187" i="108"/>
  <c r="H187" i="108"/>
  <c r="B211" i="108"/>
  <c r="C211" i="108"/>
  <c r="D211" i="108"/>
  <c r="E211" i="108"/>
  <c r="F211" i="108"/>
  <c r="G211" i="108"/>
  <c r="H211" i="108"/>
  <c r="B270" i="108"/>
  <c r="C270" i="108"/>
  <c r="D270" i="108"/>
  <c r="E270" i="108"/>
  <c r="F270" i="108"/>
  <c r="G270" i="108"/>
  <c r="H270" i="108"/>
  <c r="B690" i="108"/>
  <c r="C690" i="108"/>
  <c r="D690" i="108"/>
  <c r="E690" i="108"/>
  <c r="F690" i="108"/>
  <c r="G690" i="108"/>
  <c r="H690" i="108"/>
  <c r="B466" i="108"/>
  <c r="C466" i="108"/>
  <c r="D466" i="108"/>
  <c r="E466" i="108"/>
  <c r="F466" i="108"/>
  <c r="G466" i="108"/>
  <c r="H466" i="108"/>
  <c r="B598" i="108"/>
  <c r="C598" i="108"/>
  <c r="D598" i="108"/>
  <c r="E598" i="108"/>
  <c r="F598" i="108"/>
  <c r="G598" i="108"/>
  <c r="H598" i="108"/>
  <c r="B599" i="108"/>
  <c r="C599" i="108"/>
  <c r="D599" i="108"/>
  <c r="E599" i="108"/>
  <c r="F599" i="108"/>
  <c r="G599" i="108"/>
  <c r="H599" i="108"/>
  <c r="B422" i="108"/>
  <c r="C422" i="108"/>
  <c r="D422" i="108"/>
  <c r="E422" i="108"/>
  <c r="F422" i="108"/>
  <c r="G422" i="108"/>
  <c r="H422" i="108"/>
  <c r="B502" i="108"/>
  <c r="C502" i="108"/>
  <c r="D502" i="108"/>
  <c r="E502" i="108"/>
  <c r="F502" i="108"/>
  <c r="G502" i="108"/>
  <c r="H502" i="108"/>
  <c r="B212" i="108"/>
  <c r="C212" i="108"/>
  <c r="D212" i="108"/>
  <c r="E212" i="108"/>
  <c r="F212" i="108"/>
  <c r="G212" i="108"/>
  <c r="H212" i="108"/>
  <c r="B135" i="108"/>
  <c r="C135" i="108"/>
  <c r="D135" i="108"/>
  <c r="E135" i="108"/>
  <c r="F135" i="108"/>
  <c r="G135" i="108"/>
  <c r="H135" i="108"/>
  <c r="B30" i="108"/>
  <c r="C30" i="108"/>
  <c r="D30" i="108"/>
  <c r="E30" i="108"/>
  <c r="F30" i="108"/>
  <c r="G30" i="108"/>
  <c r="H30" i="108"/>
  <c r="B736" i="108"/>
  <c r="C736" i="108"/>
  <c r="D736" i="108"/>
  <c r="E736" i="108"/>
  <c r="F736" i="108"/>
  <c r="G736" i="108"/>
  <c r="H736" i="108"/>
  <c r="B613" i="108"/>
  <c r="C613" i="108"/>
  <c r="D613" i="108"/>
  <c r="E613" i="108"/>
  <c r="F613" i="108"/>
  <c r="G613" i="108"/>
  <c r="H613" i="108"/>
  <c r="B614" i="108"/>
  <c r="C614" i="108"/>
  <c r="D614" i="108"/>
  <c r="E614" i="108"/>
  <c r="F614" i="108"/>
  <c r="G614" i="108"/>
  <c r="H614" i="108"/>
  <c r="B737" i="108"/>
  <c r="C737" i="108"/>
  <c r="D737" i="108"/>
  <c r="E737" i="108"/>
  <c r="F737" i="108"/>
  <c r="G737" i="108"/>
  <c r="H737" i="108"/>
  <c r="B738" i="108"/>
  <c r="C738" i="108"/>
  <c r="D738" i="108"/>
  <c r="E738" i="108"/>
  <c r="F738" i="108"/>
  <c r="G738" i="108"/>
  <c r="H738" i="108"/>
  <c r="B331" i="108"/>
  <c r="C331" i="108"/>
  <c r="D331" i="108"/>
  <c r="E331" i="108"/>
  <c r="F331" i="108"/>
  <c r="G331" i="108"/>
  <c r="H331" i="108"/>
  <c r="B318" i="108"/>
  <c r="C318" i="108"/>
  <c r="D318" i="108"/>
  <c r="E318" i="108"/>
  <c r="F318" i="108"/>
  <c r="G318" i="108"/>
  <c r="H318" i="108"/>
  <c r="B423" i="108"/>
  <c r="C423" i="108"/>
  <c r="D423" i="108"/>
  <c r="E423" i="108"/>
  <c r="F423" i="108"/>
  <c r="G423" i="108"/>
  <c r="H423" i="108"/>
  <c r="B554" i="108"/>
  <c r="C554" i="108"/>
  <c r="D554" i="108"/>
  <c r="E554" i="108"/>
  <c r="F554" i="108"/>
  <c r="G554" i="108"/>
  <c r="H554" i="108"/>
  <c r="B271" i="108"/>
  <c r="C271" i="108"/>
  <c r="D271" i="108"/>
  <c r="E271" i="108"/>
  <c r="F271" i="108"/>
  <c r="G271" i="108"/>
  <c r="H271" i="108"/>
  <c r="B739" i="108"/>
  <c r="C739" i="108"/>
  <c r="D739" i="108"/>
  <c r="E739" i="108"/>
  <c r="F739" i="108"/>
  <c r="G739" i="108"/>
  <c r="H739" i="108"/>
  <c r="B600" i="108"/>
  <c r="C600" i="108"/>
  <c r="D600" i="108"/>
  <c r="E600" i="108"/>
  <c r="F600" i="108"/>
  <c r="G600" i="108"/>
  <c r="H600" i="108"/>
  <c r="B519" i="108"/>
  <c r="C519" i="108"/>
  <c r="D519" i="108"/>
  <c r="E519" i="108"/>
  <c r="F519" i="108"/>
  <c r="G519" i="108"/>
  <c r="H519" i="108"/>
  <c r="B272" i="108"/>
  <c r="C272" i="108"/>
  <c r="D272" i="108"/>
  <c r="E272" i="108"/>
  <c r="F272" i="108"/>
  <c r="G272" i="108"/>
  <c r="H272" i="108"/>
  <c r="B520" i="108"/>
  <c r="C520" i="108"/>
  <c r="D520" i="108"/>
  <c r="E520" i="108"/>
  <c r="F520" i="108"/>
  <c r="G520" i="108"/>
  <c r="H520" i="108"/>
  <c r="B31" i="108"/>
  <c r="C31" i="108"/>
  <c r="D31" i="108"/>
  <c r="E31" i="108"/>
  <c r="F31" i="108"/>
  <c r="G31" i="108"/>
  <c r="H31" i="108"/>
  <c r="B213" i="108"/>
  <c r="C213" i="108"/>
  <c r="D213" i="108"/>
  <c r="E213" i="108"/>
  <c r="F213" i="108"/>
  <c r="G213" i="108"/>
  <c r="H213" i="108"/>
  <c r="B601" i="108"/>
  <c r="C601" i="108"/>
  <c r="D601" i="108"/>
  <c r="E601" i="108"/>
  <c r="F601" i="108"/>
  <c r="G601" i="108"/>
  <c r="H601" i="108"/>
  <c r="B32" i="108"/>
  <c r="C32" i="108"/>
  <c r="D32" i="108"/>
  <c r="E32" i="108"/>
  <c r="F32" i="108"/>
  <c r="G32" i="108"/>
  <c r="H32" i="108"/>
  <c r="B467" i="108"/>
  <c r="C467" i="108"/>
  <c r="D467" i="108"/>
  <c r="E467" i="108"/>
  <c r="F467" i="108"/>
  <c r="G467" i="108"/>
  <c r="H467" i="108"/>
  <c r="B365" i="108"/>
  <c r="C365" i="108"/>
  <c r="D365" i="108"/>
  <c r="E365" i="108"/>
  <c r="F365" i="108"/>
  <c r="G365" i="108"/>
  <c r="H365" i="108"/>
  <c r="B555" i="108"/>
  <c r="C555" i="108"/>
  <c r="D555" i="108"/>
  <c r="E555" i="108"/>
  <c r="F555" i="108"/>
  <c r="G555" i="108"/>
  <c r="H555" i="108"/>
  <c r="B424" i="108"/>
  <c r="C424" i="108"/>
  <c r="D424" i="108"/>
  <c r="E424" i="108"/>
  <c r="F424" i="108"/>
  <c r="G424" i="108"/>
  <c r="H424" i="108"/>
  <c r="B214" i="108"/>
  <c r="C214" i="108"/>
  <c r="D214" i="108"/>
  <c r="E214" i="108"/>
  <c r="F214" i="108"/>
  <c r="G214" i="108"/>
  <c r="H214" i="108"/>
  <c r="B556" i="108"/>
  <c r="C556" i="108"/>
  <c r="D556" i="108"/>
  <c r="E556" i="108"/>
  <c r="F556" i="108"/>
  <c r="G556" i="108"/>
  <c r="H556" i="108"/>
  <c r="B740" i="108"/>
  <c r="C740" i="108"/>
  <c r="D740" i="108"/>
  <c r="E740" i="108"/>
  <c r="F740" i="108"/>
  <c r="G740" i="108"/>
  <c r="H740" i="108"/>
  <c r="B136" i="108"/>
  <c r="C136" i="108"/>
  <c r="D136" i="108"/>
  <c r="E136" i="108"/>
  <c r="F136" i="108"/>
  <c r="G136" i="108"/>
  <c r="H136" i="108"/>
  <c r="B116" i="108"/>
  <c r="C116" i="108"/>
  <c r="D116" i="108"/>
  <c r="E116" i="108"/>
  <c r="F116" i="108"/>
  <c r="G116" i="108"/>
  <c r="H116" i="108"/>
  <c r="B137" i="108"/>
  <c r="C137" i="108"/>
  <c r="D137" i="108"/>
  <c r="E137" i="108"/>
  <c r="F137" i="108"/>
  <c r="G137" i="108"/>
  <c r="H137" i="108"/>
  <c r="B557" i="108"/>
  <c r="C557" i="108"/>
  <c r="D557" i="108"/>
  <c r="E557" i="108"/>
  <c r="F557" i="108"/>
  <c r="G557" i="108"/>
  <c r="H557" i="108"/>
  <c r="B296" i="108"/>
  <c r="C296" i="108"/>
  <c r="D296" i="108"/>
  <c r="E296" i="108"/>
  <c r="F296" i="108"/>
  <c r="G296" i="108"/>
  <c r="H296" i="108"/>
  <c r="B188" i="108"/>
  <c r="C188" i="108"/>
  <c r="D188" i="108"/>
  <c r="E188" i="108"/>
  <c r="F188" i="108"/>
  <c r="G188" i="108"/>
  <c r="H188" i="108"/>
  <c r="B444" i="108"/>
  <c r="C444" i="108"/>
  <c r="D444" i="108"/>
  <c r="E444" i="108"/>
  <c r="F444" i="108"/>
  <c r="G444" i="108"/>
  <c r="H444" i="108"/>
  <c r="B577" i="108"/>
  <c r="C577" i="108"/>
  <c r="D577" i="108"/>
  <c r="E577" i="108"/>
  <c r="F577" i="108"/>
  <c r="G577" i="108"/>
  <c r="H577" i="108"/>
  <c r="B366" i="108"/>
  <c r="C366" i="108"/>
  <c r="D366" i="108"/>
  <c r="E366" i="108"/>
  <c r="F366" i="108"/>
  <c r="G366" i="108"/>
  <c r="H366" i="108"/>
  <c r="B319" i="108"/>
  <c r="C319" i="108"/>
  <c r="D319" i="108"/>
  <c r="E319" i="108"/>
  <c r="F319" i="108"/>
  <c r="G319" i="108"/>
  <c r="H319" i="108"/>
  <c r="B189" i="108"/>
  <c r="C189" i="108"/>
  <c r="D189" i="108"/>
  <c r="E189" i="108"/>
  <c r="F189" i="108"/>
  <c r="G189" i="108"/>
  <c r="H189" i="108"/>
  <c r="B273" i="108"/>
  <c r="C273" i="108"/>
  <c r="D273" i="108"/>
  <c r="E273" i="108"/>
  <c r="F273" i="108"/>
  <c r="G273" i="108"/>
  <c r="H273" i="108"/>
  <c r="B558" i="108"/>
  <c r="C558" i="108"/>
  <c r="D558" i="108"/>
  <c r="E558" i="108"/>
  <c r="F558" i="108"/>
  <c r="G558" i="108"/>
  <c r="H558" i="108"/>
  <c r="B521" i="108"/>
  <c r="C521" i="108"/>
  <c r="D521" i="108"/>
  <c r="E521" i="108"/>
  <c r="F521" i="108"/>
  <c r="G521" i="108"/>
  <c r="H521" i="108"/>
  <c r="B274" i="108"/>
  <c r="C274" i="108"/>
  <c r="D274" i="108"/>
  <c r="E274" i="108"/>
  <c r="F274" i="108"/>
  <c r="G274" i="108"/>
  <c r="H274" i="108"/>
  <c r="B320" i="108"/>
  <c r="C320" i="108"/>
  <c r="D320" i="108"/>
  <c r="E320" i="108"/>
  <c r="F320" i="108"/>
  <c r="G320" i="108"/>
  <c r="H320" i="108"/>
  <c r="B235" i="108"/>
  <c r="C235" i="108"/>
  <c r="D235" i="108"/>
  <c r="E235" i="108"/>
  <c r="F235" i="108"/>
  <c r="G235" i="108"/>
  <c r="H235" i="108"/>
  <c r="B349" i="108"/>
  <c r="C349" i="108"/>
  <c r="D349" i="108"/>
  <c r="E349" i="108"/>
  <c r="F349" i="108"/>
  <c r="G349" i="108"/>
  <c r="H349" i="108"/>
  <c r="B522" i="108"/>
  <c r="C522" i="108"/>
  <c r="D522" i="108"/>
  <c r="E522" i="108"/>
  <c r="F522" i="108"/>
  <c r="G522" i="108"/>
  <c r="H522" i="108"/>
  <c r="B741" i="108"/>
  <c r="C741" i="108"/>
  <c r="D741" i="108"/>
  <c r="E741" i="108"/>
  <c r="F741" i="108"/>
  <c r="G741" i="108"/>
  <c r="H741" i="108"/>
  <c r="B236" i="108"/>
  <c r="C236" i="108"/>
  <c r="D236" i="108"/>
  <c r="E236" i="108"/>
  <c r="F236" i="108"/>
  <c r="G236" i="108"/>
  <c r="H236" i="108"/>
  <c r="B578" i="108"/>
  <c r="C578" i="108"/>
  <c r="D578" i="108"/>
  <c r="E578" i="108"/>
  <c r="F578" i="108"/>
  <c r="G578" i="108"/>
  <c r="H578" i="108"/>
  <c r="B579" i="108"/>
  <c r="C579" i="108"/>
  <c r="D579" i="108"/>
  <c r="E579" i="108"/>
  <c r="F579" i="108"/>
  <c r="G579" i="108"/>
  <c r="H579" i="108"/>
  <c r="B742" i="108"/>
  <c r="C742" i="108"/>
  <c r="D742" i="108"/>
  <c r="E742" i="108"/>
  <c r="F742" i="108"/>
  <c r="G742" i="108"/>
  <c r="H742" i="108"/>
  <c r="B367" i="108"/>
  <c r="C367" i="108"/>
  <c r="D367" i="108"/>
  <c r="E367" i="108"/>
  <c r="F367" i="108"/>
  <c r="G367" i="108"/>
  <c r="H367" i="108"/>
  <c r="B704" i="108"/>
  <c r="C704" i="108"/>
  <c r="D704" i="108"/>
  <c r="E704" i="108"/>
  <c r="F704" i="108"/>
  <c r="G704" i="108"/>
  <c r="H704" i="108"/>
  <c r="B33" i="108"/>
  <c r="C33" i="108"/>
  <c r="D33" i="108"/>
  <c r="E33" i="108"/>
  <c r="F33" i="108"/>
  <c r="G33" i="108"/>
  <c r="H33" i="108"/>
  <c r="B34" i="108"/>
  <c r="C34" i="108"/>
  <c r="D34" i="108"/>
  <c r="E34" i="108"/>
  <c r="F34" i="108"/>
  <c r="G34" i="108"/>
  <c r="H34" i="108"/>
  <c r="B503" i="108"/>
  <c r="C503" i="108"/>
  <c r="D503" i="108"/>
  <c r="E503" i="108"/>
  <c r="F503" i="108"/>
  <c r="G503" i="108"/>
  <c r="H503" i="108"/>
  <c r="B35" i="108"/>
  <c r="C35" i="108"/>
  <c r="D35" i="108"/>
  <c r="E35" i="108"/>
  <c r="F35" i="108"/>
  <c r="G35" i="108"/>
  <c r="H35" i="108"/>
  <c r="B275" i="108"/>
  <c r="C275" i="108"/>
  <c r="D275" i="108"/>
  <c r="E275" i="108"/>
  <c r="F275" i="108"/>
  <c r="G275" i="108"/>
  <c r="H275" i="108"/>
  <c r="B340" i="108"/>
  <c r="C340" i="108"/>
  <c r="D340" i="108"/>
  <c r="E340" i="108"/>
  <c r="F340" i="108"/>
  <c r="G340" i="108"/>
  <c r="H340" i="108"/>
  <c r="B386" i="108"/>
  <c r="C386" i="108"/>
  <c r="D386" i="108"/>
  <c r="E386" i="108"/>
  <c r="F386" i="108"/>
  <c r="G386" i="108"/>
  <c r="H386" i="108"/>
  <c r="B560" i="108"/>
  <c r="C560" i="108"/>
  <c r="D560" i="108"/>
  <c r="E560" i="108"/>
  <c r="F560" i="108"/>
  <c r="G560" i="108"/>
  <c r="H560" i="108"/>
  <c r="B190" i="108"/>
  <c r="C190" i="108"/>
  <c r="D190" i="108"/>
  <c r="E190" i="108"/>
  <c r="F190" i="108"/>
  <c r="G190" i="108"/>
  <c r="H190" i="108"/>
  <c r="B168" i="108"/>
  <c r="C168" i="108"/>
  <c r="D168" i="108"/>
  <c r="E168" i="108"/>
  <c r="F168" i="108"/>
  <c r="G168" i="108"/>
  <c r="H168" i="108"/>
  <c r="B191" i="108"/>
  <c r="C191" i="108"/>
  <c r="D191" i="108"/>
  <c r="E191" i="108"/>
  <c r="F191" i="108"/>
  <c r="G191" i="108"/>
  <c r="H191" i="108"/>
  <c r="B724" i="108"/>
  <c r="C724" i="108"/>
  <c r="D724" i="108"/>
  <c r="E724" i="108"/>
  <c r="F724" i="108"/>
  <c r="G724" i="108"/>
  <c r="H724" i="108"/>
  <c r="B100" i="108"/>
  <c r="C100" i="108"/>
  <c r="D100" i="108"/>
  <c r="E100" i="108"/>
  <c r="F100" i="108"/>
  <c r="G100" i="108"/>
  <c r="H100" i="108"/>
  <c r="B215" i="108"/>
  <c r="C215" i="108"/>
  <c r="D215" i="108"/>
  <c r="E215" i="108"/>
  <c r="F215" i="108"/>
  <c r="G215" i="108"/>
  <c r="H215" i="108"/>
  <c r="B216" i="108"/>
  <c r="C216" i="108"/>
  <c r="D216" i="108"/>
  <c r="E216" i="108"/>
  <c r="F216" i="108"/>
  <c r="G216" i="108"/>
  <c r="H216" i="108"/>
  <c r="B255" i="108"/>
  <c r="C255" i="108"/>
  <c r="D255" i="108"/>
  <c r="E255" i="108"/>
  <c r="F255" i="108"/>
  <c r="G255" i="108"/>
  <c r="H255" i="108"/>
  <c r="B299" i="108"/>
  <c r="C299" i="108"/>
  <c r="D299" i="108"/>
  <c r="E299" i="108"/>
  <c r="F299" i="108"/>
  <c r="G299" i="108"/>
  <c r="H299" i="108"/>
  <c r="B56" i="108"/>
  <c r="C56" i="108"/>
  <c r="D56" i="108"/>
  <c r="E56" i="108"/>
  <c r="F56" i="108"/>
  <c r="G56" i="108"/>
  <c r="H56" i="108"/>
  <c r="B323" i="108"/>
  <c r="C323" i="108"/>
  <c r="D323" i="108"/>
  <c r="E323" i="108"/>
  <c r="F323" i="108"/>
  <c r="G323" i="108"/>
  <c r="H323" i="108"/>
  <c r="B334" i="108"/>
  <c r="C334" i="108"/>
  <c r="D334" i="108"/>
  <c r="E334" i="108"/>
  <c r="F334" i="108"/>
  <c r="G334" i="108"/>
  <c r="H334" i="108"/>
  <c r="B369" i="108"/>
  <c r="C369" i="108"/>
  <c r="D369" i="108"/>
  <c r="E369" i="108"/>
  <c r="F369" i="108"/>
  <c r="G369" i="108"/>
  <c r="H369" i="108"/>
  <c r="B505" i="108"/>
  <c r="C505" i="108"/>
  <c r="D505" i="108"/>
  <c r="E505" i="108"/>
  <c r="F505" i="108"/>
  <c r="G505" i="108"/>
  <c r="H505" i="108"/>
  <c r="B524" i="108"/>
  <c r="C524" i="108"/>
  <c r="D524" i="108"/>
  <c r="E524" i="108"/>
  <c r="F524" i="108"/>
  <c r="G524" i="108"/>
  <c r="H524" i="108"/>
  <c r="B370" i="108"/>
  <c r="C370" i="108"/>
  <c r="D370" i="108"/>
  <c r="E370" i="108"/>
  <c r="F370" i="108"/>
  <c r="G370" i="108"/>
  <c r="H370" i="108"/>
  <c r="B581" i="108"/>
  <c r="C581" i="108"/>
  <c r="D581" i="108"/>
  <c r="E581" i="108"/>
  <c r="F581" i="108"/>
  <c r="G581" i="108"/>
  <c r="H581" i="108"/>
  <c r="B335" i="108"/>
  <c r="C335" i="108"/>
  <c r="D335" i="108"/>
  <c r="E335" i="108"/>
  <c r="F335" i="108"/>
  <c r="G335" i="108"/>
  <c r="H335" i="108"/>
  <c r="B217" i="108"/>
  <c r="C217" i="108"/>
  <c r="D217" i="108"/>
  <c r="E217" i="108"/>
  <c r="F217" i="108"/>
  <c r="G217" i="108"/>
  <c r="H217" i="108"/>
  <c r="B218" i="108"/>
  <c r="C218" i="108"/>
  <c r="D218" i="108"/>
  <c r="E218" i="108"/>
  <c r="F218" i="108"/>
  <c r="G218" i="108"/>
  <c r="H218" i="108"/>
  <c r="B121" i="108"/>
  <c r="C121" i="108"/>
  <c r="D121" i="108"/>
  <c r="E121" i="108"/>
  <c r="F121" i="108"/>
  <c r="G121" i="108"/>
  <c r="H121" i="108"/>
  <c r="B219" i="108"/>
  <c r="C219" i="108"/>
  <c r="D219" i="108"/>
  <c r="E219" i="108"/>
  <c r="F219" i="108"/>
  <c r="G219" i="108"/>
  <c r="H219" i="108"/>
  <c r="B278" i="108"/>
  <c r="C278" i="108"/>
  <c r="D278" i="108"/>
  <c r="E278" i="108"/>
  <c r="F278" i="108"/>
  <c r="G278" i="108"/>
  <c r="H278" i="108"/>
  <c r="B169" i="108"/>
  <c r="C169" i="108"/>
  <c r="D169" i="108"/>
  <c r="E169" i="108"/>
  <c r="F169" i="108"/>
  <c r="G169" i="108"/>
  <c r="H169" i="108"/>
  <c r="B324" i="108"/>
  <c r="C324" i="108"/>
  <c r="D324" i="108"/>
  <c r="E324" i="108"/>
  <c r="F324" i="108"/>
  <c r="G324" i="108"/>
  <c r="H324" i="108"/>
  <c r="B220" i="108"/>
  <c r="C220" i="108"/>
  <c r="D220" i="108"/>
  <c r="E220" i="108"/>
  <c r="F220" i="108"/>
  <c r="G220" i="108"/>
  <c r="H220" i="108"/>
  <c r="B350" i="108"/>
  <c r="C350" i="108"/>
  <c r="D350" i="108"/>
  <c r="E350" i="108"/>
  <c r="F350" i="108"/>
  <c r="G350" i="108"/>
  <c r="H350" i="108"/>
  <c r="B75" i="108"/>
  <c r="C75" i="108"/>
  <c r="D75" i="108"/>
  <c r="E75" i="108"/>
  <c r="F75" i="108"/>
  <c r="G75" i="108"/>
  <c r="H75" i="108"/>
  <c r="B76" i="108"/>
  <c r="C76" i="108"/>
  <c r="D76" i="108"/>
  <c r="E76" i="108"/>
  <c r="F76" i="108"/>
  <c r="G76" i="108"/>
  <c r="H76" i="108"/>
  <c r="B77" i="108"/>
  <c r="C77" i="108"/>
  <c r="D77" i="108"/>
  <c r="E77" i="108"/>
  <c r="F77" i="108"/>
  <c r="G77" i="108"/>
  <c r="H77" i="108"/>
  <c r="B582" i="108"/>
  <c r="C582" i="108"/>
  <c r="D582" i="108"/>
  <c r="E582" i="108"/>
  <c r="F582" i="108"/>
  <c r="G582" i="108"/>
  <c r="H582" i="108"/>
  <c r="B583" i="108"/>
  <c r="C583" i="108"/>
  <c r="D583" i="108"/>
  <c r="E583" i="108"/>
  <c r="F583" i="108"/>
  <c r="G583" i="108"/>
  <c r="H583" i="108"/>
  <c r="B221" i="108"/>
  <c r="C221" i="108"/>
  <c r="D221" i="108"/>
  <c r="E221" i="108"/>
  <c r="F221" i="108"/>
  <c r="G221" i="108"/>
  <c r="H221" i="108"/>
  <c r="B561" i="108"/>
  <c r="C561" i="108"/>
  <c r="D561" i="108"/>
  <c r="E561" i="108"/>
  <c r="F561" i="108"/>
  <c r="G561" i="108"/>
  <c r="H561" i="108"/>
  <c r="B222" i="108"/>
  <c r="C222" i="108"/>
  <c r="D222" i="108"/>
  <c r="E222" i="108"/>
  <c r="F222" i="108"/>
  <c r="G222" i="108"/>
  <c r="H222" i="108"/>
  <c r="B562" i="108"/>
  <c r="C562" i="108"/>
  <c r="D562" i="108"/>
  <c r="E562" i="108"/>
  <c r="F562" i="108"/>
  <c r="G562" i="108"/>
  <c r="H562" i="108"/>
  <c r="B618" i="108"/>
  <c r="C618" i="108"/>
  <c r="D618" i="108"/>
  <c r="E618" i="108"/>
  <c r="F618" i="108"/>
  <c r="G618" i="108"/>
  <c r="H618" i="108"/>
  <c r="B223" i="108"/>
  <c r="C223" i="108"/>
  <c r="D223" i="108"/>
  <c r="E223" i="108"/>
  <c r="F223" i="108"/>
  <c r="G223" i="108"/>
  <c r="H223" i="108"/>
  <c r="B351" i="108"/>
  <c r="C351" i="108"/>
  <c r="D351" i="108"/>
  <c r="E351" i="108"/>
  <c r="F351" i="108"/>
  <c r="G351" i="108"/>
  <c r="H351" i="108"/>
  <c r="B192" i="108"/>
  <c r="C192" i="108"/>
  <c r="D192" i="108"/>
  <c r="E192" i="108"/>
  <c r="F192" i="108"/>
  <c r="G192" i="108"/>
  <c r="H192" i="108"/>
  <c r="B563" i="108"/>
  <c r="C563" i="108"/>
  <c r="D563" i="108"/>
  <c r="E563" i="108"/>
  <c r="F563" i="108"/>
  <c r="G563" i="108"/>
  <c r="H563" i="108"/>
  <c r="B16" i="108"/>
  <c r="C16" i="108"/>
  <c r="D16" i="108"/>
  <c r="E16" i="108"/>
  <c r="F16" i="108"/>
  <c r="G16" i="108"/>
  <c r="H16" i="108"/>
  <c r="B489" i="108"/>
  <c r="C489" i="108"/>
  <c r="D489" i="108"/>
  <c r="E489" i="108"/>
  <c r="F489" i="108"/>
  <c r="G489" i="108"/>
  <c r="H489" i="108"/>
  <c r="B352" i="108"/>
  <c r="C352" i="108"/>
  <c r="D352" i="108"/>
  <c r="E352" i="108"/>
  <c r="F352" i="108"/>
  <c r="G352" i="108"/>
  <c r="H352" i="108"/>
  <c r="B353" i="108"/>
  <c r="C353" i="108"/>
  <c r="D353" i="108"/>
  <c r="E353" i="108"/>
  <c r="F353" i="108"/>
  <c r="G353" i="108"/>
  <c r="H353" i="108"/>
  <c r="B387" i="108"/>
  <c r="C387" i="108"/>
  <c r="D387" i="108"/>
  <c r="E387" i="108"/>
  <c r="F387" i="108"/>
  <c r="G387" i="108"/>
  <c r="H387" i="108"/>
  <c r="B451" i="108"/>
  <c r="C451" i="108"/>
  <c r="D451" i="108"/>
  <c r="E451" i="108"/>
  <c r="F451" i="108"/>
  <c r="G451" i="108"/>
  <c r="H451" i="108"/>
  <c r="B20" i="108"/>
  <c r="C20" i="108"/>
  <c r="D20" i="108"/>
  <c r="E20" i="108"/>
  <c r="F20" i="108"/>
  <c r="G20" i="108"/>
  <c r="H20" i="108"/>
  <c r="B101" i="108"/>
  <c r="C101" i="108"/>
  <c r="D101" i="108"/>
  <c r="E101" i="108"/>
  <c r="F101" i="108"/>
  <c r="G101" i="108"/>
  <c r="H101" i="108"/>
  <c r="B409" i="108"/>
  <c r="C409" i="108"/>
  <c r="D409" i="108"/>
  <c r="E409" i="108"/>
  <c r="F409" i="108"/>
  <c r="G409" i="108"/>
  <c r="H409" i="108"/>
  <c r="B410" i="108"/>
  <c r="C410" i="108"/>
  <c r="D410" i="108"/>
  <c r="E410" i="108"/>
  <c r="F410" i="108"/>
  <c r="G410" i="108"/>
  <c r="H410" i="108"/>
  <c r="B154" i="108"/>
  <c r="C154" i="108"/>
  <c r="D154" i="108"/>
  <c r="E154" i="108"/>
  <c r="F154" i="108"/>
  <c r="G154" i="108"/>
  <c r="H154" i="108"/>
  <c r="B569" i="108"/>
  <c r="C569" i="108"/>
  <c r="D569" i="108"/>
  <c r="E569" i="108"/>
  <c r="F569" i="108"/>
  <c r="G569" i="108"/>
  <c r="H569" i="108"/>
  <c r="B452" i="108"/>
  <c r="C452" i="108"/>
  <c r="D452" i="108"/>
  <c r="E452" i="108"/>
  <c r="F452" i="108"/>
  <c r="G452" i="108"/>
  <c r="H452" i="108"/>
  <c r="B60" i="108"/>
  <c r="C60" i="108"/>
  <c r="D60" i="108"/>
  <c r="E60" i="108"/>
  <c r="F60" i="108"/>
  <c r="G60" i="108"/>
  <c r="H60" i="108"/>
  <c r="B493" i="108"/>
  <c r="C493" i="108"/>
  <c r="D493" i="108"/>
  <c r="E493" i="108"/>
  <c r="F493" i="108"/>
  <c r="G493" i="108"/>
  <c r="H493" i="108"/>
  <c r="B411" i="108"/>
  <c r="C411" i="108"/>
  <c r="D411" i="108"/>
  <c r="E411" i="108"/>
  <c r="F411" i="108"/>
  <c r="G411" i="108"/>
  <c r="H411" i="108"/>
  <c r="B61" i="108"/>
  <c r="C61" i="108"/>
  <c r="D61" i="108"/>
  <c r="E61" i="108"/>
  <c r="F61" i="108"/>
  <c r="G61" i="108"/>
  <c r="H61" i="108"/>
  <c r="B570" i="108"/>
  <c r="C570" i="108"/>
  <c r="D570" i="108"/>
  <c r="E570" i="108"/>
  <c r="F570" i="108"/>
  <c r="G570" i="108"/>
  <c r="H570" i="108"/>
  <c r="B509" i="108"/>
  <c r="C509" i="108"/>
  <c r="D509" i="108"/>
  <c r="E509" i="108"/>
  <c r="F509" i="108"/>
  <c r="G509" i="108"/>
  <c r="H509" i="108"/>
  <c r="B412" i="108"/>
  <c r="C412" i="108"/>
  <c r="D412" i="108"/>
  <c r="E412" i="108"/>
  <c r="F412" i="108"/>
  <c r="G412" i="108"/>
  <c r="H412" i="108"/>
  <c r="B413" i="108"/>
  <c r="C413" i="108"/>
  <c r="D413" i="108"/>
  <c r="E413" i="108"/>
  <c r="F413" i="108"/>
  <c r="G413" i="108"/>
  <c r="H413" i="108"/>
  <c r="B102" i="108"/>
  <c r="C102" i="108"/>
  <c r="D102" i="108"/>
  <c r="E102" i="108"/>
  <c r="F102" i="108"/>
  <c r="G102" i="108"/>
  <c r="H102" i="108"/>
  <c r="B21" i="108"/>
  <c r="C21" i="108"/>
  <c r="D21" i="108"/>
  <c r="E21" i="108"/>
  <c r="F21" i="108"/>
  <c r="G21" i="108"/>
  <c r="H21" i="108"/>
  <c r="B81" i="108"/>
  <c r="C81" i="108"/>
  <c r="D81" i="108"/>
  <c r="E81" i="108"/>
  <c r="F81" i="108"/>
  <c r="G81" i="108"/>
  <c r="H81" i="108"/>
  <c r="B177" i="108"/>
  <c r="C177" i="108"/>
  <c r="D177" i="108"/>
  <c r="E177" i="108"/>
  <c r="F177" i="108"/>
  <c r="G177" i="108"/>
  <c r="H177" i="108"/>
  <c r="B510" i="108"/>
  <c r="C510" i="108"/>
  <c r="D510" i="108"/>
  <c r="E510" i="108"/>
  <c r="F510" i="108"/>
  <c r="G510" i="108"/>
  <c r="H510" i="108"/>
  <c r="B22" i="108"/>
  <c r="C22" i="108"/>
  <c r="D22" i="108"/>
  <c r="E22" i="108"/>
  <c r="F22" i="108"/>
  <c r="G22" i="108"/>
  <c r="H22" i="108"/>
  <c r="B571" i="108"/>
  <c r="C571" i="108"/>
  <c r="D571" i="108"/>
  <c r="E571" i="108"/>
  <c r="F571" i="108"/>
  <c r="G571" i="108"/>
  <c r="H571" i="108"/>
  <c r="B103" i="108"/>
  <c r="C103" i="108"/>
  <c r="D103" i="108"/>
  <c r="E103" i="108"/>
  <c r="F103" i="108"/>
  <c r="G103" i="108"/>
  <c r="H103" i="108"/>
  <c r="B254" i="108"/>
  <c r="C254" i="108"/>
  <c r="D254" i="108"/>
  <c r="E254" i="108"/>
  <c r="F254" i="108"/>
  <c r="G254" i="108"/>
  <c r="H254" i="108"/>
  <c r="B693" i="108"/>
  <c r="C693" i="108"/>
  <c r="D693" i="108"/>
  <c r="E693" i="108"/>
  <c r="F693" i="108"/>
  <c r="G693" i="108"/>
  <c r="H693" i="108"/>
  <c r="B511" i="108"/>
  <c r="C511" i="108"/>
  <c r="D511" i="108"/>
  <c r="E511" i="108"/>
  <c r="F511" i="108"/>
  <c r="G511" i="108"/>
  <c r="H511" i="108"/>
  <c r="B512" i="108"/>
  <c r="C512" i="108"/>
  <c r="D512" i="108"/>
  <c r="E512" i="108"/>
  <c r="F512" i="108"/>
  <c r="G512" i="108"/>
  <c r="H512" i="108"/>
  <c r="B527" i="108"/>
  <c r="C527" i="108"/>
  <c r="D527" i="108"/>
  <c r="E527" i="108"/>
  <c r="F527" i="108"/>
  <c r="G527" i="108"/>
  <c r="H527" i="108"/>
  <c r="B227" i="108"/>
  <c r="C227" i="108"/>
  <c r="D227" i="108"/>
  <c r="E227" i="108"/>
  <c r="F227" i="108"/>
  <c r="G227" i="108"/>
  <c r="H227" i="108"/>
  <c r="B356" i="108"/>
  <c r="C356" i="108"/>
  <c r="D356" i="108"/>
  <c r="E356" i="108"/>
  <c r="F356" i="108"/>
  <c r="G356" i="108"/>
  <c r="H356" i="108"/>
  <c r="B279" i="108"/>
  <c r="C279" i="108"/>
  <c r="D279" i="108"/>
  <c r="E279" i="108"/>
  <c r="F279" i="108"/>
  <c r="G279" i="108"/>
  <c r="H279" i="108"/>
  <c r="B280" i="108"/>
  <c r="C280" i="108"/>
  <c r="D280" i="108"/>
  <c r="E280" i="108"/>
  <c r="F280" i="108"/>
  <c r="G280" i="108"/>
  <c r="H280" i="108"/>
  <c r="B281" i="108"/>
  <c r="C281" i="108"/>
  <c r="D281" i="108"/>
  <c r="E281" i="108"/>
  <c r="F281" i="108"/>
  <c r="G281" i="108"/>
  <c r="H281" i="108"/>
  <c r="B282" i="108"/>
  <c r="C282" i="108"/>
  <c r="D282" i="108"/>
  <c r="E282" i="108"/>
  <c r="F282" i="108"/>
  <c r="G282" i="108"/>
  <c r="H282" i="108"/>
  <c r="B620" i="108"/>
  <c r="C620" i="108"/>
  <c r="D620" i="108"/>
  <c r="E620" i="108"/>
  <c r="F620" i="108"/>
  <c r="G620" i="108"/>
  <c r="H620" i="108"/>
  <c r="B357" i="108"/>
  <c r="C357" i="108"/>
  <c r="D357" i="108"/>
  <c r="E357" i="108"/>
  <c r="F357" i="108"/>
  <c r="G357" i="108"/>
  <c r="H357" i="108"/>
  <c r="B302" i="108"/>
  <c r="C302" i="108"/>
  <c r="D302" i="108"/>
  <c r="E302" i="108"/>
  <c r="F302" i="108"/>
  <c r="G302" i="108"/>
  <c r="H302" i="108"/>
  <c r="B338" i="108"/>
  <c r="C338" i="108"/>
  <c r="D338" i="108"/>
  <c r="E338" i="108"/>
  <c r="F338" i="108"/>
  <c r="G338" i="108"/>
  <c r="H338" i="108"/>
  <c r="B514" i="108"/>
  <c r="C514" i="108"/>
  <c r="D514" i="108"/>
  <c r="E514" i="108"/>
  <c r="F514" i="108"/>
  <c r="G514" i="108"/>
  <c r="H514" i="108"/>
  <c r="H647" i="108"/>
  <c r="G647" i="108"/>
  <c r="F647" i="108"/>
  <c r="E647" i="108"/>
  <c r="D647" i="108"/>
  <c r="C647" i="108"/>
  <c r="B647" i="108"/>
  <c r="J1049" i="3"/>
  <c r="K1049" i="3"/>
  <c r="P1049" i="3" s="1"/>
  <c r="L1049" i="3"/>
  <c r="M1049" i="3"/>
  <c r="J1703" i="3"/>
  <c r="K1703" i="3"/>
  <c r="P1703" i="3" s="1"/>
  <c r="L1703" i="3"/>
  <c r="M1703" i="3"/>
  <c r="R1703" i="3"/>
  <c r="J1704" i="3"/>
  <c r="K1704" i="3"/>
  <c r="P1704" i="3" s="1"/>
  <c r="L1704" i="3"/>
  <c r="M1704" i="3"/>
  <c r="J1564" i="3"/>
  <c r="K1564" i="3"/>
  <c r="P1564" i="3" s="1"/>
  <c r="L1564" i="3"/>
  <c r="M1564" i="3"/>
  <c r="J1705" i="3"/>
  <c r="K1705" i="3"/>
  <c r="P1705" i="3" s="1"/>
  <c r="L1705" i="3"/>
  <c r="M1705" i="3"/>
  <c r="J1874" i="3"/>
  <c r="K1874" i="3"/>
  <c r="P1874" i="3" s="1"/>
  <c r="L1874" i="3"/>
  <c r="M1874" i="3"/>
  <c r="J831" i="3"/>
  <c r="K831" i="3"/>
  <c r="L831" i="3"/>
  <c r="M831" i="3"/>
  <c r="J535" i="3"/>
  <c r="K535" i="3"/>
  <c r="L535" i="3"/>
  <c r="M535" i="3"/>
  <c r="J544" i="3"/>
  <c r="K544" i="3"/>
  <c r="L544" i="3"/>
  <c r="M544" i="3"/>
  <c r="J501" i="3"/>
  <c r="K501" i="3"/>
  <c r="L501" i="3"/>
  <c r="M501" i="3"/>
  <c r="J1067" i="3"/>
  <c r="K1067" i="3"/>
  <c r="P1067" i="3" s="1"/>
  <c r="L1067" i="3"/>
  <c r="M1067" i="3"/>
  <c r="J2105" i="3"/>
  <c r="K2105" i="3"/>
  <c r="P2105" i="3" s="1"/>
  <c r="L2105" i="3"/>
  <c r="M2105" i="3"/>
  <c r="J1221" i="3"/>
  <c r="K1221" i="3"/>
  <c r="P1221" i="3" s="1"/>
  <c r="L1221" i="3"/>
  <c r="M1221" i="3"/>
  <c r="J1735" i="3"/>
  <c r="K1735" i="3"/>
  <c r="P1735" i="3" s="1"/>
  <c r="L1735" i="3"/>
  <c r="M1735" i="3"/>
  <c r="J1933" i="3"/>
  <c r="K1933" i="3"/>
  <c r="P1933" i="3" s="1"/>
  <c r="L1933" i="3"/>
  <c r="M1933" i="3"/>
  <c r="J1886" i="3"/>
  <c r="K1886" i="3"/>
  <c r="P1886" i="3" s="1"/>
  <c r="L1886" i="3"/>
  <c r="M1886" i="3"/>
  <c r="J1885" i="3"/>
  <c r="K1885" i="3"/>
  <c r="P1885" i="3" s="1"/>
  <c r="L1885" i="3"/>
  <c r="M1885" i="3"/>
  <c r="J1884" i="3"/>
  <c r="K1884" i="3"/>
  <c r="P1884" i="3" s="1"/>
  <c r="L1884" i="3"/>
  <c r="M1884" i="3"/>
  <c r="J1883" i="3"/>
  <c r="K1883" i="3"/>
  <c r="P1883" i="3" s="1"/>
  <c r="L1883" i="3"/>
  <c r="M1883" i="3"/>
  <c r="J859" i="3"/>
  <c r="K859" i="3"/>
  <c r="L859" i="3"/>
  <c r="M859" i="3"/>
  <c r="J858" i="3"/>
  <c r="K858" i="3"/>
  <c r="L858" i="3"/>
  <c r="M858" i="3"/>
  <c r="J857" i="3"/>
  <c r="K857" i="3"/>
  <c r="L857" i="3"/>
  <c r="M857" i="3"/>
  <c r="J1072" i="3"/>
  <c r="K1072" i="3"/>
  <c r="P1072" i="3" s="1"/>
  <c r="L1072" i="3"/>
  <c r="M1072" i="3"/>
  <c r="J1050" i="3"/>
  <c r="K1050" i="3"/>
  <c r="P1050" i="3" s="1"/>
  <c r="L1050" i="3"/>
  <c r="M1050" i="3"/>
  <c r="J1329" i="3"/>
  <c r="K1329" i="3"/>
  <c r="P1329" i="3" s="1"/>
  <c r="L1329" i="3"/>
  <c r="M1329" i="3"/>
  <c r="J609" i="3"/>
  <c r="K609" i="3"/>
  <c r="L609" i="3"/>
  <c r="M609" i="3"/>
  <c r="J1702" i="3"/>
  <c r="K1702" i="3"/>
  <c r="P1702" i="3" s="1"/>
  <c r="L1702" i="3"/>
  <c r="M1702" i="3"/>
  <c r="J1701" i="3"/>
  <c r="K1701" i="3"/>
  <c r="P1701" i="3" s="1"/>
  <c r="L1701" i="3"/>
  <c r="M1701" i="3"/>
  <c r="J1800" i="3"/>
  <c r="K1800" i="3"/>
  <c r="P1800" i="3" s="1"/>
  <c r="L1800" i="3"/>
  <c r="M1800" i="3"/>
  <c r="J1096" i="3"/>
  <c r="K1096" i="3"/>
  <c r="P1096" i="3" s="1"/>
  <c r="L1096" i="3"/>
  <c r="M1096" i="3"/>
  <c r="J579" i="3"/>
  <c r="K579" i="3"/>
  <c r="L579" i="3"/>
  <c r="M579" i="3"/>
  <c r="J1316" i="3"/>
  <c r="K1316" i="3"/>
  <c r="P1316" i="3" s="1"/>
  <c r="L1316" i="3"/>
  <c r="M1316" i="3"/>
  <c r="J1707" i="3"/>
  <c r="K1707" i="3"/>
  <c r="P1707" i="3" s="1"/>
  <c r="L1707" i="3"/>
  <c r="M1707" i="3"/>
  <c r="J1052" i="3"/>
  <c r="K1052" i="3"/>
  <c r="P1052" i="3" s="1"/>
  <c r="L1052" i="3"/>
  <c r="M1052" i="3"/>
  <c r="J1087" i="3"/>
  <c r="K1087" i="3"/>
  <c r="P1087" i="3" s="1"/>
  <c r="L1087" i="3"/>
  <c r="M1087" i="3"/>
  <c r="J2093" i="3"/>
  <c r="K2093" i="3"/>
  <c r="P2093" i="3" s="1"/>
  <c r="L2093" i="3"/>
  <c r="M2093" i="3"/>
  <c r="J1819" i="3"/>
  <c r="K1819" i="3"/>
  <c r="P1819" i="3" s="1"/>
  <c r="L1819" i="3"/>
  <c r="M1819" i="3"/>
  <c r="K259" i="3"/>
  <c r="L259" i="3"/>
  <c r="M259" i="3"/>
  <c r="J889" i="3"/>
  <c r="K889" i="3"/>
  <c r="L889" i="3"/>
  <c r="M889" i="3"/>
  <c r="J1756" i="3"/>
  <c r="K1756" i="3"/>
  <c r="P1756" i="3" s="1"/>
  <c r="L1756" i="3"/>
  <c r="M1756" i="3"/>
  <c r="K243" i="3"/>
  <c r="L243" i="3"/>
  <c r="M243" i="3"/>
  <c r="J1043" i="3"/>
  <c r="K1043" i="3"/>
  <c r="P1043" i="3" s="1"/>
  <c r="L1043" i="3"/>
  <c r="M1043" i="3"/>
  <c r="J1755" i="3"/>
  <c r="K1755" i="3"/>
  <c r="L1755" i="3"/>
  <c r="M1755" i="3"/>
  <c r="P857" i="3" l="1"/>
  <c r="P859" i="3"/>
  <c r="P535" i="3"/>
  <c r="P579" i="3"/>
  <c r="P858" i="3"/>
  <c r="P609" i="3"/>
  <c r="P544" i="3"/>
  <c r="P831" i="3"/>
  <c r="P243" i="3"/>
  <c r="P501" i="3"/>
  <c r="P1755" i="3"/>
  <c r="P889" i="3"/>
  <c r="P259" i="3"/>
  <c r="L588" i="108"/>
  <c r="K588" i="108"/>
  <c r="J588" i="108"/>
  <c r="I588" i="108"/>
  <c r="L616" i="108"/>
  <c r="K616" i="108"/>
  <c r="J616" i="108"/>
  <c r="I616" i="108"/>
  <c r="L728" i="108"/>
  <c r="K728" i="108"/>
  <c r="J728" i="108"/>
  <c r="I728" i="108"/>
  <c r="L318" i="108"/>
  <c r="K318" i="108"/>
  <c r="J318" i="108"/>
  <c r="I318" i="108"/>
  <c r="L319" i="108"/>
  <c r="K319" i="108"/>
  <c r="J319" i="108"/>
  <c r="I319" i="108"/>
  <c r="L320" i="108"/>
  <c r="K320" i="108"/>
  <c r="J320" i="108"/>
  <c r="I320" i="108"/>
  <c r="L331" i="108"/>
  <c r="K331" i="108"/>
  <c r="J331" i="108"/>
  <c r="I331" i="108"/>
  <c r="L349" i="108"/>
  <c r="K349" i="108"/>
  <c r="J349" i="108"/>
  <c r="I349" i="108"/>
  <c r="L365" i="108"/>
  <c r="K365" i="108"/>
  <c r="J365" i="108"/>
  <c r="I365" i="108"/>
  <c r="L366" i="108"/>
  <c r="K366" i="108"/>
  <c r="J366" i="108"/>
  <c r="I366" i="108"/>
  <c r="L367" i="108"/>
  <c r="K367" i="108"/>
  <c r="J367" i="108"/>
  <c r="I367" i="108"/>
  <c r="L404" i="108"/>
  <c r="K404" i="108"/>
  <c r="J404" i="108"/>
  <c r="I404" i="108"/>
  <c r="L422" i="108"/>
  <c r="K422" i="108"/>
  <c r="J422" i="108"/>
  <c r="I422" i="108"/>
  <c r="L423" i="108"/>
  <c r="K423" i="108"/>
  <c r="J423" i="108"/>
  <c r="I423" i="108"/>
  <c r="L424" i="108"/>
  <c r="K424" i="108"/>
  <c r="J424" i="108"/>
  <c r="I424" i="108"/>
  <c r="L444" i="108"/>
  <c r="K444" i="108"/>
  <c r="J444" i="108"/>
  <c r="I444" i="108"/>
  <c r="L466" i="108"/>
  <c r="K466" i="108"/>
  <c r="J466" i="108"/>
  <c r="I466" i="108"/>
  <c r="L467" i="108"/>
  <c r="K467" i="108"/>
  <c r="J467" i="108"/>
  <c r="I467" i="108"/>
  <c r="L502" i="108"/>
  <c r="K502" i="108"/>
  <c r="J502" i="108"/>
  <c r="I502" i="108"/>
  <c r="L503" i="108"/>
  <c r="K503" i="108"/>
  <c r="J503" i="108"/>
  <c r="I503" i="108"/>
  <c r="L519" i="108"/>
  <c r="K519" i="108"/>
  <c r="J519" i="108"/>
  <c r="I519" i="108"/>
  <c r="L520" i="108"/>
  <c r="K520" i="108"/>
  <c r="J520" i="108"/>
  <c r="I520" i="108"/>
  <c r="L521" i="108"/>
  <c r="K521" i="108"/>
  <c r="J521" i="108"/>
  <c r="I521" i="108"/>
  <c r="L522" i="108"/>
  <c r="K522" i="108"/>
  <c r="J522" i="108"/>
  <c r="I522" i="108"/>
  <c r="L534" i="108"/>
  <c r="K534" i="108"/>
  <c r="J534" i="108"/>
  <c r="I534" i="108"/>
  <c r="L554" i="108"/>
  <c r="K554" i="108"/>
  <c r="J554" i="108"/>
  <c r="I554" i="108"/>
  <c r="L555" i="108"/>
  <c r="K555" i="108"/>
  <c r="J555" i="108"/>
  <c r="I555" i="108"/>
  <c r="L556" i="108"/>
  <c r="K556" i="108"/>
  <c r="J556" i="108"/>
  <c r="I556" i="108"/>
  <c r="L557" i="108"/>
  <c r="K557" i="108"/>
  <c r="J557" i="108"/>
  <c r="I557" i="108"/>
  <c r="L558" i="108"/>
  <c r="K558" i="108"/>
  <c r="J558" i="108"/>
  <c r="I558" i="108"/>
  <c r="L577" i="108"/>
  <c r="K577" i="108"/>
  <c r="J577" i="108"/>
  <c r="I577" i="108"/>
  <c r="L578" i="108"/>
  <c r="K578" i="108"/>
  <c r="J578" i="108"/>
  <c r="I578" i="108"/>
  <c r="L579" i="108"/>
  <c r="K579" i="108"/>
  <c r="J579" i="108"/>
  <c r="I579" i="108"/>
  <c r="L598" i="108"/>
  <c r="K598" i="108"/>
  <c r="J598" i="108"/>
  <c r="I598" i="108"/>
  <c r="L599" i="108"/>
  <c r="K599" i="108"/>
  <c r="J599" i="108"/>
  <c r="I599" i="108"/>
  <c r="L600" i="108"/>
  <c r="K600" i="108"/>
  <c r="J600" i="108"/>
  <c r="I600" i="108"/>
  <c r="L601" i="108"/>
  <c r="K601" i="108"/>
  <c r="J601" i="108"/>
  <c r="I601" i="108"/>
  <c r="L613" i="108"/>
  <c r="K613" i="108"/>
  <c r="J613" i="108"/>
  <c r="I613" i="108"/>
  <c r="L614" i="108"/>
  <c r="K614" i="108"/>
  <c r="J614" i="108"/>
  <c r="I614" i="108"/>
  <c r="L632" i="108"/>
  <c r="K632" i="108"/>
  <c r="J632" i="108"/>
  <c r="I632" i="108"/>
  <c r="L704" i="108"/>
  <c r="K704" i="108"/>
  <c r="J704" i="108"/>
  <c r="I704" i="108"/>
  <c r="L737" i="108"/>
  <c r="K737" i="108"/>
  <c r="J737" i="108"/>
  <c r="I737" i="108"/>
  <c r="L738" i="108"/>
  <c r="K738" i="108"/>
  <c r="J738" i="108"/>
  <c r="I738" i="108"/>
  <c r="L739" i="108"/>
  <c r="K739" i="108"/>
  <c r="J739" i="108"/>
  <c r="I739" i="108"/>
  <c r="L740" i="108"/>
  <c r="K740" i="108"/>
  <c r="J740" i="108"/>
  <c r="I740" i="108"/>
  <c r="L741" i="108"/>
  <c r="K741" i="108"/>
  <c r="J741" i="108"/>
  <c r="I741" i="108"/>
  <c r="L742" i="108"/>
  <c r="K742" i="108"/>
  <c r="J742" i="108"/>
  <c r="I742" i="108"/>
  <c r="L390" i="108"/>
  <c r="K390" i="108"/>
  <c r="J390" i="108"/>
  <c r="I390" i="108"/>
  <c r="J1743" i="3"/>
  <c r="K1743" i="3"/>
  <c r="P1743" i="3" s="1"/>
  <c r="L1743" i="3"/>
  <c r="M1743" i="3"/>
  <c r="J1054" i="3"/>
  <c r="K1054" i="3"/>
  <c r="P1054" i="3" s="1"/>
  <c r="L1054" i="3"/>
  <c r="M1054" i="3"/>
  <c r="J2085" i="3"/>
  <c r="K2085" i="3"/>
  <c r="P2085" i="3" s="1"/>
  <c r="L2085" i="3"/>
  <c r="M2085" i="3"/>
  <c r="J1700" i="3"/>
  <c r="K1700" i="3"/>
  <c r="P1700" i="3" s="1"/>
  <c r="L1700" i="3"/>
  <c r="M1700" i="3"/>
  <c r="J1057" i="3"/>
  <c r="K1057" i="3"/>
  <c r="P1057" i="3" s="1"/>
  <c r="L1057" i="3"/>
  <c r="M1057" i="3"/>
  <c r="J263" i="3"/>
  <c r="K263" i="3"/>
  <c r="L263" i="3"/>
  <c r="M263" i="3"/>
  <c r="J1048" i="3"/>
  <c r="K1048" i="3"/>
  <c r="P1048" i="3" s="1"/>
  <c r="L1048" i="3"/>
  <c r="M1048" i="3"/>
  <c r="J1228" i="3"/>
  <c r="K1228" i="3"/>
  <c r="P1228" i="3" s="1"/>
  <c r="L1228" i="3"/>
  <c r="M1228" i="3"/>
  <c r="J1297" i="3"/>
  <c r="K1297" i="3"/>
  <c r="P1297" i="3" s="1"/>
  <c r="L1297" i="3"/>
  <c r="M1297" i="3"/>
  <c r="J2087" i="3"/>
  <c r="K2087" i="3"/>
  <c r="P2087" i="3" s="1"/>
  <c r="L2087" i="3"/>
  <c r="M2087" i="3"/>
  <c r="J1056" i="3"/>
  <c r="K1056" i="3"/>
  <c r="P1056" i="3" s="1"/>
  <c r="L1056" i="3"/>
  <c r="M1056" i="3"/>
  <c r="J1037" i="3"/>
  <c r="K1037" i="3"/>
  <c r="P1037" i="3" s="1"/>
  <c r="L1037" i="3"/>
  <c r="M1037" i="3"/>
  <c r="J1829" i="3"/>
  <c r="K1829" i="3"/>
  <c r="P1829" i="3" s="1"/>
  <c r="L1829" i="3"/>
  <c r="M1829" i="3"/>
  <c r="J1954" i="3"/>
  <c r="K1954" i="3"/>
  <c r="P1954" i="3" s="1"/>
  <c r="L1954" i="3"/>
  <c r="M1954" i="3"/>
  <c r="J1930" i="3"/>
  <c r="K1930" i="3"/>
  <c r="P1930" i="3" s="1"/>
  <c r="L1930" i="3"/>
  <c r="M1930" i="3"/>
  <c r="J234" i="3"/>
  <c r="K234" i="3"/>
  <c r="L234" i="3"/>
  <c r="M234" i="3"/>
  <c r="J520" i="3"/>
  <c r="K520" i="3"/>
  <c r="L520" i="3"/>
  <c r="M520" i="3"/>
  <c r="J2042" i="3"/>
  <c r="K2042" i="3"/>
  <c r="P2042" i="3" s="1"/>
  <c r="L2042" i="3"/>
  <c r="M2042" i="3"/>
  <c r="J1749" i="3"/>
  <c r="K1749" i="3"/>
  <c r="P1749" i="3" s="1"/>
  <c r="L1749" i="3"/>
  <c r="M1749" i="3"/>
  <c r="J2077" i="3"/>
  <c r="K2077" i="3"/>
  <c r="P2077" i="3" s="1"/>
  <c r="L2077" i="3"/>
  <c r="M2077" i="3"/>
  <c r="J2076" i="3"/>
  <c r="K2076" i="3"/>
  <c r="P2076" i="3" s="1"/>
  <c r="L2076" i="3"/>
  <c r="M2076" i="3"/>
  <c r="J2078" i="3"/>
  <c r="K2078" i="3"/>
  <c r="P2078" i="3" s="1"/>
  <c r="L2078" i="3"/>
  <c r="M2078" i="3"/>
  <c r="J2048" i="3"/>
  <c r="K2048" i="3"/>
  <c r="P2048" i="3" s="1"/>
  <c r="L2048" i="3"/>
  <c r="M2048" i="3"/>
  <c r="J2075" i="3"/>
  <c r="K2075" i="3"/>
  <c r="P2075" i="3" s="1"/>
  <c r="L2075" i="3"/>
  <c r="M2075" i="3"/>
  <c r="J2060" i="3"/>
  <c r="K2060" i="3"/>
  <c r="P2060" i="3" s="1"/>
  <c r="L2060" i="3"/>
  <c r="M2060" i="3"/>
  <c r="J2061" i="3"/>
  <c r="K2061" i="3"/>
  <c r="P2061" i="3" s="1"/>
  <c r="L2061" i="3"/>
  <c r="M2061" i="3"/>
  <c r="J2073" i="3"/>
  <c r="K2073" i="3"/>
  <c r="P2073" i="3" s="1"/>
  <c r="L2073" i="3"/>
  <c r="M2073" i="3"/>
  <c r="J2071" i="3"/>
  <c r="K2071" i="3"/>
  <c r="P2071" i="3" s="1"/>
  <c r="L2071" i="3"/>
  <c r="M2071" i="3"/>
  <c r="J2070" i="3"/>
  <c r="K2070" i="3"/>
  <c r="P2070" i="3" s="1"/>
  <c r="L2070" i="3"/>
  <c r="M2070" i="3"/>
  <c r="J337" i="3"/>
  <c r="K337" i="3"/>
  <c r="P337" i="3" s="1"/>
  <c r="L337" i="3"/>
  <c r="M337" i="3"/>
  <c r="J2074" i="3"/>
  <c r="K2074" i="3"/>
  <c r="P2074" i="3" s="1"/>
  <c r="L2074" i="3"/>
  <c r="M2074" i="3"/>
  <c r="J1464" i="3"/>
  <c r="K1464" i="3"/>
  <c r="P1464" i="3" s="1"/>
  <c r="L1464" i="3"/>
  <c r="M1464" i="3"/>
  <c r="J2072" i="3"/>
  <c r="K2072" i="3"/>
  <c r="P2072" i="3" s="1"/>
  <c r="L2072" i="3"/>
  <c r="M2072" i="3"/>
  <c r="J338" i="3"/>
  <c r="K338" i="3"/>
  <c r="P338" i="3" s="1"/>
  <c r="L338" i="3"/>
  <c r="M338" i="3"/>
  <c r="J542" i="3"/>
  <c r="K542" i="3"/>
  <c r="L542" i="3"/>
  <c r="M542" i="3"/>
  <c r="J534" i="3"/>
  <c r="K534" i="3"/>
  <c r="L534" i="3"/>
  <c r="M534" i="3"/>
  <c r="J2059" i="3"/>
  <c r="K2059" i="3"/>
  <c r="P2059" i="3" s="1"/>
  <c r="L2059" i="3"/>
  <c r="M2059" i="3"/>
  <c r="J2067" i="3"/>
  <c r="K2067" i="3"/>
  <c r="P2067" i="3" s="1"/>
  <c r="L2067" i="3"/>
  <c r="M2067" i="3"/>
  <c r="J2068" i="3"/>
  <c r="K2068" i="3"/>
  <c r="P2068" i="3" s="1"/>
  <c r="L2068" i="3"/>
  <c r="M2068" i="3"/>
  <c r="J2058" i="3"/>
  <c r="K2058" i="3"/>
  <c r="P2058" i="3" s="1"/>
  <c r="L2058" i="3"/>
  <c r="M2058" i="3"/>
  <c r="J2428" i="3"/>
  <c r="K2428" i="3"/>
  <c r="P2428" i="3" s="1"/>
  <c r="L2428" i="3"/>
  <c r="M2428" i="3"/>
  <c r="J538" i="3"/>
  <c r="K538" i="3"/>
  <c r="L538" i="3"/>
  <c r="M538" i="3"/>
  <c r="J60" i="3"/>
  <c r="K60" i="3"/>
  <c r="L60" i="3"/>
  <c r="M60" i="3"/>
  <c r="J833" i="3"/>
  <c r="K833" i="3"/>
  <c r="L833" i="3"/>
  <c r="M833" i="3"/>
  <c r="J1495" i="3"/>
  <c r="K1495" i="3"/>
  <c r="P1495" i="3" s="1"/>
  <c r="L1495" i="3"/>
  <c r="M1495" i="3"/>
  <c r="J1493" i="3"/>
  <c r="K1493" i="3"/>
  <c r="P1493" i="3" s="1"/>
  <c r="L1493" i="3"/>
  <c r="M1493" i="3"/>
  <c r="J1694" i="3"/>
  <c r="K1694" i="3"/>
  <c r="P1694" i="3" s="1"/>
  <c r="L1694" i="3"/>
  <c r="M1694" i="3"/>
  <c r="J1041" i="3"/>
  <c r="K1041" i="3"/>
  <c r="P1041" i="3" s="1"/>
  <c r="L1041" i="3"/>
  <c r="M1041" i="3"/>
  <c r="J2057" i="3"/>
  <c r="K2057" i="3"/>
  <c r="P2057" i="3" s="1"/>
  <c r="L2057" i="3"/>
  <c r="M2057" i="3"/>
  <c r="J1062" i="3"/>
  <c r="K1062" i="3"/>
  <c r="P1062" i="3" s="1"/>
  <c r="L1062" i="3"/>
  <c r="M1062" i="3"/>
  <c r="J1882" i="3"/>
  <c r="K1882" i="3"/>
  <c r="P1882" i="3" s="1"/>
  <c r="L1882" i="3"/>
  <c r="M1882" i="3"/>
  <c r="J1778" i="3"/>
  <c r="K1778" i="3"/>
  <c r="P1778" i="3" s="1"/>
  <c r="L1778" i="3"/>
  <c r="M1778" i="3"/>
  <c r="J837" i="3"/>
  <c r="K837" i="3"/>
  <c r="L837" i="3"/>
  <c r="M837" i="3"/>
  <c r="J1812" i="3"/>
  <c r="K1812" i="3"/>
  <c r="P1812" i="3" s="1"/>
  <c r="L1812" i="3"/>
  <c r="M1812" i="3"/>
  <c r="J1887" i="3"/>
  <c r="K1887" i="3"/>
  <c r="P1887" i="3" s="1"/>
  <c r="L1887" i="3"/>
  <c r="M1887" i="3"/>
  <c r="J1225" i="3"/>
  <c r="K1225" i="3"/>
  <c r="P1225" i="3" s="1"/>
  <c r="L1225" i="3"/>
  <c r="M1225" i="3"/>
  <c r="J2036" i="3"/>
  <c r="K2036" i="3"/>
  <c r="P2036" i="3" s="1"/>
  <c r="L2036" i="3"/>
  <c r="M2036" i="3"/>
  <c r="J1044" i="3"/>
  <c r="K1044" i="3"/>
  <c r="P1044" i="3" s="1"/>
  <c r="L1044" i="3"/>
  <c r="M1044" i="3"/>
  <c r="J1100" i="3"/>
  <c r="K1100" i="3"/>
  <c r="P1100" i="3" s="1"/>
  <c r="L1100" i="3"/>
  <c r="M1100" i="3"/>
  <c r="J2037" i="3"/>
  <c r="K2037" i="3"/>
  <c r="P2037" i="3" s="1"/>
  <c r="L2037" i="3"/>
  <c r="M2037" i="3"/>
  <c r="J1053" i="3"/>
  <c r="K1053" i="3"/>
  <c r="P1053" i="3" s="1"/>
  <c r="L1053" i="3"/>
  <c r="M1053" i="3"/>
  <c r="J1283" i="3"/>
  <c r="K1283" i="3"/>
  <c r="P1283" i="3" s="1"/>
  <c r="L1283" i="3"/>
  <c r="M1283" i="3"/>
  <c r="K255" i="3"/>
  <c r="L255" i="3"/>
  <c r="M255" i="3"/>
  <c r="M830" i="3"/>
  <c r="L830" i="3"/>
  <c r="K830" i="3"/>
  <c r="J830" i="3"/>
  <c r="J2035" i="3"/>
  <c r="K2035" i="3"/>
  <c r="L2035" i="3"/>
  <c r="M2035" i="3"/>
  <c r="J1058" i="3"/>
  <c r="K1058" i="3"/>
  <c r="P1058" i="3" s="1"/>
  <c r="L1058" i="3"/>
  <c r="M1058" i="3"/>
  <c r="J2051" i="3"/>
  <c r="K2051" i="3"/>
  <c r="P2051" i="3" s="1"/>
  <c r="L2051" i="3"/>
  <c r="M2051" i="3"/>
  <c r="J1753" i="3"/>
  <c r="K1753" i="3"/>
  <c r="P1753" i="3" s="1"/>
  <c r="L1753" i="3"/>
  <c r="M1753" i="3"/>
  <c r="J1832" i="3"/>
  <c r="K1832" i="3"/>
  <c r="P1832" i="3" s="1"/>
  <c r="L1832" i="3"/>
  <c r="M1832" i="3"/>
  <c r="J1748" i="3"/>
  <c r="K1748" i="3"/>
  <c r="L1748" i="3"/>
  <c r="M1748" i="3"/>
  <c r="J521" i="3"/>
  <c r="K521" i="3"/>
  <c r="L521" i="3"/>
  <c r="M521" i="3"/>
  <c r="J2055" i="3"/>
  <c r="K2055" i="3"/>
  <c r="P2055" i="3" s="1"/>
  <c r="L2055" i="3"/>
  <c r="M2055" i="3"/>
  <c r="J2056" i="3"/>
  <c r="K2056" i="3"/>
  <c r="L2056" i="3"/>
  <c r="M2056" i="3"/>
  <c r="B1" i="3"/>
  <c r="J2052" i="3"/>
  <c r="K2052" i="3"/>
  <c r="P2052" i="3" s="1"/>
  <c r="L2052" i="3"/>
  <c r="M2052" i="3"/>
  <c r="M2034" i="3"/>
  <c r="L2034" i="3"/>
  <c r="K2034" i="3"/>
  <c r="P2034" i="3" s="1"/>
  <c r="J2034" i="3"/>
  <c r="M253" i="3"/>
  <c r="L253" i="3"/>
  <c r="K253" i="3"/>
  <c r="M1574" i="3"/>
  <c r="L1574" i="3"/>
  <c r="K1574" i="3"/>
  <c r="P1574" i="3" s="1"/>
  <c r="J1574" i="3"/>
  <c r="M2038" i="3"/>
  <c r="L2038" i="3"/>
  <c r="K2038" i="3"/>
  <c r="P2038" i="3" s="1"/>
  <c r="J2038" i="3"/>
  <c r="M254" i="3"/>
  <c r="L254" i="3"/>
  <c r="K254" i="3"/>
  <c r="M1698" i="3"/>
  <c r="L1698" i="3"/>
  <c r="K1698" i="3"/>
  <c r="P1698" i="3" s="1"/>
  <c r="J1698" i="3"/>
  <c r="M1051" i="3"/>
  <c r="L1051" i="3"/>
  <c r="K1051" i="3"/>
  <c r="P1051" i="3" s="1"/>
  <c r="J1051" i="3"/>
  <c r="M2427" i="3"/>
  <c r="L2427" i="3"/>
  <c r="K2427" i="3"/>
  <c r="P2427" i="3" s="1"/>
  <c r="J2427" i="3"/>
  <c r="M2335" i="3"/>
  <c r="L2335" i="3"/>
  <c r="K2335" i="3"/>
  <c r="P2335" i="3" s="1"/>
  <c r="J2335" i="3"/>
  <c r="J553" i="3"/>
  <c r="K553" i="3"/>
  <c r="L553" i="3"/>
  <c r="M553" i="3"/>
  <c r="J825" i="3"/>
  <c r="K825" i="3"/>
  <c r="L825" i="3"/>
  <c r="M825" i="3"/>
  <c r="J1250" i="3"/>
  <c r="K1250" i="3"/>
  <c r="P1250" i="3" s="1"/>
  <c r="L1250" i="3"/>
  <c r="M1250" i="3"/>
  <c r="M801" i="3"/>
  <c r="L801" i="3"/>
  <c r="K801" i="3"/>
  <c r="P801" i="3" s="1"/>
  <c r="J801" i="3"/>
  <c r="M1695" i="3"/>
  <c r="L1695" i="3"/>
  <c r="K1695" i="3"/>
  <c r="P1695" i="3" s="1"/>
  <c r="J1695" i="3"/>
  <c r="M823" i="3"/>
  <c r="L823" i="3"/>
  <c r="K823" i="3"/>
  <c r="J823" i="3"/>
  <c r="M1045" i="3"/>
  <c r="L1045" i="3"/>
  <c r="K1045" i="3"/>
  <c r="P1045" i="3" s="1"/>
  <c r="J1045" i="3"/>
  <c r="J2039" i="3"/>
  <c r="K2039" i="3"/>
  <c r="P2039" i="3" s="1"/>
  <c r="L2039" i="3"/>
  <c r="M2039" i="3"/>
  <c r="J2043" i="3"/>
  <c r="K2043" i="3"/>
  <c r="P2043" i="3" s="1"/>
  <c r="L2043" i="3"/>
  <c r="M2043" i="3"/>
  <c r="M577" i="3"/>
  <c r="L577" i="3"/>
  <c r="K577" i="3"/>
  <c r="J577" i="3"/>
  <c r="J2066" i="3"/>
  <c r="K2066" i="3"/>
  <c r="P2066" i="3" s="1"/>
  <c r="L2066" i="3"/>
  <c r="M2066" i="3"/>
  <c r="R2062" i="3"/>
  <c r="M2062" i="3"/>
  <c r="L2062" i="3"/>
  <c r="K2062" i="3"/>
  <c r="P2062" i="3" s="1"/>
  <c r="J2062" i="3"/>
  <c r="R2063" i="3"/>
  <c r="M2063" i="3"/>
  <c r="L2063" i="3"/>
  <c r="K2063" i="3"/>
  <c r="P2063" i="3" s="1"/>
  <c r="J2063" i="3"/>
  <c r="R2064" i="3"/>
  <c r="M2064" i="3"/>
  <c r="L2064" i="3"/>
  <c r="K2064" i="3"/>
  <c r="P2064" i="3" s="1"/>
  <c r="J2064" i="3"/>
  <c r="M282" i="3"/>
  <c r="L282" i="3"/>
  <c r="K282" i="3"/>
  <c r="R1634" i="3"/>
  <c r="M1634" i="3"/>
  <c r="L1634" i="3"/>
  <c r="K1634" i="3"/>
  <c r="P1634" i="3" s="1"/>
  <c r="J1634" i="3"/>
  <c r="R1080" i="3"/>
  <c r="M1080" i="3"/>
  <c r="L1080" i="3"/>
  <c r="K1080" i="3"/>
  <c r="P1080" i="3" s="1"/>
  <c r="J1080" i="3"/>
  <c r="M575" i="3"/>
  <c r="L575" i="3"/>
  <c r="K575" i="3"/>
  <c r="J575" i="3"/>
  <c r="M569" i="3"/>
  <c r="L569" i="3"/>
  <c r="K569" i="3"/>
  <c r="J569" i="3"/>
  <c r="M2027" i="3"/>
  <c r="L2027" i="3"/>
  <c r="K2027" i="3"/>
  <c r="P2027" i="3" s="1"/>
  <c r="J2027" i="3"/>
  <c r="R1068" i="3"/>
  <c r="M1068" i="3"/>
  <c r="L1068" i="3"/>
  <c r="K1068" i="3"/>
  <c r="P1068" i="3" s="1"/>
  <c r="J1068" i="3"/>
  <c r="M1787" i="3"/>
  <c r="L1787" i="3"/>
  <c r="K1787" i="3"/>
  <c r="P1787" i="3" s="1"/>
  <c r="J1787" i="3"/>
  <c r="P830" i="3" l="1"/>
  <c r="P837" i="3"/>
  <c r="P833" i="3"/>
  <c r="P538" i="3"/>
  <c r="P534" i="3"/>
  <c r="P542" i="3"/>
  <c r="P520" i="3"/>
  <c r="P577" i="3"/>
  <c r="P823" i="3"/>
  <c r="P521" i="3"/>
  <c r="P569" i="3"/>
  <c r="P575" i="3"/>
  <c r="P825" i="3"/>
  <c r="P553" i="3"/>
  <c r="P60" i="3"/>
  <c r="P234" i="3"/>
  <c r="P263" i="3"/>
  <c r="Q1891" i="3"/>
  <c r="Q1366" i="3"/>
  <c r="P253" i="3"/>
  <c r="P254" i="3"/>
  <c r="P282" i="3"/>
  <c r="P2056" i="3"/>
  <c r="P1748" i="3"/>
  <c r="P2035" i="3"/>
  <c r="P255" i="3"/>
  <c r="I272" i="108"/>
  <c r="J272" i="108"/>
  <c r="K272" i="108"/>
  <c r="L272" i="108"/>
  <c r="I271" i="108"/>
  <c r="J271" i="108"/>
  <c r="K271" i="108"/>
  <c r="L271" i="108"/>
  <c r="I535" i="108"/>
  <c r="J535" i="108"/>
  <c r="K535" i="108"/>
  <c r="L535" i="108"/>
  <c r="I541" i="108"/>
  <c r="J541" i="108"/>
  <c r="K541" i="108"/>
  <c r="L541" i="108"/>
  <c r="I544" i="108"/>
  <c r="J544" i="108"/>
  <c r="K544" i="108"/>
  <c r="L544" i="108"/>
  <c r="L384" i="108"/>
  <c r="K384" i="108"/>
  <c r="J384" i="108"/>
  <c r="I384" i="108"/>
  <c r="J590" i="108"/>
  <c r="K590" i="108"/>
  <c r="L590" i="108"/>
  <c r="L697" i="108"/>
  <c r="K697" i="108"/>
  <c r="J697" i="108"/>
  <c r="I697" i="108"/>
  <c r="L607" i="108"/>
  <c r="K607" i="108"/>
  <c r="J607" i="108"/>
  <c r="I607" i="108"/>
  <c r="L635" i="108"/>
  <c r="K635" i="108"/>
  <c r="J635" i="108"/>
  <c r="I635" i="108"/>
  <c r="L643" i="108"/>
  <c r="K643" i="108"/>
  <c r="J643" i="108"/>
  <c r="I643" i="108"/>
  <c r="L644" i="108"/>
  <c r="K644" i="108"/>
  <c r="J644" i="108"/>
  <c r="I644" i="108"/>
  <c r="L621" i="108"/>
  <c r="K621" i="108"/>
  <c r="J621" i="108"/>
  <c r="I621" i="108"/>
  <c r="L431" i="108"/>
  <c r="K431" i="108"/>
  <c r="J431" i="108"/>
  <c r="I431" i="108"/>
  <c r="L395" i="108"/>
  <c r="K395" i="108"/>
  <c r="J395" i="108"/>
  <c r="I395" i="108"/>
  <c r="L718" i="108"/>
  <c r="K718" i="108"/>
  <c r="J718" i="108"/>
  <c r="I718" i="108"/>
  <c r="L589" i="108"/>
  <c r="K589" i="108"/>
  <c r="J589" i="108"/>
  <c r="I589" i="108"/>
  <c r="I472" i="108"/>
  <c r="J472" i="108"/>
  <c r="K472" i="108"/>
  <c r="L472" i="108"/>
  <c r="L446" i="108"/>
  <c r="K446" i="108"/>
  <c r="J446" i="108"/>
  <c r="I446" i="108"/>
  <c r="L638" i="108"/>
  <c r="K638" i="108"/>
  <c r="J638" i="108"/>
  <c r="I638" i="108"/>
  <c r="L391" i="108"/>
  <c r="K391" i="108"/>
  <c r="J391" i="108"/>
  <c r="I391" i="108"/>
  <c r="Q1893" i="3"/>
  <c r="Q1892" i="3"/>
  <c r="Q1894" i="3"/>
  <c r="Q1895" i="3"/>
  <c r="Q1896" i="3"/>
  <c r="Q1897" i="3"/>
  <c r="Q1898" i="3"/>
  <c r="Q1899" i="3"/>
  <c r="Q1900" i="3"/>
  <c r="Q1901" i="3"/>
  <c r="Q1903" i="3"/>
  <c r="Q1904" i="3"/>
  <c r="Q1905" i="3"/>
  <c r="Q1906" i="3"/>
  <c r="Q1907" i="3"/>
  <c r="Q1888" i="3"/>
  <c r="Q1908" i="3"/>
  <c r="Q1902" i="3"/>
  <c r="Q1909" i="3"/>
  <c r="Q1910" i="3"/>
  <c r="Q1911" i="3"/>
  <c r="Q1912" i="3"/>
  <c r="Q1913" i="3"/>
  <c r="Q1915" i="3"/>
  <c r="Q1914" i="3"/>
  <c r="Q1703" i="3"/>
  <c r="J880" i="3"/>
  <c r="K880" i="3"/>
  <c r="L880" i="3"/>
  <c r="M880" i="3"/>
  <c r="R880" i="3"/>
  <c r="R1769" i="3"/>
  <c r="J1769" i="3"/>
  <c r="K1769" i="3"/>
  <c r="P1769" i="3" s="1"/>
  <c r="L1769" i="3"/>
  <c r="M1769" i="3"/>
  <c r="J1118" i="3"/>
  <c r="K1118" i="3"/>
  <c r="P1118" i="3" s="1"/>
  <c r="L1118" i="3"/>
  <c r="M1118" i="3"/>
  <c r="R1118" i="3"/>
  <c r="M1086" i="3"/>
  <c r="L1086" i="3"/>
  <c r="K1086" i="3"/>
  <c r="P1086" i="3" s="1"/>
  <c r="J1086" i="3"/>
  <c r="R1770" i="3"/>
  <c r="J1770" i="3"/>
  <c r="K1770" i="3"/>
  <c r="P1770" i="3" s="1"/>
  <c r="L1770" i="3"/>
  <c r="M1770" i="3"/>
  <c r="J1782" i="3"/>
  <c r="K1782" i="3"/>
  <c r="P1782" i="3" s="1"/>
  <c r="L1782" i="3"/>
  <c r="M1782" i="3"/>
  <c r="R1782" i="3"/>
  <c r="P880" i="3" l="1"/>
  <c r="M2018" i="3"/>
  <c r="L2018" i="3"/>
  <c r="K2018" i="3"/>
  <c r="P2018" i="3" s="1"/>
  <c r="J2018" i="3"/>
  <c r="Q2062" i="3" l="1"/>
  <c r="Q2063" i="3"/>
  <c r="Q2064" i="3"/>
  <c r="Q1634" i="3"/>
  <c r="Q1080" i="3"/>
  <c r="Q1068" i="3"/>
  <c r="M433" i="3"/>
  <c r="L433" i="3"/>
  <c r="K433" i="3"/>
  <c r="J433" i="3"/>
  <c r="P433" i="3" l="1"/>
  <c r="I731" i="108"/>
  <c r="J731" i="108"/>
  <c r="K731" i="108"/>
  <c r="L731" i="108"/>
  <c r="Q1195" i="3"/>
  <c r="R1195" i="3"/>
  <c r="Q47" i="3"/>
  <c r="R47" i="3"/>
  <c r="Q2422" i="3"/>
  <c r="R2422" i="3"/>
  <c r="Q1419" i="3"/>
  <c r="R1419" i="3"/>
  <c r="Q1737" i="3"/>
  <c r="R1737" i="3"/>
  <c r="Q817" i="3"/>
  <c r="R817" i="3"/>
  <c r="Q1434" i="3"/>
  <c r="R1434" i="3"/>
  <c r="Q1546" i="3"/>
  <c r="R1546" i="3"/>
  <c r="Q1547" i="3"/>
  <c r="R1547" i="3"/>
  <c r="Q1548" i="3"/>
  <c r="R1548" i="3"/>
  <c r="Q1549" i="3"/>
  <c r="R1549" i="3"/>
  <c r="Q1550" i="3"/>
  <c r="R1550" i="3"/>
  <c r="Q1551" i="3"/>
  <c r="R1551" i="3"/>
  <c r="Q1553" i="3"/>
  <c r="R1553" i="3"/>
  <c r="Q1552" i="3"/>
  <c r="R1552" i="3"/>
  <c r="Q1554" i="3"/>
  <c r="R1554" i="3"/>
  <c r="Q866" i="3"/>
  <c r="R866" i="3"/>
  <c r="Q862" i="3"/>
  <c r="R862" i="3"/>
  <c r="Q863" i="3"/>
  <c r="R863" i="3"/>
  <c r="Q865" i="3"/>
  <c r="R865" i="3"/>
  <c r="Q869" i="3"/>
  <c r="R869" i="3"/>
  <c r="Q870" i="3"/>
  <c r="R870" i="3"/>
  <c r="Q867" i="3"/>
  <c r="R867" i="3"/>
  <c r="Q868" i="3"/>
  <c r="R868" i="3"/>
  <c r="Q864" i="3"/>
  <c r="R864" i="3"/>
  <c r="Q816" i="3"/>
  <c r="R816" i="3"/>
  <c r="Q1861" i="3"/>
  <c r="R1861" i="3"/>
  <c r="Q1864" i="3"/>
  <c r="R1864" i="3"/>
  <c r="Q1865" i="3"/>
  <c r="R1865" i="3"/>
  <c r="Q1845" i="3"/>
  <c r="R1845" i="3"/>
  <c r="Q1863" i="3"/>
  <c r="R1863" i="3"/>
  <c r="Q1866" i="3"/>
  <c r="R1866" i="3"/>
  <c r="Q1833" i="3"/>
  <c r="R1833" i="3"/>
  <c r="Q1847" i="3"/>
  <c r="R1847" i="3"/>
  <c r="Q1862" i="3"/>
  <c r="R1862" i="3"/>
  <c r="Q1842" i="3"/>
  <c r="R1842" i="3"/>
  <c r="Q1843" i="3"/>
  <c r="R1843" i="3"/>
  <c r="Q1849" i="3"/>
  <c r="R1849" i="3"/>
  <c r="Q1851" i="3"/>
  <c r="R1851" i="3"/>
  <c r="Q1850" i="3"/>
  <c r="R1850" i="3"/>
  <c r="Q1848" i="3"/>
  <c r="R1848" i="3"/>
  <c r="Q1846" i="3"/>
  <c r="R1846" i="3"/>
  <c r="Q1852" i="3"/>
  <c r="R1852" i="3"/>
  <c r="Q1841" i="3"/>
  <c r="R1841" i="3"/>
  <c r="Q370" i="3"/>
  <c r="R370" i="3"/>
  <c r="Q1390" i="3"/>
  <c r="R1390" i="3"/>
  <c r="Q46" i="3"/>
  <c r="R46" i="3"/>
  <c r="Q163" i="3"/>
  <c r="R163" i="3"/>
  <c r="Q2210" i="3"/>
  <c r="R2210" i="3"/>
  <c r="Q1433" i="3"/>
  <c r="R1433" i="3"/>
  <c r="Q1790" i="3"/>
  <c r="R1790" i="3"/>
  <c r="Q1867" i="3"/>
  <c r="R1867" i="3"/>
  <c r="Q1868" i="3"/>
  <c r="R1868" i="3"/>
  <c r="Q1853" i="3"/>
  <c r="R1853" i="3"/>
  <c r="Q1859" i="3"/>
  <c r="R1859" i="3"/>
  <c r="Q1854" i="3"/>
  <c r="R1854" i="3"/>
  <c r="Q1855" i="3"/>
  <c r="R1855" i="3"/>
  <c r="Q1858" i="3"/>
  <c r="R1858" i="3"/>
  <c r="Q1856" i="3"/>
  <c r="R1856" i="3"/>
  <c r="Q1860" i="3"/>
  <c r="R1860" i="3"/>
  <c r="Q1857" i="3"/>
  <c r="R1857" i="3"/>
  <c r="Q1869" i="3"/>
  <c r="R1869" i="3"/>
  <c r="Q846" i="3"/>
  <c r="R846" i="3"/>
  <c r="Q839" i="3"/>
  <c r="R839" i="3"/>
  <c r="Q1831" i="3"/>
  <c r="R1831" i="3"/>
  <c r="Q1099" i="3"/>
  <c r="R1099" i="3"/>
  <c r="Q1403" i="3"/>
  <c r="R1403" i="3"/>
  <c r="Q1400" i="3"/>
  <c r="R1400" i="3"/>
  <c r="Q1449" i="3"/>
  <c r="R1449" i="3"/>
  <c r="Q1452" i="3"/>
  <c r="R1452" i="3"/>
  <c r="Q1453" i="3"/>
  <c r="R1453" i="3"/>
  <c r="Q1412" i="3"/>
  <c r="R1412" i="3"/>
  <c r="Q1435" i="3"/>
  <c r="R1435" i="3"/>
  <c r="Q1421" i="3"/>
  <c r="R1421" i="3"/>
  <c r="Q1457" i="3"/>
  <c r="R1457" i="3"/>
  <c r="Q1445" i="3"/>
  <c r="R1445" i="3"/>
  <c r="Q1462" i="3"/>
  <c r="R1462" i="3"/>
  <c r="Q1463" i="3"/>
  <c r="R1463" i="3"/>
  <c r="Q1461" i="3"/>
  <c r="R1461" i="3"/>
  <c r="Q1459" i="3"/>
  <c r="R1459" i="3"/>
  <c r="Q15" i="3"/>
  <c r="R15" i="3"/>
  <c r="Q1446" i="3"/>
  <c r="R1446" i="3"/>
  <c r="Q1455" i="3"/>
  <c r="R1455" i="3"/>
  <c r="Q1458" i="3"/>
  <c r="R1458" i="3"/>
  <c r="Q1454" i="3"/>
  <c r="R1454" i="3"/>
  <c r="Q1408" i="3"/>
  <c r="R1408" i="3"/>
  <c r="Q1432" i="3"/>
  <c r="R1432" i="3"/>
  <c r="Q1426" i="3"/>
  <c r="R1426" i="3"/>
  <c r="Q1425" i="3"/>
  <c r="R1425" i="3"/>
  <c r="Q1410" i="3"/>
  <c r="R1410" i="3"/>
  <c r="Q1456" i="3"/>
  <c r="R1456" i="3"/>
  <c r="Q871" i="3"/>
  <c r="R871" i="3"/>
  <c r="Q138" i="3"/>
  <c r="R138" i="3"/>
  <c r="Q873" i="3"/>
  <c r="R873" i="3"/>
  <c r="Q2411" i="3"/>
  <c r="R2411" i="3"/>
  <c r="Q2412" i="3"/>
  <c r="R2412" i="3"/>
  <c r="Q2413" i="3"/>
  <c r="R2413" i="3"/>
  <c r="Q2416" i="3"/>
  <c r="R2416" i="3"/>
  <c r="Q2415" i="3"/>
  <c r="R2415" i="3"/>
  <c r="Q2414" i="3"/>
  <c r="R2414" i="3"/>
  <c r="Q1417" i="3"/>
  <c r="R1417" i="3"/>
  <c r="Q1428" i="3"/>
  <c r="R1428" i="3"/>
  <c r="Q149" i="3"/>
  <c r="R149" i="3"/>
  <c r="Q1205" i="3"/>
  <c r="R1205" i="3"/>
  <c r="Q852" i="3"/>
  <c r="R852" i="3"/>
  <c r="Q847" i="3"/>
  <c r="R847" i="3"/>
  <c r="Q2402" i="3"/>
  <c r="R2402" i="3"/>
  <c r="Q2401" i="3"/>
  <c r="R2401" i="3"/>
  <c r="Q1560" i="3"/>
  <c r="R1560" i="3"/>
  <c r="Q1559" i="3"/>
  <c r="R1559" i="3"/>
  <c r="Q1561" i="3"/>
  <c r="R1561" i="3"/>
  <c r="Q1626" i="3"/>
  <c r="R1626" i="3"/>
  <c r="Q1627" i="3"/>
  <c r="R1627" i="3"/>
  <c r="Q1567" i="3"/>
  <c r="R1567" i="3"/>
  <c r="Q55" i="3"/>
  <c r="R55" i="3"/>
  <c r="Q50" i="3"/>
  <c r="R50" i="3"/>
  <c r="Q356" i="3"/>
  <c r="R356" i="3"/>
  <c r="Q379" i="3"/>
  <c r="R379" i="3"/>
  <c r="Q413" i="3"/>
  <c r="R413" i="3"/>
  <c r="Q451" i="3"/>
  <c r="R451" i="3"/>
  <c r="Q476" i="3"/>
  <c r="R476" i="3"/>
  <c r="Q488" i="3"/>
  <c r="R488" i="3"/>
  <c r="Q498" i="3"/>
  <c r="R498" i="3"/>
  <c r="Q380" i="3"/>
  <c r="R380" i="3"/>
  <c r="Q418" i="3"/>
  <c r="R418" i="3"/>
  <c r="Q453" i="3"/>
  <c r="R453" i="3"/>
  <c r="Q376" i="3"/>
  <c r="R376" i="3"/>
  <c r="Q415" i="3"/>
  <c r="R415" i="3"/>
  <c r="Q449" i="3"/>
  <c r="R449" i="3"/>
  <c r="Q474" i="3"/>
  <c r="R474" i="3"/>
  <c r="Q375" i="3"/>
  <c r="R375" i="3"/>
  <c r="Q420" i="3"/>
  <c r="R420" i="3"/>
  <c r="Q471" i="3"/>
  <c r="R471" i="3"/>
  <c r="Q479" i="3"/>
  <c r="R479" i="3"/>
  <c r="Q495" i="3"/>
  <c r="R495" i="3"/>
  <c r="Q381" i="3"/>
  <c r="R381" i="3"/>
  <c r="Q419" i="3"/>
  <c r="R419" i="3"/>
  <c r="Q454" i="3"/>
  <c r="R454" i="3"/>
  <c r="Q478" i="3"/>
  <c r="R478" i="3"/>
  <c r="Q377" i="3"/>
  <c r="R377" i="3"/>
  <c r="Q416" i="3"/>
  <c r="R416" i="3"/>
  <c r="Q450" i="3"/>
  <c r="R450" i="3"/>
  <c r="Q475" i="3"/>
  <c r="R475" i="3"/>
  <c r="Q496" i="3"/>
  <c r="R496" i="3"/>
  <c r="Q499" i="3"/>
  <c r="R499" i="3"/>
  <c r="Q500" i="3"/>
  <c r="R500" i="3"/>
  <c r="Q383" i="3"/>
  <c r="R383" i="3"/>
  <c r="Q384" i="3"/>
  <c r="R384" i="3"/>
  <c r="Q423" i="3"/>
  <c r="R423" i="3"/>
  <c r="Q448" i="3"/>
  <c r="R448" i="3"/>
  <c r="Q482" i="3"/>
  <c r="R482" i="3"/>
  <c r="Q489" i="3"/>
  <c r="R489" i="3"/>
  <c r="Q385" i="3"/>
  <c r="R385" i="3"/>
  <c r="Q455" i="3"/>
  <c r="R455" i="3"/>
  <c r="Q378" i="3"/>
  <c r="R378" i="3"/>
  <c r="Q417" i="3"/>
  <c r="R417" i="3"/>
  <c r="Q452" i="3"/>
  <c r="R452" i="3"/>
  <c r="Q477" i="3"/>
  <c r="R477" i="3"/>
  <c r="Q389" i="3"/>
  <c r="R389" i="3"/>
  <c r="Q427" i="3"/>
  <c r="R427" i="3"/>
  <c r="Q469" i="3"/>
  <c r="R469" i="3"/>
  <c r="Q410" i="3"/>
  <c r="R410" i="3"/>
  <c r="Q441" i="3"/>
  <c r="R441" i="3"/>
  <c r="Q386" i="3"/>
  <c r="R386" i="3"/>
  <c r="Q424" i="3"/>
  <c r="R424" i="3"/>
  <c r="Q456" i="3"/>
  <c r="R456" i="3"/>
  <c r="Q490" i="3"/>
  <c r="R490" i="3"/>
  <c r="Q382" i="3"/>
  <c r="R382" i="3"/>
  <c r="Q421" i="3"/>
  <c r="R421" i="3"/>
  <c r="Q470" i="3"/>
  <c r="R470" i="3"/>
  <c r="Q391" i="3"/>
  <c r="R391" i="3"/>
  <c r="Q428" i="3"/>
  <c r="R428" i="3"/>
  <c r="Q468" i="3"/>
  <c r="R468" i="3"/>
  <c r="Q387" i="3"/>
  <c r="R387" i="3"/>
  <c r="Q425" i="3"/>
  <c r="R425" i="3"/>
  <c r="Q457" i="3"/>
  <c r="R457" i="3"/>
  <c r="Q480" i="3"/>
  <c r="R480" i="3"/>
  <c r="Q493" i="3"/>
  <c r="R493" i="3"/>
  <c r="Q422" i="3"/>
  <c r="R422" i="3"/>
  <c r="Q412" i="3"/>
  <c r="R412" i="3"/>
  <c r="Q392" i="3"/>
  <c r="R392" i="3"/>
  <c r="Q434" i="3"/>
  <c r="R434" i="3"/>
  <c r="Q459" i="3"/>
  <c r="R459" i="3"/>
  <c r="Q394" i="3"/>
  <c r="R394" i="3"/>
  <c r="Q436" i="3"/>
  <c r="R436" i="3"/>
  <c r="Q461" i="3"/>
  <c r="R461" i="3"/>
  <c r="Q492" i="3"/>
  <c r="R492" i="3"/>
  <c r="Q388" i="3"/>
  <c r="R388" i="3"/>
  <c r="Q426" i="3"/>
  <c r="R426" i="3"/>
  <c r="Q458" i="3"/>
  <c r="R458" i="3"/>
  <c r="Q491" i="3"/>
  <c r="R491" i="3"/>
  <c r="Q396" i="3"/>
  <c r="R396" i="3"/>
  <c r="Q430" i="3"/>
  <c r="R430" i="3"/>
  <c r="Q463" i="3"/>
  <c r="R463" i="3"/>
  <c r="Q395" i="3"/>
  <c r="R395" i="3"/>
  <c r="Q435" i="3"/>
  <c r="R435" i="3"/>
  <c r="Q462" i="3"/>
  <c r="R462" i="3"/>
  <c r="Q397" i="3"/>
  <c r="R397" i="3"/>
  <c r="Q431" i="3"/>
  <c r="R431" i="3"/>
  <c r="Q447" i="3"/>
  <c r="R447" i="3"/>
  <c r="Q402" i="3"/>
  <c r="R402" i="3"/>
  <c r="Q438" i="3"/>
  <c r="R438" i="3"/>
  <c r="Q465" i="3"/>
  <c r="R465" i="3"/>
  <c r="Q481" i="3"/>
  <c r="R481" i="3"/>
  <c r="Q494" i="3"/>
  <c r="R494" i="3"/>
  <c r="Q398" i="3"/>
  <c r="R398" i="3"/>
  <c r="Q399" i="3"/>
  <c r="R399" i="3"/>
  <c r="Q432" i="3"/>
  <c r="R432" i="3"/>
  <c r="Q393" i="3"/>
  <c r="R393" i="3"/>
  <c r="Q429" i="3"/>
  <c r="R429" i="3"/>
  <c r="Q460" i="3"/>
  <c r="R460" i="3"/>
  <c r="Q409" i="3"/>
  <c r="R409" i="3"/>
  <c r="Q414" i="3"/>
  <c r="R414" i="3"/>
  <c r="Q400" i="3"/>
  <c r="R400" i="3"/>
  <c r="Q439" i="3"/>
  <c r="R439" i="3"/>
  <c r="Q464" i="3"/>
  <c r="R464" i="3"/>
  <c r="Q401" i="3"/>
  <c r="R401" i="3"/>
  <c r="Q403" i="3"/>
  <c r="R403" i="3"/>
  <c r="Q404" i="3"/>
  <c r="R404" i="3"/>
  <c r="Q408" i="3"/>
  <c r="R408" i="3"/>
  <c r="Q437" i="3"/>
  <c r="R437" i="3"/>
  <c r="Q467" i="3"/>
  <c r="R467" i="3"/>
  <c r="Q405" i="3"/>
  <c r="R405" i="3"/>
  <c r="Q440" i="3"/>
  <c r="R440" i="3"/>
  <c r="Q466" i="3"/>
  <c r="R466" i="3"/>
  <c r="Q373" i="3"/>
  <c r="R373" i="3"/>
  <c r="Q390" i="3"/>
  <c r="R390" i="3"/>
  <c r="Q407" i="3"/>
  <c r="R407" i="3"/>
  <c r="Q442" i="3"/>
  <c r="R442" i="3"/>
  <c r="Q483" i="3"/>
  <c r="R483" i="3"/>
  <c r="Q484" i="3"/>
  <c r="R484" i="3"/>
  <c r="Q411" i="3"/>
  <c r="R411" i="3"/>
  <c r="Q444" i="3"/>
  <c r="R444" i="3"/>
  <c r="Q497" i="3"/>
  <c r="R497" i="3"/>
  <c r="Q485" i="3"/>
  <c r="R485" i="3"/>
  <c r="Q445" i="3"/>
  <c r="R445" i="3"/>
  <c r="Q472" i="3"/>
  <c r="R472" i="3"/>
  <c r="Q487" i="3"/>
  <c r="R487" i="3"/>
  <c r="Q486" i="3"/>
  <c r="R486" i="3"/>
  <c r="Q473" i="3"/>
  <c r="R473" i="3"/>
  <c r="Q406" i="3"/>
  <c r="R406" i="3"/>
  <c r="Q1641" i="3"/>
  <c r="R1641" i="3"/>
  <c r="Q1074" i="3"/>
  <c r="R1074" i="3"/>
  <c r="Q1706" i="3"/>
  <c r="R1706" i="3"/>
  <c r="Q208" i="3"/>
  <c r="R208" i="3"/>
  <c r="Q207" i="3"/>
  <c r="R207" i="3"/>
  <c r="Q211" i="3"/>
  <c r="R211" i="3"/>
  <c r="Q212" i="3"/>
  <c r="R212" i="3"/>
  <c r="Q121" i="3"/>
  <c r="R121" i="3"/>
  <c r="Q90" i="3"/>
  <c r="R90" i="3"/>
  <c r="Q123" i="3"/>
  <c r="R123" i="3"/>
  <c r="Q188" i="3"/>
  <c r="R188" i="3"/>
  <c r="Q94" i="3"/>
  <c r="R94" i="3"/>
  <c r="Q116" i="3"/>
  <c r="R116" i="3"/>
  <c r="Q120" i="3"/>
  <c r="R120" i="3"/>
  <c r="Q115" i="3"/>
  <c r="R115" i="3"/>
  <c r="Q118" i="3"/>
  <c r="R118" i="3"/>
  <c r="Q117" i="3"/>
  <c r="R117" i="3"/>
  <c r="Q119" i="3"/>
  <c r="R119" i="3"/>
  <c r="Q114" i="3"/>
  <c r="R114" i="3"/>
  <c r="Q129" i="3"/>
  <c r="R129" i="3"/>
  <c r="Q124" i="3"/>
  <c r="R124" i="3"/>
  <c r="Q125" i="3"/>
  <c r="R125" i="3"/>
  <c r="Q128" i="3"/>
  <c r="R128" i="3"/>
  <c r="Q126" i="3"/>
  <c r="R126" i="3"/>
  <c r="Q122" i="3"/>
  <c r="R122" i="3"/>
  <c r="Q218" i="3"/>
  <c r="R218" i="3"/>
  <c r="Q187" i="3"/>
  <c r="R187" i="3"/>
  <c r="Q189" i="3"/>
  <c r="R189" i="3"/>
  <c r="Q109" i="3"/>
  <c r="R109" i="3"/>
  <c r="Q110" i="3"/>
  <c r="R110" i="3"/>
  <c r="Q95" i="3"/>
  <c r="R95" i="3"/>
  <c r="Q93" i="3"/>
  <c r="R93" i="3"/>
  <c r="Q108" i="3"/>
  <c r="R108" i="3"/>
  <c r="Q100" i="3"/>
  <c r="R100" i="3"/>
  <c r="Q111" i="3"/>
  <c r="R111" i="3"/>
  <c r="Q98" i="3"/>
  <c r="R98" i="3"/>
  <c r="Q99" i="3"/>
  <c r="R99" i="3"/>
  <c r="Q107" i="3"/>
  <c r="R107" i="3"/>
  <c r="Q105" i="3"/>
  <c r="R105" i="3"/>
  <c r="Q112" i="3"/>
  <c r="R112" i="3"/>
  <c r="Q104" i="3"/>
  <c r="R104" i="3"/>
  <c r="Q92" i="3"/>
  <c r="R92" i="3"/>
  <c r="Q101" i="3"/>
  <c r="R101" i="3"/>
  <c r="Q106" i="3"/>
  <c r="R106" i="3"/>
  <c r="Q91" i="3"/>
  <c r="R91" i="3"/>
  <c r="Q97" i="3"/>
  <c r="R97" i="3"/>
  <c r="Q102" i="3"/>
  <c r="R102" i="3"/>
  <c r="Q103" i="3"/>
  <c r="R103" i="3"/>
  <c r="Q96" i="3"/>
  <c r="R96" i="3"/>
  <c r="Q113" i="3"/>
  <c r="R113" i="3"/>
  <c r="Q156" i="3"/>
  <c r="R156" i="3"/>
  <c r="Q175" i="3"/>
  <c r="R175" i="3"/>
  <c r="Q169" i="3"/>
  <c r="R169" i="3"/>
  <c r="Q172" i="3"/>
  <c r="R172" i="3"/>
  <c r="Q161" i="3"/>
  <c r="R161" i="3"/>
  <c r="Q171" i="3"/>
  <c r="R171" i="3"/>
  <c r="Q147" i="3"/>
  <c r="R147" i="3"/>
  <c r="Q177" i="3"/>
  <c r="R177" i="3"/>
  <c r="Q170" i="3"/>
  <c r="R170" i="3"/>
  <c r="Q140" i="3"/>
  <c r="R140" i="3"/>
  <c r="Q137" i="3"/>
  <c r="R137" i="3"/>
  <c r="Q133" i="3"/>
  <c r="R133" i="3"/>
  <c r="Q142" i="3"/>
  <c r="R142" i="3"/>
  <c r="Q159" i="3"/>
  <c r="R159" i="3"/>
  <c r="Q167" i="3"/>
  <c r="R167" i="3"/>
  <c r="Q146" i="3"/>
  <c r="R146" i="3"/>
  <c r="Q157" i="3"/>
  <c r="R157" i="3"/>
  <c r="Q166" i="3"/>
  <c r="R166" i="3"/>
  <c r="Q151" i="3"/>
  <c r="R151" i="3"/>
  <c r="Q132" i="3"/>
  <c r="R132" i="3"/>
  <c r="Q141" i="3"/>
  <c r="R141" i="3"/>
  <c r="Q134" i="3"/>
  <c r="R134" i="3"/>
  <c r="Q136" i="3"/>
  <c r="R136" i="3"/>
  <c r="Q874" i="3"/>
  <c r="R874" i="3"/>
  <c r="Q44" i="3"/>
  <c r="R44" i="3"/>
  <c r="Q1773" i="3"/>
  <c r="R1773" i="3"/>
  <c r="Q1667" i="3"/>
  <c r="R1667" i="3"/>
  <c r="Q4" i="3"/>
  <c r="R4" i="3"/>
  <c r="Q12" i="3"/>
  <c r="R12" i="3"/>
  <c r="Q148" i="3"/>
  <c r="R148" i="3"/>
  <c r="Q1197" i="3"/>
  <c r="R1197" i="3"/>
  <c r="Q1196" i="3"/>
  <c r="R1196" i="3"/>
  <c r="Q139" i="3"/>
  <c r="R139" i="3"/>
  <c r="Q174" i="3"/>
  <c r="R174" i="3"/>
  <c r="Q1199" i="3"/>
  <c r="R1199" i="3"/>
  <c r="Q1439" i="3"/>
  <c r="R1439" i="3"/>
  <c r="Q1200" i="3"/>
  <c r="R1200" i="3"/>
  <c r="Q1837" i="3"/>
  <c r="R1837" i="3"/>
  <c r="Q144" i="3"/>
  <c r="R144" i="3"/>
  <c r="Q154" i="3"/>
  <c r="R154" i="3"/>
  <c r="Q1201" i="3"/>
  <c r="R1201" i="3"/>
  <c r="Q266" i="3"/>
  <c r="R266" i="3"/>
  <c r="Q1376" i="3"/>
  <c r="R1376" i="3"/>
  <c r="Q1208" i="3"/>
  <c r="R1208" i="3"/>
  <c r="Q152" i="3"/>
  <c r="R152" i="3"/>
  <c r="Q331" i="3"/>
  <c r="R331" i="3"/>
  <c r="Q1402" i="3"/>
  <c r="R1402" i="3"/>
  <c r="Q173" i="3"/>
  <c r="R173" i="3"/>
  <c r="Q213" i="3"/>
  <c r="R213" i="3"/>
  <c r="Q214" i="3"/>
  <c r="R214" i="3"/>
  <c r="Q209" i="3"/>
  <c r="R209" i="3"/>
  <c r="Q210" i="3"/>
  <c r="R210" i="3"/>
  <c r="Q219" i="3"/>
  <c r="R219" i="3"/>
  <c r="Q190" i="3"/>
  <c r="R190" i="3"/>
  <c r="Q216" i="3"/>
  <c r="R216" i="3"/>
  <c r="Q215" i="3"/>
  <c r="R215" i="3"/>
  <c r="Q217" i="3"/>
  <c r="R217" i="3"/>
  <c r="Q2426" i="3"/>
  <c r="R2426" i="3"/>
  <c r="Q1642" i="3"/>
  <c r="R1642" i="3"/>
  <c r="Q52" i="3"/>
  <c r="R52" i="3"/>
  <c r="Q53" i="3"/>
  <c r="R53" i="3"/>
  <c r="Q1651" i="3"/>
  <c r="R1651" i="3"/>
  <c r="Q1660" i="3"/>
  <c r="R1660" i="3"/>
  <c r="Q1650" i="3"/>
  <c r="R1650" i="3"/>
  <c r="Q1652" i="3"/>
  <c r="R1652" i="3"/>
  <c r="Q1653" i="3"/>
  <c r="R1653" i="3"/>
  <c r="Q1654" i="3"/>
  <c r="R1654" i="3"/>
  <c r="Q1680" i="3"/>
  <c r="R1680" i="3"/>
  <c r="Q759" i="3"/>
  <c r="R759" i="3"/>
  <c r="Q760" i="3"/>
  <c r="R760" i="3"/>
  <c r="Q761" i="3"/>
  <c r="R761" i="3"/>
  <c r="Q762" i="3"/>
  <c r="R762" i="3"/>
  <c r="Q763" i="3"/>
  <c r="R763" i="3"/>
  <c r="Q764" i="3"/>
  <c r="R764" i="3"/>
  <c r="Q791" i="3"/>
  <c r="R791" i="3"/>
  <c r="Q792" i="3"/>
  <c r="R792" i="3"/>
  <c r="Q793" i="3"/>
  <c r="R793" i="3"/>
  <c r="Q794" i="3"/>
  <c r="R794" i="3"/>
  <c r="Q758" i="3"/>
  <c r="R758" i="3"/>
  <c r="Q766" i="3"/>
  <c r="R766" i="3"/>
  <c r="Q800" i="3"/>
  <c r="R800" i="3"/>
  <c r="Q757" i="3"/>
  <c r="R757" i="3"/>
  <c r="Q789" i="3"/>
  <c r="R789" i="3"/>
  <c r="Q788" i="3"/>
  <c r="R788" i="3"/>
  <c r="Q639" i="3"/>
  <c r="R639" i="3"/>
  <c r="Q790" i="3"/>
  <c r="R790" i="3"/>
  <c r="Q638" i="3"/>
  <c r="R638" i="3"/>
  <c r="Q743" i="3"/>
  <c r="R743" i="3"/>
  <c r="Q795" i="3"/>
  <c r="R795" i="3"/>
  <c r="Q787" i="3"/>
  <c r="R787" i="3"/>
  <c r="Q765" i="3"/>
  <c r="R765" i="3"/>
  <c r="Q650" i="3"/>
  <c r="R650" i="3"/>
  <c r="Q657" i="3"/>
  <c r="R657" i="3"/>
  <c r="Q664" i="3"/>
  <c r="R664" i="3"/>
  <c r="Q666" i="3"/>
  <c r="R666" i="3"/>
  <c r="Q668" i="3"/>
  <c r="R668" i="3"/>
  <c r="Q713" i="3"/>
  <c r="R713" i="3"/>
  <c r="Q727" i="3"/>
  <c r="R727" i="3"/>
  <c r="Q642" i="3"/>
  <c r="R642" i="3"/>
  <c r="Q722" i="3"/>
  <c r="R722" i="3"/>
  <c r="Q651" i="3"/>
  <c r="R651" i="3"/>
  <c r="Q658" i="3"/>
  <c r="R658" i="3"/>
  <c r="Q704" i="3"/>
  <c r="R704" i="3"/>
  <c r="Q643" i="3"/>
  <c r="R643" i="3"/>
  <c r="Q652" i="3"/>
  <c r="R652" i="3"/>
  <c r="Q659" i="3"/>
  <c r="R659" i="3"/>
  <c r="Q697" i="3"/>
  <c r="R697" i="3"/>
  <c r="Q644" i="3"/>
  <c r="R644" i="3"/>
  <c r="Q701" i="3"/>
  <c r="R701" i="3"/>
  <c r="Q705" i="3"/>
  <c r="R705" i="3"/>
  <c r="Q716" i="3"/>
  <c r="R716" i="3"/>
  <c r="Q718" i="3"/>
  <c r="R718" i="3"/>
  <c r="Q728" i="3"/>
  <c r="R728" i="3"/>
  <c r="Q729" i="3"/>
  <c r="R729" i="3"/>
  <c r="Q694" i="3"/>
  <c r="R694" i="3"/>
  <c r="Q695" i="3"/>
  <c r="R695" i="3"/>
  <c r="Q653" i="3"/>
  <c r="R653" i="3"/>
  <c r="Q660" i="3"/>
  <c r="R660" i="3"/>
  <c r="Q669" i="3"/>
  <c r="R669" i="3"/>
  <c r="Q685" i="3"/>
  <c r="R685" i="3"/>
  <c r="Q687" i="3"/>
  <c r="R687" i="3"/>
  <c r="Q689" i="3"/>
  <c r="R689" i="3"/>
  <c r="Q714" i="3"/>
  <c r="R714" i="3"/>
  <c r="Q723" i="3"/>
  <c r="R723" i="3"/>
  <c r="Q654" i="3"/>
  <c r="R654" i="3"/>
  <c r="Q661" i="3"/>
  <c r="R661" i="3"/>
  <c r="Q665" i="3"/>
  <c r="R665" i="3"/>
  <c r="Q667" i="3"/>
  <c r="R667" i="3"/>
  <c r="Q645" i="3"/>
  <c r="R645" i="3"/>
  <c r="Q678" i="3"/>
  <c r="R678" i="3"/>
  <c r="Q679" i="3"/>
  <c r="R679" i="3"/>
  <c r="Q670" i="3"/>
  <c r="R670" i="3"/>
  <c r="Q646" i="3"/>
  <c r="R646" i="3"/>
  <c r="Q640" i="3"/>
  <c r="R640" i="3"/>
  <c r="Q702" i="3"/>
  <c r="R702" i="3"/>
  <c r="Q720" i="3"/>
  <c r="R720" i="3"/>
  <c r="Q721" i="3"/>
  <c r="R721" i="3"/>
  <c r="Q715" i="3"/>
  <c r="R715" i="3"/>
  <c r="Q671" i="3"/>
  <c r="R671" i="3"/>
  <c r="Q655" i="3"/>
  <c r="R655" i="3"/>
  <c r="Q662" i="3"/>
  <c r="R662" i="3"/>
  <c r="Q700" i="3"/>
  <c r="R700" i="3"/>
  <c r="Q703" i="3"/>
  <c r="R703" i="3"/>
  <c r="Q706" i="3"/>
  <c r="R706" i="3"/>
  <c r="Q717" i="3"/>
  <c r="R717" i="3"/>
  <c r="Q719" i="3"/>
  <c r="R719" i="3"/>
  <c r="Q686" i="3"/>
  <c r="R686" i="3"/>
  <c r="Q688" i="3"/>
  <c r="R688" i="3"/>
  <c r="Q649" i="3"/>
  <c r="R649" i="3"/>
  <c r="Q680" i="3"/>
  <c r="R680" i="3"/>
  <c r="Q734" i="3"/>
  <c r="R734" i="3"/>
  <c r="Q707" i="3"/>
  <c r="R707" i="3"/>
  <c r="Q724" i="3"/>
  <c r="R724" i="3"/>
  <c r="Q735" i="3"/>
  <c r="R735" i="3"/>
  <c r="Q641" i="3"/>
  <c r="R641" i="3"/>
  <c r="Q672" i="3"/>
  <c r="R672" i="3"/>
  <c r="Q673" i="3"/>
  <c r="R673" i="3"/>
  <c r="Q674" i="3"/>
  <c r="R674" i="3"/>
  <c r="Q675" i="3"/>
  <c r="R675" i="3"/>
  <c r="Q676" i="3"/>
  <c r="R676" i="3"/>
  <c r="Q677" i="3"/>
  <c r="R677" i="3"/>
  <c r="Q696" i="3"/>
  <c r="R696" i="3"/>
  <c r="Q726" i="3"/>
  <c r="R726" i="3"/>
  <c r="Q730" i="3"/>
  <c r="R730" i="3"/>
  <c r="Q731" i="3"/>
  <c r="R731" i="3"/>
  <c r="Q732" i="3"/>
  <c r="R732" i="3"/>
  <c r="Q733" i="3"/>
  <c r="R733" i="3"/>
  <c r="Q682" i="3"/>
  <c r="R682" i="3"/>
  <c r="Q683" i="3"/>
  <c r="R683" i="3"/>
  <c r="Q684" i="3"/>
  <c r="R684" i="3"/>
  <c r="Q712" i="3"/>
  <c r="R712" i="3"/>
  <c r="Q648" i="3"/>
  <c r="R648" i="3"/>
  <c r="Q681" i="3"/>
  <c r="R681" i="3"/>
  <c r="Q656" i="3"/>
  <c r="R656" i="3"/>
  <c r="Q663" i="3"/>
  <c r="R663" i="3"/>
  <c r="Q708" i="3"/>
  <c r="R708" i="3"/>
  <c r="Q709" i="3"/>
  <c r="R709" i="3"/>
  <c r="Q710" i="3"/>
  <c r="R710" i="3"/>
  <c r="Q711" i="3"/>
  <c r="R711" i="3"/>
  <c r="Q736" i="3"/>
  <c r="R736" i="3"/>
  <c r="Q737" i="3"/>
  <c r="R737" i="3"/>
  <c r="Q738" i="3"/>
  <c r="R738" i="3"/>
  <c r="Q739" i="3"/>
  <c r="R739" i="3"/>
  <c r="Q740" i="3"/>
  <c r="R740" i="3"/>
  <c r="Q741" i="3"/>
  <c r="R741" i="3"/>
  <c r="Q690" i="3"/>
  <c r="R690" i="3"/>
  <c r="Q691" i="3"/>
  <c r="R691" i="3"/>
  <c r="Q692" i="3"/>
  <c r="R692" i="3"/>
  <c r="Q699" i="3"/>
  <c r="R699" i="3"/>
  <c r="Q647" i="3"/>
  <c r="R647" i="3"/>
  <c r="Q693" i="3"/>
  <c r="R693" i="3"/>
  <c r="Q745" i="3"/>
  <c r="R745" i="3"/>
  <c r="Q747" i="3"/>
  <c r="R747" i="3"/>
  <c r="Q753" i="3"/>
  <c r="R753" i="3"/>
  <c r="Q755" i="3"/>
  <c r="R755" i="3"/>
  <c r="Q751" i="3"/>
  <c r="R751" i="3"/>
  <c r="Q746" i="3"/>
  <c r="R746" i="3"/>
  <c r="Q748" i="3"/>
  <c r="R748" i="3"/>
  <c r="Q749" i="3"/>
  <c r="R749" i="3"/>
  <c r="Q754" i="3"/>
  <c r="R754" i="3"/>
  <c r="Q750" i="3"/>
  <c r="R750" i="3"/>
  <c r="Q744" i="3"/>
  <c r="R744" i="3"/>
  <c r="Q752" i="3"/>
  <c r="R752" i="3"/>
  <c r="Q756" i="3"/>
  <c r="R756" i="3"/>
  <c r="Q767" i="3"/>
  <c r="R767" i="3"/>
  <c r="Q769" i="3"/>
  <c r="R769" i="3"/>
  <c r="Q770" i="3"/>
  <c r="R770" i="3"/>
  <c r="Q768" i="3"/>
  <c r="R768" i="3"/>
  <c r="Q771" i="3"/>
  <c r="R771" i="3"/>
  <c r="Q772" i="3"/>
  <c r="R772" i="3"/>
  <c r="Q773" i="3"/>
  <c r="R773" i="3"/>
  <c r="Q774" i="3"/>
  <c r="R774" i="3"/>
  <c r="Q775" i="3"/>
  <c r="R775" i="3"/>
  <c r="Q782" i="3"/>
  <c r="R782" i="3"/>
  <c r="Q783" i="3"/>
  <c r="R783" i="3"/>
  <c r="Q779" i="3"/>
  <c r="R779" i="3"/>
  <c r="Q780" i="3"/>
  <c r="R780" i="3"/>
  <c r="Q784" i="3"/>
  <c r="R784" i="3"/>
  <c r="Q785" i="3"/>
  <c r="R785" i="3"/>
  <c r="Q777" i="3"/>
  <c r="R777" i="3"/>
  <c r="Q778" i="3"/>
  <c r="R778" i="3"/>
  <c r="Q776" i="3"/>
  <c r="R776" i="3"/>
  <c r="Q796" i="3"/>
  <c r="R796" i="3"/>
  <c r="Q797" i="3"/>
  <c r="R797" i="3"/>
  <c r="Q798" i="3"/>
  <c r="R798" i="3"/>
  <c r="Q799" i="3"/>
  <c r="R799" i="3"/>
  <c r="Q1923" i="3"/>
  <c r="R1923" i="3"/>
  <c r="Q1878" i="3"/>
  <c r="R1878" i="3"/>
  <c r="Q1958" i="3"/>
  <c r="R1958" i="3"/>
  <c r="Q1957" i="3"/>
  <c r="R1957" i="3"/>
  <c r="Q1964" i="3"/>
  <c r="R1964" i="3"/>
  <c r="Q1982" i="3"/>
  <c r="R1982" i="3"/>
  <c r="Q2004" i="3"/>
  <c r="R2004" i="3"/>
  <c r="Q2008" i="3"/>
  <c r="R2008" i="3"/>
  <c r="Q1870" i="3"/>
  <c r="R1870" i="3"/>
  <c r="Q1890" i="3"/>
  <c r="R1890" i="3"/>
  <c r="Q1920" i="3"/>
  <c r="R1920" i="3"/>
  <c r="Q1925" i="3"/>
  <c r="R1925" i="3"/>
  <c r="Q1926" i="3"/>
  <c r="R1926" i="3"/>
  <c r="Q1927" i="3"/>
  <c r="R1927" i="3"/>
  <c r="Q1928" i="3"/>
  <c r="R1928" i="3"/>
  <c r="Q1929" i="3"/>
  <c r="R1929" i="3"/>
  <c r="Q1931" i="3"/>
  <c r="R1931" i="3"/>
  <c r="Q1932" i="3"/>
  <c r="R1932" i="3"/>
  <c r="Q1918" i="3"/>
  <c r="R1918" i="3"/>
  <c r="Q1919" i="3"/>
  <c r="R1919" i="3"/>
  <c r="Q1922" i="3"/>
  <c r="R1922" i="3"/>
  <c r="Q1921" i="3"/>
  <c r="R1921" i="3"/>
  <c r="Q1924" i="3"/>
  <c r="R1924" i="3"/>
  <c r="Q1917" i="3"/>
  <c r="R1917" i="3"/>
  <c r="Q1889" i="3"/>
  <c r="R1889" i="3"/>
  <c r="Q1916" i="3"/>
  <c r="R1916" i="3"/>
  <c r="Q1936" i="3"/>
  <c r="R1936" i="3"/>
  <c r="Q1935" i="3"/>
  <c r="R1935" i="3"/>
  <c r="Q1940" i="3"/>
  <c r="R1940" i="3"/>
  <c r="Q1934" i="3"/>
  <c r="R1934" i="3"/>
  <c r="Q1937" i="3"/>
  <c r="R1937" i="3"/>
  <c r="Q1938" i="3"/>
  <c r="R1938" i="3"/>
  <c r="Q1939" i="3"/>
  <c r="R1939" i="3"/>
  <c r="Q1941" i="3"/>
  <c r="R1941" i="3"/>
  <c r="Q1872" i="3"/>
  <c r="R1872" i="3"/>
  <c r="Q1873" i="3"/>
  <c r="R1873" i="3"/>
  <c r="Q1881" i="3"/>
  <c r="R1881" i="3"/>
  <c r="Q1877" i="3"/>
  <c r="R1877" i="3"/>
  <c r="Q1880" i="3"/>
  <c r="R1880" i="3"/>
  <c r="Q1876" i="3"/>
  <c r="R1876" i="3"/>
  <c r="Q1879" i="3"/>
  <c r="R1879" i="3"/>
  <c r="Q1946" i="3"/>
  <c r="R1946" i="3"/>
  <c r="Q1953" i="3"/>
  <c r="R1953" i="3"/>
  <c r="Q1971" i="3"/>
  <c r="R1971" i="3"/>
  <c r="Q1974" i="3"/>
  <c r="R1974" i="3"/>
  <c r="Q2011" i="3"/>
  <c r="R2011" i="3"/>
  <c r="Q2014" i="3"/>
  <c r="R2014" i="3"/>
  <c r="Q2016" i="3"/>
  <c r="R2016" i="3"/>
  <c r="Q1984" i="3"/>
  <c r="R1984" i="3"/>
  <c r="Q1952" i="3"/>
  <c r="R1952" i="3"/>
  <c r="Q1970" i="3"/>
  <c r="R1970" i="3"/>
  <c r="Q1983" i="3"/>
  <c r="R1983" i="3"/>
  <c r="Q1985" i="3"/>
  <c r="R1985" i="3"/>
  <c r="Q1988" i="3"/>
  <c r="R1988" i="3"/>
  <c r="Q1995" i="3"/>
  <c r="R1995" i="3"/>
  <c r="Q1871" i="3"/>
  <c r="R1871" i="3"/>
  <c r="Q1951" i="3"/>
  <c r="R1951" i="3"/>
  <c r="Q1972" i="3"/>
  <c r="R1972" i="3"/>
  <c r="Q1980" i="3"/>
  <c r="R1980" i="3"/>
  <c r="Q2001" i="3"/>
  <c r="R2001" i="3"/>
  <c r="Q2005" i="3"/>
  <c r="R2005" i="3"/>
  <c r="Q1963" i="3"/>
  <c r="R1963" i="3"/>
  <c r="Q1967" i="3"/>
  <c r="R1967" i="3"/>
  <c r="Q1996" i="3"/>
  <c r="R1996" i="3"/>
  <c r="Q1999" i="3"/>
  <c r="R1999" i="3"/>
  <c r="Q1987" i="3"/>
  <c r="R1987" i="3"/>
  <c r="Q1960" i="3"/>
  <c r="R1960" i="3"/>
  <c r="Q1994" i="3"/>
  <c r="R1994" i="3"/>
  <c r="Q2000" i="3"/>
  <c r="R2000" i="3"/>
  <c r="Q1959" i="3"/>
  <c r="R1959" i="3"/>
  <c r="Q2002" i="3"/>
  <c r="R2002" i="3"/>
  <c r="Q1977" i="3"/>
  <c r="R1977" i="3"/>
  <c r="Q1993" i="3"/>
  <c r="R1993" i="3"/>
  <c r="Q2009" i="3"/>
  <c r="R2009" i="3"/>
  <c r="Q1875" i="3"/>
  <c r="R1875" i="3"/>
  <c r="Q1949" i="3"/>
  <c r="R1949" i="3"/>
  <c r="Q1961" i="3"/>
  <c r="R1961" i="3"/>
  <c r="Q1979" i="3"/>
  <c r="R1979" i="3"/>
  <c r="Q1989" i="3"/>
  <c r="R1989" i="3"/>
  <c r="Q1945" i="3"/>
  <c r="R1945" i="3"/>
  <c r="Q1976" i="3"/>
  <c r="R1976" i="3"/>
  <c r="Q1950" i="3"/>
  <c r="R1950" i="3"/>
  <c r="Q2015" i="3"/>
  <c r="R2015" i="3"/>
  <c r="Q1966" i="3"/>
  <c r="R1966" i="3"/>
  <c r="Q1969" i="3"/>
  <c r="R1969" i="3"/>
  <c r="Q1998" i="3"/>
  <c r="R1998" i="3"/>
  <c r="Q2003" i="3"/>
  <c r="R2003" i="3"/>
  <c r="Q1962" i="3"/>
  <c r="R1962" i="3"/>
  <c r="Q1978" i="3"/>
  <c r="R1978" i="3"/>
  <c r="Q1981" i="3"/>
  <c r="R1981" i="3"/>
  <c r="Q1986" i="3"/>
  <c r="R1986" i="3"/>
  <c r="Q1997" i="3"/>
  <c r="R1997" i="3"/>
  <c r="Q1990" i="3"/>
  <c r="R1990" i="3"/>
  <c r="Q2006" i="3"/>
  <c r="R2006" i="3"/>
  <c r="Q2007" i="3"/>
  <c r="R2007" i="3"/>
  <c r="Q1947" i="3"/>
  <c r="R1947" i="3"/>
  <c r="Q1948" i="3"/>
  <c r="R1948" i="3"/>
  <c r="Q1965" i="3"/>
  <c r="R1965" i="3"/>
  <c r="Q1973" i="3"/>
  <c r="R1973" i="3"/>
  <c r="Q1955" i="3"/>
  <c r="R1955" i="3"/>
  <c r="Q1956" i="3"/>
  <c r="R1956" i="3"/>
  <c r="Q2010" i="3"/>
  <c r="R2010" i="3"/>
  <c r="Q819" i="3"/>
  <c r="R819" i="3"/>
  <c r="Q821" i="3"/>
  <c r="R821" i="3"/>
  <c r="Q1210" i="3"/>
  <c r="R1210" i="3"/>
  <c r="Q827" i="3"/>
  <c r="R827" i="3"/>
  <c r="Q834" i="3"/>
  <c r="R834" i="3"/>
  <c r="Q818" i="3"/>
  <c r="R818" i="3"/>
  <c r="Q832" i="3"/>
  <c r="R832" i="3"/>
  <c r="Q826" i="3"/>
  <c r="R826" i="3"/>
  <c r="Q828" i="3"/>
  <c r="R828" i="3"/>
  <c r="Q813" i="3"/>
  <c r="R813" i="3"/>
  <c r="Q814" i="3"/>
  <c r="R814" i="3"/>
  <c r="Q815" i="3"/>
  <c r="R815" i="3"/>
  <c r="Q836" i="3"/>
  <c r="R836" i="3"/>
  <c r="Q551" i="3"/>
  <c r="R551" i="3"/>
  <c r="Q567" i="3"/>
  <c r="R567" i="3"/>
  <c r="Q568" i="3"/>
  <c r="R568" i="3"/>
  <c r="Q566" i="3"/>
  <c r="R566" i="3"/>
  <c r="Q572" i="3"/>
  <c r="R572" i="3"/>
  <c r="Q565" i="3"/>
  <c r="R565" i="3"/>
  <c r="Q580" i="3"/>
  <c r="R580" i="3"/>
  <c r="Q1839" i="3"/>
  <c r="R1839" i="3"/>
  <c r="Q1310" i="3"/>
  <c r="R1310" i="3"/>
  <c r="Q1258" i="3"/>
  <c r="R1258" i="3"/>
  <c r="Q1296" i="3"/>
  <c r="R1296" i="3"/>
  <c r="Q1287" i="3"/>
  <c r="R1287" i="3"/>
  <c r="Q1349" i="3"/>
  <c r="R1349" i="3"/>
  <c r="Q1278" i="3"/>
  <c r="R1278" i="3"/>
  <c r="Q1279" i="3"/>
  <c r="R1279" i="3"/>
  <c r="Q1313" i="3"/>
  <c r="R1313" i="3"/>
  <c r="Q1300" i="3"/>
  <c r="R1300" i="3"/>
  <c r="Q1306" i="3"/>
  <c r="R1306" i="3"/>
  <c r="Q1247" i="3"/>
  <c r="R1247" i="3"/>
  <c r="Q1317" i="3"/>
  <c r="R1317" i="3"/>
  <c r="Q1338" i="3"/>
  <c r="R1338" i="3"/>
  <c r="Q1288" i="3"/>
  <c r="R1288" i="3"/>
  <c r="Q1289" i="3"/>
  <c r="R1289" i="3"/>
  <c r="Q1251" i="3"/>
  <c r="R1251" i="3"/>
  <c r="Q1276" i="3"/>
  <c r="R1276" i="3"/>
  <c r="Q1246" i="3"/>
  <c r="R1246" i="3"/>
  <c r="Q1353" i="3"/>
  <c r="R1353" i="3"/>
  <c r="Q1245" i="3"/>
  <c r="R1245" i="3"/>
  <c r="Q1240" i="3"/>
  <c r="R1240" i="3"/>
  <c r="Q1249" i="3"/>
  <c r="R1249" i="3"/>
  <c r="Q1291" i="3"/>
  <c r="R1291" i="3"/>
  <c r="Q1373" i="3"/>
  <c r="R1373" i="3"/>
  <c r="Q1285" i="3"/>
  <c r="R1285" i="3"/>
  <c r="Q1286" i="3"/>
  <c r="R1286" i="3"/>
  <c r="Q1314" i="3"/>
  <c r="R1314" i="3"/>
  <c r="Q1307" i="3"/>
  <c r="R1307" i="3"/>
  <c r="Q1320" i="3"/>
  <c r="R1320" i="3"/>
  <c r="Q1280" i="3"/>
  <c r="R1280" i="3"/>
  <c r="Q1281" i="3"/>
  <c r="R1281" i="3"/>
  <c r="Q1282" i="3"/>
  <c r="R1282" i="3"/>
  <c r="Q1293" i="3"/>
  <c r="R1293" i="3"/>
  <c r="Q1303" i="3"/>
  <c r="R1303" i="3"/>
  <c r="Q1294" i="3"/>
  <c r="R1294" i="3"/>
  <c r="Q1299" i="3"/>
  <c r="R1299" i="3"/>
  <c r="Q1372" i="3"/>
  <c r="R1372" i="3"/>
  <c r="Q1374" i="3"/>
  <c r="R1374" i="3"/>
  <c r="Q1241" i="3"/>
  <c r="R1241" i="3"/>
  <c r="Q1252" i="3"/>
  <c r="R1252" i="3"/>
  <c r="Q1290" i="3"/>
  <c r="R1290" i="3"/>
  <c r="Q1292" i="3"/>
  <c r="R1292" i="3"/>
  <c r="Q1298" i="3"/>
  <c r="R1298" i="3"/>
  <c r="Q1244" i="3"/>
  <c r="R1244" i="3"/>
  <c r="Q1253" i="3"/>
  <c r="R1253" i="3"/>
  <c r="Q1284" i="3"/>
  <c r="R1284" i="3"/>
  <c r="Q1311" i="3"/>
  <c r="R1311" i="3"/>
  <c r="Q1309" i="3"/>
  <c r="R1309" i="3"/>
  <c r="Q1277" i="3"/>
  <c r="R1277" i="3"/>
  <c r="Q1348" i="3"/>
  <c r="R1348" i="3"/>
  <c r="Q1243" i="3"/>
  <c r="R1243" i="3"/>
  <c r="Q1254" i="3"/>
  <c r="R1254" i="3"/>
  <c r="Q1315" i="3"/>
  <c r="R1315" i="3"/>
  <c r="Q1321" i="3"/>
  <c r="R1321" i="3"/>
  <c r="Q1257" i="3"/>
  <c r="R1257" i="3"/>
  <c r="Q1265" i="3"/>
  <c r="R1265" i="3"/>
  <c r="Q1266" i="3"/>
  <c r="R1266" i="3"/>
  <c r="Q1274" i="3"/>
  <c r="R1274" i="3"/>
  <c r="Q1275" i="3"/>
  <c r="R1275" i="3"/>
  <c r="Q1268" i="3"/>
  <c r="R1268" i="3"/>
  <c r="Q1269" i="3"/>
  <c r="R1269" i="3"/>
  <c r="Q1272" i="3"/>
  <c r="R1272" i="3"/>
  <c r="Q1302" i="3"/>
  <c r="R1302" i="3"/>
  <c r="Q1259" i="3"/>
  <c r="R1259" i="3"/>
  <c r="Q1260" i="3"/>
  <c r="R1260" i="3"/>
  <c r="Q1255" i="3"/>
  <c r="R1255" i="3"/>
  <c r="Q1261" i="3"/>
  <c r="R1261" i="3"/>
  <c r="Q1262" i="3"/>
  <c r="R1262" i="3"/>
  <c r="Q1273" i="3"/>
  <c r="R1273" i="3"/>
  <c r="Q1301" i="3"/>
  <c r="R1301" i="3"/>
  <c r="Q1264" i="3"/>
  <c r="R1264" i="3"/>
  <c r="Q1256" i="3"/>
  <c r="R1256" i="3"/>
  <c r="Q1263" i="3"/>
  <c r="R1263" i="3"/>
  <c r="Q1326" i="3"/>
  <c r="R1326" i="3"/>
  <c r="Q1238" i="3"/>
  <c r="R1238" i="3"/>
  <c r="Q1224" i="3"/>
  <c r="R1224" i="3"/>
  <c r="Q1226" i="3"/>
  <c r="R1226" i="3"/>
  <c r="Q1239" i="3"/>
  <c r="R1239" i="3"/>
  <c r="Q1229" i="3"/>
  <c r="R1229" i="3"/>
  <c r="Q1223" i="3"/>
  <c r="R1223" i="3"/>
  <c r="Q1231" i="3"/>
  <c r="R1231" i="3"/>
  <c r="Q1230" i="3"/>
  <c r="R1230" i="3"/>
  <c r="Q1232" i="3"/>
  <c r="R1232" i="3"/>
  <c r="Q1233" i="3"/>
  <c r="R1233" i="3"/>
  <c r="Q1234" i="3"/>
  <c r="R1234" i="3"/>
  <c r="Q1235" i="3"/>
  <c r="R1235" i="3"/>
  <c r="Q1237" i="3"/>
  <c r="R1237" i="3"/>
  <c r="Q1236" i="3"/>
  <c r="R1236" i="3"/>
  <c r="Q1342" i="3"/>
  <c r="R1342" i="3"/>
  <c r="Q1347" i="3"/>
  <c r="R1347" i="3"/>
  <c r="Q1337" i="3"/>
  <c r="R1337" i="3"/>
  <c r="Q1343" i="3"/>
  <c r="R1343" i="3"/>
  <c r="Q1270" i="3"/>
  <c r="R1270" i="3"/>
  <c r="Q1334" i="3"/>
  <c r="R1334" i="3"/>
  <c r="Q1271" i="3"/>
  <c r="R1271" i="3"/>
  <c r="Q1335" i="3"/>
  <c r="R1335" i="3"/>
  <c r="Q1332" i="3"/>
  <c r="R1332" i="3"/>
  <c r="Q1344" i="3"/>
  <c r="R1344" i="3"/>
  <c r="Q1328" i="3"/>
  <c r="R1328" i="3"/>
  <c r="Q1345" i="3"/>
  <c r="R1345" i="3"/>
  <c r="Q1346" i="3"/>
  <c r="R1346" i="3"/>
  <c r="Q1333" i="3"/>
  <c r="R1333" i="3"/>
  <c r="Q1340" i="3"/>
  <c r="R1340" i="3"/>
  <c r="Q1304" i="3"/>
  <c r="R1304" i="3"/>
  <c r="Q1305" i="3"/>
  <c r="R1305" i="3"/>
  <c r="Q1336" i="3"/>
  <c r="R1336" i="3"/>
  <c r="Q1327" i="3"/>
  <c r="R1327" i="3"/>
  <c r="Q1331" i="3"/>
  <c r="R1331" i="3"/>
  <c r="Q1339" i="3"/>
  <c r="R1339" i="3"/>
  <c r="Q1341" i="3"/>
  <c r="R1341" i="3"/>
  <c r="Q1308" i="3"/>
  <c r="R1308" i="3"/>
  <c r="Q1365" i="3"/>
  <c r="R1365" i="3"/>
  <c r="Q1370" i="3"/>
  <c r="R1370" i="3"/>
  <c r="Q1350" i="3"/>
  <c r="R1350" i="3"/>
  <c r="Q1360" i="3"/>
  <c r="R1360" i="3"/>
  <c r="Q1363" i="3"/>
  <c r="R1363" i="3"/>
  <c r="Q1364" i="3"/>
  <c r="R1364" i="3"/>
  <c r="Q1369" i="3"/>
  <c r="R1369" i="3"/>
  <c r="Q1368" i="3"/>
  <c r="R1368" i="3"/>
  <c r="Q1371" i="3"/>
  <c r="R1371" i="3"/>
  <c r="Q1361" i="3"/>
  <c r="R1361" i="3"/>
  <c r="Q1359" i="3"/>
  <c r="R1359" i="3"/>
  <c r="Q1362" i="3"/>
  <c r="R1362" i="3"/>
  <c r="Q1352" i="3"/>
  <c r="R1352" i="3"/>
  <c r="Q1351" i="3"/>
  <c r="R1351" i="3"/>
  <c r="Q1357" i="3"/>
  <c r="R1357" i="3"/>
  <c r="Q1354" i="3"/>
  <c r="R1354" i="3"/>
  <c r="Q1222" i="3"/>
  <c r="R1222" i="3"/>
  <c r="Q1227" i="3"/>
  <c r="R1227" i="3"/>
  <c r="Q1242" i="3"/>
  <c r="R1242" i="3"/>
  <c r="Q1248" i="3"/>
  <c r="R1248" i="3"/>
  <c r="Q1295" i="3"/>
  <c r="R1295" i="3"/>
  <c r="Q1323" i="3"/>
  <c r="R1323" i="3"/>
  <c r="Q1322" i="3"/>
  <c r="R1322" i="3"/>
  <c r="Q1330" i="3"/>
  <c r="R1330" i="3"/>
  <c r="Q1355" i="3"/>
  <c r="R1355" i="3"/>
  <c r="Q1356" i="3"/>
  <c r="R1356" i="3"/>
  <c r="Q1791" i="3"/>
  <c r="R1791" i="3"/>
  <c r="Q9" i="3"/>
  <c r="R9" i="3"/>
  <c r="Q1793" i="3"/>
  <c r="R1793" i="3"/>
  <c r="Q1795" i="3"/>
  <c r="R1795" i="3"/>
  <c r="Q547" i="3"/>
  <c r="R547" i="3"/>
  <c r="Q28" i="3"/>
  <c r="R28" i="3"/>
  <c r="Q1513" i="3"/>
  <c r="R1513" i="3"/>
  <c r="Q1518" i="3"/>
  <c r="R1518" i="3"/>
  <c r="Q1516" i="3"/>
  <c r="R1516" i="3"/>
  <c r="Q1514" i="3"/>
  <c r="R1514" i="3"/>
  <c r="Q1515" i="3"/>
  <c r="R1515" i="3"/>
  <c r="Q510" i="3"/>
  <c r="R510" i="3"/>
  <c r="Q1036" i="3"/>
  <c r="R1036" i="3"/>
  <c r="Q1687" i="3"/>
  <c r="R1687" i="3"/>
  <c r="Q1713" i="3"/>
  <c r="R1713" i="3"/>
  <c r="Q1389" i="3"/>
  <c r="R1389" i="3"/>
  <c r="Q1387" i="3"/>
  <c r="R1387" i="3"/>
  <c r="Q1386" i="3"/>
  <c r="R1386" i="3"/>
  <c r="Q1473" i="3"/>
  <c r="R1473" i="3"/>
  <c r="Q294" i="3"/>
  <c r="R294" i="3"/>
  <c r="Q1750" i="3"/>
  <c r="R1750" i="3"/>
  <c r="Q1783" i="3"/>
  <c r="R1783" i="3"/>
  <c r="Q340" i="3"/>
  <c r="R340" i="3"/>
  <c r="Q328" i="3"/>
  <c r="R328" i="3"/>
  <c r="Q369" i="3"/>
  <c r="R369" i="3"/>
  <c r="Q326" i="3"/>
  <c r="R326" i="3"/>
  <c r="Q332" i="3"/>
  <c r="R332" i="3"/>
  <c r="Q330" i="3"/>
  <c r="R330" i="3"/>
  <c r="Q1436" i="3"/>
  <c r="R1436" i="3"/>
  <c r="Q8" i="3"/>
  <c r="R8" i="3"/>
  <c r="Q335" i="3"/>
  <c r="R335" i="3"/>
  <c r="Q1209" i="3"/>
  <c r="R1209" i="3"/>
  <c r="Q1679" i="3"/>
  <c r="R1679" i="3"/>
  <c r="Q2403" i="3"/>
  <c r="R2403" i="3"/>
  <c r="Q2404" i="3"/>
  <c r="R2404" i="3"/>
  <c r="Q36" i="3"/>
  <c r="R36" i="3"/>
  <c r="Q178" i="3"/>
  <c r="R178" i="3"/>
  <c r="Q25" i="3"/>
  <c r="R25" i="3"/>
  <c r="Q18" i="3"/>
  <c r="R18" i="3"/>
  <c r="Q19" i="3"/>
  <c r="R19" i="3"/>
  <c r="Q20" i="3"/>
  <c r="R20" i="3"/>
  <c r="Q21" i="3"/>
  <c r="R21" i="3"/>
  <c r="Q11" i="3"/>
  <c r="R11" i="3"/>
  <c r="Q2405" i="3"/>
  <c r="R2405" i="3"/>
  <c r="Q324" i="3"/>
  <c r="R324" i="3"/>
  <c r="Q325" i="3"/>
  <c r="R325" i="3"/>
  <c r="Q327" i="3"/>
  <c r="R327" i="3"/>
  <c r="Q329" i="3"/>
  <c r="R329" i="3"/>
  <c r="Q333" i="3"/>
  <c r="R333" i="3"/>
  <c r="Q336" i="3"/>
  <c r="R336" i="3"/>
  <c r="Q2406" i="3"/>
  <c r="R2406" i="3"/>
  <c r="Q2407" i="3"/>
  <c r="R2407" i="3"/>
  <c r="Q2408" i="3"/>
  <c r="R2408" i="3"/>
  <c r="Q1101" i="3"/>
  <c r="R1101" i="3"/>
  <c r="Q2196" i="3"/>
  <c r="R2196" i="3"/>
  <c r="Q2209" i="3"/>
  <c r="R2209" i="3"/>
  <c r="Q2143" i="3"/>
  <c r="R2143" i="3"/>
  <c r="Q2148" i="3"/>
  <c r="R2148" i="3"/>
  <c r="Q2195" i="3"/>
  <c r="R2195" i="3"/>
  <c r="Q2117" i="3"/>
  <c r="R2117" i="3"/>
  <c r="Q2202" i="3"/>
  <c r="R2202" i="3"/>
  <c r="Q2118" i="3"/>
  <c r="R2118" i="3"/>
  <c r="Q2116" i="3"/>
  <c r="R2116" i="3"/>
  <c r="Q2144" i="3"/>
  <c r="R2144" i="3"/>
  <c r="Q2127" i="3"/>
  <c r="R2127" i="3"/>
  <c r="Q2203" i="3"/>
  <c r="R2203" i="3"/>
  <c r="Q2126" i="3"/>
  <c r="R2126" i="3"/>
  <c r="Q2145" i="3"/>
  <c r="R2145" i="3"/>
  <c r="Q2146" i="3"/>
  <c r="R2146" i="3"/>
  <c r="Q2204" i="3"/>
  <c r="R2204" i="3"/>
  <c r="Q2205" i="3"/>
  <c r="R2205" i="3"/>
  <c r="Q2206" i="3"/>
  <c r="R2206" i="3"/>
  <c r="Q2207" i="3"/>
  <c r="R2207" i="3"/>
  <c r="Q2111" i="3"/>
  <c r="R2111" i="3"/>
  <c r="Q2112" i="3"/>
  <c r="R2112" i="3"/>
  <c r="Q2124" i="3"/>
  <c r="R2124" i="3"/>
  <c r="Q2125" i="3"/>
  <c r="R2125" i="3"/>
  <c r="Q2142" i="3"/>
  <c r="R2142" i="3"/>
  <c r="Q2147" i="3"/>
  <c r="R2147" i="3"/>
  <c r="Q2113" i="3"/>
  <c r="R2113" i="3"/>
  <c r="Q2114" i="3"/>
  <c r="R2114" i="3"/>
  <c r="Q2115" i="3"/>
  <c r="R2115" i="3"/>
  <c r="Q2122" i="3"/>
  <c r="R2122" i="3"/>
  <c r="Q2121" i="3"/>
  <c r="R2121" i="3"/>
  <c r="Q2123" i="3"/>
  <c r="R2123" i="3"/>
  <c r="Q2119" i="3"/>
  <c r="R2119" i="3"/>
  <c r="Q2120" i="3"/>
  <c r="R2120" i="3"/>
  <c r="Q2128" i="3"/>
  <c r="R2128" i="3"/>
  <c r="Q2138" i="3"/>
  <c r="R2138" i="3"/>
  <c r="Q2139" i="3"/>
  <c r="R2139" i="3"/>
  <c r="Q2137" i="3"/>
  <c r="R2137" i="3"/>
  <c r="Q2141" i="3"/>
  <c r="R2141" i="3"/>
  <c r="Q2178" i="3"/>
  <c r="R2178" i="3"/>
  <c r="Q2176" i="3"/>
  <c r="R2176" i="3"/>
  <c r="Q2129" i="3"/>
  <c r="R2129" i="3"/>
  <c r="Q2135" i="3"/>
  <c r="R2135" i="3"/>
  <c r="Q2132" i="3"/>
  <c r="R2132" i="3"/>
  <c r="Q2133" i="3"/>
  <c r="R2133" i="3"/>
  <c r="Q2134" i="3"/>
  <c r="R2134" i="3"/>
  <c r="Q2140" i="3"/>
  <c r="R2140" i="3"/>
  <c r="Q2131" i="3"/>
  <c r="R2131" i="3"/>
  <c r="Q2130" i="3"/>
  <c r="R2130" i="3"/>
  <c r="Q2136" i="3"/>
  <c r="R2136" i="3"/>
  <c r="Q2198" i="3"/>
  <c r="R2198" i="3"/>
  <c r="Q2200" i="3"/>
  <c r="R2200" i="3"/>
  <c r="Q2199" i="3"/>
  <c r="R2199" i="3"/>
  <c r="Q2201" i="3"/>
  <c r="R2201" i="3"/>
  <c r="Q2197" i="3"/>
  <c r="R2197" i="3"/>
  <c r="Q2150" i="3"/>
  <c r="R2150" i="3"/>
  <c r="Q2149" i="3"/>
  <c r="R2149" i="3"/>
  <c r="Q2151" i="3"/>
  <c r="R2151" i="3"/>
  <c r="Q2179" i="3"/>
  <c r="R2179" i="3"/>
  <c r="Q2191" i="3"/>
  <c r="R2191" i="3"/>
  <c r="Q2166" i="3"/>
  <c r="R2166" i="3"/>
  <c r="Q2167" i="3"/>
  <c r="R2167" i="3"/>
  <c r="Q2172" i="3"/>
  <c r="R2172" i="3"/>
  <c r="Q2159" i="3"/>
  <c r="R2159" i="3"/>
  <c r="Q2160" i="3"/>
  <c r="R2160" i="3"/>
  <c r="Q2171" i="3"/>
  <c r="R2171" i="3"/>
  <c r="Q2155" i="3"/>
  <c r="R2155" i="3"/>
  <c r="Q2165" i="3"/>
  <c r="R2165" i="3"/>
  <c r="Q2169" i="3"/>
  <c r="R2169" i="3"/>
  <c r="Q2180" i="3"/>
  <c r="R2180" i="3"/>
  <c r="Q2187" i="3"/>
  <c r="R2187" i="3"/>
  <c r="Q2188" i="3"/>
  <c r="R2188" i="3"/>
  <c r="Q2186" i="3"/>
  <c r="R2186" i="3"/>
  <c r="Q2154" i="3"/>
  <c r="R2154" i="3"/>
  <c r="Q2185" i="3"/>
  <c r="R2185" i="3"/>
  <c r="Q2152" i="3"/>
  <c r="R2152" i="3"/>
  <c r="Q2153" i="3"/>
  <c r="R2153" i="3"/>
  <c r="Q2177" i="3"/>
  <c r="R2177" i="3"/>
  <c r="Q2189" i="3"/>
  <c r="R2189" i="3"/>
  <c r="Q2161" i="3"/>
  <c r="R2161" i="3"/>
  <c r="Q2174" i="3"/>
  <c r="R2174" i="3"/>
  <c r="Q2175" i="3"/>
  <c r="R2175" i="3"/>
  <c r="Q2181" i="3"/>
  <c r="R2181" i="3"/>
  <c r="Q2163" i="3"/>
  <c r="R2163" i="3"/>
  <c r="Q2170" i="3"/>
  <c r="R2170" i="3"/>
  <c r="Q2157" i="3"/>
  <c r="R2157" i="3"/>
  <c r="Q2158" i="3"/>
  <c r="R2158" i="3"/>
  <c r="Q2183" i="3"/>
  <c r="R2183" i="3"/>
  <c r="Q2184" i="3"/>
  <c r="R2184" i="3"/>
  <c r="Q2190" i="3"/>
  <c r="R2190" i="3"/>
  <c r="Q2156" i="3"/>
  <c r="R2156" i="3"/>
  <c r="Q2164" i="3"/>
  <c r="R2164" i="3"/>
  <c r="Q2168" i="3"/>
  <c r="R2168" i="3"/>
  <c r="Q2182" i="3"/>
  <c r="R2182" i="3"/>
  <c r="Q2162" i="3"/>
  <c r="R2162" i="3"/>
  <c r="Q2173" i="3"/>
  <c r="R2173" i="3"/>
  <c r="Q2192" i="3"/>
  <c r="R2192" i="3"/>
  <c r="Q2193" i="3"/>
  <c r="R2193" i="3"/>
  <c r="Q2194" i="3"/>
  <c r="R2194" i="3"/>
  <c r="Q2208" i="3"/>
  <c r="R2208" i="3"/>
  <c r="Q145" i="3"/>
  <c r="R145" i="3"/>
  <c r="Q2211" i="3"/>
  <c r="R2211" i="3"/>
  <c r="Q2212" i="3"/>
  <c r="R2212" i="3"/>
  <c r="Q339" i="3"/>
  <c r="R339" i="3"/>
  <c r="Q1401" i="3"/>
  <c r="R1401" i="3"/>
  <c r="Q1448" i="3"/>
  <c r="R1448" i="3"/>
  <c r="Q1447" i="3"/>
  <c r="R1447" i="3"/>
  <c r="Q1411" i="3"/>
  <c r="R1411" i="3"/>
  <c r="Q1450" i="3"/>
  <c r="R1450" i="3"/>
  <c r="Q1465" i="3"/>
  <c r="R1465" i="3"/>
  <c r="Q2346" i="3"/>
  <c r="R2346" i="3"/>
  <c r="Q1071" i="3"/>
  <c r="R1071" i="3"/>
  <c r="Q1799" i="3"/>
  <c r="R1799" i="3"/>
  <c r="Q193" i="3"/>
  <c r="R193" i="3"/>
  <c r="Q1537" i="3"/>
  <c r="R1537" i="3"/>
  <c r="Q1538" i="3"/>
  <c r="R1538" i="3"/>
  <c r="Q1525" i="3"/>
  <c r="R1525" i="3"/>
  <c r="Q1527" i="3"/>
  <c r="R1527" i="3"/>
  <c r="Q1523" i="3"/>
  <c r="R1523" i="3"/>
  <c r="Q1524" i="3"/>
  <c r="R1524" i="3"/>
  <c r="Q1522" i="3"/>
  <c r="R1522" i="3"/>
  <c r="Q1526" i="3"/>
  <c r="R1526" i="3"/>
  <c r="Q1528" i="3"/>
  <c r="R1528" i="3"/>
  <c r="Q1534" i="3"/>
  <c r="R1534" i="3"/>
  <c r="Q1535" i="3"/>
  <c r="R1535" i="3"/>
  <c r="Q1533" i="3"/>
  <c r="R1533" i="3"/>
  <c r="Q1532" i="3"/>
  <c r="R1532" i="3"/>
  <c r="Q1536" i="3"/>
  <c r="R1536" i="3"/>
  <c r="Q1530" i="3"/>
  <c r="R1530" i="3"/>
  <c r="Q1529" i="3"/>
  <c r="R1529" i="3"/>
  <c r="Q1540" i="3"/>
  <c r="R1540" i="3"/>
  <c r="Q1541" i="3"/>
  <c r="R1541" i="3"/>
  <c r="Q1539" i="3"/>
  <c r="R1539" i="3"/>
  <c r="Q1531" i="3"/>
  <c r="R1531" i="3"/>
  <c r="Q1542" i="3"/>
  <c r="R1542" i="3"/>
  <c r="Q191" i="3"/>
  <c r="R191" i="3"/>
  <c r="Q192" i="3"/>
  <c r="R192" i="3"/>
  <c r="Q1572" i="3"/>
  <c r="R1572" i="3"/>
  <c r="Q56" i="3"/>
  <c r="R56" i="3"/>
  <c r="Q68" i="3"/>
  <c r="R68" i="3"/>
  <c r="Q89" i="3"/>
  <c r="R89" i="3"/>
  <c r="Q65" i="3"/>
  <c r="R65" i="3"/>
  <c r="Q57" i="3"/>
  <c r="R57" i="3"/>
  <c r="Q67" i="3"/>
  <c r="R67" i="3"/>
  <c r="Q75" i="3"/>
  <c r="R75" i="3"/>
  <c r="Q69" i="3"/>
  <c r="R69" i="3"/>
  <c r="Q71" i="3"/>
  <c r="R71" i="3"/>
  <c r="Q59" i="3"/>
  <c r="R59" i="3"/>
  <c r="Q62" i="3"/>
  <c r="R62" i="3"/>
  <c r="Q74" i="3"/>
  <c r="R74" i="3"/>
  <c r="Q76" i="3"/>
  <c r="R76" i="3"/>
  <c r="Q61" i="3"/>
  <c r="R61" i="3"/>
  <c r="Q72" i="3"/>
  <c r="R72" i="3"/>
  <c r="Q77" i="3"/>
  <c r="R77" i="3"/>
  <c r="Q83" i="3"/>
  <c r="R83" i="3"/>
  <c r="Q84" i="3"/>
  <c r="R84" i="3"/>
  <c r="Q87" i="3"/>
  <c r="R87" i="3"/>
  <c r="Q63" i="3"/>
  <c r="R63" i="3"/>
  <c r="Q86" i="3"/>
  <c r="R86" i="3"/>
  <c r="Q78" i="3"/>
  <c r="R78" i="3"/>
  <c r="Q66" i="3"/>
  <c r="R66" i="3"/>
  <c r="Q73" i="3"/>
  <c r="R73" i="3"/>
  <c r="Q85" i="3"/>
  <c r="R85" i="3"/>
  <c r="Q88" i="3"/>
  <c r="R88" i="3"/>
  <c r="Q58" i="3"/>
  <c r="R58" i="3"/>
  <c r="Q64" i="3"/>
  <c r="R64" i="3"/>
  <c r="Q81" i="3"/>
  <c r="R81" i="3"/>
  <c r="Q80" i="3"/>
  <c r="R80" i="3"/>
  <c r="Q82" i="3"/>
  <c r="R82" i="3"/>
  <c r="Q79" i="3"/>
  <c r="R79" i="3"/>
  <c r="Q70" i="3"/>
  <c r="R70" i="3"/>
  <c r="Q2258" i="3"/>
  <c r="R2258" i="3"/>
  <c r="Q2249" i="3"/>
  <c r="R2249" i="3"/>
  <c r="Q2256" i="3"/>
  <c r="R2256" i="3"/>
  <c r="Q2273" i="3"/>
  <c r="R2273" i="3"/>
  <c r="Q2272" i="3"/>
  <c r="R2272" i="3"/>
  <c r="Q2247" i="3"/>
  <c r="R2247" i="3"/>
  <c r="Q2230" i="3"/>
  <c r="R2230" i="3"/>
  <c r="Q2255" i="3"/>
  <c r="R2255" i="3"/>
  <c r="Q2257" i="3"/>
  <c r="R2257" i="3"/>
  <c r="Q2254" i="3"/>
  <c r="R2254" i="3"/>
  <c r="Q2241" i="3"/>
  <c r="R2241" i="3"/>
  <c r="Q2228" i="3"/>
  <c r="R2228" i="3"/>
  <c r="Q2218" i="3"/>
  <c r="R2218" i="3"/>
  <c r="Q2224" i="3"/>
  <c r="R2224" i="3"/>
  <c r="Q2225" i="3"/>
  <c r="R2225" i="3"/>
  <c r="Q2266" i="3"/>
  <c r="R2266" i="3"/>
  <c r="Q2222" i="3"/>
  <c r="R2222" i="3"/>
  <c r="Q2223" i="3"/>
  <c r="R2223" i="3"/>
  <c r="Q2226" i="3"/>
  <c r="R2226" i="3"/>
  <c r="Q2213" i="3"/>
  <c r="R2213" i="3"/>
  <c r="Q2259" i="3"/>
  <c r="R2259" i="3"/>
  <c r="Q2214" i="3"/>
  <c r="R2214" i="3"/>
  <c r="Q2221" i="3"/>
  <c r="R2221" i="3"/>
  <c r="Q2262" i="3"/>
  <c r="R2262" i="3"/>
  <c r="Q2265" i="3"/>
  <c r="R2265" i="3"/>
  <c r="Q2267" i="3"/>
  <c r="R2267" i="3"/>
  <c r="Q2215" i="3"/>
  <c r="R2215" i="3"/>
  <c r="Q2269" i="3"/>
  <c r="R2269" i="3"/>
  <c r="Q2216" i="3"/>
  <c r="R2216" i="3"/>
  <c r="Q2263" i="3"/>
  <c r="R2263" i="3"/>
  <c r="Q2217" i="3"/>
  <c r="R2217" i="3"/>
  <c r="Q2219" i="3"/>
  <c r="R2219" i="3"/>
  <c r="Q2264" i="3"/>
  <c r="R2264" i="3"/>
  <c r="Q2234" i="3"/>
  <c r="R2234" i="3"/>
  <c r="Q2261" i="3"/>
  <c r="R2261" i="3"/>
  <c r="Q2242" i="3"/>
  <c r="R2242" i="3"/>
  <c r="Q2270" i="3"/>
  <c r="R2270" i="3"/>
  <c r="Q2246" i="3"/>
  <c r="R2246" i="3"/>
  <c r="Q2252" i="3"/>
  <c r="R2252" i="3"/>
  <c r="Q2235" i="3"/>
  <c r="R2235" i="3"/>
  <c r="Q2260" i="3"/>
  <c r="R2260" i="3"/>
  <c r="Q2271" i="3"/>
  <c r="R2271" i="3"/>
  <c r="Q2232" i="3"/>
  <c r="R2232" i="3"/>
  <c r="Q2245" i="3"/>
  <c r="R2245" i="3"/>
  <c r="Q2220" i="3"/>
  <c r="R2220" i="3"/>
  <c r="Q2251" i="3"/>
  <c r="R2251" i="3"/>
  <c r="Q2268" i="3"/>
  <c r="R2268" i="3"/>
  <c r="Q2227" i="3"/>
  <c r="R2227" i="3"/>
  <c r="Q2237" i="3"/>
  <c r="R2237" i="3"/>
  <c r="Q2243" i="3"/>
  <c r="R2243" i="3"/>
  <c r="Q2250" i="3"/>
  <c r="R2250" i="3"/>
  <c r="Q2231" i="3"/>
  <c r="R2231" i="3"/>
  <c r="Q2229" i="3"/>
  <c r="R2229" i="3"/>
  <c r="Q2236" i="3"/>
  <c r="R2236" i="3"/>
  <c r="Q2233" i="3"/>
  <c r="R2233" i="3"/>
  <c r="Q2275" i="3"/>
  <c r="R2275" i="3"/>
  <c r="Q2274" i="3"/>
  <c r="R2274" i="3"/>
  <c r="Q2238" i="3"/>
  <c r="R2238" i="3"/>
  <c r="Q2248" i="3"/>
  <c r="R2248" i="3"/>
  <c r="Q2253" i="3"/>
  <c r="R2253" i="3"/>
  <c r="Q2276" i="3"/>
  <c r="R2276" i="3"/>
  <c r="Q1469" i="3"/>
  <c r="R1469" i="3"/>
  <c r="Q1815" i="3"/>
  <c r="R1815" i="3"/>
  <c r="Q1805" i="3"/>
  <c r="R1805" i="3"/>
  <c r="Q1690" i="3"/>
  <c r="R1690" i="3"/>
  <c r="Q549" i="3"/>
  <c r="R549" i="3"/>
  <c r="Q630" i="3"/>
  <c r="R630" i="3"/>
  <c r="Q623" i="3"/>
  <c r="R623" i="3"/>
  <c r="Q624" i="3"/>
  <c r="R624" i="3"/>
  <c r="Q604" i="3"/>
  <c r="R604" i="3"/>
  <c r="Q610" i="3"/>
  <c r="R610" i="3"/>
  <c r="Q601" i="3"/>
  <c r="R601" i="3"/>
  <c r="Q602" i="3"/>
  <c r="R602" i="3"/>
  <c r="Q522" i="3"/>
  <c r="R522" i="3"/>
  <c r="Q578" i="3"/>
  <c r="R578" i="3"/>
  <c r="Q524" i="3"/>
  <c r="R524" i="3"/>
  <c r="Q525" i="3"/>
  <c r="R525" i="3"/>
  <c r="Q557" i="3"/>
  <c r="R557" i="3"/>
  <c r="Q550" i="3"/>
  <c r="R550" i="3"/>
  <c r="Q555" i="3"/>
  <c r="R555" i="3"/>
  <c r="Q611" i="3"/>
  <c r="R611" i="3"/>
  <c r="Q616" i="3"/>
  <c r="R616" i="3"/>
  <c r="Q619" i="3"/>
  <c r="R619" i="3"/>
  <c r="Q559" i="3"/>
  <c r="R559" i="3"/>
  <c r="Q563" i="3"/>
  <c r="R563" i="3"/>
  <c r="Q617" i="3"/>
  <c r="R617" i="3"/>
  <c r="Q614" i="3"/>
  <c r="R614" i="3"/>
  <c r="Q618" i="3"/>
  <c r="R618" i="3"/>
  <c r="Q622" i="3"/>
  <c r="R622" i="3"/>
  <c r="Q620" i="3"/>
  <c r="R620" i="3"/>
  <c r="Q1763" i="3"/>
  <c r="R1763" i="3"/>
  <c r="Q606" i="3"/>
  <c r="R606" i="3"/>
  <c r="Q631" i="3"/>
  <c r="R631" i="3"/>
  <c r="Q603" i="3"/>
  <c r="R603" i="3"/>
  <c r="Q632" i="3"/>
  <c r="R632" i="3"/>
  <c r="Q637" i="3"/>
  <c r="R637" i="3"/>
  <c r="Q509" i="3"/>
  <c r="R509" i="3"/>
  <c r="Q570" i="3"/>
  <c r="R570" i="3"/>
  <c r="Q523" i="3"/>
  <c r="R523" i="3"/>
  <c r="Q554" i="3"/>
  <c r="R554" i="3"/>
  <c r="Q564" i="3"/>
  <c r="R564" i="3"/>
  <c r="Q571" i="3"/>
  <c r="R571" i="3"/>
  <c r="Q556" i="3"/>
  <c r="R556" i="3"/>
  <c r="Q558" i="3"/>
  <c r="R558" i="3"/>
  <c r="Q560" i="3"/>
  <c r="R560" i="3"/>
  <c r="Q561" i="3"/>
  <c r="R561" i="3"/>
  <c r="Q562" i="3"/>
  <c r="R562" i="3"/>
  <c r="Q514" i="3"/>
  <c r="R514" i="3"/>
  <c r="Q515" i="3"/>
  <c r="R515" i="3"/>
  <c r="Q516" i="3"/>
  <c r="R516" i="3"/>
  <c r="Q517" i="3"/>
  <c r="R517" i="3"/>
  <c r="Q518" i="3"/>
  <c r="R518" i="3"/>
  <c r="Q519" i="3"/>
  <c r="R519" i="3"/>
  <c r="Q539" i="3"/>
  <c r="R539" i="3"/>
  <c r="Q528" i="3"/>
  <c r="R528" i="3"/>
  <c r="Q529" i="3"/>
  <c r="R529" i="3"/>
  <c r="Q533" i="3"/>
  <c r="R533" i="3"/>
  <c r="Q531" i="3"/>
  <c r="R531" i="3"/>
  <c r="Q530" i="3"/>
  <c r="R530" i="3"/>
  <c r="Q532" i="3"/>
  <c r="R532" i="3"/>
  <c r="Q536" i="3"/>
  <c r="R536" i="3"/>
  <c r="Q541" i="3"/>
  <c r="R541" i="3"/>
  <c r="Q540" i="3"/>
  <c r="R540" i="3"/>
  <c r="Q543" i="3"/>
  <c r="R543" i="3"/>
  <c r="Q537" i="3"/>
  <c r="R537" i="3"/>
  <c r="Q545" i="3"/>
  <c r="R545" i="3"/>
  <c r="Q636" i="3"/>
  <c r="R636" i="3"/>
  <c r="Q527" i="3"/>
  <c r="R527" i="3"/>
  <c r="Q850" i="3"/>
  <c r="R850" i="3"/>
  <c r="Q1438" i="3"/>
  <c r="R1438" i="3"/>
  <c r="Q1460" i="3"/>
  <c r="R1460" i="3"/>
  <c r="Q1397" i="3"/>
  <c r="R1397" i="3"/>
  <c r="Q1398" i="3"/>
  <c r="R1398" i="3"/>
  <c r="Q1416" i="3"/>
  <c r="R1416" i="3"/>
  <c r="Q1424" i="3"/>
  <c r="R1424" i="3"/>
  <c r="Q1423" i="3"/>
  <c r="R1423" i="3"/>
  <c r="Q1427" i="3"/>
  <c r="R1427" i="3"/>
  <c r="Q1467" i="3"/>
  <c r="R1467" i="3"/>
  <c r="Q1466" i="3"/>
  <c r="R1466" i="3"/>
  <c r="Q1468" i="3"/>
  <c r="R1468" i="3"/>
  <c r="Q350" i="3"/>
  <c r="R350" i="3"/>
  <c r="Q364" i="3"/>
  <c r="R364" i="3"/>
  <c r="Q351" i="3"/>
  <c r="R351" i="3"/>
  <c r="Q347" i="3"/>
  <c r="R347" i="3"/>
  <c r="Q366" i="3"/>
  <c r="R366" i="3"/>
  <c r="Q368" i="3"/>
  <c r="R368" i="3"/>
  <c r="Q342" i="3"/>
  <c r="R342" i="3"/>
  <c r="Q348" i="3"/>
  <c r="R348" i="3"/>
  <c r="Q355" i="3"/>
  <c r="R355" i="3"/>
  <c r="Q358" i="3"/>
  <c r="R358" i="3"/>
  <c r="Q367" i="3"/>
  <c r="R367" i="3"/>
  <c r="Q344" i="3"/>
  <c r="R344" i="3"/>
  <c r="Q365" i="3"/>
  <c r="R365" i="3"/>
  <c r="Q345" i="3"/>
  <c r="R345" i="3"/>
  <c r="Q354" i="3"/>
  <c r="R354" i="3"/>
  <c r="Q363" i="3"/>
  <c r="R363" i="3"/>
  <c r="Q346" i="3"/>
  <c r="R346" i="3"/>
  <c r="Q353" i="3"/>
  <c r="R353" i="3"/>
  <c r="Q352" i="3"/>
  <c r="R352" i="3"/>
  <c r="Q359" i="3"/>
  <c r="R359" i="3"/>
  <c r="Q361" i="3"/>
  <c r="R361" i="3"/>
  <c r="Q349" i="3"/>
  <c r="R349" i="3"/>
  <c r="Q360" i="3"/>
  <c r="R360" i="3"/>
  <c r="Q362" i="3"/>
  <c r="R362" i="3"/>
  <c r="Q372" i="3"/>
  <c r="R372" i="3"/>
  <c r="Q343" i="3"/>
  <c r="R343" i="3"/>
  <c r="Q1088" i="3"/>
  <c r="R1088" i="3"/>
  <c r="Q1777" i="3"/>
  <c r="R1777" i="3"/>
  <c r="Q1689" i="3"/>
  <c r="R1689" i="3"/>
  <c r="Q1060" i="3"/>
  <c r="R1060" i="3"/>
  <c r="Q1055" i="3"/>
  <c r="R1055" i="3"/>
  <c r="Q1063" i="3"/>
  <c r="R1063" i="3"/>
  <c r="Q1042" i="3"/>
  <c r="R1042" i="3"/>
  <c r="Q1065" i="3"/>
  <c r="R1065" i="3"/>
  <c r="Q1066" i="3"/>
  <c r="R1066" i="3"/>
  <c r="Q1061" i="3"/>
  <c r="R1061" i="3"/>
  <c r="Q1059" i="3"/>
  <c r="R1059" i="3"/>
  <c r="Q1047" i="3"/>
  <c r="R1047" i="3"/>
  <c r="Q1064" i="3"/>
  <c r="R1064" i="3"/>
  <c r="Q1808" i="3"/>
  <c r="R1808" i="3"/>
  <c r="Q1038" i="3"/>
  <c r="R1038" i="3"/>
  <c r="Q1039" i="3"/>
  <c r="R1039" i="3"/>
  <c r="Q1820" i="3"/>
  <c r="R1820" i="3"/>
  <c r="Q2390" i="3"/>
  <c r="R2390" i="3"/>
  <c r="Q2391" i="3"/>
  <c r="R2391" i="3"/>
  <c r="Q2392" i="3"/>
  <c r="R2392" i="3"/>
  <c r="Q1415" i="3"/>
  <c r="R1415" i="3"/>
  <c r="Q158" i="3"/>
  <c r="R158" i="3"/>
  <c r="Q1579" i="3"/>
  <c r="R1579" i="3"/>
  <c r="Q1578" i="3"/>
  <c r="R1578" i="3"/>
  <c r="Q1576" i="3"/>
  <c r="R1576" i="3"/>
  <c r="Q1575" i="3"/>
  <c r="R1575" i="3"/>
  <c r="Q1580" i="3"/>
  <c r="R1580" i="3"/>
  <c r="Q1558" i="3"/>
  <c r="R1558" i="3"/>
  <c r="Q812" i="3"/>
  <c r="R812" i="3"/>
  <c r="Q806" i="3"/>
  <c r="R806" i="3"/>
  <c r="Q807" i="3"/>
  <c r="R807" i="3"/>
  <c r="Q808" i="3"/>
  <c r="R808" i="3"/>
  <c r="Q809" i="3"/>
  <c r="R809" i="3"/>
  <c r="Q810" i="3"/>
  <c r="R810" i="3"/>
  <c r="Q803" i="3"/>
  <c r="R803" i="3"/>
  <c r="Q802" i="3"/>
  <c r="R802" i="3"/>
  <c r="Q804" i="3"/>
  <c r="R804" i="3"/>
  <c r="Q805" i="3"/>
  <c r="R805" i="3"/>
  <c r="Q811" i="3"/>
  <c r="R811" i="3"/>
  <c r="Q860" i="3"/>
  <c r="R860" i="3"/>
  <c r="Q848" i="3"/>
  <c r="R848" i="3"/>
  <c r="Q1406" i="3"/>
  <c r="R1406" i="3"/>
  <c r="Q552" i="3"/>
  <c r="R552" i="3"/>
  <c r="Q576" i="3"/>
  <c r="R576" i="3"/>
  <c r="Q573" i="3"/>
  <c r="R573" i="3"/>
  <c r="Q574" i="3"/>
  <c r="R574" i="3"/>
  <c r="Q1803" i="3"/>
  <c r="R1803" i="3"/>
  <c r="Q1814" i="3"/>
  <c r="R1814" i="3"/>
  <c r="Q1817" i="3"/>
  <c r="R1817" i="3"/>
  <c r="Q829" i="3"/>
  <c r="R829" i="3"/>
  <c r="Q820" i="3"/>
  <c r="R820" i="3"/>
  <c r="Q822" i="3"/>
  <c r="R822" i="3"/>
  <c r="Q1174" i="3"/>
  <c r="R1174" i="3"/>
  <c r="Q1834" i="3"/>
  <c r="R1834" i="3"/>
  <c r="Q872" i="3"/>
  <c r="R872" i="3"/>
  <c r="Q1194" i="3"/>
  <c r="R1194" i="3"/>
  <c r="Q1835" i="3"/>
  <c r="R1835" i="3"/>
  <c r="Q323" i="3"/>
  <c r="R323" i="3"/>
  <c r="Q1836" i="3"/>
  <c r="R1836" i="3"/>
  <c r="Q130" i="3"/>
  <c r="R130" i="3"/>
  <c r="Q1113" i="3"/>
  <c r="R1113" i="3"/>
  <c r="Q16" i="3"/>
  <c r="R16" i="3"/>
  <c r="Q1404" i="3"/>
  <c r="R1404" i="3"/>
  <c r="Q2409" i="3"/>
  <c r="R2409" i="3"/>
  <c r="Q131" i="3"/>
  <c r="R131" i="3"/>
  <c r="Q856" i="3"/>
  <c r="R856" i="3"/>
  <c r="Q26" i="3"/>
  <c r="R26" i="3"/>
  <c r="Q1207" i="3"/>
  <c r="R1207" i="3"/>
  <c r="Q153" i="3"/>
  <c r="R153" i="3"/>
  <c r="Q155" i="3"/>
  <c r="R155" i="3"/>
  <c r="Q1840" i="3"/>
  <c r="R1840" i="3"/>
  <c r="Q1474" i="3"/>
  <c r="R1474" i="3"/>
  <c r="Q54" i="3"/>
  <c r="R54" i="3"/>
  <c r="Q1573" i="3"/>
  <c r="R1573" i="3"/>
  <c r="Q1577" i="3"/>
  <c r="R1577" i="3"/>
  <c r="Q194" i="3"/>
  <c r="R194" i="3"/>
  <c r="Q195" i="3"/>
  <c r="R195" i="3"/>
  <c r="Q1824" i="3"/>
  <c r="R1824" i="3"/>
  <c r="Q1826" i="3"/>
  <c r="R1826" i="3"/>
  <c r="Q1825" i="3"/>
  <c r="R1825" i="3"/>
  <c r="Q1827" i="3"/>
  <c r="R1827" i="3"/>
  <c r="Q1828" i="3"/>
  <c r="R1828" i="3"/>
  <c r="Q1183" i="3"/>
  <c r="R1183" i="3"/>
  <c r="Q1184" i="3"/>
  <c r="R1184" i="3"/>
  <c r="Q1187" i="3"/>
  <c r="R1187" i="3"/>
  <c r="Q1182" i="3"/>
  <c r="R1182" i="3"/>
  <c r="Q1189" i="3"/>
  <c r="R1189" i="3"/>
  <c r="Q1190" i="3"/>
  <c r="R1190" i="3"/>
  <c r="Q1191" i="3"/>
  <c r="R1191" i="3"/>
  <c r="Q1185" i="3"/>
  <c r="R1185" i="3"/>
  <c r="Q1186" i="3"/>
  <c r="R1186" i="3"/>
  <c r="Q1188" i="3"/>
  <c r="R1188" i="3"/>
  <c r="Q1192" i="3"/>
  <c r="R1192" i="3"/>
  <c r="Q840" i="3"/>
  <c r="R840" i="3"/>
  <c r="Q841" i="3"/>
  <c r="R841" i="3"/>
  <c r="Q854" i="3"/>
  <c r="R854" i="3"/>
  <c r="Q851" i="3"/>
  <c r="R851" i="3"/>
  <c r="Q503" i="3"/>
  <c r="R503" i="3"/>
  <c r="Q505" i="3"/>
  <c r="R505" i="3"/>
  <c r="Q502" i="3"/>
  <c r="R502" i="3"/>
  <c r="Q504" i="3"/>
  <c r="R504" i="3"/>
  <c r="Q1555" i="3"/>
  <c r="R1555" i="3"/>
  <c r="Q1556" i="3"/>
  <c r="R1556" i="3"/>
  <c r="Q1557" i="3"/>
  <c r="R1557" i="3"/>
  <c r="Q845" i="3"/>
  <c r="R845" i="3"/>
  <c r="Q842" i="3"/>
  <c r="R842" i="3"/>
  <c r="Q843" i="3"/>
  <c r="R843" i="3"/>
  <c r="Q1204" i="3"/>
  <c r="R1204" i="3"/>
  <c r="Q1388" i="3"/>
  <c r="R1388" i="3"/>
  <c r="Q905" i="3"/>
  <c r="R905" i="3"/>
  <c r="Q911" i="3"/>
  <c r="R911" i="3"/>
  <c r="Q907" i="3"/>
  <c r="R907" i="3"/>
  <c r="Q968" i="3"/>
  <c r="R968" i="3"/>
  <c r="Q970" i="3"/>
  <c r="R970" i="3"/>
  <c r="Q1025" i="3"/>
  <c r="R1025" i="3"/>
  <c r="Q1030" i="3"/>
  <c r="R1030" i="3"/>
  <c r="Q881" i="3"/>
  <c r="R881" i="3"/>
  <c r="Q914" i="3"/>
  <c r="R914" i="3"/>
  <c r="Q912" i="3"/>
  <c r="R912" i="3"/>
  <c r="Q885" i="3"/>
  <c r="R885" i="3"/>
  <c r="Q894" i="3"/>
  <c r="R894" i="3"/>
  <c r="Q1021" i="3"/>
  <c r="R1021" i="3"/>
  <c r="Q1022" i="3"/>
  <c r="R1022" i="3"/>
  <c r="Q1023" i="3"/>
  <c r="R1023" i="3"/>
  <c r="Q1024" i="3"/>
  <c r="R1024" i="3"/>
  <c r="Q904" i="3"/>
  <c r="R904" i="3"/>
  <c r="Q969" i="3"/>
  <c r="R969" i="3"/>
  <c r="Q895" i="3"/>
  <c r="R895" i="3"/>
  <c r="Q897" i="3"/>
  <c r="R897" i="3"/>
  <c r="Q972" i="3"/>
  <c r="R972" i="3"/>
  <c r="Q975" i="3"/>
  <c r="R975" i="3"/>
  <c r="Q913" i="3"/>
  <c r="R913" i="3"/>
  <c r="Q943" i="3"/>
  <c r="R943" i="3"/>
  <c r="Q884" i="3"/>
  <c r="R884" i="3"/>
  <c r="Q981" i="3"/>
  <c r="R981" i="3"/>
  <c r="Q1029" i="3"/>
  <c r="R1029" i="3"/>
  <c r="Q886" i="3"/>
  <c r="R886" i="3"/>
  <c r="Q891" i="3"/>
  <c r="R891" i="3"/>
  <c r="Q944" i="3"/>
  <c r="R944" i="3"/>
  <c r="Q1031" i="3"/>
  <c r="R1031" i="3"/>
  <c r="Q982" i="3"/>
  <c r="R982" i="3"/>
  <c r="Q949" i="3"/>
  <c r="R949" i="3"/>
  <c r="Q890" i="3"/>
  <c r="R890" i="3"/>
  <c r="Q893" i="3"/>
  <c r="R893" i="3"/>
  <c r="Q906" i="3"/>
  <c r="R906" i="3"/>
  <c r="Q908" i="3"/>
  <c r="R908" i="3"/>
  <c r="Q909" i="3"/>
  <c r="R909" i="3"/>
  <c r="Q910" i="3"/>
  <c r="R910" i="3"/>
  <c r="Q946" i="3"/>
  <c r="R946" i="3"/>
  <c r="Q1033" i="3"/>
  <c r="R1033" i="3"/>
  <c r="Q948" i="3"/>
  <c r="R948" i="3"/>
  <c r="Q901" i="3"/>
  <c r="R901" i="3"/>
  <c r="Q876" i="3"/>
  <c r="R876" i="3"/>
  <c r="Q950" i="3"/>
  <c r="R950" i="3"/>
  <c r="Q947" i="3"/>
  <c r="R947" i="3"/>
  <c r="Q898" i="3"/>
  <c r="R898" i="3"/>
  <c r="Q973" i="3"/>
  <c r="R973" i="3"/>
  <c r="Q976" i="3"/>
  <c r="R976" i="3"/>
  <c r="Q978" i="3"/>
  <c r="R978" i="3"/>
  <c r="Q979" i="3"/>
  <c r="R979" i="3"/>
  <c r="Q974" i="3"/>
  <c r="R974" i="3"/>
  <c r="Q977" i="3"/>
  <c r="R977" i="3"/>
  <c r="Q971" i="3"/>
  <c r="R971" i="3"/>
  <c r="Q1034" i="3"/>
  <c r="R1034" i="3"/>
  <c r="Q945" i="3"/>
  <c r="R945" i="3"/>
  <c r="Q878" i="3"/>
  <c r="R878" i="3"/>
  <c r="Q887" i="3"/>
  <c r="R887" i="3"/>
  <c r="Q888" i="3"/>
  <c r="R888" i="3"/>
  <c r="Q892" i="3"/>
  <c r="R892" i="3"/>
  <c r="Q951" i="3"/>
  <c r="R951" i="3"/>
  <c r="Q915" i="3"/>
  <c r="R915" i="3"/>
  <c r="Q916" i="3"/>
  <c r="R916" i="3"/>
  <c r="Q882" i="3"/>
  <c r="R882" i="3"/>
  <c r="Q900" i="3"/>
  <c r="R900" i="3"/>
  <c r="Q2300" i="3"/>
  <c r="R2300" i="3"/>
  <c r="Q902" i="3"/>
  <c r="R902" i="3"/>
  <c r="Q903" i="3"/>
  <c r="R903" i="3"/>
  <c r="Q917" i="3"/>
  <c r="R917" i="3"/>
  <c r="Q918" i="3"/>
  <c r="R918" i="3"/>
  <c r="Q919" i="3"/>
  <c r="R919" i="3"/>
  <c r="Q920" i="3"/>
  <c r="R920" i="3"/>
  <c r="Q921" i="3"/>
  <c r="R921" i="3"/>
  <c r="Q922" i="3"/>
  <c r="R922" i="3"/>
  <c r="Q923" i="3"/>
  <c r="R923" i="3"/>
  <c r="Q924" i="3"/>
  <c r="R924" i="3"/>
  <c r="Q925" i="3"/>
  <c r="R925" i="3"/>
  <c r="Q926" i="3"/>
  <c r="R926" i="3"/>
  <c r="Q927" i="3"/>
  <c r="R927" i="3"/>
  <c r="Q928" i="3"/>
  <c r="R928" i="3"/>
  <c r="Q929" i="3"/>
  <c r="R929" i="3"/>
  <c r="Q930" i="3"/>
  <c r="R930" i="3"/>
  <c r="Q931" i="3"/>
  <c r="R931" i="3"/>
  <c r="Q932" i="3"/>
  <c r="R932" i="3"/>
  <c r="Q933" i="3"/>
  <c r="R933" i="3"/>
  <c r="Q934" i="3"/>
  <c r="R934" i="3"/>
  <c r="Q935" i="3"/>
  <c r="R935" i="3"/>
  <c r="Q883" i="3"/>
  <c r="R883" i="3"/>
  <c r="Q936" i="3"/>
  <c r="R936" i="3"/>
  <c r="Q937" i="3"/>
  <c r="R937" i="3"/>
  <c r="Q938" i="3"/>
  <c r="R938" i="3"/>
  <c r="Q939" i="3"/>
  <c r="R939" i="3"/>
  <c r="Q940" i="3"/>
  <c r="R940" i="3"/>
  <c r="Q941" i="3"/>
  <c r="R941" i="3"/>
  <c r="Q952" i="3"/>
  <c r="R952" i="3"/>
  <c r="Q953" i="3"/>
  <c r="R953" i="3"/>
  <c r="Q954" i="3"/>
  <c r="R954" i="3"/>
  <c r="Q955" i="3"/>
  <c r="R955" i="3"/>
  <c r="Q956" i="3"/>
  <c r="R956" i="3"/>
  <c r="Q957" i="3"/>
  <c r="R957" i="3"/>
  <c r="Q958" i="3"/>
  <c r="R958" i="3"/>
  <c r="Q959" i="3"/>
  <c r="R959" i="3"/>
  <c r="Q960" i="3"/>
  <c r="R960" i="3"/>
  <c r="Q961" i="3"/>
  <c r="R961" i="3"/>
  <c r="Q962" i="3"/>
  <c r="R962" i="3"/>
  <c r="Q963" i="3"/>
  <c r="R963" i="3"/>
  <c r="Q964" i="3"/>
  <c r="R964" i="3"/>
  <c r="Q965" i="3"/>
  <c r="R965" i="3"/>
  <c r="Q966" i="3"/>
  <c r="R966" i="3"/>
  <c r="Q1032" i="3"/>
  <c r="R1032" i="3"/>
  <c r="Q983" i="3"/>
  <c r="R983" i="3"/>
  <c r="Q984" i="3"/>
  <c r="R984" i="3"/>
  <c r="Q985" i="3"/>
  <c r="R985" i="3"/>
  <c r="Q986" i="3"/>
  <c r="R986" i="3"/>
  <c r="Q987" i="3"/>
  <c r="R987" i="3"/>
  <c r="Q988" i="3"/>
  <c r="R988" i="3"/>
  <c r="Q994" i="3"/>
  <c r="R994" i="3"/>
  <c r="Q877" i="3"/>
  <c r="R877" i="3"/>
  <c r="Q995" i="3"/>
  <c r="R995" i="3"/>
  <c r="Q899" i="3"/>
  <c r="R899" i="3"/>
  <c r="Q996" i="3"/>
  <c r="R996" i="3"/>
  <c r="Q997" i="3"/>
  <c r="R997" i="3"/>
  <c r="Q998" i="3"/>
  <c r="R998" i="3"/>
  <c r="Q999" i="3"/>
  <c r="R999" i="3"/>
  <c r="Q896" i="3"/>
  <c r="R896" i="3"/>
  <c r="Q879" i="3"/>
  <c r="R879" i="3"/>
  <c r="Q1000" i="3"/>
  <c r="R1000" i="3"/>
  <c r="Q1001" i="3"/>
  <c r="R1001" i="3"/>
  <c r="Q1002" i="3"/>
  <c r="R1002" i="3"/>
  <c r="Q1003" i="3"/>
  <c r="R1003" i="3"/>
  <c r="Q1004" i="3"/>
  <c r="R1004" i="3"/>
  <c r="Q1005" i="3"/>
  <c r="R1005" i="3"/>
  <c r="Q1006" i="3"/>
  <c r="R1006" i="3"/>
  <c r="Q1007" i="3"/>
  <c r="R1007" i="3"/>
  <c r="Q1008" i="3"/>
  <c r="R1008" i="3"/>
  <c r="Q1009" i="3"/>
  <c r="R1009" i="3"/>
  <c r="Q1010" i="3"/>
  <c r="R1010" i="3"/>
  <c r="Q1011" i="3"/>
  <c r="R1011" i="3"/>
  <c r="Q1012" i="3"/>
  <c r="R1012" i="3"/>
  <c r="Q1013" i="3"/>
  <c r="R1013" i="3"/>
  <c r="Q1015" i="3"/>
  <c r="R1015" i="3"/>
  <c r="Q1016" i="3"/>
  <c r="R1016" i="3"/>
  <c r="Q1017" i="3"/>
  <c r="R1017" i="3"/>
  <c r="Q1018" i="3"/>
  <c r="R1018" i="3"/>
  <c r="Q1019" i="3"/>
  <c r="R1019" i="3"/>
  <c r="Q1020" i="3"/>
  <c r="R1020" i="3"/>
  <c r="Q1026" i="3"/>
  <c r="R1026" i="3"/>
  <c r="Q1027" i="3"/>
  <c r="R1027" i="3"/>
  <c r="Q1028" i="3"/>
  <c r="R1028" i="3"/>
  <c r="Q42" i="3"/>
  <c r="R42" i="3"/>
  <c r="Q40" i="3"/>
  <c r="R40" i="3"/>
  <c r="Q633" i="3"/>
  <c r="R633" i="3"/>
  <c r="Q39" i="3"/>
  <c r="R39" i="3"/>
  <c r="Q43" i="3"/>
  <c r="R43" i="3"/>
  <c r="Q160" i="3"/>
  <c r="R160" i="3"/>
  <c r="Q222" i="3"/>
  <c r="R222" i="3"/>
  <c r="Q223" i="3"/>
  <c r="R223" i="3"/>
  <c r="Q224" i="3"/>
  <c r="R224" i="3"/>
  <c r="Q225" i="3"/>
  <c r="R225" i="3"/>
  <c r="Q221" i="3"/>
  <c r="R221" i="3"/>
  <c r="Q226" i="3"/>
  <c r="R226" i="3"/>
  <c r="Q220" i="3"/>
  <c r="R220" i="3"/>
  <c r="Q227" i="3"/>
  <c r="R227" i="3"/>
  <c r="Q228" i="3"/>
  <c r="R228" i="3"/>
  <c r="Q1089" i="3"/>
  <c r="R1089" i="3"/>
  <c r="Q1070" i="3"/>
  <c r="R1070" i="3"/>
  <c r="Q1082" i="3"/>
  <c r="R1082" i="3"/>
  <c r="Q1035" i="3"/>
  <c r="R1035" i="3"/>
  <c r="Q2423" i="3"/>
  <c r="R2423" i="3"/>
  <c r="Q1094" i="3"/>
  <c r="R1094" i="3"/>
  <c r="Q1481" i="3"/>
  <c r="R1481" i="3"/>
  <c r="Q1482" i="3"/>
  <c r="R1482" i="3"/>
  <c r="Q1483" i="3"/>
  <c r="R1483" i="3"/>
  <c r="Q1392" i="3"/>
  <c r="R1392" i="3"/>
  <c r="Q1393" i="3"/>
  <c r="R1393" i="3"/>
  <c r="Q1176" i="3"/>
  <c r="R1176" i="3"/>
  <c r="Q1180" i="3"/>
  <c r="R1180" i="3"/>
  <c r="Q1181" i="3"/>
  <c r="R1181" i="3"/>
  <c r="Q1172" i="3"/>
  <c r="R1172" i="3"/>
  <c r="Q1171" i="3"/>
  <c r="R1171" i="3"/>
  <c r="Q1173" i="3"/>
  <c r="R1173" i="3"/>
  <c r="Q1178" i="3"/>
  <c r="R1178" i="3"/>
  <c r="Q1177" i="3"/>
  <c r="R1177" i="3"/>
  <c r="Q1179" i="3"/>
  <c r="R1179" i="3"/>
  <c r="Q1175" i="3"/>
  <c r="R1175" i="3"/>
  <c r="Q1809" i="3"/>
  <c r="R1809" i="3"/>
  <c r="Q1437" i="3"/>
  <c r="R1437" i="3"/>
  <c r="Q1409" i="3"/>
  <c r="R1409" i="3"/>
  <c r="Q1418" i="3"/>
  <c r="R1418" i="3"/>
  <c r="Q150" i="3"/>
  <c r="R150" i="3"/>
  <c r="Q1818" i="3"/>
  <c r="R1818" i="3"/>
  <c r="Q1806" i="3"/>
  <c r="R1806" i="3"/>
  <c r="Q1821" i="3"/>
  <c r="R1821" i="3"/>
  <c r="Q1816" i="3"/>
  <c r="R1816" i="3"/>
  <c r="Q1811" i="3"/>
  <c r="R1811" i="3"/>
  <c r="Q1810" i="3"/>
  <c r="R1810" i="3"/>
  <c r="Q1807" i="3"/>
  <c r="R1807" i="3"/>
  <c r="Q1688" i="3"/>
  <c r="R1688" i="3"/>
  <c r="Q257" i="3"/>
  <c r="R257" i="3"/>
  <c r="Q256" i="3"/>
  <c r="R256" i="3"/>
  <c r="Q297" i="3"/>
  <c r="R297" i="3"/>
  <c r="Q1097" i="3"/>
  <c r="R1097" i="3"/>
  <c r="Q30" i="3"/>
  <c r="R30" i="3"/>
  <c r="Q1767" i="3"/>
  <c r="R1767" i="3"/>
  <c r="Q1768" i="3"/>
  <c r="R1768" i="3"/>
  <c r="Q1736" i="3"/>
  <c r="R1736" i="3"/>
  <c r="Q1772" i="3"/>
  <c r="R1772" i="3"/>
  <c r="Q1734" i="3"/>
  <c r="R1734" i="3"/>
  <c r="Q1731" i="3"/>
  <c r="R1731" i="3"/>
  <c r="Q1732" i="3"/>
  <c r="R1732" i="3"/>
  <c r="Q1738" i="3"/>
  <c r="R1738" i="3"/>
  <c r="Q1739" i="3"/>
  <c r="R1739" i="3"/>
  <c r="Q1740" i="3"/>
  <c r="R1740" i="3"/>
  <c r="Q1764" i="3"/>
  <c r="R1764" i="3"/>
  <c r="Q1784" i="3"/>
  <c r="R1784" i="3"/>
  <c r="Q1757" i="3"/>
  <c r="R1757" i="3"/>
  <c r="Q1758" i="3"/>
  <c r="R1758" i="3"/>
  <c r="Q1759" i="3"/>
  <c r="R1759" i="3"/>
  <c r="Q1760" i="3"/>
  <c r="R1760" i="3"/>
  <c r="Q1742" i="3"/>
  <c r="R1742" i="3"/>
  <c r="Q1762" i="3"/>
  <c r="R1762" i="3"/>
  <c r="Q1744" i="3"/>
  <c r="R1744" i="3"/>
  <c r="Q1776" i="3"/>
  <c r="R1776" i="3"/>
  <c r="Q1730" i="3"/>
  <c r="R1730" i="3"/>
  <c r="Q1765" i="3"/>
  <c r="R1765" i="3"/>
  <c r="Q1752" i="3"/>
  <c r="R1752" i="3"/>
  <c r="Q1751" i="3"/>
  <c r="R1751" i="3"/>
  <c r="Q1746" i="3"/>
  <c r="R1746" i="3"/>
  <c r="Q1754" i="3"/>
  <c r="R1754" i="3"/>
  <c r="Q1745" i="3"/>
  <c r="R1745" i="3"/>
  <c r="Q1747" i="3"/>
  <c r="R1747" i="3"/>
  <c r="Q1761" i="3"/>
  <c r="R1761" i="3"/>
  <c r="Q1766" i="3"/>
  <c r="R1766" i="3"/>
  <c r="Q1733" i="3"/>
  <c r="R1733" i="3"/>
  <c r="Q1781" i="3"/>
  <c r="R1781" i="3"/>
  <c r="Q1780" i="3"/>
  <c r="R1780" i="3"/>
  <c r="Q1779" i="3"/>
  <c r="R1779" i="3"/>
  <c r="Q182" i="3"/>
  <c r="R182" i="3"/>
  <c r="Q184" i="3"/>
  <c r="R184" i="3"/>
  <c r="Q181" i="3"/>
  <c r="R181" i="3"/>
  <c r="Q183" i="3"/>
  <c r="R183" i="3"/>
  <c r="Q180" i="3"/>
  <c r="R180" i="3"/>
  <c r="Q185" i="3"/>
  <c r="R185" i="3"/>
  <c r="Q179" i="3"/>
  <c r="R179" i="3"/>
  <c r="Q186" i="3"/>
  <c r="R186" i="3"/>
  <c r="Q2429" i="3"/>
  <c r="R2429" i="3"/>
  <c r="Q2377" i="3"/>
  <c r="R2377" i="3"/>
  <c r="Q2358" i="3"/>
  <c r="R2358" i="3"/>
  <c r="Q2373" i="3"/>
  <c r="R2373" i="3"/>
  <c r="Q1562" i="3"/>
  <c r="R1562" i="3"/>
  <c r="Q1565" i="3"/>
  <c r="R1565" i="3"/>
  <c r="Q1563" i="3"/>
  <c r="R1563" i="3"/>
  <c r="Q1566" i="3"/>
  <c r="R1566" i="3"/>
  <c r="Q1377" i="3"/>
  <c r="R1377" i="3"/>
  <c r="Q1407" i="3"/>
  <c r="R1407" i="3"/>
  <c r="Q1383" i="3"/>
  <c r="R1383" i="3"/>
  <c r="Q1378" i="3"/>
  <c r="R1378" i="3"/>
  <c r="Q1429" i="3"/>
  <c r="R1429" i="3"/>
  <c r="Q508" i="3"/>
  <c r="R508" i="3"/>
  <c r="Q548" i="3"/>
  <c r="R548" i="3"/>
  <c r="Q635" i="3"/>
  <c r="R635" i="3"/>
  <c r="Q1085" i="3"/>
  <c r="R1085" i="3"/>
  <c r="Q1081" i="3"/>
  <c r="R1081" i="3"/>
  <c r="Q1084" i="3"/>
  <c r="R1084" i="3"/>
  <c r="Q1083" i="3"/>
  <c r="R1083" i="3"/>
  <c r="Q1640" i="3"/>
  <c r="R1640" i="3"/>
  <c r="Q1683" i="3"/>
  <c r="R1683" i="3"/>
  <c r="Q1078" i="3"/>
  <c r="R1078" i="3"/>
  <c r="Q1075" i="3"/>
  <c r="R1075" i="3"/>
  <c r="Q1076" i="3"/>
  <c r="R1076" i="3"/>
  <c r="Q2419" i="3"/>
  <c r="R2419" i="3"/>
  <c r="Q2420" i="3"/>
  <c r="R2420" i="3"/>
  <c r="Q1413" i="3"/>
  <c r="R1413" i="3"/>
  <c r="Q247" i="3"/>
  <c r="R247" i="3"/>
  <c r="Q264" i="3"/>
  <c r="R264" i="3"/>
  <c r="Q295" i="3"/>
  <c r="R295" i="3"/>
  <c r="Q1646" i="3"/>
  <c r="R1646" i="3"/>
  <c r="Q1681" i="3"/>
  <c r="R1681" i="3"/>
  <c r="Q1674" i="3"/>
  <c r="R1674" i="3"/>
  <c r="Q1682" i="3"/>
  <c r="R1682" i="3"/>
  <c r="Q1656" i="3"/>
  <c r="R1656" i="3"/>
  <c r="Q1673" i="3"/>
  <c r="R1673" i="3"/>
  <c r="Q1670" i="3"/>
  <c r="R1670" i="3"/>
  <c r="Q1669" i="3"/>
  <c r="R1669" i="3"/>
  <c r="Q1517" i="3"/>
  <c r="R1517" i="3"/>
  <c r="Q1519" i="3"/>
  <c r="R1519" i="3"/>
  <c r="Q1394" i="3"/>
  <c r="R1394" i="3"/>
  <c r="Q1216" i="3"/>
  <c r="R1216" i="3"/>
  <c r="Q1215" i="3"/>
  <c r="R1215" i="3"/>
  <c r="Q13" i="3"/>
  <c r="R13" i="3"/>
  <c r="Q6" i="3"/>
  <c r="R6" i="3"/>
  <c r="Q5" i="3"/>
  <c r="R5" i="3"/>
  <c r="Q14" i="3"/>
  <c r="R14" i="3"/>
  <c r="Q1728" i="3"/>
  <c r="R1728" i="3"/>
  <c r="Q1384" i="3"/>
  <c r="R1384" i="3"/>
  <c r="Q1385" i="3"/>
  <c r="R1385" i="3"/>
  <c r="Q861" i="3"/>
  <c r="R861" i="3"/>
  <c r="Q591" i="3"/>
  <c r="R591" i="3"/>
  <c r="Q599" i="3"/>
  <c r="R599" i="3"/>
  <c r="Q584" i="3"/>
  <c r="R584" i="3"/>
  <c r="Q587" i="3"/>
  <c r="R587" i="3"/>
  <c r="Q586" i="3"/>
  <c r="R586" i="3"/>
  <c r="Q598" i="3"/>
  <c r="R598" i="3"/>
  <c r="Q595" i="3"/>
  <c r="R595" i="3"/>
  <c r="Q592" i="3"/>
  <c r="R592" i="3"/>
  <c r="Q590" i="3"/>
  <c r="R590" i="3"/>
  <c r="Q593" i="3"/>
  <c r="R593" i="3"/>
  <c r="Q589" i="3"/>
  <c r="R589" i="3"/>
  <c r="Q594" i="3"/>
  <c r="R594" i="3"/>
  <c r="Q588" i="3"/>
  <c r="R588" i="3"/>
  <c r="Q597" i="3"/>
  <c r="R597" i="3"/>
  <c r="Q585" i="3"/>
  <c r="R585" i="3"/>
  <c r="Q596" i="3"/>
  <c r="R596" i="3"/>
  <c r="Q583" i="3"/>
  <c r="R583" i="3"/>
  <c r="Q1478" i="3"/>
  <c r="R1478" i="3"/>
  <c r="Q1476" i="3"/>
  <c r="R1476" i="3"/>
  <c r="Q1477" i="3"/>
  <c r="R1477" i="3"/>
  <c r="Q1479" i="3"/>
  <c r="R1479" i="3"/>
  <c r="Q29" i="3"/>
  <c r="R29" i="3"/>
  <c r="Q27" i="3"/>
  <c r="R27" i="3"/>
  <c r="Q1193" i="3"/>
  <c r="R1193" i="3"/>
  <c r="Q1206" i="3"/>
  <c r="R1206" i="3"/>
  <c r="Q1442" i="3"/>
  <c r="R1442" i="3"/>
  <c r="Q1671" i="3"/>
  <c r="R1671" i="3"/>
  <c r="Q1672" i="3"/>
  <c r="R1672" i="3"/>
  <c r="Q2354" i="3"/>
  <c r="R2354" i="3"/>
  <c r="Q2293" i="3"/>
  <c r="R2293" i="3"/>
  <c r="Q2294" i="3"/>
  <c r="R2294" i="3"/>
  <c r="Q2295" i="3"/>
  <c r="R2295" i="3"/>
  <c r="Q2296" i="3"/>
  <c r="R2296" i="3"/>
  <c r="Q2297" i="3"/>
  <c r="R2297" i="3"/>
  <c r="Q2308" i="3"/>
  <c r="R2308" i="3"/>
  <c r="Q2309" i="3"/>
  <c r="R2309" i="3"/>
  <c r="Q2385" i="3"/>
  <c r="R2385" i="3"/>
  <c r="Q2389" i="3"/>
  <c r="R2389" i="3"/>
  <c r="Q2277" i="3"/>
  <c r="R2277" i="3"/>
  <c r="Q2278" i="3"/>
  <c r="R2278" i="3"/>
  <c r="Q2279" i="3"/>
  <c r="R2279" i="3"/>
  <c r="Q2280" i="3"/>
  <c r="R2280" i="3"/>
  <c r="Q2283" i="3"/>
  <c r="R2283" i="3"/>
  <c r="Q2282" i="3"/>
  <c r="R2282" i="3"/>
  <c r="Q2284" i="3"/>
  <c r="R2284" i="3"/>
  <c r="Q2290" i="3"/>
  <c r="R2290" i="3"/>
  <c r="Q2291" i="3"/>
  <c r="R2291" i="3"/>
  <c r="Q2292" i="3"/>
  <c r="R2292" i="3"/>
  <c r="Q2285" i="3"/>
  <c r="R2285" i="3"/>
  <c r="Q2286" i="3"/>
  <c r="R2286" i="3"/>
  <c r="Q2287" i="3"/>
  <c r="R2287" i="3"/>
  <c r="Q2288" i="3"/>
  <c r="R2288" i="3"/>
  <c r="Q2289" i="3"/>
  <c r="R2289" i="3"/>
  <c r="Q2345" i="3"/>
  <c r="R2345" i="3"/>
  <c r="Q2348" i="3"/>
  <c r="R2348" i="3"/>
  <c r="Q2376" i="3"/>
  <c r="R2376" i="3"/>
  <c r="Q2347" i="3"/>
  <c r="R2347" i="3"/>
  <c r="Q2306" i="3"/>
  <c r="R2306" i="3"/>
  <c r="Q2299" i="3"/>
  <c r="R2299" i="3"/>
  <c r="Q2298" i="3"/>
  <c r="R2298" i="3"/>
  <c r="Q2307" i="3"/>
  <c r="R2307" i="3"/>
  <c r="Q2336" i="3"/>
  <c r="R2336" i="3"/>
  <c r="Q2337" i="3"/>
  <c r="R2337" i="3"/>
  <c r="Q2338" i="3"/>
  <c r="R2338" i="3"/>
  <c r="Q2339" i="3"/>
  <c r="R2339" i="3"/>
  <c r="Q2340" i="3"/>
  <c r="R2340" i="3"/>
  <c r="Q2341" i="3"/>
  <c r="R2341" i="3"/>
  <c r="Q2342" i="3"/>
  <c r="R2342" i="3"/>
  <c r="Q2374" i="3"/>
  <c r="R2374" i="3"/>
  <c r="Q2375" i="3"/>
  <c r="R2375" i="3"/>
  <c r="Q2318" i="3"/>
  <c r="R2318" i="3"/>
  <c r="Q2368" i="3"/>
  <c r="R2368" i="3"/>
  <c r="Q2305" i="3"/>
  <c r="R2305" i="3"/>
  <c r="Q2330" i="3"/>
  <c r="R2330" i="3"/>
  <c r="Q2353" i="3"/>
  <c r="R2353" i="3"/>
  <c r="Q2351" i="3"/>
  <c r="R2351" i="3"/>
  <c r="Q2352" i="3"/>
  <c r="R2352" i="3"/>
  <c r="Q2349" i="3"/>
  <c r="R2349" i="3"/>
  <c r="Q2350" i="3"/>
  <c r="R2350" i="3"/>
  <c r="Q2304" i="3"/>
  <c r="R2304" i="3"/>
  <c r="Q2302" i="3"/>
  <c r="R2302" i="3"/>
  <c r="Q2301" i="3"/>
  <c r="R2301" i="3"/>
  <c r="Q2303" i="3"/>
  <c r="R2303" i="3"/>
  <c r="Q2325" i="3"/>
  <c r="R2325" i="3"/>
  <c r="Q2329" i="3"/>
  <c r="R2329" i="3"/>
  <c r="Q2316" i="3"/>
  <c r="R2316" i="3"/>
  <c r="Q2319" i="3"/>
  <c r="R2319" i="3"/>
  <c r="Q2326" i="3"/>
  <c r="R2326" i="3"/>
  <c r="Q2310" i="3"/>
  <c r="R2310" i="3"/>
  <c r="Q2324" i="3"/>
  <c r="R2324" i="3"/>
  <c r="Q2331" i="3"/>
  <c r="R2331" i="3"/>
  <c r="Q2313" i="3"/>
  <c r="R2313" i="3"/>
  <c r="Q2327" i="3"/>
  <c r="R2327" i="3"/>
  <c r="Q2311" i="3"/>
  <c r="R2311" i="3"/>
  <c r="Q2312" i="3"/>
  <c r="R2312" i="3"/>
  <c r="Q2322" i="3"/>
  <c r="R2322" i="3"/>
  <c r="Q2323" i="3"/>
  <c r="R2323" i="3"/>
  <c r="Q2315" i="3"/>
  <c r="R2315" i="3"/>
  <c r="Q2317" i="3"/>
  <c r="R2317" i="3"/>
  <c r="Q2321" i="3"/>
  <c r="R2321" i="3"/>
  <c r="Q2328" i="3"/>
  <c r="R2328" i="3"/>
  <c r="Q2314" i="3"/>
  <c r="R2314" i="3"/>
  <c r="Q2320" i="3"/>
  <c r="R2320" i="3"/>
  <c r="Q2344" i="3"/>
  <c r="R2344" i="3"/>
  <c r="Q2343" i="3"/>
  <c r="R2343" i="3"/>
  <c r="Q2356" i="3"/>
  <c r="R2356" i="3"/>
  <c r="Q2357" i="3"/>
  <c r="R2357" i="3"/>
  <c r="Q2355" i="3"/>
  <c r="R2355" i="3"/>
  <c r="Q2378" i="3"/>
  <c r="R2378" i="3"/>
  <c r="Q2383" i="3"/>
  <c r="R2383" i="3"/>
  <c r="Q2393" i="3"/>
  <c r="R2393" i="3"/>
  <c r="Q2394" i="3"/>
  <c r="R2394" i="3"/>
  <c r="Q2395" i="3"/>
  <c r="R2395" i="3"/>
  <c r="Q2384" i="3"/>
  <c r="R2384" i="3"/>
  <c r="Q2381" i="3"/>
  <c r="R2381" i="3"/>
  <c r="Q2380" i="3"/>
  <c r="R2380" i="3"/>
  <c r="Q2382" i="3"/>
  <c r="R2382" i="3"/>
  <c r="Q2379" i="3"/>
  <c r="R2379" i="3"/>
  <c r="Q2386" i="3"/>
  <c r="R2386" i="3"/>
  <c r="Q2366" i="3"/>
  <c r="R2366" i="3"/>
  <c r="Q2359" i="3"/>
  <c r="R2359" i="3"/>
  <c r="Q2371" i="3"/>
  <c r="R2371" i="3"/>
  <c r="Q2365" i="3"/>
  <c r="R2365" i="3"/>
  <c r="Q2362" i="3"/>
  <c r="R2362" i="3"/>
  <c r="Q2360" i="3"/>
  <c r="R2360" i="3"/>
  <c r="Q2361" i="3"/>
  <c r="R2361" i="3"/>
  <c r="Q2367" i="3"/>
  <c r="R2367" i="3"/>
  <c r="Q2370" i="3"/>
  <c r="R2370" i="3"/>
  <c r="Q2363" i="3"/>
  <c r="R2363" i="3"/>
  <c r="Q2364" i="3"/>
  <c r="R2364" i="3"/>
  <c r="Q2369" i="3"/>
  <c r="R2369" i="3"/>
  <c r="Q2372" i="3"/>
  <c r="R2372" i="3"/>
  <c r="Q2388" i="3"/>
  <c r="R2388" i="3"/>
  <c r="Q2387" i="3"/>
  <c r="R2387" i="3"/>
  <c r="Q1630" i="3"/>
  <c r="R1630" i="3"/>
  <c r="Q1631" i="3"/>
  <c r="R1631" i="3"/>
  <c r="Q1509" i="3"/>
  <c r="R1509" i="3"/>
  <c r="Q1508" i="3"/>
  <c r="R1508" i="3"/>
  <c r="Q1497" i="3"/>
  <c r="R1497" i="3"/>
  <c r="Q1498" i="3"/>
  <c r="R1498" i="3"/>
  <c r="Q1499" i="3"/>
  <c r="R1499" i="3"/>
  <c r="Q1500" i="3"/>
  <c r="R1500" i="3"/>
  <c r="Q1503" i="3"/>
  <c r="R1503" i="3"/>
  <c r="Q1504" i="3"/>
  <c r="R1504" i="3"/>
  <c r="Q1505" i="3"/>
  <c r="R1505" i="3"/>
  <c r="Q1506" i="3"/>
  <c r="R1506" i="3"/>
  <c r="Q1507" i="3"/>
  <c r="R1507" i="3"/>
  <c r="Q1511" i="3"/>
  <c r="R1511" i="3"/>
  <c r="Q1521" i="3"/>
  <c r="R1521" i="3"/>
  <c r="Q1543" i="3"/>
  <c r="R1543" i="3"/>
  <c r="Q1544" i="3"/>
  <c r="R1544" i="3"/>
  <c r="Q1545" i="3"/>
  <c r="R1545" i="3"/>
  <c r="Q1569" i="3"/>
  <c r="R1569" i="3"/>
  <c r="Q1570" i="3"/>
  <c r="R1570" i="3"/>
  <c r="Q1571" i="3"/>
  <c r="R1571" i="3"/>
  <c r="Q1583" i="3"/>
  <c r="R1583" i="3"/>
  <c r="Q1582" i="3"/>
  <c r="R1582" i="3"/>
  <c r="Q273" i="3"/>
  <c r="R273" i="3"/>
  <c r="Q315" i="3"/>
  <c r="R315" i="3"/>
  <c r="Q316" i="3"/>
  <c r="R316" i="3"/>
  <c r="Q317" i="3"/>
  <c r="R317" i="3"/>
  <c r="Q319" i="3"/>
  <c r="R319" i="3"/>
  <c r="Q320" i="3"/>
  <c r="R320" i="3"/>
  <c r="Q321" i="3"/>
  <c r="R321" i="3"/>
  <c r="Q322" i="3"/>
  <c r="R322" i="3"/>
  <c r="Q291" i="3"/>
  <c r="R291" i="3"/>
  <c r="Q237" i="3"/>
  <c r="R237" i="3"/>
  <c r="Q241" i="3"/>
  <c r="R241" i="3"/>
  <c r="Q240" i="3"/>
  <c r="R240" i="3"/>
  <c r="Q236" i="3"/>
  <c r="R236" i="3"/>
  <c r="Q238" i="3"/>
  <c r="R238" i="3"/>
  <c r="Q239" i="3"/>
  <c r="R239" i="3"/>
  <c r="Q277" i="3"/>
  <c r="R277" i="3"/>
  <c r="Q231" i="3"/>
  <c r="R231" i="3"/>
  <c r="Q246" i="3"/>
  <c r="R246" i="3"/>
  <c r="Q276" i="3"/>
  <c r="R276" i="3"/>
  <c r="Q271" i="3"/>
  <c r="R271" i="3"/>
  <c r="Q281" i="3"/>
  <c r="R281" i="3"/>
  <c r="Q290" i="3"/>
  <c r="R290" i="3"/>
  <c r="Q289" i="3"/>
  <c r="R289" i="3"/>
  <c r="Q270" i="3"/>
  <c r="R270" i="3"/>
  <c r="Q279" i="3"/>
  <c r="R279" i="3"/>
  <c r="Q280" i="3"/>
  <c r="R280" i="3"/>
  <c r="Q265" i="3"/>
  <c r="R265" i="3"/>
  <c r="Q284" i="3"/>
  <c r="R284" i="3"/>
  <c r="Q288" i="3"/>
  <c r="R288" i="3"/>
  <c r="Q275" i="3"/>
  <c r="R275" i="3"/>
  <c r="Q278" i="3"/>
  <c r="R278" i="3"/>
  <c r="Q272" i="3"/>
  <c r="R272" i="3"/>
  <c r="Q229" i="3"/>
  <c r="R229" i="3"/>
  <c r="Q287" i="3"/>
  <c r="R287" i="3"/>
  <c r="Q245" i="3"/>
  <c r="R245" i="3"/>
  <c r="Q248" i="3"/>
  <c r="R248" i="3"/>
  <c r="Q262" i="3"/>
  <c r="R262" i="3"/>
  <c r="Q258" i="3"/>
  <c r="R258" i="3"/>
  <c r="Q261" i="3"/>
  <c r="R261" i="3"/>
  <c r="Q260" i="3"/>
  <c r="R260" i="3"/>
  <c r="Q249" i="3"/>
  <c r="R249" i="3"/>
  <c r="Q252" i="3"/>
  <c r="R252" i="3"/>
  <c r="Q250" i="3"/>
  <c r="R250" i="3"/>
  <c r="Q251" i="3"/>
  <c r="R251" i="3"/>
  <c r="Q244" i="3"/>
  <c r="R244" i="3"/>
  <c r="Q233" i="3"/>
  <c r="R233" i="3"/>
  <c r="Q274" i="3"/>
  <c r="R274" i="3"/>
  <c r="Q232" i="3"/>
  <c r="R232" i="3"/>
  <c r="Q314" i="3"/>
  <c r="R314" i="3"/>
  <c r="Q308" i="3"/>
  <c r="R308" i="3"/>
  <c r="Q309" i="3"/>
  <c r="R309" i="3"/>
  <c r="Q310" i="3"/>
  <c r="R310" i="3"/>
  <c r="Q311" i="3"/>
  <c r="R311" i="3"/>
  <c r="Q302" i="3"/>
  <c r="R302" i="3"/>
  <c r="Q303" i="3"/>
  <c r="R303" i="3"/>
  <c r="Q304" i="3"/>
  <c r="R304" i="3"/>
  <c r="Q306" i="3"/>
  <c r="R306" i="3"/>
  <c r="Q312" i="3"/>
  <c r="R312" i="3"/>
  <c r="Q313" i="3"/>
  <c r="R313" i="3"/>
  <c r="Q301" i="3"/>
  <c r="R301" i="3"/>
  <c r="Q307" i="3"/>
  <c r="R307" i="3"/>
  <c r="Q296" i="3"/>
  <c r="R296" i="3"/>
  <c r="Q298" i="3"/>
  <c r="R298" i="3"/>
  <c r="Q299" i="3"/>
  <c r="R299" i="3"/>
  <c r="Q300" i="3"/>
  <c r="R300" i="3"/>
  <c r="Q235" i="3"/>
  <c r="R235" i="3"/>
  <c r="Q230" i="3"/>
  <c r="R230" i="3"/>
  <c r="Q1077" i="3"/>
  <c r="R1077" i="3"/>
  <c r="Q1073" i="3"/>
  <c r="R1073" i="3"/>
  <c r="Q855" i="3"/>
  <c r="R855" i="3"/>
  <c r="Q1079" i="3"/>
  <c r="R1079" i="3"/>
  <c r="Q1396" i="3"/>
  <c r="R1396" i="3"/>
  <c r="Q1395" i="3"/>
  <c r="R1395" i="3"/>
  <c r="Q1092" i="3"/>
  <c r="R1092" i="3"/>
  <c r="Q34" i="3"/>
  <c r="R34" i="3"/>
  <c r="Q33" i="3"/>
  <c r="R33" i="3"/>
  <c r="Q35" i="3"/>
  <c r="R35" i="3"/>
  <c r="Q242" i="3"/>
  <c r="R242" i="3"/>
  <c r="Q875" i="3"/>
  <c r="R875" i="3"/>
  <c r="Q2418" i="3"/>
  <c r="R2418" i="3"/>
  <c r="Q2424" i="3"/>
  <c r="R2424" i="3"/>
  <c r="Q1480" i="3"/>
  <c r="R1480" i="3"/>
  <c r="Q824" i="3"/>
  <c r="R824" i="3"/>
  <c r="Q1443" i="3"/>
  <c r="R1443" i="3"/>
  <c r="Q1444" i="3"/>
  <c r="R1444" i="3"/>
  <c r="Q1440" i="3"/>
  <c r="R1440" i="3"/>
  <c r="Q1838" i="3"/>
  <c r="R1838" i="3"/>
  <c r="Q1414" i="3"/>
  <c r="R1414" i="3"/>
  <c r="Q1662" i="3"/>
  <c r="R1662" i="3"/>
  <c r="Q1678" i="3"/>
  <c r="R1678" i="3"/>
  <c r="Q1774" i="3"/>
  <c r="R1774" i="3"/>
  <c r="Q1405" i="3"/>
  <c r="R1405" i="3"/>
  <c r="Q1771" i="3"/>
  <c r="R1771" i="3"/>
  <c r="Q1644" i="3"/>
  <c r="R1644" i="3"/>
  <c r="Q1813" i="3"/>
  <c r="R1813" i="3"/>
  <c r="Q1635" i="3"/>
  <c r="R1635" i="3"/>
  <c r="Q1712" i="3"/>
  <c r="R1712" i="3"/>
  <c r="Q1659" i="3"/>
  <c r="R1659" i="3"/>
  <c r="Q1633" i="3"/>
  <c r="R1633" i="3"/>
  <c r="Q1802" i="3"/>
  <c r="R1802" i="3"/>
  <c r="Q1639" i="3"/>
  <c r="R1639" i="3"/>
  <c r="Q1711" i="3"/>
  <c r="R1711" i="3"/>
  <c r="Q1830" i="3"/>
  <c r="R1830" i="3"/>
  <c r="Q1637" i="3"/>
  <c r="R1637" i="3"/>
  <c r="Q1638" i="3"/>
  <c r="R1638" i="3"/>
  <c r="Q1798" i="3"/>
  <c r="R1798" i="3"/>
  <c r="Q1685" i="3"/>
  <c r="R1685" i="3"/>
  <c r="Q143" i="3"/>
  <c r="R143" i="3"/>
  <c r="Q1658" i="3"/>
  <c r="R1658" i="3"/>
  <c r="Q1691" i="3"/>
  <c r="R1691" i="3"/>
  <c r="Q1786" i="3"/>
  <c r="R1786" i="3"/>
  <c r="Q1693" i="3"/>
  <c r="R1693" i="3"/>
  <c r="Q1697" i="3"/>
  <c r="R1697" i="3"/>
  <c r="Q1692" i="3"/>
  <c r="R1692" i="3"/>
  <c r="Q1696" i="3"/>
  <c r="R1696" i="3"/>
  <c r="Q1699" i="3"/>
  <c r="R1699" i="3"/>
  <c r="Q1708" i="3"/>
  <c r="R1708" i="3"/>
  <c r="Q1686" i="3"/>
  <c r="R1686" i="3"/>
  <c r="Q1677" i="3"/>
  <c r="R1677" i="3"/>
  <c r="Q1649" i="3"/>
  <c r="R1649" i="3"/>
  <c r="Q1647" i="3"/>
  <c r="R1647" i="3"/>
  <c r="Q1648" i="3"/>
  <c r="R1648" i="3"/>
  <c r="Q1655" i="3"/>
  <c r="R1655" i="3"/>
  <c r="Q1664" i="3"/>
  <c r="R1664" i="3"/>
  <c r="Q513" i="3"/>
  <c r="R513" i="3"/>
  <c r="Q1219" i="3"/>
  <c r="R1219" i="3"/>
  <c r="Q1484" i="3"/>
  <c r="R1484" i="3"/>
  <c r="Q1485" i="3"/>
  <c r="R1485" i="3"/>
  <c r="Q1487" i="3"/>
  <c r="R1487" i="3"/>
  <c r="Q1488" i="3"/>
  <c r="R1488" i="3"/>
  <c r="Q1489" i="3"/>
  <c r="R1489" i="3"/>
  <c r="Q1490" i="3"/>
  <c r="R1490" i="3"/>
  <c r="Q1491" i="3"/>
  <c r="R1491" i="3"/>
  <c r="Q1486" i="3"/>
  <c r="R1486" i="3"/>
  <c r="Q1492" i="3"/>
  <c r="R1492" i="3"/>
  <c r="Q1494" i="3"/>
  <c r="R1494" i="3"/>
  <c r="Q1496" i="3"/>
  <c r="R1496" i="3"/>
  <c r="Q48" i="3"/>
  <c r="R48" i="3"/>
  <c r="Q2417" i="3"/>
  <c r="R2417" i="3"/>
  <c r="Q1220" i="3"/>
  <c r="R1220" i="3"/>
  <c r="Q2425" i="3"/>
  <c r="R2425" i="3"/>
  <c r="Q1095" i="3"/>
  <c r="R1095" i="3"/>
  <c r="Q1596" i="3"/>
  <c r="R1596" i="3"/>
  <c r="Q1597" i="3"/>
  <c r="R1597" i="3"/>
  <c r="Q1598" i="3"/>
  <c r="R1598" i="3"/>
  <c r="Q1606" i="3"/>
  <c r="R1606" i="3"/>
  <c r="Q1599" i="3"/>
  <c r="R1599" i="3"/>
  <c r="Q1600" i="3"/>
  <c r="R1600" i="3"/>
  <c r="Q1620" i="3"/>
  <c r="R1620" i="3"/>
  <c r="Q1621" i="3"/>
  <c r="R1621" i="3"/>
  <c r="Q1622" i="3"/>
  <c r="R1622" i="3"/>
  <c r="Q1609" i="3"/>
  <c r="R1609" i="3"/>
  <c r="Q1610" i="3"/>
  <c r="R1610" i="3"/>
  <c r="Q1616" i="3"/>
  <c r="R1616" i="3"/>
  <c r="Q1607" i="3"/>
  <c r="R1607" i="3"/>
  <c r="Q1608" i="3"/>
  <c r="R1608" i="3"/>
  <c r="Q1604" i="3"/>
  <c r="R1604" i="3"/>
  <c r="Q1595" i="3"/>
  <c r="R1595" i="3"/>
  <c r="Q1601" i="3"/>
  <c r="R1601" i="3"/>
  <c r="Q1612" i="3"/>
  <c r="R1612" i="3"/>
  <c r="Q1613" i="3"/>
  <c r="R1613" i="3"/>
  <c r="Q1614" i="3"/>
  <c r="R1614" i="3"/>
  <c r="Q1615" i="3"/>
  <c r="R1615" i="3"/>
  <c r="Q1602" i="3"/>
  <c r="R1602" i="3"/>
  <c r="Q1603" i="3"/>
  <c r="R1603" i="3"/>
  <c r="Q1589" i="3"/>
  <c r="R1589" i="3"/>
  <c r="Q1590" i="3"/>
  <c r="R1590" i="3"/>
  <c r="Q1611" i="3"/>
  <c r="R1611" i="3"/>
  <c r="Q1617" i="3"/>
  <c r="R1617" i="3"/>
  <c r="Q1618" i="3"/>
  <c r="R1618" i="3"/>
  <c r="Q1619" i="3"/>
  <c r="R1619" i="3"/>
  <c r="Q1605" i="3"/>
  <c r="R1605" i="3"/>
  <c r="Q1591" i="3"/>
  <c r="R1591" i="3"/>
  <c r="Q1592" i="3"/>
  <c r="R1592" i="3"/>
  <c r="Q1593" i="3"/>
  <c r="R1593" i="3"/>
  <c r="Q1594" i="3"/>
  <c r="R1594" i="3"/>
  <c r="Q1624" i="3"/>
  <c r="R1624" i="3"/>
  <c r="Q1623" i="3"/>
  <c r="R1623" i="3"/>
  <c r="Q1625" i="3"/>
  <c r="R1625" i="3"/>
  <c r="Q1584" i="3"/>
  <c r="R1584" i="3"/>
  <c r="Q1585" i="3"/>
  <c r="R1585" i="3"/>
  <c r="Q1586" i="3"/>
  <c r="R1586" i="3"/>
  <c r="Q1587" i="3"/>
  <c r="R1587" i="3"/>
  <c r="Q1588" i="3"/>
  <c r="R1588" i="3"/>
  <c r="Q198" i="3"/>
  <c r="R198" i="3"/>
  <c r="Q203" i="3"/>
  <c r="R203" i="3"/>
  <c r="Q200" i="3"/>
  <c r="R200" i="3"/>
  <c r="Q201" i="3"/>
  <c r="R201" i="3"/>
  <c r="Q204" i="3"/>
  <c r="R204" i="3"/>
  <c r="Q205" i="3"/>
  <c r="R205" i="3"/>
  <c r="Q197" i="3"/>
  <c r="R197" i="3"/>
  <c r="Q199" i="3"/>
  <c r="R199" i="3"/>
  <c r="Q202" i="3"/>
  <c r="R202" i="3"/>
  <c r="Q1636" i="3"/>
  <c r="R1636" i="3"/>
  <c r="Q1114" i="3"/>
  <c r="R1114" i="3"/>
  <c r="Q24" i="3"/>
  <c r="R24" i="3"/>
  <c r="Q37" i="3"/>
  <c r="R37" i="3"/>
  <c r="Q38" i="3"/>
  <c r="R38" i="3"/>
  <c r="Q17" i="3"/>
  <c r="R17" i="3"/>
  <c r="Q22" i="3"/>
  <c r="R22" i="3"/>
  <c r="Q23" i="3"/>
  <c r="R23" i="3"/>
  <c r="Q41" i="3"/>
  <c r="R41" i="3"/>
  <c r="Q1382" i="3"/>
  <c r="R1382" i="3"/>
  <c r="Q1380" i="3"/>
  <c r="R1380" i="3"/>
  <c r="Q1379" i="3"/>
  <c r="R1379" i="3"/>
  <c r="Q1375" i="3"/>
  <c r="R1375" i="3"/>
  <c r="Q2410" i="3"/>
  <c r="R2410" i="3"/>
  <c r="Q1422" i="3"/>
  <c r="R1422" i="3"/>
  <c r="Q1420" i="3"/>
  <c r="R1420" i="3"/>
  <c r="Q1217" i="3"/>
  <c r="R1217" i="3"/>
  <c r="Q206" i="3"/>
  <c r="R206" i="3"/>
  <c r="Q2090" i="3"/>
  <c r="R2090" i="3"/>
  <c r="Q2091" i="3"/>
  <c r="R2091" i="3"/>
  <c r="Q2092" i="3"/>
  <c r="R2092" i="3"/>
  <c r="Q2106" i="3"/>
  <c r="R2106" i="3"/>
  <c r="Q2017" i="3"/>
  <c r="R2017" i="3"/>
  <c r="Q2080" i="3"/>
  <c r="R2080" i="3"/>
  <c r="Q2019" i="3"/>
  <c r="R2019" i="3"/>
  <c r="Q2028" i="3"/>
  <c r="R2028" i="3"/>
  <c r="Q2109" i="3"/>
  <c r="R2109" i="3"/>
  <c r="Q2110" i="3"/>
  <c r="R2110" i="3"/>
  <c r="Q2030" i="3"/>
  <c r="R2030" i="3"/>
  <c r="Q2097" i="3"/>
  <c r="R2097" i="3"/>
  <c r="Q2024" i="3"/>
  <c r="R2024" i="3"/>
  <c r="Q2025" i="3"/>
  <c r="R2025" i="3"/>
  <c r="Q2083" i="3"/>
  <c r="R2083" i="3"/>
  <c r="Q2023" i="3"/>
  <c r="R2023" i="3"/>
  <c r="Q2094" i="3"/>
  <c r="R2094" i="3"/>
  <c r="Q2020" i="3"/>
  <c r="R2020" i="3"/>
  <c r="Q2032" i="3"/>
  <c r="R2032" i="3"/>
  <c r="Q2033" i="3"/>
  <c r="R2033" i="3"/>
  <c r="Q2022" i="3"/>
  <c r="R2022" i="3"/>
  <c r="Q2082" i="3"/>
  <c r="R2082" i="3"/>
  <c r="Q2098" i="3"/>
  <c r="R2098" i="3"/>
  <c r="Q2081" i="3"/>
  <c r="R2081" i="3"/>
  <c r="Q2088" i="3"/>
  <c r="R2088" i="3"/>
  <c r="Q2089" i="3"/>
  <c r="R2089" i="3"/>
  <c r="Q2026" i="3"/>
  <c r="R2026" i="3"/>
  <c r="Q2031" i="3"/>
  <c r="R2031" i="3"/>
  <c r="Q2040" i="3"/>
  <c r="R2040" i="3"/>
  <c r="Q2021" i="3"/>
  <c r="R2021" i="3"/>
  <c r="Q2045" i="3"/>
  <c r="R2045" i="3"/>
  <c r="Q2049" i="3"/>
  <c r="R2049" i="3"/>
  <c r="Q2050" i="3"/>
  <c r="R2050" i="3"/>
  <c r="Q2047" i="3"/>
  <c r="R2047" i="3"/>
  <c r="Q2044" i="3"/>
  <c r="R2044" i="3"/>
  <c r="Q2046" i="3"/>
  <c r="R2046" i="3"/>
  <c r="Q2041" i="3"/>
  <c r="R2041" i="3"/>
  <c r="Q2065" i="3"/>
  <c r="R2065" i="3"/>
  <c r="Q2079" i="3"/>
  <c r="R2079" i="3"/>
  <c r="Q2053" i="3"/>
  <c r="R2053" i="3"/>
  <c r="Q2054" i="3"/>
  <c r="R2054" i="3"/>
  <c r="Q2086" i="3"/>
  <c r="R2086" i="3"/>
  <c r="Q2084" i="3"/>
  <c r="R2084" i="3"/>
  <c r="Q2096" i="3"/>
  <c r="R2096" i="3"/>
  <c r="Q2095" i="3"/>
  <c r="R2095" i="3"/>
  <c r="Q2104" i="3"/>
  <c r="R2104" i="3"/>
  <c r="Q2099" i="3"/>
  <c r="R2099" i="3"/>
  <c r="Q2100" i="3"/>
  <c r="R2100" i="3"/>
  <c r="Q2102" i="3"/>
  <c r="R2102" i="3"/>
  <c r="Q2103" i="3"/>
  <c r="R2103" i="3"/>
  <c r="Q2101" i="3"/>
  <c r="R2101" i="3"/>
  <c r="Q2029" i="3"/>
  <c r="R2029" i="3"/>
  <c r="Q2107" i="3"/>
  <c r="R2107" i="3"/>
  <c r="Q2108" i="3"/>
  <c r="R2108" i="3"/>
  <c r="Q581" i="3"/>
  <c r="R581" i="3"/>
  <c r="Q1091" i="3"/>
  <c r="R1091" i="3"/>
  <c r="Q1106" i="3"/>
  <c r="R1106" i="3"/>
  <c r="Q168" i="3"/>
  <c r="R168" i="3"/>
  <c r="Q835" i="3"/>
  <c r="R835" i="3"/>
  <c r="Q1147" i="3"/>
  <c r="R1147" i="3"/>
  <c r="Q1161" i="3"/>
  <c r="R1161" i="3"/>
  <c r="Q1169" i="3"/>
  <c r="R1169" i="3"/>
  <c r="Q1170" i="3"/>
  <c r="R1170" i="3"/>
  <c r="Q1159" i="3"/>
  <c r="R1159" i="3"/>
  <c r="Q1120" i="3"/>
  <c r="R1120" i="3"/>
  <c r="Q1123" i="3"/>
  <c r="R1123" i="3"/>
  <c r="Q1122" i="3"/>
  <c r="R1122" i="3"/>
  <c r="Q1124" i="3"/>
  <c r="R1124" i="3"/>
  <c r="Q1133" i="3"/>
  <c r="R1133" i="3"/>
  <c r="Q1126" i="3"/>
  <c r="R1126" i="3"/>
  <c r="Q1127" i="3"/>
  <c r="R1127" i="3"/>
  <c r="Q1128" i="3"/>
  <c r="R1128" i="3"/>
  <c r="Q1125" i="3"/>
  <c r="R1125" i="3"/>
  <c r="Q1131" i="3"/>
  <c r="R1131" i="3"/>
  <c r="Q1119" i="3"/>
  <c r="R1119" i="3"/>
  <c r="Q1129" i="3"/>
  <c r="R1129" i="3"/>
  <c r="Q1130" i="3"/>
  <c r="R1130" i="3"/>
  <c r="Q1135" i="3"/>
  <c r="R1135" i="3"/>
  <c r="Q1121" i="3"/>
  <c r="R1121" i="3"/>
  <c r="Q1132" i="3"/>
  <c r="R1132" i="3"/>
  <c r="Q1136" i="3"/>
  <c r="R1136" i="3"/>
  <c r="Q1137" i="3"/>
  <c r="R1137" i="3"/>
  <c r="Q1138" i="3"/>
  <c r="R1138" i="3"/>
  <c r="Q1139" i="3"/>
  <c r="R1139" i="3"/>
  <c r="Q1145" i="3"/>
  <c r="R1145" i="3"/>
  <c r="Q1143" i="3"/>
  <c r="R1143" i="3"/>
  <c r="Q1157" i="3"/>
  <c r="R1157" i="3"/>
  <c r="Q1146" i="3"/>
  <c r="R1146" i="3"/>
  <c r="Q1148" i="3"/>
  <c r="R1148" i="3"/>
  <c r="Q1166" i="3"/>
  <c r="R1166" i="3"/>
  <c r="Q1167" i="3"/>
  <c r="R1167" i="3"/>
  <c r="Q1158" i="3"/>
  <c r="R1158" i="3"/>
  <c r="Q1149" i="3"/>
  <c r="R1149" i="3"/>
  <c r="Q1160" i="3"/>
  <c r="R1160" i="3"/>
  <c r="Q1156" i="3"/>
  <c r="R1156" i="3"/>
  <c r="Q1144" i="3"/>
  <c r="R1144" i="3"/>
  <c r="Q1142" i="3"/>
  <c r="R1142" i="3"/>
  <c r="Q1152" i="3"/>
  <c r="R1152" i="3"/>
  <c r="Q1154" i="3"/>
  <c r="R1154" i="3"/>
  <c r="Q1155" i="3"/>
  <c r="R1155" i="3"/>
  <c r="Q1141" i="3"/>
  <c r="R1141" i="3"/>
  <c r="Q1168" i="3"/>
  <c r="R1168" i="3"/>
  <c r="Q1150" i="3"/>
  <c r="R1150" i="3"/>
  <c r="Q1151" i="3"/>
  <c r="R1151" i="3"/>
  <c r="Q1153" i="3"/>
  <c r="R1153" i="3"/>
  <c r="Q1140" i="3"/>
  <c r="R1140" i="3"/>
  <c r="Q1162" i="3"/>
  <c r="R1162" i="3"/>
  <c r="Q1163" i="3"/>
  <c r="R1163" i="3"/>
  <c r="Q1164" i="3"/>
  <c r="R1164" i="3"/>
  <c r="Q1165" i="3"/>
  <c r="R1165" i="3"/>
  <c r="Q1213" i="3"/>
  <c r="R1213" i="3"/>
  <c r="Q1214" i="3"/>
  <c r="R1214" i="3"/>
  <c r="Q1212" i="3"/>
  <c r="R1212" i="3"/>
  <c r="Q507" i="3"/>
  <c r="R507" i="3"/>
  <c r="Q506" i="3"/>
  <c r="R506" i="3"/>
  <c r="Q1741" i="3"/>
  <c r="R1741" i="3"/>
  <c r="Q1722" i="3"/>
  <c r="R1722" i="3"/>
  <c r="Q1723" i="3"/>
  <c r="R1723" i="3"/>
  <c r="Q1726" i="3"/>
  <c r="R1726" i="3"/>
  <c r="Q1675" i="3"/>
  <c r="R1675" i="3"/>
  <c r="Q1676" i="3"/>
  <c r="R1676" i="3"/>
  <c r="Q1666" i="3"/>
  <c r="R1666" i="3"/>
  <c r="Q1657" i="3"/>
  <c r="R1657" i="3"/>
  <c r="Q1645" i="3"/>
  <c r="R1645" i="3"/>
  <c r="Q1663" i="3"/>
  <c r="R1663" i="3"/>
  <c r="Q1643" i="3"/>
  <c r="R1643" i="3"/>
  <c r="Q1665" i="3"/>
  <c r="R1665" i="3"/>
  <c r="Q1661" i="3"/>
  <c r="R1661" i="3"/>
  <c r="Q1668" i="3"/>
  <c r="R1668" i="3"/>
  <c r="Q1093" i="3"/>
  <c r="R1093" i="3"/>
  <c r="Q853" i="3"/>
  <c r="R853" i="3"/>
  <c r="Q838" i="3"/>
  <c r="R838" i="3"/>
  <c r="Q844" i="3"/>
  <c r="R844" i="3"/>
  <c r="Q512" i="3"/>
  <c r="R512" i="3"/>
  <c r="Q511" i="3"/>
  <c r="R511" i="3"/>
  <c r="Q7" i="3"/>
  <c r="R7" i="3"/>
  <c r="Q10" i="3"/>
  <c r="R10" i="3"/>
  <c r="Q1431" i="3"/>
  <c r="R1431" i="3"/>
  <c r="Q162" i="3"/>
  <c r="R162" i="3"/>
  <c r="Q1399" i="3"/>
  <c r="R1399" i="3"/>
  <c r="Q334" i="3"/>
  <c r="R334" i="3"/>
  <c r="Q1451" i="3"/>
  <c r="R1451" i="3"/>
  <c r="Q1430" i="3"/>
  <c r="R1430" i="3"/>
  <c r="Q1472" i="3"/>
  <c r="R1472" i="3"/>
  <c r="Q164" i="3"/>
  <c r="R164" i="3"/>
  <c r="Q1470" i="3"/>
  <c r="R1470" i="3"/>
  <c r="Q1714" i="3"/>
  <c r="R1714" i="3"/>
  <c r="Q51" i="3"/>
  <c r="R51" i="3"/>
  <c r="Q1107" i="3"/>
  <c r="R1107" i="3"/>
  <c r="Q1109" i="3"/>
  <c r="R1109" i="3"/>
  <c r="Q1105" i="3"/>
  <c r="R1105" i="3"/>
  <c r="Q1103" i="3"/>
  <c r="R1103" i="3"/>
  <c r="Q1104" i="3"/>
  <c r="R1104" i="3"/>
  <c r="Q1110" i="3"/>
  <c r="R1110" i="3"/>
  <c r="Q1102" i="3"/>
  <c r="R1102" i="3"/>
  <c r="Q1108" i="3"/>
  <c r="R1108" i="3"/>
  <c r="Q1111" i="3"/>
  <c r="R1111" i="3"/>
  <c r="Q1112" i="3"/>
  <c r="R1112" i="3"/>
  <c r="Q1441" i="3"/>
  <c r="R1441" i="3"/>
  <c r="Q1794" i="3"/>
  <c r="R1794" i="3"/>
  <c r="Q1792" i="3"/>
  <c r="R1792" i="3"/>
  <c r="Q1796" i="3"/>
  <c r="R1796" i="3"/>
  <c r="Q1797" i="3"/>
  <c r="R1797" i="3"/>
  <c r="Q49" i="3"/>
  <c r="R49" i="3"/>
  <c r="Q1381" i="3"/>
  <c r="R1381" i="3"/>
  <c r="Q1684" i="3"/>
  <c r="R1684" i="3"/>
  <c r="Q2396" i="3"/>
  <c r="R2396" i="3"/>
  <c r="Q2281" i="3"/>
  <c r="R2281" i="3"/>
  <c r="Q2397" i="3"/>
  <c r="R2397" i="3"/>
  <c r="Q2398" i="3"/>
  <c r="R2398" i="3"/>
  <c r="Q2399" i="3"/>
  <c r="R2399" i="3"/>
  <c r="Q2400" i="3"/>
  <c r="R2400" i="3"/>
  <c r="Q1098" i="3"/>
  <c r="R1098" i="3"/>
  <c r="Q1629" i="3"/>
  <c r="R1629" i="3"/>
  <c r="Q1628" i="3"/>
  <c r="R1628" i="3"/>
  <c r="Q1510" i="3"/>
  <c r="R1510" i="3"/>
  <c r="Q1520" i="3"/>
  <c r="R1520" i="3"/>
  <c r="Q1581" i="3"/>
  <c r="R1581" i="3"/>
  <c r="Q1116" i="3"/>
  <c r="R1116" i="3"/>
  <c r="Q1115" i="3"/>
  <c r="R1115" i="3"/>
  <c r="Q135" i="3"/>
  <c r="R135" i="3"/>
  <c r="Q1198" i="3"/>
  <c r="R1198" i="3"/>
  <c r="Q32" i="3"/>
  <c r="R32" i="3"/>
  <c r="Q31" i="3"/>
  <c r="R31" i="3"/>
  <c r="Q1822" i="3"/>
  <c r="R1822" i="3"/>
  <c r="Q526" i="3"/>
  <c r="R526" i="3"/>
  <c r="Q1709" i="3"/>
  <c r="R1709" i="3"/>
  <c r="Q1710" i="3"/>
  <c r="R1710" i="3"/>
  <c r="Q1568" i="3"/>
  <c r="R1568" i="3"/>
  <c r="M141" i="3"/>
  <c r="L141" i="3"/>
  <c r="K141" i="3"/>
  <c r="J141" i="3"/>
  <c r="M132" i="3"/>
  <c r="L132" i="3"/>
  <c r="K132" i="3"/>
  <c r="J132" i="3"/>
  <c r="M151" i="3"/>
  <c r="L151" i="3"/>
  <c r="K151" i="3"/>
  <c r="J151" i="3"/>
  <c r="M166" i="3"/>
  <c r="L166" i="3"/>
  <c r="K166" i="3"/>
  <c r="J166" i="3"/>
  <c r="M157" i="3"/>
  <c r="L157" i="3"/>
  <c r="K157" i="3"/>
  <c r="J157" i="3"/>
  <c r="M146" i="3"/>
  <c r="L146" i="3"/>
  <c r="K146" i="3"/>
  <c r="J146" i="3"/>
  <c r="M167" i="3"/>
  <c r="L167" i="3"/>
  <c r="K167" i="3"/>
  <c r="J167" i="3"/>
  <c r="M159" i="3"/>
  <c r="L159" i="3"/>
  <c r="K159" i="3"/>
  <c r="J159" i="3"/>
  <c r="M133" i="3"/>
  <c r="L133" i="3"/>
  <c r="K133" i="3"/>
  <c r="J133" i="3"/>
  <c r="M142" i="3"/>
  <c r="L142" i="3"/>
  <c r="K142" i="3"/>
  <c r="J142" i="3"/>
  <c r="M137" i="3"/>
  <c r="L137" i="3"/>
  <c r="K137" i="3"/>
  <c r="J137" i="3"/>
  <c r="M140" i="3"/>
  <c r="L140" i="3"/>
  <c r="K140" i="3"/>
  <c r="J140" i="3"/>
  <c r="M170" i="3"/>
  <c r="L170" i="3"/>
  <c r="K170" i="3"/>
  <c r="J170" i="3"/>
  <c r="M177" i="3"/>
  <c r="L177" i="3"/>
  <c r="K177" i="3"/>
  <c r="J177" i="3"/>
  <c r="M147" i="3"/>
  <c r="L147" i="3"/>
  <c r="K147" i="3"/>
  <c r="J147" i="3"/>
  <c r="M171" i="3"/>
  <c r="L171" i="3"/>
  <c r="K171" i="3"/>
  <c r="J171" i="3"/>
  <c r="M161" i="3"/>
  <c r="L161" i="3"/>
  <c r="K161" i="3"/>
  <c r="J161" i="3"/>
  <c r="M172" i="3"/>
  <c r="L172" i="3"/>
  <c r="K172" i="3"/>
  <c r="J172" i="3"/>
  <c r="M169" i="3"/>
  <c r="L169" i="3"/>
  <c r="K169" i="3"/>
  <c r="J169" i="3"/>
  <c r="M175" i="3"/>
  <c r="L175" i="3"/>
  <c r="K175" i="3"/>
  <c r="J175" i="3"/>
  <c r="M156" i="3"/>
  <c r="L156" i="3"/>
  <c r="K156" i="3"/>
  <c r="J156" i="3"/>
  <c r="P156" i="3" l="1"/>
  <c r="P175" i="3"/>
  <c r="P169" i="3"/>
  <c r="P172" i="3"/>
  <c r="P161" i="3"/>
  <c r="P171" i="3"/>
  <c r="P147" i="3"/>
  <c r="P177" i="3"/>
  <c r="P170" i="3"/>
  <c r="P140" i="3"/>
  <c r="P137" i="3"/>
  <c r="P142" i="3"/>
  <c r="P133" i="3"/>
  <c r="P159" i="3"/>
  <c r="P167" i="3"/>
  <c r="P146" i="3"/>
  <c r="P157" i="3"/>
  <c r="P166" i="3"/>
  <c r="P151" i="3"/>
  <c r="P132" i="3"/>
  <c r="P141" i="3"/>
  <c r="Q45" i="3"/>
  <c r="R45" i="3"/>
  <c r="M232" i="3"/>
  <c r="L232" i="3"/>
  <c r="K232" i="3"/>
  <c r="J232" i="3"/>
  <c r="M274" i="3"/>
  <c r="L274" i="3"/>
  <c r="K274" i="3"/>
  <c r="J274" i="3"/>
  <c r="M810" i="3"/>
  <c r="L810" i="3"/>
  <c r="K810" i="3"/>
  <c r="J810" i="3"/>
  <c r="L735" i="108"/>
  <c r="K735" i="108"/>
  <c r="I735" i="108"/>
  <c r="M1445" i="3"/>
  <c r="L1445" i="3"/>
  <c r="K1445" i="3"/>
  <c r="P1445" i="3" s="1"/>
  <c r="J1445" i="3"/>
  <c r="L734" i="108"/>
  <c r="K734" i="108"/>
  <c r="I734" i="108"/>
  <c r="M2308" i="3"/>
  <c r="L2308" i="3"/>
  <c r="K2308" i="3"/>
  <c r="P2308" i="3" s="1"/>
  <c r="J2308" i="3"/>
  <c r="M2258" i="3"/>
  <c r="L2258" i="3"/>
  <c r="K2258" i="3"/>
  <c r="P2258" i="3" s="1"/>
  <c r="J2258" i="3"/>
  <c r="M1964" i="3"/>
  <c r="L1964" i="3"/>
  <c r="K1964" i="3"/>
  <c r="P1964" i="3" s="1"/>
  <c r="J1964" i="3"/>
  <c r="M1587" i="3"/>
  <c r="L1587" i="3"/>
  <c r="K1587" i="3"/>
  <c r="P1587" i="3" s="1"/>
  <c r="J1587" i="3"/>
  <c r="M2297" i="3"/>
  <c r="L2297" i="3"/>
  <c r="K2297" i="3"/>
  <c r="P2297" i="3" s="1"/>
  <c r="J2297" i="3"/>
  <c r="M1588" i="3"/>
  <c r="L1588" i="3"/>
  <c r="K1588" i="3"/>
  <c r="P1588" i="3" s="1"/>
  <c r="J1588" i="3"/>
  <c r="M2296" i="3"/>
  <c r="L2296" i="3"/>
  <c r="K2296" i="3"/>
  <c r="P2296" i="3" s="1"/>
  <c r="J2296" i="3"/>
  <c r="M2389" i="3"/>
  <c r="L2389" i="3"/>
  <c r="K2389" i="3"/>
  <c r="P2389" i="3" s="1"/>
  <c r="J2389" i="3"/>
  <c r="M1586" i="3"/>
  <c r="L1586" i="3"/>
  <c r="K1586" i="3"/>
  <c r="P1586" i="3" s="1"/>
  <c r="J1586" i="3"/>
  <c r="M2295" i="3"/>
  <c r="L2295" i="3"/>
  <c r="K2295" i="3"/>
  <c r="P2295" i="3" s="1"/>
  <c r="J2295" i="3"/>
  <c r="M1585" i="3"/>
  <c r="L1585" i="3"/>
  <c r="K1585" i="3"/>
  <c r="P1585" i="3" s="1"/>
  <c r="J1585" i="3"/>
  <c r="M2294" i="3"/>
  <c r="L2294" i="3"/>
  <c r="K2294" i="3"/>
  <c r="P2294" i="3" s="1"/>
  <c r="J2294" i="3"/>
  <c r="M1958" i="3"/>
  <c r="L1958" i="3"/>
  <c r="K1958" i="3"/>
  <c r="P1958" i="3" s="1"/>
  <c r="J1958" i="3"/>
  <c r="M2309" i="3"/>
  <c r="L2309" i="3"/>
  <c r="K2309" i="3"/>
  <c r="P2309" i="3" s="1"/>
  <c r="J2309" i="3"/>
  <c r="J1584" i="3"/>
  <c r="K1584" i="3"/>
  <c r="P1584" i="3" s="1"/>
  <c r="L1584" i="3"/>
  <c r="M1584" i="3"/>
  <c r="M2293" i="3"/>
  <c r="L2293" i="3"/>
  <c r="K2293" i="3"/>
  <c r="P2293" i="3" s="1"/>
  <c r="J2293" i="3"/>
  <c r="M1630" i="3"/>
  <c r="L1630" i="3"/>
  <c r="K1630" i="3"/>
  <c r="P1630" i="3" s="1"/>
  <c r="J1630" i="3"/>
  <c r="M2249" i="3"/>
  <c r="L2249" i="3"/>
  <c r="K2249" i="3"/>
  <c r="P2249" i="3" s="1"/>
  <c r="J2249" i="3"/>
  <c r="M2354" i="3"/>
  <c r="L2354" i="3"/>
  <c r="K2354" i="3"/>
  <c r="P2354" i="3" s="1"/>
  <c r="J2354" i="3"/>
  <c r="M602" i="3"/>
  <c r="L602" i="3"/>
  <c r="K602" i="3"/>
  <c r="J602" i="3"/>
  <c r="M1192" i="3"/>
  <c r="L1192" i="3"/>
  <c r="K1192" i="3"/>
  <c r="P1192" i="3" s="1"/>
  <c r="J1192" i="3"/>
  <c r="M1170" i="3"/>
  <c r="L1170" i="3"/>
  <c r="K1170" i="3"/>
  <c r="P1170" i="3" s="1"/>
  <c r="J1170" i="3"/>
  <c r="L732" i="108"/>
  <c r="K732" i="108"/>
  <c r="I732" i="108"/>
  <c r="M1356" i="3"/>
  <c r="L1356" i="3"/>
  <c r="K1356" i="3"/>
  <c r="P1356" i="3" s="1"/>
  <c r="J1356" i="3"/>
  <c r="M1330" i="3"/>
  <c r="L1330" i="3"/>
  <c r="K1330" i="3"/>
  <c r="P1330" i="3" s="1"/>
  <c r="J1330" i="3"/>
  <c r="M601" i="3"/>
  <c r="L601" i="3"/>
  <c r="K601" i="3"/>
  <c r="J601" i="3"/>
  <c r="M56" i="3"/>
  <c r="L56" i="3"/>
  <c r="K56" i="3"/>
  <c r="J56" i="3"/>
  <c r="J1486" i="3"/>
  <c r="K1486" i="3"/>
  <c r="P1486" i="3" s="1"/>
  <c r="L1486" i="3"/>
  <c r="M1486" i="3"/>
  <c r="M1408" i="3"/>
  <c r="L1408" i="3"/>
  <c r="K1408" i="3"/>
  <c r="P1408" i="3" s="1"/>
  <c r="J1408" i="3"/>
  <c r="M473" i="3"/>
  <c r="L473" i="3"/>
  <c r="K473" i="3"/>
  <c r="J473" i="3"/>
  <c r="M610" i="3"/>
  <c r="L610" i="3"/>
  <c r="K610" i="3"/>
  <c r="J610" i="3"/>
  <c r="M1421" i="3"/>
  <c r="L1421" i="3"/>
  <c r="K1421" i="3"/>
  <c r="P1421" i="3" s="1"/>
  <c r="J1421" i="3"/>
  <c r="M1242" i="3"/>
  <c r="L1242" i="3"/>
  <c r="K1242" i="3"/>
  <c r="P1242" i="3" s="1"/>
  <c r="J1242" i="3"/>
  <c r="M1295" i="3"/>
  <c r="L1295" i="3"/>
  <c r="K1295" i="3"/>
  <c r="P1295" i="3" s="1"/>
  <c r="J1295" i="3"/>
  <c r="M1169" i="3"/>
  <c r="L1169" i="3"/>
  <c r="K1169" i="3"/>
  <c r="P1169" i="3" s="1"/>
  <c r="J1169" i="3"/>
  <c r="M2004" i="3"/>
  <c r="L2004" i="3"/>
  <c r="K2004" i="3"/>
  <c r="P2004" i="3" s="1"/>
  <c r="J2004" i="3"/>
  <c r="M1355" i="3"/>
  <c r="L1355" i="3"/>
  <c r="K1355" i="3"/>
  <c r="P1355" i="3" s="1"/>
  <c r="J1355" i="3"/>
  <c r="M1957" i="3"/>
  <c r="L1957" i="3"/>
  <c r="K1957" i="3"/>
  <c r="P1957" i="3" s="1"/>
  <c r="J1957" i="3"/>
  <c r="J1248" i="3"/>
  <c r="K1248" i="3"/>
  <c r="P1248" i="3" s="1"/>
  <c r="L1248" i="3"/>
  <c r="M1248" i="3"/>
  <c r="J1323" i="3"/>
  <c r="K1323" i="3"/>
  <c r="P1323" i="3" s="1"/>
  <c r="L1323" i="3"/>
  <c r="M1323" i="3"/>
  <c r="M1161" i="3"/>
  <c r="L1161" i="3"/>
  <c r="K1161" i="3"/>
  <c r="P1161" i="3" s="1"/>
  <c r="J1161" i="3"/>
  <c r="J1147" i="3"/>
  <c r="K1147" i="3"/>
  <c r="P1147" i="3" s="1"/>
  <c r="L1147" i="3"/>
  <c r="M1147" i="3"/>
  <c r="J1686" i="3"/>
  <c r="K1686" i="3"/>
  <c r="P1686" i="3" s="1"/>
  <c r="L1686" i="3"/>
  <c r="M1686" i="3"/>
  <c r="M1547" i="3"/>
  <c r="L1547" i="3"/>
  <c r="K1547" i="3"/>
  <c r="P1547" i="3" s="1"/>
  <c r="J1547" i="3"/>
  <c r="J235" i="3"/>
  <c r="K235" i="3"/>
  <c r="L235" i="3"/>
  <c r="M235" i="3"/>
  <c r="J576" i="3"/>
  <c r="K576" i="3"/>
  <c r="L576" i="3"/>
  <c r="M576" i="3"/>
  <c r="J1451" i="3"/>
  <c r="K1451" i="3"/>
  <c r="P1451" i="3" s="1"/>
  <c r="L1451" i="3"/>
  <c r="M1451" i="3"/>
  <c r="J1579" i="3"/>
  <c r="K1579" i="3"/>
  <c r="P1579" i="3" s="1"/>
  <c r="L1579" i="3"/>
  <c r="M1579" i="3"/>
  <c r="M2008" i="3"/>
  <c r="L2008" i="3"/>
  <c r="K2008" i="3"/>
  <c r="P2008" i="3" s="1"/>
  <c r="J2008" i="3"/>
  <c r="M2256" i="3"/>
  <c r="L2256" i="3"/>
  <c r="K2256" i="3"/>
  <c r="P2256" i="3" s="1"/>
  <c r="J2256" i="3"/>
  <c r="J2273" i="3"/>
  <c r="K2273" i="3"/>
  <c r="P2273" i="3" s="1"/>
  <c r="L2273" i="3"/>
  <c r="M2273" i="3"/>
  <c r="M807" i="3"/>
  <c r="L807" i="3"/>
  <c r="K807" i="3"/>
  <c r="J807" i="3"/>
  <c r="L733" i="108"/>
  <c r="K733" i="108"/>
  <c r="I733" i="108"/>
  <c r="J1322" i="3"/>
  <c r="K1322" i="3"/>
  <c r="P1322" i="3" s="1"/>
  <c r="L1322" i="3"/>
  <c r="M1322" i="3"/>
  <c r="J1631" i="3"/>
  <c r="K1631" i="3"/>
  <c r="P1631" i="3" s="1"/>
  <c r="L1631" i="3"/>
  <c r="M1631" i="3"/>
  <c r="J10" i="3"/>
  <c r="K10" i="3"/>
  <c r="L10" i="3"/>
  <c r="M10" i="3"/>
  <c r="M806" i="3"/>
  <c r="L806" i="3"/>
  <c r="K806" i="3"/>
  <c r="J806" i="3"/>
  <c r="J1982" i="3"/>
  <c r="K1982" i="3"/>
  <c r="P1982" i="3" s="1"/>
  <c r="L1982" i="3"/>
  <c r="M1982" i="3"/>
  <c r="J68" i="3"/>
  <c r="K68" i="3"/>
  <c r="L68" i="3"/>
  <c r="M68" i="3"/>
  <c r="M809" i="3"/>
  <c r="L809" i="3"/>
  <c r="K809" i="3"/>
  <c r="J809" i="3"/>
  <c r="J1546" i="3"/>
  <c r="K1546" i="3"/>
  <c r="L1546" i="3"/>
  <c r="M1546" i="3"/>
  <c r="J406" i="3"/>
  <c r="K406" i="3"/>
  <c r="L406" i="3"/>
  <c r="M406" i="3"/>
  <c r="J808" i="3"/>
  <c r="K808" i="3"/>
  <c r="L808" i="3"/>
  <c r="M808" i="3"/>
  <c r="M208" i="3"/>
  <c r="L208" i="3"/>
  <c r="K208" i="3"/>
  <c r="J208" i="3"/>
  <c r="M211" i="3"/>
  <c r="L211" i="3"/>
  <c r="K211" i="3"/>
  <c r="J211" i="3"/>
  <c r="M207" i="3"/>
  <c r="L207" i="3"/>
  <c r="K207" i="3"/>
  <c r="J207" i="3"/>
  <c r="J212" i="3"/>
  <c r="K212" i="3"/>
  <c r="L212" i="3"/>
  <c r="M212" i="3"/>
  <c r="J1461" i="3"/>
  <c r="K1461" i="3"/>
  <c r="P1461" i="3" s="1"/>
  <c r="L1461" i="3"/>
  <c r="M1461" i="3"/>
  <c r="M2196" i="3"/>
  <c r="L2196" i="3"/>
  <c r="K2196" i="3"/>
  <c r="P2196" i="3" s="1"/>
  <c r="J2196" i="3"/>
  <c r="J1251" i="3"/>
  <c r="K1251" i="3"/>
  <c r="P1251" i="3" s="1"/>
  <c r="L1251" i="3"/>
  <c r="M1251" i="3"/>
  <c r="J1224" i="3"/>
  <c r="K1224" i="3"/>
  <c r="P1224" i="3" s="1"/>
  <c r="L1224" i="3"/>
  <c r="M1224" i="3"/>
  <c r="J1353" i="3"/>
  <c r="K1353" i="3"/>
  <c r="L1353" i="3"/>
  <c r="M1353" i="3"/>
  <c r="J2000" i="3"/>
  <c r="K2000" i="3"/>
  <c r="P2000" i="3" s="1"/>
  <c r="L2000" i="3"/>
  <c r="M2000" i="3"/>
  <c r="M2178" i="3"/>
  <c r="L2178" i="3"/>
  <c r="K2178" i="3"/>
  <c r="P2178" i="3" s="1"/>
  <c r="J2178" i="3"/>
  <c r="M2176" i="3"/>
  <c r="L2176" i="3"/>
  <c r="K2176" i="3"/>
  <c r="P2176" i="3" s="1"/>
  <c r="J2176" i="3"/>
  <c r="M1276" i="3"/>
  <c r="L1276" i="3"/>
  <c r="K1276" i="3"/>
  <c r="P1276" i="3" s="1"/>
  <c r="J1276" i="3"/>
  <c r="M1335" i="3"/>
  <c r="L1335" i="3"/>
  <c r="K1335" i="3"/>
  <c r="P1335" i="3" s="1"/>
  <c r="J1335" i="3"/>
  <c r="M1271" i="3"/>
  <c r="L1271" i="3"/>
  <c r="K1271" i="3"/>
  <c r="P1271" i="3" s="1"/>
  <c r="J1271" i="3"/>
  <c r="J1558" i="3"/>
  <c r="K1558" i="3"/>
  <c r="P1558" i="3" s="1"/>
  <c r="L1558" i="3"/>
  <c r="M1558" i="3"/>
  <c r="J1270" i="3"/>
  <c r="K1270" i="3"/>
  <c r="P1270" i="3" s="1"/>
  <c r="L1270" i="3"/>
  <c r="M1270" i="3"/>
  <c r="J1338" i="3"/>
  <c r="K1338" i="3"/>
  <c r="L1338" i="3"/>
  <c r="M1338" i="3"/>
  <c r="J2199" i="3"/>
  <c r="K2199" i="3"/>
  <c r="L2199" i="3"/>
  <c r="M2199" i="3"/>
  <c r="M1296" i="3"/>
  <c r="L1296" i="3"/>
  <c r="K1296" i="3"/>
  <c r="P1296" i="3" s="1"/>
  <c r="J1296" i="3"/>
  <c r="P808" i="3" l="1"/>
  <c r="P602" i="3"/>
  <c r="P807" i="3"/>
  <c r="P610" i="3"/>
  <c r="P601" i="3"/>
  <c r="P809" i="3"/>
  <c r="P806" i="3"/>
  <c r="P576" i="3"/>
  <c r="P810" i="3"/>
  <c r="P211" i="3"/>
  <c r="P208" i="3"/>
  <c r="P212" i="3"/>
  <c r="P68" i="3"/>
  <c r="P10" i="3"/>
  <c r="P473" i="3"/>
  <c r="P56" i="3"/>
  <c r="P207" i="3"/>
  <c r="P235" i="3"/>
  <c r="P274" i="3"/>
  <c r="P232" i="3"/>
  <c r="P2199" i="3"/>
  <c r="P1338" i="3"/>
  <c r="P1353" i="3"/>
  <c r="P406" i="3"/>
  <c r="P1546" i="3"/>
  <c r="L301" i="108"/>
  <c r="K301" i="108"/>
  <c r="J301" i="108"/>
  <c r="I301" i="108"/>
  <c r="I297" i="108"/>
  <c r="J297" i="108"/>
  <c r="K297" i="108"/>
  <c r="L297" i="108"/>
  <c r="I298" i="108"/>
  <c r="J298" i="108"/>
  <c r="K298" i="108"/>
  <c r="L298" i="108"/>
  <c r="I321" i="108"/>
  <c r="K321" i="108"/>
  <c r="L321" i="108"/>
  <c r="L322" i="108"/>
  <c r="K322" i="108"/>
  <c r="I322" i="108"/>
  <c r="L730" i="108"/>
  <c r="K730" i="108"/>
  <c r="I730" i="108"/>
  <c r="L729" i="108"/>
  <c r="K729" i="108"/>
  <c r="I729" i="108"/>
  <c r="L745" i="108"/>
  <c r="K745" i="108"/>
  <c r="I745" i="108"/>
  <c r="L746" i="108"/>
  <c r="K746" i="108"/>
  <c r="I746" i="108"/>
  <c r="I736" i="108"/>
  <c r="K736" i="108"/>
  <c r="L736" i="108"/>
  <c r="I744" i="108"/>
  <c r="K744" i="108"/>
  <c r="L744" i="108"/>
  <c r="I743" i="108"/>
  <c r="K743" i="108"/>
  <c r="L743" i="108"/>
  <c r="J322" i="108"/>
  <c r="J730" i="108"/>
  <c r="J729" i="108"/>
  <c r="J745" i="108"/>
  <c r="J746" i="108"/>
  <c r="J321" i="108"/>
  <c r="J733" i="108"/>
  <c r="J732" i="108"/>
  <c r="J736" i="108"/>
  <c r="J744" i="108"/>
  <c r="J743" i="108"/>
  <c r="J734" i="108"/>
  <c r="J735" i="108"/>
  <c r="M1444" i="3"/>
  <c r="L1444" i="3"/>
  <c r="K1444" i="3"/>
  <c r="P1444" i="3" s="1"/>
  <c r="J1444" i="3"/>
  <c r="M1440" i="3"/>
  <c r="L1440" i="3"/>
  <c r="K1440" i="3"/>
  <c r="P1440" i="3" s="1"/>
  <c r="J1440" i="3"/>
  <c r="J1409" i="3" l="1"/>
  <c r="K1409" i="3"/>
  <c r="L1409" i="3"/>
  <c r="M1409" i="3"/>
  <c r="J1418" i="3"/>
  <c r="K1418" i="3"/>
  <c r="P1418" i="3" s="1"/>
  <c r="L1418" i="3"/>
  <c r="M1418" i="3"/>
  <c r="J1437" i="3"/>
  <c r="K1437" i="3"/>
  <c r="L1437" i="3"/>
  <c r="M1437" i="3"/>
  <c r="J1382" i="3"/>
  <c r="K1382" i="3"/>
  <c r="L1382" i="3"/>
  <c r="M1382" i="3"/>
  <c r="J1379" i="3"/>
  <c r="K1379" i="3"/>
  <c r="L1379" i="3"/>
  <c r="M1379" i="3"/>
  <c r="J1375" i="3"/>
  <c r="K1375" i="3"/>
  <c r="L1375" i="3"/>
  <c r="M1375" i="3"/>
  <c r="J1380" i="3"/>
  <c r="K1380" i="3"/>
  <c r="L1380" i="3"/>
  <c r="M1380" i="3"/>
  <c r="J1387" i="3"/>
  <c r="K1387" i="3"/>
  <c r="L1387" i="3"/>
  <c r="M1387" i="3"/>
  <c r="J1389" i="3"/>
  <c r="K1389" i="3"/>
  <c r="P1389" i="3" s="1"/>
  <c r="L1389" i="3"/>
  <c r="M1389" i="3"/>
  <c r="J1386" i="3"/>
  <c r="K1386" i="3"/>
  <c r="P1386" i="3" s="1"/>
  <c r="L1386" i="3"/>
  <c r="M1386" i="3"/>
  <c r="J1456" i="3"/>
  <c r="K1456" i="3"/>
  <c r="P1456" i="3" s="1"/>
  <c r="L1456" i="3"/>
  <c r="M1456" i="3"/>
  <c r="J1434" i="3"/>
  <c r="K1434" i="3"/>
  <c r="P1434" i="3" s="1"/>
  <c r="L1434" i="3"/>
  <c r="M1434" i="3"/>
  <c r="P1387" i="3" l="1"/>
  <c r="P1375" i="3"/>
  <c r="P1379" i="3"/>
  <c r="P1382" i="3"/>
  <c r="P1437" i="3"/>
  <c r="P1409" i="3"/>
  <c r="P1380" i="3"/>
  <c r="L274" i="108"/>
  <c r="K274" i="108"/>
  <c r="J274" i="108"/>
  <c r="I274" i="108"/>
  <c r="J1713" i="3"/>
  <c r="K1713" i="3"/>
  <c r="L1713" i="3"/>
  <c r="M1713" i="3"/>
  <c r="P1713" i="3" l="1"/>
  <c r="J829" i="3"/>
  <c r="K829" i="3"/>
  <c r="L829" i="3"/>
  <c r="M829" i="3"/>
  <c r="P829" i="3" l="1"/>
  <c r="J2026" i="3"/>
  <c r="K2026" i="3"/>
  <c r="P2026" i="3" s="1"/>
  <c r="L2026" i="3"/>
  <c r="M2026" i="3"/>
  <c r="J2032" i="3"/>
  <c r="K2032" i="3"/>
  <c r="P2032" i="3" s="1"/>
  <c r="L2032" i="3"/>
  <c r="M2032" i="3"/>
  <c r="J1554" i="3"/>
  <c r="K1554" i="3"/>
  <c r="P1554" i="3" s="1"/>
  <c r="L1554" i="3"/>
  <c r="M1554" i="3"/>
  <c r="J511" i="3"/>
  <c r="K511" i="3"/>
  <c r="L511" i="3"/>
  <c r="M511" i="3"/>
  <c r="J2408" i="3"/>
  <c r="K2408" i="3"/>
  <c r="P2408" i="3" s="1"/>
  <c r="L2408" i="3"/>
  <c r="M2408" i="3"/>
  <c r="J572" i="3"/>
  <c r="K572" i="3"/>
  <c r="L572" i="3"/>
  <c r="M572" i="3"/>
  <c r="P572" i="3" l="1"/>
  <c r="P511" i="3"/>
  <c r="L432" i="108"/>
  <c r="K432" i="108"/>
  <c r="I432" i="108"/>
  <c r="J432" i="108"/>
  <c r="J1814" i="3"/>
  <c r="K1814" i="3"/>
  <c r="P1814" i="3" s="1"/>
  <c r="L1814" i="3"/>
  <c r="M1814" i="3"/>
  <c r="J1055" i="3" l="1"/>
  <c r="K1055" i="3"/>
  <c r="P1055" i="3" s="1"/>
  <c r="L1055" i="3"/>
  <c r="M1055" i="3"/>
  <c r="J1166" i="3" l="1"/>
  <c r="K1166" i="3"/>
  <c r="P1166" i="3" s="1"/>
  <c r="L1166" i="3"/>
  <c r="M1166" i="3"/>
  <c r="K273" i="3" l="1"/>
  <c r="L273" i="3"/>
  <c r="M273" i="3"/>
  <c r="K247" i="3"/>
  <c r="L247" i="3"/>
  <c r="M247" i="3"/>
  <c r="K314" i="3"/>
  <c r="L314" i="3"/>
  <c r="M314" i="3"/>
  <c r="P247" i="3" l="1"/>
  <c r="P273" i="3"/>
  <c r="P314" i="3"/>
  <c r="J297" i="3"/>
  <c r="K297" i="3"/>
  <c r="L297" i="3"/>
  <c r="M297" i="3"/>
  <c r="J256" i="3"/>
  <c r="K256" i="3"/>
  <c r="L256" i="3"/>
  <c r="M256" i="3"/>
  <c r="J257" i="3"/>
  <c r="K257" i="3"/>
  <c r="L257" i="3"/>
  <c r="M257" i="3"/>
  <c r="J1639" i="3"/>
  <c r="K1639" i="3"/>
  <c r="L1639" i="3"/>
  <c r="M1639" i="3"/>
  <c r="P257" i="3" l="1"/>
  <c r="P256" i="3"/>
  <c r="P297" i="3"/>
  <c r="P1639" i="3"/>
  <c r="M1466" i="3"/>
  <c r="L1466" i="3"/>
  <c r="K1466" i="3"/>
  <c r="P1466" i="3" s="1"/>
  <c r="J1466" i="3"/>
  <c r="M1423" i="3"/>
  <c r="L1423" i="3"/>
  <c r="K1423" i="3"/>
  <c r="P1423" i="3" s="1"/>
  <c r="J1423" i="3"/>
  <c r="M1397" i="3"/>
  <c r="L1397" i="3"/>
  <c r="K1397" i="3"/>
  <c r="P1397" i="3" s="1"/>
  <c r="J1397" i="3"/>
  <c r="M898" i="3" l="1"/>
  <c r="L898" i="3"/>
  <c r="K898" i="3"/>
  <c r="J898" i="3"/>
  <c r="M879" i="3"/>
  <c r="L879" i="3"/>
  <c r="K879" i="3"/>
  <c r="J879" i="3"/>
  <c r="M1636" i="3"/>
  <c r="L1636" i="3"/>
  <c r="K1636" i="3"/>
  <c r="P1636" i="3" s="1"/>
  <c r="J1636" i="3"/>
  <c r="M1065" i="3"/>
  <c r="L1065" i="3"/>
  <c r="K1065" i="3"/>
  <c r="P1065" i="3" s="1"/>
  <c r="J1065" i="3"/>
  <c r="M1662" i="3"/>
  <c r="L1662" i="3"/>
  <c r="K1662" i="3"/>
  <c r="P1662" i="3" s="1"/>
  <c r="J1662" i="3"/>
  <c r="M1774" i="3"/>
  <c r="L1774" i="3"/>
  <c r="K1774" i="3"/>
  <c r="P1774" i="3" s="1"/>
  <c r="J1774" i="3"/>
  <c r="L667" i="108"/>
  <c r="K667" i="108"/>
  <c r="I667" i="108"/>
  <c r="P879" i="3" l="1"/>
  <c r="P898" i="3"/>
  <c r="J667" i="108"/>
  <c r="M248" i="3"/>
  <c r="L248" i="3"/>
  <c r="K248" i="3"/>
  <c r="M1828" i="3"/>
  <c r="L1828" i="3"/>
  <c r="K1828" i="3"/>
  <c r="P1828" i="3" s="1"/>
  <c r="J1828" i="3"/>
  <c r="M1825" i="3"/>
  <c r="L1825" i="3"/>
  <c r="K1825" i="3"/>
  <c r="P1825" i="3" s="1"/>
  <c r="J1825" i="3"/>
  <c r="M1826" i="3"/>
  <c r="L1826" i="3"/>
  <c r="K1826" i="3"/>
  <c r="P1826" i="3" s="1"/>
  <c r="J1826" i="3"/>
  <c r="M1827" i="3"/>
  <c r="L1827" i="3"/>
  <c r="K1827" i="3"/>
  <c r="P1827" i="3" s="1"/>
  <c r="J1827" i="3"/>
  <c r="M1066" i="3"/>
  <c r="L1066" i="3"/>
  <c r="K1066" i="3"/>
  <c r="P1066" i="3" s="1"/>
  <c r="J1066" i="3"/>
  <c r="M249" i="3"/>
  <c r="L249" i="3"/>
  <c r="K249" i="3"/>
  <c r="J249" i="3"/>
  <c r="M1181" i="3"/>
  <c r="L1181" i="3"/>
  <c r="K1181" i="3"/>
  <c r="P1181" i="3" s="1"/>
  <c r="J1181" i="3"/>
  <c r="M2198" i="3"/>
  <c r="L2198" i="3"/>
  <c r="K2198" i="3"/>
  <c r="P2198" i="3" s="1"/>
  <c r="J2198" i="3"/>
  <c r="M1347" i="3"/>
  <c r="L1347" i="3"/>
  <c r="K1347" i="3"/>
  <c r="P1347" i="3" s="1"/>
  <c r="J1347" i="3"/>
  <c r="M1644" i="3"/>
  <c r="L1644" i="3"/>
  <c r="K1644" i="3"/>
  <c r="P1644" i="3" s="1"/>
  <c r="J1644" i="3"/>
  <c r="J1771" i="3"/>
  <c r="K1771" i="3"/>
  <c r="P1771" i="3" s="1"/>
  <c r="L1771" i="3"/>
  <c r="M1771" i="3"/>
  <c r="M860" i="3"/>
  <c r="L860" i="3"/>
  <c r="K860" i="3"/>
  <c r="J860" i="3"/>
  <c r="M693" i="3"/>
  <c r="L693" i="3"/>
  <c r="K693" i="3"/>
  <c r="J693" i="3"/>
  <c r="M812" i="3"/>
  <c r="L812" i="3"/>
  <c r="K812" i="3"/>
  <c r="J812" i="3"/>
  <c r="M1136" i="3"/>
  <c r="L1136" i="3"/>
  <c r="K1136" i="3"/>
  <c r="P1136" i="3" s="1"/>
  <c r="J1136" i="3"/>
  <c r="M362" i="3"/>
  <c r="L362" i="3"/>
  <c r="K362" i="3"/>
  <c r="P362" i="3" s="1"/>
  <c r="J362" i="3"/>
  <c r="M20" i="3"/>
  <c r="L20" i="3"/>
  <c r="K20" i="3"/>
  <c r="J20" i="3"/>
  <c r="M444" i="3"/>
  <c r="L444" i="3"/>
  <c r="K444" i="3"/>
  <c r="J444" i="3"/>
  <c r="M1042" i="3"/>
  <c r="L1042" i="3"/>
  <c r="K1042" i="3"/>
  <c r="P1042" i="3" s="1"/>
  <c r="J1042" i="3"/>
  <c r="M79" i="3"/>
  <c r="L79" i="3"/>
  <c r="K79" i="3"/>
  <c r="J79" i="3"/>
  <c r="M113" i="3"/>
  <c r="L113" i="3"/>
  <c r="K113" i="3"/>
  <c r="J113" i="3"/>
  <c r="M1412" i="3"/>
  <c r="L1412" i="3"/>
  <c r="K1412" i="3"/>
  <c r="P1412" i="3" s="1"/>
  <c r="J1412" i="3"/>
  <c r="M1354" i="3"/>
  <c r="L1354" i="3"/>
  <c r="K1354" i="3"/>
  <c r="P1354" i="3" s="1"/>
  <c r="J1354" i="3"/>
  <c r="M411" i="3"/>
  <c r="L411" i="3"/>
  <c r="K411" i="3"/>
  <c r="J411" i="3"/>
  <c r="M1392" i="3"/>
  <c r="L1392" i="3"/>
  <c r="K1392" i="3"/>
  <c r="P1392" i="3" s="1"/>
  <c r="J1392" i="3"/>
  <c r="M574" i="3"/>
  <c r="L574" i="3"/>
  <c r="K574" i="3"/>
  <c r="J574" i="3"/>
  <c r="M1393" i="3"/>
  <c r="L1393" i="3"/>
  <c r="K1393" i="3"/>
  <c r="P1393" i="3" s="1"/>
  <c r="J1393" i="3"/>
  <c r="M96" i="3"/>
  <c r="L96" i="3"/>
  <c r="K96" i="3"/>
  <c r="J96" i="3"/>
  <c r="M1089" i="3"/>
  <c r="L1089" i="3"/>
  <c r="K1089" i="3"/>
  <c r="P1089" i="3" s="1"/>
  <c r="J1089" i="3"/>
  <c r="M573" i="3"/>
  <c r="L573" i="3"/>
  <c r="K573" i="3"/>
  <c r="J573" i="3"/>
  <c r="M1450" i="3"/>
  <c r="L1450" i="3"/>
  <c r="K1450" i="3"/>
  <c r="P1450" i="3" s="1"/>
  <c r="J1450" i="3"/>
  <c r="M2212" i="3"/>
  <c r="L2212" i="3"/>
  <c r="K2212" i="3"/>
  <c r="P2212" i="3" s="1"/>
  <c r="J2212" i="3"/>
  <c r="M21" i="3"/>
  <c r="L21" i="3"/>
  <c r="K21" i="3"/>
  <c r="J21" i="3"/>
  <c r="M1633" i="3"/>
  <c r="L1633" i="3"/>
  <c r="K1633" i="3"/>
  <c r="P1633" i="3" s="1"/>
  <c r="J1633" i="3"/>
  <c r="M1137" i="3"/>
  <c r="L1137" i="3"/>
  <c r="K1137" i="3"/>
  <c r="P1137" i="3" s="1"/>
  <c r="J1137" i="3"/>
  <c r="M2136" i="3"/>
  <c r="L2136" i="3"/>
  <c r="K2136" i="3"/>
  <c r="P2136" i="3" s="1"/>
  <c r="J2136" i="3"/>
  <c r="M1802" i="3"/>
  <c r="L1802" i="3"/>
  <c r="K1802" i="3"/>
  <c r="P1802" i="3" s="1"/>
  <c r="J1802" i="3"/>
  <c r="M2130" i="3"/>
  <c r="L2130" i="3"/>
  <c r="K2130" i="3"/>
  <c r="P2130" i="3" s="1"/>
  <c r="J2130" i="3"/>
  <c r="M2173" i="3"/>
  <c r="L2173" i="3"/>
  <c r="K2173" i="3"/>
  <c r="P2173" i="3" s="1"/>
  <c r="J2173" i="3"/>
  <c r="M1841" i="3"/>
  <c r="L1841" i="3"/>
  <c r="K1841" i="3"/>
  <c r="P1841" i="3" s="1"/>
  <c r="J1841" i="3"/>
  <c r="M2162" i="3"/>
  <c r="L2162" i="3"/>
  <c r="K2162" i="3"/>
  <c r="P2162" i="3" s="1"/>
  <c r="J2162" i="3"/>
  <c r="M2401" i="3"/>
  <c r="L2401" i="3"/>
  <c r="K2401" i="3"/>
  <c r="P2401" i="3" s="1"/>
  <c r="J2401" i="3"/>
  <c r="M1624" i="3"/>
  <c r="L1624" i="3"/>
  <c r="K1624" i="3"/>
  <c r="P1624" i="3" s="1"/>
  <c r="J1624" i="3"/>
  <c r="M1429" i="3"/>
  <c r="L1429" i="3"/>
  <c r="K1429" i="3"/>
  <c r="P1429" i="3" s="1"/>
  <c r="J1429" i="3"/>
  <c r="M1138" i="3"/>
  <c r="L1138" i="3"/>
  <c r="K1138" i="3"/>
  <c r="P1138" i="3" s="1"/>
  <c r="J1138" i="3"/>
  <c r="M1783" i="3"/>
  <c r="L1783" i="3"/>
  <c r="K1783" i="3"/>
  <c r="P1783" i="3" s="1"/>
  <c r="J1783" i="3"/>
  <c r="M49" i="3"/>
  <c r="L49" i="3"/>
  <c r="K49" i="3"/>
  <c r="P49" i="3" s="1"/>
  <c r="J49" i="3"/>
  <c r="M1659" i="3"/>
  <c r="L1659" i="3"/>
  <c r="K1659" i="3"/>
  <c r="P1659" i="3" s="1"/>
  <c r="J1659" i="3"/>
  <c r="J1401" i="3"/>
  <c r="K1401" i="3"/>
  <c r="P1401" i="3" s="1"/>
  <c r="L1401" i="3"/>
  <c r="M1401" i="3"/>
  <c r="M114" i="3"/>
  <c r="L114" i="3"/>
  <c r="K114" i="3"/>
  <c r="J114" i="3"/>
  <c r="M102" i="3"/>
  <c r="L102" i="3"/>
  <c r="K102" i="3"/>
  <c r="J102" i="3"/>
  <c r="M227" i="3"/>
  <c r="L227" i="3"/>
  <c r="K227" i="3"/>
  <c r="P227" i="3" s="1"/>
  <c r="J227" i="3"/>
  <c r="M583" i="3"/>
  <c r="L583" i="3"/>
  <c r="K583" i="3"/>
  <c r="P583" i="3" s="1"/>
  <c r="J583" i="3"/>
  <c r="M2131" i="3"/>
  <c r="L2131" i="3"/>
  <c r="K2131" i="3"/>
  <c r="P2131" i="3" s="1"/>
  <c r="J2131" i="3"/>
  <c r="J822" i="3"/>
  <c r="K822" i="3"/>
  <c r="L822" i="3"/>
  <c r="M822" i="3"/>
  <c r="M1538" i="3"/>
  <c r="L1538" i="3"/>
  <c r="K1538" i="3"/>
  <c r="P1538" i="3" s="1"/>
  <c r="J1538" i="3"/>
  <c r="M103" i="3"/>
  <c r="L103" i="3"/>
  <c r="K103" i="3"/>
  <c r="J103" i="3"/>
  <c r="M220" i="3"/>
  <c r="L220" i="3"/>
  <c r="K220" i="3"/>
  <c r="P220" i="3" s="1"/>
  <c r="J220" i="3"/>
  <c r="M1427" i="3"/>
  <c r="L1427" i="3"/>
  <c r="K1427" i="3"/>
  <c r="P1427" i="3" s="1"/>
  <c r="J1427" i="3"/>
  <c r="M1711" i="3"/>
  <c r="L1711" i="3"/>
  <c r="K1711" i="3"/>
  <c r="P1711" i="3" s="1"/>
  <c r="J1711" i="3"/>
  <c r="M1798" i="3"/>
  <c r="L1798" i="3"/>
  <c r="K1798" i="3"/>
  <c r="P1798" i="3" s="1"/>
  <c r="J1798" i="3"/>
  <c r="M1537" i="3"/>
  <c r="L1537" i="3"/>
  <c r="K1537" i="3"/>
  <c r="P1537" i="3" s="1"/>
  <c r="J1537" i="3"/>
  <c r="J504" i="3"/>
  <c r="K504" i="3"/>
  <c r="L504" i="3"/>
  <c r="M504" i="3"/>
  <c r="J1712" i="3"/>
  <c r="K1712" i="3"/>
  <c r="P1712" i="3" s="1"/>
  <c r="L1712" i="3"/>
  <c r="M1712" i="3"/>
  <c r="J647" i="3"/>
  <c r="K647" i="3"/>
  <c r="L647" i="3"/>
  <c r="M647" i="3"/>
  <c r="J1108" i="3"/>
  <c r="K1108" i="3"/>
  <c r="P1108" i="3" s="1"/>
  <c r="L1108" i="3"/>
  <c r="M1108" i="3"/>
  <c r="I717" i="108"/>
  <c r="K717" i="108"/>
  <c r="L717" i="108"/>
  <c r="J1357" i="3"/>
  <c r="K1357" i="3"/>
  <c r="P1357" i="3" s="1"/>
  <c r="L1357" i="3"/>
  <c r="M1357" i="3"/>
  <c r="J1857" i="3"/>
  <c r="K1857" i="3"/>
  <c r="P1857" i="3" s="1"/>
  <c r="L1857" i="3"/>
  <c r="M1857" i="3"/>
  <c r="J941" i="3"/>
  <c r="K941" i="3"/>
  <c r="L941" i="3"/>
  <c r="M941" i="3"/>
  <c r="J1013" i="3"/>
  <c r="K1013" i="3"/>
  <c r="L1013" i="3"/>
  <c r="M1013" i="3"/>
  <c r="J966" i="3"/>
  <c r="K966" i="3"/>
  <c r="L966" i="3"/>
  <c r="M966" i="3"/>
  <c r="J1028" i="3"/>
  <c r="K1028" i="3"/>
  <c r="L1028" i="3"/>
  <c r="M1028" i="3"/>
  <c r="J903" i="3"/>
  <c r="K903" i="3"/>
  <c r="L903" i="3"/>
  <c r="M903" i="3"/>
  <c r="J900" i="3"/>
  <c r="K900" i="3"/>
  <c r="L900" i="3"/>
  <c r="M900" i="3"/>
  <c r="M1669" i="3"/>
  <c r="L1669" i="3"/>
  <c r="K1669" i="3"/>
  <c r="P1669" i="3" s="1"/>
  <c r="J1669" i="3"/>
  <c r="M407" i="3"/>
  <c r="L407" i="3"/>
  <c r="K407" i="3"/>
  <c r="J407" i="3"/>
  <c r="M186" i="3"/>
  <c r="L186" i="3"/>
  <c r="K186" i="3"/>
  <c r="P186" i="3" s="1"/>
  <c r="J186" i="3"/>
  <c r="J1400" i="3"/>
  <c r="K1400" i="3"/>
  <c r="P1400" i="3" s="1"/>
  <c r="L1400" i="3"/>
  <c r="M1400" i="3"/>
  <c r="M566" i="3"/>
  <c r="L566" i="3"/>
  <c r="K566" i="3"/>
  <c r="J566" i="3"/>
  <c r="M568" i="3"/>
  <c r="L568" i="3"/>
  <c r="K568" i="3"/>
  <c r="J568" i="3"/>
  <c r="J1545" i="3"/>
  <c r="K1545" i="3"/>
  <c r="P1545" i="3" s="1"/>
  <c r="L1545" i="3"/>
  <c r="M1545" i="3"/>
  <c r="J567" i="3"/>
  <c r="K567" i="3"/>
  <c r="L567" i="3"/>
  <c r="M567" i="3"/>
  <c r="J1531" i="3"/>
  <c r="K1531" i="3"/>
  <c r="P1531" i="3" s="1"/>
  <c r="L1531" i="3"/>
  <c r="M1531" i="3"/>
  <c r="M147" i="108" l="1"/>
  <c r="M151" i="108"/>
  <c r="M149" i="108"/>
  <c r="M150" i="108"/>
  <c r="M148" i="108"/>
  <c r="P900" i="3"/>
  <c r="P903" i="3"/>
  <c r="P1028" i="3"/>
  <c r="P966" i="3"/>
  <c r="P1013" i="3"/>
  <c r="P941" i="3"/>
  <c r="P568" i="3"/>
  <c r="P567" i="3"/>
  <c r="P573" i="3"/>
  <c r="P574" i="3"/>
  <c r="P812" i="3"/>
  <c r="P693" i="3"/>
  <c r="P860" i="3"/>
  <c r="P566" i="3"/>
  <c r="P647" i="3"/>
  <c r="P822" i="3"/>
  <c r="P248" i="3"/>
  <c r="P103" i="3"/>
  <c r="P102" i="3"/>
  <c r="P114" i="3"/>
  <c r="P21" i="3"/>
  <c r="P96" i="3"/>
  <c r="P411" i="3"/>
  <c r="P113" i="3"/>
  <c r="P79" i="3"/>
  <c r="P444" i="3"/>
  <c r="P20" i="3"/>
  <c r="P249" i="3"/>
  <c r="P407" i="3"/>
  <c r="P504" i="3"/>
  <c r="I296" i="108"/>
  <c r="J296" i="108"/>
  <c r="K296" i="108"/>
  <c r="L296" i="108"/>
  <c r="I715" i="108"/>
  <c r="K715" i="108"/>
  <c r="L715" i="108"/>
  <c r="L722" i="108"/>
  <c r="K722" i="108"/>
  <c r="I722" i="108"/>
  <c r="L720" i="108"/>
  <c r="K720" i="108"/>
  <c r="I720" i="108"/>
  <c r="L723" i="108"/>
  <c r="K723" i="108"/>
  <c r="I723" i="108"/>
  <c r="L716" i="108"/>
  <c r="K716" i="108"/>
  <c r="I716" i="108"/>
  <c r="L691" i="108"/>
  <c r="K691" i="108"/>
  <c r="I691" i="108"/>
  <c r="I721" i="108"/>
  <c r="K721" i="108"/>
  <c r="L721" i="108"/>
  <c r="L719" i="108"/>
  <c r="K719" i="108"/>
  <c r="I719" i="108"/>
  <c r="I724" i="108"/>
  <c r="K724" i="108"/>
  <c r="L724" i="108"/>
  <c r="I725" i="108"/>
  <c r="K725" i="108"/>
  <c r="L725" i="108"/>
  <c r="I727" i="108"/>
  <c r="K727" i="108"/>
  <c r="L727" i="108"/>
  <c r="I726" i="108"/>
  <c r="K726" i="108"/>
  <c r="L726" i="108"/>
  <c r="I708" i="108"/>
  <c r="K708" i="108"/>
  <c r="L708" i="108"/>
  <c r="J715" i="108"/>
  <c r="J721" i="108"/>
  <c r="J724" i="108"/>
  <c r="J725" i="108"/>
  <c r="J727" i="108"/>
  <c r="J726" i="108"/>
  <c r="J708" i="108"/>
  <c r="J716" i="108"/>
  <c r="J722" i="108"/>
  <c r="J720" i="108"/>
  <c r="J717" i="108"/>
  <c r="J723" i="108"/>
  <c r="J691" i="108"/>
  <c r="J719" i="108"/>
  <c r="J940" i="3"/>
  <c r="K940" i="3"/>
  <c r="L940" i="3"/>
  <c r="M940" i="3"/>
  <c r="J1012" i="3"/>
  <c r="K1012" i="3"/>
  <c r="L1012" i="3"/>
  <c r="M1012" i="3"/>
  <c r="J965" i="3"/>
  <c r="K965" i="3"/>
  <c r="L965" i="3"/>
  <c r="M965" i="3"/>
  <c r="J1020" i="3"/>
  <c r="K1020" i="3"/>
  <c r="L1020" i="3"/>
  <c r="M1020" i="3"/>
  <c r="J988" i="3"/>
  <c r="K988" i="3"/>
  <c r="L988" i="3"/>
  <c r="M988" i="3"/>
  <c r="J882" i="3"/>
  <c r="K882" i="3"/>
  <c r="L882" i="3"/>
  <c r="M882" i="3"/>
  <c r="M144" i="108" l="1"/>
  <c r="M146" i="108"/>
  <c r="M143" i="108"/>
  <c r="M145" i="108"/>
  <c r="M142" i="108"/>
  <c r="P882" i="3"/>
  <c r="P988" i="3"/>
  <c r="P1020" i="3"/>
  <c r="P965" i="3"/>
  <c r="P1012" i="3"/>
  <c r="P940" i="3"/>
  <c r="L711" i="108"/>
  <c r="K711" i="108"/>
  <c r="I711" i="108"/>
  <c r="J711" i="108"/>
  <c r="M531" i="3"/>
  <c r="L531" i="3"/>
  <c r="K531" i="3"/>
  <c r="J531" i="3"/>
  <c r="M691" i="3"/>
  <c r="L691" i="3"/>
  <c r="K691" i="3"/>
  <c r="J691" i="3"/>
  <c r="M91" i="3"/>
  <c r="L91" i="3"/>
  <c r="K91" i="3"/>
  <c r="J91" i="3"/>
  <c r="M1637" i="3"/>
  <c r="L1637" i="3"/>
  <c r="K1637" i="3"/>
  <c r="P1637" i="3" s="1"/>
  <c r="J1637" i="3"/>
  <c r="J596" i="3"/>
  <c r="K596" i="3"/>
  <c r="P596" i="3" s="1"/>
  <c r="L596" i="3"/>
  <c r="M596" i="3"/>
  <c r="M545" i="3"/>
  <c r="L545" i="3"/>
  <c r="K545" i="3"/>
  <c r="J545" i="3"/>
  <c r="M543" i="3"/>
  <c r="L543" i="3"/>
  <c r="K543" i="3"/>
  <c r="J543" i="3"/>
  <c r="M230" i="3"/>
  <c r="L230" i="3"/>
  <c r="K230" i="3"/>
  <c r="J230" i="3"/>
  <c r="M97" i="3"/>
  <c r="L97" i="3"/>
  <c r="K97" i="3"/>
  <c r="J97" i="3"/>
  <c r="M1813" i="3"/>
  <c r="L1813" i="3"/>
  <c r="K1813" i="3"/>
  <c r="P1813" i="3" s="1"/>
  <c r="J1813" i="3"/>
  <c r="J851" i="3"/>
  <c r="K851" i="3"/>
  <c r="L851" i="3"/>
  <c r="M851" i="3"/>
  <c r="J1665" i="3"/>
  <c r="K1665" i="3"/>
  <c r="P1665" i="3" s="1"/>
  <c r="L1665" i="3"/>
  <c r="M1665" i="3"/>
  <c r="J820" i="3"/>
  <c r="K820" i="3"/>
  <c r="L820" i="3"/>
  <c r="M820" i="3"/>
  <c r="M1638" i="3"/>
  <c r="L1638" i="3"/>
  <c r="K1638" i="3"/>
  <c r="P1638" i="3" s="1"/>
  <c r="J1638" i="3"/>
  <c r="M1830" i="3"/>
  <c r="L1830" i="3"/>
  <c r="K1830" i="3"/>
  <c r="P1830" i="3" s="1"/>
  <c r="J1830" i="3"/>
  <c r="J1635" i="3"/>
  <c r="K1635" i="3"/>
  <c r="P1635" i="3" s="1"/>
  <c r="L1635" i="3"/>
  <c r="M1635" i="3"/>
  <c r="J41" i="3"/>
  <c r="K41" i="3"/>
  <c r="L41" i="3"/>
  <c r="M41" i="3"/>
  <c r="J2402" i="3"/>
  <c r="K2402" i="3"/>
  <c r="P2402" i="3" s="1"/>
  <c r="L2402" i="3"/>
  <c r="M2402" i="3"/>
  <c r="J1102" i="3"/>
  <c r="K1102" i="3"/>
  <c r="P1102" i="3" s="1"/>
  <c r="L1102" i="3"/>
  <c r="M1102" i="3"/>
  <c r="J1521" i="3"/>
  <c r="K1521" i="3"/>
  <c r="P1521" i="3" s="1"/>
  <c r="L1521" i="3"/>
  <c r="M1521" i="3"/>
  <c r="M690" i="3"/>
  <c r="L690" i="3"/>
  <c r="K690" i="3"/>
  <c r="J690" i="3"/>
  <c r="J1064" i="3"/>
  <c r="K1064" i="3"/>
  <c r="P1064" i="3" s="1"/>
  <c r="L1064" i="3"/>
  <c r="M1064" i="3"/>
  <c r="M2156" i="3"/>
  <c r="L2156" i="3"/>
  <c r="K2156" i="3"/>
  <c r="P2156" i="3" s="1"/>
  <c r="J2156" i="3"/>
  <c r="J1321" i="3"/>
  <c r="K1321" i="3"/>
  <c r="P1321" i="3" s="1"/>
  <c r="L1321" i="3"/>
  <c r="M1321" i="3"/>
  <c r="M699" i="3"/>
  <c r="L699" i="3"/>
  <c r="K699" i="3"/>
  <c r="J699" i="3"/>
  <c r="M2168" i="3"/>
  <c r="L2168" i="3"/>
  <c r="K2168" i="3"/>
  <c r="P2168" i="3" s="1"/>
  <c r="J2168" i="3"/>
  <c r="M2182" i="3"/>
  <c r="L2182" i="3"/>
  <c r="K2182" i="3"/>
  <c r="P2182" i="3" s="1"/>
  <c r="J2182" i="3"/>
  <c r="J692" i="3"/>
  <c r="K692" i="3"/>
  <c r="L692" i="3"/>
  <c r="M692" i="3"/>
  <c r="J2164" i="3"/>
  <c r="K2164" i="3"/>
  <c r="P2164" i="3" s="1"/>
  <c r="L2164" i="3"/>
  <c r="M2164" i="3"/>
  <c r="J390" i="3"/>
  <c r="K390" i="3"/>
  <c r="L390" i="3"/>
  <c r="M390" i="3"/>
  <c r="J119" i="3"/>
  <c r="K119" i="3"/>
  <c r="L119" i="3"/>
  <c r="M119" i="3"/>
  <c r="J251" i="3"/>
  <c r="K251" i="3"/>
  <c r="L251" i="3"/>
  <c r="M251" i="3"/>
  <c r="M2031" i="3"/>
  <c r="L2031" i="3"/>
  <c r="K2031" i="3"/>
  <c r="P2031" i="3" s="1"/>
  <c r="J2031" i="3"/>
  <c r="M2010" i="3"/>
  <c r="L2010" i="3"/>
  <c r="K2010" i="3"/>
  <c r="P2010" i="3" s="1"/>
  <c r="J2010" i="3"/>
  <c r="J1916" i="3"/>
  <c r="K1916" i="3"/>
  <c r="P1916" i="3" s="1"/>
  <c r="L1916" i="3"/>
  <c r="M1916" i="3"/>
  <c r="P699" i="3" l="1"/>
  <c r="P690" i="3"/>
  <c r="P543" i="3"/>
  <c r="P545" i="3"/>
  <c r="P691" i="3"/>
  <c r="P531" i="3"/>
  <c r="P692" i="3"/>
  <c r="P820" i="3"/>
  <c r="P851" i="3"/>
  <c r="P97" i="3"/>
  <c r="P230" i="3"/>
  <c r="P91" i="3"/>
  <c r="P251" i="3"/>
  <c r="P119" i="3"/>
  <c r="P390" i="3"/>
  <c r="P41" i="3"/>
  <c r="L703" i="108"/>
  <c r="K703" i="108"/>
  <c r="I703" i="108"/>
  <c r="L698" i="108"/>
  <c r="K698" i="108"/>
  <c r="I698" i="108"/>
  <c r="L713" i="108"/>
  <c r="K713" i="108"/>
  <c r="I713" i="108"/>
  <c r="L701" i="108"/>
  <c r="K701" i="108"/>
  <c r="I701" i="108"/>
  <c r="I702" i="108"/>
  <c r="K702" i="108"/>
  <c r="L702" i="108"/>
  <c r="I699" i="108"/>
  <c r="K699" i="108"/>
  <c r="L699" i="108"/>
  <c r="L714" i="108"/>
  <c r="K714" i="108"/>
  <c r="I714" i="108"/>
  <c r="I712" i="108"/>
  <c r="K712" i="108"/>
  <c r="L712" i="108"/>
  <c r="L707" i="108"/>
  <c r="K707" i="108"/>
  <c r="I707" i="108"/>
  <c r="L710" i="108"/>
  <c r="K710" i="108"/>
  <c r="I710" i="108"/>
  <c r="L709" i="108"/>
  <c r="K709" i="108"/>
  <c r="I709" i="108"/>
  <c r="I700" i="108"/>
  <c r="K700" i="108"/>
  <c r="L700" i="108"/>
  <c r="I705" i="108"/>
  <c r="K705" i="108"/>
  <c r="L705" i="108"/>
  <c r="L706" i="108"/>
  <c r="K706" i="108"/>
  <c r="I706" i="108"/>
  <c r="J703" i="108"/>
  <c r="J698" i="108"/>
  <c r="J713" i="108"/>
  <c r="J701" i="108"/>
  <c r="J706" i="108"/>
  <c r="J714" i="108"/>
  <c r="J707" i="108"/>
  <c r="J710" i="108"/>
  <c r="J709" i="108"/>
  <c r="J702" i="108"/>
  <c r="J699" i="108"/>
  <c r="J712" i="108"/>
  <c r="J700" i="108"/>
  <c r="J705" i="108"/>
  <c r="M373" i="3"/>
  <c r="L373" i="3"/>
  <c r="K373" i="3"/>
  <c r="J373" i="3"/>
  <c r="M429" i="3"/>
  <c r="L429" i="3"/>
  <c r="K429" i="3"/>
  <c r="J429" i="3"/>
  <c r="M482" i="3"/>
  <c r="L482" i="3"/>
  <c r="K482" i="3"/>
  <c r="J482" i="3"/>
  <c r="M448" i="3"/>
  <c r="L448" i="3"/>
  <c r="K448" i="3"/>
  <c r="J448" i="3"/>
  <c r="M423" i="3"/>
  <c r="L423" i="3"/>
  <c r="K423" i="3"/>
  <c r="J423" i="3"/>
  <c r="M384" i="3"/>
  <c r="L384" i="3"/>
  <c r="K384" i="3"/>
  <c r="J384" i="3"/>
  <c r="M478" i="3"/>
  <c r="L478" i="3"/>
  <c r="K478" i="3"/>
  <c r="J478" i="3"/>
  <c r="M454" i="3"/>
  <c r="L454" i="3"/>
  <c r="K454" i="3"/>
  <c r="J454" i="3"/>
  <c r="M419" i="3"/>
  <c r="L419" i="3"/>
  <c r="K419" i="3"/>
  <c r="J419" i="3"/>
  <c r="M471" i="3"/>
  <c r="L471" i="3"/>
  <c r="K471" i="3"/>
  <c r="J471" i="3"/>
  <c r="P471" i="3" l="1"/>
  <c r="P419" i="3"/>
  <c r="P454" i="3"/>
  <c r="P478" i="3"/>
  <c r="P384" i="3"/>
  <c r="P423" i="3"/>
  <c r="P448" i="3"/>
  <c r="P482" i="3"/>
  <c r="P429" i="3"/>
  <c r="P373" i="3"/>
  <c r="M18" i="108"/>
  <c r="M24" i="108"/>
  <c r="I516" i="108"/>
  <c r="K516" i="108"/>
  <c r="L516" i="108"/>
  <c r="J516" i="108"/>
  <c r="M80" i="3"/>
  <c r="L80" i="3"/>
  <c r="K80" i="3"/>
  <c r="J80" i="3"/>
  <c r="J2046" i="3"/>
  <c r="K2046" i="3"/>
  <c r="P2046" i="3" s="1"/>
  <c r="L2046" i="3"/>
  <c r="M2046" i="3"/>
  <c r="J1465" i="3"/>
  <c r="K1465" i="3"/>
  <c r="P1465" i="3" s="1"/>
  <c r="L1465" i="3"/>
  <c r="M1465" i="3"/>
  <c r="J2044" i="3"/>
  <c r="K2044" i="3"/>
  <c r="P2044" i="3" s="1"/>
  <c r="L2044" i="3"/>
  <c r="M2044" i="3"/>
  <c r="J1552" i="3"/>
  <c r="K1552" i="3"/>
  <c r="P1552" i="3" s="1"/>
  <c r="L1552" i="3"/>
  <c r="M1552" i="3"/>
  <c r="M2095" i="3"/>
  <c r="L2095" i="3"/>
  <c r="K2095" i="3"/>
  <c r="P2095" i="3" s="1"/>
  <c r="J2095" i="3"/>
  <c r="M684" i="3"/>
  <c r="L684" i="3"/>
  <c r="K684" i="3"/>
  <c r="J684" i="3"/>
  <c r="M738" i="3"/>
  <c r="L738" i="3"/>
  <c r="K738" i="3"/>
  <c r="J738" i="3"/>
  <c r="M710" i="3"/>
  <c r="L710" i="3"/>
  <c r="K710" i="3"/>
  <c r="J710" i="3"/>
  <c r="M740" i="3"/>
  <c r="L740" i="3"/>
  <c r="K740" i="3"/>
  <c r="J740" i="3"/>
  <c r="M712" i="3"/>
  <c r="L712" i="3"/>
  <c r="K712" i="3"/>
  <c r="J712" i="3"/>
  <c r="M683" i="3"/>
  <c r="L683" i="3"/>
  <c r="K683" i="3"/>
  <c r="J683" i="3"/>
  <c r="M739" i="3"/>
  <c r="L739" i="3"/>
  <c r="K739" i="3"/>
  <c r="J739" i="3"/>
  <c r="M1449" i="3"/>
  <c r="L1449" i="3"/>
  <c r="K1449" i="3"/>
  <c r="P1449" i="3" s="1"/>
  <c r="J1449" i="3"/>
  <c r="M682" i="3"/>
  <c r="L682" i="3"/>
  <c r="K682" i="3"/>
  <c r="J682" i="3"/>
  <c r="M1222" i="3"/>
  <c r="L1222" i="3"/>
  <c r="K1222" i="3"/>
  <c r="P1222" i="3" s="1"/>
  <c r="J1222" i="3"/>
  <c r="J604" i="3"/>
  <c r="K604" i="3"/>
  <c r="L604" i="3"/>
  <c r="M604" i="3"/>
  <c r="J663" i="3"/>
  <c r="K663" i="3"/>
  <c r="L663" i="3"/>
  <c r="M663" i="3"/>
  <c r="J2378" i="3"/>
  <c r="K2378" i="3"/>
  <c r="P2378" i="3" s="1"/>
  <c r="L2378" i="3"/>
  <c r="M2378" i="3"/>
  <c r="J2379" i="3"/>
  <c r="K2379" i="3"/>
  <c r="P2379" i="3" s="1"/>
  <c r="L2379" i="3"/>
  <c r="M2379" i="3"/>
  <c r="M1623" i="3"/>
  <c r="L1623" i="3"/>
  <c r="K1623" i="3"/>
  <c r="P1623" i="3" s="1"/>
  <c r="J1623" i="3"/>
  <c r="M771" i="3"/>
  <c r="L771" i="3"/>
  <c r="K771" i="3"/>
  <c r="J771" i="3"/>
  <c r="M708" i="3"/>
  <c r="L708" i="3"/>
  <c r="K708" i="3"/>
  <c r="J708" i="3"/>
  <c r="M1452" i="3"/>
  <c r="L1452" i="3"/>
  <c r="K1452" i="3"/>
  <c r="P1452" i="3" s="1"/>
  <c r="J1452" i="3"/>
  <c r="M2279" i="3"/>
  <c r="L2279" i="3"/>
  <c r="K2279" i="3"/>
  <c r="P2279" i="3" s="1"/>
  <c r="J2279" i="3"/>
  <c r="M1594" i="3"/>
  <c r="L1594" i="3"/>
  <c r="K1594" i="3"/>
  <c r="P1594" i="3" s="1"/>
  <c r="J1594" i="3"/>
  <c r="M1593" i="3"/>
  <c r="L1593" i="3"/>
  <c r="K1593" i="3"/>
  <c r="P1593" i="3" s="1"/>
  <c r="J1593" i="3"/>
  <c r="J2414" i="3"/>
  <c r="K2414" i="3"/>
  <c r="P2414" i="3" s="1"/>
  <c r="L2414" i="3"/>
  <c r="M2414" i="3"/>
  <c r="M2278" i="3"/>
  <c r="L2278" i="3"/>
  <c r="K2278" i="3"/>
  <c r="P2278" i="3" s="1"/>
  <c r="J2278" i="3"/>
  <c r="J711" i="3"/>
  <c r="K711" i="3"/>
  <c r="L711" i="3"/>
  <c r="M711" i="3"/>
  <c r="J773" i="3"/>
  <c r="K773" i="3"/>
  <c r="L773" i="3"/>
  <c r="M773" i="3"/>
  <c r="J648" i="3"/>
  <c r="K648" i="3"/>
  <c r="L648" i="3"/>
  <c r="M648" i="3"/>
  <c r="J2304" i="3"/>
  <c r="K2304" i="3"/>
  <c r="P2304" i="3" s="1"/>
  <c r="L2304" i="3"/>
  <c r="M2304" i="3"/>
  <c r="J772" i="3"/>
  <c r="K772" i="3"/>
  <c r="L772" i="3"/>
  <c r="M772" i="3"/>
  <c r="J709" i="3"/>
  <c r="K709" i="3"/>
  <c r="L709" i="3"/>
  <c r="M709" i="3"/>
  <c r="M1592" i="3"/>
  <c r="L1592" i="3"/>
  <c r="K1592" i="3"/>
  <c r="P1592" i="3" s="1"/>
  <c r="J1592" i="3"/>
  <c r="J2277" i="3"/>
  <c r="K2277" i="3"/>
  <c r="P2277" i="3" s="1"/>
  <c r="L2277" i="3"/>
  <c r="M2277" i="3"/>
  <c r="J2280" i="3"/>
  <c r="K2280" i="3"/>
  <c r="P2280" i="3" s="1"/>
  <c r="L2280" i="3"/>
  <c r="M2280" i="3"/>
  <c r="J2211" i="3"/>
  <c r="K2211" i="3"/>
  <c r="P2211" i="3" s="1"/>
  <c r="L2211" i="3"/>
  <c r="M2211" i="3"/>
  <c r="J741" i="3"/>
  <c r="K741" i="3"/>
  <c r="L741" i="3"/>
  <c r="M741" i="3"/>
  <c r="J768" i="3"/>
  <c r="K768" i="3"/>
  <c r="L768" i="3"/>
  <c r="M768" i="3"/>
  <c r="J82" i="3"/>
  <c r="K82" i="3"/>
  <c r="L82" i="3"/>
  <c r="M82" i="3"/>
  <c r="M1339" i="3"/>
  <c r="L1339" i="3"/>
  <c r="K1339" i="3"/>
  <c r="P1339" i="3" s="1"/>
  <c r="J1339" i="3"/>
  <c r="M737" i="3"/>
  <c r="L737" i="3"/>
  <c r="K737" i="3"/>
  <c r="J737" i="3"/>
  <c r="J1591" i="3"/>
  <c r="K1591" i="3"/>
  <c r="P1591" i="3" s="1"/>
  <c r="L1591" i="3"/>
  <c r="M1591" i="3"/>
  <c r="M2084" i="3"/>
  <c r="L2084" i="3"/>
  <c r="K2084" i="3"/>
  <c r="P2084" i="3" s="1"/>
  <c r="J2084" i="3"/>
  <c r="M1453" i="3"/>
  <c r="L1453" i="3"/>
  <c r="K1453" i="3"/>
  <c r="P1453" i="3" s="1"/>
  <c r="J1453" i="3"/>
  <c r="M656" i="3"/>
  <c r="L656" i="3"/>
  <c r="K656" i="3"/>
  <c r="J656" i="3"/>
  <c r="J122" i="3"/>
  <c r="K122" i="3"/>
  <c r="L122" i="3"/>
  <c r="M122" i="3"/>
  <c r="M1331" i="3"/>
  <c r="L1331" i="3"/>
  <c r="K1331" i="3"/>
  <c r="P1331" i="3" s="1"/>
  <c r="J1331" i="3"/>
  <c r="M1227" i="3"/>
  <c r="L1227" i="3"/>
  <c r="K1227" i="3"/>
  <c r="P1227" i="3" s="1"/>
  <c r="J1227" i="3"/>
  <c r="M736" i="3"/>
  <c r="L736" i="3"/>
  <c r="K736" i="3"/>
  <c r="J736" i="3"/>
  <c r="J1403" i="3"/>
  <c r="K1403" i="3"/>
  <c r="P1403" i="3" s="1"/>
  <c r="L1403" i="3"/>
  <c r="M1403" i="3"/>
  <c r="M1175" i="3"/>
  <c r="L1175" i="3"/>
  <c r="K1175" i="3"/>
  <c r="P1175" i="3" s="1"/>
  <c r="J1175" i="3"/>
  <c r="M1212" i="3"/>
  <c r="L1212" i="3"/>
  <c r="K1212" i="3"/>
  <c r="P1212" i="3" s="1"/>
  <c r="J1212" i="3"/>
  <c r="M681" i="3"/>
  <c r="L681" i="3"/>
  <c r="K681" i="3"/>
  <c r="J681" i="3"/>
  <c r="M2208" i="3"/>
  <c r="L2208" i="3"/>
  <c r="K2208" i="3"/>
  <c r="P2208" i="3" s="1"/>
  <c r="J2208" i="3"/>
  <c r="J939" i="3"/>
  <c r="K939" i="3"/>
  <c r="L939" i="3"/>
  <c r="M939" i="3"/>
  <c r="J964" i="3"/>
  <c r="K964" i="3"/>
  <c r="L964" i="3"/>
  <c r="M964" i="3"/>
  <c r="J987" i="3"/>
  <c r="K987" i="3"/>
  <c r="L987" i="3"/>
  <c r="M987" i="3"/>
  <c r="J951" i="3"/>
  <c r="K951" i="3"/>
  <c r="L951" i="3"/>
  <c r="M951" i="3"/>
  <c r="J916" i="3"/>
  <c r="K916" i="3"/>
  <c r="L916" i="3"/>
  <c r="M916" i="3"/>
  <c r="J915" i="3"/>
  <c r="K915" i="3"/>
  <c r="L915" i="3"/>
  <c r="M915" i="3"/>
  <c r="L688" i="108"/>
  <c r="K688" i="108"/>
  <c r="I688" i="108"/>
  <c r="L689" i="108"/>
  <c r="K689" i="108"/>
  <c r="I689" i="108"/>
  <c r="M1508" i="3"/>
  <c r="L1508" i="3"/>
  <c r="K1508" i="3"/>
  <c r="P1508" i="3" s="1"/>
  <c r="J1508" i="3"/>
  <c r="M1254" i="3"/>
  <c r="L1254" i="3"/>
  <c r="K1254" i="3"/>
  <c r="P1254" i="3" s="1"/>
  <c r="J1254" i="3"/>
  <c r="M1315" i="3"/>
  <c r="L1315" i="3"/>
  <c r="K1315" i="3"/>
  <c r="P1315" i="3" s="1"/>
  <c r="J1315" i="3"/>
  <c r="M1243" i="3"/>
  <c r="L1243" i="3"/>
  <c r="K1243" i="3"/>
  <c r="P1243" i="3" s="1"/>
  <c r="J1243" i="3"/>
  <c r="M139" i="108" l="1"/>
  <c r="M141" i="108"/>
  <c r="M140" i="108"/>
  <c r="M138" i="108"/>
  <c r="P915" i="3"/>
  <c r="P916" i="3"/>
  <c r="P951" i="3"/>
  <c r="P987" i="3"/>
  <c r="P964" i="3"/>
  <c r="P939" i="3"/>
  <c r="P681" i="3"/>
  <c r="P736" i="3"/>
  <c r="P656" i="3"/>
  <c r="P737" i="3"/>
  <c r="P708" i="3"/>
  <c r="P771" i="3"/>
  <c r="P682" i="3"/>
  <c r="P739" i="3"/>
  <c r="P683" i="3"/>
  <c r="P712" i="3"/>
  <c r="P740" i="3"/>
  <c r="P710" i="3"/>
  <c r="P738" i="3"/>
  <c r="P684" i="3"/>
  <c r="P768" i="3"/>
  <c r="P741" i="3"/>
  <c r="P709" i="3"/>
  <c r="P772" i="3"/>
  <c r="P648" i="3"/>
  <c r="P773" i="3"/>
  <c r="P711" i="3"/>
  <c r="P663" i="3"/>
  <c r="P604" i="3"/>
  <c r="P80" i="3"/>
  <c r="P122" i="3"/>
  <c r="P82" i="3"/>
  <c r="I269" i="108"/>
  <c r="J269" i="108"/>
  <c r="K269" i="108"/>
  <c r="L269" i="108"/>
  <c r="I690" i="108"/>
  <c r="K690" i="108"/>
  <c r="L690" i="108"/>
  <c r="L692" i="108"/>
  <c r="K692" i="108"/>
  <c r="I692" i="108"/>
  <c r="I673" i="108"/>
  <c r="K673" i="108"/>
  <c r="L673" i="108"/>
  <c r="I682" i="108"/>
  <c r="K682" i="108"/>
  <c r="L682" i="108"/>
  <c r="I671" i="108"/>
  <c r="K671" i="108"/>
  <c r="L671" i="108"/>
  <c r="I696" i="108"/>
  <c r="K696" i="108"/>
  <c r="L696" i="108"/>
  <c r="I683" i="108"/>
  <c r="K683" i="108"/>
  <c r="L683" i="108"/>
  <c r="L687" i="108"/>
  <c r="K687" i="108"/>
  <c r="I687" i="108"/>
  <c r="L678" i="108"/>
  <c r="K678" i="108"/>
  <c r="I678" i="108"/>
  <c r="L670" i="108"/>
  <c r="K670" i="108"/>
  <c r="I670" i="108"/>
  <c r="L680" i="108"/>
  <c r="K680" i="108"/>
  <c r="I680" i="108"/>
  <c r="I677" i="108"/>
  <c r="K677" i="108"/>
  <c r="L677" i="108"/>
  <c r="L693" i="108"/>
  <c r="K693" i="108"/>
  <c r="I693" i="108"/>
  <c r="L672" i="108"/>
  <c r="K672" i="108"/>
  <c r="I672" i="108"/>
  <c r="I674" i="108"/>
  <c r="K674" i="108"/>
  <c r="L674" i="108"/>
  <c r="I685" i="108"/>
  <c r="K685" i="108"/>
  <c r="L685" i="108"/>
  <c r="I675" i="108"/>
  <c r="K675" i="108"/>
  <c r="L675" i="108"/>
  <c r="I681" i="108"/>
  <c r="K681" i="108"/>
  <c r="L681" i="108"/>
  <c r="I686" i="108"/>
  <c r="K686" i="108"/>
  <c r="L686" i="108"/>
  <c r="I679" i="108"/>
  <c r="K679" i="108"/>
  <c r="L679" i="108"/>
  <c r="I684" i="108"/>
  <c r="K684" i="108"/>
  <c r="L684" i="108"/>
  <c r="I676" i="108"/>
  <c r="K676" i="108"/>
  <c r="L676" i="108"/>
  <c r="L694" i="108"/>
  <c r="K694" i="108"/>
  <c r="I694" i="108"/>
  <c r="L695" i="108"/>
  <c r="K695" i="108"/>
  <c r="I695" i="108"/>
  <c r="J692" i="108"/>
  <c r="J687" i="108"/>
  <c r="J678" i="108"/>
  <c r="J670" i="108"/>
  <c r="J680" i="108"/>
  <c r="J693" i="108"/>
  <c r="J672" i="108"/>
  <c r="J694" i="108"/>
  <c r="J695" i="108"/>
  <c r="J690" i="108"/>
  <c r="J689" i="108"/>
  <c r="J688" i="108"/>
  <c r="J673" i="108"/>
  <c r="J682" i="108"/>
  <c r="J671" i="108"/>
  <c r="J696" i="108"/>
  <c r="J683" i="108"/>
  <c r="J677" i="108"/>
  <c r="J674" i="108"/>
  <c r="J685" i="108"/>
  <c r="J675" i="108"/>
  <c r="J681" i="108"/>
  <c r="J686" i="108"/>
  <c r="J679" i="108"/>
  <c r="J684" i="108"/>
  <c r="J676" i="108"/>
  <c r="M1063" i="3"/>
  <c r="L1063" i="3"/>
  <c r="K1063" i="3"/>
  <c r="P1063" i="3" s="1"/>
  <c r="J1063" i="3"/>
  <c r="J1959" i="3"/>
  <c r="K1959" i="3"/>
  <c r="P1959" i="3" s="1"/>
  <c r="K45" i="3"/>
  <c r="L45" i="3"/>
  <c r="M45" i="3"/>
  <c r="K47" i="3"/>
  <c r="P47" i="3" s="1"/>
  <c r="L47" i="3"/>
  <c r="M47" i="3"/>
  <c r="K2422" i="3"/>
  <c r="P2422" i="3" s="1"/>
  <c r="L2422" i="3"/>
  <c r="M2422" i="3"/>
  <c r="K1419" i="3"/>
  <c r="P1419" i="3" s="1"/>
  <c r="L1419" i="3"/>
  <c r="M1419" i="3"/>
  <c r="K1737" i="3"/>
  <c r="P1737" i="3" s="1"/>
  <c r="L1737" i="3"/>
  <c r="M1737" i="3"/>
  <c r="K817" i="3"/>
  <c r="L817" i="3"/>
  <c r="M817" i="3"/>
  <c r="K1548" i="3"/>
  <c r="P1548" i="3" s="1"/>
  <c r="L1548" i="3"/>
  <c r="M1548" i="3"/>
  <c r="K1549" i="3"/>
  <c r="P1549" i="3" s="1"/>
  <c r="L1549" i="3"/>
  <c r="M1549" i="3"/>
  <c r="K1550" i="3"/>
  <c r="P1550" i="3" s="1"/>
  <c r="L1550" i="3"/>
  <c r="M1550" i="3"/>
  <c r="K1551" i="3"/>
  <c r="P1551" i="3" s="1"/>
  <c r="L1551" i="3"/>
  <c r="M1551" i="3"/>
  <c r="K1553" i="3"/>
  <c r="P1553" i="3" s="1"/>
  <c r="L1553" i="3"/>
  <c r="M1553" i="3"/>
  <c r="K862" i="3"/>
  <c r="P862" i="3" s="1"/>
  <c r="L862" i="3"/>
  <c r="M862" i="3"/>
  <c r="K863" i="3"/>
  <c r="P863" i="3" s="1"/>
  <c r="L863" i="3"/>
  <c r="M863" i="3"/>
  <c r="K864" i="3"/>
  <c r="P864" i="3" s="1"/>
  <c r="L864" i="3"/>
  <c r="M864" i="3"/>
  <c r="K865" i="3"/>
  <c r="P865" i="3" s="1"/>
  <c r="L865" i="3"/>
  <c r="M865" i="3"/>
  <c r="K866" i="3"/>
  <c r="P866" i="3" s="1"/>
  <c r="L866" i="3"/>
  <c r="M866" i="3"/>
  <c r="K867" i="3"/>
  <c r="P867" i="3" s="1"/>
  <c r="L867" i="3"/>
  <c r="M867" i="3"/>
  <c r="K868" i="3"/>
  <c r="P868" i="3" s="1"/>
  <c r="L868" i="3"/>
  <c r="M868" i="3"/>
  <c r="K869" i="3"/>
  <c r="P869" i="3" s="1"/>
  <c r="L869" i="3"/>
  <c r="M869" i="3"/>
  <c r="K870" i="3"/>
  <c r="P870" i="3" s="1"/>
  <c r="L870" i="3"/>
  <c r="M870" i="3"/>
  <c r="K816" i="3"/>
  <c r="L816" i="3"/>
  <c r="M816" i="3"/>
  <c r="K1833" i="3"/>
  <c r="P1833" i="3" s="1"/>
  <c r="L1833" i="3"/>
  <c r="M1833" i="3"/>
  <c r="K1842" i="3"/>
  <c r="P1842" i="3" s="1"/>
  <c r="L1842" i="3"/>
  <c r="M1842" i="3"/>
  <c r="K1843" i="3"/>
  <c r="P1843" i="3" s="1"/>
  <c r="L1843" i="3"/>
  <c r="M1843" i="3"/>
  <c r="K1869" i="3"/>
  <c r="P1869" i="3" s="1"/>
  <c r="L1869" i="3"/>
  <c r="M1869" i="3"/>
  <c r="K1867" i="3"/>
  <c r="P1867" i="3" s="1"/>
  <c r="L1867" i="3"/>
  <c r="M1867" i="3"/>
  <c r="K1845" i="3"/>
  <c r="P1845" i="3" s="1"/>
  <c r="L1845" i="3"/>
  <c r="M1845" i="3"/>
  <c r="K1868" i="3"/>
  <c r="P1868" i="3" s="1"/>
  <c r="L1868" i="3"/>
  <c r="M1868" i="3"/>
  <c r="K1846" i="3"/>
  <c r="P1846" i="3" s="1"/>
  <c r="L1846" i="3"/>
  <c r="M1846" i="3"/>
  <c r="K1848" i="3"/>
  <c r="P1848" i="3" s="1"/>
  <c r="L1848" i="3"/>
  <c r="M1848" i="3"/>
  <c r="K1863" i="3"/>
  <c r="P1863" i="3" s="1"/>
  <c r="L1863" i="3"/>
  <c r="M1863" i="3"/>
  <c r="K1847" i="3"/>
  <c r="P1847" i="3" s="1"/>
  <c r="L1847" i="3"/>
  <c r="M1847" i="3"/>
  <c r="K1851" i="3"/>
  <c r="P1851" i="3" s="1"/>
  <c r="L1851" i="3"/>
  <c r="M1851" i="3"/>
  <c r="K1850" i="3"/>
  <c r="P1850" i="3" s="1"/>
  <c r="L1850" i="3"/>
  <c r="M1850" i="3"/>
  <c r="K1852" i="3"/>
  <c r="P1852" i="3" s="1"/>
  <c r="L1852" i="3"/>
  <c r="M1852" i="3"/>
  <c r="K1865" i="3"/>
  <c r="P1865" i="3" s="1"/>
  <c r="L1865" i="3"/>
  <c r="M1865" i="3"/>
  <c r="K1864" i="3"/>
  <c r="P1864" i="3" s="1"/>
  <c r="L1864" i="3"/>
  <c r="M1864" i="3"/>
  <c r="K1849" i="3"/>
  <c r="P1849" i="3" s="1"/>
  <c r="L1849" i="3"/>
  <c r="M1849" i="3"/>
  <c r="K1853" i="3"/>
  <c r="P1853" i="3" s="1"/>
  <c r="L1853" i="3"/>
  <c r="M1853" i="3"/>
  <c r="K1855" i="3"/>
  <c r="P1855" i="3" s="1"/>
  <c r="L1855" i="3"/>
  <c r="M1855" i="3"/>
  <c r="K1859" i="3"/>
  <c r="P1859" i="3" s="1"/>
  <c r="L1859" i="3"/>
  <c r="M1859" i="3"/>
  <c r="K1854" i="3"/>
  <c r="P1854" i="3" s="1"/>
  <c r="L1854" i="3"/>
  <c r="M1854" i="3"/>
  <c r="K1856" i="3"/>
  <c r="P1856" i="3" s="1"/>
  <c r="L1856" i="3"/>
  <c r="M1856" i="3"/>
  <c r="K1858" i="3"/>
  <c r="P1858" i="3" s="1"/>
  <c r="L1858" i="3"/>
  <c r="M1858" i="3"/>
  <c r="K1860" i="3"/>
  <c r="P1860" i="3" s="1"/>
  <c r="L1860" i="3"/>
  <c r="M1860" i="3"/>
  <c r="K1861" i="3"/>
  <c r="P1861" i="3" s="1"/>
  <c r="L1861" i="3"/>
  <c r="M1861" i="3"/>
  <c r="K1862" i="3"/>
  <c r="P1862" i="3" s="1"/>
  <c r="L1862" i="3"/>
  <c r="M1862" i="3"/>
  <c r="K1866" i="3"/>
  <c r="P1866" i="3" s="1"/>
  <c r="L1866" i="3"/>
  <c r="M1866" i="3"/>
  <c r="K846" i="3"/>
  <c r="L846" i="3"/>
  <c r="M846" i="3"/>
  <c r="K1831" i="3"/>
  <c r="P1831" i="3" s="1"/>
  <c r="L1831" i="3"/>
  <c r="M1831" i="3"/>
  <c r="K1099" i="3"/>
  <c r="P1099" i="3" s="1"/>
  <c r="L1099" i="3"/>
  <c r="M1099" i="3"/>
  <c r="K871" i="3"/>
  <c r="P871" i="3" s="1"/>
  <c r="L871" i="3"/>
  <c r="M871" i="3"/>
  <c r="K873" i="3"/>
  <c r="P873" i="3" s="1"/>
  <c r="L873" i="3"/>
  <c r="M873" i="3"/>
  <c r="K2416" i="3"/>
  <c r="P2416" i="3" s="1"/>
  <c r="L2416" i="3"/>
  <c r="M2416" i="3"/>
  <c r="K2412" i="3"/>
  <c r="P2412" i="3" s="1"/>
  <c r="L2412" i="3"/>
  <c r="M2412" i="3"/>
  <c r="K2413" i="3"/>
  <c r="P2413" i="3" s="1"/>
  <c r="L2413" i="3"/>
  <c r="M2413" i="3"/>
  <c r="K2415" i="3"/>
  <c r="P2415" i="3" s="1"/>
  <c r="L2415" i="3"/>
  <c r="M2415" i="3"/>
  <c r="K1417" i="3"/>
  <c r="P1417" i="3" s="1"/>
  <c r="L1417" i="3"/>
  <c r="M1417" i="3"/>
  <c r="K1428" i="3"/>
  <c r="P1428" i="3" s="1"/>
  <c r="L1428" i="3"/>
  <c r="M1428" i="3"/>
  <c r="K847" i="3"/>
  <c r="L847" i="3"/>
  <c r="M847" i="3"/>
  <c r="K852" i="3"/>
  <c r="L852" i="3"/>
  <c r="M852" i="3"/>
  <c r="K1559" i="3"/>
  <c r="P1559" i="3" s="1"/>
  <c r="L1559" i="3"/>
  <c r="M1559" i="3"/>
  <c r="K1560" i="3"/>
  <c r="P1560" i="3" s="1"/>
  <c r="L1560" i="3"/>
  <c r="M1560" i="3"/>
  <c r="K1561" i="3"/>
  <c r="P1561" i="3" s="1"/>
  <c r="L1561" i="3"/>
  <c r="M1561" i="3"/>
  <c r="K1626" i="3"/>
  <c r="P1626" i="3" s="1"/>
  <c r="L1626" i="3"/>
  <c r="M1626" i="3"/>
  <c r="K1627" i="3"/>
  <c r="P1627" i="3" s="1"/>
  <c r="L1627" i="3"/>
  <c r="M1627" i="3"/>
  <c r="K1567" i="3"/>
  <c r="P1567" i="3" s="1"/>
  <c r="L1567" i="3"/>
  <c r="M1567" i="3"/>
  <c r="K55" i="3"/>
  <c r="P55" i="3" s="1"/>
  <c r="L55" i="3"/>
  <c r="M55" i="3"/>
  <c r="K50" i="3"/>
  <c r="L50" i="3"/>
  <c r="M50" i="3"/>
  <c r="K397" i="3"/>
  <c r="L397" i="3"/>
  <c r="M397" i="3"/>
  <c r="K409" i="3"/>
  <c r="L409" i="3"/>
  <c r="M409" i="3"/>
  <c r="K376" i="3"/>
  <c r="L376" i="3"/>
  <c r="M376" i="3"/>
  <c r="K415" i="3"/>
  <c r="L415" i="3"/>
  <c r="M415" i="3"/>
  <c r="K389" i="3"/>
  <c r="L389" i="3"/>
  <c r="M389" i="3"/>
  <c r="K470" i="3"/>
  <c r="L470" i="3"/>
  <c r="M470" i="3"/>
  <c r="K468" i="3"/>
  <c r="L468" i="3"/>
  <c r="M468" i="3"/>
  <c r="K402" i="3"/>
  <c r="L402" i="3"/>
  <c r="M402" i="3"/>
  <c r="K414" i="3"/>
  <c r="L414" i="3"/>
  <c r="M414" i="3"/>
  <c r="K400" i="3"/>
  <c r="L400" i="3"/>
  <c r="M400" i="3"/>
  <c r="K408" i="3"/>
  <c r="L408" i="3"/>
  <c r="M408" i="3"/>
  <c r="K405" i="3"/>
  <c r="L405" i="3"/>
  <c r="M405" i="3"/>
  <c r="K379" i="3"/>
  <c r="L379" i="3"/>
  <c r="M379" i="3"/>
  <c r="K449" i="3"/>
  <c r="L449" i="3"/>
  <c r="M449" i="3"/>
  <c r="K479" i="3"/>
  <c r="L479" i="3"/>
  <c r="M479" i="3"/>
  <c r="K413" i="3"/>
  <c r="L413" i="3"/>
  <c r="M413" i="3"/>
  <c r="K451" i="3"/>
  <c r="L451" i="3"/>
  <c r="M451" i="3"/>
  <c r="K476" i="3"/>
  <c r="L476" i="3"/>
  <c r="M476" i="3"/>
  <c r="K488" i="3"/>
  <c r="L488" i="3"/>
  <c r="M488" i="3"/>
  <c r="K498" i="3"/>
  <c r="L498" i="3"/>
  <c r="M498" i="3"/>
  <c r="K380" i="3"/>
  <c r="L380" i="3"/>
  <c r="M380" i="3"/>
  <c r="K418" i="3"/>
  <c r="L418" i="3"/>
  <c r="M418" i="3"/>
  <c r="K453" i="3"/>
  <c r="L453" i="3"/>
  <c r="M453" i="3"/>
  <c r="K474" i="3"/>
  <c r="L474" i="3"/>
  <c r="M474" i="3"/>
  <c r="K375" i="3"/>
  <c r="L375" i="3"/>
  <c r="M375" i="3"/>
  <c r="K420" i="3"/>
  <c r="L420" i="3"/>
  <c r="M420" i="3"/>
  <c r="K495" i="3"/>
  <c r="L495" i="3"/>
  <c r="M495" i="3"/>
  <c r="K381" i="3"/>
  <c r="L381" i="3"/>
  <c r="M381" i="3"/>
  <c r="K497" i="3"/>
  <c r="L497" i="3"/>
  <c r="M497" i="3"/>
  <c r="K416" i="3"/>
  <c r="L416" i="3"/>
  <c r="M416" i="3"/>
  <c r="K450" i="3"/>
  <c r="L450" i="3"/>
  <c r="M450" i="3"/>
  <c r="K475" i="3"/>
  <c r="L475" i="3"/>
  <c r="M475" i="3"/>
  <c r="K496" i="3"/>
  <c r="L496" i="3"/>
  <c r="M496" i="3"/>
  <c r="K499" i="3"/>
  <c r="L499" i="3"/>
  <c r="M499" i="3"/>
  <c r="K500" i="3"/>
  <c r="L500" i="3"/>
  <c r="M500" i="3"/>
  <c r="K383" i="3"/>
  <c r="L383" i="3"/>
  <c r="M383" i="3"/>
  <c r="K489" i="3"/>
  <c r="L489" i="3"/>
  <c r="M489" i="3"/>
  <c r="K385" i="3"/>
  <c r="L385" i="3"/>
  <c r="M385" i="3"/>
  <c r="K442" i="3"/>
  <c r="L442" i="3"/>
  <c r="M442" i="3"/>
  <c r="K455" i="3"/>
  <c r="L455" i="3"/>
  <c r="M455" i="3"/>
  <c r="K485" i="3"/>
  <c r="L485" i="3"/>
  <c r="M485" i="3"/>
  <c r="K378" i="3"/>
  <c r="L378" i="3"/>
  <c r="M378" i="3"/>
  <c r="K417" i="3"/>
  <c r="L417" i="3"/>
  <c r="M417" i="3"/>
  <c r="K452" i="3"/>
  <c r="L452" i="3"/>
  <c r="M452" i="3"/>
  <c r="K477" i="3"/>
  <c r="L477" i="3"/>
  <c r="M477" i="3"/>
  <c r="K427" i="3"/>
  <c r="L427" i="3"/>
  <c r="M427" i="3"/>
  <c r="K469" i="3"/>
  <c r="L469" i="3"/>
  <c r="M469" i="3"/>
  <c r="K410" i="3"/>
  <c r="L410" i="3"/>
  <c r="M410" i="3"/>
  <c r="K441" i="3"/>
  <c r="L441" i="3"/>
  <c r="M441" i="3"/>
  <c r="K386" i="3"/>
  <c r="L386" i="3"/>
  <c r="M386" i="3"/>
  <c r="K424" i="3"/>
  <c r="L424" i="3"/>
  <c r="M424" i="3"/>
  <c r="K456" i="3"/>
  <c r="L456" i="3"/>
  <c r="M456" i="3"/>
  <c r="K483" i="3"/>
  <c r="L483" i="3"/>
  <c r="M483" i="3"/>
  <c r="K490" i="3"/>
  <c r="L490" i="3"/>
  <c r="M490" i="3"/>
  <c r="K382" i="3"/>
  <c r="L382" i="3"/>
  <c r="M382" i="3"/>
  <c r="K391" i="3"/>
  <c r="L391" i="3"/>
  <c r="M391" i="3"/>
  <c r="K428" i="3"/>
  <c r="L428" i="3"/>
  <c r="M428" i="3"/>
  <c r="K387" i="3"/>
  <c r="L387" i="3"/>
  <c r="M387" i="3"/>
  <c r="K425" i="3"/>
  <c r="L425" i="3"/>
  <c r="M425" i="3"/>
  <c r="K457" i="3"/>
  <c r="L457" i="3"/>
  <c r="M457" i="3"/>
  <c r="K480" i="3"/>
  <c r="L480" i="3"/>
  <c r="M480" i="3"/>
  <c r="K493" i="3"/>
  <c r="L493" i="3"/>
  <c r="M493" i="3"/>
  <c r="K412" i="3"/>
  <c r="L412" i="3"/>
  <c r="M412" i="3"/>
  <c r="K445" i="3"/>
  <c r="L445" i="3"/>
  <c r="M445" i="3"/>
  <c r="K422" i="3"/>
  <c r="L422" i="3"/>
  <c r="M422" i="3"/>
  <c r="K472" i="3"/>
  <c r="L472" i="3"/>
  <c r="M472" i="3"/>
  <c r="K392" i="3"/>
  <c r="L392" i="3"/>
  <c r="M392" i="3"/>
  <c r="K436" i="3"/>
  <c r="L436" i="3"/>
  <c r="M436" i="3"/>
  <c r="K461" i="3"/>
  <c r="L461" i="3"/>
  <c r="M461" i="3"/>
  <c r="K487" i="3"/>
  <c r="L487" i="3"/>
  <c r="M487" i="3"/>
  <c r="K492" i="3"/>
  <c r="L492" i="3"/>
  <c r="M492" i="3"/>
  <c r="K388" i="3"/>
  <c r="L388" i="3"/>
  <c r="M388" i="3"/>
  <c r="K426" i="3"/>
  <c r="L426" i="3"/>
  <c r="M426" i="3"/>
  <c r="K458" i="3"/>
  <c r="L458" i="3"/>
  <c r="M458" i="3"/>
  <c r="K491" i="3"/>
  <c r="L491" i="3"/>
  <c r="M491" i="3"/>
  <c r="K396" i="3"/>
  <c r="L396" i="3"/>
  <c r="M396" i="3"/>
  <c r="K430" i="3"/>
  <c r="L430" i="3"/>
  <c r="M430" i="3"/>
  <c r="K463" i="3"/>
  <c r="L463" i="3"/>
  <c r="M463" i="3"/>
  <c r="K395" i="3"/>
  <c r="L395" i="3"/>
  <c r="M395" i="3"/>
  <c r="K435" i="3"/>
  <c r="L435" i="3"/>
  <c r="M435" i="3"/>
  <c r="K462" i="3"/>
  <c r="L462" i="3"/>
  <c r="M462" i="3"/>
  <c r="K431" i="3"/>
  <c r="L431" i="3"/>
  <c r="M431" i="3"/>
  <c r="K447" i="3"/>
  <c r="L447" i="3"/>
  <c r="M447" i="3"/>
  <c r="K438" i="3"/>
  <c r="L438" i="3"/>
  <c r="M438" i="3"/>
  <c r="K465" i="3"/>
  <c r="L465" i="3"/>
  <c r="M465" i="3"/>
  <c r="K481" i="3"/>
  <c r="L481" i="3"/>
  <c r="M481" i="3"/>
  <c r="K494" i="3"/>
  <c r="L494" i="3"/>
  <c r="M494" i="3"/>
  <c r="K398" i="3"/>
  <c r="L398" i="3"/>
  <c r="M398" i="3"/>
  <c r="K399" i="3"/>
  <c r="L399" i="3"/>
  <c r="M399" i="3"/>
  <c r="K432" i="3"/>
  <c r="L432" i="3"/>
  <c r="M432" i="3"/>
  <c r="K393" i="3"/>
  <c r="L393" i="3"/>
  <c r="M393" i="3"/>
  <c r="K460" i="3"/>
  <c r="L460" i="3"/>
  <c r="M460" i="3"/>
  <c r="K439" i="3"/>
  <c r="L439" i="3"/>
  <c r="M439" i="3"/>
  <c r="K464" i="3"/>
  <c r="L464" i="3"/>
  <c r="M464" i="3"/>
  <c r="K401" i="3"/>
  <c r="L401" i="3"/>
  <c r="M401" i="3"/>
  <c r="K403" i="3"/>
  <c r="L403" i="3"/>
  <c r="M403" i="3"/>
  <c r="K404" i="3"/>
  <c r="L404" i="3"/>
  <c r="M404" i="3"/>
  <c r="K440" i="3"/>
  <c r="L440" i="3"/>
  <c r="M440" i="3"/>
  <c r="K466" i="3"/>
  <c r="L466" i="3"/>
  <c r="M466" i="3"/>
  <c r="K437" i="3"/>
  <c r="L437" i="3"/>
  <c r="M437" i="3"/>
  <c r="K467" i="3"/>
  <c r="L467" i="3"/>
  <c r="M467" i="3"/>
  <c r="K421" i="3"/>
  <c r="L421" i="3"/>
  <c r="M421" i="3"/>
  <c r="K484" i="3"/>
  <c r="L484" i="3"/>
  <c r="M484" i="3"/>
  <c r="K377" i="3"/>
  <c r="L377" i="3"/>
  <c r="M377" i="3"/>
  <c r="K434" i="3"/>
  <c r="L434" i="3"/>
  <c r="M434" i="3"/>
  <c r="K459" i="3"/>
  <c r="L459" i="3"/>
  <c r="M459" i="3"/>
  <c r="K394" i="3"/>
  <c r="L394" i="3"/>
  <c r="M394" i="3"/>
  <c r="K486" i="3"/>
  <c r="L486" i="3"/>
  <c r="M486" i="3"/>
  <c r="K1641" i="3"/>
  <c r="P1641" i="3" s="1"/>
  <c r="L1641" i="3"/>
  <c r="M1641" i="3"/>
  <c r="K1074" i="3"/>
  <c r="P1074" i="3" s="1"/>
  <c r="L1074" i="3"/>
  <c r="M1074" i="3"/>
  <c r="K1706" i="3"/>
  <c r="P1706" i="3" s="1"/>
  <c r="L1706" i="3"/>
  <c r="M1706" i="3"/>
  <c r="K215" i="3"/>
  <c r="L215" i="3"/>
  <c r="M215" i="3"/>
  <c r="K216" i="3"/>
  <c r="L216" i="3"/>
  <c r="M216" i="3"/>
  <c r="K90" i="3"/>
  <c r="L90" i="3"/>
  <c r="M90" i="3"/>
  <c r="K123" i="3"/>
  <c r="L123" i="3"/>
  <c r="M123" i="3"/>
  <c r="K92" i="3"/>
  <c r="L92" i="3"/>
  <c r="M92" i="3"/>
  <c r="K93" i="3"/>
  <c r="L93" i="3"/>
  <c r="M93" i="3"/>
  <c r="K217" i="3"/>
  <c r="L217" i="3"/>
  <c r="M217" i="3"/>
  <c r="K115" i="3"/>
  <c r="L115" i="3"/>
  <c r="M115" i="3"/>
  <c r="K117" i="3"/>
  <c r="L117" i="3"/>
  <c r="M117" i="3"/>
  <c r="K116" i="3"/>
  <c r="L116" i="3"/>
  <c r="M116" i="3"/>
  <c r="K118" i="3"/>
  <c r="L118" i="3"/>
  <c r="M118" i="3"/>
  <c r="K124" i="3"/>
  <c r="L124" i="3"/>
  <c r="M124" i="3"/>
  <c r="K125" i="3"/>
  <c r="L125" i="3"/>
  <c r="M125" i="3"/>
  <c r="K126" i="3"/>
  <c r="L126" i="3"/>
  <c r="M126" i="3"/>
  <c r="K128" i="3"/>
  <c r="L128" i="3"/>
  <c r="M128" i="3"/>
  <c r="K218" i="3"/>
  <c r="L218" i="3"/>
  <c r="M218" i="3"/>
  <c r="K94" i="3"/>
  <c r="L94" i="3"/>
  <c r="M94" i="3"/>
  <c r="K129" i="3"/>
  <c r="L129" i="3"/>
  <c r="M129" i="3"/>
  <c r="K120" i="3"/>
  <c r="L120" i="3"/>
  <c r="M120" i="3"/>
  <c r="K95" i="3"/>
  <c r="L95" i="3"/>
  <c r="M95" i="3"/>
  <c r="K187" i="3"/>
  <c r="L187" i="3"/>
  <c r="M187" i="3"/>
  <c r="K98" i="3"/>
  <c r="L98" i="3"/>
  <c r="M98" i="3"/>
  <c r="K99" i="3"/>
  <c r="L99" i="3"/>
  <c r="M99" i="3"/>
  <c r="K219" i="3"/>
  <c r="L219" i="3"/>
  <c r="M219" i="3"/>
  <c r="K188" i="3"/>
  <c r="L188" i="3"/>
  <c r="M188" i="3"/>
  <c r="K100" i="3"/>
  <c r="L100" i="3"/>
  <c r="M100" i="3"/>
  <c r="K101" i="3"/>
  <c r="L101" i="3"/>
  <c r="M101" i="3"/>
  <c r="K104" i="3"/>
  <c r="L104" i="3"/>
  <c r="M104" i="3"/>
  <c r="K105" i="3"/>
  <c r="L105" i="3"/>
  <c r="M105" i="3"/>
  <c r="K110" i="3"/>
  <c r="L110" i="3"/>
  <c r="M110" i="3"/>
  <c r="K108" i="3"/>
  <c r="L108" i="3"/>
  <c r="M108" i="3"/>
  <c r="K109" i="3"/>
  <c r="L109" i="3"/>
  <c r="M109" i="3"/>
  <c r="K106" i="3"/>
  <c r="L106" i="3"/>
  <c r="M106" i="3"/>
  <c r="K107" i="3"/>
  <c r="L107" i="3"/>
  <c r="M107" i="3"/>
  <c r="K111" i="3"/>
  <c r="L111" i="3"/>
  <c r="M111" i="3"/>
  <c r="K112" i="3"/>
  <c r="L112" i="3"/>
  <c r="M112" i="3"/>
  <c r="K189" i="3"/>
  <c r="L189" i="3"/>
  <c r="M189" i="3"/>
  <c r="K213" i="3"/>
  <c r="L213" i="3"/>
  <c r="M213" i="3"/>
  <c r="K209" i="3"/>
  <c r="L209" i="3"/>
  <c r="M209" i="3"/>
  <c r="K210" i="3"/>
  <c r="L210" i="3"/>
  <c r="M210" i="3"/>
  <c r="K214" i="3"/>
  <c r="L214" i="3"/>
  <c r="M214" i="3"/>
  <c r="K190" i="3"/>
  <c r="L190" i="3"/>
  <c r="M190" i="3"/>
  <c r="K121" i="3"/>
  <c r="L121" i="3"/>
  <c r="M121" i="3"/>
  <c r="K1642" i="3"/>
  <c r="P1642" i="3" s="1"/>
  <c r="L1642" i="3"/>
  <c r="M1642" i="3"/>
  <c r="K52" i="3"/>
  <c r="L52" i="3"/>
  <c r="M52" i="3"/>
  <c r="K53" i="3"/>
  <c r="L53" i="3"/>
  <c r="M53" i="3"/>
  <c r="K1650" i="3"/>
  <c r="P1650" i="3" s="1"/>
  <c r="L1650" i="3"/>
  <c r="M1650" i="3"/>
  <c r="K1652" i="3"/>
  <c r="P1652" i="3" s="1"/>
  <c r="L1652" i="3"/>
  <c r="M1652" i="3"/>
  <c r="K1651" i="3"/>
  <c r="P1651" i="3" s="1"/>
  <c r="L1651" i="3"/>
  <c r="M1651" i="3"/>
  <c r="K1653" i="3"/>
  <c r="P1653" i="3" s="1"/>
  <c r="L1653" i="3"/>
  <c r="M1653" i="3"/>
  <c r="K1654" i="3"/>
  <c r="P1654" i="3" s="1"/>
  <c r="L1654" i="3"/>
  <c r="M1654" i="3"/>
  <c r="K1660" i="3"/>
  <c r="P1660" i="3" s="1"/>
  <c r="L1660" i="3"/>
  <c r="M1660" i="3"/>
  <c r="K1680" i="3"/>
  <c r="P1680" i="3" s="1"/>
  <c r="L1680" i="3"/>
  <c r="M1680" i="3"/>
  <c r="K813" i="3"/>
  <c r="L813" i="3"/>
  <c r="M813" i="3"/>
  <c r="K800" i="3"/>
  <c r="L800" i="3"/>
  <c r="M800" i="3"/>
  <c r="K638" i="3"/>
  <c r="L638" i="3"/>
  <c r="M638" i="3"/>
  <c r="K765" i="3"/>
  <c r="L765" i="3"/>
  <c r="M765" i="3"/>
  <c r="K795" i="3"/>
  <c r="L795" i="3"/>
  <c r="M795" i="3"/>
  <c r="K758" i="3"/>
  <c r="L758" i="3"/>
  <c r="M758" i="3"/>
  <c r="K640" i="3"/>
  <c r="L640" i="3"/>
  <c r="M640" i="3"/>
  <c r="K641" i="3"/>
  <c r="L641" i="3"/>
  <c r="M641" i="3"/>
  <c r="K655" i="3"/>
  <c r="L655" i="3"/>
  <c r="M655" i="3"/>
  <c r="K662" i="3"/>
  <c r="L662" i="3"/>
  <c r="M662" i="3"/>
  <c r="K649" i="3"/>
  <c r="L649" i="3"/>
  <c r="M649" i="3"/>
  <c r="K672" i="3"/>
  <c r="L672" i="3"/>
  <c r="M672" i="3"/>
  <c r="K673" i="3"/>
  <c r="L673" i="3"/>
  <c r="M673" i="3"/>
  <c r="K674" i="3"/>
  <c r="L674" i="3"/>
  <c r="M674" i="3"/>
  <c r="K675" i="3"/>
  <c r="L675" i="3"/>
  <c r="M675" i="3"/>
  <c r="K676" i="3"/>
  <c r="L676" i="3"/>
  <c r="M676" i="3"/>
  <c r="K677" i="3"/>
  <c r="L677" i="3"/>
  <c r="M677" i="3"/>
  <c r="K678" i="3"/>
  <c r="L678" i="3"/>
  <c r="M678" i="3"/>
  <c r="K679" i="3"/>
  <c r="L679" i="3"/>
  <c r="M679" i="3"/>
  <c r="K669" i="3"/>
  <c r="L669" i="3"/>
  <c r="M669" i="3"/>
  <c r="K670" i="3"/>
  <c r="L670" i="3"/>
  <c r="M670" i="3"/>
  <c r="K671" i="3"/>
  <c r="L671" i="3"/>
  <c r="M671" i="3"/>
  <c r="K680" i="3"/>
  <c r="L680" i="3"/>
  <c r="M680" i="3"/>
  <c r="K685" i="3"/>
  <c r="L685" i="3"/>
  <c r="M685" i="3"/>
  <c r="K687" i="3"/>
  <c r="L687" i="3"/>
  <c r="M687" i="3"/>
  <c r="K689" i="3"/>
  <c r="L689" i="3"/>
  <c r="M689" i="3"/>
  <c r="K686" i="3"/>
  <c r="L686" i="3"/>
  <c r="M686" i="3"/>
  <c r="K688" i="3"/>
  <c r="L688" i="3"/>
  <c r="M688" i="3"/>
  <c r="K694" i="3"/>
  <c r="L694" i="3"/>
  <c r="M694" i="3"/>
  <c r="K695" i="3"/>
  <c r="L695" i="3"/>
  <c r="M695" i="3"/>
  <c r="K696" i="3"/>
  <c r="L696" i="3"/>
  <c r="M696" i="3"/>
  <c r="K650" i="3"/>
  <c r="L650" i="3"/>
  <c r="M650" i="3"/>
  <c r="K657" i="3"/>
  <c r="L657" i="3"/>
  <c r="M657" i="3"/>
  <c r="K664" i="3"/>
  <c r="L664" i="3"/>
  <c r="M664" i="3"/>
  <c r="K666" i="3"/>
  <c r="L666" i="3"/>
  <c r="M666" i="3"/>
  <c r="K668" i="3"/>
  <c r="L668" i="3"/>
  <c r="M668" i="3"/>
  <c r="K642" i="3"/>
  <c r="L642" i="3"/>
  <c r="M642" i="3"/>
  <c r="K651" i="3"/>
  <c r="L651" i="3"/>
  <c r="M651" i="3"/>
  <c r="K658" i="3"/>
  <c r="L658" i="3"/>
  <c r="M658" i="3"/>
  <c r="K643" i="3"/>
  <c r="L643" i="3"/>
  <c r="M643" i="3"/>
  <c r="K652" i="3"/>
  <c r="L652" i="3"/>
  <c r="M652" i="3"/>
  <c r="K659" i="3"/>
  <c r="L659" i="3"/>
  <c r="M659" i="3"/>
  <c r="K697" i="3"/>
  <c r="L697" i="3"/>
  <c r="M697" i="3"/>
  <c r="K644" i="3"/>
  <c r="L644" i="3"/>
  <c r="M644" i="3"/>
  <c r="K653" i="3"/>
  <c r="L653" i="3"/>
  <c r="M653" i="3"/>
  <c r="K660" i="3"/>
  <c r="L660" i="3"/>
  <c r="M660" i="3"/>
  <c r="K654" i="3"/>
  <c r="L654" i="3"/>
  <c r="M654" i="3"/>
  <c r="K661" i="3"/>
  <c r="L661" i="3"/>
  <c r="M661" i="3"/>
  <c r="K665" i="3"/>
  <c r="L665" i="3"/>
  <c r="M665" i="3"/>
  <c r="K667" i="3"/>
  <c r="L667" i="3"/>
  <c r="M667" i="3"/>
  <c r="K645" i="3"/>
  <c r="L645" i="3"/>
  <c r="M645" i="3"/>
  <c r="K646" i="3"/>
  <c r="L646" i="3"/>
  <c r="M646" i="3"/>
  <c r="K700" i="3"/>
  <c r="L700" i="3"/>
  <c r="M700" i="3"/>
  <c r="K701" i="3"/>
  <c r="L701" i="3"/>
  <c r="M701" i="3"/>
  <c r="K702" i="3"/>
  <c r="L702" i="3"/>
  <c r="M702" i="3"/>
  <c r="K703" i="3"/>
  <c r="L703" i="3"/>
  <c r="M703" i="3"/>
  <c r="K722" i="3"/>
  <c r="L722" i="3"/>
  <c r="M722" i="3"/>
  <c r="K704" i="3"/>
  <c r="L704" i="3"/>
  <c r="M704" i="3"/>
  <c r="K705" i="3"/>
  <c r="L705" i="3"/>
  <c r="M705" i="3"/>
  <c r="K706" i="3"/>
  <c r="L706" i="3"/>
  <c r="M706" i="3"/>
  <c r="K707" i="3"/>
  <c r="L707" i="3"/>
  <c r="M707" i="3"/>
  <c r="K720" i="3"/>
  <c r="L720" i="3"/>
  <c r="M720" i="3"/>
  <c r="K721" i="3"/>
  <c r="L721" i="3"/>
  <c r="M721" i="3"/>
  <c r="K713" i="3"/>
  <c r="L713" i="3"/>
  <c r="M713" i="3"/>
  <c r="K716" i="3"/>
  <c r="L716" i="3"/>
  <c r="M716" i="3"/>
  <c r="K718" i="3"/>
  <c r="L718" i="3"/>
  <c r="M718" i="3"/>
  <c r="K714" i="3"/>
  <c r="L714" i="3"/>
  <c r="M714" i="3"/>
  <c r="K715" i="3"/>
  <c r="L715" i="3"/>
  <c r="M715" i="3"/>
  <c r="K717" i="3"/>
  <c r="L717" i="3"/>
  <c r="M717" i="3"/>
  <c r="K719" i="3"/>
  <c r="L719" i="3"/>
  <c r="M719" i="3"/>
  <c r="K723" i="3"/>
  <c r="L723" i="3"/>
  <c r="M723" i="3"/>
  <c r="K724" i="3"/>
  <c r="L724" i="3"/>
  <c r="M724" i="3"/>
  <c r="K726" i="3"/>
  <c r="L726" i="3"/>
  <c r="M726" i="3"/>
  <c r="K730" i="3"/>
  <c r="L730" i="3"/>
  <c r="M730" i="3"/>
  <c r="K731" i="3"/>
  <c r="L731" i="3"/>
  <c r="M731" i="3"/>
  <c r="K732" i="3"/>
  <c r="L732" i="3"/>
  <c r="M732" i="3"/>
  <c r="K733" i="3"/>
  <c r="L733" i="3"/>
  <c r="M733" i="3"/>
  <c r="K734" i="3"/>
  <c r="L734" i="3"/>
  <c r="M734" i="3"/>
  <c r="K735" i="3"/>
  <c r="L735" i="3"/>
  <c r="M735" i="3"/>
  <c r="K727" i="3"/>
  <c r="L727" i="3"/>
  <c r="M727" i="3"/>
  <c r="K728" i="3"/>
  <c r="L728" i="3"/>
  <c r="M728" i="3"/>
  <c r="K729" i="3"/>
  <c r="L729" i="3"/>
  <c r="M729" i="3"/>
  <c r="K743" i="3"/>
  <c r="L743" i="3"/>
  <c r="M743" i="3"/>
  <c r="K750" i="3"/>
  <c r="L750" i="3"/>
  <c r="M750" i="3"/>
  <c r="K751" i="3"/>
  <c r="L751" i="3"/>
  <c r="M751" i="3"/>
  <c r="K752" i="3"/>
  <c r="L752" i="3"/>
  <c r="M752" i="3"/>
  <c r="K745" i="3"/>
  <c r="L745" i="3"/>
  <c r="M745" i="3"/>
  <c r="K747" i="3"/>
  <c r="L747" i="3"/>
  <c r="M747" i="3"/>
  <c r="K746" i="3"/>
  <c r="L746" i="3"/>
  <c r="M746" i="3"/>
  <c r="K748" i="3"/>
  <c r="L748" i="3"/>
  <c r="M748" i="3"/>
  <c r="K749" i="3"/>
  <c r="L749" i="3"/>
  <c r="M749" i="3"/>
  <c r="K744" i="3"/>
  <c r="L744" i="3"/>
  <c r="M744" i="3"/>
  <c r="K753" i="3"/>
  <c r="L753" i="3"/>
  <c r="M753" i="3"/>
  <c r="K754" i="3"/>
  <c r="L754" i="3"/>
  <c r="M754" i="3"/>
  <c r="K755" i="3"/>
  <c r="L755" i="3"/>
  <c r="M755" i="3"/>
  <c r="K756" i="3"/>
  <c r="L756" i="3"/>
  <c r="M756" i="3"/>
  <c r="K787" i="3"/>
  <c r="L787" i="3"/>
  <c r="M787" i="3"/>
  <c r="K759" i="3"/>
  <c r="L759" i="3"/>
  <c r="M759" i="3"/>
  <c r="K760" i="3"/>
  <c r="L760" i="3"/>
  <c r="M760" i="3"/>
  <c r="K761" i="3"/>
  <c r="L761" i="3"/>
  <c r="M761" i="3"/>
  <c r="K762" i="3"/>
  <c r="L762" i="3"/>
  <c r="M762" i="3"/>
  <c r="K763" i="3"/>
  <c r="L763" i="3"/>
  <c r="M763" i="3"/>
  <c r="K764" i="3"/>
  <c r="L764" i="3"/>
  <c r="M764" i="3"/>
  <c r="K766" i="3"/>
  <c r="L766" i="3"/>
  <c r="M766" i="3"/>
  <c r="K767" i="3"/>
  <c r="L767" i="3"/>
  <c r="M767" i="3"/>
  <c r="K769" i="3"/>
  <c r="L769" i="3"/>
  <c r="M769" i="3"/>
  <c r="K770" i="3"/>
  <c r="L770" i="3"/>
  <c r="M770" i="3"/>
  <c r="K776" i="3"/>
  <c r="L776" i="3"/>
  <c r="M776" i="3"/>
  <c r="K779" i="3"/>
  <c r="L779" i="3"/>
  <c r="M779" i="3"/>
  <c r="K780" i="3"/>
  <c r="L780" i="3"/>
  <c r="M780" i="3"/>
  <c r="K774" i="3"/>
  <c r="L774" i="3"/>
  <c r="M774" i="3"/>
  <c r="K775" i="3"/>
  <c r="L775" i="3"/>
  <c r="M775" i="3"/>
  <c r="K777" i="3"/>
  <c r="L777" i="3"/>
  <c r="M777" i="3"/>
  <c r="K778" i="3"/>
  <c r="L778" i="3"/>
  <c r="M778" i="3"/>
  <c r="K782" i="3"/>
  <c r="L782" i="3"/>
  <c r="M782" i="3"/>
  <c r="K783" i="3"/>
  <c r="L783" i="3"/>
  <c r="M783" i="3"/>
  <c r="K784" i="3"/>
  <c r="L784" i="3"/>
  <c r="M784" i="3"/>
  <c r="K785" i="3"/>
  <c r="L785" i="3"/>
  <c r="M785" i="3"/>
  <c r="K788" i="3"/>
  <c r="L788" i="3"/>
  <c r="M788" i="3"/>
  <c r="K789" i="3"/>
  <c r="L789" i="3"/>
  <c r="M789" i="3"/>
  <c r="K790" i="3"/>
  <c r="L790" i="3"/>
  <c r="M790" i="3"/>
  <c r="K791" i="3"/>
  <c r="L791" i="3"/>
  <c r="M791" i="3"/>
  <c r="K792" i="3"/>
  <c r="L792" i="3"/>
  <c r="M792" i="3"/>
  <c r="K793" i="3"/>
  <c r="L793" i="3"/>
  <c r="M793" i="3"/>
  <c r="K794" i="3"/>
  <c r="L794" i="3"/>
  <c r="M794" i="3"/>
  <c r="K796" i="3"/>
  <c r="L796" i="3"/>
  <c r="M796" i="3"/>
  <c r="K797" i="3"/>
  <c r="L797" i="3"/>
  <c r="M797" i="3"/>
  <c r="K798" i="3"/>
  <c r="L798" i="3"/>
  <c r="M798" i="3"/>
  <c r="K799" i="3"/>
  <c r="L799" i="3"/>
  <c r="M799" i="3"/>
  <c r="K639" i="3"/>
  <c r="L639" i="3"/>
  <c r="M639" i="3"/>
  <c r="K1870" i="3"/>
  <c r="P1870" i="3" s="1"/>
  <c r="L1870" i="3"/>
  <c r="M1870" i="3"/>
  <c r="K1923" i="3"/>
  <c r="P1923" i="3" s="1"/>
  <c r="L1923" i="3"/>
  <c r="M1923" i="3"/>
  <c r="K2016" i="3"/>
  <c r="P2016" i="3" s="1"/>
  <c r="L2016" i="3"/>
  <c r="M2016" i="3"/>
  <c r="K1872" i="3"/>
  <c r="P1872" i="3" s="1"/>
  <c r="L1872" i="3"/>
  <c r="M1872" i="3"/>
  <c r="K1873" i="3"/>
  <c r="P1873" i="3" s="1"/>
  <c r="L1873" i="3"/>
  <c r="M1873" i="3"/>
  <c r="K1875" i="3"/>
  <c r="P1875" i="3" s="1"/>
  <c r="L1875" i="3"/>
  <c r="M1875" i="3"/>
  <c r="K1876" i="3"/>
  <c r="P1876" i="3" s="1"/>
  <c r="L1876" i="3"/>
  <c r="M1876" i="3"/>
  <c r="K1877" i="3"/>
  <c r="P1877" i="3" s="1"/>
  <c r="L1877" i="3"/>
  <c r="M1877" i="3"/>
  <c r="K1889" i="3"/>
  <c r="P1889" i="3" s="1"/>
  <c r="L1889" i="3"/>
  <c r="M1889" i="3"/>
  <c r="K1931" i="3"/>
  <c r="P1931" i="3" s="1"/>
  <c r="L1931" i="3"/>
  <c r="M1931" i="3"/>
  <c r="K1890" i="3"/>
  <c r="P1890" i="3" s="1"/>
  <c r="L1890" i="3"/>
  <c r="M1890" i="3"/>
  <c r="K609" i="108"/>
  <c r="L609" i="108"/>
  <c r="K610" i="108"/>
  <c r="L610" i="108"/>
  <c r="K314" i="108"/>
  <c r="L314" i="108"/>
  <c r="K552" i="108"/>
  <c r="L552" i="108"/>
  <c r="K532" i="108"/>
  <c r="L532" i="108"/>
  <c r="K268" i="108"/>
  <c r="L268" i="108"/>
  <c r="K611" i="108"/>
  <c r="L611" i="108"/>
  <c r="K576" i="108"/>
  <c r="L576" i="108"/>
  <c r="K629" i="108"/>
  <c r="L629" i="108"/>
  <c r="K630" i="108"/>
  <c r="L630" i="108"/>
  <c r="K553" i="108"/>
  <c r="L553" i="108"/>
  <c r="K612" i="108"/>
  <c r="L612" i="108"/>
  <c r="K443" i="108"/>
  <c r="L443" i="108"/>
  <c r="K330" i="108"/>
  <c r="L330" i="108"/>
  <c r="K1917" i="3"/>
  <c r="P1917" i="3" s="1"/>
  <c r="L1917" i="3"/>
  <c r="M1917" i="3"/>
  <c r="K1918" i="3"/>
  <c r="P1918" i="3" s="1"/>
  <c r="L1918" i="3"/>
  <c r="M1918" i="3"/>
  <c r="K1919" i="3"/>
  <c r="P1919" i="3" s="1"/>
  <c r="L1919" i="3"/>
  <c r="M1919" i="3"/>
  <c r="K1920" i="3"/>
  <c r="P1920" i="3" s="1"/>
  <c r="L1920" i="3"/>
  <c r="M1920" i="3"/>
  <c r="K1921" i="3"/>
  <c r="P1921" i="3" s="1"/>
  <c r="L1921" i="3"/>
  <c r="M1921" i="3"/>
  <c r="K1922" i="3"/>
  <c r="P1922" i="3" s="1"/>
  <c r="L1922" i="3"/>
  <c r="M1922" i="3"/>
  <c r="K1924" i="3"/>
  <c r="P1924" i="3" s="1"/>
  <c r="L1924" i="3"/>
  <c r="M1924" i="3"/>
  <c r="K1925" i="3"/>
  <c r="P1925" i="3" s="1"/>
  <c r="L1925" i="3"/>
  <c r="M1925" i="3"/>
  <c r="K1926" i="3"/>
  <c r="P1926" i="3" s="1"/>
  <c r="L1926" i="3"/>
  <c r="M1926" i="3"/>
  <c r="K1927" i="3"/>
  <c r="P1927" i="3" s="1"/>
  <c r="L1927" i="3"/>
  <c r="M1927" i="3"/>
  <c r="K1928" i="3"/>
  <c r="P1928" i="3" s="1"/>
  <c r="L1928" i="3"/>
  <c r="M1928" i="3"/>
  <c r="K1929" i="3"/>
  <c r="P1929" i="3" s="1"/>
  <c r="L1929" i="3"/>
  <c r="M1929" i="3"/>
  <c r="K1932" i="3"/>
  <c r="P1932" i="3" s="1"/>
  <c r="L1932" i="3"/>
  <c r="M1932" i="3"/>
  <c r="K1878" i="3"/>
  <c r="P1878" i="3" s="1"/>
  <c r="L1878" i="3"/>
  <c r="M1878" i="3"/>
  <c r="K1879" i="3"/>
  <c r="P1879" i="3" s="1"/>
  <c r="L1879" i="3"/>
  <c r="M1879" i="3"/>
  <c r="K1880" i="3"/>
  <c r="P1880" i="3" s="1"/>
  <c r="L1880" i="3"/>
  <c r="M1880" i="3"/>
  <c r="K1934" i="3"/>
  <c r="P1934" i="3" s="1"/>
  <c r="L1934" i="3"/>
  <c r="M1934" i="3"/>
  <c r="K1935" i="3"/>
  <c r="P1935" i="3" s="1"/>
  <c r="L1935" i="3"/>
  <c r="M1935" i="3"/>
  <c r="K1936" i="3"/>
  <c r="P1936" i="3" s="1"/>
  <c r="L1936" i="3"/>
  <c r="M1936" i="3"/>
  <c r="K1937" i="3"/>
  <c r="P1937" i="3" s="1"/>
  <c r="L1937" i="3"/>
  <c r="M1937" i="3"/>
  <c r="K1938" i="3"/>
  <c r="P1938" i="3" s="1"/>
  <c r="L1938" i="3"/>
  <c r="M1938" i="3"/>
  <c r="K1939" i="3"/>
  <c r="P1939" i="3" s="1"/>
  <c r="L1939" i="3"/>
  <c r="M1939" i="3"/>
  <c r="K1940" i="3"/>
  <c r="P1940" i="3" s="1"/>
  <c r="L1940" i="3"/>
  <c r="M1940" i="3"/>
  <c r="K1941" i="3"/>
  <c r="P1941" i="3" s="1"/>
  <c r="L1941" i="3"/>
  <c r="M1941" i="3"/>
  <c r="K1881" i="3"/>
  <c r="P1881" i="3" s="1"/>
  <c r="L1881" i="3"/>
  <c r="M1881" i="3"/>
  <c r="K1945" i="3"/>
  <c r="P1945" i="3" s="1"/>
  <c r="L1945" i="3"/>
  <c r="M1945" i="3"/>
  <c r="K1946" i="3"/>
  <c r="P1946" i="3" s="1"/>
  <c r="L1946" i="3"/>
  <c r="M1946" i="3"/>
  <c r="K1947" i="3"/>
  <c r="P1947" i="3" s="1"/>
  <c r="L1947" i="3"/>
  <c r="M1947" i="3"/>
  <c r="K1948" i="3"/>
  <c r="P1948" i="3" s="1"/>
  <c r="L1948" i="3"/>
  <c r="M1948" i="3"/>
  <c r="K1949" i="3"/>
  <c r="P1949" i="3" s="1"/>
  <c r="L1949" i="3"/>
  <c r="M1949" i="3"/>
  <c r="K1950" i="3"/>
  <c r="P1950" i="3" s="1"/>
  <c r="L1950" i="3"/>
  <c r="M1950" i="3"/>
  <c r="K1951" i="3"/>
  <c r="P1951" i="3" s="1"/>
  <c r="L1951" i="3"/>
  <c r="M1951" i="3"/>
  <c r="K1980" i="3"/>
  <c r="P1980" i="3" s="1"/>
  <c r="L1980" i="3"/>
  <c r="M1980" i="3"/>
  <c r="K1952" i="3"/>
  <c r="P1952" i="3" s="1"/>
  <c r="L1952" i="3"/>
  <c r="M1952" i="3"/>
  <c r="K1953" i="3"/>
  <c r="P1953" i="3" s="1"/>
  <c r="L1953" i="3"/>
  <c r="M1953" i="3"/>
  <c r="K1955" i="3"/>
  <c r="P1955" i="3" s="1"/>
  <c r="L1955" i="3"/>
  <c r="M1955" i="3"/>
  <c r="K1956" i="3"/>
  <c r="P1956" i="3" s="1"/>
  <c r="L1956" i="3"/>
  <c r="M1956" i="3"/>
  <c r="L1959" i="3"/>
  <c r="M1959" i="3"/>
  <c r="K1960" i="3"/>
  <c r="P1960" i="3" s="1"/>
  <c r="L1960" i="3"/>
  <c r="M1960" i="3"/>
  <c r="K1961" i="3"/>
  <c r="P1961" i="3" s="1"/>
  <c r="L1961" i="3"/>
  <c r="M1961" i="3"/>
  <c r="K1962" i="3"/>
  <c r="P1962" i="3" s="1"/>
  <c r="L1962" i="3"/>
  <c r="M1962" i="3"/>
  <c r="K1963" i="3"/>
  <c r="P1963" i="3" s="1"/>
  <c r="L1963" i="3"/>
  <c r="M1963" i="3"/>
  <c r="K1965" i="3"/>
  <c r="P1965" i="3" s="1"/>
  <c r="L1965" i="3"/>
  <c r="M1965" i="3"/>
  <c r="K1966" i="3"/>
  <c r="P1966" i="3" s="1"/>
  <c r="L1966" i="3"/>
  <c r="M1966" i="3"/>
  <c r="K1967" i="3"/>
  <c r="P1967" i="3" s="1"/>
  <c r="L1967" i="3"/>
  <c r="M1967" i="3"/>
  <c r="K1969" i="3"/>
  <c r="P1969" i="3" s="1"/>
  <c r="L1969" i="3"/>
  <c r="M1969" i="3"/>
  <c r="K1970" i="3"/>
  <c r="P1970" i="3" s="1"/>
  <c r="L1970" i="3"/>
  <c r="M1970" i="3"/>
  <c r="K1971" i="3"/>
  <c r="P1971" i="3" s="1"/>
  <c r="L1971" i="3"/>
  <c r="M1971" i="3"/>
  <c r="K1972" i="3"/>
  <c r="P1972" i="3" s="1"/>
  <c r="L1972" i="3"/>
  <c r="M1972" i="3"/>
  <c r="K1973" i="3"/>
  <c r="P1973" i="3" s="1"/>
  <c r="L1973" i="3"/>
  <c r="M1973" i="3"/>
  <c r="K1974" i="3"/>
  <c r="P1974" i="3" s="1"/>
  <c r="L1974" i="3"/>
  <c r="M1974" i="3"/>
  <c r="K1976" i="3"/>
  <c r="P1976" i="3" s="1"/>
  <c r="L1976" i="3"/>
  <c r="M1976" i="3"/>
  <c r="K1977" i="3"/>
  <c r="P1977" i="3" s="1"/>
  <c r="L1977" i="3"/>
  <c r="M1977" i="3"/>
  <c r="K1978" i="3"/>
  <c r="P1978" i="3" s="1"/>
  <c r="L1978" i="3"/>
  <c r="M1978" i="3"/>
  <c r="K1979" i="3"/>
  <c r="P1979" i="3" s="1"/>
  <c r="L1979" i="3"/>
  <c r="M1979" i="3"/>
  <c r="K1981" i="3"/>
  <c r="P1981" i="3" s="1"/>
  <c r="L1981" i="3"/>
  <c r="M1981" i="3"/>
  <c r="K1983" i="3"/>
  <c r="P1983" i="3" s="1"/>
  <c r="L1983" i="3"/>
  <c r="M1983" i="3"/>
  <c r="K1984" i="3"/>
  <c r="P1984" i="3" s="1"/>
  <c r="L1984" i="3"/>
  <c r="M1984" i="3"/>
  <c r="K1985" i="3"/>
  <c r="P1985" i="3" s="1"/>
  <c r="L1985" i="3"/>
  <c r="M1985" i="3"/>
  <c r="K1986" i="3"/>
  <c r="P1986" i="3" s="1"/>
  <c r="L1986" i="3"/>
  <c r="M1986" i="3"/>
  <c r="K1987" i="3"/>
  <c r="P1987" i="3" s="1"/>
  <c r="L1987" i="3"/>
  <c r="M1987" i="3"/>
  <c r="K1988" i="3"/>
  <c r="P1988" i="3" s="1"/>
  <c r="L1988" i="3"/>
  <c r="M1988" i="3"/>
  <c r="K1989" i="3"/>
  <c r="P1989" i="3" s="1"/>
  <c r="L1989" i="3"/>
  <c r="M1989" i="3"/>
  <c r="K1990" i="3"/>
  <c r="P1990" i="3" s="1"/>
  <c r="L1990" i="3"/>
  <c r="M1990" i="3"/>
  <c r="K1993" i="3"/>
  <c r="P1993" i="3" s="1"/>
  <c r="L1993" i="3"/>
  <c r="M1993" i="3"/>
  <c r="K1994" i="3"/>
  <c r="P1994" i="3" s="1"/>
  <c r="L1994" i="3"/>
  <c r="M1994" i="3"/>
  <c r="K757" i="3"/>
  <c r="L757" i="3"/>
  <c r="M757" i="3"/>
  <c r="K1996" i="3"/>
  <c r="P1996" i="3" s="1"/>
  <c r="L1996" i="3"/>
  <c r="M1996" i="3"/>
  <c r="K1995" i="3"/>
  <c r="P1995" i="3" s="1"/>
  <c r="L1995" i="3"/>
  <c r="M1995" i="3"/>
  <c r="K1997" i="3"/>
  <c r="P1997" i="3" s="1"/>
  <c r="L1997" i="3"/>
  <c r="M1997" i="3"/>
  <c r="K1998" i="3"/>
  <c r="P1998" i="3" s="1"/>
  <c r="L1998" i="3"/>
  <c r="M1998" i="3"/>
  <c r="K1999" i="3"/>
  <c r="P1999" i="3" s="1"/>
  <c r="L1999" i="3"/>
  <c r="M1999" i="3"/>
  <c r="K2001" i="3"/>
  <c r="P2001" i="3" s="1"/>
  <c r="L2001" i="3"/>
  <c r="M2001" i="3"/>
  <c r="K2002" i="3"/>
  <c r="P2002" i="3" s="1"/>
  <c r="L2002" i="3"/>
  <c r="M2002" i="3"/>
  <c r="K2003" i="3"/>
  <c r="P2003" i="3" s="1"/>
  <c r="L2003" i="3"/>
  <c r="M2003" i="3"/>
  <c r="K1871" i="3"/>
  <c r="P1871" i="3" s="1"/>
  <c r="L1871" i="3"/>
  <c r="M1871" i="3"/>
  <c r="K2005" i="3"/>
  <c r="P2005" i="3" s="1"/>
  <c r="L2005" i="3"/>
  <c r="M2005" i="3"/>
  <c r="K2006" i="3"/>
  <c r="P2006" i="3" s="1"/>
  <c r="L2006" i="3"/>
  <c r="M2006" i="3"/>
  <c r="K2007" i="3"/>
  <c r="P2007" i="3" s="1"/>
  <c r="L2007" i="3"/>
  <c r="M2007" i="3"/>
  <c r="K2009" i="3"/>
  <c r="P2009" i="3" s="1"/>
  <c r="L2009" i="3"/>
  <c r="M2009" i="3"/>
  <c r="K2011" i="3"/>
  <c r="P2011" i="3" s="1"/>
  <c r="L2011" i="3"/>
  <c r="M2011" i="3"/>
  <c r="K2014" i="3"/>
  <c r="P2014" i="3" s="1"/>
  <c r="L2014" i="3"/>
  <c r="M2014" i="3"/>
  <c r="K2015" i="3"/>
  <c r="P2015" i="3" s="1"/>
  <c r="L2015" i="3"/>
  <c r="M2015" i="3"/>
  <c r="K819" i="3"/>
  <c r="L819" i="3"/>
  <c r="M819" i="3"/>
  <c r="K821" i="3"/>
  <c r="L821" i="3"/>
  <c r="M821" i="3"/>
  <c r="K826" i="3"/>
  <c r="L826" i="3"/>
  <c r="M826" i="3"/>
  <c r="K827" i="3"/>
  <c r="L827" i="3"/>
  <c r="M827" i="3"/>
  <c r="K832" i="3"/>
  <c r="L832" i="3"/>
  <c r="M832" i="3"/>
  <c r="K834" i="3"/>
  <c r="L834" i="3"/>
  <c r="M834" i="3"/>
  <c r="K818" i="3"/>
  <c r="L818" i="3"/>
  <c r="M818" i="3"/>
  <c r="K1240" i="3"/>
  <c r="P1240" i="3" s="1"/>
  <c r="L1240" i="3"/>
  <c r="M1240" i="3"/>
  <c r="K1241" i="3"/>
  <c r="P1241" i="3" s="1"/>
  <c r="L1241" i="3"/>
  <c r="M1241" i="3"/>
  <c r="K1244" i="3"/>
  <c r="P1244" i="3" s="1"/>
  <c r="L1244" i="3"/>
  <c r="M1244" i="3"/>
  <c r="K1245" i="3"/>
  <c r="P1245" i="3" s="1"/>
  <c r="L1245" i="3"/>
  <c r="M1245" i="3"/>
  <c r="K1246" i="3"/>
  <c r="P1246" i="3" s="1"/>
  <c r="L1246" i="3"/>
  <c r="M1246" i="3"/>
  <c r="K1247" i="3"/>
  <c r="P1247" i="3" s="1"/>
  <c r="L1247" i="3"/>
  <c r="M1247" i="3"/>
  <c r="K1258" i="3"/>
  <c r="P1258" i="3" s="1"/>
  <c r="L1258" i="3"/>
  <c r="M1258" i="3"/>
  <c r="K1249" i="3"/>
  <c r="P1249" i="3" s="1"/>
  <c r="L1249" i="3"/>
  <c r="M1249" i="3"/>
  <c r="K1252" i="3"/>
  <c r="P1252" i="3" s="1"/>
  <c r="L1252" i="3"/>
  <c r="M1252" i="3"/>
  <c r="K1223" i="3"/>
  <c r="P1223" i="3" s="1"/>
  <c r="L1223" i="3"/>
  <c r="M1223" i="3"/>
  <c r="K1253" i="3"/>
  <c r="P1253" i="3" s="1"/>
  <c r="L1253" i="3"/>
  <c r="M1253" i="3"/>
  <c r="K1256" i="3"/>
  <c r="P1256" i="3" s="1"/>
  <c r="L1256" i="3"/>
  <c r="M1256" i="3"/>
  <c r="K1255" i="3"/>
  <c r="P1255" i="3" s="1"/>
  <c r="L1255" i="3"/>
  <c r="M1255" i="3"/>
  <c r="K1257" i="3"/>
  <c r="P1257" i="3" s="1"/>
  <c r="L1257" i="3"/>
  <c r="M1257" i="3"/>
  <c r="K1264" i="3"/>
  <c r="P1264" i="3" s="1"/>
  <c r="L1264" i="3"/>
  <c r="M1264" i="3"/>
  <c r="K1268" i="3"/>
  <c r="P1268" i="3" s="1"/>
  <c r="L1268" i="3"/>
  <c r="M1268" i="3"/>
  <c r="K1269" i="3"/>
  <c r="P1269" i="3" s="1"/>
  <c r="L1269" i="3"/>
  <c r="M1269" i="3"/>
  <c r="K1272" i="3"/>
  <c r="P1272" i="3" s="1"/>
  <c r="L1272" i="3"/>
  <c r="M1272" i="3"/>
  <c r="K1273" i="3"/>
  <c r="P1273" i="3" s="1"/>
  <c r="L1273" i="3"/>
  <c r="M1273" i="3"/>
  <c r="K1274" i="3"/>
  <c r="P1274" i="3" s="1"/>
  <c r="L1274" i="3"/>
  <c r="M1274" i="3"/>
  <c r="K1275" i="3"/>
  <c r="P1275" i="3" s="1"/>
  <c r="L1275" i="3"/>
  <c r="M1275" i="3"/>
  <c r="K1265" i="3"/>
  <c r="P1265" i="3" s="1"/>
  <c r="L1265" i="3"/>
  <c r="M1265" i="3"/>
  <c r="K1266" i="3"/>
  <c r="P1266" i="3" s="1"/>
  <c r="L1266" i="3"/>
  <c r="M1266" i="3"/>
  <c r="K1259" i="3"/>
  <c r="P1259" i="3" s="1"/>
  <c r="L1259" i="3"/>
  <c r="M1259" i="3"/>
  <c r="K1260" i="3"/>
  <c r="P1260" i="3" s="1"/>
  <c r="L1260" i="3"/>
  <c r="M1260" i="3"/>
  <c r="K1261" i="3"/>
  <c r="P1261" i="3" s="1"/>
  <c r="L1261" i="3"/>
  <c r="M1261" i="3"/>
  <c r="K1262" i="3"/>
  <c r="P1262" i="3" s="1"/>
  <c r="L1262" i="3"/>
  <c r="M1262" i="3"/>
  <c r="K1263" i="3"/>
  <c r="P1263" i="3" s="1"/>
  <c r="L1263" i="3"/>
  <c r="M1263" i="3"/>
  <c r="K1277" i="3"/>
  <c r="P1277" i="3" s="1"/>
  <c r="L1277" i="3"/>
  <c r="M1277" i="3"/>
  <c r="K1278" i="3"/>
  <c r="P1278" i="3" s="1"/>
  <c r="L1278" i="3"/>
  <c r="M1278" i="3"/>
  <c r="K1279" i="3"/>
  <c r="P1279" i="3" s="1"/>
  <c r="L1279" i="3"/>
  <c r="M1279" i="3"/>
  <c r="K1226" i="3"/>
  <c r="P1226" i="3" s="1"/>
  <c r="L1226" i="3"/>
  <c r="M1226" i="3"/>
  <c r="K1280" i="3"/>
  <c r="P1280" i="3" s="1"/>
  <c r="L1280" i="3"/>
  <c r="M1280" i="3"/>
  <c r="K1281" i="3"/>
  <c r="P1281" i="3" s="1"/>
  <c r="L1281" i="3"/>
  <c r="M1281" i="3"/>
  <c r="K1282" i="3"/>
  <c r="P1282" i="3" s="1"/>
  <c r="L1282" i="3"/>
  <c r="M1282" i="3"/>
  <c r="K1284" i="3"/>
  <c r="P1284" i="3" s="1"/>
  <c r="L1284" i="3"/>
  <c r="M1284" i="3"/>
  <c r="K1285" i="3"/>
  <c r="P1285" i="3" s="1"/>
  <c r="L1285" i="3"/>
  <c r="M1285" i="3"/>
  <c r="K1286" i="3"/>
  <c r="P1286" i="3" s="1"/>
  <c r="L1286" i="3"/>
  <c r="M1286" i="3"/>
  <c r="K1287" i="3"/>
  <c r="P1287" i="3" s="1"/>
  <c r="L1287" i="3"/>
  <c r="M1287" i="3"/>
  <c r="K1288" i="3"/>
  <c r="P1288" i="3" s="1"/>
  <c r="L1288" i="3"/>
  <c r="M1288" i="3"/>
  <c r="K1289" i="3"/>
  <c r="P1289" i="3" s="1"/>
  <c r="L1289" i="3"/>
  <c r="M1289" i="3"/>
  <c r="K1290" i="3"/>
  <c r="P1290" i="3" s="1"/>
  <c r="L1290" i="3"/>
  <c r="M1290" i="3"/>
  <c r="K1291" i="3"/>
  <c r="P1291" i="3" s="1"/>
  <c r="L1291" i="3"/>
  <c r="M1291" i="3"/>
  <c r="K1292" i="3"/>
  <c r="P1292" i="3" s="1"/>
  <c r="L1292" i="3"/>
  <c r="M1292" i="3"/>
  <c r="K1293" i="3"/>
  <c r="P1293" i="3" s="1"/>
  <c r="L1293" i="3"/>
  <c r="M1293" i="3"/>
  <c r="K1294" i="3"/>
  <c r="P1294" i="3" s="1"/>
  <c r="L1294" i="3"/>
  <c r="M1294" i="3"/>
  <c r="K1298" i="3"/>
  <c r="P1298" i="3" s="1"/>
  <c r="L1298" i="3"/>
  <c r="M1298" i="3"/>
  <c r="K1299" i="3"/>
  <c r="P1299" i="3" s="1"/>
  <c r="L1299" i="3"/>
  <c r="M1299" i="3"/>
  <c r="K1229" i="3"/>
  <c r="P1229" i="3" s="1"/>
  <c r="L1229" i="3"/>
  <c r="M1229" i="3"/>
  <c r="K1302" i="3"/>
  <c r="P1302" i="3" s="1"/>
  <c r="L1302" i="3"/>
  <c r="M1302" i="3"/>
  <c r="K1230" i="3"/>
  <c r="P1230" i="3" s="1"/>
  <c r="L1230" i="3"/>
  <c r="M1230" i="3"/>
  <c r="K1300" i="3"/>
  <c r="P1300" i="3" s="1"/>
  <c r="L1300" i="3"/>
  <c r="M1300" i="3"/>
  <c r="K1301" i="3"/>
  <c r="P1301" i="3" s="1"/>
  <c r="L1301" i="3"/>
  <c r="M1301" i="3"/>
  <c r="K1303" i="3"/>
  <c r="P1303" i="3" s="1"/>
  <c r="L1303" i="3"/>
  <c r="M1303" i="3"/>
  <c r="K1304" i="3"/>
  <c r="P1304" i="3" s="1"/>
  <c r="L1304" i="3"/>
  <c r="M1304" i="3"/>
  <c r="K1306" i="3"/>
  <c r="P1306" i="3" s="1"/>
  <c r="L1306" i="3"/>
  <c r="M1306" i="3"/>
  <c r="K1305" i="3"/>
  <c r="P1305" i="3" s="1"/>
  <c r="L1305" i="3"/>
  <c r="M1305" i="3"/>
  <c r="K1307" i="3"/>
  <c r="P1307" i="3" s="1"/>
  <c r="L1307" i="3"/>
  <c r="M1307" i="3"/>
  <c r="K1308" i="3"/>
  <c r="P1308" i="3" s="1"/>
  <c r="L1308" i="3"/>
  <c r="M1308" i="3"/>
  <c r="K1309" i="3"/>
  <c r="P1309" i="3" s="1"/>
  <c r="L1309" i="3"/>
  <c r="M1309" i="3"/>
  <c r="K1310" i="3"/>
  <c r="P1310" i="3" s="1"/>
  <c r="L1310" i="3"/>
  <c r="M1310" i="3"/>
  <c r="K1231" i="3"/>
  <c r="P1231" i="3" s="1"/>
  <c r="L1231" i="3"/>
  <c r="M1231" i="3"/>
  <c r="K1313" i="3"/>
  <c r="P1313" i="3" s="1"/>
  <c r="L1313" i="3"/>
  <c r="M1313" i="3"/>
  <c r="K1314" i="3"/>
  <c r="P1314" i="3" s="1"/>
  <c r="L1314" i="3"/>
  <c r="M1314" i="3"/>
  <c r="K1311" i="3"/>
  <c r="P1311" i="3" s="1"/>
  <c r="L1311" i="3"/>
  <c r="M1311" i="3"/>
  <c r="K1317" i="3"/>
  <c r="P1317" i="3" s="1"/>
  <c r="L1317" i="3"/>
  <c r="M1317" i="3"/>
  <c r="K1320" i="3"/>
  <c r="P1320" i="3" s="1"/>
  <c r="L1320" i="3"/>
  <c r="M1320" i="3"/>
  <c r="K1232" i="3"/>
  <c r="P1232" i="3" s="1"/>
  <c r="L1232" i="3"/>
  <c r="M1232" i="3"/>
  <c r="K1326" i="3"/>
  <c r="P1326" i="3" s="1"/>
  <c r="L1326" i="3"/>
  <c r="M1326" i="3"/>
  <c r="K1327" i="3"/>
  <c r="P1327" i="3" s="1"/>
  <c r="L1327" i="3"/>
  <c r="M1327" i="3"/>
  <c r="K1328" i="3"/>
  <c r="P1328" i="3" s="1"/>
  <c r="L1328" i="3"/>
  <c r="M1328" i="3"/>
  <c r="K1332" i="3"/>
  <c r="P1332" i="3" s="1"/>
  <c r="L1332" i="3"/>
  <c r="M1332" i="3"/>
  <c r="K1333" i="3"/>
  <c r="P1333" i="3" s="1"/>
  <c r="L1333" i="3"/>
  <c r="M1333" i="3"/>
  <c r="K1334" i="3"/>
  <c r="P1334" i="3" s="1"/>
  <c r="L1334" i="3"/>
  <c r="M1334" i="3"/>
  <c r="K1336" i="3"/>
  <c r="P1336" i="3" s="1"/>
  <c r="L1336" i="3"/>
  <c r="M1336" i="3"/>
  <c r="K1337" i="3"/>
  <c r="P1337" i="3" s="1"/>
  <c r="L1337" i="3"/>
  <c r="M1337" i="3"/>
  <c r="K1233" i="3"/>
  <c r="P1233" i="3" s="1"/>
  <c r="L1233" i="3"/>
  <c r="M1233" i="3"/>
  <c r="K1234" i="3"/>
  <c r="P1234" i="3" s="1"/>
  <c r="L1234" i="3"/>
  <c r="M1234" i="3"/>
  <c r="K1340" i="3"/>
  <c r="P1340" i="3" s="1"/>
  <c r="L1340" i="3"/>
  <c r="M1340" i="3"/>
  <c r="K1341" i="3"/>
  <c r="P1341" i="3" s="1"/>
  <c r="L1341" i="3"/>
  <c r="M1341" i="3"/>
  <c r="K1342" i="3"/>
  <c r="P1342" i="3" s="1"/>
  <c r="L1342" i="3"/>
  <c r="M1342" i="3"/>
  <c r="K1343" i="3"/>
  <c r="P1343" i="3" s="1"/>
  <c r="L1343" i="3"/>
  <c r="M1343" i="3"/>
  <c r="K1344" i="3"/>
  <c r="P1344" i="3" s="1"/>
  <c r="L1344" i="3"/>
  <c r="M1344" i="3"/>
  <c r="K1345" i="3"/>
  <c r="P1345" i="3" s="1"/>
  <c r="L1345" i="3"/>
  <c r="M1345" i="3"/>
  <c r="K1346" i="3"/>
  <c r="P1346" i="3" s="1"/>
  <c r="L1346" i="3"/>
  <c r="M1346" i="3"/>
  <c r="K1348" i="3"/>
  <c r="P1348" i="3" s="1"/>
  <c r="L1348" i="3"/>
  <c r="M1348" i="3"/>
  <c r="K1349" i="3"/>
  <c r="P1349" i="3" s="1"/>
  <c r="L1349" i="3"/>
  <c r="M1349" i="3"/>
  <c r="K1350" i="3"/>
  <c r="P1350" i="3" s="1"/>
  <c r="L1350" i="3"/>
  <c r="M1350" i="3"/>
  <c r="K1351" i="3"/>
  <c r="P1351" i="3" s="1"/>
  <c r="L1351" i="3"/>
  <c r="M1351" i="3"/>
  <c r="K1235" i="3"/>
  <c r="P1235" i="3" s="1"/>
  <c r="L1235" i="3"/>
  <c r="M1235" i="3"/>
  <c r="K1236" i="3"/>
  <c r="P1236" i="3" s="1"/>
  <c r="L1236" i="3"/>
  <c r="M1236" i="3"/>
  <c r="K1352" i="3"/>
  <c r="P1352" i="3" s="1"/>
  <c r="L1352" i="3"/>
  <c r="M1352" i="3"/>
  <c r="K1359" i="3"/>
  <c r="P1359" i="3" s="1"/>
  <c r="L1359" i="3"/>
  <c r="M1359" i="3"/>
  <c r="K1360" i="3"/>
  <c r="P1360" i="3" s="1"/>
  <c r="L1360" i="3"/>
  <c r="M1360" i="3"/>
  <c r="K1363" i="3"/>
  <c r="P1363" i="3" s="1"/>
  <c r="L1363" i="3"/>
  <c r="M1363" i="3"/>
  <c r="K1364" i="3"/>
  <c r="P1364" i="3" s="1"/>
  <c r="L1364" i="3"/>
  <c r="M1364" i="3"/>
  <c r="K1361" i="3"/>
  <c r="P1361" i="3" s="1"/>
  <c r="L1361" i="3"/>
  <c r="M1361" i="3"/>
  <c r="K1362" i="3"/>
  <c r="P1362" i="3" s="1"/>
  <c r="L1362" i="3"/>
  <c r="M1362" i="3"/>
  <c r="K1237" i="3"/>
  <c r="P1237" i="3" s="1"/>
  <c r="L1237" i="3"/>
  <c r="M1237" i="3"/>
  <c r="K1365" i="3"/>
  <c r="P1365" i="3" s="1"/>
  <c r="L1365" i="3"/>
  <c r="M1365" i="3"/>
  <c r="K1368" i="3"/>
  <c r="P1368" i="3" s="1"/>
  <c r="L1368" i="3"/>
  <c r="M1368" i="3"/>
  <c r="K1369" i="3"/>
  <c r="P1369" i="3" s="1"/>
  <c r="L1369" i="3"/>
  <c r="M1369" i="3"/>
  <c r="K1370" i="3"/>
  <c r="P1370" i="3" s="1"/>
  <c r="L1370" i="3"/>
  <c r="M1370" i="3"/>
  <c r="K1371" i="3"/>
  <c r="P1371" i="3" s="1"/>
  <c r="L1371" i="3"/>
  <c r="M1371" i="3"/>
  <c r="K1238" i="3"/>
  <c r="P1238" i="3" s="1"/>
  <c r="L1238" i="3"/>
  <c r="M1238" i="3"/>
  <c r="K1372" i="3"/>
  <c r="P1372" i="3" s="1"/>
  <c r="L1372" i="3"/>
  <c r="M1372" i="3"/>
  <c r="K1373" i="3"/>
  <c r="P1373" i="3" s="1"/>
  <c r="L1373" i="3"/>
  <c r="M1373" i="3"/>
  <c r="K1374" i="3"/>
  <c r="P1374" i="3" s="1"/>
  <c r="L1374" i="3"/>
  <c r="M1374" i="3"/>
  <c r="K1239" i="3"/>
  <c r="P1239" i="3" s="1"/>
  <c r="L1239" i="3"/>
  <c r="M1239" i="3"/>
  <c r="K1791" i="3"/>
  <c r="P1791" i="3" s="1"/>
  <c r="L1791" i="3"/>
  <c r="M1791" i="3"/>
  <c r="K1793" i="3"/>
  <c r="P1793" i="3" s="1"/>
  <c r="L1793" i="3"/>
  <c r="M1793" i="3"/>
  <c r="K1795" i="3"/>
  <c r="P1795" i="3" s="1"/>
  <c r="L1795" i="3"/>
  <c r="M1795" i="3"/>
  <c r="K547" i="3"/>
  <c r="L547" i="3"/>
  <c r="M547" i="3"/>
  <c r="K1513" i="3"/>
  <c r="P1513" i="3" s="1"/>
  <c r="L1513" i="3"/>
  <c r="M1513" i="3"/>
  <c r="K1516" i="3"/>
  <c r="P1516" i="3" s="1"/>
  <c r="L1516" i="3"/>
  <c r="M1516" i="3"/>
  <c r="K1518" i="3"/>
  <c r="P1518" i="3" s="1"/>
  <c r="L1518" i="3"/>
  <c r="M1518" i="3"/>
  <c r="K1514" i="3"/>
  <c r="P1514" i="3" s="1"/>
  <c r="L1514" i="3"/>
  <c r="M1514" i="3"/>
  <c r="K1515" i="3"/>
  <c r="P1515" i="3" s="1"/>
  <c r="L1515" i="3"/>
  <c r="M1515" i="3"/>
  <c r="K510" i="3"/>
  <c r="L510" i="3"/>
  <c r="M510" i="3"/>
  <c r="K1036" i="3"/>
  <c r="P1036" i="3" s="1"/>
  <c r="L1036" i="3"/>
  <c r="M1036" i="3"/>
  <c r="K559" i="108"/>
  <c r="L559" i="108"/>
  <c r="K1750" i="3"/>
  <c r="P1750" i="3" s="1"/>
  <c r="L1750" i="3"/>
  <c r="M1750" i="3"/>
  <c r="K330" i="3"/>
  <c r="P330" i="3" s="1"/>
  <c r="L330" i="3"/>
  <c r="M330" i="3"/>
  <c r="K326" i="3"/>
  <c r="P326" i="3" s="1"/>
  <c r="L326" i="3"/>
  <c r="M326" i="3"/>
  <c r="K332" i="3"/>
  <c r="P332" i="3" s="1"/>
  <c r="L332" i="3"/>
  <c r="M332" i="3"/>
  <c r="K335" i="3"/>
  <c r="P335" i="3" s="1"/>
  <c r="L335" i="3"/>
  <c r="M335" i="3"/>
  <c r="K369" i="3"/>
  <c r="P369" i="3" s="1"/>
  <c r="L369" i="3"/>
  <c r="M369" i="3"/>
  <c r="K328" i="3"/>
  <c r="P328" i="3" s="1"/>
  <c r="L328" i="3"/>
  <c r="M328" i="3"/>
  <c r="K340" i="3"/>
  <c r="P340" i="3" s="1"/>
  <c r="L340" i="3"/>
  <c r="M340" i="3"/>
  <c r="K2403" i="3"/>
  <c r="P2403" i="3" s="1"/>
  <c r="L2403" i="3"/>
  <c r="M2403" i="3"/>
  <c r="K2404" i="3"/>
  <c r="P2404" i="3" s="1"/>
  <c r="L2404" i="3"/>
  <c r="M2404" i="3"/>
  <c r="K1679" i="3"/>
  <c r="P1679" i="3" s="1"/>
  <c r="L1679" i="3"/>
  <c r="M1679" i="3"/>
  <c r="K36" i="3"/>
  <c r="L36" i="3"/>
  <c r="M36" i="3"/>
  <c r="K18" i="3"/>
  <c r="L18" i="3"/>
  <c r="M18" i="3"/>
  <c r="K19" i="3"/>
  <c r="L19" i="3"/>
  <c r="M19" i="3"/>
  <c r="K25" i="3"/>
  <c r="L25" i="3"/>
  <c r="M25" i="3"/>
  <c r="K2405" i="3"/>
  <c r="P2405" i="3" s="1"/>
  <c r="L2405" i="3"/>
  <c r="M2405" i="3"/>
  <c r="K11" i="3"/>
  <c r="L11" i="3"/>
  <c r="M11" i="3"/>
  <c r="K324" i="3"/>
  <c r="P324" i="3" s="1"/>
  <c r="L324" i="3"/>
  <c r="M324" i="3"/>
  <c r="K325" i="3"/>
  <c r="P325" i="3" s="1"/>
  <c r="L325" i="3"/>
  <c r="M325" i="3"/>
  <c r="K333" i="3"/>
  <c r="P333" i="3" s="1"/>
  <c r="L333" i="3"/>
  <c r="M333" i="3"/>
  <c r="K327" i="3"/>
  <c r="P327" i="3" s="1"/>
  <c r="L327" i="3"/>
  <c r="M327" i="3"/>
  <c r="K329" i="3"/>
  <c r="P329" i="3" s="1"/>
  <c r="L329" i="3"/>
  <c r="M329" i="3"/>
  <c r="K336" i="3"/>
  <c r="P336" i="3" s="1"/>
  <c r="L336" i="3"/>
  <c r="M336" i="3"/>
  <c r="K2407" i="3"/>
  <c r="P2407" i="3" s="1"/>
  <c r="L2407" i="3"/>
  <c r="M2407" i="3"/>
  <c r="K2406" i="3"/>
  <c r="P2406" i="3" s="1"/>
  <c r="L2406" i="3"/>
  <c r="M2406" i="3"/>
  <c r="K2111" i="3"/>
  <c r="P2111" i="3" s="1"/>
  <c r="L2111" i="3"/>
  <c r="M2111" i="3"/>
  <c r="K2112" i="3"/>
  <c r="P2112" i="3" s="1"/>
  <c r="L2112" i="3"/>
  <c r="M2112" i="3"/>
  <c r="K2113" i="3"/>
  <c r="P2113" i="3" s="1"/>
  <c r="L2113" i="3"/>
  <c r="M2113" i="3"/>
  <c r="K2114" i="3"/>
  <c r="P2114" i="3" s="1"/>
  <c r="L2114" i="3"/>
  <c r="M2114" i="3"/>
  <c r="K2115" i="3"/>
  <c r="P2115" i="3" s="1"/>
  <c r="L2115" i="3"/>
  <c r="M2115" i="3"/>
  <c r="K2116" i="3"/>
  <c r="P2116" i="3" s="1"/>
  <c r="L2116" i="3"/>
  <c r="M2116" i="3"/>
  <c r="K2117" i="3"/>
  <c r="P2117" i="3" s="1"/>
  <c r="L2117" i="3"/>
  <c r="M2117" i="3"/>
  <c r="K2118" i="3"/>
  <c r="P2118" i="3" s="1"/>
  <c r="L2118" i="3"/>
  <c r="M2118" i="3"/>
  <c r="K2119" i="3"/>
  <c r="P2119" i="3" s="1"/>
  <c r="L2119" i="3"/>
  <c r="M2119" i="3"/>
  <c r="K2120" i="3"/>
  <c r="P2120" i="3" s="1"/>
  <c r="L2120" i="3"/>
  <c r="M2120" i="3"/>
  <c r="K2121" i="3"/>
  <c r="P2121" i="3" s="1"/>
  <c r="L2121" i="3"/>
  <c r="M2121" i="3"/>
  <c r="K2122" i="3"/>
  <c r="P2122" i="3" s="1"/>
  <c r="L2122" i="3"/>
  <c r="M2122" i="3"/>
  <c r="K2123" i="3"/>
  <c r="P2123" i="3" s="1"/>
  <c r="L2123" i="3"/>
  <c r="M2123" i="3"/>
  <c r="K2124" i="3"/>
  <c r="P2124" i="3" s="1"/>
  <c r="L2124" i="3"/>
  <c r="M2124" i="3"/>
  <c r="K2125" i="3"/>
  <c r="P2125" i="3" s="1"/>
  <c r="L2125" i="3"/>
  <c r="M2125" i="3"/>
  <c r="K2126" i="3"/>
  <c r="P2126" i="3" s="1"/>
  <c r="L2126" i="3"/>
  <c r="M2126" i="3"/>
  <c r="K2127" i="3"/>
  <c r="P2127" i="3" s="1"/>
  <c r="L2127" i="3"/>
  <c r="M2127" i="3"/>
  <c r="K2141" i="3"/>
  <c r="P2141" i="3" s="1"/>
  <c r="L2141" i="3"/>
  <c r="M2141" i="3"/>
  <c r="K2128" i="3"/>
  <c r="P2128" i="3" s="1"/>
  <c r="L2128" i="3"/>
  <c r="M2128" i="3"/>
  <c r="K2129" i="3"/>
  <c r="P2129" i="3" s="1"/>
  <c r="L2129" i="3"/>
  <c r="M2129" i="3"/>
  <c r="K2132" i="3"/>
  <c r="P2132" i="3" s="1"/>
  <c r="L2132" i="3"/>
  <c r="M2132" i="3"/>
  <c r="K2133" i="3"/>
  <c r="P2133" i="3" s="1"/>
  <c r="L2133" i="3"/>
  <c r="M2133" i="3"/>
  <c r="K2134" i="3"/>
  <c r="P2134" i="3" s="1"/>
  <c r="L2134" i="3"/>
  <c r="M2134" i="3"/>
  <c r="K2135" i="3"/>
  <c r="P2135" i="3" s="1"/>
  <c r="L2135" i="3"/>
  <c r="M2135" i="3"/>
  <c r="K2137" i="3"/>
  <c r="P2137" i="3" s="1"/>
  <c r="L2137" i="3"/>
  <c r="M2137" i="3"/>
  <c r="K2138" i="3"/>
  <c r="P2138" i="3" s="1"/>
  <c r="L2138" i="3"/>
  <c r="M2138" i="3"/>
  <c r="K2139" i="3"/>
  <c r="P2139" i="3" s="1"/>
  <c r="L2139" i="3"/>
  <c r="M2139" i="3"/>
  <c r="K2140" i="3"/>
  <c r="P2140" i="3" s="1"/>
  <c r="L2140" i="3"/>
  <c r="M2140" i="3"/>
  <c r="K2142" i="3"/>
  <c r="P2142" i="3" s="1"/>
  <c r="L2142" i="3"/>
  <c r="M2142" i="3"/>
  <c r="K2144" i="3"/>
  <c r="P2144" i="3" s="1"/>
  <c r="L2144" i="3"/>
  <c r="M2144" i="3"/>
  <c r="K2145" i="3"/>
  <c r="P2145" i="3" s="1"/>
  <c r="L2145" i="3"/>
  <c r="M2145" i="3"/>
  <c r="K2146" i="3"/>
  <c r="P2146" i="3" s="1"/>
  <c r="L2146" i="3"/>
  <c r="M2146" i="3"/>
  <c r="K2147" i="3"/>
  <c r="P2147" i="3" s="1"/>
  <c r="L2147" i="3"/>
  <c r="M2147" i="3"/>
  <c r="K2143" i="3"/>
  <c r="P2143" i="3" s="1"/>
  <c r="L2143" i="3"/>
  <c r="M2143" i="3"/>
  <c r="K2148" i="3"/>
  <c r="P2148" i="3" s="1"/>
  <c r="L2148" i="3"/>
  <c r="M2148" i="3"/>
  <c r="K2149" i="3"/>
  <c r="P2149" i="3" s="1"/>
  <c r="L2149" i="3"/>
  <c r="M2149" i="3"/>
  <c r="K2151" i="3"/>
  <c r="P2151" i="3" s="1"/>
  <c r="L2151" i="3"/>
  <c r="M2151" i="3"/>
  <c r="K2150" i="3"/>
  <c r="P2150" i="3" s="1"/>
  <c r="L2150" i="3"/>
  <c r="M2150" i="3"/>
  <c r="K2153" i="3"/>
  <c r="P2153" i="3" s="1"/>
  <c r="L2153" i="3"/>
  <c r="M2153" i="3"/>
  <c r="K2152" i="3"/>
  <c r="P2152" i="3" s="1"/>
  <c r="L2152" i="3"/>
  <c r="M2152" i="3"/>
  <c r="K2154" i="3"/>
  <c r="P2154" i="3" s="1"/>
  <c r="L2154" i="3"/>
  <c r="M2154" i="3"/>
  <c r="K2155" i="3"/>
  <c r="P2155" i="3" s="1"/>
  <c r="L2155" i="3"/>
  <c r="M2155" i="3"/>
  <c r="K2159" i="3"/>
  <c r="P2159" i="3" s="1"/>
  <c r="L2159" i="3"/>
  <c r="M2159" i="3"/>
  <c r="K2157" i="3"/>
  <c r="P2157" i="3" s="1"/>
  <c r="L2157" i="3"/>
  <c r="M2157" i="3"/>
  <c r="K2158" i="3"/>
  <c r="P2158" i="3" s="1"/>
  <c r="L2158" i="3"/>
  <c r="M2158" i="3"/>
  <c r="K2160" i="3"/>
  <c r="P2160" i="3" s="1"/>
  <c r="L2160" i="3"/>
  <c r="M2160" i="3"/>
  <c r="K2161" i="3"/>
  <c r="P2161" i="3" s="1"/>
  <c r="L2161" i="3"/>
  <c r="M2161" i="3"/>
  <c r="K2163" i="3"/>
  <c r="P2163" i="3" s="1"/>
  <c r="L2163" i="3"/>
  <c r="M2163" i="3"/>
  <c r="K2169" i="3"/>
  <c r="P2169" i="3" s="1"/>
  <c r="L2169" i="3"/>
  <c r="M2169" i="3"/>
  <c r="K2170" i="3"/>
  <c r="P2170" i="3" s="1"/>
  <c r="L2170" i="3"/>
  <c r="M2170" i="3"/>
  <c r="K2174" i="3"/>
  <c r="P2174" i="3" s="1"/>
  <c r="L2174" i="3"/>
  <c r="M2174" i="3"/>
  <c r="K2175" i="3"/>
  <c r="P2175" i="3" s="1"/>
  <c r="L2175" i="3"/>
  <c r="M2175" i="3"/>
  <c r="K2177" i="3"/>
  <c r="P2177" i="3" s="1"/>
  <c r="L2177" i="3"/>
  <c r="M2177" i="3"/>
  <c r="K2180" i="3"/>
  <c r="P2180" i="3" s="1"/>
  <c r="L2180" i="3"/>
  <c r="M2180" i="3"/>
  <c r="K2181" i="3"/>
  <c r="P2181" i="3" s="1"/>
  <c r="L2181" i="3"/>
  <c r="M2181" i="3"/>
  <c r="K2165" i="3"/>
  <c r="P2165" i="3" s="1"/>
  <c r="L2165" i="3"/>
  <c r="M2165" i="3"/>
  <c r="K2166" i="3"/>
  <c r="P2166" i="3" s="1"/>
  <c r="L2166" i="3"/>
  <c r="M2166" i="3"/>
  <c r="K2167" i="3"/>
  <c r="P2167" i="3" s="1"/>
  <c r="L2167" i="3"/>
  <c r="M2167" i="3"/>
  <c r="K2172" i="3"/>
  <c r="P2172" i="3" s="1"/>
  <c r="L2172" i="3"/>
  <c r="M2172" i="3"/>
  <c r="K2171" i="3"/>
  <c r="P2171" i="3" s="1"/>
  <c r="L2171" i="3"/>
  <c r="M2171" i="3"/>
  <c r="K2179" i="3"/>
  <c r="P2179" i="3" s="1"/>
  <c r="L2179" i="3"/>
  <c r="M2179" i="3"/>
  <c r="K2183" i="3"/>
  <c r="P2183" i="3" s="1"/>
  <c r="L2183" i="3"/>
  <c r="M2183" i="3"/>
  <c r="K2184" i="3"/>
  <c r="P2184" i="3" s="1"/>
  <c r="L2184" i="3"/>
  <c r="M2184" i="3"/>
  <c r="K2185" i="3"/>
  <c r="P2185" i="3" s="1"/>
  <c r="L2185" i="3"/>
  <c r="M2185" i="3"/>
  <c r="K2187" i="3"/>
  <c r="P2187" i="3" s="1"/>
  <c r="L2187" i="3"/>
  <c r="M2187" i="3"/>
  <c r="K2188" i="3"/>
  <c r="P2188" i="3" s="1"/>
  <c r="L2188" i="3"/>
  <c r="M2188" i="3"/>
  <c r="K2186" i="3"/>
  <c r="P2186" i="3" s="1"/>
  <c r="L2186" i="3"/>
  <c r="M2186" i="3"/>
  <c r="K2189" i="3"/>
  <c r="P2189" i="3" s="1"/>
  <c r="L2189" i="3"/>
  <c r="M2189" i="3"/>
  <c r="K2190" i="3"/>
  <c r="P2190" i="3" s="1"/>
  <c r="L2190" i="3"/>
  <c r="M2190" i="3"/>
  <c r="K2191" i="3"/>
  <c r="P2191" i="3" s="1"/>
  <c r="L2191" i="3"/>
  <c r="M2191" i="3"/>
  <c r="K2209" i="3"/>
  <c r="P2209" i="3" s="1"/>
  <c r="L2209" i="3"/>
  <c r="M2209" i="3"/>
  <c r="K2192" i="3"/>
  <c r="P2192" i="3" s="1"/>
  <c r="L2192" i="3"/>
  <c r="M2192" i="3"/>
  <c r="K2193" i="3"/>
  <c r="P2193" i="3" s="1"/>
  <c r="L2193" i="3"/>
  <c r="M2193" i="3"/>
  <c r="K2194" i="3"/>
  <c r="P2194" i="3" s="1"/>
  <c r="L2194" i="3"/>
  <c r="M2194" i="3"/>
  <c r="K2195" i="3"/>
  <c r="P2195" i="3" s="1"/>
  <c r="L2195" i="3"/>
  <c r="M2195" i="3"/>
  <c r="K2197" i="3"/>
  <c r="P2197" i="3" s="1"/>
  <c r="L2197" i="3"/>
  <c r="M2197" i="3"/>
  <c r="K2200" i="3"/>
  <c r="P2200" i="3" s="1"/>
  <c r="L2200" i="3"/>
  <c r="M2200" i="3"/>
  <c r="K2201" i="3"/>
  <c r="P2201" i="3" s="1"/>
  <c r="L2201" i="3"/>
  <c r="M2201" i="3"/>
  <c r="K2202" i="3"/>
  <c r="P2202" i="3" s="1"/>
  <c r="L2202" i="3"/>
  <c r="M2202" i="3"/>
  <c r="K2203" i="3"/>
  <c r="P2203" i="3" s="1"/>
  <c r="L2203" i="3"/>
  <c r="M2203" i="3"/>
  <c r="K2204" i="3"/>
  <c r="P2204" i="3" s="1"/>
  <c r="L2204" i="3"/>
  <c r="M2204" i="3"/>
  <c r="K2205" i="3"/>
  <c r="P2205" i="3" s="1"/>
  <c r="L2205" i="3"/>
  <c r="M2205" i="3"/>
  <c r="K2206" i="3"/>
  <c r="P2206" i="3" s="1"/>
  <c r="L2206" i="3"/>
  <c r="M2206" i="3"/>
  <c r="K2207" i="3"/>
  <c r="P2207" i="3" s="1"/>
  <c r="L2207" i="3"/>
  <c r="M2207" i="3"/>
  <c r="K339" i="3"/>
  <c r="P339" i="3" s="1"/>
  <c r="L339" i="3"/>
  <c r="M339" i="3"/>
  <c r="K1447" i="3"/>
  <c r="P1447" i="3" s="1"/>
  <c r="L1447" i="3"/>
  <c r="M1447" i="3"/>
  <c r="K1448" i="3"/>
  <c r="P1448" i="3" s="1"/>
  <c r="L1448" i="3"/>
  <c r="M1448" i="3"/>
  <c r="K1411" i="3"/>
  <c r="P1411" i="3" s="1"/>
  <c r="L1411" i="3"/>
  <c r="M1411" i="3"/>
  <c r="K2346" i="3"/>
  <c r="P2346" i="3" s="1"/>
  <c r="L2346" i="3"/>
  <c r="M2346" i="3"/>
  <c r="K1071" i="3"/>
  <c r="P1071" i="3" s="1"/>
  <c r="L1071" i="3"/>
  <c r="M1071" i="3"/>
  <c r="K1522" i="3"/>
  <c r="P1522" i="3" s="1"/>
  <c r="L1522" i="3"/>
  <c r="M1522" i="3"/>
  <c r="K1523" i="3"/>
  <c r="P1523" i="3" s="1"/>
  <c r="L1523" i="3"/>
  <c r="M1523" i="3"/>
  <c r="K1524" i="3"/>
  <c r="P1524" i="3" s="1"/>
  <c r="L1524" i="3"/>
  <c r="M1524" i="3"/>
  <c r="K1525" i="3"/>
  <c r="P1525" i="3" s="1"/>
  <c r="L1525" i="3"/>
  <c r="M1525" i="3"/>
  <c r="K1526" i="3"/>
  <c r="P1526" i="3" s="1"/>
  <c r="L1526" i="3"/>
  <c r="M1526" i="3"/>
  <c r="K191" i="3"/>
  <c r="L191" i="3"/>
  <c r="M191" i="3"/>
  <c r="K1572" i="3"/>
  <c r="P1572" i="3" s="1"/>
  <c r="L1572" i="3"/>
  <c r="M1572" i="3"/>
  <c r="K1527" i="3"/>
  <c r="P1527" i="3" s="1"/>
  <c r="L1527" i="3"/>
  <c r="M1527" i="3"/>
  <c r="K192" i="3"/>
  <c r="L192" i="3"/>
  <c r="M192" i="3"/>
  <c r="K193" i="3"/>
  <c r="L193" i="3"/>
  <c r="M193" i="3"/>
  <c r="K1529" i="3"/>
  <c r="P1529" i="3" s="1"/>
  <c r="L1529" i="3"/>
  <c r="M1529" i="3"/>
  <c r="K1530" i="3"/>
  <c r="P1530" i="3" s="1"/>
  <c r="L1530" i="3"/>
  <c r="M1530" i="3"/>
  <c r="K1534" i="3"/>
  <c r="P1534" i="3" s="1"/>
  <c r="L1534" i="3"/>
  <c r="M1534" i="3"/>
  <c r="K1532" i="3"/>
  <c r="P1532" i="3" s="1"/>
  <c r="L1532" i="3"/>
  <c r="M1532" i="3"/>
  <c r="K1528" i="3"/>
  <c r="P1528" i="3" s="1"/>
  <c r="L1528" i="3"/>
  <c r="M1528" i="3"/>
  <c r="K1533" i="3"/>
  <c r="P1533" i="3" s="1"/>
  <c r="L1533" i="3"/>
  <c r="M1533" i="3"/>
  <c r="K1535" i="3"/>
  <c r="P1535" i="3" s="1"/>
  <c r="L1535" i="3"/>
  <c r="M1535" i="3"/>
  <c r="K1536" i="3"/>
  <c r="P1536" i="3" s="1"/>
  <c r="L1536" i="3"/>
  <c r="M1536" i="3"/>
  <c r="K1541" i="3"/>
  <c r="P1541" i="3" s="1"/>
  <c r="L1541" i="3"/>
  <c r="M1541" i="3"/>
  <c r="K1539" i="3"/>
  <c r="P1539" i="3" s="1"/>
  <c r="L1539" i="3"/>
  <c r="M1539" i="3"/>
  <c r="K1540" i="3"/>
  <c r="P1540" i="3" s="1"/>
  <c r="L1540" i="3"/>
  <c r="M1540" i="3"/>
  <c r="K1542" i="3"/>
  <c r="P1542" i="3" s="1"/>
  <c r="L1542" i="3"/>
  <c r="M1542" i="3"/>
  <c r="K78" i="3"/>
  <c r="L78" i="3"/>
  <c r="M78" i="3"/>
  <c r="K66" i="3"/>
  <c r="L66" i="3"/>
  <c r="M66" i="3"/>
  <c r="K72" i="3"/>
  <c r="L72" i="3"/>
  <c r="M72" i="3"/>
  <c r="K57" i="3"/>
  <c r="L57" i="3"/>
  <c r="M57" i="3"/>
  <c r="K59" i="3"/>
  <c r="L59" i="3"/>
  <c r="M59" i="3"/>
  <c r="K85" i="3"/>
  <c r="L85" i="3"/>
  <c r="M85" i="3"/>
  <c r="K58" i="3"/>
  <c r="L58" i="3"/>
  <c r="M58" i="3"/>
  <c r="K64" i="3"/>
  <c r="L64" i="3"/>
  <c r="M64" i="3"/>
  <c r="K65" i="3"/>
  <c r="L65" i="3"/>
  <c r="M65" i="3"/>
  <c r="K67" i="3"/>
  <c r="L67" i="3"/>
  <c r="M67" i="3"/>
  <c r="K71" i="3"/>
  <c r="L71" i="3"/>
  <c r="M71" i="3"/>
  <c r="K83" i="3"/>
  <c r="L83" i="3"/>
  <c r="M83" i="3"/>
  <c r="K62" i="3"/>
  <c r="L62" i="3"/>
  <c r="M62" i="3"/>
  <c r="K84" i="3"/>
  <c r="L84" i="3"/>
  <c r="M84" i="3"/>
  <c r="K87" i="3"/>
  <c r="L87" i="3"/>
  <c r="M87" i="3"/>
  <c r="K69" i="3"/>
  <c r="L69" i="3"/>
  <c r="M69" i="3"/>
  <c r="K70" i="3"/>
  <c r="L70" i="3"/>
  <c r="M70" i="3"/>
  <c r="K63" i="3"/>
  <c r="L63" i="3"/>
  <c r="M63" i="3"/>
  <c r="K81" i="3"/>
  <c r="L81" i="3"/>
  <c r="M81" i="3"/>
  <c r="K76" i="3"/>
  <c r="L76" i="3"/>
  <c r="M76" i="3"/>
  <c r="K74" i="3"/>
  <c r="L74" i="3"/>
  <c r="M74" i="3"/>
  <c r="K89" i="3"/>
  <c r="L89" i="3"/>
  <c r="M89" i="3"/>
  <c r="K61" i="3"/>
  <c r="L61" i="3"/>
  <c r="M61" i="3"/>
  <c r="K88" i="3"/>
  <c r="L88" i="3"/>
  <c r="M88" i="3"/>
  <c r="K75" i="3"/>
  <c r="L75" i="3"/>
  <c r="M75" i="3"/>
  <c r="K77" i="3"/>
  <c r="L77" i="3"/>
  <c r="M77" i="3"/>
  <c r="K73" i="3"/>
  <c r="L73" i="3"/>
  <c r="M73" i="3"/>
  <c r="K86" i="3"/>
  <c r="L86" i="3"/>
  <c r="M86" i="3"/>
  <c r="K2241" i="3"/>
  <c r="P2241" i="3" s="1"/>
  <c r="L2241" i="3"/>
  <c r="M2241" i="3"/>
  <c r="K2255" i="3"/>
  <c r="P2255" i="3" s="1"/>
  <c r="L2255" i="3"/>
  <c r="M2255" i="3"/>
  <c r="K2257" i="3"/>
  <c r="P2257" i="3" s="1"/>
  <c r="L2257" i="3"/>
  <c r="M2257" i="3"/>
  <c r="K2254" i="3"/>
  <c r="P2254" i="3" s="1"/>
  <c r="L2254" i="3"/>
  <c r="M2254" i="3"/>
  <c r="K2230" i="3"/>
  <c r="P2230" i="3" s="1"/>
  <c r="L2230" i="3"/>
  <c r="M2230" i="3"/>
  <c r="K2213" i="3"/>
  <c r="P2213" i="3" s="1"/>
  <c r="L2213" i="3"/>
  <c r="M2213" i="3"/>
  <c r="K2259" i="3"/>
  <c r="P2259" i="3" s="1"/>
  <c r="L2259" i="3"/>
  <c r="M2259" i="3"/>
  <c r="K2216" i="3"/>
  <c r="P2216" i="3" s="1"/>
  <c r="L2216" i="3"/>
  <c r="M2216" i="3"/>
  <c r="K2217" i="3"/>
  <c r="P2217" i="3" s="1"/>
  <c r="L2217" i="3"/>
  <c r="M2217" i="3"/>
  <c r="K2218" i="3"/>
  <c r="P2218" i="3" s="1"/>
  <c r="L2218" i="3"/>
  <c r="M2218" i="3"/>
  <c r="K2219" i="3"/>
  <c r="P2219" i="3" s="1"/>
  <c r="L2219" i="3"/>
  <c r="M2219" i="3"/>
  <c r="K2234" i="3"/>
  <c r="P2234" i="3" s="1"/>
  <c r="L2234" i="3"/>
  <c r="M2234" i="3"/>
  <c r="K2235" i="3"/>
  <c r="P2235" i="3" s="1"/>
  <c r="L2235" i="3"/>
  <c r="M2235" i="3"/>
  <c r="K2245" i="3"/>
  <c r="P2245" i="3" s="1"/>
  <c r="L2245" i="3"/>
  <c r="M2245" i="3"/>
  <c r="K2220" i="3"/>
  <c r="P2220" i="3" s="1"/>
  <c r="L2220" i="3"/>
  <c r="M2220" i="3"/>
  <c r="K2260" i="3"/>
  <c r="P2260" i="3" s="1"/>
  <c r="L2260" i="3"/>
  <c r="M2260" i="3"/>
  <c r="K2237" i="3"/>
  <c r="P2237" i="3" s="1"/>
  <c r="L2237" i="3"/>
  <c r="M2237" i="3"/>
  <c r="K2261" i="3"/>
  <c r="P2261" i="3" s="1"/>
  <c r="L2261" i="3"/>
  <c r="M2261" i="3"/>
  <c r="K2214" i="3"/>
  <c r="P2214" i="3" s="1"/>
  <c r="L2214" i="3"/>
  <c r="M2214" i="3"/>
  <c r="K2221" i="3"/>
  <c r="P2221" i="3" s="1"/>
  <c r="L2221" i="3"/>
  <c r="M2221" i="3"/>
  <c r="K2222" i="3"/>
  <c r="P2222" i="3" s="1"/>
  <c r="L2222" i="3"/>
  <c r="M2222" i="3"/>
  <c r="K2262" i="3"/>
  <c r="P2262" i="3" s="1"/>
  <c r="L2262" i="3"/>
  <c r="M2262" i="3"/>
  <c r="K2263" i="3"/>
  <c r="P2263" i="3" s="1"/>
  <c r="L2263" i="3"/>
  <c r="M2263" i="3"/>
  <c r="K2223" i="3"/>
  <c r="P2223" i="3" s="1"/>
  <c r="L2223" i="3"/>
  <c r="M2223" i="3"/>
  <c r="K2264" i="3"/>
  <c r="P2264" i="3" s="1"/>
  <c r="L2264" i="3"/>
  <c r="M2264" i="3"/>
  <c r="K2265" i="3"/>
  <c r="P2265" i="3" s="1"/>
  <c r="L2265" i="3"/>
  <c r="M2265" i="3"/>
  <c r="K2242" i="3"/>
  <c r="P2242" i="3" s="1"/>
  <c r="L2242" i="3"/>
  <c r="M2242" i="3"/>
  <c r="K2224" i="3"/>
  <c r="P2224" i="3" s="1"/>
  <c r="L2224" i="3"/>
  <c r="M2224" i="3"/>
  <c r="K2225" i="3"/>
  <c r="P2225" i="3" s="1"/>
  <c r="L2225" i="3"/>
  <c r="M2225" i="3"/>
  <c r="K2266" i="3"/>
  <c r="P2266" i="3" s="1"/>
  <c r="L2266" i="3"/>
  <c r="M2266" i="3"/>
  <c r="K2243" i="3"/>
  <c r="P2243" i="3" s="1"/>
  <c r="L2243" i="3"/>
  <c r="M2243" i="3"/>
  <c r="K2250" i="3"/>
  <c r="P2250" i="3" s="1"/>
  <c r="L2250" i="3"/>
  <c r="M2250" i="3"/>
  <c r="K2267" i="3"/>
  <c r="P2267" i="3" s="1"/>
  <c r="L2267" i="3"/>
  <c r="M2267" i="3"/>
  <c r="K2251" i="3"/>
  <c r="P2251" i="3" s="1"/>
  <c r="L2251" i="3"/>
  <c r="M2251" i="3"/>
  <c r="K2215" i="3"/>
  <c r="P2215" i="3" s="1"/>
  <c r="L2215" i="3"/>
  <c r="M2215" i="3"/>
  <c r="K2268" i="3"/>
  <c r="P2268" i="3" s="1"/>
  <c r="L2268" i="3"/>
  <c r="M2268" i="3"/>
  <c r="K2231" i="3"/>
  <c r="P2231" i="3" s="1"/>
  <c r="L2231" i="3"/>
  <c r="M2231" i="3"/>
  <c r="K2269" i="3"/>
  <c r="P2269" i="3" s="1"/>
  <c r="L2269" i="3"/>
  <c r="M2269" i="3"/>
  <c r="K2270" i="3"/>
  <c r="P2270" i="3" s="1"/>
  <c r="L2270" i="3"/>
  <c r="M2270" i="3"/>
  <c r="K2226" i="3"/>
  <c r="P2226" i="3" s="1"/>
  <c r="L2226" i="3"/>
  <c r="M2226" i="3"/>
  <c r="K2227" i="3"/>
  <c r="P2227" i="3" s="1"/>
  <c r="L2227" i="3"/>
  <c r="M2227" i="3"/>
  <c r="K2228" i="3"/>
  <c r="P2228" i="3" s="1"/>
  <c r="L2228" i="3"/>
  <c r="M2228" i="3"/>
  <c r="K2232" i="3"/>
  <c r="P2232" i="3" s="1"/>
  <c r="L2232" i="3"/>
  <c r="M2232" i="3"/>
  <c r="K2246" i="3"/>
  <c r="P2246" i="3" s="1"/>
  <c r="L2246" i="3"/>
  <c r="M2246" i="3"/>
  <c r="K2252" i="3"/>
  <c r="P2252" i="3" s="1"/>
  <c r="L2252" i="3"/>
  <c r="M2252" i="3"/>
  <c r="K2271" i="3"/>
  <c r="P2271" i="3" s="1"/>
  <c r="L2271" i="3"/>
  <c r="M2271" i="3"/>
  <c r="K2272" i="3"/>
  <c r="P2272" i="3" s="1"/>
  <c r="L2272" i="3"/>
  <c r="M2272" i="3"/>
  <c r="K2247" i="3"/>
  <c r="P2247" i="3" s="1"/>
  <c r="L2247" i="3"/>
  <c r="M2247" i="3"/>
  <c r="K2229" i="3"/>
  <c r="P2229" i="3" s="1"/>
  <c r="L2229" i="3"/>
  <c r="M2229" i="3"/>
  <c r="K2236" i="3"/>
  <c r="P2236" i="3" s="1"/>
  <c r="L2236" i="3"/>
  <c r="M2236" i="3"/>
  <c r="K2274" i="3"/>
  <c r="P2274" i="3" s="1"/>
  <c r="L2274" i="3"/>
  <c r="M2274" i="3"/>
  <c r="K2275" i="3"/>
  <c r="P2275" i="3" s="1"/>
  <c r="L2275" i="3"/>
  <c r="M2275" i="3"/>
  <c r="K2276" i="3"/>
  <c r="P2276" i="3" s="1"/>
  <c r="L2276" i="3"/>
  <c r="M2276" i="3"/>
  <c r="K2233" i="3"/>
  <c r="P2233" i="3" s="1"/>
  <c r="L2233" i="3"/>
  <c r="M2233" i="3"/>
  <c r="K2238" i="3"/>
  <c r="P2238" i="3" s="1"/>
  <c r="L2238" i="3"/>
  <c r="M2238" i="3"/>
  <c r="K2248" i="3"/>
  <c r="P2248" i="3" s="1"/>
  <c r="L2248" i="3"/>
  <c r="M2248" i="3"/>
  <c r="K2253" i="3"/>
  <c r="P2253" i="3" s="1"/>
  <c r="L2253" i="3"/>
  <c r="M2253" i="3"/>
  <c r="K1815" i="3"/>
  <c r="P1815" i="3" s="1"/>
  <c r="L1815" i="3"/>
  <c r="M1815" i="3"/>
  <c r="K1805" i="3"/>
  <c r="P1805" i="3" s="1"/>
  <c r="L1805" i="3"/>
  <c r="M1805" i="3"/>
  <c r="K1690" i="3"/>
  <c r="P1690" i="3" s="1"/>
  <c r="L1690" i="3"/>
  <c r="M1690" i="3"/>
  <c r="K508" i="3"/>
  <c r="L508" i="3"/>
  <c r="M508" i="3"/>
  <c r="K603" i="3"/>
  <c r="L603" i="3"/>
  <c r="M603" i="3"/>
  <c r="K514" i="3"/>
  <c r="L514" i="3"/>
  <c r="M514" i="3"/>
  <c r="K515" i="3"/>
  <c r="L515" i="3"/>
  <c r="M515" i="3"/>
  <c r="K516" i="3"/>
  <c r="L516" i="3"/>
  <c r="M516" i="3"/>
  <c r="K517" i="3"/>
  <c r="L517" i="3"/>
  <c r="M517" i="3"/>
  <c r="K518" i="3"/>
  <c r="L518" i="3"/>
  <c r="M518" i="3"/>
  <c r="K549" i="3"/>
  <c r="L549" i="3"/>
  <c r="M549" i="3"/>
  <c r="K524" i="3"/>
  <c r="L524" i="3"/>
  <c r="M524" i="3"/>
  <c r="K525" i="3"/>
  <c r="L525" i="3"/>
  <c r="M525" i="3"/>
  <c r="K581" i="3"/>
  <c r="L581" i="3"/>
  <c r="M581" i="3"/>
  <c r="K551" i="3"/>
  <c r="L551" i="3"/>
  <c r="M551" i="3"/>
  <c r="K606" i="3"/>
  <c r="L606" i="3"/>
  <c r="M606" i="3"/>
  <c r="K550" i="3"/>
  <c r="L550" i="3"/>
  <c r="M550" i="3"/>
  <c r="K552" i="3"/>
  <c r="L552" i="3"/>
  <c r="M552" i="3"/>
  <c r="K554" i="3"/>
  <c r="L554" i="3"/>
  <c r="M554" i="3"/>
  <c r="K555" i="3"/>
  <c r="L555" i="3"/>
  <c r="M555" i="3"/>
  <c r="K556" i="3"/>
  <c r="L556" i="3"/>
  <c r="M556" i="3"/>
  <c r="K557" i="3"/>
  <c r="L557" i="3"/>
  <c r="M557" i="3"/>
  <c r="K558" i="3"/>
  <c r="L558" i="3"/>
  <c r="M558" i="3"/>
  <c r="K519" i="3"/>
  <c r="L519" i="3"/>
  <c r="M519" i="3"/>
  <c r="K559" i="3"/>
  <c r="L559" i="3"/>
  <c r="M559" i="3"/>
  <c r="K523" i="3"/>
  <c r="L523" i="3"/>
  <c r="M523" i="3"/>
  <c r="K560" i="3"/>
  <c r="L560" i="3"/>
  <c r="M560" i="3"/>
  <c r="K561" i="3"/>
  <c r="L561" i="3"/>
  <c r="M561" i="3"/>
  <c r="K562" i="3"/>
  <c r="L562" i="3"/>
  <c r="M562" i="3"/>
  <c r="K563" i="3"/>
  <c r="L563" i="3"/>
  <c r="M563" i="3"/>
  <c r="K611" i="3"/>
  <c r="L611" i="3"/>
  <c r="M611" i="3"/>
  <c r="K614" i="3"/>
  <c r="L614" i="3"/>
  <c r="M614" i="3"/>
  <c r="K616" i="3"/>
  <c r="L616" i="3"/>
  <c r="M616" i="3"/>
  <c r="K617" i="3"/>
  <c r="L617" i="3"/>
  <c r="M617" i="3"/>
  <c r="K618" i="3"/>
  <c r="L618" i="3"/>
  <c r="M618" i="3"/>
  <c r="K619" i="3"/>
  <c r="L619" i="3"/>
  <c r="M619" i="3"/>
  <c r="K548" i="3"/>
  <c r="L548" i="3"/>
  <c r="M548" i="3"/>
  <c r="K565" i="3"/>
  <c r="L565" i="3"/>
  <c r="M565" i="3"/>
  <c r="K512" i="3"/>
  <c r="L512" i="3"/>
  <c r="M512" i="3"/>
  <c r="K620" i="3"/>
  <c r="L620" i="3"/>
  <c r="M620" i="3"/>
  <c r="K622" i="3"/>
  <c r="L622" i="3"/>
  <c r="M622" i="3"/>
  <c r="K623" i="3"/>
  <c r="L623" i="3"/>
  <c r="M623" i="3"/>
  <c r="K624" i="3"/>
  <c r="L624" i="3"/>
  <c r="M624" i="3"/>
  <c r="K1763" i="3"/>
  <c r="P1763" i="3" s="1"/>
  <c r="L1763" i="3"/>
  <c r="M1763" i="3"/>
  <c r="K630" i="3"/>
  <c r="L630" i="3"/>
  <c r="M630" i="3"/>
  <c r="K522" i="3"/>
  <c r="L522" i="3"/>
  <c r="M522" i="3"/>
  <c r="K513" i="3"/>
  <c r="L513" i="3"/>
  <c r="M513" i="3"/>
  <c r="K578" i="3"/>
  <c r="L578" i="3"/>
  <c r="M578" i="3"/>
  <c r="K509" i="3"/>
  <c r="L509" i="3"/>
  <c r="M509" i="3"/>
  <c r="K570" i="3"/>
  <c r="L570" i="3"/>
  <c r="M570" i="3"/>
  <c r="K571" i="3"/>
  <c r="L571" i="3"/>
  <c r="M571" i="3"/>
  <c r="K580" i="3"/>
  <c r="L580" i="3"/>
  <c r="M580" i="3"/>
  <c r="K631" i="3"/>
  <c r="L631" i="3"/>
  <c r="M631" i="3"/>
  <c r="K635" i="3"/>
  <c r="L635" i="3"/>
  <c r="M635" i="3"/>
  <c r="K632" i="3"/>
  <c r="L632" i="3"/>
  <c r="M632" i="3"/>
  <c r="K637" i="3"/>
  <c r="L637" i="3"/>
  <c r="M637" i="3"/>
  <c r="K564" i="3"/>
  <c r="L564" i="3"/>
  <c r="M564" i="3"/>
  <c r="K530" i="3"/>
  <c r="L530" i="3"/>
  <c r="M530" i="3"/>
  <c r="K528" i="3"/>
  <c r="L528" i="3"/>
  <c r="M528" i="3"/>
  <c r="K529" i="3"/>
  <c r="L529" i="3"/>
  <c r="M529" i="3"/>
  <c r="K532" i="3"/>
  <c r="L532" i="3"/>
  <c r="M532" i="3"/>
  <c r="K533" i="3"/>
  <c r="L533" i="3"/>
  <c r="M533" i="3"/>
  <c r="K537" i="3"/>
  <c r="L537" i="3"/>
  <c r="M537" i="3"/>
  <c r="K536" i="3"/>
  <c r="L536" i="3"/>
  <c r="M536" i="3"/>
  <c r="K539" i="3"/>
  <c r="L539" i="3"/>
  <c r="M539" i="3"/>
  <c r="K540" i="3"/>
  <c r="L540" i="3"/>
  <c r="M540" i="3"/>
  <c r="K541" i="3"/>
  <c r="L541" i="3"/>
  <c r="M541" i="3"/>
  <c r="K527" i="3"/>
  <c r="L527" i="3"/>
  <c r="M527" i="3"/>
  <c r="K850" i="3"/>
  <c r="L850" i="3"/>
  <c r="M850" i="3"/>
  <c r="K343" i="3"/>
  <c r="P343" i="3" s="1"/>
  <c r="L343" i="3"/>
  <c r="M343" i="3"/>
  <c r="K344" i="3"/>
  <c r="P344" i="3" s="1"/>
  <c r="L344" i="3"/>
  <c r="M344" i="3"/>
  <c r="K345" i="3"/>
  <c r="P345" i="3" s="1"/>
  <c r="L345" i="3"/>
  <c r="M345" i="3"/>
  <c r="K368" i="3"/>
  <c r="P368" i="3" s="1"/>
  <c r="L368" i="3"/>
  <c r="M368" i="3"/>
  <c r="K346" i="3"/>
  <c r="P346" i="3" s="1"/>
  <c r="L346" i="3"/>
  <c r="M346" i="3"/>
  <c r="K347" i="3"/>
  <c r="P347" i="3" s="1"/>
  <c r="L347" i="3"/>
  <c r="M347" i="3"/>
  <c r="K348" i="3"/>
  <c r="P348" i="3" s="1"/>
  <c r="L348" i="3"/>
  <c r="M348" i="3"/>
  <c r="K349" i="3"/>
  <c r="P349" i="3" s="1"/>
  <c r="L349" i="3"/>
  <c r="M349" i="3"/>
  <c r="K350" i="3"/>
  <c r="P350" i="3" s="1"/>
  <c r="L350" i="3"/>
  <c r="M350" i="3"/>
  <c r="K351" i="3"/>
  <c r="P351" i="3" s="1"/>
  <c r="L351" i="3"/>
  <c r="M351" i="3"/>
  <c r="K352" i="3"/>
  <c r="P352" i="3" s="1"/>
  <c r="L352" i="3"/>
  <c r="M352" i="3"/>
  <c r="K353" i="3"/>
  <c r="P353" i="3" s="1"/>
  <c r="L353" i="3"/>
  <c r="M353" i="3"/>
  <c r="K354" i="3"/>
  <c r="P354" i="3" s="1"/>
  <c r="L354" i="3"/>
  <c r="M354" i="3"/>
  <c r="K355" i="3"/>
  <c r="P355" i="3" s="1"/>
  <c r="L355" i="3"/>
  <c r="M355" i="3"/>
  <c r="K358" i="3"/>
  <c r="P358" i="3" s="1"/>
  <c r="L358" i="3"/>
  <c r="M358" i="3"/>
  <c r="K359" i="3"/>
  <c r="P359" i="3" s="1"/>
  <c r="L359" i="3"/>
  <c r="M359" i="3"/>
  <c r="K360" i="3"/>
  <c r="P360" i="3" s="1"/>
  <c r="L360" i="3"/>
  <c r="M360" i="3"/>
  <c r="K361" i="3"/>
  <c r="P361" i="3" s="1"/>
  <c r="L361" i="3"/>
  <c r="M361" i="3"/>
  <c r="K367" i="3"/>
  <c r="P367" i="3" s="1"/>
  <c r="L367" i="3"/>
  <c r="M367" i="3"/>
  <c r="K363" i="3"/>
  <c r="P363" i="3" s="1"/>
  <c r="L363" i="3"/>
  <c r="M363" i="3"/>
  <c r="K364" i="3"/>
  <c r="P364" i="3" s="1"/>
  <c r="L364" i="3"/>
  <c r="M364" i="3"/>
  <c r="K365" i="3"/>
  <c r="P365" i="3" s="1"/>
  <c r="L365" i="3"/>
  <c r="M365" i="3"/>
  <c r="K372" i="3"/>
  <c r="P372" i="3" s="1"/>
  <c r="L372" i="3"/>
  <c r="M372" i="3"/>
  <c r="K342" i="3"/>
  <c r="P342" i="3" s="1"/>
  <c r="L342" i="3"/>
  <c r="M342" i="3"/>
  <c r="K1088" i="3"/>
  <c r="P1088" i="3" s="1"/>
  <c r="L1088" i="3"/>
  <c r="M1088" i="3"/>
  <c r="K1777" i="3"/>
  <c r="P1777" i="3" s="1"/>
  <c r="L1777" i="3"/>
  <c r="M1777" i="3"/>
  <c r="K1689" i="3"/>
  <c r="P1689" i="3" s="1"/>
  <c r="L1689" i="3"/>
  <c r="M1689" i="3"/>
  <c r="K1047" i="3"/>
  <c r="P1047" i="3" s="1"/>
  <c r="L1047" i="3"/>
  <c r="M1047" i="3"/>
  <c r="K1061" i="3"/>
  <c r="P1061" i="3" s="1"/>
  <c r="L1061" i="3"/>
  <c r="M1061" i="3"/>
  <c r="K1059" i="3"/>
  <c r="P1059" i="3" s="1"/>
  <c r="L1059" i="3"/>
  <c r="M1059" i="3"/>
  <c r="K1060" i="3"/>
  <c r="P1060" i="3" s="1"/>
  <c r="L1060" i="3"/>
  <c r="M1060" i="3"/>
  <c r="K1808" i="3"/>
  <c r="P1808" i="3" s="1"/>
  <c r="L1808" i="3"/>
  <c r="M1808" i="3"/>
  <c r="K1038" i="3"/>
  <c r="P1038" i="3" s="1"/>
  <c r="L1038" i="3"/>
  <c r="M1038" i="3"/>
  <c r="K1039" i="3"/>
  <c r="P1039" i="3" s="1"/>
  <c r="L1039" i="3"/>
  <c r="M1039" i="3"/>
  <c r="K1820" i="3"/>
  <c r="P1820" i="3" s="1"/>
  <c r="L1820" i="3"/>
  <c r="M1820" i="3"/>
  <c r="K2390" i="3"/>
  <c r="P2390" i="3" s="1"/>
  <c r="L2390" i="3"/>
  <c r="M2390" i="3"/>
  <c r="K2391" i="3"/>
  <c r="P2391" i="3" s="1"/>
  <c r="L2391" i="3"/>
  <c r="M2391" i="3"/>
  <c r="K2392" i="3"/>
  <c r="P2392" i="3" s="1"/>
  <c r="L2392" i="3"/>
  <c r="M2392" i="3"/>
  <c r="K1575" i="3"/>
  <c r="P1575" i="3" s="1"/>
  <c r="L1575" i="3"/>
  <c r="M1575" i="3"/>
  <c r="K1576" i="3"/>
  <c r="P1576" i="3" s="1"/>
  <c r="L1576" i="3"/>
  <c r="M1576" i="3"/>
  <c r="K1578" i="3"/>
  <c r="P1578" i="3" s="1"/>
  <c r="L1578" i="3"/>
  <c r="M1578" i="3"/>
  <c r="K1580" i="3"/>
  <c r="P1580" i="3" s="1"/>
  <c r="L1580" i="3"/>
  <c r="M1580" i="3"/>
  <c r="K802" i="3"/>
  <c r="L802" i="3"/>
  <c r="M802" i="3"/>
  <c r="K803" i="3"/>
  <c r="L803" i="3"/>
  <c r="M803" i="3"/>
  <c r="K804" i="3"/>
  <c r="L804" i="3"/>
  <c r="M804" i="3"/>
  <c r="K805" i="3"/>
  <c r="L805" i="3"/>
  <c r="M805" i="3"/>
  <c r="K811" i="3"/>
  <c r="L811" i="3"/>
  <c r="M811" i="3"/>
  <c r="K848" i="3"/>
  <c r="L848" i="3"/>
  <c r="M848" i="3"/>
  <c r="K1406" i="3"/>
  <c r="P1406" i="3" s="1"/>
  <c r="L1406" i="3"/>
  <c r="M1406" i="3"/>
  <c r="K1803" i="3"/>
  <c r="P1803" i="3" s="1"/>
  <c r="L1803" i="3"/>
  <c r="M1803" i="3"/>
  <c r="K1817" i="3"/>
  <c r="P1817" i="3" s="1"/>
  <c r="L1817" i="3"/>
  <c r="M1817" i="3"/>
  <c r="K814" i="3"/>
  <c r="L814" i="3"/>
  <c r="M814" i="3"/>
  <c r="K815" i="3"/>
  <c r="L815" i="3"/>
  <c r="M815" i="3"/>
  <c r="K836" i="3"/>
  <c r="L836" i="3"/>
  <c r="M836" i="3"/>
  <c r="K828" i="3"/>
  <c r="L828" i="3"/>
  <c r="M828" i="3"/>
  <c r="K1186" i="3"/>
  <c r="P1186" i="3" s="1"/>
  <c r="L1186" i="3"/>
  <c r="M1186" i="3"/>
  <c r="K1188" i="3"/>
  <c r="P1188" i="3" s="1"/>
  <c r="L1188" i="3"/>
  <c r="M1188" i="3"/>
  <c r="K1394" i="3"/>
  <c r="P1394" i="3" s="1"/>
  <c r="L1394" i="3"/>
  <c r="M1394" i="3"/>
  <c r="K1174" i="3"/>
  <c r="P1174" i="3" s="1"/>
  <c r="L1174" i="3"/>
  <c r="M1174" i="3"/>
  <c r="K1187" i="3"/>
  <c r="P1187" i="3" s="1"/>
  <c r="L1187" i="3"/>
  <c r="M1187" i="3"/>
  <c r="K1177" i="3"/>
  <c r="P1177" i="3" s="1"/>
  <c r="L1177" i="3"/>
  <c r="M1177" i="3"/>
  <c r="K1178" i="3"/>
  <c r="P1178" i="3" s="1"/>
  <c r="L1178" i="3"/>
  <c r="M1178" i="3"/>
  <c r="K1179" i="3"/>
  <c r="P1179" i="3" s="1"/>
  <c r="L1179" i="3"/>
  <c r="M1179" i="3"/>
  <c r="K1185" i="3"/>
  <c r="P1185" i="3" s="1"/>
  <c r="L1185" i="3"/>
  <c r="M1185" i="3"/>
  <c r="K54" i="3"/>
  <c r="P54" i="3" s="1"/>
  <c r="L54" i="3"/>
  <c r="M54" i="3"/>
  <c r="K1573" i="3"/>
  <c r="P1573" i="3" s="1"/>
  <c r="L1573" i="3"/>
  <c r="M1573" i="3"/>
  <c r="K1577" i="3"/>
  <c r="P1577" i="3" s="1"/>
  <c r="L1577" i="3"/>
  <c r="M1577" i="3"/>
  <c r="K194" i="3"/>
  <c r="L194" i="3"/>
  <c r="M194" i="3"/>
  <c r="K195" i="3"/>
  <c r="L195" i="3"/>
  <c r="M195" i="3"/>
  <c r="K1824" i="3"/>
  <c r="P1824" i="3" s="1"/>
  <c r="L1824" i="3"/>
  <c r="M1824" i="3"/>
  <c r="K1189" i="3"/>
  <c r="P1189" i="3" s="1"/>
  <c r="L1189" i="3"/>
  <c r="M1189" i="3"/>
  <c r="K1190" i="3"/>
  <c r="P1190" i="3" s="1"/>
  <c r="L1190" i="3"/>
  <c r="M1190" i="3"/>
  <c r="K1182" i="3"/>
  <c r="P1182" i="3" s="1"/>
  <c r="L1182" i="3"/>
  <c r="M1182" i="3"/>
  <c r="K1183" i="3"/>
  <c r="P1183" i="3" s="1"/>
  <c r="L1183" i="3"/>
  <c r="M1183" i="3"/>
  <c r="K1184" i="3"/>
  <c r="P1184" i="3" s="1"/>
  <c r="L1184" i="3"/>
  <c r="M1184" i="3"/>
  <c r="K1191" i="3"/>
  <c r="P1191" i="3" s="1"/>
  <c r="L1191" i="3"/>
  <c r="M1191" i="3"/>
  <c r="K502" i="3"/>
  <c r="L502" i="3"/>
  <c r="M502" i="3"/>
  <c r="K503" i="3"/>
  <c r="L503" i="3"/>
  <c r="M503" i="3"/>
  <c r="K505" i="3"/>
  <c r="L505" i="3"/>
  <c r="M505" i="3"/>
  <c r="K1555" i="3"/>
  <c r="P1555" i="3" s="1"/>
  <c r="L1555" i="3"/>
  <c r="M1555" i="3"/>
  <c r="K1556" i="3"/>
  <c r="P1556" i="3" s="1"/>
  <c r="L1556" i="3"/>
  <c r="M1556" i="3"/>
  <c r="K1557" i="3"/>
  <c r="P1557" i="3" s="1"/>
  <c r="L1557" i="3"/>
  <c r="M1557" i="3"/>
  <c r="K845" i="3"/>
  <c r="L845" i="3"/>
  <c r="M845" i="3"/>
  <c r="K839" i="3"/>
  <c r="L839" i="3"/>
  <c r="M839" i="3"/>
  <c r="K840" i="3"/>
  <c r="L840" i="3"/>
  <c r="M840" i="3"/>
  <c r="K841" i="3"/>
  <c r="L841" i="3"/>
  <c r="M841" i="3"/>
  <c r="K854" i="3"/>
  <c r="L854" i="3"/>
  <c r="M854" i="3"/>
  <c r="K842" i="3"/>
  <c r="L842" i="3"/>
  <c r="M842" i="3"/>
  <c r="K843" i="3"/>
  <c r="L843" i="3"/>
  <c r="M843" i="3"/>
  <c r="K901" i="3"/>
  <c r="L901" i="3"/>
  <c r="M901" i="3"/>
  <c r="K876" i="3"/>
  <c r="L876" i="3"/>
  <c r="M876" i="3"/>
  <c r="K2300" i="3"/>
  <c r="P2300" i="3" s="1"/>
  <c r="L2300" i="3"/>
  <c r="M2300" i="3"/>
  <c r="K902" i="3"/>
  <c r="L902" i="3"/>
  <c r="M902" i="3"/>
  <c r="K905" i="3"/>
  <c r="L905" i="3"/>
  <c r="M905" i="3"/>
  <c r="K907" i="3"/>
  <c r="L907" i="3"/>
  <c r="M907" i="3"/>
  <c r="K1021" i="3"/>
  <c r="L1021" i="3"/>
  <c r="M1021" i="3"/>
  <c r="K1022" i="3"/>
  <c r="L1022" i="3"/>
  <c r="M1022" i="3"/>
  <c r="K1023" i="3"/>
  <c r="L1023" i="3"/>
  <c r="M1023" i="3"/>
  <c r="K904" i="3"/>
  <c r="L904" i="3"/>
  <c r="M904" i="3"/>
  <c r="K906" i="3"/>
  <c r="L906" i="3"/>
  <c r="M906" i="3"/>
  <c r="K908" i="3"/>
  <c r="L908" i="3"/>
  <c r="M908" i="3"/>
  <c r="K909" i="3"/>
  <c r="L909" i="3"/>
  <c r="M909" i="3"/>
  <c r="K910" i="3"/>
  <c r="L910" i="3"/>
  <c r="M910" i="3"/>
  <c r="K877" i="3"/>
  <c r="L877" i="3"/>
  <c r="M877" i="3"/>
  <c r="K911" i="3"/>
  <c r="L911" i="3"/>
  <c r="M911" i="3"/>
  <c r="K912" i="3"/>
  <c r="L912" i="3"/>
  <c r="M912" i="3"/>
  <c r="K913" i="3"/>
  <c r="L913" i="3"/>
  <c r="M913" i="3"/>
  <c r="K914" i="3"/>
  <c r="L914" i="3"/>
  <c r="M914" i="3"/>
  <c r="K885" i="3"/>
  <c r="L885" i="3"/>
  <c r="M885" i="3"/>
  <c r="K881" i="3"/>
  <c r="L881" i="3"/>
  <c r="M881" i="3"/>
  <c r="K917" i="3"/>
  <c r="L917" i="3"/>
  <c r="M917" i="3"/>
  <c r="K918" i="3"/>
  <c r="L918" i="3"/>
  <c r="M918" i="3"/>
  <c r="K919" i="3"/>
  <c r="L919" i="3"/>
  <c r="M919" i="3"/>
  <c r="K920" i="3"/>
  <c r="L920" i="3"/>
  <c r="M920" i="3"/>
  <c r="K921" i="3"/>
  <c r="L921" i="3"/>
  <c r="M921" i="3"/>
  <c r="K922" i="3"/>
  <c r="L922" i="3"/>
  <c r="M922" i="3"/>
  <c r="K923" i="3"/>
  <c r="L923" i="3"/>
  <c r="M923" i="3"/>
  <c r="K924" i="3"/>
  <c r="L924" i="3"/>
  <c r="M924" i="3"/>
  <c r="K925" i="3"/>
  <c r="L925" i="3"/>
  <c r="M925" i="3"/>
  <c r="K926" i="3"/>
  <c r="L926" i="3"/>
  <c r="M926" i="3"/>
  <c r="K927" i="3"/>
  <c r="L927" i="3"/>
  <c r="M927" i="3"/>
  <c r="K928" i="3"/>
  <c r="L928" i="3"/>
  <c r="M928" i="3"/>
  <c r="K929" i="3"/>
  <c r="L929" i="3"/>
  <c r="M929" i="3"/>
  <c r="K930" i="3"/>
  <c r="L930" i="3"/>
  <c r="M930" i="3"/>
  <c r="K931" i="3"/>
  <c r="L931" i="3"/>
  <c r="M931" i="3"/>
  <c r="K932" i="3"/>
  <c r="L932" i="3"/>
  <c r="M932" i="3"/>
  <c r="K933" i="3"/>
  <c r="L933" i="3"/>
  <c r="M933" i="3"/>
  <c r="K934" i="3"/>
  <c r="L934" i="3"/>
  <c r="M934" i="3"/>
  <c r="K935" i="3"/>
  <c r="L935" i="3"/>
  <c r="M935" i="3"/>
  <c r="K883" i="3"/>
  <c r="L883" i="3"/>
  <c r="M883" i="3"/>
  <c r="K936" i="3"/>
  <c r="L936" i="3"/>
  <c r="M936" i="3"/>
  <c r="K937" i="3"/>
  <c r="L937" i="3"/>
  <c r="M937" i="3"/>
  <c r="K938" i="3"/>
  <c r="L938" i="3"/>
  <c r="M938" i="3"/>
  <c r="K884" i="3"/>
  <c r="L884" i="3"/>
  <c r="M884" i="3"/>
  <c r="K943" i="3"/>
  <c r="L943" i="3"/>
  <c r="M943" i="3"/>
  <c r="K944" i="3"/>
  <c r="L944" i="3"/>
  <c r="M944" i="3"/>
  <c r="K945" i="3"/>
  <c r="L945" i="3"/>
  <c r="M945" i="3"/>
  <c r="K946" i="3"/>
  <c r="L946" i="3"/>
  <c r="M946" i="3"/>
  <c r="K947" i="3"/>
  <c r="L947" i="3"/>
  <c r="M947" i="3"/>
  <c r="K886" i="3"/>
  <c r="L886" i="3"/>
  <c r="M886" i="3"/>
  <c r="K948" i="3"/>
  <c r="L948" i="3"/>
  <c r="M948" i="3"/>
  <c r="K949" i="3"/>
  <c r="L949" i="3"/>
  <c r="M949" i="3"/>
  <c r="K950" i="3"/>
  <c r="L950" i="3"/>
  <c r="M950" i="3"/>
  <c r="K890" i="3"/>
  <c r="L890" i="3"/>
  <c r="M890" i="3"/>
  <c r="K891" i="3"/>
  <c r="L891" i="3"/>
  <c r="M891" i="3"/>
  <c r="K893" i="3"/>
  <c r="L893" i="3"/>
  <c r="M893" i="3"/>
  <c r="K894" i="3"/>
  <c r="L894" i="3"/>
  <c r="M894" i="3"/>
  <c r="K895" i="3"/>
  <c r="L895" i="3"/>
  <c r="M895" i="3"/>
  <c r="K952" i="3"/>
  <c r="L952" i="3"/>
  <c r="M952" i="3"/>
  <c r="K953" i="3"/>
  <c r="L953" i="3"/>
  <c r="M953" i="3"/>
  <c r="K954" i="3"/>
  <c r="L954" i="3"/>
  <c r="M954" i="3"/>
  <c r="K896" i="3"/>
  <c r="L896" i="3"/>
  <c r="M896" i="3"/>
  <c r="K955" i="3"/>
  <c r="L955" i="3"/>
  <c r="M955" i="3"/>
  <c r="K956" i="3"/>
  <c r="L956" i="3"/>
  <c r="M956" i="3"/>
  <c r="K957" i="3"/>
  <c r="L957" i="3"/>
  <c r="M957" i="3"/>
  <c r="K958" i="3"/>
  <c r="L958" i="3"/>
  <c r="M958" i="3"/>
  <c r="K959" i="3"/>
  <c r="L959" i="3"/>
  <c r="M959" i="3"/>
  <c r="K960" i="3"/>
  <c r="L960" i="3"/>
  <c r="M960" i="3"/>
  <c r="K961" i="3"/>
  <c r="L961" i="3"/>
  <c r="M961" i="3"/>
  <c r="K962" i="3"/>
  <c r="L962" i="3"/>
  <c r="M962" i="3"/>
  <c r="K963" i="3"/>
  <c r="L963" i="3"/>
  <c r="M963" i="3"/>
  <c r="K968" i="3"/>
  <c r="L968" i="3"/>
  <c r="M968" i="3"/>
  <c r="K969" i="3"/>
  <c r="L969" i="3"/>
  <c r="M969" i="3"/>
  <c r="K970" i="3"/>
  <c r="L970" i="3"/>
  <c r="M970" i="3"/>
  <c r="K897" i="3"/>
  <c r="L897" i="3"/>
  <c r="M897" i="3"/>
  <c r="K972" i="3"/>
  <c r="L972" i="3"/>
  <c r="M972" i="3"/>
  <c r="K975" i="3"/>
  <c r="L975" i="3"/>
  <c r="M975" i="3"/>
  <c r="K973" i="3"/>
  <c r="L973" i="3"/>
  <c r="M973" i="3"/>
  <c r="K976" i="3"/>
  <c r="L976" i="3"/>
  <c r="M976" i="3"/>
  <c r="K978" i="3"/>
  <c r="L978" i="3"/>
  <c r="M978" i="3"/>
  <c r="K979" i="3"/>
  <c r="L979" i="3"/>
  <c r="M979" i="3"/>
  <c r="K974" i="3"/>
  <c r="L974" i="3"/>
  <c r="M974" i="3"/>
  <c r="K977" i="3"/>
  <c r="L977" i="3"/>
  <c r="M977" i="3"/>
  <c r="K971" i="3"/>
  <c r="L971" i="3"/>
  <c r="M971" i="3"/>
  <c r="K878" i="3"/>
  <c r="L878" i="3"/>
  <c r="M878" i="3"/>
  <c r="K887" i="3"/>
  <c r="L887" i="3"/>
  <c r="M887" i="3"/>
  <c r="K888" i="3"/>
  <c r="L888" i="3"/>
  <c r="M888" i="3"/>
  <c r="K892" i="3"/>
  <c r="L892" i="3"/>
  <c r="M892" i="3"/>
  <c r="K981" i="3"/>
  <c r="L981" i="3"/>
  <c r="M981" i="3"/>
  <c r="K982" i="3"/>
  <c r="L982" i="3"/>
  <c r="M982" i="3"/>
  <c r="K983" i="3"/>
  <c r="L983" i="3"/>
  <c r="M983" i="3"/>
  <c r="K984" i="3"/>
  <c r="L984" i="3"/>
  <c r="M984" i="3"/>
  <c r="K985" i="3"/>
  <c r="L985" i="3"/>
  <c r="M985" i="3"/>
  <c r="K986" i="3"/>
  <c r="L986" i="3"/>
  <c r="M986" i="3"/>
  <c r="K994" i="3"/>
  <c r="L994" i="3"/>
  <c r="M994" i="3"/>
  <c r="K995" i="3"/>
  <c r="L995" i="3"/>
  <c r="M995" i="3"/>
  <c r="K996" i="3"/>
  <c r="L996" i="3"/>
  <c r="M996" i="3"/>
  <c r="K997" i="3"/>
  <c r="L997" i="3"/>
  <c r="M997" i="3"/>
  <c r="K998" i="3"/>
  <c r="L998" i="3"/>
  <c r="M998" i="3"/>
  <c r="K999" i="3"/>
  <c r="L999" i="3"/>
  <c r="M999" i="3"/>
  <c r="K1000" i="3"/>
  <c r="L1000" i="3"/>
  <c r="M1000" i="3"/>
  <c r="K1001" i="3"/>
  <c r="L1001" i="3"/>
  <c r="M1001" i="3"/>
  <c r="K1002" i="3"/>
  <c r="L1002" i="3"/>
  <c r="M1002" i="3"/>
  <c r="K1003" i="3"/>
  <c r="L1003" i="3"/>
  <c r="M1003" i="3"/>
  <c r="K1004" i="3"/>
  <c r="L1004" i="3"/>
  <c r="M1004" i="3"/>
  <c r="K1005" i="3"/>
  <c r="L1005" i="3"/>
  <c r="M1005" i="3"/>
  <c r="K1006" i="3"/>
  <c r="L1006" i="3"/>
  <c r="M1006" i="3"/>
  <c r="K1007" i="3"/>
  <c r="L1007" i="3"/>
  <c r="M1007" i="3"/>
  <c r="K1008" i="3"/>
  <c r="L1008" i="3"/>
  <c r="M1008" i="3"/>
  <c r="K1009" i="3"/>
  <c r="L1009" i="3"/>
  <c r="M1009" i="3"/>
  <c r="K1010" i="3"/>
  <c r="L1010" i="3"/>
  <c r="M1010" i="3"/>
  <c r="K1011" i="3"/>
  <c r="L1011" i="3"/>
  <c r="M1011" i="3"/>
  <c r="K899" i="3"/>
  <c r="L899" i="3"/>
  <c r="M899" i="3"/>
  <c r="K1015" i="3"/>
  <c r="L1015" i="3"/>
  <c r="M1015" i="3"/>
  <c r="K1016" i="3"/>
  <c r="L1016" i="3"/>
  <c r="M1016" i="3"/>
  <c r="K1017" i="3"/>
  <c r="L1017" i="3"/>
  <c r="M1017" i="3"/>
  <c r="K1018" i="3"/>
  <c r="L1018" i="3"/>
  <c r="M1018" i="3"/>
  <c r="K1019" i="3"/>
  <c r="L1019" i="3"/>
  <c r="M1019" i="3"/>
  <c r="K1024" i="3"/>
  <c r="L1024" i="3"/>
  <c r="M1024" i="3"/>
  <c r="K1025" i="3"/>
  <c r="L1025" i="3"/>
  <c r="M1025" i="3"/>
  <c r="K1026" i="3"/>
  <c r="L1026" i="3"/>
  <c r="M1026" i="3"/>
  <c r="K1027" i="3"/>
  <c r="L1027" i="3"/>
  <c r="M1027" i="3"/>
  <c r="K1029" i="3"/>
  <c r="L1029" i="3"/>
  <c r="M1029" i="3"/>
  <c r="K1030" i="3"/>
  <c r="L1030" i="3"/>
  <c r="M1030" i="3"/>
  <c r="K1031" i="3"/>
  <c r="L1031" i="3"/>
  <c r="M1031" i="3"/>
  <c r="K1032" i="3"/>
  <c r="L1032" i="3"/>
  <c r="M1032" i="3"/>
  <c r="K1033" i="3"/>
  <c r="L1033" i="3"/>
  <c r="M1033" i="3"/>
  <c r="K1034" i="3"/>
  <c r="L1034" i="3"/>
  <c r="M1034" i="3"/>
  <c r="K40" i="3"/>
  <c r="L40" i="3"/>
  <c r="M40" i="3"/>
  <c r="K42" i="3"/>
  <c r="L42" i="3"/>
  <c r="M42" i="3"/>
  <c r="K633" i="3"/>
  <c r="L633" i="3"/>
  <c r="M633" i="3"/>
  <c r="K636" i="3"/>
  <c r="L636" i="3"/>
  <c r="M636" i="3"/>
  <c r="K39" i="3"/>
  <c r="L39" i="3"/>
  <c r="M39" i="3"/>
  <c r="K43" i="3"/>
  <c r="L43" i="3"/>
  <c r="M43" i="3"/>
  <c r="K221" i="3"/>
  <c r="P221" i="3" s="1"/>
  <c r="L221" i="3"/>
  <c r="M221" i="3"/>
  <c r="K222" i="3"/>
  <c r="P222" i="3" s="1"/>
  <c r="L222" i="3"/>
  <c r="M222" i="3"/>
  <c r="K223" i="3"/>
  <c r="P223" i="3" s="1"/>
  <c r="L223" i="3"/>
  <c r="M223" i="3"/>
  <c r="K224" i="3"/>
  <c r="P224" i="3" s="1"/>
  <c r="L224" i="3"/>
  <c r="M224" i="3"/>
  <c r="K225" i="3"/>
  <c r="P225" i="3" s="1"/>
  <c r="L225" i="3"/>
  <c r="M225" i="3"/>
  <c r="K226" i="3"/>
  <c r="P226" i="3" s="1"/>
  <c r="L226" i="3"/>
  <c r="M226" i="3"/>
  <c r="K228" i="3"/>
  <c r="P228" i="3" s="1"/>
  <c r="L228" i="3"/>
  <c r="M228" i="3"/>
  <c r="K1082" i="3"/>
  <c r="P1082" i="3" s="1"/>
  <c r="L1082" i="3"/>
  <c r="M1082" i="3"/>
  <c r="K1070" i="3"/>
  <c r="P1070" i="3" s="1"/>
  <c r="L1070" i="3"/>
  <c r="M1070" i="3"/>
  <c r="K1035" i="3"/>
  <c r="P1035" i="3" s="1"/>
  <c r="L1035" i="3"/>
  <c r="M1035" i="3"/>
  <c r="K1094" i="3"/>
  <c r="P1094" i="3" s="1"/>
  <c r="L1094" i="3"/>
  <c r="M1094" i="3"/>
  <c r="K1481" i="3"/>
  <c r="P1481" i="3" s="1"/>
  <c r="L1481" i="3"/>
  <c r="M1481" i="3"/>
  <c r="K1482" i="3"/>
  <c r="P1482" i="3" s="1"/>
  <c r="L1482" i="3"/>
  <c r="M1482" i="3"/>
  <c r="K1483" i="3"/>
  <c r="P1483" i="3" s="1"/>
  <c r="L1483" i="3"/>
  <c r="M1483" i="3"/>
  <c r="K1171" i="3"/>
  <c r="P1171" i="3" s="1"/>
  <c r="L1171" i="3"/>
  <c r="M1171" i="3"/>
  <c r="K1173" i="3"/>
  <c r="P1173" i="3" s="1"/>
  <c r="L1173" i="3"/>
  <c r="M1173" i="3"/>
  <c r="K1180" i="3"/>
  <c r="P1180" i="3" s="1"/>
  <c r="L1180" i="3"/>
  <c r="M1180" i="3"/>
  <c r="K1176" i="3"/>
  <c r="P1176" i="3" s="1"/>
  <c r="L1176" i="3"/>
  <c r="M1176" i="3"/>
  <c r="K1172" i="3"/>
  <c r="P1172" i="3" s="1"/>
  <c r="L1172" i="3"/>
  <c r="M1172" i="3"/>
  <c r="K1809" i="3"/>
  <c r="P1809" i="3" s="1"/>
  <c r="L1809" i="3"/>
  <c r="M1809" i="3"/>
  <c r="K1806" i="3"/>
  <c r="P1806" i="3" s="1"/>
  <c r="L1806" i="3"/>
  <c r="M1806" i="3"/>
  <c r="K1807" i="3"/>
  <c r="P1807" i="3" s="1"/>
  <c r="L1807" i="3"/>
  <c r="M1807" i="3"/>
  <c r="K1810" i="3"/>
  <c r="P1810" i="3" s="1"/>
  <c r="L1810" i="3"/>
  <c r="M1810" i="3"/>
  <c r="K1811" i="3"/>
  <c r="P1811" i="3" s="1"/>
  <c r="L1811" i="3"/>
  <c r="M1811" i="3"/>
  <c r="K1816" i="3"/>
  <c r="P1816" i="3" s="1"/>
  <c r="L1816" i="3"/>
  <c r="M1816" i="3"/>
  <c r="K1818" i="3"/>
  <c r="P1818" i="3" s="1"/>
  <c r="L1818" i="3"/>
  <c r="M1818" i="3"/>
  <c r="K1821" i="3"/>
  <c r="P1821" i="3" s="1"/>
  <c r="L1821" i="3"/>
  <c r="M1821" i="3"/>
  <c r="K1688" i="3"/>
  <c r="P1688" i="3" s="1"/>
  <c r="L1688" i="3"/>
  <c r="M1688" i="3"/>
  <c r="K1097" i="3"/>
  <c r="P1097" i="3" s="1"/>
  <c r="L1097" i="3"/>
  <c r="M1097" i="3"/>
  <c r="K1747" i="3"/>
  <c r="P1747" i="3" s="1"/>
  <c r="L1747" i="3"/>
  <c r="M1747" i="3"/>
  <c r="K1730" i="3"/>
  <c r="P1730" i="3" s="1"/>
  <c r="L1730" i="3"/>
  <c r="M1730" i="3"/>
  <c r="K1731" i="3"/>
  <c r="P1731" i="3" s="1"/>
  <c r="L1731" i="3"/>
  <c r="M1731" i="3"/>
  <c r="K1732" i="3"/>
  <c r="P1732" i="3" s="1"/>
  <c r="L1732" i="3"/>
  <c r="M1732" i="3"/>
  <c r="K1733" i="3"/>
  <c r="P1733" i="3" s="1"/>
  <c r="L1733" i="3"/>
  <c r="M1733" i="3"/>
  <c r="K1781" i="3"/>
  <c r="P1781" i="3" s="1"/>
  <c r="L1781" i="3"/>
  <c r="M1781" i="3"/>
  <c r="K1734" i="3"/>
  <c r="P1734" i="3" s="1"/>
  <c r="L1734" i="3"/>
  <c r="M1734" i="3"/>
  <c r="K1736" i="3"/>
  <c r="P1736" i="3" s="1"/>
  <c r="L1736" i="3"/>
  <c r="M1736" i="3"/>
  <c r="K1738" i="3"/>
  <c r="P1738" i="3" s="1"/>
  <c r="L1738" i="3"/>
  <c r="M1738" i="3"/>
  <c r="K1739" i="3"/>
  <c r="P1739" i="3" s="1"/>
  <c r="L1739" i="3"/>
  <c r="M1739" i="3"/>
  <c r="K1740" i="3"/>
  <c r="P1740" i="3" s="1"/>
  <c r="L1740" i="3"/>
  <c r="M1740" i="3"/>
  <c r="K1742" i="3"/>
  <c r="P1742" i="3" s="1"/>
  <c r="L1742" i="3"/>
  <c r="M1742" i="3"/>
  <c r="K1762" i="3"/>
  <c r="P1762" i="3" s="1"/>
  <c r="L1762" i="3"/>
  <c r="M1762" i="3"/>
  <c r="K1744" i="3"/>
  <c r="P1744" i="3" s="1"/>
  <c r="L1744" i="3"/>
  <c r="M1744" i="3"/>
  <c r="K1697" i="3"/>
  <c r="P1697" i="3" s="1"/>
  <c r="L1697" i="3"/>
  <c r="M1697" i="3"/>
  <c r="K1745" i="3"/>
  <c r="P1745" i="3" s="1"/>
  <c r="L1745" i="3"/>
  <c r="M1745" i="3"/>
  <c r="K1746" i="3"/>
  <c r="P1746" i="3" s="1"/>
  <c r="L1746" i="3"/>
  <c r="M1746" i="3"/>
  <c r="K1752" i="3"/>
  <c r="P1752" i="3" s="1"/>
  <c r="L1752" i="3"/>
  <c r="M1752" i="3"/>
  <c r="K1751" i="3"/>
  <c r="P1751" i="3" s="1"/>
  <c r="L1751" i="3"/>
  <c r="M1751" i="3"/>
  <c r="K430" i="108"/>
  <c r="L430" i="108"/>
  <c r="K1754" i="3"/>
  <c r="P1754" i="3" s="1"/>
  <c r="L1754" i="3"/>
  <c r="M1754" i="3"/>
  <c r="K1757" i="3"/>
  <c r="P1757" i="3" s="1"/>
  <c r="L1757" i="3"/>
  <c r="M1757" i="3"/>
  <c r="K1758" i="3"/>
  <c r="P1758" i="3" s="1"/>
  <c r="L1758" i="3"/>
  <c r="M1758" i="3"/>
  <c r="K1759" i="3"/>
  <c r="P1759" i="3" s="1"/>
  <c r="L1759" i="3"/>
  <c r="M1759" i="3"/>
  <c r="K1760" i="3"/>
  <c r="P1760" i="3" s="1"/>
  <c r="L1760" i="3"/>
  <c r="M1760" i="3"/>
  <c r="K1761" i="3"/>
  <c r="P1761" i="3" s="1"/>
  <c r="L1761" i="3"/>
  <c r="M1761" i="3"/>
  <c r="K1764" i="3"/>
  <c r="P1764" i="3" s="1"/>
  <c r="L1764" i="3"/>
  <c r="M1764" i="3"/>
  <c r="K1765" i="3"/>
  <c r="P1765" i="3" s="1"/>
  <c r="L1765" i="3"/>
  <c r="M1765" i="3"/>
  <c r="K1766" i="3"/>
  <c r="P1766" i="3" s="1"/>
  <c r="L1766" i="3"/>
  <c r="M1766" i="3"/>
  <c r="K1776" i="3"/>
  <c r="P1776" i="3" s="1"/>
  <c r="L1776" i="3"/>
  <c r="M1776" i="3"/>
  <c r="K1767" i="3"/>
  <c r="P1767" i="3" s="1"/>
  <c r="L1767" i="3"/>
  <c r="M1767" i="3"/>
  <c r="K1768" i="3"/>
  <c r="P1768" i="3" s="1"/>
  <c r="L1768" i="3"/>
  <c r="M1768" i="3"/>
  <c r="K1772" i="3"/>
  <c r="P1772" i="3" s="1"/>
  <c r="L1772" i="3"/>
  <c r="M1772" i="3"/>
  <c r="K1779" i="3"/>
  <c r="P1779" i="3" s="1"/>
  <c r="L1779" i="3"/>
  <c r="M1779" i="3"/>
  <c r="K1780" i="3"/>
  <c r="P1780" i="3" s="1"/>
  <c r="L1780" i="3"/>
  <c r="M1780" i="3"/>
  <c r="K1784" i="3"/>
  <c r="L1784" i="3"/>
  <c r="M1784" i="3"/>
  <c r="K179" i="3"/>
  <c r="P179" i="3" s="1"/>
  <c r="L179" i="3"/>
  <c r="M179" i="3"/>
  <c r="K180" i="3"/>
  <c r="P180" i="3" s="1"/>
  <c r="L180" i="3"/>
  <c r="M180" i="3"/>
  <c r="K181" i="3"/>
  <c r="P181" i="3" s="1"/>
  <c r="L181" i="3"/>
  <c r="M181" i="3"/>
  <c r="K182" i="3"/>
  <c r="P182" i="3" s="1"/>
  <c r="L182" i="3"/>
  <c r="M182" i="3"/>
  <c r="K183" i="3"/>
  <c r="P183" i="3" s="1"/>
  <c r="L183" i="3"/>
  <c r="M183" i="3"/>
  <c r="K184" i="3"/>
  <c r="P184" i="3" s="1"/>
  <c r="L184" i="3"/>
  <c r="M184" i="3"/>
  <c r="K185" i="3"/>
  <c r="P185" i="3" s="1"/>
  <c r="L185" i="3"/>
  <c r="M185" i="3"/>
  <c r="K2429" i="3"/>
  <c r="P2429" i="3" s="1"/>
  <c r="L2429" i="3"/>
  <c r="M2429" i="3"/>
  <c r="K2358" i="3"/>
  <c r="P2358" i="3" s="1"/>
  <c r="L2358" i="3"/>
  <c r="M2358" i="3"/>
  <c r="K2373" i="3"/>
  <c r="P2373" i="3" s="1"/>
  <c r="L2373" i="3"/>
  <c r="M2373" i="3"/>
  <c r="K2377" i="3"/>
  <c r="P2377" i="3" s="1"/>
  <c r="L2377" i="3"/>
  <c r="M2377" i="3"/>
  <c r="K1562" i="3"/>
  <c r="P1562" i="3" s="1"/>
  <c r="L1562" i="3"/>
  <c r="M1562" i="3"/>
  <c r="K1566" i="3"/>
  <c r="P1566" i="3" s="1"/>
  <c r="L1566" i="3"/>
  <c r="M1566" i="3"/>
  <c r="K1563" i="3"/>
  <c r="P1563" i="3" s="1"/>
  <c r="L1563" i="3"/>
  <c r="M1563" i="3"/>
  <c r="K1565" i="3"/>
  <c r="P1565" i="3" s="1"/>
  <c r="L1565" i="3"/>
  <c r="M1565" i="3"/>
  <c r="K1407" i="3"/>
  <c r="P1407" i="3" s="1"/>
  <c r="L1407" i="3"/>
  <c r="M1407" i="3"/>
  <c r="K1377" i="3"/>
  <c r="P1377" i="3" s="1"/>
  <c r="L1377" i="3"/>
  <c r="M1377" i="3"/>
  <c r="K1378" i="3"/>
  <c r="P1378" i="3" s="1"/>
  <c r="L1378" i="3"/>
  <c r="M1378" i="3"/>
  <c r="K1383" i="3"/>
  <c r="P1383" i="3" s="1"/>
  <c r="L1383" i="3"/>
  <c r="M1383" i="3"/>
  <c r="K1081" i="3"/>
  <c r="P1081" i="3" s="1"/>
  <c r="L1081" i="3"/>
  <c r="M1081" i="3"/>
  <c r="K1083" i="3"/>
  <c r="P1083" i="3" s="1"/>
  <c r="L1083" i="3"/>
  <c r="M1083" i="3"/>
  <c r="K1084" i="3"/>
  <c r="P1084" i="3" s="1"/>
  <c r="L1084" i="3"/>
  <c r="M1084" i="3"/>
  <c r="K1085" i="3"/>
  <c r="P1085" i="3" s="1"/>
  <c r="L1085" i="3"/>
  <c r="M1085" i="3"/>
  <c r="K1640" i="3"/>
  <c r="P1640" i="3" s="1"/>
  <c r="L1640" i="3"/>
  <c r="M1640" i="3"/>
  <c r="K1683" i="3"/>
  <c r="P1683" i="3" s="1"/>
  <c r="L1683" i="3"/>
  <c r="M1683" i="3"/>
  <c r="K1075" i="3"/>
  <c r="P1075" i="3" s="1"/>
  <c r="L1075" i="3"/>
  <c r="M1075" i="3"/>
  <c r="K1076" i="3"/>
  <c r="P1076" i="3" s="1"/>
  <c r="L1076" i="3"/>
  <c r="M1076" i="3"/>
  <c r="K1078" i="3"/>
  <c r="P1078" i="3" s="1"/>
  <c r="L1078" i="3"/>
  <c r="M1078" i="3"/>
  <c r="K2419" i="3"/>
  <c r="P2419" i="3" s="1"/>
  <c r="L2419" i="3"/>
  <c r="M2419" i="3"/>
  <c r="K2420" i="3"/>
  <c r="P2420" i="3" s="1"/>
  <c r="L2420" i="3"/>
  <c r="M2420" i="3"/>
  <c r="K264" i="3"/>
  <c r="L264" i="3"/>
  <c r="M264" i="3"/>
  <c r="K295" i="3"/>
  <c r="L295" i="3"/>
  <c r="M295" i="3"/>
  <c r="K1646" i="3"/>
  <c r="P1646" i="3" s="1"/>
  <c r="L1646" i="3"/>
  <c r="M1646" i="3"/>
  <c r="K1656" i="3"/>
  <c r="P1656" i="3" s="1"/>
  <c r="L1656" i="3"/>
  <c r="M1656" i="3"/>
  <c r="K1670" i="3"/>
  <c r="P1670" i="3" s="1"/>
  <c r="L1670" i="3"/>
  <c r="M1670" i="3"/>
  <c r="K1673" i="3"/>
  <c r="P1673" i="3" s="1"/>
  <c r="L1673" i="3"/>
  <c r="M1673" i="3"/>
  <c r="K1674" i="3"/>
  <c r="P1674" i="3" s="1"/>
  <c r="L1674" i="3"/>
  <c r="M1674" i="3"/>
  <c r="K1681" i="3"/>
  <c r="P1681" i="3" s="1"/>
  <c r="L1681" i="3"/>
  <c r="M1681" i="3"/>
  <c r="K1682" i="3"/>
  <c r="P1682" i="3" s="1"/>
  <c r="L1682" i="3"/>
  <c r="M1682" i="3"/>
  <c r="K366" i="3"/>
  <c r="P366" i="3" s="1"/>
  <c r="L366" i="3"/>
  <c r="M366" i="3"/>
  <c r="K1517" i="3"/>
  <c r="P1517" i="3" s="1"/>
  <c r="L1517" i="3"/>
  <c r="M1517" i="3"/>
  <c r="K1519" i="3"/>
  <c r="P1519" i="3" s="1"/>
  <c r="L1519" i="3"/>
  <c r="M1519" i="3"/>
  <c r="K1446" i="3"/>
  <c r="P1446" i="3" s="1"/>
  <c r="L1446" i="3"/>
  <c r="M1446" i="3"/>
  <c r="K1410" i="3"/>
  <c r="P1410" i="3" s="1"/>
  <c r="L1410" i="3"/>
  <c r="M1410" i="3"/>
  <c r="K1454" i="3"/>
  <c r="P1454" i="3" s="1"/>
  <c r="L1454" i="3"/>
  <c r="M1454" i="3"/>
  <c r="K1455" i="3"/>
  <c r="P1455" i="3" s="1"/>
  <c r="L1455" i="3"/>
  <c r="M1455" i="3"/>
  <c r="K1457" i="3"/>
  <c r="P1457" i="3" s="1"/>
  <c r="L1457" i="3"/>
  <c r="M1457" i="3"/>
  <c r="K1459" i="3"/>
  <c r="P1459" i="3" s="1"/>
  <c r="L1459" i="3"/>
  <c r="M1459" i="3"/>
  <c r="K1458" i="3"/>
  <c r="P1458" i="3" s="1"/>
  <c r="L1458" i="3"/>
  <c r="M1458" i="3"/>
  <c r="K1425" i="3"/>
  <c r="P1425" i="3" s="1"/>
  <c r="L1425" i="3"/>
  <c r="M1425" i="3"/>
  <c r="K1426" i="3"/>
  <c r="P1426" i="3" s="1"/>
  <c r="L1426" i="3"/>
  <c r="M1426" i="3"/>
  <c r="K1462" i="3"/>
  <c r="P1462" i="3" s="1"/>
  <c r="L1462" i="3"/>
  <c r="M1462" i="3"/>
  <c r="K1463" i="3"/>
  <c r="P1463" i="3" s="1"/>
  <c r="L1463" i="3"/>
  <c r="M1463" i="3"/>
  <c r="K1432" i="3"/>
  <c r="P1432" i="3" s="1"/>
  <c r="L1432" i="3"/>
  <c r="M1432" i="3"/>
  <c r="K1435" i="3"/>
  <c r="P1435" i="3" s="1"/>
  <c r="L1435" i="3"/>
  <c r="M1435" i="3"/>
  <c r="K2411" i="3"/>
  <c r="P2411" i="3" s="1"/>
  <c r="L2411" i="3"/>
  <c r="M2411" i="3"/>
  <c r="K1398" i="3"/>
  <c r="P1398" i="3" s="1"/>
  <c r="L1398" i="3"/>
  <c r="M1398" i="3"/>
  <c r="K1416" i="3"/>
  <c r="P1416" i="3" s="1"/>
  <c r="L1416" i="3"/>
  <c r="M1416" i="3"/>
  <c r="K1468" i="3"/>
  <c r="P1468" i="3" s="1"/>
  <c r="L1468" i="3"/>
  <c r="M1468" i="3"/>
  <c r="K1467" i="3"/>
  <c r="P1467" i="3" s="1"/>
  <c r="L1467" i="3"/>
  <c r="M1467" i="3"/>
  <c r="K1424" i="3"/>
  <c r="P1424" i="3" s="1"/>
  <c r="L1424" i="3"/>
  <c r="M1424" i="3"/>
  <c r="K1460" i="3"/>
  <c r="P1460" i="3" s="1"/>
  <c r="L1460" i="3"/>
  <c r="M1460" i="3"/>
  <c r="K1438" i="3"/>
  <c r="P1438" i="3" s="1"/>
  <c r="L1438" i="3"/>
  <c r="M1438" i="3"/>
  <c r="K1215" i="3"/>
  <c r="P1215" i="3" s="1"/>
  <c r="L1215" i="3"/>
  <c r="M1215" i="3"/>
  <c r="K1216" i="3"/>
  <c r="P1216" i="3" s="1"/>
  <c r="L1216" i="3"/>
  <c r="M1216" i="3"/>
  <c r="K5" i="3"/>
  <c r="L5" i="3"/>
  <c r="M5" i="3"/>
  <c r="K6" i="3"/>
  <c r="L6" i="3"/>
  <c r="M6" i="3"/>
  <c r="K13" i="3"/>
  <c r="L13" i="3"/>
  <c r="M13" i="3"/>
  <c r="K14" i="3"/>
  <c r="L14" i="3"/>
  <c r="M14" i="3"/>
  <c r="K1384" i="3"/>
  <c r="P1384" i="3" s="1"/>
  <c r="L1384" i="3"/>
  <c r="M1384" i="3"/>
  <c r="K1385" i="3"/>
  <c r="P1385" i="3" s="1"/>
  <c r="L1385" i="3"/>
  <c r="M1385" i="3"/>
  <c r="K861" i="3"/>
  <c r="P861" i="3" s="1"/>
  <c r="L861" i="3"/>
  <c r="M861" i="3"/>
  <c r="K584" i="3"/>
  <c r="P584" i="3" s="1"/>
  <c r="L584" i="3"/>
  <c r="M584" i="3"/>
  <c r="K585" i="3"/>
  <c r="P585" i="3" s="1"/>
  <c r="L585" i="3"/>
  <c r="M585" i="3"/>
  <c r="K586" i="3"/>
  <c r="P586" i="3" s="1"/>
  <c r="L586" i="3"/>
  <c r="M586" i="3"/>
  <c r="K587" i="3"/>
  <c r="P587" i="3" s="1"/>
  <c r="L587" i="3"/>
  <c r="M587" i="3"/>
  <c r="K588" i="3"/>
  <c r="P588" i="3" s="1"/>
  <c r="L588" i="3"/>
  <c r="M588" i="3"/>
  <c r="K589" i="3"/>
  <c r="P589" i="3" s="1"/>
  <c r="L589" i="3"/>
  <c r="M589" i="3"/>
  <c r="K599" i="3"/>
  <c r="P599" i="3" s="1"/>
  <c r="L599" i="3"/>
  <c r="M599" i="3"/>
  <c r="K590" i="3"/>
  <c r="P590" i="3" s="1"/>
  <c r="L590" i="3"/>
  <c r="M590" i="3"/>
  <c r="K591" i="3"/>
  <c r="P591" i="3" s="1"/>
  <c r="L591" i="3"/>
  <c r="M591" i="3"/>
  <c r="K592" i="3"/>
  <c r="P592" i="3" s="1"/>
  <c r="L592" i="3"/>
  <c r="M592" i="3"/>
  <c r="K593" i="3"/>
  <c r="P593" i="3" s="1"/>
  <c r="L593" i="3"/>
  <c r="M593" i="3"/>
  <c r="K594" i="3"/>
  <c r="P594" i="3" s="1"/>
  <c r="L594" i="3"/>
  <c r="M594" i="3"/>
  <c r="K595" i="3"/>
  <c r="P595" i="3" s="1"/>
  <c r="L595" i="3"/>
  <c r="M595" i="3"/>
  <c r="K597" i="3"/>
  <c r="P597" i="3" s="1"/>
  <c r="L597" i="3"/>
  <c r="M597" i="3"/>
  <c r="K598" i="3"/>
  <c r="P598" i="3" s="1"/>
  <c r="L598" i="3"/>
  <c r="M598" i="3"/>
  <c r="K1479" i="3"/>
  <c r="P1479" i="3" s="1"/>
  <c r="L1479" i="3"/>
  <c r="M1479" i="3"/>
  <c r="K1476" i="3"/>
  <c r="P1476" i="3" s="1"/>
  <c r="L1476" i="3"/>
  <c r="M1476" i="3"/>
  <c r="K1477" i="3"/>
  <c r="P1477" i="3" s="1"/>
  <c r="L1477" i="3"/>
  <c r="M1477" i="3"/>
  <c r="K1478" i="3"/>
  <c r="P1478" i="3" s="1"/>
  <c r="L1478" i="3"/>
  <c r="M1478" i="3"/>
  <c r="K29" i="3"/>
  <c r="L29" i="3"/>
  <c r="M29" i="3"/>
  <c r="K27" i="3"/>
  <c r="L27" i="3"/>
  <c r="M27" i="3"/>
  <c r="K1671" i="3"/>
  <c r="P1671" i="3" s="1"/>
  <c r="L1671" i="3"/>
  <c r="M1671" i="3"/>
  <c r="K1672" i="3"/>
  <c r="P1672" i="3" s="1"/>
  <c r="L1672" i="3"/>
  <c r="M1672" i="3"/>
  <c r="K2290" i="3"/>
  <c r="P2290" i="3" s="1"/>
  <c r="L2290" i="3"/>
  <c r="M2290" i="3"/>
  <c r="K2298" i="3"/>
  <c r="P2298" i="3" s="1"/>
  <c r="L2298" i="3"/>
  <c r="M2298" i="3"/>
  <c r="K2299" i="3"/>
  <c r="P2299" i="3" s="1"/>
  <c r="L2299" i="3"/>
  <c r="M2299" i="3"/>
  <c r="K2302" i="3"/>
  <c r="P2302" i="3" s="1"/>
  <c r="L2302" i="3"/>
  <c r="M2302" i="3"/>
  <c r="K2301" i="3"/>
  <c r="P2301" i="3" s="1"/>
  <c r="L2301" i="3"/>
  <c r="M2301" i="3"/>
  <c r="K2303" i="3"/>
  <c r="P2303" i="3" s="1"/>
  <c r="L2303" i="3"/>
  <c r="M2303" i="3"/>
  <c r="K2305" i="3"/>
  <c r="P2305" i="3" s="1"/>
  <c r="L2305" i="3"/>
  <c r="M2305" i="3"/>
  <c r="K2307" i="3"/>
  <c r="P2307" i="3" s="1"/>
  <c r="L2307" i="3"/>
  <c r="M2307" i="3"/>
  <c r="K2306" i="3"/>
  <c r="P2306" i="3" s="1"/>
  <c r="L2306" i="3"/>
  <c r="M2306" i="3"/>
  <c r="K2282" i="3"/>
  <c r="P2282" i="3" s="1"/>
  <c r="L2282" i="3"/>
  <c r="M2282" i="3"/>
  <c r="K2310" i="3"/>
  <c r="P2310" i="3" s="1"/>
  <c r="L2310" i="3"/>
  <c r="M2310" i="3"/>
  <c r="K2387" i="3"/>
  <c r="P2387" i="3" s="1"/>
  <c r="L2387" i="3"/>
  <c r="M2387" i="3"/>
  <c r="K2283" i="3"/>
  <c r="P2283" i="3" s="1"/>
  <c r="L2283" i="3"/>
  <c r="M2283" i="3"/>
  <c r="K2381" i="3"/>
  <c r="P2381" i="3" s="1"/>
  <c r="L2381" i="3"/>
  <c r="M2381" i="3"/>
  <c r="K2382" i="3"/>
  <c r="P2382" i="3" s="1"/>
  <c r="L2382" i="3"/>
  <c r="M2382" i="3"/>
  <c r="K2393" i="3"/>
  <c r="P2393" i="3" s="1"/>
  <c r="L2393" i="3"/>
  <c r="M2393" i="3"/>
  <c r="K2284" i="3"/>
  <c r="P2284" i="3" s="1"/>
  <c r="L2284" i="3"/>
  <c r="M2284" i="3"/>
  <c r="K2311" i="3"/>
  <c r="P2311" i="3" s="1"/>
  <c r="L2311" i="3"/>
  <c r="M2311" i="3"/>
  <c r="K2312" i="3"/>
  <c r="P2312" i="3" s="1"/>
  <c r="L2312" i="3"/>
  <c r="M2312" i="3"/>
  <c r="K2313" i="3"/>
  <c r="P2313" i="3" s="1"/>
  <c r="L2313" i="3"/>
  <c r="M2313" i="3"/>
  <c r="K2315" i="3"/>
  <c r="P2315" i="3" s="1"/>
  <c r="L2315" i="3"/>
  <c r="M2315" i="3"/>
  <c r="K2380" i="3"/>
  <c r="P2380" i="3" s="1"/>
  <c r="L2380" i="3"/>
  <c r="M2380" i="3"/>
  <c r="K2314" i="3"/>
  <c r="P2314" i="3" s="1"/>
  <c r="L2314" i="3"/>
  <c r="M2314" i="3"/>
  <c r="K2316" i="3"/>
  <c r="P2316" i="3" s="1"/>
  <c r="L2316" i="3"/>
  <c r="M2316" i="3"/>
  <c r="K2317" i="3"/>
  <c r="P2317" i="3" s="1"/>
  <c r="L2317" i="3"/>
  <c r="M2317" i="3"/>
  <c r="K2388" i="3"/>
  <c r="P2388" i="3" s="1"/>
  <c r="L2388" i="3"/>
  <c r="M2388" i="3"/>
  <c r="K2319" i="3"/>
  <c r="P2319" i="3" s="1"/>
  <c r="L2319" i="3"/>
  <c r="M2319" i="3"/>
  <c r="K2320" i="3"/>
  <c r="P2320" i="3" s="1"/>
  <c r="L2320" i="3"/>
  <c r="M2320" i="3"/>
  <c r="K2321" i="3"/>
  <c r="P2321" i="3" s="1"/>
  <c r="L2321" i="3"/>
  <c r="M2321" i="3"/>
  <c r="K2331" i="3"/>
  <c r="P2331" i="3" s="1"/>
  <c r="L2331" i="3"/>
  <c r="M2331" i="3"/>
  <c r="K2394" i="3"/>
  <c r="P2394" i="3" s="1"/>
  <c r="L2394" i="3"/>
  <c r="M2394" i="3"/>
  <c r="K2395" i="3"/>
  <c r="P2395" i="3" s="1"/>
  <c r="L2395" i="3"/>
  <c r="M2395" i="3"/>
  <c r="K2383" i="3"/>
  <c r="P2383" i="3" s="1"/>
  <c r="L2383" i="3"/>
  <c r="M2383" i="3"/>
  <c r="K2384" i="3"/>
  <c r="P2384" i="3" s="1"/>
  <c r="L2384" i="3"/>
  <c r="M2384" i="3"/>
  <c r="K2323" i="3"/>
  <c r="P2323" i="3" s="1"/>
  <c r="L2323" i="3"/>
  <c r="M2323" i="3"/>
  <c r="K2322" i="3"/>
  <c r="P2322" i="3" s="1"/>
  <c r="L2322" i="3"/>
  <c r="M2322" i="3"/>
  <c r="K2324" i="3"/>
  <c r="P2324" i="3" s="1"/>
  <c r="L2324" i="3"/>
  <c r="M2324" i="3"/>
  <c r="K2325" i="3"/>
  <c r="P2325" i="3" s="1"/>
  <c r="L2325" i="3"/>
  <c r="M2325" i="3"/>
  <c r="K2326" i="3"/>
  <c r="P2326" i="3" s="1"/>
  <c r="L2326" i="3"/>
  <c r="M2326" i="3"/>
  <c r="K2327" i="3"/>
  <c r="P2327" i="3" s="1"/>
  <c r="L2327" i="3"/>
  <c r="M2327" i="3"/>
  <c r="K2328" i="3"/>
  <c r="P2328" i="3" s="1"/>
  <c r="L2328" i="3"/>
  <c r="M2328" i="3"/>
  <c r="K2329" i="3"/>
  <c r="P2329" i="3" s="1"/>
  <c r="L2329" i="3"/>
  <c r="M2329" i="3"/>
  <c r="K2291" i="3"/>
  <c r="P2291" i="3" s="1"/>
  <c r="L2291" i="3"/>
  <c r="M2291" i="3"/>
  <c r="K2292" i="3"/>
  <c r="P2292" i="3" s="1"/>
  <c r="L2292" i="3"/>
  <c r="M2292" i="3"/>
  <c r="K2336" i="3"/>
  <c r="P2336" i="3" s="1"/>
  <c r="L2336" i="3"/>
  <c r="M2336" i="3"/>
  <c r="K2337" i="3"/>
  <c r="P2337" i="3" s="1"/>
  <c r="L2337" i="3"/>
  <c r="M2337" i="3"/>
  <c r="K2338" i="3"/>
  <c r="P2338" i="3" s="1"/>
  <c r="L2338" i="3"/>
  <c r="M2338" i="3"/>
  <c r="K2339" i="3"/>
  <c r="P2339" i="3" s="1"/>
  <c r="L2339" i="3"/>
  <c r="M2339" i="3"/>
  <c r="K2340" i="3"/>
  <c r="P2340" i="3" s="1"/>
  <c r="L2340" i="3"/>
  <c r="M2340" i="3"/>
  <c r="K2341" i="3"/>
  <c r="P2341" i="3" s="1"/>
  <c r="L2341" i="3"/>
  <c r="M2341" i="3"/>
  <c r="K2342" i="3"/>
  <c r="P2342" i="3" s="1"/>
  <c r="L2342" i="3"/>
  <c r="M2342" i="3"/>
  <c r="K2343" i="3"/>
  <c r="P2343" i="3" s="1"/>
  <c r="L2343" i="3"/>
  <c r="M2343" i="3"/>
  <c r="K2344" i="3"/>
  <c r="P2344" i="3" s="1"/>
  <c r="L2344" i="3"/>
  <c r="M2344" i="3"/>
  <c r="K2289" i="3"/>
  <c r="P2289" i="3" s="1"/>
  <c r="L2289" i="3"/>
  <c r="M2289" i="3"/>
  <c r="K2349" i="3"/>
  <c r="P2349" i="3" s="1"/>
  <c r="L2349" i="3"/>
  <c r="M2349" i="3"/>
  <c r="K2350" i="3"/>
  <c r="P2350" i="3" s="1"/>
  <c r="L2350" i="3"/>
  <c r="M2350" i="3"/>
  <c r="K2345" i="3"/>
  <c r="P2345" i="3" s="1"/>
  <c r="L2345" i="3"/>
  <c r="M2345" i="3"/>
  <c r="K2347" i="3"/>
  <c r="P2347" i="3" s="1"/>
  <c r="L2347" i="3"/>
  <c r="M2347" i="3"/>
  <c r="K2348" i="3"/>
  <c r="P2348" i="3" s="1"/>
  <c r="L2348" i="3"/>
  <c r="M2348" i="3"/>
  <c r="K2351" i="3"/>
  <c r="P2351" i="3" s="1"/>
  <c r="L2351" i="3"/>
  <c r="M2351" i="3"/>
  <c r="K2352" i="3"/>
  <c r="P2352" i="3" s="1"/>
  <c r="L2352" i="3"/>
  <c r="M2352" i="3"/>
  <c r="K2353" i="3"/>
  <c r="P2353" i="3" s="1"/>
  <c r="L2353" i="3"/>
  <c r="M2353" i="3"/>
  <c r="K2355" i="3"/>
  <c r="P2355" i="3" s="1"/>
  <c r="L2355" i="3"/>
  <c r="M2355" i="3"/>
  <c r="K2385" i="3"/>
  <c r="P2385" i="3" s="1"/>
  <c r="L2385" i="3"/>
  <c r="M2385" i="3"/>
  <c r="K2356" i="3"/>
  <c r="P2356" i="3" s="1"/>
  <c r="L2356" i="3"/>
  <c r="M2356" i="3"/>
  <c r="K2357" i="3"/>
  <c r="P2357" i="3" s="1"/>
  <c r="L2357" i="3"/>
  <c r="M2357" i="3"/>
  <c r="K2330" i="3"/>
  <c r="P2330" i="3" s="1"/>
  <c r="L2330" i="3"/>
  <c r="M2330" i="3"/>
  <c r="K2318" i="3"/>
  <c r="P2318" i="3" s="1"/>
  <c r="L2318" i="3"/>
  <c r="M2318" i="3"/>
  <c r="K2368" i="3"/>
  <c r="P2368" i="3" s="1"/>
  <c r="L2368" i="3"/>
  <c r="M2368" i="3"/>
  <c r="K2359" i="3"/>
  <c r="P2359" i="3" s="1"/>
  <c r="L2359" i="3"/>
  <c r="M2359" i="3"/>
  <c r="K2285" i="3"/>
  <c r="P2285" i="3" s="1"/>
  <c r="L2285" i="3"/>
  <c r="M2285" i="3"/>
  <c r="K2386" i="3"/>
  <c r="P2386" i="3" s="1"/>
  <c r="L2386" i="3"/>
  <c r="M2386" i="3"/>
  <c r="K2286" i="3"/>
  <c r="P2286" i="3" s="1"/>
  <c r="L2286" i="3"/>
  <c r="M2286" i="3"/>
  <c r="K2360" i="3"/>
  <c r="P2360" i="3" s="1"/>
  <c r="L2360" i="3"/>
  <c r="M2360" i="3"/>
  <c r="K2361" i="3"/>
  <c r="P2361" i="3" s="1"/>
  <c r="L2361" i="3"/>
  <c r="M2361" i="3"/>
  <c r="K2287" i="3"/>
  <c r="P2287" i="3" s="1"/>
  <c r="L2287" i="3"/>
  <c r="M2287" i="3"/>
  <c r="K2288" i="3"/>
  <c r="P2288" i="3" s="1"/>
  <c r="L2288" i="3"/>
  <c r="M2288" i="3"/>
  <c r="K2362" i="3"/>
  <c r="P2362" i="3" s="1"/>
  <c r="L2362" i="3"/>
  <c r="M2362" i="3"/>
  <c r="K2364" i="3"/>
  <c r="P2364" i="3" s="1"/>
  <c r="L2364" i="3"/>
  <c r="M2364" i="3"/>
  <c r="K2363" i="3"/>
  <c r="P2363" i="3" s="1"/>
  <c r="L2363" i="3"/>
  <c r="M2363" i="3"/>
  <c r="K2366" i="3"/>
  <c r="P2366" i="3" s="1"/>
  <c r="L2366" i="3"/>
  <c r="M2366" i="3"/>
  <c r="K2365" i="3"/>
  <c r="P2365" i="3" s="1"/>
  <c r="L2365" i="3"/>
  <c r="M2365" i="3"/>
  <c r="K2367" i="3"/>
  <c r="P2367" i="3" s="1"/>
  <c r="L2367" i="3"/>
  <c r="M2367" i="3"/>
  <c r="K2369" i="3"/>
  <c r="P2369" i="3" s="1"/>
  <c r="L2369" i="3"/>
  <c r="M2369" i="3"/>
  <c r="K2370" i="3"/>
  <c r="P2370" i="3" s="1"/>
  <c r="L2370" i="3"/>
  <c r="M2370" i="3"/>
  <c r="K2371" i="3"/>
  <c r="P2371" i="3" s="1"/>
  <c r="L2371" i="3"/>
  <c r="M2371" i="3"/>
  <c r="K2372" i="3"/>
  <c r="P2372" i="3" s="1"/>
  <c r="L2372" i="3"/>
  <c r="M2372" i="3"/>
  <c r="K2375" i="3"/>
  <c r="P2375" i="3" s="1"/>
  <c r="L2375" i="3"/>
  <c r="M2375" i="3"/>
  <c r="K2374" i="3"/>
  <c r="P2374" i="3" s="1"/>
  <c r="L2374" i="3"/>
  <c r="M2374" i="3"/>
  <c r="K2376" i="3"/>
  <c r="P2376" i="3" s="1"/>
  <c r="L2376" i="3"/>
  <c r="M2376" i="3"/>
  <c r="K1498" i="3"/>
  <c r="P1498" i="3" s="1"/>
  <c r="L1498" i="3"/>
  <c r="M1498" i="3"/>
  <c r="K1499" i="3"/>
  <c r="P1499" i="3" s="1"/>
  <c r="L1499" i="3"/>
  <c r="M1499" i="3"/>
  <c r="K1500" i="3"/>
  <c r="P1500" i="3" s="1"/>
  <c r="L1500" i="3"/>
  <c r="M1500" i="3"/>
  <c r="K1497" i="3"/>
  <c r="P1497" i="3" s="1"/>
  <c r="L1497" i="3"/>
  <c r="M1497" i="3"/>
  <c r="K1504" i="3"/>
  <c r="P1504" i="3" s="1"/>
  <c r="L1504" i="3"/>
  <c r="M1504" i="3"/>
  <c r="K1507" i="3"/>
  <c r="P1507" i="3" s="1"/>
  <c r="L1507" i="3"/>
  <c r="M1507" i="3"/>
  <c r="K1583" i="3"/>
  <c r="P1583" i="3" s="1"/>
  <c r="L1583" i="3"/>
  <c r="M1583" i="3"/>
  <c r="K1569" i="3"/>
  <c r="P1569" i="3" s="1"/>
  <c r="L1569" i="3"/>
  <c r="M1569" i="3"/>
  <c r="K1582" i="3"/>
  <c r="P1582" i="3" s="1"/>
  <c r="L1582" i="3"/>
  <c r="M1582" i="3"/>
  <c r="K1511" i="3"/>
  <c r="P1511" i="3" s="1"/>
  <c r="L1511" i="3"/>
  <c r="M1511" i="3"/>
  <c r="K1571" i="3"/>
  <c r="P1571" i="3" s="1"/>
  <c r="L1571" i="3"/>
  <c r="M1571" i="3"/>
  <c r="K1544" i="3"/>
  <c r="P1544" i="3" s="1"/>
  <c r="L1544" i="3"/>
  <c r="M1544" i="3"/>
  <c r="K1543" i="3"/>
  <c r="P1543" i="3" s="1"/>
  <c r="L1543" i="3"/>
  <c r="M1543" i="3"/>
  <c r="K1503" i="3"/>
  <c r="P1503" i="3" s="1"/>
  <c r="L1503" i="3"/>
  <c r="M1503" i="3"/>
  <c r="K1505" i="3"/>
  <c r="P1505" i="3" s="1"/>
  <c r="L1505" i="3"/>
  <c r="M1505" i="3"/>
  <c r="K1506" i="3"/>
  <c r="P1506" i="3" s="1"/>
  <c r="L1506" i="3"/>
  <c r="M1506" i="3"/>
  <c r="K1509" i="3"/>
  <c r="P1509" i="3" s="1"/>
  <c r="L1509" i="3"/>
  <c r="M1509" i="3"/>
  <c r="K1570" i="3"/>
  <c r="P1570" i="3" s="1"/>
  <c r="L1570" i="3"/>
  <c r="M1570" i="3"/>
  <c r="K229" i="3"/>
  <c r="L229" i="3"/>
  <c r="M229" i="3"/>
  <c r="K265" i="3"/>
  <c r="L265" i="3"/>
  <c r="M265" i="3"/>
  <c r="K270" i="3"/>
  <c r="L270" i="3"/>
  <c r="M270" i="3"/>
  <c r="K315" i="3"/>
  <c r="L315" i="3"/>
  <c r="M315" i="3"/>
  <c r="K316" i="3"/>
  <c r="L316" i="3"/>
  <c r="M316" i="3"/>
  <c r="K271" i="3"/>
  <c r="L271" i="3"/>
  <c r="M271" i="3"/>
  <c r="K272" i="3"/>
  <c r="L272" i="3"/>
  <c r="M272" i="3"/>
  <c r="K244" i="3"/>
  <c r="L244" i="3"/>
  <c r="M244" i="3"/>
  <c r="K250" i="3"/>
  <c r="L250" i="3"/>
  <c r="M250" i="3"/>
  <c r="K236" i="3"/>
  <c r="L236" i="3"/>
  <c r="M236" i="3"/>
  <c r="K275" i="3"/>
  <c r="L275" i="3"/>
  <c r="M275" i="3"/>
  <c r="K276" i="3"/>
  <c r="L276" i="3"/>
  <c r="M276" i="3"/>
  <c r="K317" i="3"/>
  <c r="L317" i="3"/>
  <c r="M317" i="3"/>
  <c r="K277" i="3"/>
  <c r="L277" i="3"/>
  <c r="M277" i="3"/>
  <c r="K278" i="3"/>
  <c r="L278" i="3"/>
  <c r="M278" i="3"/>
  <c r="K279" i="3"/>
  <c r="L279" i="3"/>
  <c r="M279" i="3"/>
  <c r="K280" i="3"/>
  <c r="L280" i="3"/>
  <c r="M280" i="3"/>
  <c r="K296" i="3"/>
  <c r="L296" i="3"/>
  <c r="M296" i="3"/>
  <c r="K237" i="3"/>
  <c r="L237" i="3"/>
  <c r="M237" i="3"/>
  <c r="K252" i="3"/>
  <c r="L252" i="3"/>
  <c r="M252" i="3"/>
  <c r="K291" i="3"/>
  <c r="L291" i="3"/>
  <c r="M291" i="3"/>
  <c r="K281" i="3"/>
  <c r="L281" i="3"/>
  <c r="M281" i="3"/>
  <c r="K258" i="3"/>
  <c r="L258" i="3"/>
  <c r="M258" i="3"/>
  <c r="K298" i="3"/>
  <c r="L298" i="3"/>
  <c r="M298" i="3"/>
  <c r="K299" i="3"/>
  <c r="L299" i="3"/>
  <c r="M299" i="3"/>
  <c r="K260" i="3"/>
  <c r="L260" i="3"/>
  <c r="M260" i="3"/>
  <c r="K261" i="3"/>
  <c r="L261" i="3"/>
  <c r="M261" i="3"/>
  <c r="K300" i="3"/>
  <c r="L300" i="3"/>
  <c r="M300" i="3"/>
  <c r="K301" i="3"/>
  <c r="L301" i="3"/>
  <c r="M301" i="3"/>
  <c r="K238" i="3"/>
  <c r="L238" i="3"/>
  <c r="M238" i="3"/>
  <c r="K239" i="3"/>
  <c r="L239" i="3"/>
  <c r="M239" i="3"/>
  <c r="K262" i="3"/>
  <c r="L262" i="3"/>
  <c r="M262" i="3"/>
  <c r="K240" i="3"/>
  <c r="L240" i="3"/>
  <c r="M240" i="3"/>
  <c r="K284" i="3"/>
  <c r="L284" i="3"/>
  <c r="M284" i="3"/>
  <c r="K302" i="3"/>
  <c r="L302" i="3"/>
  <c r="M302" i="3"/>
  <c r="K303" i="3"/>
  <c r="L303" i="3"/>
  <c r="M303" i="3"/>
  <c r="K304" i="3"/>
  <c r="L304" i="3"/>
  <c r="M304" i="3"/>
  <c r="K231" i="3"/>
  <c r="L231" i="3"/>
  <c r="M231" i="3"/>
  <c r="K245" i="3"/>
  <c r="L245" i="3"/>
  <c r="M245" i="3"/>
  <c r="K306" i="3"/>
  <c r="L306" i="3"/>
  <c r="M306" i="3"/>
  <c r="K320" i="3"/>
  <c r="L320" i="3"/>
  <c r="M320" i="3"/>
  <c r="K321" i="3"/>
  <c r="L321" i="3"/>
  <c r="M321" i="3"/>
  <c r="K322" i="3"/>
  <c r="L322" i="3"/>
  <c r="M322" i="3"/>
  <c r="K319" i="3"/>
  <c r="L319" i="3"/>
  <c r="M319" i="3"/>
  <c r="K233" i="3"/>
  <c r="L233" i="3"/>
  <c r="M233" i="3"/>
  <c r="K287" i="3"/>
  <c r="L287" i="3"/>
  <c r="M287" i="3"/>
  <c r="K307" i="3"/>
  <c r="L307" i="3"/>
  <c r="M307" i="3"/>
  <c r="K312" i="3"/>
  <c r="L312" i="3"/>
  <c r="M312" i="3"/>
  <c r="K308" i="3"/>
  <c r="L308" i="3"/>
  <c r="M308" i="3"/>
  <c r="K309" i="3"/>
  <c r="L309" i="3"/>
  <c r="M309" i="3"/>
  <c r="K310" i="3"/>
  <c r="L310" i="3"/>
  <c r="M310" i="3"/>
  <c r="K311" i="3"/>
  <c r="L311" i="3"/>
  <c r="M311" i="3"/>
  <c r="K313" i="3"/>
  <c r="L313" i="3"/>
  <c r="M313" i="3"/>
  <c r="K246" i="3"/>
  <c r="L246" i="3"/>
  <c r="M246" i="3"/>
  <c r="K288" i="3"/>
  <c r="L288" i="3"/>
  <c r="M288" i="3"/>
  <c r="K241" i="3"/>
  <c r="L241" i="3"/>
  <c r="M241" i="3"/>
  <c r="K289" i="3"/>
  <c r="L289" i="3"/>
  <c r="M289" i="3"/>
  <c r="K290" i="3"/>
  <c r="L290" i="3"/>
  <c r="M290" i="3"/>
  <c r="K1073" i="3"/>
  <c r="P1073" i="3" s="1"/>
  <c r="L1073" i="3"/>
  <c r="M1073" i="3"/>
  <c r="K855" i="3"/>
  <c r="L855" i="3"/>
  <c r="M855" i="3"/>
  <c r="K1079" i="3"/>
  <c r="P1079" i="3" s="1"/>
  <c r="L1079" i="3"/>
  <c r="M1079" i="3"/>
  <c r="K1396" i="3"/>
  <c r="P1396" i="3" s="1"/>
  <c r="L1396" i="3"/>
  <c r="M1396" i="3"/>
  <c r="K1395" i="3"/>
  <c r="P1395" i="3" s="1"/>
  <c r="L1395" i="3"/>
  <c r="M1395" i="3"/>
  <c r="K33" i="3"/>
  <c r="L33" i="3"/>
  <c r="M33" i="3"/>
  <c r="K34" i="3"/>
  <c r="L34" i="3"/>
  <c r="M34" i="3"/>
  <c r="K35" i="3"/>
  <c r="L35" i="3"/>
  <c r="M35" i="3"/>
  <c r="K2418" i="3"/>
  <c r="P2418" i="3" s="1"/>
  <c r="L2418" i="3"/>
  <c r="M2418" i="3"/>
  <c r="K875" i="3"/>
  <c r="P875" i="3" s="1"/>
  <c r="L875" i="3"/>
  <c r="M875" i="3"/>
  <c r="K2424" i="3"/>
  <c r="P2424" i="3" s="1"/>
  <c r="L2424" i="3"/>
  <c r="M2424" i="3"/>
  <c r="K242" i="3"/>
  <c r="L242" i="3"/>
  <c r="M242" i="3"/>
  <c r="K1480" i="3"/>
  <c r="P1480" i="3" s="1"/>
  <c r="L1480" i="3"/>
  <c r="M1480" i="3"/>
  <c r="K824" i="3"/>
  <c r="L824" i="3"/>
  <c r="M824" i="3"/>
  <c r="K1443" i="3"/>
  <c r="P1443" i="3" s="1"/>
  <c r="L1443" i="3"/>
  <c r="M1443" i="3"/>
  <c r="K1678" i="3"/>
  <c r="P1678" i="3" s="1"/>
  <c r="L1678" i="3"/>
  <c r="M1678" i="3"/>
  <c r="K1685" i="3"/>
  <c r="P1685" i="3" s="1"/>
  <c r="L1685" i="3"/>
  <c r="M1685" i="3"/>
  <c r="K1658" i="3"/>
  <c r="P1658" i="3" s="1"/>
  <c r="L1658" i="3"/>
  <c r="M1658" i="3"/>
  <c r="K1708" i="3"/>
  <c r="P1708" i="3" s="1"/>
  <c r="L1708" i="3"/>
  <c r="M1708" i="3"/>
  <c r="K1693" i="3"/>
  <c r="P1693" i="3" s="1"/>
  <c r="L1693" i="3"/>
  <c r="M1693" i="3"/>
  <c r="K1692" i="3"/>
  <c r="P1692" i="3" s="1"/>
  <c r="L1692" i="3"/>
  <c r="M1692" i="3"/>
  <c r="K1696" i="3"/>
  <c r="P1696" i="3" s="1"/>
  <c r="L1696" i="3"/>
  <c r="M1696" i="3"/>
  <c r="K1691" i="3"/>
  <c r="P1691" i="3" s="1"/>
  <c r="L1691" i="3"/>
  <c r="M1691" i="3"/>
  <c r="K1786" i="3"/>
  <c r="P1786" i="3" s="1"/>
  <c r="L1786" i="3"/>
  <c r="M1786" i="3"/>
  <c r="K1699" i="3"/>
  <c r="P1699" i="3" s="1"/>
  <c r="L1699" i="3"/>
  <c r="M1699" i="3"/>
  <c r="K1647" i="3"/>
  <c r="P1647" i="3" s="1"/>
  <c r="L1647" i="3"/>
  <c r="M1647" i="3"/>
  <c r="K1648" i="3"/>
  <c r="P1648" i="3" s="1"/>
  <c r="L1648" i="3"/>
  <c r="M1648" i="3"/>
  <c r="K1649" i="3"/>
  <c r="P1649" i="3" s="1"/>
  <c r="L1649" i="3"/>
  <c r="M1649" i="3"/>
  <c r="K1655" i="3"/>
  <c r="P1655" i="3" s="1"/>
  <c r="L1655" i="3"/>
  <c r="M1655" i="3"/>
  <c r="K1677" i="3"/>
  <c r="P1677" i="3" s="1"/>
  <c r="L1677" i="3"/>
  <c r="M1677" i="3"/>
  <c r="K1664" i="3"/>
  <c r="P1664" i="3" s="1"/>
  <c r="L1664" i="3"/>
  <c r="M1664" i="3"/>
  <c r="K1219" i="3"/>
  <c r="P1219" i="3" s="1"/>
  <c r="L1219" i="3"/>
  <c r="M1219" i="3"/>
  <c r="K1484" i="3"/>
  <c r="P1484" i="3" s="1"/>
  <c r="L1484" i="3"/>
  <c r="M1484" i="3"/>
  <c r="K1485" i="3"/>
  <c r="P1485" i="3" s="1"/>
  <c r="L1485" i="3"/>
  <c r="M1485" i="3"/>
  <c r="K1489" i="3"/>
  <c r="P1489" i="3" s="1"/>
  <c r="L1489" i="3"/>
  <c r="M1489" i="3"/>
  <c r="K1490" i="3"/>
  <c r="P1490" i="3" s="1"/>
  <c r="L1490" i="3"/>
  <c r="M1490" i="3"/>
  <c r="K1487" i="3"/>
  <c r="P1487" i="3" s="1"/>
  <c r="L1487" i="3"/>
  <c r="M1487" i="3"/>
  <c r="K1488" i="3"/>
  <c r="P1488" i="3" s="1"/>
  <c r="L1488" i="3"/>
  <c r="M1488" i="3"/>
  <c r="K1491" i="3"/>
  <c r="P1491" i="3" s="1"/>
  <c r="L1491" i="3"/>
  <c r="M1491" i="3"/>
  <c r="K1492" i="3"/>
  <c r="P1492" i="3" s="1"/>
  <c r="L1492" i="3"/>
  <c r="M1492" i="3"/>
  <c r="K1494" i="3"/>
  <c r="P1494" i="3" s="1"/>
  <c r="L1494" i="3"/>
  <c r="M1494" i="3"/>
  <c r="K1496" i="3"/>
  <c r="P1496" i="3" s="1"/>
  <c r="L1496" i="3"/>
  <c r="M1496" i="3"/>
  <c r="K48" i="3"/>
  <c r="P48" i="3" s="1"/>
  <c r="L48" i="3"/>
  <c r="M48" i="3"/>
  <c r="K1220" i="3"/>
  <c r="P1220" i="3" s="1"/>
  <c r="L1220" i="3"/>
  <c r="M1220" i="3"/>
  <c r="K2425" i="3"/>
  <c r="P2425" i="3" s="1"/>
  <c r="L2425" i="3"/>
  <c r="M2425" i="3"/>
  <c r="K2417" i="3"/>
  <c r="P2417" i="3" s="1"/>
  <c r="L2417" i="3"/>
  <c r="M2417" i="3"/>
  <c r="K1095" i="3"/>
  <c r="P1095" i="3" s="1"/>
  <c r="L1095" i="3"/>
  <c r="M1095" i="3"/>
  <c r="K1589" i="3"/>
  <c r="P1589" i="3" s="1"/>
  <c r="L1589" i="3"/>
  <c r="M1589" i="3"/>
  <c r="K1590" i="3"/>
  <c r="P1590" i="3" s="1"/>
  <c r="L1590" i="3"/>
  <c r="M1590" i="3"/>
  <c r="K1595" i="3"/>
  <c r="P1595" i="3" s="1"/>
  <c r="L1595" i="3"/>
  <c r="M1595" i="3"/>
  <c r="K1597" i="3"/>
  <c r="P1597" i="3" s="1"/>
  <c r="L1597" i="3"/>
  <c r="M1597" i="3"/>
  <c r="K1598" i="3"/>
  <c r="P1598" i="3" s="1"/>
  <c r="L1598" i="3"/>
  <c r="M1598" i="3"/>
  <c r="K1599" i="3"/>
  <c r="P1599" i="3" s="1"/>
  <c r="L1599" i="3"/>
  <c r="M1599" i="3"/>
  <c r="K1600" i="3"/>
  <c r="P1600" i="3" s="1"/>
  <c r="L1600" i="3"/>
  <c r="M1600" i="3"/>
  <c r="K1601" i="3"/>
  <c r="P1601" i="3" s="1"/>
  <c r="L1601" i="3"/>
  <c r="M1601" i="3"/>
  <c r="K1602" i="3"/>
  <c r="P1602" i="3" s="1"/>
  <c r="L1602" i="3"/>
  <c r="M1602" i="3"/>
  <c r="K1603" i="3"/>
  <c r="P1603" i="3" s="1"/>
  <c r="L1603" i="3"/>
  <c r="M1603" i="3"/>
  <c r="K1604" i="3"/>
  <c r="P1604" i="3" s="1"/>
  <c r="L1604" i="3"/>
  <c r="M1604" i="3"/>
  <c r="K1605" i="3"/>
  <c r="P1605" i="3" s="1"/>
  <c r="L1605" i="3"/>
  <c r="M1605" i="3"/>
  <c r="K1606" i="3"/>
  <c r="P1606" i="3" s="1"/>
  <c r="L1606" i="3"/>
  <c r="M1606" i="3"/>
  <c r="K1607" i="3"/>
  <c r="P1607" i="3" s="1"/>
  <c r="L1607" i="3"/>
  <c r="M1607" i="3"/>
  <c r="K1608" i="3"/>
  <c r="P1608" i="3" s="1"/>
  <c r="L1608" i="3"/>
  <c r="M1608" i="3"/>
  <c r="K1596" i="3"/>
  <c r="P1596" i="3" s="1"/>
  <c r="L1596" i="3"/>
  <c r="M1596" i="3"/>
  <c r="K1609" i="3"/>
  <c r="P1609" i="3" s="1"/>
  <c r="L1609" i="3"/>
  <c r="M1609" i="3"/>
  <c r="K1610" i="3"/>
  <c r="P1610" i="3" s="1"/>
  <c r="L1610" i="3"/>
  <c r="M1610" i="3"/>
  <c r="K1611" i="3"/>
  <c r="P1611" i="3" s="1"/>
  <c r="L1611" i="3"/>
  <c r="M1611" i="3"/>
  <c r="K1612" i="3"/>
  <c r="P1612" i="3" s="1"/>
  <c r="L1612" i="3"/>
  <c r="M1612" i="3"/>
  <c r="K1613" i="3"/>
  <c r="P1613" i="3" s="1"/>
  <c r="L1613" i="3"/>
  <c r="M1613" i="3"/>
  <c r="K1614" i="3"/>
  <c r="P1614" i="3" s="1"/>
  <c r="L1614" i="3"/>
  <c r="M1614" i="3"/>
  <c r="K1615" i="3"/>
  <c r="P1615" i="3" s="1"/>
  <c r="L1615" i="3"/>
  <c r="M1615" i="3"/>
  <c r="K1616" i="3"/>
  <c r="P1616" i="3" s="1"/>
  <c r="L1616" i="3"/>
  <c r="M1616" i="3"/>
  <c r="K1617" i="3"/>
  <c r="P1617" i="3" s="1"/>
  <c r="L1617" i="3"/>
  <c r="M1617" i="3"/>
  <c r="K1618" i="3"/>
  <c r="P1618" i="3" s="1"/>
  <c r="L1618" i="3"/>
  <c r="M1618" i="3"/>
  <c r="K1619" i="3"/>
  <c r="P1619" i="3" s="1"/>
  <c r="L1619" i="3"/>
  <c r="M1619" i="3"/>
  <c r="K1620" i="3"/>
  <c r="P1620" i="3" s="1"/>
  <c r="L1620" i="3"/>
  <c r="M1620" i="3"/>
  <c r="K1621" i="3"/>
  <c r="P1621" i="3" s="1"/>
  <c r="L1621" i="3"/>
  <c r="M1621" i="3"/>
  <c r="K1622" i="3"/>
  <c r="P1622" i="3" s="1"/>
  <c r="L1622" i="3"/>
  <c r="M1622" i="3"/>
  <c r="K1625" i="3"/>
  <c r="P1625" i="3" s="1"/>
  <c r="L1625" i="3"/>
  <c r="M1625" i="3"/>
  <c r="K197" i="3"/>
  <c r="P197" i="3" s="1"/>
  <c r="L197" i="3"/>
  <c r="M197" i="3"/>
  <c r="K198" i="3"/>
  <c r="P198" i="3" s="1"/>
  <c r="L198" i="3"/>
  <c r="M198" i="3"/>
  <c r="K199" i="3"/>
  <c r="P199" i="3" s="1"/>
  <c r="L199" i="3"/>
  <c r="M199" i="3"/>
  <c r="K200" i="3"/>
  <c r="L200" i="3"/>
  <c r="M200" i="3"/>
  <c r="K201" i="3"/>
  <c r="P201" i="3" s="1"/>
  <c r="L201" i="3"/>
  <c r="M201" i="3"/>
  <c r="K202" i="3"/>
  <c r="P202" i="3" s="1"/>
  <c r="L202" i="3"/>
  <c r="M202" i="3"/>
  <c r="K203" i="3"/>
  <c r="P203" i="3" s="1"/>
  <c r="L203" i="3"/>
  <c r="M203" i="3"/>
  <c r="K204" i="3"/>
  <c r="P204" i="3" s="1"/>
  <c r="L204" i="3"/>
  <c r="M204" i="3"/>
  <c r="K205" i="3"/>
  <c r="P205" i="3" s="1"/>
  <c r="L205" i="3"/>
  <c r="M205" i="3"/>
  <c r="K17" i="3"/>
  <c r="L17" i="3"/>
  <c r="M17" i="3"/>
  <c r="K22" i="3"/>
  <c r="L22" i="3"/>
  <c r="M22" i="3"/>
  <c r="K23" i="3"/>
  <c r="L23" i="3"/>
  <c r="M23" i="3"/>
  <c r="K37" i="3"/>
  <c r="L37" i="3"/>
  <c r="M37" i="3"/>
  <c r="K38" i="3"/>
  <c r="L38" i="3"/>
  <c r="M38" i="3"/>
  <c r="K24" i="3"/>
  <c r="L24" i="3"/>
  <c r="M24" i="3"/>
  <c r="K1420" i="3"/>
  <c r="P1420" i="3" s="1"/>
  <c r="L1420" i="3"/>
  <c r="M1420" i="3"/>
  <c r="K1422" i="3"/>
  <c r="P1422" i="3" s="1"/>
  <c r="L1422" i="3"/>
  <c r="M1422" i="3"/>
  <c r="K1217" i="3"/>
  <c r="P1217" i="3" s="1"/>
  <c r="L1217" i="3"/>
  <c r="M1217" i="3"/>
  <c r="K206" i="3"/>
  <c r="P206" i="3" s="1"/>
  <c r="L206" i="3"/>
  <c r="M206" i="3"/>
  <c r="K2021" i="3"/>
  <c r="P2021" i="3" s="1"/>
  <c r="L2021" i="3"/>
  <c r="M2021" i="3"/>
  <c r="K2022" i="3"/>
  <c r="P2022" i="3" s="1"/>
  <c r="L2022" i="3"/>
  <c r="M2022" i="3"/>
  <c r="K2023" i="3"/>
  <c r="P2023" i="3" s="1"/>
  <c r="L2023" i="3"/>
  <c r="M2023" i="3"/>
  <c r="K2017" i="3"/>
  <c r="P2017" i="3" s="1"/>
  <c r="L2017" i="3"/>
  <c r="M2017" i="3"/>
  <c r="K2024" i="3"/>
  <c r="P2024" i="3" s="1"/>
  <c r="L2024" i="3"/>
  <c r="M2024" i="3"/>
  <c r="K2025" i="3"/>
  <c r="P2025" i="3" s="1"/>
  <c r="L2025" i="3"/>
  <c r="M2025" i="3"/>
  <c r="K2028" i="3"/>
  <c r="P2028" i="3" s="1"/>
  <c r="L2028" i="3"/>
  <c r="M2028" i="3"/>
  <c r="K2029" i="3"/>
  <c r="P2029" i="3" s="1"/>
  <c r="L2029" i="3"/>
  <c r="M2029" i="3"/>
  <c r="K2030" i="3"/>
  <c r="P2030" i="3" s="1"/>
  <c r="L2030" i="3"/>
  <c r="M2030" i="3"/>
  <c r="K2033" i="3"/>
  <c r="P2033" i="3" s="1"/>
  <c r="L2033" i="3"/>
  <c r="M2033" i="3"/>
  <c r="K2040" i="3"/>
  <c r="P2040" i="3" s="1"/>
  <c r="L2040" i="3"/>
  <c r="M2040" i="3"/>
  <c r="K2041" i="3"/>
  <c r="P2041" i="3" s="1"/>
  <c r="L2041" i="3"/>
  <c r="M2041" i="3"/>
  <c r="K2045" i="3"/>
  <c r="P2045" i="3" s="1"/>
  <c r="L2045" i="3"/>
  <c r="M2045" i="3"/>
  <c r="K2047" i="3"/>
  <c r="P2047" i="3" s="1"/>
  <c r="L2047" i="3"/>
  <c r="M2047" i="3"/>
  <c r="K2049" i="3"/>
  <c r="P2049" i="3" s="1"/>
  <c r="L2049" i="3"/>
  <c r="M2049" i="3"/>
  <c r="K2050" i="3"/>
  <c r="P2050" i="3" s="1"/>
  <c r="L2050" i="3"/>
  <c r="M2050" i="3"/>
  <c r="K2053" i="3"/>
  <c r="P2053" i="3" s="1"/>
  <c r="L2053" i="3"/>
  <c r="M2053" i="3"/>
  <c r="K2054" i="3"/>
  <c r="P2054" i="3" s="1"/>
  <c r="L2054" i="3"/>
  <c r="M2054" i="3"/>
  <c r="K2065" i="3"/>
  <c r="P2065" i="3" s="1"/>
  <c r="L2065" i="3"/>
  <c r="M2065" i="3"/>
  <c r="K2079" i="3"/>
  <c r="P2079" i="3" s="1"/>
  <c r="L2079" i="3"/>
  <c r="M2079" i="3"/>
  <c r="K2080" i="3"/>
  <c r="P2080" i="3" s="1"/>
  <c r="L2080" i="3"/>
  <c r="M2080" i="3"/>
  <c r="K2081" i="3"/>
  <c r="P2081" i="3" s="1"/>
  <c r="L2081" i="3"/>
  <c r="M2081" i="3"/>
  <c r="K2082" i="3"/>
  <c r="P2082" i="3" s="1"/>
  <c r="L2082" i="3"/>
  <c r="M2082" i="3"/>
  <c r="K2083" i="3"/>
  <c r="P2083" i="3" s="1"/>
  <c r="L2083" i="3"/>
  <c r="M2083" i="3"/>
  <c r="K2086" i="3"/>
  <c r="P2086" i="3" s="1"/>
  <c r="L2086" i="3"/>
  <c r="M2086" i="3"/>
  <c r="K2088" i="3"/>
  <c r="P2088" i="3" s="1"/>
  <c r="L2088" i="3"/>
  <c r="M2088" i="3"/>
  <c r="K2089" i="3"/>
  <c r="P2089" i="3" s="1"/>
  <c r="L2089" i="3"/>
  <c r="M2089" i="3"/>
  <c r="K2090" i="3"/>
  <c r="P2090" i="3" s="1"/>
  <c r="L2090" i="3"/>
  <c r="M2090" i="3"/>
  <c r="K2091" i="3"/>
  <c r="P2091" i="3" s="1"/>
  <c r="L2091" i="3"/>
  <c r="M2091" i="3"/>
  <c r="K2092" i="3"/>
  <c r="P2092" i="3" s="1"/>
  <c r="L2092" i="3"/>
  <c r="M2092" i="3"/>
  <c r="K2094" i="3"/>
  <c r="P2094" i="3" s="1"/>
  <c r="L2094" i="3"/>
  <c r="M2094" i="3"/>
  <c r="K2096" i="3"/>
  <c r="P2096" i="3" s="1"/>
  <c r="L2096" i="3"/>
  <c r="M2096" i="3"/>
  <c r="K2097" i="3"/>
  <c r="P2097" i="3" s="1"/>
  <c r="L2097" i="3"/>
  <c r="M2097" i="3"/>
  <c r="K2098" i="3"/>
  <c r="P2098" i="3" s="1"/>
  <c r="L2098" i="3"/>
  <c r="M2098" i="3"/>
  <c r="K2099" i="3"/>
  <c r="P2099" i="3" s="1"/>
  <c r="L2099" i="3"/>
  <c r="M2099" i="3"/>
  <c r="K2104" i="3"/>
  <c r="P2104" i="3" s="1"/>
  <c r="L2104" i="3"/>
  <c r="M2104" i="3"/>
  <c r="K2101" i="3"/>
  <c r="P2101" i="3" s="1"/>
  <c r="L2101" i="3"/>
  <c r="M2101" i="3"/>
  <c r="K2100" i="3"/>
  <c r="P2100" i="3" s="1"/>
  <c r="L2100" i="3"/>
  <c r="M2100" i="3"/>
  <c r="K2102" i="3"/>
  <c r="P2102" i="3" s="1"/>
  <c r="L2102" i="3"/>
  <c r="M2102" i="3"/>
  <c r="K2103" i="3"/>
  <c r="P2103" i="3" s="1"/>
  <c r="L2103" i="3"/>
  <c r="M2103" i="3"/>
  <c r="K2106" i="3"/>
  <c r="P2106" i="3" s="1"/>
  <c r="L2106" i="3"/>
  <c r="M2106" i="3"/>
  <c r="K2108" i="3"/>
  <c r="P2108" i="3" s="1"/>
  <c r="L2108" i="3"/>
  <c r="M2108" i="3"/>
  <c r="K2109" i="3"/>
  <c r="P2109" i="3" s="1"/>
  <c r="L2109" i="3"/>
  <c r="M2109" i="3"/>
  <c r="K2019" i="3"/>
  <c r="P2019" i="3" s="1"/>
  <c r="L2019" i="3"/>
  <c r="M2019" i="3"/>
  <c r="K2107" i="3"/>
  <c r="P2107" i="3" s="1"/>
  <c r="L2107" i="3"/>
  <c r="M2107" i="3"/>
  <c r="K2110" i="3"/>
  <c r="P2110" i="3" s="1"/>
  <c r="L2110" i="3"/>
  <c r="M2110" i="3"/>
  <c r="K2020" i="3"/>
  <c r="P2020" i="3" s="1"/>
  <c r="L2020" i="3"/>
  <c r="M2020" i="3"/>
  <c r="K1106" i="3"/>
  <c r="P1106" i="3" s="1"/>
  <c r="L1106" i="3"/>
  <c r="M1106" i="3"/>
  <c r="K1091" i="3"/>
  <c r="P1091" i="3" s="1"/>
  <c r="L1091" i="3"/>
  <c r="M1091" i="3"/>
  <c r="K835" i="3"/>
  <c r="L835" i="3"/>
  <c r="M835" i="3"/>
  <c r="K1139" i="3"/>
  <c r="P1139" i="3" s="1"/>
  <c r="L1139" i="3"/>
  <c r="M1139" i="3"/>
  <c r="K1158" i="3"/>
  <c r="P1158" i="3" s="1"/>
  <c r="L1158" i="3"/>
  <c r="M1158" i="3"/>
  <c r="K1119" i="3"/>
  <c r="P1119" i="3" s="1"/>
  <c r="L1119" i="3"/>
  <c r="M1119" i="3"/>
  <c r="K1121" i="3"/>
  <c r="P1121" i="3" s="1"/>
  <c r="L1121" i="3"/>
  <c r="M1121" i="3"/>
  <c r="K1120" i="3"/>
  <c r="P1120" i="3" s="1"/>
  <c r="L1120" i="3"/>
  <c r="M1120" i="3"/>
  <c r="K1141" i="3"/>
  <c r="P1141" i="3" s="1"/>
  <c r="L1141" i="3"/>
  <c r="M1141" i="3"/>
  <c r="K1168" i="3"/>
  <c r="P1168" i="3" s="1"/>
  <c r="L1168" i="3"/>
  <c r="M1168" i="3"/>
  <c r="K1142" i="3"/>
  <c r="P1142" i="3" s="1"/>
  <c r="L1142" i="3"/>
  <c r="M1142" i="3"/>
  <c r="K1143" i="3"/>
  <c r="P1143" i="3" s="1"/>
  <c r="L1143" i="3"/>
  <c r="M1143" i="3"/>
  <c r="K1144" i="3"/>
  <c r="P1144" i="3" s="1"/>
  <c r="L1144" i="3"/>
  <c r="M1144" i="3"/>
  <c r="K1145" i="3"/>
  <c r="P1145" i="3" s="1"/>
  <c r="L1145" i="3"/>
  <c r="M1145" i="3"/>
  <c r="K1148" i="3"/>
  <c r="P1148" i="3" s="1"/>
  <c r="L1148" i="3"/>
  <c r="M1148" i="3"/>
  <c r="K1146" i="3"/>
  <c r="P1146" i="3" s="1"/>
  <c r="L1146" i="3"/>
  <c r="M1146" i="3"/>
  <c r="K1123" i="3"/>
  <c r="P1123" i="3" s="1"/>
  <c r="L1123" i="3"/>
  <c r="M1123" i="3"/>
  <c r="K1149" i="3"/>
  <c r="P1149" i="3" s="1"/>
  <c r="L1149" i="3"/>
  <c r="M1149" i="3"/>
  <c r="K1150" i="3"/>
  <c r="P1150" i="3" s="1"/>
  <c r="L1150" i="3"/>
  <c r="M1150" i="3"/>
  <c r="K1151" i="3"/>
  <c r="P1151" i="3" s="1"/>
  <c r="L1151" i="3"/>
  <c r="M1151" i="3"/>
  <c r="K1124" i="3"/>
  <c r="P1124" i="3" s="1"/>
  <c r="L1124" i="3"/>
  <c r="M1124" i="3"/>
  <c r="K1125" i="3"/>
  <c r="P1125" i="3" s="1"/>
  <c r="L1125" i="3"/>
  <c r="M1125" i="3"/>
  <c r="K1152" i="3"/>
  <c r="P1152" i="3" s="1"/>
  <c r="L1152" i="3"/>
  <c r="M1152" i="3"/>
  <c r="K1153" i="3"/>
  <c r="P1153" i="3" s="1"/>
  <c r="L1153" i="3"/>
  <c r="M1153" i="3"/>
  <c r="K1154" i="3"/>
  <c r="P1154" i="3" s="1"/>
  <c r="L1154" i="3"/>
  <c r="M1154" i="3"/>
  <c r="K1155" i="3"/>
  <c r="P1155" i="3" s="1"/>
  <c r="L1155" i="3"/>
  <c r="M1155" i="3"/>
  <c r="K1122" i="3"/>
  <c r="P1122" i="3" s="1"/>
  <c r="L1122" i="3"/>
  <c r="M1122" i="3"/>
  <c r="K1126" i="3"/>
  <c r="P1126" i="3" s="1"/>
  <c r="L1126" i="3"/>
  <c r="M1126" i="3"/>
  <c r="K1127" i="3"/>
  <c r="P1127" i="3" s="1"/>
  <c r="L1127" i="3"/>
  <c r="M1127" i="3"/>
  <c r="K1156" i="3"/>
  <c r="P1156" i="3" s="1"/>
  <c r="L1156" i="3"/>
  <c r="M1156" i="3"/>
  <c r="K1157" i="3"/>
  <c r="P1157" i="3" s="1"/>
  <c r="L1157" i="3"/>
  <c r="M1157" i="3"/>
  <c r="K1159" i="3"/>
  <c r="P1159" i="3" s="1"/>
  <c r="L1159" i="3"/>
  <c r="M1159" i="3"/>
  <c r="K1128" i="3"/>
  <c r="P1128" i="3" s="1"/>
  <c r="L1128" i="3"/>
  <c r="M1128" i="3"/>
  <c r="K1129" i="3"/>
  <c r="P1129" i="3" s="1"/>
  <c r="L1129" i="3"/>
  <c r="M1129" i="3"/>
  <c r="K1160" i="3"/>
  <c r="P1160" i="3" s="1"/>
  <c r="L1160" i="3"/>
  <c r="M1160" i="3"/>
  <c r="K1130" i="3"/>
  <c r="P1130" i="3" s="1"/>
  <c r="L1130" i="3"/>
  <c r="M1130" i="3"/>
  <c r="K1131" i="3"/>
  <c r="P1131" i="3" s="1"/>
  <c r="L1131" i="3"/>
  <c r="M1131" i="3"/>
  <c r="K1164" i="3"/>
  <c r="P1164" i="3" s="1"/>
  <c r="L1164" i="3"/>
  <c r="M1164" i="3"/>
  <c r="K1163" i="3"/>
  <c r="P1163" i="3" s="1"/>
  <c r="L1163" i="3"/>
  <c r="M1163" i="3"/>
  <c r="K1165" i="3"/>
  <c r="P1165" i="3" s="1"/>
  <c r="L1165" i="3"/>
  <c r="M1165" i="3"/>
  <c r="K1132" i="3"/>
  <c r="P1132" i="3" s="1"/>
  <c r="L1132" i="3"/>
  <c r="M1132" i="3"/>
  <c r="K1167" i="3"/>
  <c r="P1167" i="3" s="1"/>
  <c r="L1167" i="3"/>
  <c r="M1167" i="3"/>
  <c r="K1133" i="3"/>
  <c r="P1133" i="3" s="1"/>
  <c r="L1133" i="3"/>
  <c r="M1133" i="3"/>
  <c r="K1140" i="3"/>
  <c r="P1140" i="3" s="1"/>
  <c r="L1140" i="3"/>
  <c r="M1140" i="3"/>
  <c r="K1213" i="3"/>
  <c r="P1213" i="3" s="1"/>
  <c r="L1213" i="3"/>
  <c r="M1213" i="3"/>
  <c r="K1214" i="3"/>
  <c r="P1214" i="3" s="1"/>
  <c r="L1214" i="3"/>
  <c r="M1214" i="3"/>
  <c r="K1162" i="3"/>
  <c r="P1162" i="3" s="1"/>
  <c r="L1162" i="3"/>
  <c r="M1162" i="3"/>
  <c r="K1135" i="3"/>
  <c r="P1135" i="3" s="1"/>
  <c r="L1135" i="3"/>
  <c r="M1135" i="3"/>
  <c r="K506" i="3"/>
  <c r="L506" i="3"/>
  <c r="M506" i="3"/>
  <c r="K507" i="3"/>
  <c r="L507" i="3"/>
  <c r="M507" i="3"/>
  <c r="K1722" i="3"/>
  <c r="P1722" i="3" s="1"/>
  <c r="L1722" i="3"/>
  <c r="M1722" i="3"/>
  <c r="K1723" i="3"/>
  <c r="P1723" i="3" s="1"/>
  <c r="L1723" i="3"/>
  <c r="M1723" i="3"/>
  <c r="K1726" i="3"/>
  <c r="P1726" i="3" s="1"/>
  <c r="L1726" i="3"/>
  <c r="M1726" i="3"/>
  <c r="K1643" i="3"/>
  <c r="P1643" i="3" s="1"/>
  <c r="L1643" i="3"/>
  <c r="M1643" i="3"/>
  <c r="K1645" i="3"/>
  <c r="P1645" i="3" s="1"/>
  <c r="L1645" i="3"/>
  <c r="M1645" i="3"/>
  <c r="K1657" i="3"/>
  <c r="P1657" i="3" s="1"/>
  <c r="L1657" i="3"/>
  <c r="M1657" i="3"/>
  <c r="K1661" i="3"/>
  <c r="P1661" i="3" s="1"/>
  <c r="L1661" i="3"/>
  <c r="M1661" i="3"/>
  <c r="K1676" i="3"/>
  <c r="P1676" i="3" s="1"/>
  <c r="L1676" i="3"/>
  <c r="M1676" i="3"/>
  <c r="K1663" i="3"/>
  <c r="P1663" i="3" s="1"/>
  <c r="L1663" i="3"/>
  <c r="M1663" i="3"/>
  <c r="K1666" i="3"/>
  <c r="P1666" i="3" s="1"/>
  <c r="L1666" i="3"/>
  <c r="M1666" i="3"/>
  <c r="K1668" i="3"/>
  <c r="P1668" i="3" s="1"/>
  <c r="L1668" i="3"/>
  <c r="M1668" i="3"/>
  <c r="K1675" i="3"/>
  <c r="P1675" i="3" s="1"/>
  <c r="L1675" i="3"/>
  <c r="M1675" i="3"/>
  <c r="K1093" i="3"/>
  <c r="P1093" i="3" s="1"/>
  <c r="L1093" i="3"/>
  <c r="M1093" i="3"/>
  <c r="K838" i="3"/>
  <c r="L838" i="3"/>
  <c r="M838" i="3"/>
  <c r="K844" i="3"/>
  <c r="L844" i="3"/>
  <c r="M844" i="3"/>
  <c r="K853" i="3"/>
  <c r="L853" i="3"/>
  <c r="M853" i="3"/>
  <c r="K7" i="3"/>
  <c r="L7" i="3"/>
  <c r="M7" i="3"/>
  <c r="K1472" i="3"/>
  <c r="P1472" i="3" s="1"/>
  <c r="L1472" i="3"/>
  <c r="M1472" i="3"/>
  <c r="K1430" i="3"/>
  <c r="P1430" i="3" s="1"/>
  <c r="L1430" i="3"/>
  <c r="M1430" i="3"/>
  <c r="K1470" i="3"/>
  <c r="P1470" i="3" s="1"/>
  <c r="L1470" i="3"/>
  <c r="M1470" i="3"/>
  <c r="K1109" i="3"/>
  <c r="P1109" i="3" s="1"/>
  <c r="L1109" i="3"/>
  <c r="M1109" i="3"/>
  <c r="K1105" i="3"/>
  <c r="P1105" i="3" s="1"/>
  <c r="L1105" i="3"/>
  <c r="M1105" i="3"/>
  <c r="K1103" i="3"/>
  <c r="P1103" i="3" s="1"/>
  <c r="L1103" i="3"/>
  <c r="M1103" i="3"/>
  <c r="K1104" i="3"/>
  <c r="P1104" i="3" s="1"/>
  <c r="L1104" i="3"/>
  <c r="M1104" i="3"/>
  <c r="K1107" i="3"/>
  <c r="P1107" i="3" s="1"/>
  <c r="L1107" i="3"/>
  <c r="M1107" i="3"/>
  <c r="K1110" i="3"/>
  <c r="P1110" i="3" s="1"/>
  <c r="L1110" i="3"/>
  <c r="M1110" i="3"/>
  <c r="K1111" i="3"/>
  <c r="P1111" i="3" s="1"/>
  <c r="L1111" i="3"/>
  <c r="M1111" i="3"/>
  <c r="K1112" i="3"/>
  <c r="P1112" i="3" s="1"/>
  <c r="L1112" i="3"/>
  <c r="M1112" i="3"/>
  <c r="K1792" i="3"/>
  <c r="P1792" i="3" s="1"/>
  <c r="L1792" i="3"/>
  <c r="M1792" i="3"/>
  <c r="K1794" i="3"/>
  <c r="P1794" i="3" s="1"/>
  <c r="L1794" i="3"/>
  <c r="M1794" i="3"/>
  <c r="K1796" i="3"/>
  <c r="P1796" i="3" s="1"/>
  <c r="L1796" i="3"/>
  <c r="M1796" i="3"/>
  <c r="K1797" i="3"/>
  <c r="P1797" i="3" s="1"/>
  <c r="L1797" i="3"/>
  <c r="M1797" i="3"/>
  <c r="K1684" i="3"/>
  <c r="P1684" i="3" s="1"/>
  <c r="L1684" i="3"/>
  <c r="M1684" i="3"/>
  <c r="K2396" i="3"/>
  <c r="P2396" i="3" s="1"/>
  <c r="L2396" i="3"/>
  <c r="M2396" i="3"/>
  <c r="K2281" i="3"/>
  <c r="P2281" i="3" s="1"/>
  <c r="L2281" i="3"/>
  <c r="M2281" i="3"/>
  <c r="K2397" i="3"/>
  <c r="P2397" i="3" s="1"/>
  <c r="L2397" i="3"/>
  <c r="M2397" i="3"/>
  <c r="K2398" i="3"/>
  <c r="P2398" i="3" s="1"/>
  <c r="L2398" i="3"/>
  <c r="M2398" i="3"/>
  <c r="K2399" i="3"/>
  <c r="P2399" i="3" s="1"/>
  <c r="L2399" i="3"/>
  <c r="M2399" i="3"/>
  <c r="K2400" i="3"/>
  <c r="P2400" i="3" s="1"/>
  <c r="L2400" i="3"/>
  <c r="M2400" i="3"/>
  <c r="K1628" i="3"/>
  <c r="P1628" i="3" s="1"/>
  <c r="L1628" i="3"/>
  <c r="M1628" i="3"/>
  <c r="K1098" i="3"/>
  <c r="P1098" i="3" s="1"/>
  <c r="L1098" i="3"/>
  <c r="M1098" i="3"/>
  <c r="K1629" i="3"/>
  <c r="P1629" i="3" s="1"/>
  <c r="L1629" i="3"/>
  <c r="M1629" i="3"/>
  <c r="K1581" i="3"/>
  <c r="P1581" i="3" s="1"/>
  <c r="L1581" i="3"/>
  <c r="M1581" i="3"/>
  <c r="K1520" i="3"/>
  <c r="P1520" i="3" s="1"/>
  <c r="L1520" i="3"/>
  <c r="M1520" i="3"/>
  <c r="K1510" i="3"/>
  <c r="P1510" i="3" s="1"/>
  <c r="L1510" i="3"/>
  <c r="M1510" i="3"/>
  <c r="K1115" i="3"/>
  <c r="P1115" i="3" s="1"/>
  <c r="L1115" i="3"/>
  <c r="M1115" i="3"/>
  <c r="K1116" i="3"/>
  <c r="P1116" i="3" s="1"/>
  <c r="L1116" i="3"/>
  <c r="M1116" i="3"/>
  <c r="K31" i="3"/>
  <c r="L31" i="3"/>
  <c r="M31" i="3"/>
  <c r="K32" i="3"/>
  <c r="L32" i="3"/>
  <c r="M32" i="3"/>
  <c r="K1822" i="3"/>
  <c r="P1822" i="3" s="1"/>
  <c r="L1822" i="3"/>
  <c r="M1822" i="3"/>
  <c r="K1709" i="3"/>
  <c r="P1709" i="3" s="1"/>
  <c r="L1709" i="3"/>
  <c r="M1709" i="3"/>
  <c r="K1710" i="3"/>
  <c r="P1710" i="3" s="1"/>
  <c r="L1710" i="3"/>
  <c r="M1710" i="3"/>
  <c r="K1568" i="3"/>
  <c r="P1568" i="3" s="1"/>
  <c r="L1568" i="3"/>
  <c r="M1568" i="3"/>
  <c r="P1034" i="3" l="1"/>
  <c r="P1030" i="3"/>
  <c r="P1025" i="3"/>
  <c r="P1017" i="3"/>
  <c r="P1011" i="3"/>
  <c r="M120" i="108"/>
  <c r="P1007" i="3"/>
  <c r="P1003" i="3"/>
  <c r="P999" i="3"/>
  <c r="P995" i="3"/>
  <c r="M130" i="108"/>
  <c r="P984" i="3"/>
  <c r="P892" i="3"/>
  <c r="P971" i="3"/>
  <c r="P978" i="3"/>
  <c r="P972" i="3"/>
  <c r="P968" i="3"/>
  <c r="M129" i="108"/>
  <c r="P960" i="3"/>
  <c r="P956" i="3"/>
  <c r="P953" i="3"/>
  <c r="P893" i="3"/>
  <c r="P949" i="3"/>
  <c r="P946" i="3"/>
  <c r="P884" i="3"/>
  <c r="M128" i="108"/>
  <c r="P883" i="3"/>
  <c r="P932" i="3"/>
  <c r="P928" i="3"/>
  <c r="P924" i="3"/>
  <c r="P920" i="3"/>
  <c r="P881" i="3"/>
  <c r="P912" i="3"/>
  <c r="M2" i="108"/>
  <c r="P909" i="3"/>
  <c r="P1023" i="3"/>
  <c r="P905" i="3"/>
  <c r="P901" i="3"/>
  <c r="P1031" i="3"/>
  <c r="P1026" i="3"/>
  <c r="P1018" i="3"/>
  <c r="P899" i="3"/>
  <c r="M123" i="108"/>
  <c r="P1008" i="3"/>
  <c r="P1004" i="3"/>
  <c r="P1000" i="3"/>
  <c r="P996" i="3"/>
  <c r="P985" i="3"/>
  <c r="P981" i="3"/>
  <c r="M22" i="108"/>
  <c r="P878" i="3"/>
  <c r="P979" i="3"/>
  <c r="P975" i="3"/>
  <c r="P969" i="3"/>
  <c r="P961" i="3"/>
  <c r="P957" i="3"/>
  <c r="P954" i="3"/>
  <c r="M36" i="108"/>
  <c r="P894" i="3"/>
  <c r="P950" i="3"/>
  <c r="P947" i="3"/>
  <c r="M125" i="108"/>
  <c r="P943" i="3"/>
  <c r="P936" i="3"/>
  <c r="P933" i="3"/>
  <c r="P929" i="3"/>
  <c r="P925" i="3"/>
  <c r="P921" i="3"/>
  <c r="P917" i="3"/>
  <c r="P913" i="3"/>
  <c r="P910" i="3"/>
  <c r="P904" i="3"/>
  <c r="P907" i="3"/>
  <c r="P876" i="3"/>
  <c r="M121" i="108"/>
  <c r="P1032" i="3"/>
  <c r="M34" i="108"/>
  <c r="P1027" i="3"/>
  <c r="P1019" i="3"/>
  <c r="P1015" i="3"/>
  <c r="M135" i="108"/>
  <c r="P1009" i="3"/>
  <c r="P1005" i="3"/>
  <c r="P1001" i="3"/>
  <c r="P997" i="3"/>
  <c r="M37" i="108"/>
  <c r="P986" i="3"/>
  <c r="P982" i="3"/>
  <c r="M23" i="108"/>
  <c r="P887" i="3"/>
  <c r="P974" i="3"/>
  <c r="P973" i="3"/>
  <c r="P970" i="3"/>
  <c r="P962" i="3"/>
  <c r="M122" i="108"/>
  <c r="P958" i="3"/>
  <c r="P896" i="3"/>
  <c r="P895" i="3"/>
  <c r="P890" i="3"/>
  <c r="P886" i="3"/>
  <c r="P944" i="3"/>
  <c r="P937" i="3"/>
  <c r="P934" i="3"/>
  <c r="P930" i="3"/>
  <c r="P926" i="3"/>
  <c r="P922" i="3"/>
  <c r="P918" i="3"/>
  <c r="P914" i="3"/>
  <c r="P877" i="3"/>
  <c r="P906" i="3"/>
  <c r="P1021" i="3"/>
  <c r="P1033" i="3"/>
  <c r="P1029" i="3"/>
  <c r="P1024" i="3"/>
  <c r="P1016" i="3"/>
  <c r="P1010" i="3"/>
  <c r="P1006" i="3"/>
  <c r="P1002" i="3"/>
  <c r="P998" i="3"/>
  <c r="P994" i="3"/>
  <c r="M127" i="108"/>
  <c r="P983" i="3"/>
  <c r="P888" i="3"/>
  <c r="P977" i="3"/>
  <c r="P976" i="3"/>
  <c r="P897" i="3"/>
  <c r="P963" i="3"/>
  <c r="M126" i="108"/>
  <c r="P959" i="3"/>
  <c r="P955" i="3"/>
  <c r="P952" i="3"/>
  <c r="P891" i="3"/>
  <c r="P948" i="3"/>
  <c r="P945" i="3"/>
  <c r="P938" i="3"/>
  <c r="M124" i="108"/>
  <c r="P935" i="3"/>
  <c r="M104" i="108"/>
  <c r="P931" i="3"/>
  <c r="P927" i="3"/>
  <c r="P923" i="3"/>
  <c r="P919" i="3"/>
  <c r="M35" i="108"/>
  <c r="P885" i="3"/>
  <c r="P911" i="3"/>
  <c r="P908" i="3"/>
  <c r="P1022" i="3"/>
  <c r="P902" i="3"/>
  <c r="P838" i="3"/>
  <c r="P636" i="3"/>
  <c r="P841" i="3"/>
  <c r="P836" i="3"/>
  <c r="P805" i="3"/>
  <c r="P527" i="3"/>
  <c r="P536" i="3"/>
  <c r="P529" i="3"/>
  <c r="P637" i="3"/>
  <c r="P580" i="3"/>
  <c r="P578" i="3"/>
  <c r="P620" i="3"/>
  <c r="P619" i="3"/>
  <c r="P614" i="3"/>
  <c r="P561" i="3"/>
  <c r="P519" i="3"/>
  <c r="P555" i="3"/>
  <c r="P606" i="3"/>
  <c r="P524" i="3"/>
  <c r="P516" i="3"/>
  <c r="P508" i="3"/>
  <c r="P547" i="3"/>
  <c r="P818" i="3"/>
  <c r="P826" i="3"/>
  <c r="P798" i="3"/>
  <c r="P793" i="3"/>
  <c r="P789" i="3"/>
  <c r="P783" i="3"/>
  <c r="P775" i="3"/>
  <c r="P776" i="3"/>
  <c r="P766" i="3"/>
  <c r="P761" i="3"/>
  <c r="P756" i="3"/>
  <c r="P744" i="3"/>
  <c r="P747" i="3"/>
  <c r="P750" i="3"/>
  <c r="P727" i="3"/>
  <c r="P732" i="3"/>
  <c r="P724" i="3"/>
  <c r="P715" i="3"/>
  <c r="P713" i="3"/>
  <c r="P706" i="3"/>
  <c r="P703" i="3"/>
  <c r="P646" i="3"/>
  <c r="P661" i="3"/>
  <c r="P644" i="3"/>
  <c r="P643" i="3"/>
  <c r="P668" i="3"/>
  <c r="P650" i="3"/>
  <c r="P688" i="3"/>
  <c r="P685" i="3"/>
  <c r="P669" i="3"/>
  <c r="P676" i="3"/>
  <c r="P672" i="3"/>
  <c r="P641" i="3"/>
  <c r="P765" i="3"/>
  <c r="P852" i="3"/>
  <c r="P817" i="3"/>
  <c r="P844" i="3"/>
  <c r="P854" i="3"/>
  <c r="P845" i="3"/>
  <c r="P828" i="3"/>
  <c r="P811" i="3"/>
  <c r="P802" i="3"/>
  <c r="P850" i="3"/>
  <c r="P539" i="3"/>
  <c r="P532" i="3"/>
  <c r="P564" i="3"/>
  <c r="P631" i="3"/>
  <c r="P509" i="3"/>
  <c r="P630" i="3"/>
  <c r="P622" i="3"/>
  <c r="P548" i="3"/>
  <c r="P616" i="3"/>
  <c r="P562" i="3"/>
  <c r="P559" i="3"/>
  <c r="P556" i="3"/>
  <c r="P550" i="3"/>
  <c r="P525" i="3"/>
  <c r="P517" i="3"/>
  <c r="P603" i="3"/>
  <c r="P827" i="3"/>
  <c r="P757" i="3"/>
  <c r="P799" i="3"/>
  <c r="P794" i="3"/>
  <c r="P790" i="3"/>
  <c r="P784" i="3"/>
  <c r="P777" i="3"/>
  <c r="P779" i="3"/>
  <c r="P767" i="3"/>
  <c r="P762" i="3"/>
  <c r="P787" i="3"/>
  <c r="P753" i="3"/>
  <c r="P746" i="3"/>
  <c r="P751" i="3"/>
  <c r="P728" i="3"/>
  <c r="P733" i="3"/>
  <c r="P726" i="3"/>
  <c r="P717" i="3"/>
  <c r="P716" i="3"/>
  <c r="P707" i="3"/>
  <c r="P722" i="3"/>
  <c r="P700" i="3"/>
  <c r="P665" i="3"/>
  <c r="P653" i="3"/>
  <c r="P652" i="3"/>
  <c r="P642" i="3"/>
  <c r="P657" i="3"/>
  <c r="P694" i="3"/>
  <c r="P687" i="3"/>
  <c r="P670" i="3"/>
  <c r="P677" i="3"/>
  <c r="P673" i="3"/>
  <c r="P655" i="3"/>
  <c r="P795" i="3"/>
  <c r="P813" i="3"/>
  <c r="P855" i="3"/>
  <c r="P853" i="3"/>
  <c r="P842" i="3"/>
  <c r="P839" i="3"/>
  <c r="P814" i="3"/>
  <c r="P848" i="3"/>
  <c r="P803" i="3"/>
  <c r="P540" i="3"/>
  <c r="P533" i="3"/>
  <c r="P530" i="3"/>
  <c r="P635" i="3"/>
  <c r="P570" i="3"/>
  <c r="P522" i="3"/>
  <c r="P623" i="3"/>
  <c r="P565" i="3"/>
  <c r="P617" i="3"/>
  <c r="P563" i="3"/>
  <c r="P523" i="3"/>
  <c r="P557" i="3"/>
  <c r="P552" i="3"/>
  <c r="P581" i="3"/>
  <c r="P518" i="3"/>
  <c r="P514" i="3"/>
  <c r="P510" i="3"/>
  <c r="P832" i="3"/>
  <c r="P819" i="3"/>
  <c r="P639" i="3"/>
  <c r="P796" i="3"/>
  <c r="P791" i="3"/>
  <c r="P785" i="3"/>
  <c r="P778" i="3"/>
  <c r="P780" i="3"/>
  <c r="P769" i="3"/>
  <c r="P763" i="3"/>
  <c r="P759" i="3"/>
  <c r="P754" i="3"/>
  <c r="P748" i="3"/>
  <c r="P752" i="3"/>
  <c r="P729" i="3"/>
  <c r="P734" i="3"/>
  <c r="P730" i="3"/>
  <c r="P719" i="3"/>
  <c r="P718" i="3"/>
  <c r="P720" i="3"/>
  <c r="P704" i="3"/>
  <c r="P701" i="3"/>
  <c r="P667" i="3"/>
  <c r="P660" i="3"/>
  <c r="P659" i="3"/>
  <c r="P651" i="3"/>
  <c r="P664" i="3"/>
  <c r="P695" i="3"/>
  <c r="P689" i="3"/>
  <c r="P671" i="3"/>
  <c r="P678" i="3"/>
  <c r="P674" i="3"/>
  <c r="P662" i="3"/>
  <c r="P758" i="3"/>
  <c r="P800" i="3"/>
  <c r="P200" i="3"/>
  <c r="P824" i="3"/>
  <c r="P835" i="3"/>
  <c r="P633" i="3"/>
  <c r="P843" i="3"/>
  <c r="P840" i="3"/>
  <c r="P815" i="3"/>
  <c r="P804" i="3"/>
  <c r="P541" i="3"/>
  <c r="P537" i="3"/>
  <c r="P528" i="3"/>
  <c r="P632" i="3"/>
  <c r="P571" i="3"/>
  <c r="P513" i="3"/>
  <c r="P624" i="3"/>
  <c r="P512" i="3"/>
  <c r="P618" i="3"/>
  <c r="P611" i="3"/>
  <c r="P560" i="3"/>
  <c r="P558" i="3"/>
  <c r="P554" i="3"/>
  <c r="P551" i="3"/>
  <c r="P549" i="3"/>
  <c r="P515" i="3"/>
  <c r="P834" i="3"/>
  <c r="P821" i="3"/>
  <c r="P797" i="3"/>
  <c r="P792" i="3"/>
  <c r="P788" i="3"/>
  <c r="P782" i="3"/>
  <c r="P774" i="3"/>
  <c r="P770" i="3"/>
  <c r="P764" i="3"/>
  <c r="P760" i="3"/>
  <c r="P755" i="3"/>
  <c r="P749" i="3"/>
  <c r="P745" i="3"/>
  <c r="P743" i="3"/>
  <c r="P735" i="3"/>
  <c r="P731" i="3"/>
  <c r="P723" i="3"/>
  <c r="P714" i="3"/>
  <c r="P721" i="3"/>
  <c r="P705" i="3"/>
  <c r="P702" i="3"/>
  <c r="P645" i="3"/>
  <c r="P654" i="3"/>
  <c r="P697" i="3"/>
  <c r="P658" i="3"/>
  <c r="P666" i="3"/>
  <c r="P696" i="3"/>
  <c r="P686" i="3"/>
  <c r="P680" i="3"/>
  <c r="P679" i="3"/>
  <c r="P675" i="3"/>
  <c r="P649" i="3"/>
  <c r="P640" i="3"/>
  <c r="P638" i="3"/>
  <c r="P847" i="3"/>
  <c r="P846" i="3"/>
  <c r="P816" i="3"/>
  <c r="P37" i="3"/>
  <c r="P506" i="3"/>
  <c r="P23" i="3"/>
  <c r="P33" i="3"/>
  <c r="P311" i="3"/>
  <c r="P312" i="3"/>
  <c r="P319" i="3"/>
  <c r="P262" i="3"/>
  <c r="P300" i="3"/>
  <c r="P298" i="3"/>
  <c r="P279" i="3"/>
  <c r="P317" i="3"/>
  <c r="P250" i="3"/>
  <c r="P316" i="3"/>
  <c r="P27" i="3"/>
  <c r="P14" i="3"/>
  <c r="P39" i="3"/>
  <c r="P40" i="3"/>
  <c r="P505" i="3"/>
  <c r="M134" i="108"/>
  <c r="P194" i="3"/>
  <c r="P73" i="3"/>
  <c r="P61" i="3"/>
  <c r="P81" i="3"/>
  <c r="P87" i="3"/>
  <c r="P71" i="3"/>
  <c r="P58" i="3"/>
  <c r="P72" i="3"/>
  <c r="P192" i="3"/>
  <c r="P11" i="3"/>
  <c r="P18" i="3"/>
  <c r="P121" i="3"/>
  <c r="P209" i="3"/>
  <c r="P111" i="3"/>
  <c r="P108" i="3"/>
  <c r="P101" i="3"/>
  <c r="P99" i="3"/>
  <c r="P120" i="3"/>
  <c r="P128" i="3"/>
  <c r="P118" i="3"/>
  <c r="P217" i="3"/>
  <c r="P90" i="3"/>
  <c r="M83" i="108"/>
  <c r="P459" i="3"/>
  <c r="M26" i="108"/>
  <c r="P421" i="3"/>
  <c r="M115" i="108"/>
  <c r="P440" i="3"/>
  <c r="M112" i="108"/>
  <c r="P464" i="3"/>
  <c r="M105" i="108"/>
  <c r="P432" i="3"/>
  <c r="M100" i="108"/>
  <c r="P481" i="3"/>
  <c r="M96" i="108"/>
  <c r="P431" i="3"/>
  <c r="M89" i="108"/>
  <c r="P463" i="3"/>
  <c r="M85" i="108"/>
  <c r="P458" i="3"/>
  <c r="M80" i="108"/>
  <c r="P487" i="3"/>
  <c r="M76" i="108"/>
  <c r="P472" i="3"/>
  <c r="M70" i="108"/>
  <c r="P493" i="3"/>
  <c r="M65" i="108"/>
  <c r="P387" i="3"/>
  <c r="M60" i="108"/>
  <c r="P490" i="3"/>
  <c r="M54" i="108"/>
  <c r="P386" i="3"/>
  <c r="M50" i="108"/>
  <c r="P427" i="3"/>
  <c r="M45" i="108"/>
  <c r="P378" i="3"/>
  <c r="M41" i="108"/>
  <c r="P385" i="3"/>
  <c r="M33" i="108"/>
  <c r="P499" i="3"/>
  <c r="M29" i="108"/>
  <c r="P416" i="3"/>
  <c r="M21" i="108"/>
  <c r="P420" i="3"/>
  <c r="M15" i="108"/>
  <c r="P418" i="3"/>
  <c r="M8" i="108"/>
  <c r="P476" i="3"/>
  <c r="M4" i="108"/>
  <c r="P449" i="3"/>
  <c r="M117" i="108"/>
  <c r="P400" i="3"/>
  <c r="M95" i="108"/>
  <c r="P470" i="3"/>
  <c r="M13" i="108"/>
  <c r="P409" i="3"/>
  <c r="P34" i="3"/>
  <c r="P289" i="3"/>
  <c r="P313" i="3"/>
  <c r="P308" i="3"/>
  <c r="P320" i="3"/>
  <c r="P301" i="3"/>
  <c r="P299" i="3"/>
  <c r="P291" i="3"/>
  <c r="P280" i="3"/>
  <c r="P277" i="3"/>
  <c r="P236" i="3"/>
  <c r="P265" i="3"/>
  <c r="P5" i="3"/>
  <c r="P43" i="3"/>
  <c r="P42" i="3"/>
  <c r="M132" i="108"/>
  <c r="P195" i="3"/>
  <c r="P86" i="3"/>
  <c r="P88" i="3"/>
  <c r="P76" i="3"/>
  <c r="P69" i="3"/>
  <c r="P83" i="3"/>
  <c r="P64" i="3"/>
  <c r="P57" i="3"/>
  <c r="P193" i="3"/>
  <c r="P191" i="3"/>
  <c r="P19" i="3"/>
  <c r="P210" i="3"/>
  <c r="P112" i="3"/>
  <c r="P109" i="3"/>
  <c r="P104" i="3"/>
  <c r="P219" i="3"/>
  <c r="P95" i="3"/>
  <c r="P218" i="3"/>
  <c r="P124" i="3"/>
  <c r="P115" i="3"/>
  <c r="P123" i="3"/>
  <c r="P394" i="3"/>
  <c r="M73" i="108"/>
  <c r="P484" i="3"/>
  <c r="M116" i="108"/>
  <c r="P466" i="3"/>
  <c r="M113" i="108"/>
  <c r="P401" i="3"/>
  <c r="M109" i="108"/>
  <c r="P393" i="3"/>
  <c r="M101" i="108"/>
  <c r="P494" i="3"/>
  <c r="M97" i="108"/>
  <c r="P447" i="3"/>
  <c r="M90" i="108"/>
  <c r="P395" i="3"/>
  <c r="M86" i="108"/>
  <c r="P491" i="3"/>
  <c r="M81" i="108"/>
  <c r="P492" i="3"/>
  <c r="M77" i="108"/>
  <c r="P392" i="3"/>
  <c r="M69" i="108"/>
  <c r="P412" i="3"/>
  <c r="M66" i="108"/>
  <c r="P425" i="3"/>
  <c r="M61" i="108"/>
  <c r="P382" i="3"/>
  <c r="M55" i="108"/>
  <c r="P424" i="3"/>
  <c r="M51" i="108"/>
  <c r="P469" i="3"/>
  <c r="M46" i="108"/>
  <c r="P417" i="3"/>
  <c r="M42" i="108"/>
  <c r="P442" i="3"/>
  <c r="M38" i="108"/>
  <c r="P500" i="3"/>
  <c r="M30" i="108"/>
  <c r="P450" i="3"/>
  <c r="M25" i="108"/>
  <c r="P495" i="3"/>
  <c r="M16" i="108"/>
  <c r="P453" i="3"/>
  <c r="M9" i="108"/>
  <c r="P488" i="3"/>
  <c r="M5" i="108"/>
  <c r="P479" i="3"/>
  <c r="M3" i="108"/>
  <c r="P408" i="3"/>
  <c r="M107" i="108"/>
  <c r="P468" i="3"/>
  <c r="M47" i="108"/>
  <c r="P376" i="3"/>
  <c r="M91" i="108"/>
  <c r="P45" i="3"/>
  <c r="P31" i="3"/>
  <c r="P507" i="3"/>
  <c r="P32" i="3"/>
  <c r="P7" i="3"/>
  <c r="M136" i="108"/>
  <c r="P38" i="3"/>
  <c r="P17" i="3"/>
  <c r="P242" i="3"/>
  <c r="P35" i="3"/>
  <c r="P246" i="3"/>
  <c r="P309" i="3"/>
  <c r="P287" i="3"/>
  <c r="P321" i="3"/>
  <c r="P231" i="3"/>
  <c r="P284" i="3"/>
  <c r="P238" i="3"/>
  <c r="P260" i="3"/>
  <c r="P281" i="3"/>
  <c r="P296" i="3"/>
  <c r="P275" i="3"/>
  <c r="P272" i="3"/>
  <c r="P270" i="3"/>
  <c r="P6" i="3"/>
  <c r="P264" i="3"/>
  <c r="M133" i="108"/>
  <c r="P502" i="3"/>
  <c r="P75" i="3"/>
  <c r="P74" i="3"/>
  <c r="P70" i="3"/>
  <c r="P62" i="3"/>
  <c r="P65" i="3"/>
  <c r="P59" i="3"/>
  <c r="P78" i="3"/>
  <c r="P25" i="3"/>
  <c r="P52" i="3"/>
  <c r="P214" i="3"/>
  <c r="P189" i="3"/>
  <c r="P106" i="3"/>
  <c r="P105" i="3"/>
  <c r="P188" i="3"/>
  <c r="P187" i="3"/>
  <c r="P94" i="3"/>
  <c r="P125" i="3"/>
  <c r="P117" i="3"/>
  <c r="P92" i="3"/>
  <c r="P215" i="3"/>
  <c r="P486" i="3"/>
  <c r="M74" i="108"/>
  <c r="P377" i="3"/>
  <c r="M58" i="108"/>
  <c r="P437" i="3"/>
  <c r="M118" i="108"/>
  <c r="P403" i="3"/>
  <c r="M110" i="108"/>
  <c r="P460" i="3"/>
  <c r="M102" i="108"/>
  <c r="P398" i="3"/>
  <c r="M98" i="108"/>
  <c r="P438" i="3"/>
  <c r="M92" i="108"/>
  <c r="P435" i="3"/>
  <c r="M87" i="108"/>
  <c r="P396" i="3"/>
  <c r="M82" i="108"/>
  <c r="P388" i="3"/>
  <c r="M78" i="108"/>
  <c r="P436" i="3"/>
  <c r="M71" i="108"/>
  <c r="P445" i="3"/>
  <c r="M67" i="108"/>
  <c r="P457" i="3"/>
  <c r="M63" i="108"/>
  <c r="P391" i="3"/>
  <c r="M56" i="108"/>
  <c r="P456" i="3"/>
  <c r="M52" i="108"/>
  <c r="P410" i="3"/>
  <c r="M48" i="108"/>
  <c r="P452" i="3"/>
  <c r="M43" i="108"/>
  <c r="P455" i="3"/>
  <c r="M39" i="108"/>
  <c r="P383" i="3"/>
  <c r="M31" i="108"/>
  <c r="P475" i="3"/>
  <c r="M27" i="108"/>
  <c r="P381" i="3"/>
  <c r="M17" i="108"/>
  <c r="P474" i="3"/>
  <c r="M10" i="108"/>
  <c r="P498" i="3"/>
  <c r="M6" i="108"/>
  <c r="P413" i="3"/>
  <c r="M14" i="108"/>
  <c r="P405" i="3"/>
  <c r="M108" i="108"/>
  <c r="P402" i="3"/>
  <c r="M59" i="108"/>
  <c r="P415" i="3"/>
  <c r="M106" i="108"/>
  <c r="P50" i="3"/>
  <c r="M137" i="108"/>
  <c r="P24" i="3"/>
  <c r="P22" i="3"/>
  <c r="P288" i="3"/>
  <c r="P310" i="3"/>
  <c r="P307" i="3"/>
  <c r="P322" i="3"/>
  <c r="P245" i="3"/>
  <c r="P239" i="3"/>
  <c r="P261" i="3"/>
  <c r="P258" i="3"/>
  <c r="P237" i="3"/>
  <c r="P276" i="3"/>
  <c r="P244" i="3"/>
  <c r="P315" i="3"/>
  <c r="P29" i="3"/>
  <c r="P13" i="3"/>
  <c r="P295" i="3"/>
  <c r="P503" i="3"/>
  <c r="M131" i="108"/>
  <c r="P77" i="3"/>
  <c r="P89" i="3"/>
  <c r="P63" i="3"/>
  <c r="P84" i="3"/>
  <c r="P67" i="3"/>
  <c r="P85" i="3"/>
  <c r="P66" i="3"/>
  <c r="P36" i="3"/>
  <c r="P53" i="3"/>
  <c r="P190" i="3"/>
  <c r="P213" i="3"/>
  <c r="P107" i="3"/>
  <c r="P110" i="3"/>
  <c r="P100" i="3"/>
  <c r="P98" i="3"/>
  <c r="P129" i="3"/>
  <c r="P126" i="3"/>
  <c r="P116" i="3"/>
  <c r="P93" i="3"/>
  <c r="P216" i="3"/>
  <c r="M75" i="108"/>
  <c r="P434" i="3"/>
  <c r="M94" i="108"/>
  <c r="P467" i="3"/>
  <c r="M119" i="108"/>
  <c r="P404" i="3"/>
  <c r="M111" i="108"/>
  <c r="P439" i="3"/>
  <c r="M103" i="108"/>
  <c r="P399" i="3"/>
  <c r="M99" i="108"/>
  <c r="P465" i="3"/>
  <c r="M93" i="108"/>
  <c r="P462" i="3"/>
  <c r="M88" i="108"/>
  <c r="P430" i="3"/>
  <c r="M84" i="108"/>
  <c r="P426" i="3"/>
  <c r="M79" i="108"/>
  <c r="P461" i="3"/>
  <c r="M72" i="108"/>
  <c r="P422" i="3"/>
  <c r="M68" i="108"/>
  <c r="P480" i="3"/>
  <c r="M64" i="108"/>
  <c r="P428" i="3"/>
  <c r="M57" i="108"/>
  <c r="P483" i="3"/>
  <c r="M53" i="108"/>
  <c r="P441" i="3"/>
  <c r="M49" i="108"/>
  <c r="P477" i="3"/>
  <c r="M44" i="108"/>
  <c r="P485" i="3"/>
  <c r="M40" i="108"/>
  <c r="P489" i="3"/>
  <c r="M32" i="108"/>
  <c r="P496" i="3"/>
  <c r="M28" i="108"/>
  <c r="P497" i="3"/>
  <c r="M20" i="108"/>
  <c r="P375" i="3"/>
  <c r="M11" i="108"/>
  <c r="P380" i="3"/>
  <c r="M7" i="108"/>
  <c r="P451" i="3"/>
  <c r="M19" i="108"/>
  <c r="P379" i="3"/>
  <c r="M114" i="108"/>
  <c r="P414" i="3"/>
  <c r="M62" i="108"/>
  <c r="P389" i="3"/>
  <c r="M12" i="108"/>
  <c r="P397" i="3"/>
  <c r="P302" i="3"/>
  <c r="P229" i="3"/>
  <c r="P306" i="3"/>
  <c r="P303" i="3"/>
  <c r="P271" i="3"/>
  <c r="P241" i="3"/>
  <c r="P252" i="3"/>
  <c r="P290" i="3"/>
  <c r="P233" i="3"/>
  <c r="P304" i="3"/>
  <c r="P240" i="3"/>
  <c r="P278" i="3"/>
  <c r="P1784" i="3"/>
  <c r="L273" i="108"/>
  <c r="K273" i="108"/>
  <c r="J273" i="108"/>
  <c r="L35" i="108"/>
  <c r="K35" i="108"/>
  <c r="L234" i="108"/>
  <c r="K234" i="108"/>
  <c r="L161" i="108"/>
  <c r="K161" i="108"/>
  <c r="L31" i="108"/>
  <c r="K31" i="108"/>
  <c r="L189" i="108"/>
  <c r="K189" i="108"/>
  <c r="L160" i="108"/>
  <c r="K160" i="108"/>
  <c r="L30" i="108"/>
  <c r="K30" i="108"/>
  <c r="L151" i="108"/>
  <c r="K151" i="108"/>
  <c r="L173" i="108"/>
  <c r="K173" i="108"/>
  <c r="L166" i="108"/>
  <c r="K166" i="108"/>
  <c r="L188" i="108"/>
  <c r="K188" i="108"/>
  <c r="L147" i="108"/>
  <c r="K147" i="108"/>
  <c r="L41" i="108"/>
  <c r="K41" i="108"/>
  <c r="L213" i="108"/>
  <c r="K213" i="108"/>
  <c r="J213" i="108"/>
  <c r="L123" i="108"/>
  <c r="K123" i="108"/>
  <c r="L116" i="108"/>
  <c r="K116" i="108"/>
  <c r="L95" i="108"/>
  <c r="K95" i="108"/>
  <c r="L243" i="108"/>
  <c r="K243" i="108"/>
  <c r="L214" i="108"/>
  <c r="K214" i="108"/>
  <c r="J214" i="108"/>
  <c r="L99" i="108"/>
  <c r="K99" i="108"/>
  <c r="L87" i="108"/>
  <c r="K87" i="108"/>
  <c r="L86" i="108"/>
  <c r="L257" i="108"/>
  <c r="K86" i="108"/>
  <c r="K257" i="108"/>
  <c r="J257" i="108"/>
  <c r="L85" i="108"/>
  <c r="K85" i="108"/>
  <c r="L212" i="108"/>
  <c r="K212" i="108"/>
  <c r="J212" i="108"/>
  <c r="L238" i="108"/>
  <c r="K238" i="108"/>
  <c r="L236" i="108"/>
  <c r="K236" i="108"/>
  <c r="L235" i="108"/>
  <c r="K235" i="108"/>
  <c r="L261" i="108"/>
  <c r="K261" i="108"/>
  <c r="L195" i="108"/>
  <c r="K195" i="108"/>
  <c r="L74" i="108"/>
  <c r="K74" i="108"/>
  <c r="L66" i="108"/>
  <c r="K66" i="108"/>
  <c r="L63" i="108"/>
  <c r="K63" i="108"/>
  <c r="L416" i="108"/>
  <c r="K416" i="108"/>
  <c r="L454" i="108"/>
  <c r="K454" i="108"/>
  <c r="L749" i="108"/>
  <c r="K749" i="108"/>
  <c r="L751" i="108"/>
  <c r="K751" i="108"/>
  <c r="L514" i="108"/>
  <c r="K514" i="108"/>
  <c r="L646" i="108"/>
  <c r="K646" i="108"/>
  <c r="L180" i="108"/>
  <c r="K180" i="108"/>
  <c r="L477" i="108"/>
  <c r="K477" i="108"/>
  <c r="L46" i="108"/>
  <c r="K46" i="108"/>
  <c r="L396" i="108"/>
  <c r="K396" i="108"/>
  <c r="L230" i="108"/>
  <c r="K230" i="108"/>
  <c r="L129" i="108"/>
  <c r="L82" i="108"/>
  <c r="K82" i="108"/>
  <c r="L547" i="108"/>
  <c r="K547" i="108"/>
  <c r="L546" i="108"/>
  <c r="K546" i="108"/>
  <c r="L44" i="108"/>
  <c r="K44" i="108"/>
  <c r="L45" i="108"/>
  <c r="K45" i="108"/>
  <c r="L476" i="108"/>
  <c r="K476" i="108"/>
  <c r="L340" i="108"/>
  <c r="K340" i="108"/>
  <c r="L755" i="108"/>
  <c r="K755" i="108"/>
  <c r="L545" i="108"/>
  <c r="K545" i="108"/>
  <c r="L199" i="108"/>
  <c r="K199" i="108"/>
  <c r="L339" i="108"/>
  <c r="K339" i="108"/>
  <c r="L453" i="108"/>
  <c r="K453" i="108"/>
  <c r="L543" i="108"/>
  <c r="K543" i="108"/>
  <c r="L542" i="108"/>
  <c r="K542" i="108"/>
  <c r="K179" i="108"/>
  <c r="L415" i="108"/>
  <c r="K415" i="108"/>
  <c r="L475" i="108"/>
  <c r="K475" i="108"/>
  <c r="L573" i="108"/>
  <c r="K573" i="108"/>
  <c r="L358" i="108"/>
  <c r="K358" i="108"/>
  <c r="L668" i="108"/>
  <c r="K668" i="108"/>
  <c r="L669" i="108"/>
  <c r="K669" i="108"/>
  <c r="L494" i="108"/>
  <c r="K494" i="108"/>
  <c r="K239" i="108"/>
  <c r="L593" i="108"/>
  <c r="K593" i="108"/>
  <c r="L127" i="108"/>
  <c r="K127" i="108"/>
  <c r="L128" i="108"/>
  <c r="L529" i="108"/>
  <c r="K529" i="108"/>
  <c r="L25" i="108"/>
  <c r="K25" i="108"/>
  <c r="L645" i="108"/>
  <c r="K645" i="108"/>
  <c r="L229" i="108"/>
  <c r="K229" i="108"/>
  <c r="L592" i="108"/>
  <c r="K592" i="108"/>
  <c r="K264" i="108"/>
  <c r="L263" i="108"/>
  <c r="K263" i="108"/>
  <c r="L528" i="108"/>
  <c r="K528" i="108"/>
  <c r="L572" i="108"/>
  <c r="K572" i="108"/>
  <c r="L308" i="108"/>
  <c r="K308" i="108"/>
  <c r="L377" i="108"/>
  <c r="K377" i="108"/>
  <c r="L513" i="108"/>
  <c r="K513" i="108"/>
  <c r="L24" i="108"/>
  <c r="K24" i="108"/>
  <c r="L23" i="108"/>
  <c r="K23" i="108"/>
  <c r="L198" i="108"/>
  <c r="K198" i="108"/>
  <c r="L240" i="108"/>
  <c r="L105" i="108"/>
  <c r="L262" i="108"/>
  <c r="K262" i="108"/>
  <c r="L62" i="108"/>
  <c r="K62" i="108"/>
  <c r="L43" i="108"/>
  <c r="K43" i="108"/>
  <c r="L228" i="108"/>
  <c r="K228" i="108"/>
  <c r="L42" i="108"/>
  <c r="K42" i="108"/>
  <c r="L104" i="108"/>
  <c r="L642" i="108"/>
  <c r="K642" i="108"/>
  <c r="L284" i="108"/>
  <c r="K284" i="108"/>
  <c r="L283" i="108"/>
  <c r="K283" i="108"/>
  <c r="L591" i="108"/>
  <c r="K591" i="108"/>
  <c r="L414" i="108"/>
  <c r="K414" i="108"/>
  <c r="L411" i="108"/>
  <c r="K411" i="108"/>
  <c r="L571" i="108"/>
  <c r="K571" i="108"/>
  <c r="L22" i="108"/>
  <c r="K22" i="108"/>
  <c r="L510" i="108"/>
  <c r="K510" i="108"/>
  <c r="L81" i="108"/>
  <c r="K81" i="108"/>
  <c r="L21" i="108"/>
  <c r="K21" i="108"/>
  <c r="L412" i="108"/>
  <c r="K412" i="108"/>
  <c r="L413" i="108"/>
  <c r="K413" i="108"/>
  <c r="L356" i="108"/>
  <c r="K356" i="108"/>
  <c r="L227" i="108"/>
  <c r="K227" i="108"/>
  <c r="L282" i="108"/>
  <c r="K282" i="108"/>
  <c r="L281" i="108"/>
  <c r="K281" i="108"/>
  <c r="L280" i="108"/>
  <c r="K280" i="108"/>
  <c r="L509" i="108"/>
  <c r="K509" i="108"/>
  <c r="L570" i="108"/>
  <c r="K570" i="108"/>
  <c r="L357" i="108"/>
  <c r="K357" i="108"/>
  <c r="L493" i="108"/>
  <c r="K493" i="108"/>
  <c r="L569" i="108"/>
  <c r="K569" i="108"/>
  <c r="L511" i="108"/>
  <c r="K511" i="108"/>
  <c r="L452" i="108"/>
  <c r="K452" i="108"/>
  <c r="L410" i="108"/>
  <c r="K410" i="108"/>
  <c r="L409" i="108"/>
  <c r="K409" i="108"/>
  <c r="L451" i="108"/>
  <c r="K451" i="108"/>
  <c r="L279" i="108"/>
  <c r="K279" i="108"/>
  <c r="L527" i="108"/>
  <c r="K527" i="108"/>
  <c r="L512" i="108"/>
  <c r="K512" i="108"/>
  <c r="L620" i="108"/>
  <c r="K620" i="108"/>
  <c r="L101" i="108"/>
  <c r="K101" i="108"/>
  <c r="L20" i="108"/>
  <c r="K20" i="108"/>
  <c r="L606" i="108"/>
  <c r="K606" i="108"/>
  <c r="L38" i="108"/>
  <c r="K38" i="108"/>
  <c r="L307" i="108"/>
  <c r="K307" i="108"/>
  <c r="L197" i="108"/>
  <c r="K197" i="108"/>
  <c r="L394" i="108"/>
  <c r="K394" i="108"/>
  <c r="K126" i="108"/>
  <c r="L80" i="108"/>
  <c r="K80" i="108"/>
  <c r="L568" i="108"/>
  <c r="K568" i="108"/>
  <c r="L306" i="108"/>
  <c r="K306" i="108"/>
  <c r="K79" i="108"/>
  <c r="L305" i="108"/>
  <c r="K305" i="108"/>
  <c r="L619" i="108"/>
  <c r="K619" i="108"/>
  <c r="L408" i="108"/>
  <c r="K408" i="108"/>
  <c r="L665" i="108"/>
  <c r="K665" i="108"/>
  <c r="L641" i="108"/>
  <c r="K641" i="108"/>
  <c r="L605" i="108"/>
  <c r="K605" i="108"/>
  <c r="L587" i="108"/>
  <c r="K587" i="108"/>
  <c r="L567" i="108"/>
  <c r="K567" i="108"/>
  <c r="L540" i="108"/>
  <c r="K540" i="108"/>
  <c r="L526" i="108"/>
  <c r="K526" i="108"/>
  <c r="L508" i="108"/>
  <c r="K508" i="108"/>
  <c r="L492" i="108"/>
  <c r="K492" i="108"/>
  <c r="L474" i="108"/>
  <c r="K474" i="108"/>
  <c r="L450" i="108"/>
  <c r="K450" i="108"/>
  <c r="L407" i="108"/>
  <c r="K407" i="108"/>
  <c r="L376" i="108"/>
  <c r="K376" i="108"/>
  <c r="L355" i="108"/>
  <c r="K355" i="108"/>
  <c r="L304" i="108"/>
  <c r="K304" i="108"/>
  <c r="K196" i="108"/>
  <c r="L96" i="108"/>
  <c r="L18" i="108"/>
  <c r="K18" i="108"/>
  <c r="L753" i="108"/>
  <c r="K753" i="108"/>
  <c r="L752" i="108"/>
  <c r="K752" i="108"/>
  <c r="L639" i="108"/>
  <c r="K639" i="108"/>
  <c r="L393" i="108"/>
  <c r="K393" i="108"/>
  <c r="L473" i="108"/>
  <c r="K473" i="108"/>
  <c r="L449" i="108"/>
  <c r="K449" i="108"/>
  <c r="L604" i="108"/>
  <c r="K604" i="108"/>
  <c r="L303" i="108"/>
  <c r="K303" i="108"/>
  <c r="L539" i="108"/>
  <c r="K539" i="108"/>
  <c r="L392" i="108"/>
  <c r="K392" i="108"/>
  <c r="L258" i="108"/>
  <c r="K258" i="108"/>
  <c r="L338" i="108"/>
  <c r="K338" i="108"/>
  <c r="L302" i="108"/>
  <c r="K302" i="108"/>
  <c r="L637" i="108"/>
  <c r="K637" i="108"/>
  <c r="L256" i="108"/>
  <c r="K256" i="108"/>
  <c r="L300" i="108"/>
  <c r="K300" i="108"/>
  <c r="L428" i="108"/>
  <c r="K428" i="108"/>
  <c r="L194" i="108"/>
  <c r="K194" i="108"/>
  <c r="L566" i="108"/>
  <c r="K566" i="108"/>
  <c r="L585" i="108"/>
  <c r="K585" i="108"/>
  <c r="L586" i="108"/>
  <c r="K586" i="108"/>
  <c r="L565" i="108"/>
  <c r="K565" i="108"/>
  <c r="L427" i="108"/>
  <c r="K427" i="108"/>
  <c r="L491" i="108"/>
  <c r="K491" i="108"/>
  <c r="L564" i="108"/>
  <c r="K564" i="108"/>
  <c r="L389" i="108"/>
  <c r="K389" i="108"/>
  <c r="L584" i="108"/>
  <c r="K584" i="108"/>
  <c r="L17" i="108"/>
  <c r="K17" i="108"/>
  <c r="L490" i="108"/>
  <c r="K490" i="108"/>
  <c r="L39" i="108"/>
  <c r="K39" i="108"/>
  <c r="L373" i="108"/>
  <c r="K373" i="108"/>
  <c r="L406" i="108"/>
  <c r="K406" i="108"/>
  <c r="L471" i="108"/>
  <c r="K471" i="108"/>
  <c r="L388" i="108"/>
  <c r="K388" i="108"/>
  <c r="L337" i="108"/>
  <c r="K337" i="108"/>
  <c r="L525" i="108"/>
  <c r="K525" i="108"/>
  <c r="L634" i="108"/>
  <c r="K634" i="108"/>
  <c r="L359" i="108"/>
  <c r="K359" i="108"/>
  <c r="L666" i="108"/>
  <c r="K666" i="108"/>
  <c r="L405" i="108"/>
  <c r="K405" i="108"/>
  <c r="L507" i="108"/>
  <c r="K507" i="108"/>
  <c r="L445" i="108"/>
  <c r="K445" i="108"/>
  <c r="L372" i="108"/>
  <c r="K372" i="108"/>
  <c r="L506" i="108"/>
  <c r="K506" i="108"/>
  <c r="L371" i="108"/>
  <c r="K371" i="108"/>
  <c r="L448" i="108"/>
  <c r="K448" i="108"/>
  <c r="L636" i="108"/>
  <c r="K636" i="108"/>
  <c r="L447" i="108"/>
  <c r="K447" i="108"/>
  <c r="L375" i="108"/>
  <c r="K375" i="108"/>
  <c r="L336" i="108"/>
  <c r="K336" i="108"/>
  <c r="L429" i="108"/>
  <c r="K429" i="108"/>
  <c r="L354" i="108"/>
  <c r="K354" i="108"/>
  <c r="L387" i="108"/>
  <c r="K387" i="108"/>
  <c r="L353" i="108"/>
  <c r="K353" i="108"/>
  <c r="L352" i="108"/>
  <c r="K352" i="108"/>
  <c r="L489" i="108"/>
  <c r="K489" i="108"/>
  <c r="L563" i="108"/>
  <c r="K563" i="108"/>
  <c r="L351" i="108"/>
  <c r="K351" i="108"/>
  <c r="L223" i="108"/>
  <c r="K223" i="108"/>
  <c r="L618" i="108"/>
  <c r="K618" i="108"/>
  <c r="L562" i="108"/>
  <c r="K562" i="108"/>
  <c r="L222" i="108"/>
  <c r="K222" i="108"/>
  <c r="L561" i="108"/>
  <c r="K561" i="108"/>
  <c r="L221" i="108"/>
  <c r="K221" i="108"/>
  <c r="L583" i="108"/>
  <c r="K583" i="108"/>
  <c r="L582" i="108"/>
  <c r="K582" i="108"/>
  <c r="L350" i="108"/>
  <c r="K350" i="108"/>
  <c r="L220" i="108"/>
  <c r="K220" i="108"/>
  <c r="L324" i="108"/>
  <c r="K324" i="108"/>
  <c r="L278" i="108"/>
  <c r="K278" i="108"/>
  <c r="L219" i="108"/>
  <c r="K219" i="108"/>
  <c r="L218" i="108"/>
  <c r="K218" i="108"/>
  <c r="L217" i="108"/>
  <c r="K217" i="108"/>
  <c r="L335" i="108"/>
  <c r="K335" i="108"/>
  <c r="L581" i="108"/>
  <c r="K581" i="108"/>
  <c r="L370" i="108"/>
  <c r="K370" i="108"/>
  <c r="L524" i="108"/>
  <c r="K524" i="108"/>
  <c r="L505" i="108"/>
  <c r="K505" i="108"/>
  <c r="L369" i="108"/>
  <c r="K369" i="108"/>
  <c r="L334" i="108"/>
  <c r="K334" i="108"/>
  <c r="L323" i="108"/>
  <c r="K323" i="108"/>
  <c r="L299" i="108"/>
  <c r="K299" i="108"/>
  <c r="L255" i="108"/>
  <c r="K255" i="108"/>
  <c r="L216" i="108"/>
  <c r="K216" i="108"/>
  <c r="L215" i="108"/>
  <c r="K215" i="108"/>
  <c r="L633" i="108"/>
  <c r="K633" i="108"/>
  <c r="L470" i="108"/>
  <c r="K470" i="108"/>
  <c r="L664" i="108"/>
  <c r="K664" i="108"/>
  <c r="L143" i="108"/>
  <c r="K143" i="108"/>
  <c r="L55" i="108"/>
  <c r="K55" i="108"/>
  <c r="L277" i="108"/>
  <c r="K277" i="108"/>
  <c r="L538" i="108"/>
  <c r="K538" i="108"/>
  <c r="L469" i="108"/>
  <c r="K469" i="108"/>
  <c r="L468" i="108"/>
  <c r="K468" i="108"/>
  <c r="L488" i="108"/>
  <c r="K488" i="108"/>
  <c r="L191" i="108"/>
  <c r="K191" i="108"/>
  <c r="L560" i="108"/>
  <c r="K560" i="108"/>
  <c r="L386" i="108"/>
  <c r="K386" i="108"/>
  <c r="L617" i="108"/>
  <c r="K617" i="108"/>
  <c r="L333" i="108"/>
  <c r="K333" i="108"/>
  <c r="L487" i="108"/>
  <c r="K487" i="108"/>
  <c r="L537" i="108"/>
  <c r="K537" i="108"/>
  <c r="L426" i="108"/>
  <c r="K426" i="108"/>
  <c r="L536" i="108"/>
  <c r="K536" i="108"/>
  <c r="L754" i="108"/>
  <c r="K754" i="108"/>
  <c r="L385" i="108"/>
  <c r="K385" i="108"/>
  <c r="L603" i="108"/>
  <c r="K603" i="108"/>
  <c r="L120" i="108"/>
  <c r="K120" i="108"/>
  <c r="L640" i="108"/>
  <c r="K640" i="108"/>
  <c r="L602" i="108"/>
  <c r="K602" i="108"/>
  <c r="L580" i="108"/>
  <c r="K580" i="108"/>
  <c r="L332" i="108"/>
  <c r="K332" i="108"/>
  <c r="L71" i="108"/>
  <c r="K71" i="108"/>
  <c r="L37" i="108"/>
  <c r="K37" i="108"/>
  <c r="L73" i="108"/>
  <c r="L72" i="108"/>
  <c r="K72" i="108"/>
  <c r="L368" i="108"/>
  <c r="K368" i="108"/>
  <c r="L119" i="108"/>
  <c r="K119" i="108"/>
  <c r="L425" i="108"/>
  <c r="K425" i="108"/>
  <c r="L36" i="108"/>
  <c r="K36" i="108"/>
  <c r="L252" i="108"/>
  <c r="K252" i="108"/>
  <c r="L504" i="108"/>
  <c r="K504" i="108"/>
  <c r="L523" i="108"/>
  <c r="K523" i="108"/>
  <c r="K70" i="108"/>
  <c r="L251" i="108"/>
  <c r="K251" i="108"/>
  <c r="L276" i="108"/>
  <c r="K276" i="108"/>
  <c r="L631" i="108"/>
  <c r="K631" i="108"/>
  <c r="L615" i="108"/>
  <c r="K615" i="108"/>
  <c r="L275" i="108"/>
  <c r="K275" i="108"/>
  <c r="L270" i="108"/>
  <c r="K270" i="108"/>
  <c r="L210" i="108"/>
  <c r="K210" i="108"/>
  <c r="L209" i="108"/>
  <c r="K209" i="108"/>
  <c r="L208" i="108"/>
  <c r="K208" i="108"/>
  <c r="L206" i="108"/>
  <c r="K206" i="108"/>
  <c r="L518" i="108"/>
  <c r="K518" i="108"/>
  <c r="L317" i="108"/>
  <c r="K317" i="108"/>
  <c r="L465" i="108"/>
  <c r="K465" i="108"/>
  <c r="L134" i="108"/>
  <c r="K134" i="108"/>
  <c r="L316" i="108"/>
  <c r="K316" i="108"/>
  <c r="L315" i="108"/>
  <c r="K315" i="108"/>
  <c r="L533" i="108"/>
  <c r="K533" i="108"/>
  <c r="L211" i="108"/>
  <c r="K211" i="108"/>
  <c r="L551" i="108"/>
  <c r="K551" i="108"/>
  <c r="L29" i="108"/>
  <c r="K29" i="108"/>
  <c r="L295" i="108"/>
  <c r="K295" i="108"/>
  <c r="L294" i="108"/>
  <c r="K294" i="108"/>
  <c r="L14" i="108"/>
  <c r="K14" i="108"/>
  <c r="L628" i="108"/>
  <c r="K628" i="108"/>
  <c r="L597" i="108"/>
  <c r="K597" i="108"/>
  <c r="L663" i="108"/>
  <c r="K663" i="108"/>
  <c r="L662" i="108"/>
  <c r="K662" i="108"/>
  <c r="L661" i="108"/>
  <c r="K661" i="108"/>
  <c r="L660" i="108"/>
  <c r="K660" i="108"/>
  <c r="L659" i="108"/>
  <c r="K659" i="108"/>
  <c r="L627" i="108"/>
  <c r="K627" i="108"/>
  <c r="L383" i="108"/>
  <c r="K383" i="108"/>
  <c r="L486" i="108"/>
  <c r="K486" i="108"/>
  <c r="L485" i="108"/>
  <c r="K485" i="108"/>
  <c r="L462" i="108"/>
  <c r="K462" i="108"/>
  <c r="L364" i="108"/>
  <c r="K364" i="108"/>
  <c r="L293" i="108"/>
  <c r="K293" i="108"/>
  <c r="L292" i="108"/>
  <c r="K292" i="108"/>
  <c r="L13" i="108"/>
  <c r="L464" i="108"/>
  <c r="K464" i="108"/>
  <c r="L463" i="108"/>
  <c r="K463" i="108"/>
  <c r="L626" i="108"/>
  <c r="K626" i="108"/>
  <c r="L484" i="108"/>
  <c r="K484" i="108"/>
  <c r="L291" i="108"/>
  <c r="K291" i="108"/>
  <c r="L483" i="108"/>
  <c r="K483" i="108"/>
  <c r="L461" i="108"/>
  <c r="K461" i="108"/>
  <c r="L290" i="108"/>
  <c r="K290" i="108"/>
  <c r="L482" i="108"/>
  <c r="K482" i="108"/>
  <c r="L439" i="108"/>
  <c r="K439" i="108"/>
  <c r="L421" i="108"/>
  <c r="K421" i="108"/>
  <c r="L403" i="108"/>
  <c r="K403" i="108"/>
  <c r="L402" i="108"/>
  <c r="K402" i="108"/>
  <c r="L401" i="108"/>
  <c r="K401" i="108"/>
  <c r="L400" i="108"/>
  <c r="K400" i="108"/>
  <c r="L327" i="108"/>
  <c r="K327" i="108"/>
  <c r="L326" i="108"/>
  <c r="K326" i="108"/>
  <c r="L289" i="108"/>
  <c r="K289" i="108"/>
  <c r="L186" i="108"/>
  <c r="K186" i="108"/>
  <c r="L164" i="108"/>
  <c r="K164" i="108"/>
  <c r="L11" i="108"/>
  <c r="K11" i="108"/>
  <c r="L10" i="108"/>
  <c r="K10" i="108"/>
  <c r="L658" i="108"/>
  <c r="K658" i="108"/>
  <c r="L329" i="108"/>
  <c r="K329" i="108"/>
  <c r="L328" i="108"/>
  <c r="K328" i="108"/>
  <c r="L501" i="108"/>
  <c r="K501" i="108"/>
  <c r="L500" i="108"/>
  <c r="K500" i="108"/>
  <c r="L348" i="108"/>
  <c r="K348" i="108"/>
  <c r="L347" i="108"/>
  <c r="K347" i="108"/>
  <c r="L346" i="108"/>
  <c r="K346" i="108"/>
  <c r="L596" i="108"/>
  <c r="K596" i="108"/>
  <c r="L481" i="108"/>
  <c r="K481" i="108"/>
  <c r="L440" i="108"/>
  <c r="K440" i="108"/>
  <c r="L345" i="108"/>
  <c r="K345" i="108"/>
  <c r="L442" i="108"/>
  <c r="K442" i="108"/>
  <c r="L441" i="108"/>
  <c r="K441" i="108"/>
  <c r="L657" i="108"/>
  <c r="K657" i="108"/>
  <c r="L656" i="108"/>
  <c r="K656" i="108"/>
  <c r="L655" i="108"/>
  <c r="K655" i="108"/>
  <c r="L654" i="108"/>
  <c r="K654" i="108"/>
  <c r="L653" i="108"/>
  <c r="K653" i="108"/>
  <c r="L652" i="108"/>
  <c r="K652" i="108"/>
  <c r="L595" i="108"/>
  <c r="K595" i="108"/>
  <c r="L480" i="108"/>
  <c r="K480" i="108"/>
  <c r="L479" i="108"/>
  <c r="K479" i="108"/>
  <c r="L651" i="108"/>
  <c r="K651" i="108"/>
  <c r="L460" i="108"/>
  <c r="K460" i="108"/>
  <c r="L575" i="108"/>
  <c r="K575" i="108"/>
  <c r="L382" i="108"/>
  <c r="K382" i="108"/>
  <c r="L288" i="108"/>
  <c r="K288" i="108"/>
  <c r="L163" i="108"/>
  <c r="K163" i="108"/>
  <c r="L499" i="108"/>
  <c r="K499" i="108"/>
  <c r="L360" i="108"/>
  <c r="K360" i="108"/>
  <c r="L344" i="108"/>
  <c r="K344" i="108"/>
  <c r="L343" i="108"/>
  <c r="K343" i="108"/>
  <c r="L107" i="108"/>
  <c r="K107" i="108"/>
  <c r="L266" i="108"/>
  <c r="K266" i="108"/>
  <c r="L625" i="108"/>
  <c r="K625" i="108"/>
  <c r="L624" i="108"/>
  <c r="K624" i="108"/>
  <c r="L650" i="108"/>
  <c r="K650" i="108"/>
  <c r="L649" i="108"/>
  <c r="K649" i="108"/>
  <c r="L608" i="108"/>
  <c r="K608" i="108"/>
  <c r="L594" i="108"/>
  <c r="K594" i="108"/>
  <c r="L574" i="108"/>
  <c r="K574" i="108"/>
  <c r="L550" i="108"/>
  <c r="K550" i="108"/>
  <c r="L549" i="108"/>
  <c r="K549" i="108"/>
  <c r="L517" i="108"/>
  <c r="K517" i="108"/>
  <c r="L515" i="108"/>
  <c r="K515" i="108"/>
  <c r="L498" i="108"/>
  <c r="K498" i="108"/>
  <c r="L497" i="108"/>
  <c r="K497" i="108"/>
  <c r="L478" i="108"/>
  <c r="K478" i="108"/>
  <c r="L459" i="108"/>
  <c r="K459" i="108"/>
  <c r="L458" i="108"/>
  <c r="K458" i="108"/>
  <c r="L457" i="108"/>
  <c r="K457" i="108"/>
  <c r="L456" i="108"/>
  <c r="K456" i="108"/>
  <c r="L438" i="108"/>
  <c r="K438" i="108"/>
  <c r="L437" i="108"/>
  <c r="K437" i="108"/>
  <c r="L420" i="108"/>
  <c r="K420" i="108"/>
  <c r="L419" i="108"/>
  <c r="K419" i="108"/>
  <c r="L418" i="108"/>
  <c r="K418" i="108"/>
  <c r="L399" i="108"/>
  <c r="K399" i="108"/>
  <c r="L398" i="108"/>
  <c r="K398" i="108"/>
  <c r="L397" i="108"/>
  <c r="K397" i="108"/>
  <c r="L381" i="108"/>
  <c r="K381" i="108"/>
  <c r="L380" i="108"/>
  <c r="K380" i="108"/>
  <c r="L379" i="108"/>
  <c r="K379" i="108"/>
  <c r="L378" i="108"/>
  <c r="K378" i="108"/>
  <c r="L363" i="108"/>
  <c r="K363" i="108"/>
  <c r="L362" i="108"/>
  <c r="K362" i="108"/>
  <c r="L361" i="108"/>
  <c r="K361" i="108"/>
  <c r="L342" i="108"/>
  <c r="K342" i="108"/>
  <c r="L325" i="108"/>
  <c r="K325" i="108"/>
  <c r="L313" i="108"/>
  <c r="K313" i="108"/>
  <c r="L312" i="108"/>
  <c r="K312" i="108"/>
  <c r="L311" i="108"/>
  <c r="K311" i="108"/>
  <c r="L310" i="108"/>
  <c r="K310" i="108"/>
  <c r="L309" i="108"/>
  <c r="K309" i="108"/>
  <c r="L286" i="108"/>
  <c r="K286" i="108"/>
  <c r="L285" i="108"/>
  <c r="K285" i="108"/>
  <c r="L247" i="108"/>
  <c r="K247" i="108"/>
  <c r="L246" i="108"/>
  <c r="K246" i="108"/>
  <c r="L242" i="108"/>
  <c r="K242" i="108"/>
  <c r="L162" i="108"/>
  <c r="K162" i="108"/>
  <c r="L112" i="108"/>
  <c r="K112" i="108"/>
  <c r="L4" i="108"/>
  <c r="K4" i="108"/>
  <c r="L648" i="108"/>
  <c r="K648" i="108"/>
  <c r="L623" i="108"/>
  <c r="K623" i="108"/>
  <c r="L548" i="108"/>
  <c r="K548" i="108"/>
  <c r="L531" i="108"/>
  <c r="K531" i="108"/>
  <c r="L455" i="108"/>
  <c r="K455" i="108"/>
  <c r="L287" i="108"/>
  <c r="K287" i="108"/>
  <c r="L267" i="108"/>
  <c r="K267" i="108"/>
  <c r="L47" i="108"/>
  <c r="K47" i="108"/>
  <c r="L530" i="108"/>
  <c r="K530" i="108"/>
  <c r="L436" i="108"/>
  <c r="K436" i="108"/>
  <c r="L622" i="108"/>
  <c r="K622" i="108"/>
  <c r="L748" i="108"/>
  <c r="K748" i="108"/>
  <c r="L341" i="108"/>
  <c r="K341" i="108"/>
  <c r="L747" i="108"/>
  <c r="K747" i="108"/>
  <c r="L750" i="108"/>
  <c r="K750" i="108"/>
  <c r="L417" i="108"/>
  <c r="K417" i="108"/>
  <c r="L435" i="108"/>
  <c r="K435" i="108"/>
  <c r="L434" i="108"/>
  <c r="K434" i="108"/>
  <c r="L496" i="108"/>
  <c r="K496" i="108"/>
  <c r="L495" i="108"/>
  <c r="K495" i="108"/>
  <c r="L433" i="108"/>
  <c r="K433" i="108"/>
  <c r="L159" i="108"/>
  <c r="K159" i="108"/>
  <c r="L158" i="108"/>
  <c r="K158" i="108"/>
  <c r="L260" i="108"/>
  <c r="K260" i="108"/>
  <c r="L61" i="108"/>
  <c r="K61" i="108"/>
  <c r="L60" i="108"/>
  <c r="K60" i="108"/>
  <c r="L33" i="108"/>
  <c r="K33" i="108"/>
  <c r="L97" i="108"/>
  <c r="K97" i="108"/>
  <c r="L135" i="108"/>
  <c r="K135" i="108"/>
  <c r="L83" i="108"/>
  <c r="K83" i="108"/>
  <c r="L100" i="108"/>
  <c r="K100" i="108"/>
  <c r="L137" i="108"/>
  <c r="K137" i="108"/>
  <c r="L136" i="108"/>
  <c r="K136" i="108"/>
  <c r="K259" i="108"/>
  <c r="L40" i="108"/>
  <c r="K40" i="108"/>
  <c r="L32" i="108"/>
  <c r="K32" i="108"/>
  <c r="L19" i="108"/>
  <c r="K19" i="108"/>
  <c r="L374" i="108"/>
  <c r="K374" i="108"/>
  <c r="L57" i="108"/>
  <c r="K57" i="108"/>
  <c r="L140" i="108"/>
  <c r="K140" i="108"/>
  <c r="L139" i="108"/>
  <c r="K139" i="108"/>
  <c r="L16" i="108"/>
  <c r="K16" i="108"/>
  <c r="L56" i="108"/>
  <c r="K56" i="108"/>
  <c r="L142" i="108"/>
  <c r="K142" i="108"/>
  <c r="L54" i="108"/>
  <c r="K54" i="108"/>
  <c r="L53" i="108"/>
  <c r="K53" i="108"/>
  <c r="L141" i="108"/>
  <c r="K141" i="108"/>
  <c r="L15" i="108"/>
  <c r="L132" i="108"/>
  <c r="K132" i="108"/>
  <c r="L131" i="108"/>
  <c r="K131" i="108"/>
  <c r="L12" i="108"/>
  <c r="K12" i="108"/>
  <c r="L9" i="108"/>
  <c r="K9" i="108"/>
  <c r="L8" i="108"/>
  <c r="K8" i="108"/>
  <c r="L130" i="108"/>
  <c r="K130" i="108"/>
  <c r="L28" i="108"/>
  <c r="K28" i="108"/>
  <c r="L27" i="108"/>
  <c r="K27" i="108"/>
  <c r="L26" i="108"/>
  <c r="K26" i="108"/>
  <c r="L2" i="108"/>
  <c r="K2" i="108"/>
  <c r="L34" i="108"/>
  <c r="K34" i="108"/>
  <c r="L79" i="108"/>
  <c r="L196" i="108"/>
  <c r="K78" i="108"/>
  <c r="L58" i="108"/>
  <c r="L254" i="108"/>
  <c r="K129" i="108"/>
  <c r="L264" i="108"/>
  <c r="L94" i="108"/>
  <c r="K73" i="108"/>
  <c r="L70" i="108"/>
  <c r="K13" i="108"/>
  <c r="L239" i="108"/>
  <c r="K106" i="108"/>
  <c r="K240" i="108"/>
  <c r="K102" i="108"/>
  <c r="K103" i="108"/>
  <c r="L126" i="108"/>
  <c r="L259" i="108"/>
  <c r="K15" i="108"/>
  <c r="L91" i="108"/>
  <c r="K128" i="108"/>
  <c r="L106" i="108"/>
  <c r="K104" i="108"/>
  <c r="L102" i="108"/>
  <c r="L103" i="108"/>
  <c r="L93" i="108"/>
  <c r="K105" i="108"/>
  <c r="J173" i="108"/>
  <c r="J166" i="108"/>
  <c r="L154" i="108"/>
  <c r="L153" i="108"/>
  <c r="K152" i="108"/>
  <c r="K174" i="108"/>
  <c r="K59" i="108"/>
  <c r="K172" i="108"/>
  <c r="K122" i="108"/>
  <c r="L224" i="108"/>
  <c r="K171" i="108"/>
  <c r="K138" i="108"/>
  <c r="L98" i="108"/>
  <c r="K145" i="108"/>
  <c r="L193" i="108"/>
  <c r="L89" i="108"/>
  <c r="K88" i="108"/>
  <c r="K77" i="108"/>
  <c r="K168" i="108"/>
  <c r="L117" i="108"/>
  <c r="K250" i="108"/>
  <c r="K133" i="108"/>
  <c r="L249" i="108"/>
  <c r="L69" i="108"/>
  <c r="K241" i="108"/>
  <c r="L204" i="108"/>
  <c r="K203" i="108"/>
  <c r="K184" i="108"/>
  <c r="L111" i="108"/>
  <c r="K110" i="108"/>
  <c r="K84" i="108"/>
  <c r="L64" i="108"/>
  <c r="K50" i="108"/>
  <c r="K7" i="108"/>
  <c r="K3" i="108"/>
  <c r="L231" i="108"/>
  <c r="K48" i="108"/>
  <c r="K200" i="108"/>
  <c r="K244" i="108"/>
  <c r="K157" i="108"/>
  <c r="J160" i="108"/>
  <c r="J161" i="108"/>
  <c r="J189" i="108"/>
  <c r="J147" i="108"/>
  <c r="L156" i="108"/>
  <c r="L177" i="108"/>
  <c r="K154" i="108"/>
  <c r="L226" i="108"/>
  <c r="K153" i="108"/>
  <c r="L149" i="108"/>
  <c r="L225" i="108"/>
  <c r="L125" i="108"/>
  <c r="K96" i="108"/>
  <c r="J243" i="108"/>
  <c r="L92" i="108"/>
  <c r="K91" i="108"/>
  <c r="L90" i="108"/>
  <c r="K224" i="108"/>
  <c r="K58" i="108"/>
  <c r="K98" i="108"/>
  <c r="L144" i="108"/>
  <c r="K193" i="108"/>
  <c r="K89" i="108"/>
  <c r="L192" i="108"/>
  <c r="L75" i="108"/>
  <c r="L169" i="108"/>
  <c r="J236" i="108"/>
  <c r="K254" i="108"/>
  <c r="J261" i="108"/>
  <c r="L237" i="108"/>
  <c r="L118" i="108"/>
  <c r="K117" i="108"/>
  <c r="L187" i="108"/>
  <c r="L207" i="108"/>
  <c r="L205" i="108"/>
  <c r="K249" i="108"/>
  <c r="K69" i="108"/>
  <c r="L51" i="108"/>
  <c r="L248" i="108"/>
  <c r="L245" i="108"/>
  <c r="L232" i="108"/>
  <c r="K204" i="108"/>
  <c r="L201" i="108"/>
  <c r="L183" i="108"/>
  <c r="K111" i="108"/>
  <c r="L108" i="108"/>
  <c r="L65" i="108"/>
  <c r="K64" i="108"/>
  <c r="L5" i="108"/>
  <c r="L49" i="108"/>
  <c r="K231" i="108"/>
  <c r="L181" i="108"/>
  <c r="J159" i="108"/>
  <c r="J158" i="108"/>
  <c r="J151" i="108"/>
  <c r="K156" i="108"/>
  <c r="L155" i="108"/>
  <c r="L178" i="108"/>
  <c r="K177" i="108"/>
  <c r="L176" i="108"/>
  <c r="K226" i="108"/>
  <c r="L175" i="108"/>
  <c r="L150" i="108"/>
  <c r="K149" i="108"/>
  <c r="K225" i="108"/>
  <c r="L148" i="108"/>
  <c r="K125" i="108"/>
  <c r="L146" i="108"/>
  <c r="L124" i="108"/>
  <c r="K92" i="108"/>
  <c r="K90" i="108"/>
  <c r="L167" i="108"/>
  <c r="L170" i="108"/>
  <c r="K144" i="108"/>
  <c r="K192" i="108"/>
  <c r="L76" i="108"/>
  <c r="K75" i="108"/>
  <c r="K169" i="108"/>
  <c r="L121" i="108"/>
  <c r="J238" i="108"/>
  <c r="L190" i="108"/>
  <c r="J195" i="108"/>
  <c r="L253" i="108"/>
  <c r="K237" i="108"/>
  <c r="K118" i="108"/>
  <c r="L165" i="108"/>
  <c r="K187" i="108"/>
  <c r="K207" i="108"/>
  <c r="K205" i="108"/>
  <c r="L115" i="108"/>
  <c r="L114" i="108"/>
  <c r="L185" i="108"/>
  <c r="L52" i="108"/>
  <c r="K51" i="108"/>
  <c r="L265" i="108"/>
  <c r="K248" i="108"/>
  <c r="K245" i="108"/>
  <c r="L233" i="108"/>
  <c r="K232" i="108"/>
  <c r="L202" i="108"/>
  <c r="K201" i="108"/>
  <c r="K183" i="108"/>
  <c r="L113" i="108"/>
  <c r="L109" i="108"/>
  <c r="K108" i="108"/>
  <c r="L68" i="108"/>
  <c r="K65" i="108"/>
  <c r="L6" i="108"/>
  <c r="K5" i="108"/>
  <c r="L67" i="108"/>
  <c r="K49" i="108"/>
  <c r="L182" i="108"/>
  <c r="K181" i="108"/>
  <c r="J188" i="108"/>
  <c r="L179" i="108"/>
  <c r="K155" i="108"/>
  <c r="K178" i="108"/>
  <c r="K176" i="108"/>
  <c r="K175" i="108"/>
  <c r="L152" i="108"/>
  <c r="K150" i="108"/>
  <c r="L174" i="108"/>
  <c r="K148" i="108"/>
  <c r="L59" i="108"/>
  <c r="K146" i="108"/>
  <c r="K94" i="108"/>
  <c r="L172" i="108"/>
  <c r="K124" i="108"/>
  <c r="L78" i="108"/>
  <c r="K93" i="108"/>
  <c r="L122" i="108"/>
  <c r="L171" i="108"/>
  <c r="K167" i="108"/>
  <c r="L138" i="108"/>
  <c r="L145" i="108"/>
  <c r="K170" i="108"/>
  <c r="L88" i="108"/>
  <c r="L77" i="108"/>
  <c r="K76" i="108"/>
  <c r="K121" i="108"/>
  <c r="J235" i="108"/>
  <c r="L168" i="108"/>
  <c r="K190" i="108"/>
  <c r="K253" i="108"/>
  <c r="K165" i="108"/>
  <c r="L250" i="108"/>
  <c r="K115" i="108"/>
  <c r="L133" i="108"/>
  <c r="K114" i="108"/>
  <c r="K185" i="108"/>
  <c r="K52" i="108"/>
  <c r="K265" i="108"/>
  <c r="L241" i="108"/>
  <c r="K233" i="108"/>
  <c r="L203" i="108"/>
  <c r="K202" i="108"/>
  <c r="L184" i="108"/>
  <c r="K113" i="108"/>
  <c r="L110" i="108"/>
  <c r="K109" i="108"/>
  <c r="L84" i="108"/>
  <c r="K68" i="108"/>
  <c r="L50" i="108"/>
  <c r="L7" i="108"/>
  <c r="K6" i="108"/>
  <c r="L3" i="108"/>
  <c r="K67" i="108"/>
  <c r="L48" i="108"/>
  <c r="K182" i="108"/>
  <c r="L200" i="108"/>
  <c r="L244" i="108"/>
  <c r="L157" i="108"/>
  <c r="J180" i="108"/>
  <c r="J546" i="108"/>
  <c r="J453" i="108"/>
  <c r="J415" i="108"/>
  <c r="J668" i="108"/>
  <c r="J593" i="108"/>
  <c r="J264" i="108"/>
  <c r="J24" i="108"/>
  <c r="J240" i="108"/>
  <c r="J155" i="108"/>
  <c r="J178" i="108"/>
  <c r="J414" i="108"/>
  <c r="J260" i="108"/>
  <c r="J510" i="108"/>
  <c r="J227" i="108"/>
  <c r="J357" i="108"/>
  <c r="J511" i="108"/>
  <c r="J409" i="108"/>
  <c r="J512" i="108"/>
  <c r="J197" i="108"/>
  <c r="J176" i="108"/>
  <c r="J175" i="108"/>
  <c r="J150" i="108"/>
  <c r="J605" i="108"/>
  <c r="J526" i="108"/>
  <c r="J450" i="108"/>
  <c r="J304" i="108"/>
  <c r="J148" i="108"/>
  <c r="J18" i="108"/>
  <c r="J146" i="108"/>
  <c r="J604" i="108"/>
  <c r="J539" i="108"/>
  <c r="J338" i="108"/>
  <c r="J637" i="108"/>
  <c r="J194" i="108"/>
  <c r="J565" i="108"/>
  <c r="J491" i="108"/>
  <c r="J584" i="108"/>
  <c r="J471" i="108"/>
  <c r="J337" i="108"/>
  <c r="J167" i="108"/>
  <c r="J445" i="108"/>
  <c r="J448" i="108"/>
  <c r="J636" i="108"/>
  <c r="J170" i="108"/>
  <c r="J429" i="108"/>
  <c r="J353" i="108"/>
  <c r="J563" i="108"/>
  <c r="J618" i="108"/>
  <c r="J221" i="108"/>
  <c r="J324" i="108"/>
  <c r="J581" i="108"/>
  <c r="J369" i="108"/>
  <c r="J299" i="108"/>
  <c r="J470" i="108"/>
  <c r="J664" i="108"/>
  <c r="J277" i="108"/>
  <c r="J469" i="108"/>
  <c r="J190" i="108"/>
  <c r="J333" i="108"/>
  <c r="J536" i="108"/>
  <c r="J559" i="108"/>
  <c r="J253" i="108"/>
  <c r="J165" i="108"/>
  <c r="J275" i="108"/>
  <c r="J270" i="108"/>
  <c r="J208" i="108"/>
  <c r="J317" i="108"/>
  <c r="J315" i="108"/>
  <c r="J612" i="108"/>
  <c r="J611" i="108"/>
  <c r="J314" i="108"/>
  <c r="J294" i="108"/>
  <c r="J663" i="108"/>
  <c r="J659" i="108"/>
  <c r="J485" i="108"/>
  <c r="J292" i="108"/>
  <c r="J626" i="108"/>
  <c r="J482" i="108"/>
  <c r="J402" i="108"/>
  <c r="J326" i="108"/>
  <c r="J185" i="108"/>
  <c r="J328" i="108"/>
  <c r="J347" i="108"/>
  <c r="J440" i="108"/>
  <c r="J657" i="108"/>
  <c r="J653" i="108"/>
  <c r="J479" i="108"/>
  <c r="J382" i="108"/>
  <c r="J499" i="108"/>
  <c r="J360" i="108"/>
  <c r="J650" i="108"/>
  <c r="J574" i="108"/>
  <c r="J515" i="108"/>
  <c r="J459" i="108"/>
  <c r="J438" i="108"/>
  <c r="J418" i="108"/>
  <c r="J381" i="108"/>
  <c r="J363" i="108"/>
  <c r="J342" i="108"/>
  <c r="J310" i="108"/>
  <c r="J265" i="108"/>
  <c r="J246" i="108"/>
  <c r="J233" i="108"/>
  <c r="J202" i="108"/>
  <c r="J623" i="108"/>
  <c r="J287" i="108"/>
  <c r="J182" i="108"/>
  <c r="J748" i="108"/>
  <c r="J747" i="108"/>
  <c r="J434" i="108"/>
  <c r="J433" i="108"/>
  <c r="J230" i="108"/>
  <c r="J416" i="108"/>
  <c r="J749" i="108"/>
  <c r="J396" i="108"/>
  <c r="J199" i="108"/>
  <c r="J339" i="108"/>
  <c r="J179" i="108"/>
  <c r="J358" i="108"/>
  <c r="J239" i="108"/>
  <c r="J529" i="108"/>
  <c r="J592" i="108"/>
  <c r="J572" i="108"/>
  <c r="J513" i="108"/>
  <c r="J198" i="108"/>
  <c r="J591" i="108"/>
  <c r="J356" i="108"/>
  <c r="J280" i="108"/>
  <c r="J569" i="108"/>
  <c r="J410" i="108"/>
  <c r="J527" i="108"/>
  <c r="J305" i="108"/>
  <c r="J152" i="108"/>
  <c r="J641" i="108"/>
  <c r="J540" i="108"/>
  <c r="J474" i="108"/>
  <c r="J355" i="108"/>
  <c r="J174" i="108"/>
  <c r="J752" i="108"/>
  <c r="J449" i="108"/>
  <c r="J303" i="108"/>
  <c r="J259" i="108"/>
  <c r="J172" i="108"/>
  <c r="J428" i="108"/>
  <c r="J586" i="108"/>
  <c r="J427" i="108"/>
  <c r="J490" i="108"/>
  <c r="J171" i="108"/>
  <c r="J406" i="108"/>
  <c r="J359" i="108"/>
  <c r="J507" i="108"/>
  <c r="J371" i="108"/>
  <c r="J138" i="108"/>
  <c r="J145" i="108"/>
  <c r="J336" i="108"/>
  <c r="J387" i="108"/>
  <c r="J223" i="108"/>
  <c r="J561" i="108"/>
  <c r="J220" i="108"/>
  <c r="J219" i="108"/>
  <c r="J335" i="108"/>
  <c r="J505" i="108"/>
  <c r="J215" i="108"/>
  <c r="J168" i="108"/>
  <c r="J537" i="108"/>
  <c r="J426" i="108"/>
  <c r="J603" i="108"/>
  <c r="J332" i="108"/>
  <c r="J368" i="108"/>
  <c r="J425" i="108"/>
  <c r="J276" i="108"/>
  <c r="J615" i="108"/>
  <c r="J209" i="108"/>
  <c r="J518" i="108"/>
  <c r="J316" i="108"/>
  <c r="J443" i="108"/>
  <c r="J629" i="108"/>
  <c r="J576" i="108"/>
  <c r="J552" i="108"/>
  <c r="J250" i="108"/>
  <c r="J295" i="108"/>
  <c r="J597" i="108"/>
  <c r="J660" i="108"/>
  <c r="J486" i="108"/>
  <c r="J293" i="108"/>
  <c r="J463" i="108"/>
  <c r="J290" i="108"/>
  <c r="J403" i="108"/>
  <c r="J327" i="108"/>
  <c r="J186" i="108"/>
  <c r="J329" i="108"/>
  <c r="J348" i="108"/>
  <c r="J481" i="108"/>
  <c r="J441" i="108"/>
  <c r="J654" i="108"/>
  <c r="J480" i="108"/>
  <c r="J575" i="108"/>
  <c r="J163" i="108"/>
  <c r="J624" i="108"/>
  <c r="J594" i="108"/>
  <c r="J517" i="108"/>
  <c r="J478" i="108"/>
  <c r="J456" i="108"/>
  <c r="J419" i="108"/>
  <c r="J397" i="108"/>
  <c r="J378" i="108"/>
  <c r="J361" i="108"/>
  <c r="J311" i="108"/>
  <c r="J285" i="108"/>
  <c r="J247" i="108"/>
  <c r="J241" i="108"/>
  <c r="J203" i="108"/>
  <c r="J184" i="108"/>
  <c r="J648" i="108"/>
  <c r="J455" i="108"/>
  <c r="J200" i="108"/>
  <c r="J244" i="108"/>
  <c r="J435" i="108"/>
  <c r="J157" i="108"/>
  <c r="J454" i="108"/>
  <c r="J514" i="108"/>
  <c r="J646" i="108"/>
  <c r="J547" i="108"/>
  <c r="J340" i="108"/>
  <c r="J545" i="108"/>
  <c r="J542" i="108"/>
  <c r="J573" i="108"/>
  <c r="J494" i="108"/>
  <c r="J528" i="108"/>
  <c r="J377" i="108"/>
  <c r="J228" i="108"/>
  <c r="J642" i="108"/>
  <c r="J284" i="108"/>
  <c r="J283" i="108"/>
  <c r="J571" i="108"/>
  <c r="J413" i="108"/>
  <c r="J281" i="108"/>
  <c r="J570" i="108"/>
  <c r="J154" i="108"/>
  <c r="J279" i="108"/>
  <c r="J620" i="108"/>
  <c r="J606" i="108"/>
  <c r="J430" i="108"/>
  <c r="J568" i="108"/>
  <c r="J153" i="108"/>
  <c r="J408" i="108"/>
  <c r="J665" i="108"/>
  <c r="J567" i="108"/>
  <c r="J492" i="108"/>
  <c r="J376" i="108"/>
  <c r="J196" i="108"/>
  <c r="J753" i="108"/>
  <c r="J639" i="108"/>
  <c r="J393" i="108"/>
  <c r="J473" i="108"/>
  <c r="J258" i="108"/>
  <c r="J300" i="108"/>
  <c r="J585" i="108"/>
  <c r="J389" i="108"/>
  <c r="J224" i="108"/>
  <c r="J634" i="108"/>
  <c r="J405" i="108"/>
  <c r="J506" i="108"/>
  <c r="J139" i="108"/>
  <c r="J375" i="108"/>
  <c r="J193" i="108"/>
  <c r="J489" i="108"/>
  <c r="J351" i="108"/>
  <c r="J222" i="108"/>
  <c r="J582" i="108"/>
  <c r="J350" i="108"/>
  <c r="J278" i="108"/>
  <c r="J217" i="108"/>
  <c r="J524" i="108"/>
  <c r="J323" i="108"/>
  <c r="J216" i="108"/>
  <c r="J633" i="108"/>
  <c r="J143" i="108"/>
  <c r="J538" i="108"/>
  <c r="J488" i="108"/>
  <c r="J254" i="108"/>
  <c r="J191" i="108"/>
  <c r="J386" i="108"/>
  <c r="J617" i="108"/>
  <c r="J602" i="108"/>
  <c r="J580" i="108"/>
  <c r="J141" i="108"/>
  <c r="J504" i="108"/>
  <c r="J523" i="108"/>
  <c r="J631" i="108"/>
  <c r="J210" i="108"/>
  <c r="J206" i="108"/>
  <c r="J330" i="108"/>
  <c r="J630" i="108"/>
  <c r="J234" i="108"/>
  <c r="J532" i="108"/>
  <c r="J609" i="108"/>
  <c r="J551" i="108"/>
  <c r="J628" i="108"/>
  <c r="J661" i="108"/>
  <c r="J383" i="108"/>
  <c r="J364" i="108"/>
  <c r="J464" i="108"/>
  <c r="J291" i="108"/>
  <c r="J461" i="108"/>
  <c r="J421" i="108"/>
  <c r="J400" i="108"/>
  <c r="J249" i="108"/>
  <c r="J658" i="108"/>
  <c r="J500" i="108"/>
  <c r="J596" i="108"/>
  <c r="J442" i="108"/>
  <c r="J655" i="108"/>
  <c r="J595" i="108"/>
  <c r="J460" i="108"/>
  <c r="J288" i="108"/>
  <c r="J343" i="108"/>
  <c r="J625" i="108"/>
  <c r="J608" i="108"/>
  <c r="J549" i="108"/>
  <c r="J497" i="108"/>
  <c r="J457" i="108"/>
  <c r="J420" i="108"/>
  <c r="J398" i="108"/>
  <c r="J379" i="108"/>
  <c r="J362" i="108"/>
  <c r="J325" i="108"/>
  <c r="J312" i="108"/>
  <c r="J286" i="108"/>
  <c r="J242" i="108"/>
  <c r="J204" i="108"/>
  <c r="J162" i="108"/>
  <c r="J531" i="108"/>
  <c r="J231" i="108"/>
  <c r="J436" i="108"/>
  <c r="J341" i="108"/>
  <c r="J750" i="108"/>
  <c r="J417" i="108"/>
  <c r="J495" i="108"/>
  <c r="J751" i="108"/>
  <c r="J477" i="108"/>
  <c r="J476" i="108"/>
  <c r="J755" i="108"/>
  <c r="J543" i="108"/>
  <c r="J475" i="108"/>
  <c r="J669" i="108"/>
  <c r="J645" i="108"/>
  <c r="J229" i="108"/>
  <c r="J263" i="108"/>
  <c r="J308" i="108"/>
  <c r="J156" i="108"/>
  <c r="J262" i="108"/>
  <c r="J411" i="108"/>
  <c r="J177" i="108"/>
  <c r="J412" i="108"/>
  <c r="J282" i="108"/>
  <c r="J509" i="108"/>
  <c r="J493" i="108"/>
  <c r="J452" i="108"/>
  <c r="J451" i="108"/>
  <c r="J307" i="108"/>
  <c r="J394" i="108"/>
  <c r="J226" i="108"/>
  <c r="J306" i="108"/>
  <c r="J619" i="108"/>
  <c r="J149" i="108"/>
  <c r="J587" i="108"/>
  <c r="J508" i="108"/>
  <c r="J407" i="108"/>
  <c r="J225" i="108"/>
  <c r="J392" i="108"/>
  <c r="J302" i="108"/>
  <c r="J374" i="108"/>
  <c r="J256" i="108"/>
  <c r="J566" i="108"/>
  <c r="J564" i="108"/>
  <c r="J373" i="108"/>
  <c r="J388" i="108"/>
  <c r="J525" i="108"/>
  <c r="J666" i="108"/>
  <c r="J372" i="108"/>
  <c r="J140" i="108"/>
  <c r="J447" i="108"/>
  <c r="J144" i="108"/>
  <c r="J354" i="108"/>
  <c r="J352" i="108"/>
  <c r="J192" i="108"/>
  <c r="J562" i="108"/>
  <c r="J583" i="108"/>
  <c r="J169" i="108"/>
  <c r="J218" i="108"/>
  <c r="J370" i="108"/>
  <c r="J334" i="108"/>
  <c r="J255" i="108"/>
  <c r="J142" i="108"/>
  <c r="J468" i="108"/>
  <c r="J560" i="108"/>
  <c r="J487" i="108"/>
  <c r="J754" i="108"/>
  <c r="J385" i="108"/>
  <c r="J640" i="108"/>
  <c r="J237" i="108"/>
  <c r="J252" i="108"/>
  <c r="J251" i="108"/>
  <c r="J187" i="108"/>
  <c r="J207" i="108"/>
  <c r="J465" i="108"/>
  <c r="J533" i="108"/>
  <c r="J553" i="108"/>
  <c r="J205" i="108"/>
  <c r="J268" i="108"/>
  <c r="J610" i="108"/>
  <c r="J211" i="108"/>
  <c r="J662" i="108"/>
  <c r="J627" i="108"/>
  <c r="J462" i="108"/>
  <c r="J484" i="108"/>
  <c r="J483" i="108"/>
  <c r="J439" i="108"/>
  <c r="J401" i="108"/>
  <c r="J289" i="108"/>
  <c r="J164" i="108"/>
  <c r="J501" i="108"/>
  <c r="J346" i="108"/>
  <c r="J345" i="108"/>
  <c r="J656" i="108"/>
  <c r="J652" i="108"/>
  <c r="J651" i="108"/>
  <c r="J344" i="108"/>
  <c r="J266" i="108"/>
  <c r="J649" i="108"/>
  <c r="J550" i="108"/>
  <c r="J498" i="108"/>
  <c r="J458" i="108"/>
  <c r="J437" i="108"/>
  <c r="J399" i="108"/>
  <c r="J380" i="108"/>
  <c r="J313" i="108"/>
  <c r="J309" i="108"/>
  <c r="J248" i="108"/>
  <c r="J245" i="108"/>
  <c r="J232" i="108"/>
  <c r="J201" i="108"/>
  <c r="J183" i="108"/>
  <c r="J548" i="108"/>
  <c r="J267" i="108"/>
  <c r="J530" i="108"/>
  <c r="J622" i="108"/>
  <c r="J496" i="108"/>
  <c r="J181" i="108"/>
  <c r="K647" i="108"/>
  <c r="L647" i="108"/>
  <c r="J647" i="108"/>
  <c r="J510" i="3"/>
  <c r="J581" i="3"/>
  <c r="J1793" i="3" l="1"/>
  <c r="J938" i="3"/>
  <c r="J1011" i="3"/>
  <c r="J902" i="3"/>
  <c r="J963" i="3"/>
  <c r="J878" i="3"/>
  <c r="J887" i="3"/>
  <c r="J888" i="3"/>
  <c r="J892" i="3"/>
  <c r="J937" i="3"/>
  <c r="J1027" i="3"/>
  <c r="J986" i="3"/>
  <c r="J962" i="3"/>
  <c r="J936" i="3"/>
  <c r="J961" i="3"/>
  <c r="J985" i="3"/>
  <c r="J2300" i="3"/>
  <c r="J945" i="3"/>
  <c r="J883" i="3"/>
  <c r="J1010" i="3"/>
  <c r="J960" i="3"/>
  <c r="J935" i="3"/>
  <c r="J1009" i="3"/>
  <c r="J959" i="3"/>
  <c r="J984" i="3"/>
  <c r="J1034" i="3"/>
  <c r="J971" i="3"/>
  <c r="J934" i="3"/>
  <c r="J1008" i="3"/>
  <c r="J983" i="3"/>
  <c r="J1026" i="3"/>
  <c r="J974" i="3"/>
  <c r="J977" i="3"/>
  <c r="J933" i="3"/>
  <c r="J1007" i="3"/>
  <c r="J973" i="3"/>
  <c r="J976" i="3"/>
  <c r="J978" i="3"/>
  <c r="J979" i="3"/>
  <c r="J932" i="3"/>
  <c r="J1006" i="3"/>
  <c r="J931" i="3"/>
  <c r="J1005" i="3"/>
  <c r="J958" i="3"/>
  <c r="J930" i="3"/>
  <c r="J1004" i="3"/>
  <c r="J957" i="3"/>
  <c r="J950" i="3"/>
  <c r="J947" i="3"/>
  <c r="J1019" i="3"/>
  <c r="J929" i="3"/>
  <c r="J1003" i="3"/>
  <c r="J1033" i="3"/>
  <c r="J948" i="3"/>
  <c r="J946" i="3"/>
  <c r="J901" i="3"/>
  <c r="J876" i="3"/>
  <c r="J1018" i="3"/>
  <c r="J910" i="3"/>
  <c r="J928" i="3"/>
  <c r="J1002" i="3"/>
  <c r="J956" i="3"/>
  <c r="J906" i="3"/>
  <c r="J908" i="3"/>
  <c r="J909" i="3"/>
  <c r="J927" i="3"/>
  <c r="J1017" i="3"/>
  <c r="J926" i="3"/>
  <c r="J1001" i="3"/>
  <c r="J949" i="3"/>
  <c r="J890" i="3"/>
  <c r="J893" i="3"/>
  <c r="J1000" i="3"/>
  <c r="J955" i="3"/>
  <c r="J982" i="3"/>
  <c r="J944" i="3"/>
  <c r="J886" i="3"/>
  <c r="J891" i="3"/>
  <c r="J1031" i="3"/>
  <c r="J884" i="3"/>
  <c r="J925" i="3"/>
  <c r="J896" i="3"/>
  <c r="J1016" i="3"/>
  <c r="J1029" i="3"/>
  <c r="J981" i="3"/>
  <c r="J924" i="3"/>
  <c r="J954" i="3"/>
  <c r="J943" i="3"/>
  <c r="J923" i="3"/>
  <c r="J913" i="3"/>
  <c r="J922" i="3"/>
  <c r="J999" i="3"/>
  <c r="J953" i="3"/>
  <c r="J1032" i="3"/>
  <c r="J972" i="3"/>
  <c r="J975" i="3"/>
  <c r="J1022" i="3"/>
  <c r="J1428" i="3"/>
  <c r="J1024" i="3"/>
  <c r="J1015" i="3"/>
  <c r="J998" i="3"/>
  <c r="J897" i="3"/>
  <c r="J969" i="3"/>
  <c r="J895" i="3"/>
  <c r="J921" i="3"/>
  <c r="J920" i="3"/>
  <c r="J919" i="3"/>
  <c r="J904" i="3"/>
  <c r="J1023" i="3"/>
  <c r="J1021" i="3"/>
  <c r="J123" i="108" l="1"/>
  <c r="J127" i="108"/>
  <c r="J130" i="108"/>
  <c r="J22" i="108"/>
  <c r="J120" i="108"/>
  <c r="J126" i="108"/>
  <c r="J135" i="108"/>
  <c r="J104" i="108"/>
  <c r="J121" i="108"/>
  <c r="J125" i="108"/>
  <c r="J124" i="108"/>
  <c r="J128" i="108"/>
  <c r="J122" i="108"/>
  <c r="J129" i="108"/>
  <c r="J23" i="108"/>
  <c r="I213" i="108"/>
  <c r="I355" i="108"/>
  <c r="I376" i="108"/>
  <c r="I407" i="108"/>
  <c r="I450" i="108"/>
  <c r="I474" i="108"/>
  <c r="I492" i="108"/>
  <c r="I508" i="108"/>
  <c r="I526" i="108"/>
  <c r="I540" i="108"/>
  <c r="I567" i="108"/>
  <c r="I587" i="108"/>
  <c r="I605" i="108"/>
  <c r="I641" i="108"/>
  <c r="I665" i="108"/>
  <c r="J997" i="3"/>
  <c r="J894" i="3"/>
  <c r="J881" i="3"/>
  <c r="J918" i="3"/>
  <c r="J996" i="3"/>
  <c r="J885" i="3"/>
  <c r="J912" i="3"/>
  <c r="J914" i="3"/>
  <c r="J917" i="3"/>
  <c r="J995" i="3"/>
  <c r="J952" i="3"/>
  <c r="J877" i="3"/>
  <c r="J899" i="3"/>
  <c r="J970" i="3"/>
  <c r="J968" i="3"/>
  <c r="J1030" i="3"/>
  <c r="J994" i="3"/>
  <c r="J911" i="3"/>
  <c r="J1025" i="3"/>
  <c r="J905" i="3"/>
  <c r="J907" i="3"/>
  <c r="J36" i="108" l="1"/>
  <c r="J37" i="108"/>
  <c r="J35" i="108"/>
  <c r="J34" i="108"/>
  <c r="J2" i="108"/>
  <c r="J2033" i="3"/>
  <c r="J1083" i="3"/>
  <c r="J1510" i="3" l="1"/>
  <c r="J2289" i="3"/>
  <c r="J81" i="3" l="1"/>
  <c r="J1541" i="3"/>
  <c r="J828" i="3"/>
  <c r="J641" i="3"/>
  <c r="J1348" i="3"/>
  <c r="J677" i="3"/>
  <c r="J2385" i="3"/>
  <c r="J2184" i="3"/>
  <c r="J673" i="3"/>
  <c r="J1605" i="3"/>
  <c r="J733" i="3"/>
  <c r="J585" i="3"/>
  <c r="J578" i="3"/>
  <c r="J676" i="3"/>
  <c r="J864" i="3"/>
  <c r="J840" i="3"/>
  <c r="J841" i="3"/>
  <c r="J101" i="3"/>
  <c r="J106" i="3"/>
  <c r="J836" i="3"/>
  <c r="J732" i="3"/>
  <c r="J1540" i="3"/>
  <c r="J776" i="3"/>
  <c r="J675" i="3"/>
  <c r="J339" i="3"/>
  <c r="J815" i="3"/>
  <c r="J1116" i="3"/>
  <c r="J466" i="3"/>
  <c r="J2158" i="3"/>
  <c r="J2157" i="3"/>
  <c r="J2183" i="3"/>
  <c r="J1277" i="3"/>
  <c r="J1509" i="3"/>
  <c r="J731" i="3"/>
  <c r="J548" i="3"/>
  <c r="J814" i="3"/>
  <c r="J726" i="3"/>
  <c r="J765" i="3"/>
  <c r="J1539" i="3"/>
  <c r="J405" i="3"/>
  <c r="J696" i="3"/>
  <c r="J674" i="3"/>
  <c r="J730" i="3"/>
  <c r="J839" i="3"/>
  <c r="J813" i="3"/>
  <c r="J53" i="3"/>
  <c r="J672" i="3"/>
  <c r="J440" i="3"/>
  <c r="J195" i="3"/>
  <c r="J1750" i="3"/>
  <c r="J2147" i="3"/>
  <c r="J2190" i="3"/>
  <c r="J2115" i="3"/>
  <c r="J1422" i="3"/>
  <c r="J1617" i="3"/>
  <c r="J1618" i="3"/>
  <c r="J1590" i="3"/>
  <c r="J1589" i="3"/>
  <c r="I559" i="108"/>
  <c r="J2146" i="3"/>
  <c r="J1603" i="3"/>
  <c r="J1602" i="3"/>
  <c r="J1614" i="3"/>
  <c r="J1612" i="3"/>
  <c r="J1613" i="3"/>
  <c r="J1615" i="3"/>
  <c r="J1601" i="3"/>
  <c r="J1411" i="3"/>
  <c r="J1595" i="3"/>
  <c r="J1604" i="3"/>
  <c r="J1608" i="3"/>
  <c r="J1607" i="3"/>
  <c r="J1616" i="3"/>
  <c r="J1625" i="3"/>
  <c r="J1681" i="3"/>
  <c r="J1610" i="3"/>
  <c r="J1609" i="3"/>
  <c r="J1622" i="3"/>
  <c r="J1599" i="3"/>
  <c r="J1621" i="3"/>
  <c r="J1620" i="3"/>
  <c r="J1600" i="3"/>
  <c r="J1597" i="3"/>
  <c r="J1606" i="3"/>
  <c r="J1598" i="3"/>
  <c r="J1596" i="3"/>
  <c r="J1696" i="3"/>
  <c r="J58" i="3"/>
  <c r="J2053" i="3"/>
  <c r="J1088" i="3"/>
  <c r="J64" i="3"/>
  <c r="J179" i="3"/>
  <c r="J1177" i="3"/>
  <c r="J523" i="3"/>
  <c r="J2400" i="3"/>
  <c r="J2399" i="3"/>
  <c r="J2398" i="3"/>
  <c r="J1159" i="3"/>
  <c r="J756" i="3"/>
  <c r="J798" i="3"/>
  <c r="J513" i="3"/>
  <c r="J835" i="3"/>
  <c r="J769" i="3"/>
  <c r="J1483" i="3"/>
  <c r="J1553" i="3"/>
  <c r="J799" i="3"/>
  <c r="J724" i="3"/>
  <c r="J1792" i="3"/>
  <c r="J847" i="3"/>
  <c r="J1797" i="3"/>
  <c r="J1796" i="3"/>
  <c r="J1661" i="3"/>
  <c r="J787" i="3"/>
  <c r="J770" i="3"/>
  <c r="J707" i="3"/>
  <c r="J2397" i="3"/>
  <c r="J467" i="3"/>
  <c r="J854" i="3"/>
  <c r="J92" i="3"/>
  <c r="J126" i="3"/>
  <c r="J2303" i="3"/>
  <c r="J2301" i="3"/>
  <c r="J620" i="3"/>
  <c r="J408" i="3"/>
  <c r="J522" i="3"/>
  <c r="I630" i="108"/>
  <c r="I629" i="108"/>
  <c r="J1351" i="3"/>
  <c r="J1112" i="3"/>
  <c r="J821" i="3"/>
  <c r="J437" i="3"/>
  <c r="J2054" i="3"/>
  <c r="J2194" i="3"/>
  <c r="J735" i="3"/>
  <c r="J14" i="3"/>
  <c r="J115" i="108" l="1"/>
  <c r="J114" i="108"/>
  <c r="J118" i="108"/>
  <c r="J117" i="108"/>
  <c r="J119" i="108"/>
  <c r="J116" i="108"/>
  <c r="I628" i="108"/>
  <c r="I645" i="108"/>
  <c r="I624" i="108"/>
  <c r="I631" i="108"/>
  <c r="I623" i="108"/>
  <c r="I634" i="108"/>
  <c r="I639" i="108"/>
  <c r="I625" i="108"/>
  <c r="I626" i="108"/>
  <c r="I622" i="108"/>
  <c r="I646" i="108"/>
  <c r="I627" i="108"/>
  <c r="I636" i="108"/>
  <c r="I637" i="108"/>
  <c r="I633" i="108"/>
  <c r="I640" i="108"/>
  <c r="I642" i="108"/>
  <c r="I669" i="108"/>
  <c r="I649" i="108"/>
  <c r="I652" i="108"/>
  <c r="I660" i="108"/>
  <c r="I654" i="108"/>
  <c r="I668" i="108"/>
  <c r="I658" i="108"/>
  <c r="I648" i="108"/>
  <c r="I659" i="108"/>
  <c r="I666" i="108"/>
  <c r="I661" i="108"/>
  <c r="I650" i="108"/>
  <c r="I655" i="108"/>
  <c r="I662" i="108"/>
  <c r="I656" i="108"/>
  <c r="I663" i="108"/>
  <c r="I653" i="108"/>
  <c r="I657" i="108"/>
  <c r="I651" i="108"/>
  <c r="I664" i="108"/>
  <c r="H3" i="7"/>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2" i="7"/>
  <c r="J1850" i="3"/>
  <c r="J1864" i="3"/>
  <c r="J1185" i="3"/>
  <c r="J1641" i="3"/>
  <c r="J1678" i="3"/>
  <c r="J50" i="3"/>
  <c r="J1179" i="3"/>
  <c r="J1115" i="3"/>
  <c r="J1472" i="3"/>
  <c r="J2281" i="3"/>
  <c r="J1186" i="3"/>
  <c r="J1395" i="3"/>
  <c r="J1188" i="3"/>
  <c r="J1430" i="3"/>
  <c r="J1097" i="3"/>
  <c r="J547" i="3"/>
  <c r="I304" i="108" l="1"/>
  <c r="I273" i="108"/>
  <c r="I257" i="108"/>
  <c r="I755" i="108"/>
  <c r="I754" i="108"/>
  <c r="I753" i="108"/>
  <c r="I752" i="108"/>
  <c r="I751" i="108"/>
  <c r="I750" i="108"/>
  <c r="I749" i="108"/>
  <c r="I748" i="108"/>
  <c r="I747" i="108"/>
  <c r="J1485" i="3"/>
  <c r="J1492" i="3"/>
  <c r="J1496" i="3"/>
  <c r="J1494" i="3"/>
  <c r="J1487" i="3"/>
  <c r="J1488" i="3"/>
  <c r="J1489" i="3"/>
  <c r="J1490" i="3"/>
  <c r="J1491" i="3"/>
  <c r="J1498" i="3"/>
  <c r="J1499" i="3"/>
  <c r="J1500" i="3"/>
  <c r="J1503" i="3"/>
  <c r="J1504" i="3"/>
  <c r="J1505" i="3"/>
  <c r="J1506" i="3"/>
  <c r="J1507" i="3"/>
  <c r="J1511" i="3"/>
  <c r="J1543" i="3"/>
  <c r="J1544" i="3"/>
  <c r="J1569" i="3"/>
  <c r="J1570" i="3"/>
  <c r="J1571" i="3"/>
  <c r="J1583" i="3"/>
  <c r="J1582" i="3"/>
  <c r="J1497" i="3"/>
  <c r="J42" i="3"/>
  <c r="J40" i="3"/>
  <c r="J13" i="3"/>
  <c r="J6" i="3"/>
  <c r="J5" i="3"/>
  <c r="J27" i="3"/>
  <c r="J29" i="3"/>
  <c r="J36" i="3"/>
  <c r="J25" i="3"/>
  <c r="J18" i="3"/>
  <c r="J19" i="3"/>
  <c r="J24" i="3"/>
  <c r="J37" i="3"/>
  <c r="J38" i="3"/>
  <c r="J17" i="3"/>
  <c r="J22" i="3"/>
  <c r="J23" i="3"/>
  <c r="J11" i="3"/>
  <c r="J34" i="3"/>
  <c r="J33" i="3"/>
  <c r="J35" i="3"/>
  <c r="J2405" i="3"/>
  <c r="J39" i="3"/>
  <c r="J43" i="3"/>
  <c r="J866" i="3"/>
  <c r="J862" i="3"/>
  <c r="J863" i="3"/>
  <c r="J869" i="3"/>
  <c r="J865" i="3"/>
  <c r="J870" i="3"/>
  <c r="J868" i="3"/>
  <c r="J867" i="3"/>
  <c r="J32" i="3"/>
  <c r="J31" i="3"/>
  <c r="J7" i="3"/>
  <c r="J109" i="3"/>
  <c r="J116" i="3"/>
  <c r="J190" i="3"/>
  <c r="J110" i="3"/>
  <c r="J120" i="3"/>
  <c r="J187" i="3"/>
  <c r="J115" i="3"/>
  <c r="J95" i="3"/>
  <c r="J216" i="3"/>
  <c r="J93" i="3"/>
  <c r="J108" i="3"/>
  <c r="J129" i="3"/>
  <c r="J100" i="3"/>
  <c r="J121" i="3"/>
  <c r="J90" i="3"/>
  <c r="J111" i="3"/>
  <c r="J219" i="3"/>
  <c r="J98" i="3"/>
  <c r="J124" i="3"/>
  <c r="J218" i="3"/>
  <c r="J215" i="3"/>
  <c r="J188" i="3"/>
  <c r="J99" i="3"/>
  <c r="J107" i="3"/>
  <c r="J125" i="3"/>
  <c r="J105" i="3"/>
  <c r="J123" i="3"/>
  <c r="J217" i="3"/>
  <c r="J112" i="3"/>
  <c r="J128" i="3"/>
  <c r="J189" i="3"/>
  <c r="J118" i="3"/>
  <c r="J213" i="3"/>
  <c r="J214" i="3"/>
  <c r="J209" i="3"/>
  <c r="J210" i="3"/>
  <c r="J94" i="3"/>
  <c r="J117" i="3"/>
  <c r="J104" i="3"/>
  <c r="J89" i="3"/>
  <c r="J70" i="3"/>
  <c r="J65" i="3"/>
  <c r="J57" i="3"/>
  <c r="J67" i="3"/>
  <c r="J75" i="3"/>
  <c r="J69" i="3"/>
  <c r="J71" i="3"/>
  <c r="J62" i="3"/>
  <c r="J59" i="3"/>
  <c r="J76" i="3"/>
  <c r="J74" i="3"/>
  <c r="J61" i="3"/>
  <c r="J72" i="3"/>
  <c r="J87" i="3"/>
  <c r="J77" i="3"/>
  <c r="J83" i="3"/>
  <c r="J84" i="3"/>
  <c r="J63" i="3"/>
  <c r="J86" i="3"/>
  <c r="J78" i="3"/>
  <c r="J66" i="3"/>
  <c r="J85" i="3"/>
  <c r="J73" i="3"/>
  <c r="J88" i="3"/>
  <c r="J194" i="3"/>
  <c r="J1651" i="3"/>
  <c r="J1660" i="3"/>
  <c r="J1650" i="3"/>
  <c r="J1652" i="3"/>
  <c r="J1680" i="3"/>
  <c r="J1653" i="3"/>
  <c r="J1654" i="3"/>
  <c r="J1679" i="3"/>
  <c r="J2403" i="3"/>
  <c r="J2404" i="3"/>
  <c r="J242" i="3"/>
  <c r="J264" i="3"/>
  <c r="J295" i="3"/>
  <c r="J1513" i="3"/>
  <c r="J1516" i="3"/>
  <c r="J1518" i="3"/>
  <c r="J1514" i="3"/>
  <c r="J1515" i="3"/>
  <c r="J1517" i="3"/>
  <c r="J366" i="3"/>
  <c r="J1519" i="3"/>
  <c r="J340" i="3"/>
  <c r="J328" i="3"/>
  <c r="J326" i="3"/>
  <c r="J369" i="3"/>
  <c r="J332" i="3"/>
  <c r="J335" i="3"/>
  <c r="J330" i="3"/>
  <c r="J324" i="3"/>
  <c r="J325" i="3"/>
  <c r="J327" i="3"/>
  <c r="J329" i="3"/>
  <c r="J333" i="3"/>
  <c r="J336" i="3"/>
  <c r="J350" i="3"/>
  <c r="J364" i="3"/>
  <c r="J351" i="3"/>
  <c r="J379" i="3"/>
  <c r="J413" i="3"/>
  <c r="J451" i="3"/>
  <c r="J476" i="3"/>
  <c r="J488" i="3"/>
  <c r="J498" i="3"/>
  <c r="J380" i="3"/>
  <c r="J418" i="3"/>
  <c r="J453" i="3"/>
  <c r="J376" i="3"/>
  <c r="J415" i="3"/>
  <c r="J449" i="3"/>
  <c r="J474" i="3"/>
  <c r="J375" i="3"/>
  <c r="J420" i="3"/>
  <c r="J377" i="3"/>
  <c r="J479" i="3"/>
  <c r="J495" i="3"/>
  <c r="J381" i="3"/>
  <c r="J497" i="3"/>
  <c r="J416" i="3"/>
  <c r="J450" i="3"/>
  <c r="J475" i="3"/>
  <c r="J496" i="3"/>
  <c r="J499" i="3"/>
  <c r="J500" i="3"/>
  <c r="J383" i="3"/>
  <c r="J489" i="3"/>
  <c r="J385" i="3"/>
  <c r="J442" i="3"/>
  <c r="J455" i="3"/>
  <c r="J485" i="3"/>
  <c r="J378" i="3"/>
  <c r="J417" i="3"/>
  <c r="J452" i="3"/>
  <c r="J477" i="3"/>
  <c r="J389" i="3"/>
  <c r="J427" i="3"/>
  <c r="J469" i="3"/>
  <c r="J410" i="3"/>
  <c r="J441" i="3"/>
  <c r="J386" i="3"/>
  <c r="J424" i="3"/>
  <c r="J421" i="3"/>
  <c r="J456" i="3"/>
  <c r="J483" i="3"/>
  <c r="J490" i="3"/>
  <c r="J382" i="3"/>
  <c r="J470" i="3"/>
  <c r="J391" i="3"/>
  <c r="J428" i="3"/>
  <c r="J468" i="3"/>
  <c r="J387" i="3"/>
  <c r="J425" i="3"/>
  <c r="J457" i="3"/>
  <c r="J480" i="3"/>
  <c r="J493" i="3"/>
  <c r="J412" i="3"/>
  <c r="J445" i="3"/>
  <c r="J422" i="3"/>
  <c r="J472" i="3"/>
  <c r="J434" i="3"/>
  <c r="J459" i="3"/>
  <c r="J394" i="3"/>
  <c r="J392" i="3"/>
  <c r="J436" i="3"/>
  <c r="J461" i="3"/>
  <c r="J487" i="3"/>
  <c r="J492" i="3"/>
  <c r="J486" i="3"/>
  <c r="J388" i="3"/>
  <c r="J426" i="3"/>
  <c r="J458" i="3"/>
  <c r="J491" i="3"/>
  <c r="J396" i="3"/>
  <c r="J430" i="3"/>
  <c r="J463" i="3"/>
  <c r="J395" i="3"/>
  <c r="J435" i="3"/>
  <c r="J462" i="3"/>
  <c r="J397" i="3"/>
  <c r="J484" i="3"/>
  <c r="J431" i="3"/>
  <c r="J447" i="3"/>
  <c r="J402" i="3"/>
  <c r="J438" i="3"/>
  <c r="J465" i="3"/>
  <c r="J481" i="3"/>
  <c r="J494" i="3"/>
  <c r="J398" i="3"/>
  <c r="J399" i="3"/>
  <c r="J432" i="3"/>
  <c r="J393" i="3"/>
  <c r="J460" i="3"/>
  <c r="J409" i="3"/>
  <c r="J414" i="3"/>
  <c r="J400" i="3"/>
  <c r="J439" i="3"/>
  <c r="J464" i="3"/>
  <c r="J401" i="3"/>
  <c r="J403" i="3"/>
  <c r="J404" i="3"/>
  <c r="J503" i="3"/>
  <c r="J505" i="3"/>
  <c r="J502" i="3"/>
  <c r="J1690" i="3"/>
  <c r="J525" i="3"/>
  <c r="J549" i="3"/>
  <c r="J514" i="3"/>
  <c r="J515" i="3"/>
  <c r="J516" i="3"/>
  <c r="J517" i="3"/>
  <c r="J518" i="3"/>
  <c r="J623" i="3"/>
  <c r="J624" i="3"/>
  <c r="J580" i="3"/>
  <c r="J508" i="3"/>
  <c r="J524" i="3"/>
  <c r="J530" i="3"/>
  <c r="J528" i="3"/>
  <c r="J519" i="3"/>
  <c r="J529" i="3"/>
  <c r="J533" i="3"/>
  <c r="J532" i="3"/>
  <c r="J536" i="3"/>
  <c r="J539" i="3"/>
  <c r="J540" i="3"/>
  <c r="J541" i="3"/>
  <c r="J537" i="3"/>
  <c r="J861" i="3"/>
  <c r="J1417" i="3"/>
  <c r="J557" i="3"/>
  <c r="J550" i="3"/>
  <c r="J554" i="3"/>
  <c r="J564" i="3"/>
  <c r="J611" i="3"/>
  <c r="J616" i="3"/>
  <c r="J619" i="3"/>
  <c r="J617" i="3"/>
  <c r="J614" i="3"/>
  <c r="J622" i="3"/>
  <c r="J527" i="3"/>
  <c r="J1628" i="3"/>
  <c r="J633" i="3"/>
  <c r="J603" i="3"/>
  <c r="J618" i="3"/>
  <c r="J556" i="3"/>
  <c r="J558" i="3"/>
  <c r="J560" i="3"/>
  <c r="J561" i="3"/>
  <c r="J562" i="3"/>
  <c r="J565" i="3"/>
  <c r="J552" i="3"/>
  <c r="J512" i="3"/>
  <c r="J555" i="3"/>
  <c r="J559" i="3"/>
  <c r="J563" i="3"/>
  <c r="J1763" i="3"/>
  <c r="J551" i="3"/>
  <c r="J630" i="3"/>
  <c r="J606" i="3"/>
  <c r="J571" i="3"/>
  <c r="J631" i="3"/>
  <c r="J635" i="3"/>
  <c r="J632" i="3"/>
  <c r="J1709" i="3"/>
  <c r="J1710" i="3"/>
  <c r="J637" i="3"/>
  <c r="J636" i="3"/>
  <c r="J509" i="3"/>
  <c r="J570" i="3"/>
  <c r="J347" i="3"/>
  <c r="J368" i="3"/>
  <c r="J342" i="3"/>
  <c r="J348" i="3"/>
  <c r="J355" i="3"/>
  <c r="J358" i="3"/>
  <c r="J372" i="3"/>
  <c r="J343" i="3"/>
  <c r="J367" i="3"/>
  <c r="J344" i="3"/>
  <c r="J365" i="3"/>
  <c r="J345" i="3"/>
  <c r="J354" i="3"/>
  <c r="J363" i="3"/>
  <c r="J346" i="3"/>
  <c r="J353" i="3"/>
  <c r="J352" i="3"/>
  <c r="J359" i="3"/>
  <c r="J361" i="3"/>
  <c r="J349" i="3"/>
  <c r="J360" i="3"/>
  <c r="J2417" i="3"/>
  <c r="J1220" i="3"/>
  <c r="J2425" i="3"/>
  <c r="J1640" i="3"/>
  <c r="J1079" i="3"/>
  <c r="J1036" i="3"/>
  <c r="J1071" i="3"/>
  <c r="J1706" i="3"/>
  <c r="J1693" i="3"/>
  <c r="J1692" i="3"/>
  <c r="J1699" i="3"/>
  <c r="J1691" i="3"/>
  <c r="J1786" i="3"/>
  <c r="J1070" i="3"/>
  <c r="J1708" i="3"/>
  <c r="J1038" i="3"/>
  <c r="J1039" i="3"/>
  <c r="J1061" i="3"/>
  <c r="J1059" i="3"/>
  <c r="J1060" i="3"/>
  <c r="J1047" i="3"/>
  <c r="J803" i="3"/>
  <c r="J804" i="3"/>
  <c r="J805" i="3"/>
  <c r="J811" i="3"/>
  <c r="J802" i="3"/>
  <c r="J817" i="3"/>
  <c r="J819" i="3"/>
  <c r="J818" i="3"/>
  <c r="J834" i="3"/>
  <c r="J827" i="3"/>
  <c r="J826" i="3"/>
  <c r="J832" i="3"/>
  <c r="J824" i="3"/>
  <c r="J816" i="3"/>
  <c r="J846" i="3"/>
  <c r="J852" i="3"/>
  <c r="J850" i="3"/>
  <c r="J848" i="3"/>
  <c r="J845" i="3"/>
  <c r="J842" i="3"/>
  <c r="J843" i="3"/>
  <c r="J855" i="3"/>
  <c r="J844" i="3"/>
  <c r="J838" i="3"/>
  <c r="J853" i="3"/>
  <c r="J1073" i="3"/>
  <c r="J1074" i="3"/>
  <c r="J1078" i="3"/>
  <c r="J1076" i="3"/>
  <c r="J1075" i="3"/>
  <c r="J1082" i="3"/>
  <c r="J1084" i="3"/>
  <c r="J1085" i="3"/>
  <c r="J1081" i="3"/>
  <c r="J1035" i="3"/>
  <c r="J1099" i="3"/>
  <c r="J1094" i="3"/>
  <c r="J1095" i="3"/>
  <c r="J1091" i="3"/>
  <c r="J1093" i="3"/>
  <c r="J1098" i="3"/>
  <c r="J1106" i="3"/>
  <c r="J1107" i="3"/>
  <c r="J1109" i="3"/>
  <c r="J1105" i="3"/>
  <c r="J1111" i="3"/>
  <c r="J1103" i="3"/>
  <c r="J1104" i="3"/>
  <c r="J1110" i="3"/>
  <c r="J1824" i="3"/>
  <c r="J1410" i="3"/>
  <c r="J1416" i="3"/>
  <c r="J1216" i="3"/>
  <c r="J1215" i="3"/>
  <c r="J1219" i="3"/>
  <c r="J1120" i="3"/>
  <c r="J1123" i="3"/>
  <c r="J1122" i="3"/>
  <c r="J1124" i="3"/>
  <c r="J1133" i="3"/>
  <c r="J1126" i="3"/>
  <c r="J1132" i="3"/>
  <c r="J1127" i="3"/>
  <c r="J1128" i="3"/>
  <c r="J1125" i="3"/>
  <c r="J1131" i="3"/>
  <c r="J1119" i="3"/>
  <c r="J1121" i="3"/>
  <c r="J1129" i="3"/>
  <c r="J1130" i="3"/>
  <c r="J1135" i="3"/>
  <c r="J1145" i="3"/>
  <c r="J1162" i="3"/>
  <c r="J1143" i="3"/>
  <c r="J1139" i="3"/>
  <c r="J1157" i="3"/>
  <c r="J1163" i="3"/>
  <c r="J1165" i="3"/>
  <c r="J1148" i="3"/>
  <c r="J1146" i="3"/>
  <c r="J1150" i="3"/>
  <c r="J1151" i="3"/>
  <c r="J1167" i="3"/>
  <c r="J1158" i="3"/>
  <c r="J1149" i="3"/>
  <c r="J1153" i="3"/>
  <c r="J1160" i="3"/>
  <c r="J1156" i="3"/>
  <c r="J1144" i="3"/>
  <c r="J1142" i="3"/>
  <c r="J1152" i="3"/>
  <c r="J1154" i="3"/>
  <c r="J1155" i="3"/>
  <c r="J1141" i="3"/>
  <c r="J1168" i="3"/>
  <c r="J1140" i="3"/>
  <c r="J1164" i="3"/>
  <c r="J1174" i="3"/>
  <c r="J1187" i="3"/>
  <c r="J1394" i="3"/>
  <c r="J1178" i="3"/>
  <c r="J1183" i="3"/>
  <c r="J1184" i="3"/>
  <c r="J1189" i="3"/>
  <c r="J1190" i="3"/>
  <c r="J1182" i="3"/>
  <c r="J1191" i="3"/>
  <c r="J1180" i="3"/>
  <c r="J1176" i="3"/>
  <c r="J1172" i="3"/>
  <c r="J1171" i="3"/>
  <c r="J1173" i="3"/>
  <c r="J1213" i="3"/>
  <c r="J1214" i="3"/>
  <c r="J1560" i="3"/>
  <c r="J1561" i="3"/>
  <c r="J1559" i="3"/>
  <c r="J1562" i="3"/>
  <c r="J1565" i="3"/>
  <c r="J1563" i="3"/>
  <c r="J1566" i="3"/>
  <c r="J47" i="3"/>
  <c r="J2422" i="3"/>
  <c r="J45" i="3"/>
  <c r="J1476" i="3"/>
  <c r="J1477" i="3"/>
  <c r="J1478" i="3"/>
  <c r="J1479" i="3"/>
  <c r="J182" i="3"/>
  <c r="J184" i="3"/>
  <c r="J181" i="3"/>
  <c r="J183" i="3"/>
  <c r="J180" i="3"/>
  <c r="J185" i="3"/>
  <c r="J1567" i="3"/>
  <c r="J192" i="3"/>
  <c r="J191" i="3"/>
  <c r="J1572" i="3"/>
  <c r="J193" i="3"/>
  <c r="J1568" i="3"/>
  <c r="J1525" i="3"/>
  <c r="J1527" i="3"/>
  <c r="J1528" i="3"/>
  <c r="J1542" i="3"/>
  <c r="J1534" i="3"/>
  <c r="J1535" i="3"/>
  <c r="J1533" i="3"/>
  <c r="J1532" i="3"/>
  <c r="J1536" i="3"/>
  <c r="J1530" i="3"/>
  <c r="J1524" i="3"/>
  <c r="J1523" i="3"/>
  <c r="J1522" i="3"/>
  <c r="J1529" i="3"/>
  <c r="J1526" i="3"/>
  <c r="J507" i="3"/>
  <c r="J1580" i="3"/>
  <c r="J1576" i="3"/>
  <c r="J1575" i="3"/>
  <c r="J1578" i="3"/>
  <c r="J1573" i="3"/>
  <c r="J1577" i="3"/>
  <c r="J1865" i="3"/>
  <c r="J1845" i="3"/>
  <c r="J1853" i="3"/>
  <c r="J1859" i="3"/>
  <c r="J1854" i="3"/>
  <c r="J1866" i="3"/>
  <c r="J1847" i="3"/>
  <c r="J1862" i="3"/>
  <c r="J1855" i="3"/>
  <c r="J1842" i="3"/>
  <c r="J1843" i="3"/>
  <c r="J1869" i="3"/>
  <c r="J1858" i="3"/>
  <c r="J1849" i="3"/>
  <c r="J1856" i="3"/>
  <c r="J1851" i="3"/>
  <c r="J1848" i="3"/>
  <c r="J1846" i="3"/>
  <c r="J1863" i="3"/>
  <c r="J1860" i="3"/>
  <c r="J1852" i="3"/>
  <c r="J1406" i="3"/>
  <c r="J1435" i="3"/>
  <c r="J1432" i="3"/>
  <c r="J1426" i="3"/>
  <c r="J1425" i="3"/>
  <c r="J1438" i="3"/>
  <c r="J1384" i="3"/>
  <c r="J1385" i="3"/>
  <c r="J1420" i="3"/>
  <c r="J206" i="3"/>
  <c r="J1217" i="3"/>
  <c r="J1470" i="3"/>
  <c r="J873" i="3"/>
  <c r="J1861" i="3"/>
  <c r="J1833" i="3"/>
  <c r="J2412" i="3"/>
  <c r="J2415" i="3"/>
  <c r="J2413" i="3"/>
  <c r="J2416" i="3"/>
  <c r="J1868" i="3"/>
  <c r="J1867" i="3"/>
  <c r="J2424" i="3"/>
  <c r="J1555" i="3"/>
  <c r="J1556" i="3"/>
  <c r="J1557" i="3"/>
  <c r="J1548" i="3"/>
  <c r="J1551" i="3"/>
  <c r="J1549" i="3"/>
  <c r="J1550" i="3"/>
  <c r="J1737" i="3"/>
  <c r="J1642" i="3"/>
  <c r="J1795" i="3"/>
  <c r="J1791" i="3"/>
  <c r="J1777" i="3"/>
  <c r="J1809" i="3"/>
  <c r="J1688" i="3"/>
  <c r="J1772" i="3"/>
  <c r="J1736" i="3"/>
  <c r="J1781" i="3"/>
  <c r="J1734" i="3"/>
  <c r="J1683" i="3"/>
  <c r="J1733" i="3"/>
  <c r="J1752" i="3"/>
  <c r="J1780" i="3"/>
  <c r="J1779" i="3"/>
  <c r="J1740" i="3"/>
  <c r="J1751" i="3"/>
  <c r="J1764" i="3"/>
  <c r="J1731" i="3"/>
  <c r="J1732" i="3"/>
  <c r="J1739" i="3"/>
  <c r="J1738" i="3"/>
  <c r="J1746" i="3"/>
  <c r="J1747" i="3"/>
  <c r="J1697" i="3"/>
  <c r="J1765" i="3"/>
  <c r="J1754" i="3"/>
  <c r="J1768" i="3"/>
  <c r="J1767" i="3"/>
  <c r="J1784" i="3"/>
  <c r="J1742" i="3"/>
  <c r="J1762" i="3"/>
  <c r="J1761" i="3"/>
  <c r="J1757" i="3"/>
  <c r="J1758" i="3"/>
  <c r="J1759" i="3"/>
  <c r="J1760" i="3"/>
  <c r="I430" i="108"/>
  <c r="J1744" i="3"/>
  <c r="J1776" i="3"/>
  <c r="J1745" i="3"/>
  <c r="J1766" i="3"/>
  <c r="J1730" i="3"/>
  <c r="J1722" i="3"/>
  <c r="J1723" i="3"/>
  <c r="J1726" i="3"/>
  <c r="J1794" i="3"/>
  <c r="J1682" i="3"/>
  <c r="J1674" i="3"/>
  <c r="J1656" i="3"/>
  <c r="J1646" i="3"/>
  <c r="J1673" i="3"/>
  <c r="J1670" i="3"/>
  <c r="J1666" i="3"/>
  <c r="J1676" i="3"/>
  <c r="J1675" i="3"/>
  <c r="J1657" i="3"/>
  <c r="J1668" i="3"/>
  <c r="J1645" i="3"/>
  <c r="J1663" i="3"/>
  <c r="J1643" i="3"/>
  <c r="J1684" i="3"/>
  <c r="J1685" i="3"/>
  <c r="J1658" i="3"/>
  <c r="J1649" i="3"/>
  <c r="J1677" i="3"/>
  <c r="J1664" i="3"/>
  <c r="J1647" i="3"/>
  <c r="J1648" i="3"/>
  <c r="J1655" i="3"/>
  <c r="J1671" i="3"/>
  <c r="J1672" i="3"/>
  <c r="J1815" i="3"/>
  <c r="J1805" i="3"/>
  <c r="J1808" i="3"/>
  <c r="J1820" i="3"/>
  <c r="J1803" i="3"/>
  <c r="J1817" i="3"/>
  <c r="J1810" i="3"/>
  <c r="J1807" i="3"/>
  <c r="J1821" i="3"/>
  <c r="J1806" i="3"/>
  <c r="J1818" i="3"/>
  <c r="J1811" i="3"/>
  <c r="J1816" i="3"/>
  <c r="J1822" i="3"/>
  <c r="J55" i="3"/>
  <c r="J200" i="3"/>
  <c r="J201" i="3"/>
  <c r="J204" i="3"/>
  <c r="J205" i="3"/>
  <c r="J198" i="3"/>
  <c r="J203" i="3"/>
  <c r="J197" i="3"/>
  <c r="J199" i="3"/>
  <c r="J202" i="3"/>
  <c r="J1629" i="3"/>
  <c r="J1831" i="3"/>
  <c r="J1398" i="3"/>
  <c r="J1396" i="3"/>
  <c r="J1457" i="3"/>
  <c r="J1419" i="3"/>
  <c r="J222" i="3"/>
  <c r="J223" i="3"/>
  <c r="J224" i="3"/>
  <c r="J225" i="3"/>
  <c r="J221" i="3"/>
  <c r="J226" i="3"/>
  <c r="J228" i="3"/>
  <c r="J727" i="3"/>
  <c r="J650" i="3"/>
  <c r="J657" i="3"/>
  <c r="J664" i="3"/>
  <c r="J666" i="3"/>
  <c r="J668" i="3"/>
  <c r="J713" i="3"/>
  <c r="J775" i="3"/>
  <c r="J782" i="3"/>
  <c r="J642" i="3"/>
  <c r="J791" i="3"/>
  <c r="J792" i="3"/>
  <c r="J793" i="3"/>
  <c r="J794" i="3"/>
  <c r="J758" i="3"/>
  <c r="J722" i="3"/>
  <c r="J651" i="3"/>
  <c r="J658" i="3"/>
  <c r="J704" i="3"/>
  <c r="J766" i="3"/>
  <c r="J800" i="3"/>
  <c r="J643" i="3"/>
  <c r="J745" i="3"/>
  <c r="J747" i="3"/>
  <c r="J652" i="3"/>
  <c r="J659" i="3"/>
  <c r="J764" i="3"/>
  <c r="J763" i="3"/>
  <c r="J774" i="3"/>
  <c r="J760" i="3"/>
  <c r="J761" i="3"/>
  <c r="J762" i="3"/>
  <c r="J759" i="3"/>
  <c r="J697" i="3"/>
  <c r="J728" i="3"/>
  <c r="J729" i="3"/>
  <c r="J644" i="3"/>
  <c r="J701" i="3"/>
  <c r="J705" i="3"/>
  <c r="J716" i="3"/>
  <c r="J718" i="3"/>
  <c r="J753" i="3"/>
  <c r="J755" i="3"/>
  <c r="J653" i="3"/>
  <c r="J660" i="3"/>
  <c r="J694" i="3"/>
  <c r="J695" i="3"/>
  <c r="J751" i="3"/>
  <c r="J669" i="3"/>
  <c r="J685" i="3"/>
  <c r="J687" i="3"/>
  <c r="J689" i="3"/>
  <c r="J789" i="3"/>
  <c r="J714" i="3"/>
  <c r="J788" i="3"/>
  <c r="J639" i="3"/>
  <c r="J723" i="3"/>
  <c r="J783" i="3"/>
  <c r="J654" i="3"/>
  <c r="J661" i="3"/>
  <c r="J665" i="3"/>
  <c r="J667" i="3"/>
  <c r="J779" i="3"/>
  <c r="J790" i="3"/>
  <c r="J645" i="3"/>
  <c r="J638" i="3"/>
  <c r="J646" i="3"/>
  <c r="J670" i="3"/>
  <c r="J678" i="3"/>
  <c r="J679" i="3"/>
  <c r="J780" i="3"/>
  <c r="J702" i="3"/>
  <c r="J715" i="3"/>
  <c r="J720" i="3"/>
  <c r="J721" i="3"/>
  <c r="J746" i="3"/>
  <c r="J748" i="3"/>
  <c r="J749" i="3"/>
  <c r="J754" i="3"/>
  <c r="J784" i="3"/>
  <c r="J640" i="3"/>
  <c r="J655" i="3"/>
  <c r="J662" i="3"/>
  <c r="J671" i="3"/>
  <c r="J700" i="3"/>
  <c r="J703" i="3"/>
  <c r="J706" i="3"/>
  <c r="J717" i="3"/>
  <c r="J719" i="3"/>
  <c r="J750" i="3"/>
  <c r="J785" i="3"/>
  <c r="J686" i="3"/>
  <c r="J688" i="3"/>
  <c r="J743" i="3"/>
  <c r="J795" i="3"/>
  <c r="J767" i="3"/>
  <c r="J796" i="3"/>
  <c r="J797" i="3"/>
  <c r="J744" i="3"/>
  <c r="J752" i="3"/>
  <c r="J777" i="3"/>
  <c r="J778" i="3"/>
  <c r="J734" i="3"/>
  <c r="J649" i="3"/>
  <c r="J680" i="3"/>
  <c r="J2411" i="3"/>
  <c r="J1424" i="3"/>
  <c r="J1342" i="3"/>
  <c r="J1257" i="3"/>
  <c r="J1265" i="3"/>
  <c r="J1274" i="3"/>
  <c r="J1275" i="3"/>
  <c r="J1266" i="3"/>
  <c r="J1341" i="3"/>
  <c r="J1302" i="3"/>
  <c r="J1268" i="3"/>
  <c r="J1269" i="3"/>
  <c r="J1272" i="3"/>
  <c r="J1259" i="3"/>
  <c r="J1337" i="3"/>
  <c r="J1287" i="3"/>
  <c r="J1349" i="3"/>
  <c r="J1278" i="3"/>
  <c r="J1279" i="3"/>
  <c r="J1300" i="3"/>
  <c r="J1313" i="3"/>
  <c r="J1326" i="3"/>
  <c r="J1343" i="3"/>
  <c r="J1247" i="3"/>
  <c r="J1306" i="3"/>
  <c r="J1317" i="3"/>
  <c r="J1365" i="3"/>
  <c r="J1308" i="3"/>
  <c r="J1310" i="3"/>
  <c r="J1334" i="3"/>
  <c r="J1260" i="3"/>
  <c r="J1255" i="3"/>
  <c r="J1261" i="3"/>
  <c r="J1288" i="3"/>
  <c r="J1289" i="3"/>
  <c r="J1370" i="3"/>
  <c r="J1332" i="3"/>
  <c r="J1262" i="3"/>
  <c r="J1344" i="3"/>
  <c r="J1245" i="3"/>
  <c r="J1273" i="3"/>
  <c r="J1301" i="3"/>
  <c r="J1350" i="3"/>
  <c r="J1240" i="3"/>
  <c r="J1249" i="3"/>
  <c r="J1264" i="3"/>
  <c r="J1291" i="3"/>
  <c r="J1328" i="3"/>
  <c r="J1360" i="3"/>
  <c r="J1373" i="3"/>
  <c r="J1286" i="3"/>
  <c r="J1285" i="3"/>
  <c r="J1307" i="3"/>
  <c r="J1314" i="3"/>
  <c r="J1345" i="3"/>
  <c r="J1320" i="3"/>
  <c r="J1256" i="3"/>
  <c r="J1346" i="3"/>
  <c r="J1280" i="3"/>
  <c r="J1282" i="3"/>
  <c r="J1281" i="3"/>
  <c r="J1369" i="3"/>
  <c r="J1363" i="3"/>
  <c r="J1364" i="3"/>
  <c r="J1371" i="3"/>
  <c r="J1368" i="3"/>
  <c r="J1293" i="3"/>
  <c r="J1294" i="3"/>
  <c r="J1299" i="3"/>
  <c r="J1303" i="3"/>
  <c r="J1333" i="3"/>
  <c r="J1340" i="3"/>
  <c r="J1361" i="3"/>
  <c r="J1372" i="3"/>
  <c r="J1241" i="3"/>
  <c r="J1252" i="3"/>
  <c r="J1263" i="3"/>
  <c r="J1290" i="3"/>
  <c r="J1292" i="3"/>
  <c r="J1298" i="3"/>
  <c r="J1305" i="3"/>
  <c r="J1304" i="3"/>
  <c r="J1359" i="3"/>
  <c r="J1362" i="3"/>
  <c r="J1244" i="3"/>
  <c r="J1253" i="3"/>
  <c r="J1284" i="3"/>
  <c r="J1309" i="3"/>
  <c r="J1311" i="3"/>
  <c r="J1327" i="3"/>
  <c r="J1352" i="3"/>
  <c r="J1238" i="3"/>
  <c r="J1246" i="3"/>
  <c r="J1226" i="3"/>
  <c r="J1239" i="3"/>
  <c r="J1235" i="3"/>
  <c r="J1229" i="3"/>
  <c r="J1232" i="3"/>
  <c r="J1223" i="3"/>
  <c r="J1231" i="3"/>
  <c r="J1230" i="3"/>
  <c r="J1237" i="3"/>
  <c r="J1234" i="3"/>
  <c r="J1233" i="3"/>
  <c r="J1236" i="3"/>
  <c r="J1443" i="3"/>
  <c r="J2209" i="3"/>
  <c r="J1459" i="3"/>
  <c r="J1462" i="3"/>
  <c r="J1463" i="3"/>
  <c r="J1467" i="3"/>
  <c r="J1468" i="3"/>
  <c r="J1446" i="3"/>
  <c r="J1454" i="3"/>
  <c r="J1455" i="3"/>
  <c r="J1458" i="3"/>
  <c r="J2040" i="3"/>
  <c r="J2106" i="3"/>
  <c r="J2017" i="3"/>
  <c r="J2080" i="3"/>
  <c r="J2019" i="3"/>
  <c r="J2099" i="3"/>
  <c r="J2096" i="3"/>
  <c r="J2028" i="3"/>
  <c r="J2110" i="3"/>
  <c r="J2107" i="3"/>
  <c r="J2045" i="3"/>
  <c r="J2109" i="3"/>
  <c r="J2021" i="3"/>
  <c r="J2030" i="3"/>
  <c r="J2097" i="3"/>
  <c r="J2025" i="3"/>
  <c r="J2024" i="3"/>
  <c r="J2104" i="3"/>
  <c r="J2091" i="3"/>
  <c r="J2090" i="3"/>
  <c r="J2092" i="3"/>
  <c r="J2050" i="3"/>
  <c r="J2049" i="3"/>
  <c r="J2083" i="3"/>
  <c r="J2100" i="3"/>
  <c r="J2029" i="3"/>
  <c r="J2079" i="3"/>
  <c r="J2094" i="3"/>
  <c r="J2023" i="3"/>
  <c r="J2020" i="3"/>
  <c r="J2102" i="3"/>
  <c r="J2108" i="3"/>
  <c r="J2022" i="3"/>
  <c r="J2098" i="3"/>
  <c r="J2082" i="3"/>
  <c r="J2103" i="3"/>
  <c r="J2065" i="3"/>
  <c r="J2041" i="3"/>
  <c r="J2047" i="3"/>
  <c r="J2081" i="3"/>
  <c r="J2086" i="3"/>
  <c r="J2101" i="3"/>
  <c r="J2088" i="3"/>
  <c r="J2089" i="3"/>
  <c r="J2128" i="3"/>
  <c r="J2138" i="3"/>
  <c r="J2200" i="3"/>
  <c r="J1258" i="3"/>
  <c r="J2179" i="3"/>
  <c r="J2150" i="3"/>
  <c r="J2201" i="3"/>
  <c r="J2191" i="3"/>
  <c r="J2122" i="3"/>
  <c r="J2139" i="3"/>
  <c r="J2166" i="3"/>
  <c r="J2167" i="3"/>
  <c r="J2121" i="3"/>
  <c r="J2123" i="3"/>
  <c r="J2143" i="3"/>
  <c r="J2137" i="3"/>
  <c r="J2197" i="3"/>
  <c r="J2148" i="3"/>
  <c r="J2172" i="3"/>
  <c r="J2192" i="3"/>
  <c r="J2141" i="3"/>
  <c r="J2195" i="3"/>
  <c r="J2117" i="3"/>
  <c r="J2129" i="3"/>
  <c r="J2135" i="3"/>
  <c r="J2202" i="3"/>
  <c r="J2159" i="3"/>
  <c r="J2160" i="3"/>
  <c r="J2171" i="3"/>
  <c r="J2118" i="3"/>
  <c r="J2119" i="3"/>
  <c r="J2116" i="3"/>
  <c r="J2144" i="3"/>
  <c r="J2155" i="3"/>
  <c r="J2165" i="3"/>
  <c r="J2127" i="3"/>
  <c r="J2132" i="3"/>
  <c r="J2203" i="3"/>
  <c r="J2126" i="3"/>
  <c r="J2133" i="3"/>
  <c r="J2169" i="3"/>
  <c r="J2180" i="3"/>
  <c r="J2134" i="3"/>
  <c r="J2187" i="3"/>
  <c r="J2188" i="3"/>
  <c r="J2186" i="3"/>
  <c r="J2154" i="3"/>
  <c r="J2185" i="3"/>
  <c r="J2153" i="3"/>
  <c r="J2152" i="3"/>
  <c r="J2189" i="3"/>
  <c r="J2177" i="3"/>
  <c r="J2145" i="3"/>
  <c r="J2161" i="3"/>
  <c r="J2174" i="3"/>
  <c r="J2175" i="3"/>
  <c r="J2181" i="3"/>
  <c r="J2193" i="3"/>
  <c r="J2120" i="3"/>
  <c r="J2140" i="3"/>
  <c r="J2163" i="3"/>
  <c r="J2170" i="3"/>
  <c r="J1374" i="3"/>
  <c r="J2204" i="3"/>
  <c r="J2205" i="3"/>
  <c r="J2206" i="3"/>
  <c r="J2207" i="3"/>
  <c r="J1336" i="3"/>
  <c r="J2111" i="3"/>
  <c r="J2149" i="3"/>
  <c r="J2113" i="3"/>
  <c r="J2124" i="3"/>
  <c r="J2151" i="3"/>
  <c r="J2114" i="3"/>
  <c r="J2125" i="3"/>
  <c r="J2112" i="3"/>
  <c r="J2142" i="3"/>
  <c r="J2228" i="3"/>
  <c r="J2218" i="3"/>
  <c r="J2266" i="3"/>
  <c r="J2224" i="3"/>
  <c r="J2225" i="3"/>
  <c r="J2222" i="3"/>
  <c r="J2223" i="3"/>
  <c r="J2226" i="3"/>
  <c r="J2229" i="3"/>
  <c r="J2213" i="3"/>
  <c r="J2259" i="3"/>
  <c r="J2214" i="3"/>
  <c r="J2221" i="3"/>
  <c r="J2262" i="3"/>
  <c r="J2265" i="3"/>
  <c r="J2267" i="3"/>
  <c r="J2215" i="3"/>
  <c r="J2269" i="3"/>
  <c r="J2236" i="3"/>
  <c r="J2233" i="3"/>
  <c r="J2247" i="3"/>
  <c r="J2272" i="3"/>
  <c r="J2216" i="3"/>
  <c r="J2263" i="3"/>
  <c r="J2275" i="3"/>
  <c r="J2217" i="3"/>
  <c r="J2219" i="3"/>
  <c r="J2264" i="3"/>
  <c r="J2261" i="3"/>
  <c r="J2234" i="3"/>
  <c r="J2242" i="3"/>
  <c r="J2270" i="3"/>
  <c r="J2246" i="3"/>
  <c r="J2252" i="3"/>
  <c r="J2235" i="3"/>
  <c r="J2260" i="3"/>
  <c r="J2274" i="3"/>
  <c r="J2238" i="3"/>
  <c r="J2248" i="3"/>
  <c r="J2253" i="3"/>
  <c r="J2271" i="3"/>
  <c r="J2230" i="3"/>
  <c r="J2232" i="3"/>
  <c r="J2245" i="3"/>
  <c r="J2220" i="3"/>
  <c r="J2227" i="3"/>
  <c r="J2251" i="3"/>
  <c r="J2268" i="3"/>
  <c r="J2241" i="3"/>
  <c r="J2243" i="3"/>
  <c r="J2250" i="3"/>
  <c r="J2237" i="3"/>
  <c r="J2231" i="3"/>
  <c r="J2254" i="3"/>
  <c r="J2255" i="3"/>
  <c r="J2257" i="3"/>
  <c r="J2276" i="3"/>
  <c r="J1946" i="3"/>
  <c r="J1923" i="3"/>
  <c r="J1974" i="3"/>
  <c r="J1953" i="3"/>
  <c r="J2011" i="3"/>
  <c r="J2014" i="3"/>
  <c r="J1890" i="3"/>
  <c r="J1878" i="3"/>
  <c r="J1984" i="3"/>
  <c r="J1920" i="3"/>
  <c r="J1952" i="3"/>
  <c r="J1983" i="3"/>
  <c r="J1985" i="3"/>
  <c r="J1970" i="3"/>
  <c r="J1936" i="3"/>
  <c r="J1988" i="3"/>
  <c r="J1995" i="3"/>
  <c r="J1971" i="3"/>
  <c r="J1951" i="3"/>
  <c r="J1931" i="3"/>
  <c r="I205" i="108"/>
  <c r="J1925" i="3"/>
  <c r="J1926" i="3"/>
  <c r="J1927" i="3"/>
  <c r="J1928" i="3"/>
  <c r="J1929" i="3"/>
  <c r="J1871" i="3"/>
  <c r="J1980" i="3"/>
  <c r="J1972" i="3"/>
  <c r="I234" i="108"/>
  <c r="J2001" i="3"/>
  <c r="J2016" i="3"/>
  <c r="J1872" i="3"/>
  <c r="J1873" i="3"/>
  <c r="J2005" i="3"/>
  <c r="I250" i="108"/>
  <c r="I268" i="108"/>
  <c r="J1932" i="3"/>
  <c r="J1935" i="3"/>
  <c r="J1940" i="3"/>
  <c r="J1963" i="3"/>
  <c r="J1967" i="3"/>
  <c r="J1996" i="3"/>
  <c r="J1999" i="3"/>
  <c r="J1987" i="3"/>
  <c r="J1919" i="3"/>
  <c r="I314" i="108"/>
  <c r="J1922" i="3"/>
  <c r="J1960" i="3"/>
  <c r="J1994" i="3"/>
  <c r="J757" i="3"/>
  <c r="I330" i="108"/>
  <c r="J1934" i="3"/>
  <c r="J1881" i="3"/>
  <c r="J1937" i="3"/>
  <c r="J2002" i="3"/>
  <c r="J1918" i="3"/>
  <c r="J1938" i="3"/>
  <c r="J1939" i="3"/>
  <c r="J1977" i="3"/>
  <c r="J2009" i="3"/>
  <c r="J1993" i="3"/>
  <c r="J1875" i="3"/>
  <c r="J1877" i="3"/>
  <c r="J1979" i="3"/>
  <c r="J1949" i="3"/>
  <c r="J1961" i="3"/>
  <c r="J1870" i="3"/>
  <c r="J1876" i="3"/>
  <c r="I443" i="108"/>
  <c r="J1880" i="3"/>
  <c r="J1989" i="3"/>
  <c r="J1921" i="3"/>
  <c r="J1879" i="3"/>
  <c r="J1945" i="3"/>
  <c r="J1976" i="3"/>
  <c r="J2015" i="3"/>
  <c r="J1950" i="3"/>
  <c r="J1924" i="3"/>
  <c r="J1998" i="3"/>
  <c r="J1966" i="3"/>
  <c r="J1969" i="3"/>
  <c r="J2003" i="3"/>
  <c r="J1917" i="3"/>
  <c r="I532" i="108"/>
  <c r="I552" i="108"/>
  <c r="J1889" i="3"/>
  <c r="I553" i="108"/>
  <c r="J1986" i="3"/>
  <c r="J1978" i="3"/>
  <c r="J1981" i="3"/>
  <c r="J1962" i="3"/>
  <c r="J1997" i="3"/>
  <c r="I576" i="108"/>
  <c r="J2006" i="3"/>
  <c r="J1990" i="3"/>
  <c r="J2007" i="3"/>
  <c r="J1947" i="3"/>
  <c r="J1965" i="3"/>
  <c r="J1948" i="3"/>
  <c r="J1973" i="3"/>
  <c r="J1941" i="3"/>
  <c r="I611" i="108"/>
  <c r="J1955" i="3"/>
  <c r="J1956" i="3"/>
  <c r="I609" i="108"/>
  <c r="I612" i="108"/>
  <c r="I610" i="108"/>
  <c r="J591" i="3"/>
  <c r="J599" i="3"/>
  <c r="J587" i="3"/>
  <c r="J584" i="3"/>
  <c r="J586" i="3"/>
  <c r="J598" i="3"/>
  <c r="J595" i="3"/>
  <c r="J592" i="3"/>
  <c r="J590" i="3"/>
  <c r="J593" i="3"/>
  <c r="J589" i="3"/>
  <c r="J594" i="3"/>
  <c r="J588" i="3"/>
  <c r="J597" i="3"/>
  <c r="J2283" i="3"/>
  <c r="J2282" i="3"/>
  <c r="J2284" i="3"/>
  <c r="J2291" i="3"/>
  <c r="J2285" i="3"/>
  <c r="J2286" i="3"/>
  <c r="J2287" i="3"/>
  <c r="J2288" i="3"/>
  <c r="J2290" i="3"/>
  <c r="J2292" i="3"/>
  <c r="J1520" i="3"/>
  <c r="J1627" i="3"/>
  <c r="J1626" i="3"/>
  <c r="J52" i="3"/>
  <c r="J2346" i="3"/>
  <c r="J2358" i="3"/>
  <c r="J2373" i="3"/>
  <c r="J2377" i="3"/>
  <c r="J2306" i="3"/>
  <c r="J2329" i="3"/>
  <c r="J2344" i="3"/>
  <c r="J2325" i="3"/>
  <c r="J2299" i="3"/>
  <c r="J2316" i="3"/>
  <c r="J2319" i="3"/>
  <c r="J2359" i="3"/>
  <c r="J2326" i="3"/>
  <c r="J2310" i="3"/>
  <c r="J2331" i="3"/>
  <c r="J2324" i="3"/>
  <c r="J2371" i="3"/>
  <c r="J2298" i="3"/>
  <c r="J2307" i="3"/>
  <c r="J2313" i="3"/>
  <c r="J2327" i="3"/>
  <c r="J2376" i="3"/>
  <c r="J2366" i="3"/>
  <c r="J2345" i="3"/>
  <c r="J2348" i="3"/>
  <c r="J2347" i="3"/>
  <c r="J2336" i="3"/>
  <c r="J2372" i="3"/>
  <c r="J2342" i="3"/>
  <c r="J2337" i="3"/>
  <c r="J2338" i="3"/>
  <c r="J2339" i="3"/>
  <c r="J2340" i="3"/>
  <c r="J2341" i="3"/>
  <c r="J2365" i="3"/>
  <c r="J2375" i="3"/>
  <c r="J2374" i="3"/>
  <c r="J2362" i="3"/>
  <c r="J2311" i="3"/>
  <c r="J2312" i="3"/>
  <c r="J2318" i="3"/>
  <c r="J2368" i="3"/>
  <c r="J2360" i="3"/>
  <c r="J2361" i="3"/>
  <c r="J2323" i="3"/>
  <c r="J2322" i="3"/>
  <c r="J2315" i="3"/>
  <c r="J2317" i="3"/>
  <c r="J2367" i="3"/>
  <c r="J2321" i="3"/>
  <c r="J2370" i="3"/>
  <c r="J2328" i="3"/>
  <c r="J2305" i="3"/>
  <c r="J2314" i="3"/>
  <c r="J2320" i="3"/>
  <c r="J2343" i="3"/>
  <c r="J2353" i="3"/>
  <c r="J2356" i="3"/>
  <c r="J2357" i="3"/>
  <c r="J2330" i="3"/>
  <c r="J2364" i="3"/>
  <c r="J2363" i="3"/>
  <c r="J2369" i="3"/>
  <c r="J2355" i="3"/>
  <c r="J2302" i="3"/>
  <c r="J2349" i="3"/>
  <c r="J2350" i="3"/>
  <c r="J2351" i="3"/>
  <c r="J2352" i="3"/>
  <c r="J2383" i="3"/>
  <c r="J2393" i="3"/>
  <c r="J2394" i="3"/>
  <c r="J2395" i="3"/>
  <c r="J2384" i="3"/>
  <c r="J2381" i="3"/>
  <c r="J2380" i="3"/>
  <c r="J2382" i="3"/>
  <c r="J2386" i="3"/>
  <c r="J2388" i="3"/>
  <c r="J2387" i="3"/>
  <c r="J1460" i="3"/>
  <c r="J2396" i="3"/>
  <c r="J2390" i="3"/>
  <c r="J2391" i="3"/>
  <c r="J2392" i="3"/>
  <c r="J1448" i="3"/>
  <c r="J1447" i="3"/>
  <c r="J1407" i="3"/>
  <c r="J1377" i="3"/>
  <c r="J1383" i="3"/>
  <c r="J1378" i="3"/>
  <c r="J1581" i="3"/>
  <c r="J871" i="3"/>
  <c r="J1689" i="3"/>
  <c r="J48" i="3"/>
  <c r="J2406" i="3"/>
  <c r="J2407" i="3"/>
  <c r="J875" i="3"/>
  <c r="J54" i="3"/>
  <c r="J2418" i="3"/>
  <c r="J1481" i="3"/>
  <c r="J1482" i="3"/>
  <c r="J2419" i="3"/>
  <c r="J2420" i="3"/>
  <c r="J1611" i="3"/>
  <c r="J1619" i="3"/>
  <c r="J1480" i="3"/>
  <c r="J506" i="3"/>
  <c r="J2429" i="3"/>
  <c r="J1484" i="3"/>
  <c r="J133" i="108" l="1"/>
  <c r="J112" i="108"/>
  <c r="J108" i="108"/>
  <c r="J103" i="108"/>
  <c r="J99" i="108"/>
  <c r="J95" i="108"/>
  <c r="J91" i="108"/>
  <c r="J87" i="108"/>
  <c r="J82" i="108"/>
  <c r="J79" i="108"/>
  <c r="J72" i="108"/>
  <c r="J71" i="108"/>
  <c r="J67" i="108"/>
  <c r="J63" i="108"/>
  <c r="J59" i="108"/>
  <c r="J54" i="108"/>
  <c r="J51" i="108"/>
  <c r="J47" i="108"/>
  <c r="J43" i="108"/>
  <c r="J39" i="108"/>
  <c r="J31" i="108"/>
  <c r="J27" i="108"/>
  <c r="J19" i="108"/>
  <c r="J15" i="108"/>
  <c r="J11" i="108"/>
  <c r="J7" i="108"/>
  <c r="J3" i="108"/>
  <c r="J132" i="108"/>
  <c r="J111" i="108"/>
  <c r="J107" i="108"/>
  <c r="J102" i="108"/>
  <c r="J98" i="108"/>
  <c r="J93" i="108"/>
  <c r="J90" i="108"/>
  <c r="J86" i="108"/>
  <c r="J81" i="108"/>
  <c r="J78" i="108"/>
  <c r="J75" i="108"/>
  <c r="J69" i="108"/>
  <c r="J66" i="108"/>
  <c r="J62" i="108"/>
  <c r="J57" i="108"/>
  <c r="J58" i="108"/>
  <c r="J50" i="108"/>
  <c r="J46" i="108"/>
  <c r="J42" i="108"/>
  <c r="J38" i="108"/>
  <c r="J30" i="108"/>
  <c r="J25" i="108"/>
  <c r="J26" i="108"/>
  <c r="J14" i="108"/>
  <c r="J10" i="108"/>
  <c r="J6" i="108"/>
  <c r="J136" i="108"/>
  <c r="J131" i="108"/>
  <c r="J110" i="108"/>
  <c r="J106" i="108"/>
  <c r="J101" i="108"/>
  <c r="J97" i="108"/>
  <c r="J92" i="108"/>
  <c r="J89" i="108"/>
  <c r="J85" i="108"/>
  <c r="J80" i="108"/>
  <c r="J77" i="108"/>
  <c r="J74" i="108"/>
  <c r="J70" i="108"/>
  <c r="J65" i="108"/>
  <c r="J61" i="108"/>
  <c r="J56" i="108"/>
  <c r="J53" i="108"/>
  <c r="J49" i="108"/>
  <c r="J45" i="108"/>
  <c r="J41" i="108"/>
  <c r="J33" i="108"/>
  <c r="J29" i="108"/>
  <c r="J21" i="108"/>
  <c r="J17" i="108"/>
  <c r="J13" i="108"/>
  <c r="J9" i="108"/>
  <c r="J5" i="108"/>
  <c r="J137" i="108"/>
  <c r="J134" i="108"/>
  <c r="J113" i="108"/>
  <c r="J109" i="108"/>
  <c r="J105" i="108"/>
  <c r="J100" i="108"/>
  <c r="J96" i="108"/>
  <c r="J94" i="108"/>
  <c r="J88" i="108"/>
  <c r="J84" i="108"/>
  <c r="J83" i="108"/>
  <c r="J76" i="108"/>
  <c r="J73" i="108"/>
  <c r="J68" i="108"/>
  <c r="J64" i="108"/>
  <c r="J60" i="108"/>
  <c r="J55" i="108"/>
  <c r="J52" i="108"/>
  <c r="J48" i="108"/>
  <c r="J44" i="108"/>
  <c r="J40" i="108"/>
  <c r="J32" i="108"/>
  <c r="J28" i="108"/>
  <c r="J20" i="108"/>
  <c r="J16" i="108"/>
  <c r="J12" i="108"/>
  <c r="J8" i="108"/>
  <c r="J4" i="108"/>
  <c r="I212" i="108"/>
  <c r="I41" i="108"/>
  <c r="I74" i="108"/>
  <c r="I214" i="108"/>
  <c r="I35" i="108"/>
  <c r="I59" i="108"/>
  <c r="I83" i="108"/>
  <c r="I261" i="108"/>
  <c r="I260" i="108"/>
  <c r="I225" i="108"/>
  <c r="I195" i="108"/>
  <c r="I197" i="108"/>
  <c r="I196" i="108"/>
  <c r="I125" i="108"/>
  <c r="I63" i="108"/>
  <c r="I66" i="108"/>
  <c r="I243" i="108"/>
  <c r="I116" i="108"/>
  <c r="I235" i="108"/>
  <c r="I236" i="108"/>
  <c r="I238" i="108"/>
  <c r="I31" i="108"/>
  <c r="I95" i="108"/>
  <c r="I99" i="108"/>
  <c r="I189" i="108"/>
  <c r="I188" i="108"/>
  <c r="I166" i="108"/>
  <c r="I174" i="108"/>
  <c r="I173" i="108"/>
  <c r="I30" i="108"/>
  <c r="I161" i="108"/>
  <c r="I148" i="108"/>
  <c r="I158" i="108"/>
  <c r="I135" i="108"/>
  <c r="I159" i="108"/>
  <c r="I160" i="108"/>
  <c r="I151" i="108"/>
  <c r="I147" i="108"/>
  <c r="I18" i="108"/>
  <c r="I123" i="108"/>
  <c r="I86" i="108"/>
  <c r="I340" i="108"/>
  <c r="I591" i="108"/>
  <c r="I200" i="108"/>
  <c r="I338" i="108"/>
  <c r="I302" i="108"/>
  <c r="I620" i="108"/>
  <c r="I357" i="108"/>
  <c r="I527" i="108"/>
  <c r="I511" i="108"/>
  <c r="I512" i="108"/>
  <c r="I356" i="108"/>
  <c r="I282" i="108"/>
  <c r="I281" i="108"/>
  <c r="I280" i="108"/>
  <c r="I279" i="108"/>
  <c r="I227" i="108"/>
  <c r="I571" i="108"/>
  <c r="I570" i="108"/>
  <c r="I569" i="108"/>
  <c r="I510" i="108"/>
  <c r="I509" i="108"/>
  <c r="I493" i="108"/>
  <c r="I452" i="108"/>
  <c r="I412" i="108"/>
  <c r="I413" i="108"/>
  <c r="I411" i="108"/>
  <c r="I410" i="108"/>
  <c r="I409" i="108"/>
  <c r="I177" i="108"/>
  <c r="I102" i="108"/>
  <c r="I101" i="108"/>
  <c r="I81" i="108"/>
  <c r="I61" i="108"/>
  <c r="I60" i="108"/>
  <c r="I21" i="108"/>
  <c r="I22" i="108"/>
  <c r="I20" i="108"/>
  <c r="I451" i="108"/>
  <c r="I551" i="108"/>
  <c r="I533" i="108"/>
  <c r="I518" i="108"/>
  <c r="I465" i="108"/>
  <c r="I315" i="108"/>
  <c r="I317" i="108"/>
  <c r="I316" i="108"/>
  <c r="I275" i="108"/>
  <c r="I270" i="108"/>
  <c r="I210" i="108"/>
  <c r="I209" i="108"/>
  <c r="I208" i="108"/>
  <c r="I207" i="108"/>
  <c r="I206" i="108"/>
  <c r="I211" i="108"/>
  <c r="I134" i="108"/>
  <c r="I115" i="108"/>
  <c r="I29" i="108"/>
  <c r="I618" i="108"/>
  <c r="I581" i="108"/>
  <c r="I583" i="108"/>
  <c r="I582" i="108"/>
  <c r="I562" i="108"/>
  <c r="I561" i="108"/>
  <c r="I563" i="108"/>
  <c r="I524" i="108"/>
  <c r="I505" i="108"/>
  <c r="I489" i="108"/>
  <c r="I387" i="108"/>
  <c r="I370" i="108"/>
  <c r="I369" i="108"/>
  <c r="I353" i="108"/>
  <c r="I352" i="108"/>
  <c r="I351" i="108"/>
  <c r="I350" i="108"/>
  <c r="I334" i="108"/>
  <c r="I335" i="108"/>
  <c r="I324" i="108"/>
  <c r="I323" i="108"/>
  <c r="I299" i="108"/>
  <c r="I278" i="108"/>
  <c r="I255" i="108"/>
  <c r="I223" i="108"/>
  <c r="I222" i="108"/>
  <c r="I221" i="108"/>
  <c r="I220" i="108"/>
  <c r="I219" i="108"/>
  <c r="I218" i="108"/>
  <c r="I217" i="108"/>
  <c r="I216" i="108"/>
  <c r="I215" i="108"/>
  <c r="I192" i="108"/>
  <c r="I169" i="108"/>
  <c r="I121" i="108"/>
  <c r="I76" i="108"/>
  <c r="I75" i="108"/>
  <c r="I77" i="108"/>
  <c r="I56" i="108"/>
  <c r="I16" i="108"/>
  <c r="I560" i="108"/>
  <c r="I386" i="108"/>
  <c r="I191" i="108"/>
  <c r="I190" i="108"/>
  <c r="I168" i="108"/>
  <c r="I592" i="108"/>
  <c r="I593" i="108"/>
  <c r="I573" i="108"/>
  <c r="I572" i="108"/>
  <c r="I543" i="108"/>
  <c r="I542" i="108"/>
  <c r="I529" i="108"/>
  <c r="I528" i="108"/>
  <c r="I513" i="108"/>
  <c r="I494" i="108"/>
  <c r="I475" i="108"/>
  <c r="I453" i="108"/>
  <c r="I415" i="108"/>
  <c r="I377" i="108"/>
  <c r="I358" i="108"/>
  <c r="I339" i="108"/>
  <c r="I308" i="108"/>
  <c r="I263" i="108"/>
  <c r="I240" i="108"/>
  <c r="I239" i="108"/>
  <c r="I229" i="108"/>
  <c r="I179" i="108"/>
  <c r="I156" i="108"/>
  <c r="I127" i="108"/>
  <c r="I128" i="108"/>
  <c r="I105" i="108"/>
  <c r="I106" i="108"/>
  <c r="I25" i="108"/>
  <c r="I23" i="108"/>
  <c r="I24" i="108"/>
  <c r="I262" i="108"/>
  <c r="I603" i="108"/>
  <c r="I602" i="108"/>
  <c r="I580" i="108"/>
  <c r="I523" i="108"/>
  <c r="I504" i="108"/>
  <c r="I425" i="108"/>
  <c r="I385" i="108"/>
  <c r="I368" i="108"/>
  <c r="I332" i="108"/>
  <c r="I252" i="108"/>
  <c r="I141" i="108"/>
  <c r="I119" i="108"/>
  <c r="I118" i="108"/>
  <c r="I117" i="108"/>
  <c r="I120" i="108"/>
  <c r="I71" i="108"/>
  <c r="I72" i="108"/>
  <c r="I37" i="108"/>
  <c r="I36" i="108"/>
  <c r="I596" i="108"/>
  <c r="I595" i="108"/>
  <c r="I597" i="108"/>
  <c r="I501" i="108"/>
  <c r="I500" i="108"/>
  <c r="I486" i="108"/>
  <c r="I485" i="108"/>
  <c r="I484" i="108"/>
  <c r="I483" i="108"/>
  <c r="I482" i="108"/>
  <c r="I481" i="108"/>
  <c r="I480" i="108"/>
  <c r="I479" i="108"/>
  <c r="I460" i="108"/>
  <c r="I464" i="108"/>
  <c r="I463" i="108"/>
  <c r="I462" i="108"/>
  <c r="I461" i="108"/>
  <c r="I442" i="108"/>
  <c r="I441" i="108"/>
  <c r="I440" i="108"/>
  <c r="I439" i="108"/>
  <c r="I421" i="108"/>
  <c r="I403" i="108"/>
  <c r="I402" i="108"/>
  <c r="I401" i="108"/>
  <c r="I400" i="108"/>
  <c r="I383" i="108"/>
  <c r="I364" i="108"/>
  <c r="I348" i="108"/>
  <c r="I347" i="108"/>
  <c r="I346" i="108"/>
  <c r="I345" i="108"/>
  <c r="I329" i="108"/>
  <c r="I328" i="108"/>
  <c r="I327" i="108"/>
  <c r="I326" i="108"/>
  <c r="I293" i="108"/>
  <c r="I292" i="108"/>
  <c r="I291" i="108"/>
  <c r="I290" i="108"/>
  <c r="I289" i="108"/>
  <c r="I295" i="108"/>
  <c r="I294" i="108"/>
  <c r="I186" i="108"/>
  <c r="I164" i="108"/>
  <c r="I131" i="108"/>
  <c r="I114" i="108"/>
  <c r="I52" i="108"/>
  <c r="I13" i="108"/>
  <c r="I12" i="108"/>
  <c r="I11" i="108"/>
  <c r="I10" i="108"/>
  <c r="I9" i="108"/>
  <c r="I8" i="108"/>
  <c r="I14" i="108"/>
  <c r="I619" i="108"/>
  <c r="I408" i="108"/>
  <c r="I150" i="108"/>
  <c r="I149" i="108"/>
  <c r="I306" i="108"/>
  <c r="I79" i="108"/>
  <c r="I228" i="108"/>
  <c r="I155" i="108"/>
  <c r="I104" i="108"/>
  <c r="I42" i="108"/>
  <c r="I44" i="108"/>
  <c r="I45" i="108"/>
  <c r="I568" i="108"/>
  <c r="I126" i="108"/>
  <c r="I283" i="108"/>
  <c r="I417" i="108"/>
  <c r="I94" i="108"/>
  <c r="I392" i="108"/>
  <c r="I476" i="108"/>
  <c r="I538" i="108"/>
  <c r="I488" i="108"/>
  <c r="I468" i="108"/>
  <c r="I469" i="108"/>
  <c r="I55" i="108"/>
  <c r="I54" i="108"/>
  <c r="I277" i="108"/>
  <c r="I142" i="108"/>
  <c r="I143" i="108"/>
  <c r="I606" i="108"/>
  <c r="I477" i="108"/>
  <c r="I396" i="108"/>
  <c r="I230" i="108"/>
  <c r="I180" i="108"/>
  <c r="I129" i="108"/>
  <c r="I82" i="108"/>
  <c r="I46" i="108"/>
  <c r="I546" i="108"/>
  <c r="I545" i="108"/>
  <c r="I394" i="108"/>
  <c r="I307" i="108"/>
  <c r="I305" i="108"/>
  <c r="I547" i="108"/>
  <c r="I393" i="108"/>
  <c r="I303" i="108"/>
  <c r="I284" i="108"/>
  <c r="I276" i="108"/>
  <c r="I251" i="108"/>
  <c r="I615" i="108"/>
  <c r="I539" i="108"/>
  <c r="I585" i="108"/>
  <c r="I584" i="108"/>
  <c r="I566" i="108"/>
  <c r="I565" i="108"/>
  <c r="I564" i="108"/>
  <c r="I491" i="108"/>
  <c r="I490" i="108"/>
  <c r="I428" i="108"/>
  <c r="I427" i="108"/>
  <c r="I373" i="108"/>
  <c r="I224" i="108"/>
  <c r="I90" i="108"/>
  <c r="I39" i="108"/>
  <c r="I17" i="108"/>
  <c r="I448" i="108"/>
  <c r="I447" i="108"/>
  <c r="I375" i="108"/>
  <c r="I359" i="108"/>
  <c r="I354" i="108"/>
  <c r="I429" i="108"/>
  <c r="I145" i="108"/>
  <c r="I507" i="108"/>
  <c r="I514" i="108"/>
  <c r="I525" i="108"/>
  <c r="I506" i="108"/>
  <c r="I445" i="108"/>
  <c r="I405" i="108"/>
  <c r="I372" i="108"/>
  <c r="I371" i="108"/>
  <c r="I337" i="108"/>
  <c r="I336" i="108"/>
  <c r="I341" i="108"/>
  <c r="I471" i="108"/>
  <c r="I406" i="108"/>
  <c r="I388" i="108"/>
  <c r="I58" i="108"/>
  <c r="I57" i="108"/>
  <c r="I89" i="108"/>
  <c r="I604" i="108"/>
  <c r="I473" i="108"/>
  <c r="I449" i="108"/>
  <c r="I608" i="108"/>
  <c r="I594" i="108"/>
  <c r="I574" i="108"/>
  <c r="I550" i="108"/>
  <c r="I549" i="108"/>
  <c r="I548" i="108"/>
  <c r="I531" i="108"/>
  <c r="I530" i="108"/>
  <c r="I517" i="108"/>
  <c r="I515" i="108"/>
  <c r="I498" i="108"/>
  <c r="I497" i="108"/>
  <c r="I478" i="108"/>
  <c r="I459" i="108"/>
  <c r="I458" i="108"/>
  <c r="I457" i="108"/>
  <c r="I456" i="108"/>
  <c r="I455" i="108"/>
  <c r="I438" i="108"/>
  <c r="I437" i="108"/>
  <c r="I436" i="108"/>
  <c r="I420" i="108"/>
  <c r="I419" i="108"/>
  <c r="I418" i="108"/>
  <c r="I399" i="108"/>
  <c r="I398" i="108"/>
  <c r="I397" i="108"/>
  <c r="I381" i="108"/>
  <c r="I380" i="108"/>
  <c r="I379" i="108"/>
  <c r="I378" i="108"/>
  <c r="I363" i="108"/>
  <c r="I362" i="108"/>
  <c r="I361" i="108"/>
  <c r="I342" i="108"/>
  <c r="I360" i="108"/>
  <c r="I344" i="108"/>
  <c r="I343" i="108"/>
  <c r="I325" i="108"/>
  <c r="I313" i="108"/>
  <c r="I312" i="108"/>
  <c r="I311" i="108"/>
  <c r="I310" i="108"/>
  <c r="I309" i="108"/>
  <c r="I287" i="108"/>
  <c r="I286" i="108"/>
  <c r="I285" i="108"/>
  <c r="I267" i="108"/>
  <c r="I247" i="108"/>
  <c r="I266" i="108"/>
  <c r="I246" i="108"/>
  <c r="I242" i="108"/>
  <c r="I162" i="108"/>
  <c r="I130" i="108"/>
  <c r="I112" i="108"/>
  <c r="I111" i="108"/>
  <c r="I109" i="108"/>
  <c r="I84" i="108"/>
  <c r="I107" i="108"/>
  <c r="I50" i="108"/>
  <c r="I48" i="108"/>
  <c r="I47" i="108"/>
  <c r="I7" i="108"/>
  <c r="I4" i="108"/>
  <c r="I586" i="108"/>
  <c r="I389" i="108"/>
  <c r="I300" i="108"/>
  <c r="I617" i="108"/>
  <c r="I487" i="108"/>
  <c r="I333" i="108"/>
  <c r="I536" i="108"/>
  <c r="I426" i="108"/>
  <c r="I537" i="108"/>
  <c r="I575" i="108"/>
  <c r="I382" i="108"/>
  <c r="I288" i="108"/>
  <c r="I163" i="108"/>
  <c r="I470" i="108"/>
  <c r="I499" i="108"/>
  <c r="I454" i="108"/>
  <c r="I416" i="108"/>
  <c r="I414" i="108"/>
  <c r="I495" i="108"/>
  <c r="I496" i="108"/>
  <c r="I435" i="108"/>
  <c r="I433" i="108"/>
  <c r="I434" i="108"/>
  <c r="I53" i="108"/>
  <c r="I15" i="108"/>
  <c r="I133" i="108"/>
  <c r="I132" i="108"/>
  <c r="I97" i="108"/>
  <c r="I33" i="108"/>
  <c r="I80" i="108"/>
  <c r="I34" i="108"/>
  <c r="I40" i="108"/>
  <c r="I96" i="108"/>
  <c r="I137" i="108"/>
  <c r="I136" i="108"/>
  <c r="I374" i="108"/>
  <c r="I32" i="108"/>
  <c r="I124" i="108"/>
  <c r="I19" i="108"/>
  <c r="I93" i="108"/>
  <c r="I92" i="108"/>
  <c r="I91" i="108"/>
  <c r="I78" i="108"/>
  <c r="I140" i="108"/>
  <c r="I139" i="108"/>
  <c r="I98" i="108"/>
  <c r="I88" i="108"/>
  <c r="I49" i="108"/>
  <c r="I28" i="108"/>
  <c r="I27" i="108"/>
  <c r="I26" i="108"/>
  <c r="I6" i="108"/>
  <c r="I2" i="108"/>
  <c r="I122" i="108"/>
  <c r="I38" i="108"/>
  <c r="I43" i="108"/>
  <c r="I100" i="108"/>
  <c r="I85" i="108"/>
  <c r="I87" i="108"/>
  <c r="I237" i="108"/>
  <c r="I185" i="108"/>
  <c r="I153" i="108"/>
  <c r="I152" i="108"/>
  <c r="I154" i="108"/>
  <c r="I187" i="108"/>
  <c r="I103" i="108"/>
  <c r="I3" i="108"/>
  <c r="I254" i="108"/>
  <c r="I175" i="108"/>
  <c r="I5" i="108"/>
  <c r="I70" i="108"/>
  <c r="I73" i="108"/>
  <c r="I198" i="108"/>
  <c r="I253" i="108"/>
  <c r="I146" i="108"/>
  <c r="I138" i="108"/>
  <c r="I248" i="108"/>
  <c r="I233" i="108"/>
  <c r="I203" i="108"/>
  <c r="I184" i="108"/>
  <c r="I110" i="108"/>
  <c r="I65" i="108"/>
  <c r="I69" i="108"/>
  <c r="I157" i="108"/>
  <c r="I62" i="108"/>
  <c r="I264" i="108"/>
  <c r="I249" i="108"/>
  <c r="I176" i="108"/>
  <c r="I182" i="108"/>
  <c r="I181" i="108"/>
  <c r="I172" i="108"/>
  <c r="I194" i="108"/>
  <c r="I167" i="108"/>
  <c r="I193" i="108"/>
  <c r="I245" i="108"/>
  <c r="I232" i="108"/>
  <c r="I202" i="108"/>
  <c r="I113" i="108"/>
  <c r="I68" i="108"/>
  <c r="I64" i="108"/>
  <c r="I51" i="108"/>
  <c r="I258" i="108"/>
  <c r="I244" i="108"/>
  <c r="I259" i="108"/>
  <c r="I171" i="108"/>
  <c r="I170" i="108"/>
  <c r="I231" i="108"/>
  <c r="I201" i="108"/>
  <c r="I183" i="108"/>
  <c r="I108" i="108"/>
  <c r="I67" i="108"/>
  <c r="I226" i="108"/>
  <c r="I199" i="108"/>
  <c r="I165" i="108"/>
  <c r="I178" i="108"/>
  <c r="I256" i="108"/>
  <c r="I144" i="108"/>
  <c r="I265" i="108"/>
  <c r="I241" i="108"/>
  <c r="I204" i="108"/>
  <c r="I647" i="108"/>
</calcChain>
</file>

<file path=xl/sharedStrings.xml><?xml version="1.0" encoding="utf-8"?>
<sst xmlns="http://schemas.openxmlformats.org/spreadsheetml/2006/main" count="11827" uniqueCount="2968">
  <si>
    <t>sexism</t>
  </si>
  <si>
    <t>fight</t>
  </si>
  <si>
    <t>alien</t>
  </si>
  <si>
    <t>trope</t>
  </si>
  <si>
    <t>kirk</t>
  </si>
  <si>
    <t>spock</t>
  </si>
  <si>
    <t>scotty</t>
  </si>
  <si>
    <t>chekov</t>
  </si>
  <si>
    <t>mccoy</t>
  </si>
  <si>
    <t>Where No Man Has Gone Before</t>
  </si>
  <si>
    <t>The Corbomite Maneuver</t>
  </si>
  <si>
    <t>Charlie X</t>
  </si>
  <si>
    <t>Court Martial</t>
  </si>
  <si>
    <t>By Any Other Name</t>
  </si>
  <si>
    <t>The Man Trap</t>
  </si>
  <si>
    <t>ep_num</t>
  </si>
  <si>
    <t>ep_title</t>
  </si>
  <si>
    <t>What Are Little Girls Made Of?</t>
  </si>
  <si>
    <t>The Ultimate Computer</t>
  </si>
  <si>
    <t>The Naked Time</t>
  </si>
  <si>
    <t>Mudd's Women</t>
  </si>
  <si>
    <t>Shore Leave</t>
  </si>
  <si>
    <t>Arena</t>
  </si>
  <si>
    <t>The Changeling</t>
  </si>
  <si>
    <t>Mirror, Mirror</t>
  </si>
  <si>
    <t>The Apple</t>
  </si>
  <si>
    <t>Catspaw</t>
  </si>
  <si>
    <t>I, Mudd</t>
  </si>
  <si>
    <t>Metamorphosis</t>
  </si>
  <si>
    <t>The Immunity Syndrome</t>
  </si>
  <si>
    <t>The Omega Glory</t>
  </si>
  <si>
    <t>All Our Yesterdays</t>
  </si>
  <si>
    <t>The Doomsday Machine</t>
  </si>
  <si>
    <t>The Deadly Years</t>
  </si>
  <si>
    <t>Amok Time</t>
  </si>
  <si>
    <t>A Private Little War</t>
  </si>
  <si>
    <t>Space Seed</t>
  </si>
  <si>
    <t>The Alternative Factor</t>
  </si>
  <si>
    <t>The Enemy Within</t>
  </si>
  <si>
    <t>Miri</t>
  </si>
  <si>
    <t>The Galileo Seven</t>
  </si>
  <si>
    <t>Pike</t>
  </si>
  <si>
    <t>racism</t>
  </si>
  <si>
    <t>red</t>
  </si>
  <si>
    <t>Theiss Titillation Theory</t>
  </si>
  <si>
    <t>redshirt</t>
  </si>
  <si>
    <t>blueshirt</t>
  </si>
  <si>
    <t>The Conscience of the King</t>
  </si>
  <si>
    <t>The Squire of Gothos</t>
  </si>
  <si>
    <t>The City on the Edge of Forever</t>
  </si>
  <si>
    <t>Journey to Babel</t>
  </si>
  <si>
    <t>Errand of Mercy</t>
  </si>
  <si>
    <t>Balance of Terror</t>
  </si>
  <si>
    <t>A Taste of Armageddon</t>
  </si>
  <si>
    <t>This Side of Paradise</t>
  </si>
  <si>
    <t>The Cage</t>
  </si>
  <si>
    <t>goldshirt</t>
  </si>
  <si>
    <t>The Return of the Archons</t>
  </si>
  <si>
    <t>Patterns of Force</t>
  </si>
  <si>
    <t>The Devil in the Dark</t>
  </si>
  <si>
    <t>klingon</t>
  </si>
  <si>
    <t>Informed Attractiveness</t>
  </si>
  <si>
    <t>gang of hats</t>
  </si>
  <si>
    <t>kissing under the influence</t>
  </si>
  <si>
    <t>The Gamesters of Triskelion</t>
  </si>
  <si>
    <t>We give you one of your hours. If you do not surrender your ship at the end of that time, your destruction is certain.</t>
  </si>
  <si>
    <t>Did You Just Romance Cthulhu?</t>
  </si>
  <si>
    <t>hypo***</t>
  </si>
  <si>
    <t>death</t>
  </si>
  <si>
    <t>season</t>
  </si>
  <si>
    <t>episode</t>
  </si>
  <si>
    <t>Title</t>
  </si>
  <si>
    <t>Stardate[11]</t>
  </si>
  <si>
    <t>Original air date[2]</t>
  </si>
  <si>
    <t>September 8, 1966</t>
  </si>
  <si>
    <t>September 15, 1966</t>
  </si>
  <si>
    <t>September 22, 1966</t>
  </si>
  <si>
    <t>September 29, 1966</t>
  </si>
  <si>
    <t>October 6, 1966</t>
  </si>
  <si>
    <t>October 13, 1966</t>
  </si>
  <si>
    <t>October 20, 1966</t>
  </si>
  <si>
    <t>October 27, 1966</t>
  </si>
  <si>
    <t>Dagger of the Mind</t>
  </si>
  <si>
    <t>November 3, 1966</t>
  </si>
  <si>
    <t>November 10, 1966</t>
  </si>
  <si>
    <t>The Menagerie, Part I</t>
  </si>
  <si>
    <t>November 17, 1966</t>
  </si>
  <si>
    <t>The Menagerie, Part II</t>
  </si>
  <si>
    <t>November 24, 1966</t>
  </si>
  <si>
    <t>December 8, 1966</t>
  </si>
  <si>
    <t>December 15, 1966</t>
  </si>
  <si>
    <t>December 29, 1966</t>
  </si>
  <si>
    <t>January 5, 1967</t>
  </si>
  <si>
    <t>January 12, 1967</t>
  </si>
  <si>
    <t>January 19, 1967</t>
  </si>
  <si>
    <t>Tomorrow Is Yesterday</t>
  </si>
  <si>
    <t>January 26, 1967</t>
  </si>
  <si>
    <t>February 2, 1967</t>
  </si>
  <si>
    <t>February 9, 1967</t>
  </si>
  <si>
    <t>February 16, 1967</t>
  </si>
  <si>
    <t>February 23, 1967</t>
  </si>
  <si>
    <t>3417.3–3417.7</t>
  </si>
  <si>
    <t>March 2, 1967</t>
  </si>
  <si>
    <t>March 9, 1967</t>
  </si>
  <si>
    <t>March 23, 1967</t>
  </si>
  <si>
    <t>March 30, 1967</t>
  </si>
  <si>
    <t>April 6, 1967</t>
  </si>
  <si>
    <t>Operation: Annihilate!</t>
  </si>
  <si>
    <t>April 13, 1967</t>
  </si>
  <si>
    <t>September 15, 1967</t>
  </si>
  <si>
    <t>Who Mourns for Adonais?</t>
  </si>
  <si>
    <t>September 22, 1967</t>
  </si>
  <si>
    <t>September 29, 1967</t>
  </si>
  <si>
    <t>Unknown</t>
  </si>
  <si>
    <t>October 6, 1967</t>
  </si>
  <si>
    <t>October 13, 1967</t>
  </si>
  <si>
    <t>October 20, 1967</t>
  </si>
  <si>
    <t>October 27, 1967</t>
  </si>
  <si>
    <t>November 3, 1967</t>
  </si>
  <si>
    <t>November 10, 1967</t>
  </si>
  <si>
    <t>November 17, 1967</t>
  </si>
  <si>
    <t>December 1, 1967</t>
  </si>
  <si>
    <t>December 8, 1967</t>
  </si>
  <si>
    <t>December 15, 1967</t>
  </si>
  <si>
    <t>Wolf in the Fold</t>
  </si>
  <si>
    <t>December 22, 1967</t>
  </si>
  <si>
    <t>The Trouble with Tribbles</t>
  </si>
  <si>
    <t>December 29, 1967</t>
  </si>
  <si>
    <t>January 5, 1968</t>
  </si>
  <si>
    <t>A Piece of the Action</t>
  </si>
  <si>
    <t>January 12, 1968</t>
  </si>
  <si>
    <t>January 19, 1968</t>
  </si>
  <si>
    <t>February 2, 1968</t>
  </si>
  <si>
    <t>February 9, 1968</t>
  </si>
  <si>
    <t>February 16, 1968</t>
  </si>
  <si>
    <t>February 23, 1968</t>
  </si>
  <si>
    <t>March 1, 1968</t>
  </si>
  <si>
    <t>For the World Is Hollow and I Have Touched the Sky</t>
  </si>
  <si>
    <t>Requiem for Methuselah</t>
  </si>
  <si>
    <t>the dulcinea effect</t>
  </si>
  <si>
    <t>Hysterical Woman</t>
  </si>
  <si>
    <t>Sensible Heroes, Skimpy Villains</t>
  </si>
  <si>
    <t>Vanity Is Feminine</t>
  </si>
  <si>
    <t>love</t>
  </si>
  <si>
    <t>clothing</t>
  </si>
  <si>
    <t>science</t>
  </si>
  <si>
    <t>red-skirt</t>
  </si>
  <si>
    <t>Best Her to Bed Her</t>
  </si>
  <si>
    <t>Mayfly-December Romance</t>
  </si>
  <si>
    <t>telephone_operator</t>
  </si>
  <si>
    <t>tags</t>
  </si>
  <si>
    <t>psionics</t>
  </si>
  <si>
    <t>deus_ex…</t>
  </si>
  <si>
    <t>ending</t>
  </si>
  <si>
    <t>imposter accident</t>
  </si>
  <si>
    <t>weird</t>
  </si>
  <si>
    <t>Designated Girl Fight</t>
  </si>
  <si>
    <t>s</t>
  </si>
  <si>
    <t>e</t>
  </si>
  <si>
    <t>spokePos</t>
  </si>
  <si>
    <t>counter</t>
  </si>
  <si>
    <t>ref_num</t>
  </si>
  <si>
    <t>tag_num</t>
  </si>
  <si>
    <t>trope_num</t>
  </si>
  <si>
    <t>trope_detail</t>
  </si>
  <si>
    <t>Apollo wants the glory that was his when he reined over ancient Greece.</t>
  </si>
  <si>
    <t>Subverted: Vulcan is extremely hot and dry with very thin atmosphere.</t>
  </si>
  <si>
    <t>Kirk bluffs about the Corbomite Device.</t>
  </si>
  <si>
    <t>Evil-Kirk attempts to rape Yeoman Rand.</t>
  </si>
  <si>
    <t>Goof: Seven people transport up to six transporter pads.</t>
  </si>
  <si>
    <t>Thomas Leighton's widow, Martha, briefly clings to Kirk as she weeps.</t>
  </si>
  <si>
    <t>Kirk speaks about not wanting it to have ended like that. Maybe they could have gathered a few laurel leaves.</t>
  </si>
  <si>
    <t>Kirk, Chekov, and Uhura face two male and two female gladiators. Kirk and Chekov take one male each, while Uhura has to fight both women.</t>
  </si>
  <si>
    <t>Spock</t>
  </si>
  <si>
    <t>Uhura</t>
  </si>
  <si>
    <t>Yeoman Barrows rips uniform when attacked by Don Juan.</t>
  </si>
  <si>
    <t>Kirk calls Enterprise</t>
  </si>
  <si>
    <t>Kirk kills Edith Keeler by hugging not her but McCoy, thus stopping McCoy from pushing Edith Keeler out of the way of a car.</t>
  </si>
  <si>
    <t>Kirk rips shirt in fight with Lt. Finney.</t>
  </si>
  <si>
    <t>Lt. Carolyn Palamas must choose between Apollo and her duty. Early on, Bones even discussed the trope.</t>
  </si>
  <si>
    <t>Talosians</t>
  </si>
  <si>
    <t>Andrea is revealed to be an android.</t>
  </si>
  <si>
    <t>whichDotOnSpoke</t>
  </si>
  <si>
    <t>color</t>
  </si>
  <si>
    <t>March 8, 1968</t>
  </si>
  <si>
    <t>Bread and Circuses</t>
  </si>
  <si>
    <t>March 15, 1968</t>
  </si>
  <si>
    <t>Assignment: Earth</t>
  </si>
  <si>
    <t>March 29, 1968</t>
  </si>
  <si>
    <t>Spock's Brain</t>
  </si>
  <si>
    <t>September 20, 1968</t>
  </si>
  <si>
    <t>The Enterprise Incident</t>
  </si>
  <si>
    <t>September 27, 1968</t>
  </si>
  <si>
    <t>The Paradise Syndrome</t>
  </si>
  <si>
    <t>October 4, 1968</t>
  </si>
  <si>
    <t>And the Children Shall Lead</t>
  </si>
  <si>
    <t>October 11, 1968</t>
  </si>
  <si>
    <t>Is There in Truth No Beauty?</t>
  </si>
  <si>
    <t>October 18, 1968</t>
  </si>
  <si>
    <t>Spectre of the Gun</t>
  </si>
  <si>
    <t>October 25, 1968</t>
  </si>
  <si>
    <t>Day of the Dove</t>
  </si>
  <si>
    <t>November 1, 1968</t>
  </si>
  <si>
    <t>November 8, 1968</t>
  </si>
  <si>
    <t>The Tholian Web</t>
  </si>
  <si>
    <t>November 15, 1968</t>
  </si>
  <si>
    <t>Plato's Stepchildren</t>
  </si>
  <si>
    <t>November 22, 1968</t>
  </si>
  <si>
    <t>Wink of an Eye</t>
  </si>
  <si>
    <t>November 29, 1968</t>
  </si>
  <si>
    <t>The Empath</t>
  </si>
  <si>
    <t>December 6, 1968</t>
  </si>
  <si>
    <t>Elaan of Troyius</t>
  </si>
  <si>
    <t>December 20, 1968</t>
  </si>
  <si>
    <t>Whom Gods Destroy</t>
  </si>
  <si>
    <t>January 3, 1969</t>
  </si>
  <si>
    <t>Let That Be Your Last Battlefield</t>
  </si>
  <si>
    <t>January 10, 1969</t>
  </si>
  <si>
    <t>The Mark of Gideon</t>
  </si>
  <si>
    <t>January 17, 1969</t>
  </si>
  <si>
    <t>That Which Survives</t>
  </si>
  <si>
    <t>January 24, 1969</t>
  </si>
  <si>
    <t>The Lights of Zetar</t>
  </si>
  <si>
    <t>January 31, 1969</t>
  </si>
  <si>
    <t>February 14, 1969</t>
  </si>
  <si>
    <t>The Way to Eden</t>
  </si>
  <si>
    <t>February 21, 1969</t>
  </si>
  <si>
    <t>The Cloud Minders</t>
  </si>
  <si>
    <t>February 28, 1969</t>
  </si>
  <si>
    <t>The Savage Curtain</t>
  </si>
  <si>
    <t>March 7, 1969</t>
  </si>
  <si>
    <t>March 14, 1969</t>
  </si>
  <si>
    <t>Turnabout Intruder</t>
  </si>
  <si>
    <t>June 3, 1969</t>
  </si>
  <si>
    <t>A God I Am</t>
  </si>
  <si>
    <t>A.I. Is A Crapshoot</t>
  </si>
  <si>
    <t>Above The Influence</t>
  </si>
  <si>
    <t>Accidental Hug</t>
  </si>
  <si>
    <t>Air-Vent Passageway</t>
  </si>
  <si>
    <t>Alien Non-Interference Clause</t>
  </si>
  <si>
    <t>All Girls Want Bad Boys</t>
  </si>
  <si>
    <t>All Planets Are Earth-Like</t>
  </si>
  <si>
    <t>Almost Kiss</t>
  </si>
  <si>
    <t>Alternate Universe</t>
  </si>
  <si>
    <t>Anguished Declaration Of Love</t>
  </si>
  <si>
    <t>Ass Pull</t>
  </si>
  <si>
    <t>Attempted Rape</t>
  </si>
  <si>
    <t>Bad Science***</t>
  </si>
  <si>
    <t>Bamboo Technology</t>
  </si>
  <si>
    <t>Big Damn Kiss</t>
  </si>
  <si>
    <t>Bizarre Instrument</t>
  </si>
  <si>
    <t>Bizarre Weapon</t>
  </si>
  <si>
    <t>Black Dude Dies First</t>
  </si>
  <si>
    <t>Broken Tears</t>
  </si>
  <si>
    <t>Career Versus Man</t>
  </si>
  <si>
    <t>Casanova Wannabe</t>
  </si>
  <si>
    <t>Catch Phrase</t>
  </si>
  <si>
    <t>Chauvanistic Pig</t>
  </si>
  <si>
    <t>Clothing Damage</t>
  </si>
  <si>
    <t>Comm Link</t>
  </si>
  <si>
    <t>Communication Officer</t>
  </si>
  <si>
    <t>Cooldown Hug</t>
  </si>
  <si>
    <t>Cry Into Chest</t>
  </si>
  <si>
    <t>Data Pad</t>
  </si>
  <si>
    <t>Deadly Hug</t>
  </si>
  <si>
    <t>Deliberate Values Dissonance</t>
  </si>
  <si>
    <t>Deus Ex Machina</t>
  </si>
  <si>
    <t>Deus Ex Nukina</t>
  </si>
  <si>
    <t>Downer Ending</t>
  </si>
  <si>
    <t>Dress Up Episode</t>
  </si>
  <si>
    <t>Dying Race</t>
  </si>
  <si>
    <t>Energy Beings</t>
  </si>
  <si>
    <t>Enforced Cold War</t>
  </si>
  <si>
    <t>Everybody Laughs Ending</t>
  </si>
  <si>
    <t>Everybody Must Get Stoned</t>
  </si>
  <si>
    <t>Everything Sensor</t>
  </si>
  <si>
    <t>Explosive Instrumentation</t>
  </si>
  <si>
    <t>Explosive Overclocking</t>
  </si>
  <si>
    <t>Fake Love***</t>
  </si>
  <si>
    <t>Fantastic Racism</t>
  </si>
  <si>
    <t>Fascinating Eyebrow</t>
  </si>
  <si>
    <t>Females Are More Innocent</t>
  </si>
  <si>
    <t>Feminine Women Can Cook</t>
  </si>
  <si>
    <t>Femme Fatale</t>
  </si>
  <si>
    <t>Forced Prize Fight</t>
  </si>
  <si>
    <t>Freudian Trio</t>
  </si>
  <si>
    <t>Getting Crap Past The Radar</t>
  </si>
  <si>
    <t>Girl Of The Week</t>
  </si>
  <si>
    <t>Go Seduce My Archnemesis</t>
  </si>
  <si>
    <t>Grand Romantic Gesture</t>
  </si>
  <si>
    <t>Green-Skinned Space Babe</t>
  </si>
  <si>
    <t>Gun***</t>
  </si>
  <si>
    <t>Hello, Nurse</t>
  </si>
  <si>
    <t>Holding Hands</t>
  </si>
  <si>
    <t>Hollywood Kiss</t>
  </si>
  <si>
    <t>Hollywood Science</t>
  </si>
  <si>
    <t>Hot Scientist</t>
  </si>
  <si>
    <t>I Need A Freaking Drink</t>
  </si>
  <si>
    <t>In The Original Klingon</t>
  </si>
  <si>
    <t>Instant Sedation</t>
  </si>
  <si>
    <t>Kirk Summation</t>
  </si>
  <si>
    <t>Kissing Under The Influence</t>
  </si>
  <si>
    <t>Last Of His Kind</t>
  </si>
  <si>
    <t>Little Green Man In A Can</t>
  </si>
  <si>
    <t>Logic Bomb</t>
  </si>
  <si>
    <t>Lotus-Eater Machine</t>
  </si>
  <si>
    <t>Love Is In The Air</t>
  </si>
  <si>
    <t>Love Potion</t>
  </si>
  <si>
    <t>Magic Antidote</t>
  </si>
  <si>
    <t>Magic Feather</t>
  </si>
  <si>
    <t>Male Gaze</t>
  </si>
  <si>
    <t>Matriarchy</t>
  </si>
  <si>
    <t>Men Act, Women Are</t>
  </si>
  <si>
    <t>Mental Fusion</t>
  </si>
  <si>
    <t>Million-To-One Chance</t>
  </si>
  <si>
    <t>Mundane Utility</t>
  </si>
  <si>
    <t>Music***</t>
  </si>
  <si>
    <t>Music-Sing***</t>
  </si>
  <si>
    <t>Negative Space Wedgie</t>
  </si>
  <si>
    <t>New Old Flame</t>
  </si>
  <si>
    <t>Nipple And Dimed</t>
  </si>
  <si>
    <t>Non-Human Lover Revealed</t>
  </si>
  <si>
    <t>Old Job***</t>
  </si>
  <si>
    <t>Only Mostly Dead</t>
  </si>
  <si>
    <t>Panty Shot</t>
  </si>
  <si>
    <t>Parent Ex Machina</t>
  </si>
  <si>
    <t>Plague</t>
  </si>
  <si>
    <t>Portal Door</t>
  </si>
  <si>
    <t>Pressure Point</t>
  </si>
  <si>
    <t>Psychic Powers</t>
  </si>
  <si>
    <t>Put On The Bus</t>
  </si>
  <si>
    <t>Quickly Demoted Woman</t>
  </si>
  <si>
    <t>Ray Gun</t>
  </si>
  <si>
    <t>Red Alert</t>
  </si>
  <si>
    <t>Redshirt</t>
  </si>
  <si>
    <t>Retroirony</t>
  </si>
  <si>
    <t>Reunion Kiss</t>
  </si>
  <si>
    <t>Robosexual</t>
  </si>
  <si>
    <t>Robot Girl</t>
  </si>
  <si>
    <t>Ruins For Ruins Sake</t>
  </si>
  <si>
    <t>Screw The Rules</t>
  </si>
  <si>
    <t>Security Cling</t>
  </si>
  <si>
    <t>Self-Destruct Mechanism</t>
  </si>
  <si>
    <t>Sexy Backless Outfit</t>
  </si>
  <si>
    <t>Shirtless Scene</t>
  </si>
  <si>
    <t>Slipping A Mickey</t>
  </si>
  <si>
    <t>Smart People Play Chess</t>
  </si>
  <si>
    <t>Spoiled Brat</t>
  </si>
  <si>
    <t>Spot The Imposter</t>
  </si>
  <si>
    <t>Stalker With A Crush</t>
  </si>
  <si>
    <t>Straw Vulcan</t>
  </si>
  <si>
    <t>Sufficiently Advanced Aliens</t>
  </si>
  <si>
    <t>Taking The Bullet</t>
  </si>
  <si>
    <t>Tears Of Remorse</t>
  </si>
  <si>
    <t>Technicolor Science</t>
  </si>
  <si>
    <t>Technobabble</t>
  </si>
  <si>
    <t>Teleporters And Transporters</t>
  </si>
  <si>
    <t>The Casanova</t>
  </si>
  <si>
    <t>The Medic</t>
  </si>
  <si>
    <t>The Smurfette Principle</t>
  </si>
  <si>
    <t>The Talk</t>
  </si>
  <si>
    <t>True Love Is Exceptional</t>
  </si>
  <si>
    <t>Two Of Your Earth Minutes</t>
  </si>
  <si>
    <t>Unobtainium</t>
  </si>
  <si>
    <t>Unresolved Sexual Tension</t>
  </si>
  <si>
    <t>Values Dissonance</t>
  </si>
  <si>
    <t>Wave Motion Gun</t>
  </si>
  <si>
    <t>Wham Line</t>
  </si>
  <si>
    <t>What Happened To The Mouse</t>
  </si>
  <si>
    <t>Women Are Delicate</t>
  </si>
  <si>
    <t>You Are A Credit To Your Race</t>
  </si>
  <si>
    <t>Obsession</t>
  </si>
  <si>
    <t>Return to Tomorrow</t>
  </si>
  <si>
    <t>Captain's Log</t>
  </si>
  <si>
    <t>The Orion slave girl has two navels.</t>
  </si>
  <si>
    <t>Kirk calls Enterprise.</t>
  </si>
  <si>
    <t>Salt Creature is last of its kind.</t>
  </si>
  <si>
    <t>McCoy injects ???.</t>
  </si>
  <si>
    <t>Salt Creature appears as a hooker from a pleasure planet to Darnell.</t>
  </si>
  <si>
    <t>Kirk provokes reaction from Spock to get to fight hoping emotions will shake off spores hold.</t>
  </si>
  <si>
    <t>Evil-Kirk eyes Yeoman Rand up and down in lustful fashion.</t>
  </si>
  <si>
    <t>Every crewman has the hots for Mudd's women.</t>
  </si>
  <si>
    <t>Miners want something that's not real about the women.</t>
  </si>
  <si>
    <t>Kirk makes Andrea reject her programming.</t>
  </si>
  <si>
    <t>Spock scans area with tricorder.</t>
  </si>
  <si>
    <t>Kirk and Dr. Van Gelder fight on bridge.</t>
  </si>
  <si>
    <t>Padd on briefing room table.</t>
  </si>
  <si>
    <t>Padd on desk of computer center at command base.</t>
  </si>
  <si>
    <t>Padd on Uhura's bridge station.</t>
  </si>
  <si>
    <t>Spock stole the Enterprise to return Pike to Talos IV.</t>
  </si>
  <si>
    <t>The Talosian zoo would allow Pike to leave his broken body.</t>
  </si>
  <si>
    <t>Lt. Angela Martinez in chapel where she was to be married.</t>
  </si>
  <si>
    <t>Neutral Zone between Federation and Romulan empire.</t>
  </si>
  <si>
    <t>Yeoman Rand logs entries on tricorder.</t>
  </si>
  <si>
    <t>Yeoman Barrows dresses up as a fairy princess.</t>
  </si>
  <si>
    <t>Rodriguez scans plants and flowers with tricorder.</t>
  </si>
  <si>
    <t>Sulu scan plants and flowers with tricorder.</t>
  </si>
  <si>
    <t>Samurai attacks Sulu.</t>
  </si>
  <si>
    <t>McCoy and Yeoman Barrows walk arm in arm in forest.</t>
  </si>
  <si>
    <t>McCoy and Yeoman Barrows walk arm in arm, Yeoman Barrows in medieval dress.</t>
  </si>
  <si>
    <t>Kirk's rock.</t>
  </si>
  <si>
    <t>The women on Sigma 14 repaired the computer and gave it a giggley personality.</t>
  </si>
  <si>
    <t>Kirk fights Lt. Finney in engineering.</t>
  </si>
  <si>
    <t>McCoy writes on pad.</t>
  </si>
  <si>
    <t>Everyone sad over how badly Khan acted.</t>
  </si>
  <si>
    <t>McCoy scans bodies in pods with tricorder.</t>
  </si>
  <si>
    <t>Kirk and Khan fight in engineering.</t>
  </si>
  <si>
    <t>Saurian brandy served at dinner for Khan.</t>
  </si>
  <si>
    <t>Lt. McGivers fawns over Khan at court martial.</t>
  </si>
  <si>
    <t>Anan_7 calls Enterprise.</t>
  </si>
  <si>
    <t>Kirk fights three Eminiar guards but gets knocked out.</t>
  </si>
  <si>
    <t>Lt. DeSalle scan plants and flowers with tricorder.</t>
  </si>
  <si>
    <t>McCoy scans plants and flowers with tricorder.</t>
  </si>
  <si>
    <t>Lella is an old flame of Spock.</t>
  </si>
  <si>
    <t>Organians take human form for visitors.</t>
  </si>
  <si>
    <t>Good Lazarus trapped forever with crazy Lazarus in negative corridor.</t>
  </si>
  <si>
    <t>Lazarus knock out transport officer.</t>
  </si>
  <si>
    <t>Kirk has to let Edith Keeler die to save the future.</t>
  </si>
  <si>
    <t>Uhura scan guardian with tricorder.</t>
  </si>
  <si>
    <t>Bridge stations explode when Enterprise gets hit by time wave.</t>
  </si>
  <si>
    <t>Spock when talking to the guardian.</t>
  </si>
  <si>
    <t>McCoy karate chops transport officer (in torso) out.</t>
  </si>
  <si>
    <t>Kirk falls deeply in love with Edith Keeler.</t>
  </si>
  <si>
    <t>Kirk and Edith Keeler hold hands walking down street.</t>
  </si>
  <si>
    <t>Padd on desk in sick bay.</t>
  </si>
  <si>
    <t>Wow! Good thing Vulcans have extra eyelids!.</t>
  </si>
  <si>
    <t>Kirk reads tricorder and hands to Yeoman Zahra.</t>
  </si>
  <si>
    <t>Yeoman Zahra with tricorder on briefing room table.</t>
  </si>
  <si>
    <t>McCoy sedates Aurelan Kirk.</t>
  </si>
  <si>
    <t>Small flying parasites are each single celled organisms.</t>
  </si>
  <si>
    <t>Lt. Carolyn Palamas falls in love with a crazy god.</t>
  </si>
  <si>
    <t>Apollo just fades away from lack of worship.</t>
  </si>
  <si>
    <t>Scotty attacks Apollo and gets shocked to the ground.</t>
  </si>
  <si>
    <t>Scotty gently courts Lt. Carolyn Palamas then attempts to defend her honor.</t>
  </si>
  <si>
    <t>Lt. Carolyn Palamas loves Apollo.</t>
  </si>
  <si>
    <t>Padd sits on engineering console.</t>
  </si>
  <si>
    <t>Scotty attacks Nomad, gets thrown back by energy bolt.</t>
  </si>
  <si>
    <t>Nurse Chapel teaching Uhura to read. They hug.</t>
  </si>
  <si>
    <t>Pike shoots hole in glass cage but Talosians make him think the phaser didn't work.</t>
  </si>
  <si>
    <t>Vina wears an extremely short, low cut, metallic minidress.</t>
  </si>
  <si>
    <t>Kirk</t>
  </si>
  <si>
    <t>Sulu</t>
  </si>
  <si>
    <t>Scotty</t>
  </si>
  <si>
    <t>McCoy</t>
  </si>
  <si>
    <t>Kirk is shirtless in gym during a workout.</t>
  </si>
  <si>
    <t>Kirk and Spock play 3d chess in rec room.</t>
  </si>
  <si>
    <t>McCoy examines Charlie Evans in sick bay.</t>
  </si>
  <si>
    <t>Kirk loves his ship more than anything and wants Charlie to give it back.</t>
  </si>
  <si>
    <t>Talos IV is a class M planet.</t>
  </si>
  <si>
    <t>Captain Ramart, Antares Number One and Charlie transport from Antares to Enterprise.</t>
  </si>
  <si>
    <t>Call for damage report.</t>
  </si>
  <si>
    <t>Valiant memory tapes reveal Captain of the Valiant ordered self-destruct of vessel.</t>
  </si>
  <si>
    <t>3d chessboard in background of rec room.</t>
  </si>
  <si>
    <t>McCoy examines Spock in sick bay.</t>
  </si>
  <si>
    <t>McCoy examines Sulu in sick bay.</t>
  </si>
  <si>
    <t>Spock kids with around with Yeoman Rand and smiles.</t>
  </si>
  <si>
    <t>Spock scans research station with large tricorder.</t>
  </si>
  <si>
    <t>Subverted: Living possible only in environmentally controlled areas.</t>
  </si>
  <si>
    <t>Spock uses sarcasm then wears a shit eating grin.</t>
  </si>
  <si>
    <t>McCoy examines dog in sick bay.</t>
  </si>
  <si>
    <t>Eve McHuron cooks Ben Childress a meal. Even in the future women are expected to be good cooks!.</t>
  </si>
  <si>
    <t>McCoy with tricorder.</t>
  </si>
  <si>
    <t>Yeoman Rand with tricorder.</t>
  </si>
  <si>
    <t>Spock with tricorder.</t>
  </si>
  <si>
    <t>Kirk with tricorder.</t>
  </si>
  <si>
    <t>McCoy with tricorder in sick bay.</t>
  </si>
  <si>
    <t>Goldshirt with small tricorder on bridge.</t>
  </si>
  <si>
    <t>Spock with tricorder on planet.</t>
  </si>
  <si>
    <t>Kirk sets phaser to kill.</t>
  </si>
  <si>
    <t>Andrea the android made from ancient alien technology.</t>
  </si>
  <si>
    <t>Ancient civilization was wiped out because of their fear of the androids they created.</t>
  </si>
  <si>
    <t>Andrea's backless outfit.</t>
  </si>
  <si>
    <t>Kirk in duplication machine, naked.</t>
  </si>
  <si>
    <t>The Old Ones were the race who originally created the androids.</t>
  </si>
  <si>
    <t>Kirk fights diseased girl in deserted building.</t>
  </si>
  <si>
    <t>Disease kills people over puberty.</t>
  </si>
  <si>
    <t>Landing party running to building. Yeoman Rand's skirt flies up showing her panties.</t>
  </si>
  <si>
    <t>Yeoman Rand declares her love for him, but Kirk just can't quite do the same with her and she's gone after the next episode.</t>
  </si>
  <si>
    <t>Enterprise discovers a planet identical to Earth. Never mentioned again.</t>
  </si>
  <si>
    <t>Spock mind melds with Dr. Van Gelder to see into his troubled mind.</t>
  </si>
  <si>
    <t>Cleavage shot of Dr. Helen Noel crawling on her belly in air ducts.</t>
  </si>
  <si>
    <t>Exception: Prime Directive null &amp; void is a society attacks a Federation vessel.</t>
  </si>
  <si>
    <t>Uhura switched to red uniform, used to wear gold (command) uniform.</t>
  </si>
  <si>
    <t>Kirk shirtless while McCoy gives him an exam.</t>
  </si>
  <si>
    <t>Corbomite doesn't exist. A bluff made up to stop Balok from destroying the Enterprise.</t>
  </si>
  <si>
    <t>Enterprise uses a tractor beam to grab shuttlecraft.</t>
  </si>
  <si>
    <t>Kirk and McCoy sip Saurian brandy in sick bay.</t>
  </si>
  <si>
    <t>Kirk's flirting with Lenore is fake.</t>
  </si>
  <si>
    <t>Lenore set phaser to kill.</t>
  </si>
  <si>
    <t>Lenore shoots at Kirk but her father (Kodos) steps in front and takes blast.</t>
  </si>
  <si>
    <t>Lenore wears a fur minidress.</t>
  </si>
  <si>
    <t>Nuclear device tossed into the flotsam dropped by Romulans.</t>
  </si>
  <si>
    <t>First appearance of the Romulan cloaking device.</t>
  </si>
  <si>
    <t>Rodenium, armor material on outposts.</t>
  </si>
  <si>
    <t>Romulan ship fire plasma bolt at Enterprise.</t>
  </si>
  <si>
    <t>A single cultural world: Romulans are all warlike.</t>
  </si>
  <si>
    <t>Alert: All Decks Alert, Battle Stations.</t>
  </si>
  <si>
    <t>Romulans have plasma bolt weapon.</t>
  </si>
  <si>
    <t>Ruth is a very special lady from Kirk's past. She's never spoke of again.</t>
  </si>
  <si>
    <t>Two women with McCoy after his resurrection are wearing scanty, feather outfits.</t>
  </si>
  <si>
    <t>Spock shoots at cavemen to frighten them.</t>
  </si>
  <si>
    <t>Geophysicist Jaeger with tricorder.</t>
  </si>
  <si>
    <t>Trelane fights Kirk during his hunt.</t>
  </si>
  <si>
    <t>Kirk shoots mirror behind Trelane with dueling pistol destroying his machine.</t>
  </si>
  <si>
    <t>Alert: Red Alert</t>
  </si>
  <si>
    <t>McCoy examines Trelane as best he can.</t>
  </si>
  <si>
    <t>Metrons declare they will kill the loser and destroy his ship.</t>
  </si>
  <si>
    <t>McCoy examines crewman in sick bay.</t>
  </si>
  <si>
    <t>Kirk knocks out Captain Christopher.</t>
  </si>
  <si>
    <t>McCoy examines Captain Christopher in sick bay.</t>
  </si>
  <si>
    <t>Spock mind melds with McCoy after McCoy was conditioned by Landru.</t>
  </si>
  <si>
    <t>Kirk reads tricorder and hands to Redshirt.</t>
  </si>
  <si>
    <t>Khan escapes quarters and knock out guard.</t>
  </si>
  <si>
    <t>True Love's Kiss</t>
  </si>
  <si>
    <t>Uhura with tricorder on planet.</t>
  </si>
  <si>
    <t>Chekov turncoat fires at second henchman disintegrating him.</t>
  </si>
  <si>
    <t>McCoy sedates guard in front of Engineering.</t>
  </si>
  <si>
    <t>Weapon</t>
  </si>
  <si>
    <t>Gentle Touch***</t>
  </si>
  <si>
    <t>Captain's Woman</t>
  </si>
  <si>
    <t>The Glomp</t>
  </si>
  <si>
    <t>Unwanted Affection***</t>
  </si>
  <si>
    <t>MacGyvering</t>
  </si>
  <si>
    <t>crew_acts_crazy</t>
  </si>
  <si>
    <t>old_job</t>
  </si>
  <si>
    <t>Dark Action Girl</t>
  </si>
  <si>
    <t>Fake Memories***</t>
  </si>
  <si>
    <t>Sarek (Vulcan) and Amanda (human). Vulcans live much longer than humans.</t>
  </si>
  <si>
    <t>Enterprise rocked when Balok destroys record marker.</t>
  </si>
  <si>
    <t>Metrons drain all power from engines and Enterprise comes to a dead stop.</t>
  </si>
  <si>
    <t>Enterprise shaken when they apply the braking to stop the slingshot effect.</t>
  </si>
  <si>
    <t>Enterprise hits Anti-matter distortion caused by Lazarus.</t>
  </si>
  <si>
    <t>Double Standard</t>
  </si>
  <si>
    <t>Mirror Enterprise sick bay has a bunch of colored liquids in beakers on desk.</t>
  </si>
  <si>
    <t>Kirk and Commodore Mendez in a Shuttlecraft following the hijacked Enterprise.</t>
  </si>
  <si>
    <t>Kirk rips shirt in fight with Finnegan.</t>
  </si>
  <si>
    <t>Yeoman Barrows distraught about McCoy's death. Kirk reminds her they can't afford the distraction of open grief right now. Perhaps because she's a woman, he shakes her by the shoulders rather than hitting her.</t>
  </si>
  <si>
    <t>Temporary Love Interest</t>
  </si>
  <si>
    <t>Friendship Hug***</t>
  </si>
  <si>
    <t>Chekov with tricorder on planet.</t>
  </si>
  <si>
    <t>Kirk, Spock, Scotty, and two Redshirt have phasers. Uhura has no phaser.</t>
  </si>
  <si>
    <t>Chekov gives Yeoman Martha Landon another comfort hug after Ensign Mallory is killed.</t>
  </si>
  <si>
    <t>Eveyone Laughs Except Spock</t>
  </si>
  <si>
    <t>Spock tells people of Vaal his name and they laugh. He wonders why they laugh and everyone laughs, including Kirk and company.</t>
  </si>
  <si>
    <t>Yeoman Ross scans house with tricorder.</t>
  </si>
  <si>
    <t>Spock writes on Padd.</t>
  </si>
  <si>
    <t>Kirk reads status report on Padd and hands to Uhura.</t>
  </si>
  <si>
    <t>Kirk with Padd.</t>
  </si>
  <si>
    <t>Spock writes on Padd and hands to Yeoman Rand.</t>
  </si>
  <si>
    <t>Kirk with Padd on bridge.</t>
  </si>
  <si>
    <t>Kirk with Padd on desk in briefing room during hearing.</t>
  </si>
  <si>
    <t>Spock with Padd.</t>
  </si>
  <si>
    <t>McCoy with Padd in sick bay.</t>
  </si>
  <si>
    <t>Transport tech with Padd.</t>
  </si>
  <si>
    <t>Lt. Bailey with Padd on briefing room table.</t>
  </si>
  <si>
    <t>Lt. Bailey writes on Padd.</t>
  </si>
  <si>
    <t>Redshirt with Padd on bridge.</t>
  </si>
  <si>
    <t>Scotty writes on Padd.</t>
  </si>
  <si>
    <t>Crewman with Padd on briefing room table.</t>
  </si>
  <si>
    <t>Spock with Padd on briefing table.</t>
  </si>
  <si>
    <t>Uhura with Padd on briefing room table.</t>
  </si>
  <si>
    <t>Kirk reads report on Padd.</t>
  </si>
  <si>
    <t>Uhura writes on Padd.</t>
  </si>
  <si>
    <t>Kirk with Padd on desk in briefing room.</t>
  </si>
  <si>
    <t>Uhura at station with Padd.</t>
  </si>
  <si>
    <t>Goldshirt with Padd.</t>
  </si>
  <si>
    <t>Spock reads Padd.</t>
  </si>
  <si>
    <t>Uhura with Padd on bridge.</t>
  </si>
  <si>
    <t>McCoy with Padd during muster of settlers.</t>
  </si>
  <si>
    <t>Lt. Charlene Masters with Padd on bridge.</t>
  </si>
  <si>
    <t>Lt. Charlene Masters with Padd to engineering and hands to Redshirt.</t>
  </si>
  <si>
    <t>Uhura writes on Padd on bridge.</t>
  </si>
  <si>
    <t>Yeoman Zahra with Padd on bridge.</t>
  </si>
  <si>
    <t>Uhura write orders from Kirk on Padd.</t>
  </si>
  <si>
    <t>Uhura records landing party on Padd.</t>
  </si>
  <si>
    <t>McCoy writes on Padd.</t>
  </si>
  <si>
    <t>Nurse Chapel with Padd in sick bay.</t>
  </si>
  <si>
    <t>Nurse Chapel writes on Padd.</t>
  </si>
  <si>
    <t>Spock with Padd on bridge.</t>
  </si>
  <si>
    <t>Spock writes on Padd and hands to technician.</t>
  </si>
  <si>
    <t>Yeoman Kahra with Padd on bridge.</t>
  </si>
  <si>
    <t>McCoy with Padd on desk in sick bay.</t>
  </si>
  <si>
    <t>McCoy writes on Padd in sick bay.</t>
  </si>
  <si>
    <t>Nurse Chapel writes on Padd at desk in sick bay.</t>
  </si>
  <si>
    <t>Uhura with Padd on bridge station.</t>
  </si>
  <si>
    <t>Nurse Chapel hands Padd to McCoy.</t>
  </si>
  <si>
    <t>Lt. Carolyn Palamas hands Kirk Padd, Kirk reads and hands back.</t>
  </si>
  <si>
    <t>Uhura with Padd at bridge station, writes on Padd.</t>
  </si>
  <si>
    <t>Another typical class M planet.</t>
  </si>
  <si>
    <t>Two separate dogs are created after Technician fisher transported up with yellow dust contaminated transporter.</t>
  </si>
  <si>
    <t>Eve McHuron, Magda Kovacs, and Ruth Bonavure are transported off crumbling transport ship.</t>
  </si>
  <si>
    <t>Kirk, Spock, McCoy, Yeoman Rand, and two Redshirts transport down to planet.</t>
  </si>
  <si>
    <t>Kirk and Commodore Mendez. Transported from dead shuttlecraft to Enterprise.</t>
  </si>
  <si>
    <t>Galileo Seven crew transported from shuttlecraft to Enterprise as shuttlecraft starts burning up in re-entry.</t>
  </si>
  <si>
    <t>detailLength</t>
  </si>
  <si>
    <t>The Park Owners are another example of an extremely advanced race never heard of again.</t>
  </si>
  <si>
    <t>Averted: Lt. Bowman (an African American) survives entire episode.</t>
  </si>
  <si>
    <t>Romulans self-destruct nuclear device kills Warbird crew of 22 Romulans.</t>
  </si>
  <si>
    <t>Yeoman Barrows with Padd (small).</t>
  </si>
  <si>
    <t>Crewman reads report from Padd (small).</t>
  </si>
  <si>
    <t>Lt. Charlene Masters with Padd (small).</t>
  </si>
  <si>
    <t>Yeoman Mears hops to the floor of the Shuttlecraft lifting her skirt nearly to her waist.</t>
  </si>
  <si>
    <t>McCoy finds no indications of life after scanning Trelane with tricorder.</t>
  </si>
  <si>
    <t>McCoy scans Trelane and gets no readings with tricorder outside of structure.</t>
  </si>
  <si>
    <t>Kirk and Trelane square off with dueling pistols after Kirk challenges Trelane.</t>
  </si>
  <si>
    <t>Trelane shoots dueling pistol in the air and giving Kirk a free shot at him.</t>
  </si>
  <si>
    <t>Yeoman walks by to sexy trumpet music.</t>
  </si>
  <si>
    <t>Trelane arguing with his parents, rants and pouts about not getting to play with his toys.</t>
  </si>
  <si>
    <t>Both Trelane and his parents are advanced beings.</t>
  </si>
  <si>
    <t>Another world of sand and big rocks.</t>
  </si>
  <si>
    <t>Spock locates warm bodies of attackers with tricorder.</t>
  </si>
  <si>
    <t>Spock scans destruction of outpost with tricorder.</t>
  </si>
  <si>
    <t>Kirk and Gorn fight. Kirk is totally outmatched in strength and stamina.</t>
  </si>
  <si>
    <t>The Metrons have advanced past their petty problems.</t>
  </si>
  <si>
    <t>USAF guard accidently triggers call to Enterprise.</t>
  </si>
  <si>
    <t>Nuclear warheads on jet ready to shoot Enterprise down.</t>
  </si>
  <si>
    <t>Kirk fights USAF base Security Captain.</t>
  </si>
  <si>
    <t>Kirk attacks three USAF guards to give Sulu chance to escape with the evidence.</t>
  </si>
  <si>
    <t>Kirk, Spock, and McCoy discuss Captain Christopher.</t>
  </si>
  <si>
    <t>Spock uses neck pinch on Captain Christopher.</t>
  </si>
  <si>
    <t>Spock uses neck pinch on USAF guard.</t>
  </si>
  <si>
    <t>Spock uses neck pinch on another computer technician.</t>
  </si>
  <si>
    <t>Spock uses neck pinch on computer technician.</t>
  </si>
  <si>
    <t>Spock uses neck pinch on Reger.</t>
  </si>
  <si>
    <t>Enterprise shaken by the pull of the sun as they build up speed for slingshot effect.</t>
  </si>
  <si>
    <t>Kirk and Sulu transport down from Enterprise to Earth ( 1960s air force base).</t>
  </si>
  <si>
    <t>Spock, Sulu, and Captain Christopher transport fro Enterprise to Earth (1960s air force base).</t>
  </si>
  <si>
    <t>USAF Guard transported from USAF base to Enterprise (accidently triggered emergency signal).</t>
  </si>
  <si>
    <t>Kirk, Spock, and McCoy discuss how the trial is going.</t>
  </si>
  <si>
    <t>Kirk has a Saurian brandy.</t>
  </si>
  <si>
    <t>Kirk flirts with Areel Shaw in bar hoping for a quickie.</t>
  </si>
  <si>
    <t>Appears to be a 16th-17th c. Earth-like village.</t>
  </si>
  <si>
    <t>Sulu calls Enterprise as the natives surround him.</t>
  </si>
  <si>
    <t>Enterprise (Uhura) Kirk calls Lindstrom to check on their progress with the (now) leaderless people.</t>
  </si>
  <si>
    <t>Blueshirt with Padd sticks computer disk in slot.</t>
  </si>
  <si>
    <t>Spock detects scanning beam with tricorder.</t>
  </si>
  <si>
    <t>Spock fights Mr. Leslie while imprisoned in cell.</t>
  </si>
  <si>
    <t>Kirk knocks out minion.</t>
  </si>
  <si>
    <t>Kirk subdues McCoy who is conditioned by Landru as McCoy attempts to cry out for help.</t>
  </si>
  <si>
    <t>Kirk fires phaser to stun townspeople.</t>
  </si>
  <si>
    <t>Kirk interferes with the planet by destroying the Landru computer.</t>
  </si>
  <si>
    <t>Khan kisses Lt. McGivers. She hesitates then kisses him back.</t>
  </si>
  <si>
    <t>Ceti Alpha V, the planet Kirk abandons Khan and crew on, is a harsh but livable world.</t>
  </si>
  <si>
    <t>Kirk, Spock, and McCoy discuss Khan.</t>
  </si>
  <si>
    <t>Kirk, Spock, and McCoy discuss The Eugenics War.</t>
  </si>
  <si>
    <t>McCoy attempts to revive Khan with hypospray after life support pod fails.</t>
  </si>
  <si>
    <t>Khan. Generally a sex symbol to all the women on board.</t>
  </si>
  <si>
    <t>Lt. McGivers promises to do anything Khan asks. Even betray Kirk and the Enterprise.</t>
  </si>
  <si>
    <t>Lt. McGivers rearranged her hair as Khan suggested in order to please him.</t>
  </si>
  <si>
    <t>McCoy examines Khan in his life support pod.</t>
  </si>
  <si>
    <t>McCoy works on Khan in sick to help him survive.</t>
  </si>
  <si>
    <t>Yeoman Tamura reads Padd.</t>
  </si>
  <si>
    <t>Yeoman Tamura scans for radiation with tricorder.</t>
  </si>
  <si>
    <t>Kirk knocks out Eminiar guard.</t>
  </si>
  <si>
    <t>Kirk fights four guards then grabs disrupter and holds them at bay.</t>
  </si>
  <si>
    <t>Spock uses neck pinch on Eminiar guard.</t>
  </si>
  <si>
    <t>Ambassador Fox (via Uhura) calls Anan 7.</t>
  </si>
  <si>
    <t>Spock calls Enterprise on Eminiar communicator.</t>
  </si>
  <si>
    <t>Eminiar computers explode when hit with disrupter fire.</t>
  </si>
  <si>
    <t>Kirk talks about how wasteful and absurd the Eminiar computer war was.</t>
  </si>
  <si>
    <t>McCoy read medical report on Sandoval from Padd.</t>
  </si>
  <si>
    <t>Padd on kitchen table in house of Sandoval.</t>
  </si>
  <si>
    <t>Kirk insults Spock by telling him his father was a computer and his mother an encyclopedia.</t>
  </si>
  <si>
    <t>Kirk explains to Spock why they both can't go to the brig. There would be no one to run the ship and save the crew.</t>
  </si>
  <si>
    <t>Spock and Lella hold hands while walking in the meadow.</t>
  </si>
  <si>
    <t>Lella cries when she realizes Spock is no longer affected by the spores.</t>
  </si>
  <si>
    <t>Spores—Something was in the air of Omicron Ceti III that made an irradiated planet inhabitable, but made everyone happy and wanting to stay forever—except Captain Kirk.</t>
  </si>
  <si>
    <t>In a pretty standard Trek move; Omicron Ceti III, where you can send people to restore them to perfect health (including regrowing internal organs) is never considered as a potential solution to future health based problems.</t>
  </si>
  <si>
    <t>Six crewmen transport down from Enterprise to Omicron Ceti III.</t>
  </si>
  <si>
    <t>Kirk, Spock, McCoy, Sulu, Lt. Kelowitz, and Lt. DeSalle transport from Enterprise to Omicron Ceti III.</t>
  </si>
  <si>
    <t>Lella transports from Omicron Ceti III to Enterprise.</t>
  </si>
  <si>
    <t>Spock transports from Omicron Ceti III to Enterprise.</t>
  </si>
  <si>
    <t>McCoy examines Omicron Ceti III settler.</t>
  </si>
  <si>
    <t>Violent emotions about leaving his ship breaks spores hold on Kirk.</t>
  </si>
  <si>
    <t>Kirk and McCoy transport from Enterprise to M-113.</t>
  </si>
  <si>
    <t>Kirk, Spock, and Dr. Crater transport from M-113 to Enterprise.</t>
  </si>
  <si>
    <t>Subverted: Alpha 177 temperature plummets to -100 after dark.</t>
  </si>
  <si>
    <t>Sulu uses phaser to heat rocks on Alpha 177 for warmth.</t>
  </si>
  <si>
    <t>Subverted: Exo III is a planet of ice.</t>
  </si>
  <si>
    <t>Kirk transports rom Enterprise to Planet Q (Off-screen).</t>
  </si>
  <si>
    <t>McCoy examines Galileo Seven crew after crash landing on Taurus II.</t>
  </si>
  <si>
    <t>McCoy examines Lt. Harold after being injured at destroyed Cestus III outpost.</t>
  </si>
  <si>
    <t>Metrons arrange for Kirk and the Gorn to fight it out. Loser gets destroyed.</t>
  </si>
  <si>
    <t>Kirk, Spock, McCoy, three crewmen transport down from Enterprise to planet Beta III in the C-111 system.</t>
  </si>
  <si>
    <t>Sulu transports from planet Beta III in the C-111 system to Enterprise.</t>
  </si>
  <si>
    <t>Lt. McGivers with tricorder on the Botany Bay.</t>
  </si>
  <si>
    <t>Kirk, Lt. McGivers, and a Redshirt transport from Enterprise to the Botany Bay.</t>
  </si>
  <si>
    <t>Khan transports from Enterprise to the Botany Bay to revive his followers.</t>
  </si>
  <si>
    <t>Kirk, Spock, and McCoy transports from Enterprise to Janus VI.</t>
  </si>
  <si>
    <t>Kirk and Spock transport from Enterprise to Organia.</t>
  </si>
  <si>
    <t>Organia, the most average of Class M planets.</t>
  </si>
  <si>
    <t>Kirk transports from Enterprise to Deneva.</t>
  </si>
  <si>
    <t>Kirk, Spock, McCoy, Scotty, Yeoman Zahra, and Redshirt transport from Enterprise to Deneva.</t>
  </si>
  <si>
    <t>Kirk, Spock, and McCoy transport from Enterprise to Vulcan.</t>
  </si>
  <si>
    <t>Kirk, McCoy, Scotty, Chekov, and Lt. Carolyn Palamas transport from Enterprise to Pollux IV.</t>
  </si>
  <si>
    <t>McCoy calls Enterprise (McCoy asking for thermo concrete to use on Horta).</t>
  </si>
  <si>
    <t>McCoy scans remains of Smitters with tricorder.</t>
  </si>
  <si>
    <t>Miners attack Redshirts to get past them to kill the Horta.</t>
  </si>
  <si>
    <t>Kirk, Spock, and McCoy discuss creature situation.</t>
  </si>
  <si>
    <t>Kirk, Spock, and McCoy discuss human and Horta seeing the other as horrid looking.</t>
  </si>
  <si>
    <t>Kirk shoots phaser at Horta and injuries it.</t>
  </si>
  <si>
    <t>Spock shoots phaser at Horta and injuries it.</t>
  </si>
  <si>
    <t>McCoy examines Horta in tunnels on Janus IV.</t>
  </si>
  <si>
    <t>McCoy examines Smitters on Janus VI.</t>
  </si>
  <si>
    <t>Kirk warns pre-warp society of the evils of the Klingons in attempt to save them. I thought that was a no-no.</t>
  </si>
  <si>
    <t>Spock attempt to verify Organians assessment of the situation with tricorder, and fails.</t>
  </si>
  <si>
    <t>Spock scans village with tricorder.</t>
  </si>
  <si>
    <t>Kirk garrotes Klingon while performing sabotage.</t>
  </si>
  <si>
    <t>Averted: Spock stops Kirk from fighting a Klingon in street.</t>
  </si>
  <si>
    <t>Kirk knocks out Klingon during act of sabotage.</t>
  </si>
  <si>
    <t>200 Organians (supposedly) killed in courtyard by Klingon disrupters.</t>
  </si>
  <si>
    <t>Kirk stuns Klingon with phaser.</t>
  </si>
  <si>
    <t>Spock stuns Klingon with phaser.</t>
  </si>
  <si>
    <t>Lt. Charlene Masters with Padd on table.</t>
  </si>
  <si>
    <t>Lazarus uses knockout gas in engineering on Lt. Charlene Masters and engineering Redshirt to steal dilithium crystals.</t>
  </si>
  <si>
    <t>Kirk throws Lazarus into inter-dimensional corridor to meet up with anti-matter Lazarus.</t>
  </si>
  <si>
    <t>Enterprise calls Uhura (after Edith Keeler dies and Kirk, Spock, and McCoy return to the present).</t>
  </si>
  <si>
    <t>Sulu calls Enterprise (interrupted by guards entering room).</t>
  </si>
  <si>
    <t>Uhura calls and gets nothing but an empty channel.</t>
  </si>
  <si>
    <t>Kirk, Spock, and McCoy visit 1930s new york.</t>
  </si>
  <si>
    <t>Kirk, Spock, and McCoy question Yeoman Rand about attack by Kirk.</t>
  </si>
  <si>
    <t>Kirk, Spock, and McCoy discuss Harry Mudd and their situation.</t>
  </si>
  <si>
    <t>Kirk, Spock, and McCoy and Yeoman Rand discuss disease.</t>
  </si>
  <si>
    <t>Kirk, Spock, and McCoy discuss Balok while waiting for Balok to do something.</t>
  </si>
  <si>
    <t>Kirk, Spock, and McCoy discuss the fantastic situation.</t>
  </si>
  <si>
    <t>Kirk, Spock, and McCoy discuss how to kill aliens with killing host.</t>
  </si>
  <si>
    <t>Kirk, Spock, and McCoy discuss Spock and 1 million Deneva colonists.</t>
  </si>
  <si>
    <t>Kirk, Spock, and McCoy discuss Spock getting emotional when he saw Kirk alive.</t>
  </si>
  <si>
    <t>Uhura walking into Guardian area and her skirt rides up extremely high.</t>
  </si>
  <si>
    <t>Cordrazine, magical medicine. Never used again.</t>
  </si>
  <si>
    <t>Spock uses neck pinch on distressed McCoy.</t>
  </si>
  <si>
    <t>Spock uses neck pinch on police officer.</t>
  </si>
  <si>
    <t>Enterprise is at red alert at beginning of episode.</t>
  </si>
  <si>
    <t>Ancient ruins with only the guardian intact.</t>
  </si>
  <si>
    <t>Kirk flirts with Edith Keeler from minute one.</t>
  </si>
  <si>
    <t>Chekov's Gun</t>
  </si>
  <si>
    <t>Kirk's Rock</t>
  </si>
  <si>
    <t>Let's You And Him Fight</t>
  </si>
  <si>
    <t>She's Got Legs</t>
  </si>
  <si>
    <t>Victoria's Secret Compartment</t>
  </si>
  <si>
    <t>White Man's Burden</t>
  </si>
  <si>
    <t>Subverted: Omicron Ceti III is Earth-like and pleasant. Except for the deadly Bertol Rays which kill all animal life.</t>
  </si>
  <si>
    <t>Landing Party</t>
  </si>
  <si>
    <t>The 'Reason You Suck' Speech</t>
  </si>
  <si>
    <t>ringAttr</t>
  </si>
  <si>
    <t>Mirror Sulu coming on to Uhura.</t>
  </si>
  <si>
    <t>Apollo gives Lt. Carolyn Palamas a pink over the shoulder toga which looks like it will fall off at any second.</t>
  </si>
  <si>
    <t>Tyler increases phaser setting when it appears phaser had no effect of metal door.</t>
  </si>
  <si>
    <t>Fighting Your Friend</t>
  </si>
  <si>
    <t>Fight</t>
  </si>
  <si>
    <t>khan neck_pinch</t>
  </si>
  <si>
    <t>Would Hit A Girl</t>
  </si>
  <si>
    <t>Averted: Landing party ends up in street at red hour. Avoids getting involved in the rioting.</t>
  </si>
  <si>
    <t>McCoy has no problem slapping a pregnant woman across the face (but only to get her to cooperate).</t>
  </si>
  <si>
    <t>Friday's Child</t>
  </si>
  <si>
    <t>Did You Just Punch Out Cthulhu</t>
  </si>
  <si>
    <t>Landing party transports to Delta Vega to gut the station for parts.</t>
  </si>
  <si>
    <t>Spock shouts commands in an overly excited voice.</t>
  </si>
  <si>
    <t>dotAttr</t>
  </si>
  <si>
    <t>Female Misogynist</t>
  </si>
  <si>
    <t>What Is This Thing You Call Love</t>
  </si>
  <si>
    <t>Kirk, McCoy, Scotty, and Uhura fight Mirror Spock in sick bay.</t>
  </si>
  <si>
    <t>Aurelan Kirk. Attacked by alien single-celled parasites—later dies in sick bay.</t>
  </si>
  <si>
    <t>Android Kirk destroyed by Andrea (android) with phaser.</t>
  </si>
  <si>
    <t>Lt. Gaetano killed by caveman.</t>
  </si>
  <si>
    <t>Lt. Latimer killed by caveman.</t>
  </si>
  <si>
    <t>50 miners killed by Horta as reported by Chief Engineer Vanderberg.</t>
  </si>
  <si>
    <t>Klingon crew killed when Enterprise shoots phasers war ship.</t>
  </si>
  <si>
    <t>Lt. Lang disintegrated by Gorn.</t>
  </si>
  <si>
    <t>Tamar killed by minions of Landru with staff.</t>
  </si>
  <si>
    <t>Kirk almost killed by Lenore with overloaded phaser placed in his quarters.</t>
  </si>
  <si>
    <t>Tom Leighton killed by Lenore.</t>
  </si>
  <si>
    <t>Sam Kirk killed by alien single-celled parasites.</t>
  </si>
  <si>
    <t>Security officer has neck broke by Ruk (android).</t>
  </si>
  <si>
    <t>Security officer thrown into chasm by Ruk (android).</t>
  </si>
  <si>
    <t>Chekov has a phaser. Never fires it.</t>
  </si>
  <si>
    <t>Butt Monkey</t>
  </si>
  <si>
    <t>Edith Keeler falls in love with Kirk.</t>
  </si>
  <si>
    <t>Edith Keeler kisses Kirk in a passionate manner.</t>
  </si>
  <si>
    <t>Scotty with Padd in transport room.</t>
  </si>
  <si>
    <t>Kirk, Spock, Scotty, and Redshirt have phasers. Yeoman Zahra has no phaser.</t>
  </si>
  <si>
    <t>Spock scans alien with tricorder.</t>
  </si>
  <si>
    <t>Yeoman Zahra scans alien with tricorder.</t>
  </si>
  <si>
    <t>McCoy examines Aurelan Kirk.</t>
  </si>
  <si>
    <t>McCoy examines Tim Kirk.</t>
  </si>
  <si>
    <t>Lirpa is Vulcan weapon used in Koon-Ut-Kal-If-Fee.</t>
  </si>
  <si>
    <t>Kirk rips shirt in Koon-Ut-Kal-If-Fee fight.</t>
  </si>
  <si>
    <t>Miri whom Kirk has grown to care about.</t>
  </si>
  <si>
    <t>Lella, an old flame of Spock, wants to get Spock conditioned with the spores and stay with her forever.</t>
  </si>
  <si>
    <t>Lt. Carolyn Palamas is Scotty muse this week but Lt. Carolyn Palamas falls in love with Apollo.</t>
  </si>
  <si>
    <t>Sayana, the native young woman.</t>
  </si>
  <si>
    <t>Kirk shoots alien with phaser.</t>
  </si>
  <si>
    <t>Kirk stuns group of Deneva people as they charge the landing party.</t>
  </si>
  <si>
    <t>McCoy stuns group of Deneva people with phaser.</t>
  </si>
  <si>
    <t>Redshirt shoots alien.</t>
  </si>
  <si>
    <t>Scotty shoots alien.</t>
  </si>
  <si>
    <t>Spock shoots alien and takes it as a sample.</t>
  </si>
  <si>
    <t>Spock shoots alien.</t>
  </si>
  <si>
    <t>Spock stuns group of Deneva people as they charge landing party.</t>
  </si>
  <si>
    <t>McCoy examines parasite creature in sick bay. Totally baffling.</t>
  </si>
  <si>
    <t>McCoy and Nurse Chapel examines Spock after parasite sting.</t>
  </si>
  <si>
    <t>Redshirt with Padd in corridor.</t>
  </si>
  <si>
    <t>Kirk, Spock, and McCoy discuss going down to Vulcan with Spock.</t>
  </si>
  <si>
    <t>Nurse Chapel cries with happiness about getting Spock to Vulcan.</t>
  </si>
  <si>
    <t>Kirk takes Spock back to Vulcan even though he was ordered not to and proceed to the ceremony.</t>
  </si>
  <si>
    <t>Nurse Chapel flirts with Spock by making plemic soup.</t>
  </si>
  <si>
    <t>Spock asks Nurse Chapel to make him some plemic soup.</t>
  </si>
  <si>
    <t>Nurse Chapel had a deep crush on Spock but the execs didn't want it.</t>
  </si>
  <si>
    <t>Spock gets crazy when Nurse Chapel brings soup.</t>
  </si>
  <si>
    <t>Spock screams when he sees Kirk alive after (apparently) killing him.</t>
  </si>
  <si>
    <t>McCoy: the tri-0x compound will help Kirk use the oxygen in his blood more efficiently, since the atmosphere on Vulcan is thin by Earth standards.</t>
  </si>
  <si>
    <t>Kirk (supposedly dead) and McCoy transport from Vulcan to Enterprise.</t>
  </si>
  <si>
    <t>Spock fumbles while discussing his Vulcan biology with Kirk.</t>
  </si>
  <si>
    <t>Scotty comforts Lt. Carolyn Palamas after Apollo is defeated.</t>
  </si>
  <si>
    <t>Chekov scans local area with tricorder.</t>
  </si>
  <si>
    <t>Lt. Carolyn Palamas scans local area with tricorder.</t>
  </si>
  <si>
    <t>Scotty scans local area with tricorder.</t>
  </si>
  <si>
    <t>The big green hand in space that holds the Enterprise motionless.</t>
  </si>
  <si>
    <t>Apollo uses strangles Kirk after zapping Scotty. He could kill them with his mind.</t>
  </si>
  <si>
    <t>Chekov attempts to shoot Apollo but his phaser fails.</t>
  </si>
  <si>
    <t>Scotty attempts to shoot Apollo with his phaser but Apollo destroys it with a bolt of lightning.</t>
  </si>
  <si>
    <t>Uhura attempts to use subspace to contact Starfleet.</t>
  </si>
  <si>
    <t>General Quarters 3, Security Condition 3.</t>
  </si>
  <si>
    <t>3d chess being played by crew in rec room.</t>
  </si>
  <si>
    <t>Alert: Baker 3.</t>
  </si>
  <si>
    <t>McCoy operates on Lt. Tormolen in sick bay but Tormolen just loses the will to live.</t>
  </si>
  <si>
    <t>Kirk is in love with his ship.</t>
  </si>
  <si>
    <t>Yeoman Rand falls and flashes a panty shot as she tries to get away from Evil-Kirk.</t>
  </si>
  <si>
    <t>Diseased boy in street dies from disease.</t>
  </si>
  <si>
    <t>McCoy working on vaccine for plague has wall of glass beakers and bubbling liquids.</t>
  </si>
  <si>
    <t>Alert: Security Alert 3.</t>
  </si>
  <si>
    <t>Alert: Battle Stations, Condition Alert.</t>
  </si>
  <si>
    <t>Enterprise breaks away from Balok's ship.</t>
  </si>
  <si>
    <t>Alert: Double Security Alert.</t>
  </si>
  <si>
    <t>Enterprise hit by Romulan Plasma Bolt.</t>
  </si>
  <si>
    <t>Shuttlecraft Columbus.</t>
  </si>
  <si>
    <t>Alert: Red Alert.</t>
  </si>
  <si>
    <t>Alert: Battle stations, Red Alert.</t>
  </si>
  <si>
    <t>Spock sets phaser to heavy stun force.</t>
  </si>
  <si>
    <t>Alert: All Decks Alert, Damage Report.</t>
  </si>
  <si>
    <t>Spock sworn in as Vulcanian.</t>
  </si>
  <si>
    <t>Alert: Alert Status Yellow.</t>
  </si>
  <si>
    <t>Enterprise in ion storm that jostles the ship.</t>
  </si>
  <si>
    <t>Crew gets to wear old fashioned suits and dresses.</t>
  </si>
  <si>
    <t>Why is Sulu conditioned on the street while everyone else needs to go through the big machine to be conditioned?.</t>
  </si>
  <si>
    <t>How are the hollow staffs of the Minions of Landru actually work?.</t>
  </si>
  <si>
    <t>Red Alert: Battle Stations, Full Security Alert.</t>
  </si>
  <si>
    <t>Ambassador Fox.</t>
  </si>
  <si>
    <t>Red Alert: Alert Status: General Order 24.</t>
  </si>
  <si>
    <t>Kirk destroys computers to stop computer war.</t>
  </si>
  <si>
    <t>Kirk answers Spock.</t>
  </si>
  <si>
    <t>Pergium, needed all over the Federation.</t>
  </si>
  <si>
    <t>A single cultural world: Klingons are all warlike.</t>
  </si>
  <si>
    <t>Spock uses neck pinch on Klingon.</t>
  </si>
  <si>
    <t>Red Alert: Battle Stations, General Alert, Damage Report.</t>
  </si>
  <si>
    <t>Red Alert: Battle Stations, Alert Status, Security Red, Standard General Alert.</t>
  </si>
  <si>
    <t>3d checkers in background of rec room.</t>
  </si>
  <si>
    <t>The Guardian of the Past is a window to all past history. But only human history. Not Vulcan history or Earth pre-human history….</t>
  </si>
  <si>
    <t>Edith Keeler dies in auto accident.</t>
  </si>
  <si>
    <t>Spock tells Kirk Edith Keeler must die to put history back on track.</t>
  </si>
  <si>
    <t>Spock uses neck pinch on Denevian.</t>
  </si>
  <si>
    <t>Spock uses neck pinch on transporter officer.</t>
  </si>
  <si>
    <t>Lt. Carolyn Palamas wonders why she was included in the landing party.  | McCoy informs her that her specialized knowledge of classical civilization could come in handy on this mission. | She couldn't figure that out herself?.</t>
  </si>
  <si>
    <t>Lt. Carolyn Palamas.</t>
  </si>
  <si>
    <t>McCoy examines Scotty.</t>
  </si>
  <si>
    <t>Lt. Carolyn Palamas kisses Apollo in loving fashion.</t>
  </si>
  <si>
    <t>Kirk, McCoy, Scotty, and Uhura transport from Halkan to Mirror Enterprise.</t>
  </si>
  <si>
    <t>Kirk, McCoy, Scotty, and Uhura transport from Mirror Enterprise to Enterprise.</t>
  </si>
  <si>
    <t>Kirk, McCoy, Uhura, and Scotty attempt to transport from Halkan to Enterprise (FAIL).</t>
  </si>
  <si>
    <t>Ensign Mallory calls Kirk.</t>
  </si>
  <si>
    <t>Kirk calls Chekov.</t>
  </si>
  <si>
    <t>Kirk calls Enterprise after failed transport.</t>
  </si>
  <si>
    <t>Kyle writes on Padd, hands to Scotty.</t>
  </si>
  <si>
    <t>Technician has Padd on bridge.</t>
  </si>
  <si>
    <t>Natives attack landing party.</t>
  </si>
  <si>
    <t>Makora holds Sayana arms (Male and female native).</t>
  </si>
  <si>
    <t>Chekov kisses Yeoman Martha Landon.</t>
  </si>
  <si>
    <t>Spock uses neck pinch on attacking villager.</t>
  </si>
  <si>
    <t>The Corbomite device worked so well once, Kirk does it again in The Deadly Years.</t>
  </si>
  <si>
    <t>Chekov: Blood sample, Chekov! Marrow sample, Chekov! Skin sample, Chekov! If – if I live long enough, I'm going to run out of samples!.</t>
  </si>
  <si>
    <t>One of the slaves of Triskelion.</t>
  </si>
  <si>
    <t>Kirk makes up the game fizzbin to distract their guards.</t>
  </si>
  <si>
    <t>A single cultural world: gangsters.</t>
  </si>
  <si>
    <t>A lethal escalating war between villagers forced by Federation and Klingons.</t>
  </si>
  <si>
    <t>Uhura's greatest fear was losing her youth and beauty.</t>
  </si>
  <si>
    <t>Entity plants fake memories in humans and Klingons.</t>
  </si>
  <si>
    <t>Drug gives them psychic powers.</t>
  </si>
  <si>
    <t>Two Andorian scholars were present at Memory Alpha at the time of its destruction.</t>
  </si>
  <si>
    <t>Flint creates a robot mate to live with him forever.</t>
  </si>
  <si>
    <t>Woman who considers woman as inferior.</t>
  </si>
  <si>
    <t>Uhura working Navigator station.</t>
  </si>
  <si>
    <t>Uhura was the only female on the bridge, and she was the telephone operator.</t>
  </si>
  <si>
    <t>Dilithium used to control matter-antimatter reaction.</t>
  </si>
  <si>
    <t>Apollo lays a big kiss on Lt. Carolyn Palamas, again.</t>
  </si>
  <si>
    <t>Scotty feels the need to protect Lt. Carolyn Palamas from Apollo.</t>
  </si>
  <si>
    <t>Jefferies Tube shown in background as crewman climbing out.</t>
  </si>
  <si>
    <t>Redshirt technician with Padd in transporter room.</t>
  </si>
  <si>
    <t>Uhura trades Padd for Padd (small), writes on Padd (small).</t>
  </si>
  <si>
    <t>McCoy injects Nurse Chapel to revive her after being attacked by Nomad. Works instantly.</t>
  </si>
  <si>
    <t>Uhura sing while waiting for Lt. Singh to get her information.</t>
  </si>
  <si>
    <t>Redshirt security officer shoots nomad with phaser, no effect.</t>
  </si>
  <si>
    <t>Kirk fires photon torpedo at Nomad.</t>
  </si>
  <si>
    <t>Nomad transported from space to Enterprise.</t>
  </si>
  <si>
    <t>Scotty working in the Jefferies Tube to route power to the transporter so they can cross the dimensional rift.</t>
  </si>
  <si>
    <t>Lt. Marlena Moreau hands Kirk the Padd to sign. Kirk stares at her for a minute, signs it, and hands back. McCoy asks if he knows her.</t>
  </si>
  <si>
    <t>Uhura hands Kirk a Padd.</t>
  </si>
  <si>
    <t>Kirk saved by double crossing henchman against Mirror Chekov.</t>
  </si>
  <si>
    <t>McCoy injects Mirror Spock t save his life after a crack on the skull.</t>
  </si>
  <si>
    <t>Scotty working in the Jeffries Tubes on Mirror Enterprise.</t>
  </si>
  <si>
    <t>Women in mirror universe all wear bare midriff uniforms, cause they're evil.</t>
  </si>
  <si>
    <t>McCoy examines Mirror Spock in sick bay after getting cracked skull.</t>
  </si>
  <si>
    <t>Cuddle Bug</t>
  </si>
  <si>
    <t>Chekov constantly wants to be in touch with Yeoman Martha Landon.</t>
  </si>
  <si>
    <t>Chekov</t>
  </si>
  <si>
    <t>Lt. Kaplan killed by lightening bolt created by Vaal.</t>
  </si>
  <si>
    <t>Lt. Mallory killed by stepping on explosive rock.</t>
  </si>
  <si>
    <t>Enterprise pulling away from planet when Vaal reaches out an grabs ship again. And everyone goes flying.</t>
  </si>
  <si>
    <t>Kirk, Spock, Chekov, and two Redshirts transport down from Enterprise to Gamma Trianguli VI.</t>
  </si>
  <si>
    <t>Kirk, Spock, Chekov, and two Redshirts, fail to transport from Gamma Trianguli VI to Enterprise.</t>
  </si>
  <si>
    <t>McCoy and two Redshirts transport down from Enterprise to Gamma Trianguli VI.</t>
  </si>
  <si>
    <t>Commodore Decker pilots a shuttlecraft into The Machine as atonement for the loss of his crew - which gives Kirk and Spock the hint they need to destroy it.</t>
  </si>
  <si>
    <t>tricorder</t>
  </si>
  <si>
    <t>padd</t>
  </si>
  <si>
    <t>warp</t>
  </si>
  <si>
    <t>Miner dissolved with corrosive acid by Horta.</t>
  </si>
  <si>
    <t>Lt. Tomleson killed when Enterprise hit by Romulan plasma bolt.</t>
  </si>
  <si>
    <t>Alert: Red Alert, Yellow Alert</t>
  </si>
  <si>
    <t>Goldshirt.</t>
  </si>
  <si>
    <t>McCoy examines Commodore Decker on Constellation</t>
  </si>
  <si>
    <t>Lt. Washburn</t>
  </si>
  <si>
    <t>phlebotinum</t>
  </si>
  <si>
    <t>McCoy and Commodore Decker transport from Constellation to Enterprise</t>
  </si>
  <si>
    <t>Kirk receives call from Scotty</t>
  </si>
  <si>
    <t>Scotty uses three pronged probe to cross connect warp controls to impulse engines</t>
  </si>
  <si>
    <t>Commodore Decker fires Enterprise phasers at Doomsday Machine - no effect</t>
  </si>
  <si>
    <t>Kirk calls Enterprise - no answer</t>
  </si>
  <si>
    <t>Lt. Palmer gives full damage report to Mr. Spock.</t>
  </si>
  <si>
    <t>Scotty transports from Constellation to Enterprise</t>
  </si>
  <si>
    <t>Scotty repairs circuits in Jefferies Tube for transporters</t>
  </si>
  <si>
    <t>Kirk attempts to transport from Constellation to Enterprise but transporter shorts out.</t>
  </si>
  <si>
    <t>Ship's Log-2 (Kirk): additional entry. Since our mission was routine, we had beamed down to the planet without suspicion. We were unaware each member of the landing party was seeing a different woman, a different Nancy Crater.</t>
  </si>
  <si>
    <t>Ship's Log-4 (Kirk): Stardate 1513.8. I am now certain that the violent death of my crewmen was caused by some strange life-form.</t>
  </si>
  <si>
    <t>Ship's Log-1 (Kirk): Our position, orbiting Psi 2000, an ancient world, now a frozen wasteland, about to rip apart in its death throes. Our mission, pick up a scientific party below, observe the disintegration of the planet.</t>
  </si>
  <si>
    <t>Ship's Log-2 (Kirk): Stardate 1704.2. The science party we were to have picked up has been found dead. Life support systems had been turned off. Station personnel, frozen to death. Conditions highly unusual. Meanwhile, we remain in orbit to complete our mission, close scientific measurement of the break-up of this planet.</t>
  </si>
  <si>
    <t>Ship's Log-3 (Kirk): supplemental. Our orbit tightening. Our need for efficiency, critical. But unknown to us, a totally new and unusual disease has been brought aboard.</t>
  </si>
  <si>
    <t>Ship's Log-1 (Kirk): Stardate 1329.8. The U.S.S. Enterprise in pursuit of an unidentified vessel.</t>
  </si>
  <si>
    <t>Ship's Log-4 (Kirk): Stardate 1330.1. Position, fourteen hours out of Rigel 12. We're on auxiliary impulse engines. Fuel low, barely sufficient to achieve orbit over the planet. Lithium replacements are now imperative. The effect of Mudd's women on my crew continues to grow, still totally unexplained. Harry Mudd is confined to his quarters under guard.</t>
  </si>
  <si>
    <t>Ship's Log-5 (Kirk): Transporting down to surface of planet Rigel 12 to acquire replacement lithium crystals. Expect further difficulty from miners.</t>
  </si>
  <si>
    <t>Ship's Log-4 (Kirk): supplement. This is the second day of the seven left to us. We've found nothing. Enterprise is standing by with labs and computers ready to assist us.</t>
  </si>
  <si>
    <t>Ship's Log-4 (Spock): First officer Spock, acting captain. I must now use an ancient Vulcan technique to probe into Van Gelder's tortured mind.</t>
  </si>
  <si>
    <t>Ship's Log-3 (Kirk): supplemental. Mister Spock, on trial for mutiny, has forced the court to accept unusual evidence. On our monitor screen, the voyage of Captain Pike and the Enterprise to the one forbidden world in all the galaxy.</t>
  </si>
  <si>
    <t>Ship's Log-2 (Kirk): Stardate 1709.6. We are at the Neutral Zone. Have lost contact with the intruder. No reaction on our motion sensors but believe the Romulan vessel to be somewhere close by; With all engines and systems shut down, the Enterprise is also playing the silent waiting game in hope of regaining contact.</t>
  </si>
  <si>
    <t>Ship's Log-3 (Kirk): supplemental. Now motionless for nine hours, forty seven minutes.</t>
  </si>
  <si>
    <t>Ship's Log-1 (Kirk): Stardate 3025 er, point 3. We are orbiting an uninhabited planet in the Omicron Delta region. A planet remarkably like Earth, or how we remember Earth to be. Park-like, beautiful, green, flowers, trees, green lawn, quiet and restful. Almost too good to be true.</t>
  </si>
  <si>
    <t>Ship's Log-2 (Kirk): Stardate 3025.8. Investigation of this increasingly unusual planet continues, and we are seeing things that cannot possibly exist, yet they are undeniably real.</t>
  </si>
  <si>
    <t>Ship's Log-2 (Kirk): Stardate 2821.7. The electromagnetic phenomenon known as Murasaki Three Twelve whirls like some angry blight in space, a depressive reminder that seven shipmates still have not been heard from. Equally bad, the effect has rendered our normal searching systems useless. Without them, we are blind and almost helpless.</t>
  </si>
  <si>
    <t>Ship's Log-5 (Kirk): supplement. The search parties have returned to the ship, and the Columbus is on its way back. I have been compelled to abandon the search.</t>
  </si>
  <si>
    <t>Ship's Log-3 (Spock): Stardate 2126.3. First Officer Spock reporting. Still no word from Captain Kirk on the surface below us. Waiting time is almost up. I will soon be forced to attempt departure as per instructions.</t>
  </si>
  <si>
    <t>Ship's Log-1 (Kirk): Stardate 3045.6 The Enterprise has responded to a call from Earth observation outpost on Cestus Three. On landing, we have discovered that the outpost has been destroyed.</t>
  </si>
  <si>
    <t>Ship's Log-2 (Kirk): supplement. We have beamed back to the Enterprise and immediately set out in pursuit of the alien vessel. It appears to be headed toward a largely unexplored section of the galaxy.</t>
  </si>
  <si>
    <t>Ship's Log-3 (Kirk): Stardate 3046.2. We are in hot pursuit of the alien vessel which destroyed the Earth outpost on Cestus Three.</t>
  </si>
  <si>
    <t>Ship's Log-2 (Kirk): Stardate 1533.7. We have taken aboard an unusual passenger for transport to Colony Alpha Five. Charles Evans, the sole survivor of a transport crash fourteen years ago. The child, alone from age three, has not only survived, but has grown to intelligent, healthy adolescence.</t>
  </si>
  <si>
    <t>Ship's Log-3 (Kirk): Stardate 1535.8. UESPA headquarters notified of the mysterious loss of science probe vessel Antares.</t>
  </si>
  <si>
    <t>Ship's Log-3 (Kirk): Stardate 1313.3. Note commendations on Lieutenant Kelso and the engineering staff. In orbit above us, the engines of the Enterprise are almost fully regenerated. Balance of the landing party is being transported back up. Mitchell, whatever he's become, keeps changing, growing stronger by the minute.</t>
  </si>
  <si>
    <t>Ship's Log-1 (Kirk): Stardate 1512.2. On our third day of star mapping, an unexplained cubical object blocked our vessel's path. On the Bridge, Mister Spock immediately ordered general alert. My location, Sickbay. Quarterly physical check.</t>
  </si>
  <si>
    <t>Ship's Log-2 (Kirk): Stardate 1513.8. Star maps reveal no indication of habitable planets nearby. Origin and purpose of the cube still unknown. We've been here, held motionless, for eighteen hours.</t>
  </si>
  <si>
    <t>Ship's Log-4 (Kirk): Stardate 1514.1. The Enterprise is in tow. To this point, no resistance has been offered. My plan? A show of resignation. Balok's tractor beam has to be a heavy drain of power on his small ship. Question. Will he grow careless?</t>
  </si>
  <si>
    <t>Ship's Log-1 (Kirk): Stardate 2817.6. Starship Enterprise diverted from scheduled course. Purpose, to confirm discover by Doctor Thomas Leighton of an extraordinary new synthetic food which would totally end the threat of famine on Cygnia Minor, a nearby Earth colony.</t>
  </si>
  <si>
    <t>Ship's Log-4 (Kirk): Stardate 1704.4. Ship out of control, spiraling down towards planet Psi 2000. We have nineteen minutes of life left without engine power or helm control.</t>
  </si>
  <si>
    <t>Ship's Log-1 (Kirk): Stardate 1672.1. Specimen-gathering mission on planet Alpha 177. Unknown to any of us during this time, a duplicate of me, some strange alter ego, had been created by the transporter malfunction.</t>
  </si>
  <si>
    <t>Ship's Log-3 (Kirk): Stardate 1673.1. Something has happened to me. Somehow, in being duplicated, I have lost my strength of will. Decisions are becoming more and more difficult.</t>
  </si>
  <si>
    <t>Ship's Log-4 (Kirk): Stardate 1673.5. Transporter still inoperable. My negative self is under restraint in Sickbay. My own indecisiveness growing. My force of will steadily weakening. On the planet, condition critical. Surface temperature is seventy five degrees below zero, still dropping.</t>
  </si>
  <si>
    <t>Ship's Log-1 (Kirk): Stardate 2713.5. In the distant reaches of our galaxy, we have made an astonishing discovery. Earth type radio signals coming from a planet which apparently is an exact duplicate of the Earth. It seems impossible, but there it is.</t>
  </si>
  <si>
    <t>Ship's Log-2 (Kirk): Stardate 2713.6. The building Miri led us to also housed an automatic transmission station, which sent out the signal that drew us to this planet. We also discovered something else. That the blues blotches, characteristic of the unknown disease had appeared on each of us, with the exception of Mister Spock. There was a well-equipped laboratory in the building. Doctor McCoy took tissue samples of each of us in an attempt to isolate the organism responsible.</t>
  </si>
  <si>
    <t>Ship's Log-1 (Kirk): Stardate 2715.1. Exchanged cargo with penal colony on Tantalus V. I've departed without going ashore.</t>
  </si>
  <si>
    <t>Ship's Log-3 (Kirk): Stardate 2715.2. Standard orbit, planet Tantalus V.</t>
  </si>
  <si>
    <t>Ship's Log-1 (Kirk): Stardate 3012.4. Despite our best efforts to disengage computers, the Enterprise is still locked on a heading for the mysterious planet Talos Four. Meanwhile, as required by Starfleet General Orders, a preliminary hearing on Lieutenant Commander Spock is being convened. And in all the years of my service, this is the most painful moment I've ever faced.</t>
  </si>
  <si>
    <t>Ship's Log-2 (Kirk): Stardate 3012.6. General Court-Martial convened. Mister Spock has again waived counsel and has entered a plea of guilty.</t>
  </si>
  <si>
    <t>Ship's Log-2 (Kirk): Stardate 2818.9. There are many questions in my mind, too many, perhaps, about the actor Karidian and his daughter. For personal reasons, I'm almost afraid to learn the answers.</t>
  </si>
  <si>
    <t>Ship's Log-5 (Kirk): Stardate 2819.8. Suspect under surveillance. Strategic areas under double guard. Performance of the Karidian Players taking place as scheduled.</t>
  </si>
  <si>
    <t>Ship's Log-1 (Kirk): Stardate 1709.2. Patrolling outposts guarding the neutral zone between planets Romulus and Remus and the rest of the galaxy, received emergency call from outpost 4. The U.S.S. Enterprise is moving to investigate and assist.</t>
  </si>
  <si>
    <t>Ship's Log-1 (Kirk): Stardate 2821.5. On route to Makus Three with a cargo of medical supplies. Our course leads us past Murasaki 312, a quasar-like formation, vague, undefined. A priceless opportunity for scientific investigation. On board is Galactic High Commissioner Ferris, overseeing the deliver of the medicines to Makus Three.</t>
  </si>
  <si>
    <t>Ship's Log-3 (Kirk): Stardate 2822.3. We continue to search, but I find it more difficult each moment to ward off a sense of utter futility and great loss.</t>
  </si>
  <si>
    <t>Ship's Log-4 (Kirk): Stardate 2823.1. Our landing parties are on the surface of Taurus Two. We continue to hope. Instruments are slowly returning to an operable condition as the ion storm slowly disperses. On the ship, we can only wait helplessly.</t>
  </si>
  <si>
    <t>Ship's Log-1 (Kirk): Stardate 3113.2. We were en-route to Starbase 9 for resupply when a black star of high gravitational attraction began to drag us toward it. It required all warp power in reverse to pull us away from the star. But, like snapping a rubber band, the breakaway sent us plunging through space, out of control, to stop here, wherever we are.</t>
  </si>
  <si>
    <t>Ship's Log-3 (Kirk): Stardate 3113.7. Our engines are being repaired, but we are still locked in time, and we have aboard a passenger whom we do not want, and we cannot return.</t>
  </si>
  <si>
    <t>Ship's Log-4 (Spock): Stardate 3113.9. First Officer Spock recording. Due to an unfortunate accident, we have taken aboard another unwanted passenger.</t>
  </si>
  <si>
    <t>Ship's Log-5 (Kirk): Stardate 3114.1. We must make an attempt to break free of this time, or we and our reluctant passengers will remain its prisoners. All we have is a theory and a few facts.</t>
  </si>
  <si>
    <t>Ship's Log-2 (Kirk): Stardate 2948.5. Starship Enterprise remains in orbit around Starbase Eleven. Full repairs in progress. I've been ordered to stand by on Starbase Eleven until the inquiry into the death of Lieutenant Commander Finney can be conducted. I'm confident of the outcome.</t>
  </si>
  <si>
    <t>Ship's Log-3 (Kirk): Stardate 2948.9. The officers who will comprise my court-martial board are proceeding to Starbase Eleven. Meanwhile, repairs on the Enterprise are almost complete.</t>
  </si>
  <si>
    <t>Ship's Log-4 (Spock): Stardate 2949.9. The evidence presented by the visual playback to my general court-martial was damning. I suspect even my attorney has begun to doubt me.</t>
  </si>
  <si>
    <t>Ship's Log-5 (Kirk): Stardate 2950.1. After due consideration, the general court-martial has reconvened on board the Enterprise.</t>
  </si>
  <si>
    <t>Ship's Log-1 (Kirk): Stardate 3156.2. While orbiting planet Beta Three trying to find some trace of the starship Archon that disappeared here a hundred years ago, a search party consisting of two Enterprise officers were sent to the planet below. Mister Sulu has returned, but in a highly agitated mental state. His condition requires I beam down with an additional search detail.</t>
  </si>
  <si>
    <t>Ship's Log-2 (Kirk): stardate 3157.4. The Enterprise, still under attack by some sort of heat rays from the surface of Beta Three, is now being commanded by Engineering Officer Scott. The shore party has been taken by the creature called Landru.</t>
  </si>
  <si>
    <t>Ship's Log-5 (Spock):Stardate 1673.1. Entry made by Second Officer Spock. Captain Kirk retains command of this vessel, but his force of will rapidly fading. Condition of landing party critical. Transporter unit still under repair.</t>
  </si>
  <si>
    <t>Ship's Log-1 (Kirk): stardate 3141.9. A full hour has elapsed since interception of the strange vessel. Our presence alongside is still being completely ignored. Although our sensors continue to show signs of equipment and life aboard, there has been no indication of danger to us.</t>
  </si>
  <si>
    <t>Ship's Log-2 (Kirk): supplemental. Alongside the SS Botany Bay for ten hours now. A boarding party of engineering and medical specialists are now completing their examination of the mysterious vessel. Attempts to revive other sleepers await our success or failure with the casualty already beamed over. Doctor McCoy is frankly amazed at his physical and recuperative power.</t>
  </si>
  <si>
    <t>Ship's Log-2 (Kirk): stardate 3192.5. Now in standard orbit around planet Eminiar Seven. My orders are clear. We must establish diplomatic relations at all cost. Preparing to beam down to planet surface.</t>
  </si>
  <si>
    <t>Ship's Log-4 (Scotty): stardate 3193.0. Chief Engineer Scott recording. The Captain and First Officer are overdue and missing on the surface of Eminiar Seven. I have taken standard precautionary measures while we continue our attempts to locate them.</t>
  </si>
  <si>
    <t>Ship's Log-1 (Kirk): stardate 3417.3. We thought our mission to Omicron Ceti Three would be an unhappy one. We had expected to find no survivors of the agricultural colony there. Apparently, our information was incorrect.</t>
  </si>
  <si>
    <t>Ship's Log-1 (Kirk): stardate 3198.4. We have reached Organia and established standard orbit. No signs of hostile activities in this area.</t>
  </si>
  <si>
    <t>Ship's Log-2 (Kirk): stardate 3201.7. Mister Spock and I are trapped on the planet Organia, which is in the process of being occupied by the forces of the Klingon Empire. The Organians have provided us with native clothing in the hopes we may be taken for Organians.</t>
  </si>
  <si>
    <t>Ship's Log-1 (Kirk): stardate 3087.6. While investigating an uncharted planet, the Enterprise and at least this entire quadrant of space, has been subjected to violent, unexplained stress and force. Sensors have reported the presence of a human being on the planet below who might be connected with the phenomenon. With my first officer and a security team, I have set out in search of him.</t>
  </si>
  <si>
    <t>Ship's Log-2 (Kirk): stardate 3088.3. We continue to orbit the dead planet, which seems to be the source of the phenomenon which has struck the Enterprise and all sections of the galaxy once again. As for Lazarus, the story he tells me about the humanoid continues to trouble me.</t>
  </si>
  <si>
    <t>Ship's Log-3 (Kirk): stardate 3088.7. We are no closer to finding an answer to the strange phenomenon than we were at the beginning. Not only have two of my crewmen been attacked, two of our dilithium crystals are missing, and without them the Enterprise cannot operate at full power. They must be found.</t>
  </si>
  <si>
    <t>Ship's Log-3 (Kirk): stardate 3289.8. I am faced with the most difficult decision of my life. Unless we find a way to destroy the creatures without killing their human hosts, my command responsibilities will force me to kill over a million people.</t>
  </si>
  <si>
    <t>Ship's Log-1 (Kirk): stardate 3372.7. On course, on schedule, bound for Altair Six via Vulcan. First Officer Spock seems to be under stress. He has requested and been granted shore leave. Ship surgeon McCoy has him under medical surveillance.</t>
  </si>
  <si>
    <t>Ship's Log-1 (Kirk): stardate 3468.1. While approaching Pollux Four, a planet in the Beta Geminorum system, the Enterprise has been stopped in space by an unknown force of some kind.</t>
  </si>
  <si>
    <t>Ship's Log-1 (Kirk): stardate 3541.9. The presence of Nomad aboard my ship has become nightmarish. Now it apparently means to return to Earth. Once there, it would automatically destroy all life.</t>
  </si>
  <si>
    <t>Ship's Log-2 (Kirk): supplemental. I command an Enterprise where officers apparently employ private henchmen among the crew, where assassination of superiors is a common means of advancing in rank.</t>
  </si>
  <si>
    <t>Ship's Log-1 (Kirk): stardate 3715.3. While making a routine exploration of the unexplored Gamma Trianguli Six, one of my men has been killed by a poisonous plant.</t>
  </si>
  <si>
    <t>Ship's Log-2 (Kirk): supplementary, Our investigation of Gamma Trianguli Six has suddenly turned into a nightmare. We're being watched and followed, Mister Spock has been injured, and now we find we are unable to return to the ship.</t>
  </si>
  <si>
    <t>Ship's Log-1 (Decker): stardate 4202.1. Exceptionally heavy subspace interference still prevents our contacting Starfleet to inform them of the destroyed solar systems we have encountered. We are now entering system L-374. Science Officer Masada reports the fourth planet seems to be breaking up. We are going to investigate.</t>
  </si>
  <si>
    <t>Pike reads Padd.</t>
  </si>
  <si>
    <t>Kirk signs Padd</t>
  </si>
  <si>
    <t>Jackson falls over dead after beaming up</t>
  </si>
  <si>
    <t>Kirk, Spock, and McCoy transport from Enterprise to Pyris VII.</t>
  </si>
  <si>
    <t>Spock scans area after they beam down. Picks up life form readings.</t>
  </si>
  <si>
    <t>flip_communicator</t>
  </si>
  <si>
    <t>Spock scans castle. Finds the source of the life form readings.</t>
  </si>
  <si>
    <t>Kirk calls Enterprise. Still unable to raise the ship.</t>
  </si>
  <si>
    <t>Red Lights flashing after Sylvia heats up the Enterprise with Sympathetic Magic</t>
  </si>
  <si>
    <t>Kirk extremely worried as the Enterprise is heating up in space.</t>
  </si>
  <si>
    <t>Sylvia in black hanging outfit slit up the middle.</t>
  </si>
  <si>
    <t>Spock uses neck pinch on Scotty.</t>
  </si>
  <si>
    <t>Kirk calls Security and puts them on Intruder Alert status</t>
  </si>
  <si>
    <t>Norman the android knocks out Scotty and two technicians.</t>
  </si>
  <si>
    <t>Uhura on bridge almost runs into Norman standing there and jostles her skirt up</t>
  </si>
  <si>
    <t>Norman the android</t>
  </si>
  <si>
    <t>Harry Mudd has 500 versions of the same android woman serving his every need - except allowing him to leave.</t>
  </si>
  <si>
    <t>McCoy sedates Harry Mudd to keep him out of the way while they confuse the androids.</t>
  </si>
  <si>
    <t>Kirk hugs Uhura after her performance with Alice 1</t>
  </si>
  <si>
    <t>Spock tests neck pinch on Alice 210. No effect.</t>
  </si>
  <si>
    <t>Male androids all dressed in white long sleeves and pants while the female androids all dressed in sexy, revealing outfits</t>
  </si>
  <si>
    <t>Kirk, Spock, McCoy, Scotty, Uhura, and Chekov laugh as they leave Harry Mudd with 500 Stella androids.</t>
  </si>
  <si>
    <t>Number One sets phaser to overload to show the Talosians she's not bluffing. Release them or we all die.</t>
  </si>
  <si>
    <t>Pike stands in front of Vina to protect her during a dream sequence.</t>
  </si>
  <si>
    <t>Shuttlecraft traveling in space with Kirk, Spock, McCoy, and Commissioner Nancy Hedford</t>
  </si>
  <si>
    <t>Shuttlecraft hits the negative space wedgie and shakes the ship.</t>
  </si>
  <si>
    <t>Nancy Hedford tells Kirk to take her to the Enterprise even though the Companion has yanked them off course.</t>
  </si>
  <si>
    <t>Spock scanning planetoid conditions.</t>
  </si>
  <si>
    <t>McCoy sedates Nancy Hedford after her crying fit.</t>
  </si>
  <si>
    <t>The Companions is a collection of gases and energy</t>
  </si>
  <si>
    <t>Spock scans disabled shuttlecraft with probe.</t>
  </si>
  <si>
    <t>Companion shorts out circuits in shuttlecraft which erupt in smoke and fire.</t>
  </si>
  <si>
    <t>Spock turns on the contraption and disrupts the Companion. But all it does is make it made. It turns and attacks Kirk and Spock.</t>
  </si>
  <si>
    <t>Spock adjusts the Universal Translator to speak to the Companion.</t>
  </si>
  <si>
    <t>The Companion is an energy being</t>
  </si>
  <si>
    <t>McCoy examines Nancy Hedford after the Companion merges with her.</t>
  </si>
  <si>
    <t>Kirk calls Enterprise (Uhura/Scotty)</t>
  </si>
  <si>
    <t>Hollywood kiss</t>
  </si>
  <si>
    <t>Pike can't stop staring as the Orion slave woman dances.</t>
  </si>
  <si>
    <t>Pike, Spock, Dr. Boyce, Tyler, and 2 crew stare as Vina makes her way between the old scientists.</t>
  </si>
  <si>
    <t>Pike protects Vina by standing in front of her ready to take on the large brute.</t>
  </si>
  <si>
    <t>Talosians psychic abilities create illusions that pleases every want of their captives.</t>
  </si>
  <si>
    <t>Talosian door made from duranium, the supposedly hardest substance in the galaxy.</t>
  </si>
  <si>
    <t>Spock shoots phaser at cave entrance after he sees Talosians take Pike. Blows away the rock but reveals metal door.</t>
  </si>
  <si>
    <t>Phaser Cannon brought down to blast through metal door. Appears to have failed.</t>
  </si>
  <si>
    <t>Spock entertained by vibrating flowers. He even smiles.</t>
  </si>
  <si>
    <t>Spock transports from Talos IV to Enterprise.</t>
  </si>
  <si>
    <t>Pike transports from his cage on Talos IV to Enterprise.</t>
  </si>
  <si>
    <t>Number One and Yeoman Colt transport from cage on Talos IV to Enterprise.</t>
  </si>
  <si>
    <t>Pike, Spock, Dr. Boyce, Tyler, and 2 crew transport from Enterprise to Talos IV.</t>
  </si>
  <si>
    <t>Number One and Yeoman Colt transport to Talos IV leaving Spock, Tyler, and 2 crew on transporter pads.</t>
  </si>
  <si>
    <t>Vina, as an Orion Slave Woman, dances a very sensuous dance in a scanty green dress.</t>
  </si>
  <si>
    <t>World is sandy with big rocks.</t>
  </si>
  <si>
    <t>World is World is sandy with big rocks.</t>
  </si>
  <si>
    <t>Yeoman Rand with tricorder on bridge.</t>
  </si>
  <si>
    <t>Dr. Crater killed by Salt Creature in sick bay.</t>
  </si>
  <si>
    <t>Nancy Crater killed by Salt Creature (in the past.) on M-113.</t>
  </si>
  <si>
    <t>Darnell killed by Salt Creature on M-113.</t>
  </si>
  <si>
    <t>Lt. Sturgeon Killed by Salt Creature on M-113.</t>
  </si>
  <si>
    <t>Salt Creature killed by McCoy with phaser on Enterprise.</t>
  </si>
  <si>
    <t>McCoy examines Dr. Crater on M-113.</t>
  </si>
  <si>
    <t>Kirk signs Padd.</t>
  </si>
  <si>
    <t>Thasians take Charlie Evans back to prevent him from harming anyone else.</t>
  </si>
  <si>
    <t>Kirk, Spock, and McCoy discuss the Companion.</t>
  </si>
  <si>
    <t>Uhura sings as Spock play the Vulcan lyre.</t>
  </si>
  <si>
    <t>Uhura flirts with Spock on the bridge. Tries to get him to come on to her. Utter fail.</t>
  </si>
  <si>
    <t>Spock and Charlie play 3d chess. Spock checkmates Charlie quickly. Charlie gets mad and melts chess pieces.</t>
  </si>
  <si>
    <t>Kirk attempts to explain to Charlie Evans about what's wrong with slapping Yeoman Rand on ass. He doesn't understand.</t>
  </si>
  <si>
    <t>Kirk fumbles the talk with Charlie Evans about Yeoman Rand. Odd for the supposed womanizing Kirk.</t>
  </si>
  <si>
    <t>Bridge stations in a shower of sparks when Enterprise hits the galactic barrier.</t>
  </si>
  <si>
    <t>Kirk ribs Spock about his heritage in the ending sequence.</t>
  </si>
  <si>
    <t>An energy barrier at the edge of the galaxy gives humans godlike telekinetic powers.</t>
  </si>
  <si>
    <t>Sulu began his Enterprise career as head of Astro Sciences.</t>
  </si>
  <si>
    <t>Scotty began his Enterprise career as helmsman.</t>
  </si>
  <si>
    <t>Transport recorder probe from space to Enterprise.</t>
  </si>
  <si>
    <t>Psi 2000 virus causes everyone infected to start acting on their inner impulses.</t>
  </si>
  <si>
    <t>Nurse Chapel smooths her skirt over her thighs waiting to approach Spock. Probably wanted to look her sexiest.</t>
  </si>
  <si>
    <t>Sulu gets amorous for Uhura but she's not interested in him.</t>
  </si>
  <si>
    <t>Scotty gets engines started in less than 30 minutes. And they said it couldn't be done…</t>
  </si>
  <si>
    <t>Yeoman Rand prettying herself in front of mirror. A prime function of a starship yeoman.</t>
  </si>
  <si>
    <t>Applied Phlebotinum</t>
  </si>
  <si>
    <t>Forgotten Phlebotinum</t>
  </si>
  <si>
    <t>Kirk, Spock, and McCoy +1 discuss the Enterprise in a decaying planetary orbit.</t>
  </si>
  <si>
    <t>Spock and Lt. Tormolen transport from Research Station on Psi 2000 to Enterprise.</t>
  </si>
  <si>
    <t>Scotty scans circuits with large tricorder trying to fix transporter.</t>
  </si>
  <si>
    <t>Evil-Kirk attacks security officer in Enterprise corridor.</t>
  </si>
  <si>
    <t>Spock uses neck pinch on Evil-Kirk just as he was about to kill Kirk with a phaser. Instead, evil-Kirk blasts a hole in tubing with transporter controls.</t>
  </si>
  <si>
    <t>Goof: Passengers transported from transport ship to Enterprise while Enterprise shields are up.</t>
  </si>
  <si>
    <t>Harry Mudd sends Ruth Bonavure to seduce Kirk for information. She can't go through with it. The drug was wearing off.</t>
  </si>
  <si>
    <t>Venus Drug given to women by Harry Mudd. Makes all the males on board desire them.</t>
  </si>
  <si>
    <t>Harry Mudd sends the women to seduce crewman to get what they need to deal with the miners.</t>
  </si>
  <si>
    <t>Harry Mudd transports down to Rigel XII to make a deal with the miners.</t>
  </si>
  <si>
    <t>Kirk, Spock, and Harry Mudd transport down to Rigel XII to find Eve after she ran away into the storm.</t>
  </si>
  <si>
    <t>Kirk seduces the android Andrea. She can't resist him.</t>
  </si>
  <si>
    <t>alternate_universe</t>
  </si>
  <si>
    <t>Fight Cthulhu</t>
  </si>
  <si>
    <t>Fight Robot</t>
  </si>
  <si>
    <t>Yeoman Barrows knew that princess dress would drive McCoy crazy.</t>
  </si>
  <si>
    <t>Instant Seduction</t>
  </si>
  <si>
    <t>Kiss Of Maybe Next Time ***</t>
  </si>
  <si>
    <t>Flint created android of Rayna so he could have a forever companion.</t>
  </si>
  <si>
    <t>All the beautiful female androids were designed by Harry Mudd</t>
  </si>
  <si>
    <t>Robot girl designed by Flint so he could have a companion.</t>
  </si>
  <si>
    <t>Commander Hansen killed when Romulans destroy outpost four.</t>
  </si>
  <si>
    <t>Smithers (a miner) is dissolved with corrosive acid by Horta.</t>
  </si>
  <si>
    <t>Lt. Hendorf killed by deadly plant thorns.</t>
  </si>
  <si>
    <t>Ensign Marple killed by native, gets his head bashed in.</t>
  </si>
  <si>
    <t>Jackson falls over dead after beaming up. Sylvia destroyed his mind.</t>
  </si>
  <si>
    <t>Sylvia is the pushy bad guy to Korob being the passive one.</t>
  </si>
  <si>
    <t>First use of the Universal Translator. Used to speak with the Companion.</t>
  </si>
  <si>
    <t>Sylvia, The female magician. First time she's ever had a human form.</t>
  </si>
  <si>
    <t xml:space="preserve">Commissioner Nancy Hedford is dying from disease and needs to get to Enterprise.  </t>
  </si>
  <si>
    <t>The Companions is a collection of gases, energy, and electrical impulse.</t>
  </si>
  <si>
    <t>hug happy ***</t>
  </si>
  <si>
    <t>Spock scans crops in field with tricorder.</t>
  </si>
  <si>
    <t>Spock scans settlement with tricorder.</t>
  </si>
  <si>
    <t>Spock scans Lazarus ship with tricorder.</t>
  </si>
  <si>
    <t>Spock scans guardian with tricorder.</t>
  </si>
  <si>
    <t>Spock scans surroundings with tricorder.</t>
  </si>
  <si>
    <t>Spock considering his options on how to get the Galileo Seven back into space.</t>
  </si>
  <si>
    <t>Spock tries to classify Trelane to Kirk after their adventure for his report.</t>
  </si>
  <si>
    <t>Spock upon his first glance of the Horta.</t>
  </si>
  <si>
    <t>Spock studies the silicon nodules from the mine and asks Chief Vanderberg about them.</t>
  </si>
  <si>
    <t>Spock: Precisely, Captain, and in a manner of speaking, we have given the people of Vaal the apple, the knowledge of good and evil if you will, as a result of which they too have been driven out of paradise. | Kirk: Doctor, do I understand him correctly? Are you casting me in the role of Satan? | Spock: Not at all, Captain. | Kirk: Is there anyone on this ship who even remotely looks like Satan? (McCoy and Kirk walk around Spock. McCoy is gazing intently at his ears.) | Spock: I am not aware of anyone who fits that description, Captain. | Kirk: No, Mister Spock. I didn't think you would be.</t>
  </si>
  <si>
    <t>class_m sos</t>
  </si>
  <si>
    <t>class_m</t>
  </si>
  <si>
    <t>Kirk, McCoy, Uhura, and Scotty are transported to another universe populated by evil twins of the crew.</t>
  </si>
  <si>
    <t>Doomsday Machine holds Enterprise in a tractor beam drawing it in front of its weapon.</t>
  </si>
  <si>
    <t>Enterprise tows Constellation with tractor beam.</t>
  </si>
  <si>
    <t>The Doomsday Machine shoots out beams of pure anti-protons.</t>
  </si>
  <si>
    <t>Norman is an extremely advanced android and the only one of its kind.</t>
  </si>
  <si>
    <t>Bitch Alert</t>
  </si>
  <si>
    <t>trident_scanner</t>
  </si>
  <si>
    <t>Replacement Goldfish</t>
  </si>
  <si>
    <t>self_destruct</t>
  </si>
  <si>
    <t>Screw The Rules, I'm Doing What's Right</t>
  </si>
  <si>
    <t>Secretly Dying</t>
  </si>
  <si>
    <t>Sylvia wears outfits to accentuate she's a woman where Korob wears bulky robes covering his entire body.</t>
  </si>
  <si>
    <t>Edith Keeler</t>
  </si>
  <si>
    <t>Stripperiffic</t>
  </si>
  <si>
    <t xml:space="preserve">Sylvia changed from her body covering, flowing outfit to </t>
  </si>
  <si>
    <t>Korob and Sylvia command great technological power.</t>
  </si>
  <si>
    <t>Green killed by Salt Creature on M-113.</t>
  </si>
  <si>
    <t>Ensign O'Neill killed by caveman.</t>
  </si>
  <si>
    <t>Kirk killed (supposedly) in fight with Spock on Vulcan.</t>
  </si>
  <si>
    <t>Phlebotinum Overdose</t>
  </si>
  <si>
    <t>Bad Science ***</t>
  </si>
  <si>
    <t>Nomad has the power to repair all damage to a dead person and bring them back to life.</t>
  </si>
  <si>
    <t>Andorian one of the mental patients was Andorian.</t>
  </si>
  <si>
    <t>Mauve Shirt</t>
  </si>
  <si>
    <t>McCoy examines Dr. Crater with tricorder in Dr. Crater's house.</t>
  </si>
  <si>
    <t>Kirk chokes Dr. Korby with rope.</t>
  </si>
  <si>
    <t>Kirk fights Dr. Korby.</t>
  </si>
  <si>
    <t>Dr. Korby commands Andrea to kiss Kirk.</t>
  </si>
  <si>
    <t>Dr. Korby is revealed to Nurse Chapel to be an android.</t>
  </si>
  <si>
    <t>Dr. Korby sets phaser to kill.</t>
  </si>
  <si>
    <t>Dr. Korby destroyed by Andrea (android) with phaser.</t>
  </si>
  <si>
    <t>Ruk destroyed by Dr. Korby with phaser.</t>
  </si>
  <si>
    <t>Dr. Korby makes Kirk android to infiltrate Enterprise.</t>
  </si>
  <si>
    <t>Kirk and Nurse Chapel transport down from Enterprise to Exo III to meet with Dr. Korby.</t>
  </si>
  <si>
    <t>Creation of perfect android replicants of humans… forgotten until the next time they run into perfect android replicants.</t>
  </si>
  <si>
    <t>Sturgeon (killed by Salt Creature on M-113.)</t>
  </si>
  <si>
    <t>Green (killed by Salt Creature on M-113.)</t>
  </si>
  <si>
    <t>Nancy Crater is revealed to be the Salt Creature that killed the original Nancy Crater years ago.</t>
  </si>
  <si>
    <t>Dr. Crater fires phaser at Kirk and Spock blowing apart some of the ruins. His phaser was already set to kill.</t>
  </si>
  <si>
    <t>Spock attacked by the Salt Creature in sick bay but it didn't like his green blood and Spock survived.</t>
  </si>
  <si>
    <t>Ancient ruins on M-113 are there for crew to wander around.</t>
  </si>
  <si>
    <t>Averted: A female crewman wearing pants!</t>
  </si>
  <si>
    <t>Kirk and Salt Creature (impersonating Green) transport from M-113 to Enterprise.</t>
  </si>
  <si>
    <t>The Talosians have gained extraordinary psychic powers but lost everything else that's important in life.</t>
  </si>
  <si>
    <t>Dr. Boyce</t>
  </si>
  <si>
    <t>Crewman</t>
  </si>
  <si>
    <t>Number One</t>
  </si>
  <si>
    <t>Tyler</t>
  </si>
  <si>
    <t>Yeoman Colt</t>
  </si>
  <si>
    <t>Salt Creature is a shape-shifter that can impersonate anybody.</t>
  </si>
  <si>
    <t>Crewman climbs out of Jefferies Tube after routine maintenance operation.</t>
  </si>
  <si>
    <t>Spock plays the Vulcan lyre in rec room.</t>
  </si>
  <si>
    <t>Kirk, Spock, and McCoy discuss their problem with Charlie and his abuse of his powers.</t>
  </si>
  <si>
    <t>Yeoman Rand in flimsy nightgown fixing her hair with nipples visibly showing through the nightgown.</t>
  </si>
  <si>
    <t>Charlie given great mental powers so he could survive on his own.</t>
  </si>
  <si>
    <t>Charlie Evans made phaser disappear. In fact, he made every phaser on board vanish.</t>
  </si>
  <si>
    <t>Crew of Antares (20) killed by Charlie by eliminating a baffle-plate on the energy pile of the Antares which exploded the ship.</t>
  </si>
  <si>
    <t>Thasians bring Sam back after Charlie made him disappear</t>
  </si>
  <si>
    <t>Kirk, Spock, and McCoy discuss the possibility that the Thasians exist.</t>
  </si>
  <si>
    <t>Delta Vega, a sandy world with big rocks.</t>
  </si>
  <si>
    <t>Communications officer picks up an SOS signal. Yes, its still around.</t>
  </si>
  <si>
    <t>Pike: All decks prepare for hyper drive.</t>
  </si>
  <si>
    <t>Pike: Our time warp, factor 7.</t>
  </si>
  <si>
    <t>Pikes inner dreams conjured up the green-skinned Orion slave girl.</t>
  </si>
  <si>
    <t>Number One checks the phasers but the appear dead.</t>
  </si>
  <si>
    <t>Kirk: Lt, contact Starfleet command.</t>
  </si>
  <si>
    <t>Kirk: Warp 1 Mr. Sulu.</t>
  </si>
  <si>
    <t>Spock beats on the Salt Creature to show McCoy its not Nancy Crater. The Salt Creatures bats Spock away with one hand.</t>
  </si>
  <si>
    <t>Yeoman Rand (to Charlie as he follows her around): Have you been nipping Saurian Brandy?</t>
  </si>
  <si>
    <t>Kirk: Set phasers to stun.</t>
  </si>
  <si>
    <t>Kirk: Set your phaser to stun.</t>
  </si>
  <si>
    <t>Sturgeons body transported from M-113 to Enterprise.</t>
  </si>
  <si>
    <t>Uhura: Captain of the Antares is on D channel.</t>
  </si>
  <si>
    <t>Uhura: Hailing frequencies open. | Uhura: Try to raise Thasians.</t>
  </si>
  <si>
    <t>Uhura: Subspace frequency three.</t>
  </si>
  <si>
    <t>Uhura: Try to raise Thasians.</t>
  </si>
  <si>
    <t>Thasians show up to take Charlie Evans back to their world.</t>
  </si>
  <si>
    <t>Kirk: Must be terrible having bad blood like that. (Kirk kidding Spock about his human half.)</t>
  </si>
  <si>
    <t>Kirk: Ahead warp factor 1.</t>
  </si>
  <si>
    <t>Spock: Fascinating. A pattern is developing. First, Tormolen. Hidden personality traits being forced to the surface. Then Riley, who fancies himself a descendant of Irish kings, and now Sulu, who is at heart a swashbuckler out of your 18th century.</t>
  </si>
  <si>
    <t>McCoy rips Kirks shirt to give Kirk a injection. Everybody else gets an injection through their clothes.</t>
  </si>
  <si>
    <t>Spock and Scotty solve implosion calculations just in the nick of time.</t>
  </si>
  <si>
    <t>McCoy (to Spock): Assuming you call that green stuff in your veins blood.</t>
  </si>
  <si>
    <t>Kirk: Kirk: Warp 1.</t>
  </si>
  <si>
    <t>Kirk: Kirk: Warp us out of here.</t>
  </si>
  <si>
    <t>Spock: Locked on base cycle to stun, not kill.</t>
  </si>
  <si>
    <t>Kirk: Set phase cycle stun force.</t>
  </si>
  <si>
    <t>Scotty tries Enterprise to Enterprise transport hoping to merge the two Kirks together.</t>
  </si>
  <si>
    <t>Experiment to merge two dogs together with Enterprise to Enterprise transport.</t>
  </si>
  <si>
    <t>Kirk: Engines ahead, warp factor 1.</t>
  </si>
  <si>
    <t>Venus Drug gives people more of what they have naturally.</t>
  </si>
  <si>
    <t>Eve McHuron: The sound of the male ego. Travel halfway across the galaxy and its still the same song.</t>
  </si>
  <si>
    <t>Uhura starts in gold (command) but gets demoted to a red uniform.</t>
  </si>
  <si>
    <t>Long slow shot of Magda Kovacs legs.</t>
  </si>
  <si>
    <t>Kirk: Put it on all frequencies.</t>
  </si>
  <si>
    <t>Uhura: Beginning signals to surface sir.</t>
  </si>
  <si>
    <t>Uhura: Frequency open Mr. Spock.</t>
  </si>
  <si>
    <t>Yeoman Rand shows spots on legs to Kirk and cries into Kirks chest.</t>
  </si>
  <si>
    <t>McCoy: The little bugs have no appetite for green blood.</t>
  </si>
  <si>
    <t>Kirk: Full ahead, warp 1 factor.</t>
  </si>
  <si>
    <t>Yeoman Rand (to Kirk): I used to try to get to get you to look at my legs. Now look at them.</t>
  </si>
  <si>
    <t>Spock: Emergency Channel D.</t>
  </si>
  <si>
    <t>Uhura: Message Captain, switching to speakers.</t>
  </si>
  <si>
    <t>Kirk records Captains Log on tricorder.</t>
  </si>
  <si>
    <t>Kirk: Take us out of orbit Mr. Spock. warp 1 factor.</t>
  </si>
  <si>
    <t>Kirk: Ship to ship. | Uhura: Hailing frequencies open.</t>
  </si>
  <si>
    <t>Uhura: Hailing frequencies still open. I get no message from them.</t>
  </si>
  <si>
    <t>Kirk: Ahead 1/2 speed.</t>
  </si>
  <si>
    <t>Kirk: Ahead slow.</t>
  </si>
  <si>
    <t>Kirk: Engage 1/2 speed.</t>
  </si>
  <si>
    <t>Kirk: Engage warp 1.</t>
  </si>
  <si>
    <t>Kirk: Engines astern, full speed.</t>
  </si>
  <si>
    <t>Kirk: Helm, give us warp speed.</t>
  </si>
  <si>
    <t>Kirk: Power astern, 1/2 speed.</t>
  </si>
  <si>
    <t>Kirk: Switch to impulse.</t>
  </si>
  <si>
    <t>Sulu: Engage, warp 1 sir.</t>
  </si>
  <si>
    <t>Sulu: Now at warp 3.</t>
  </si>
  <si>
    <t>Sulu: Warp 2 sir.</t>
  </si>
  <si>
    <t>Balok: We therefore grant you ten Earth time periods known as minutes to make preparations.</t>
  </si>
  <si>
    <t>Kirk: Hailing Enterprise. (calling from shuttlecraft).</t>
  </si>
  <si>
    <t>Uhura: Request confirmation from Starfleet.</t>
  </si>
  <si>
    <t>Kirk: All channels cleared Uhura? | Uhura: All channels cleared.</t>
  </si>
  <si>
    <t>Kirk: Ahead warp 1 factor.</t>
  </si>
  <si>
    <t>Kirk: Contact remaining outposts.</t>
  </si>
  <si>
    <t>Uhura: Continuing to challenge, still no response.</t>
  </si>
  <si>
    <t>Uhura: Picking up communications : pipe it in.</t>
  </si>
  <si>
    <t>Uhura: Regaining contact with output 4, switching to speakers.</t>
  </si>
  <si>
    <t>Kirk: Full ahead, maximum warp.</t>
  </si>
  <si>
    <t>Sulu: Our speed is now maximum.</t>
  </si>
  <si>
    <t>Spock: A place (Amusement Park) where people could go and see all sorts of fascinating things.</t>
  </si>
  <si>
    <t>Uhura: McCoy calling from the planet | Kirk: Open a channel Uhura.</t>
  </si>
  <si>
    <t>Sulu checks his phaser, its not working.</t>
  </si>
  <si>
    <t>Kirk: Open a channel: | Uhura : Frequency open sir | Kirk: Anything? | Uhura: All wavelengths dominated by ionization effects. | Kirk: Order Columbus on new search path.</t>
  </si>
  <si>
    <t>Kirk: Order Columbus on new search path.</t>
  </si>
  <si>
    <t>Kirk: Recall search parties and recall the Columbus.</t>
  </si>
  <si>
    <t>Uhura: Columbus has returned. Results negative.</t>
  </si>
  <si>
    <t>Uhura: Nothing clear, just being pulled off course.</t>
  </si>
  <si>
    <t>Uhura: Report from landing party.</t>
  </si>
  <si>
    <t>Kirk: Head out at space normal speed.</t>
  </si>
  <si>
    <t>Scotty MacGyvered the shuttlecraft to work by using the power in the phasers.</t>
  </si>
  <si>
    <t>Kirk: Does your logic find this fascinating?  | Spock: Fascinating I use for the unexpected. In this case, interesting should suffice.</t>
  </si>
  <si>
    <t>Spock (to Trelane): Identify yourself.</t>
  </si>
  <si>
    <t>Kirk: Notify the discovery on subspace radio.</t>
  </si>
  <si>
    <t>Trelane (to Uhura): Felicitations.</t>
  </si>
  <si>
    <t>Uhura: Checked all wavebands, no response.</t>
  </si>
  <si>
    <t>McCoy: …those mathematically perfect brainwaves of yours.</t>
  </si>
  <si>
    <t>Kirk: Ahead warp factor 3.</t>
  </si>
  <si>
    <t>Spock: Fascinating. Good. Good. He knows, Doctor. He has reasoned it out.</t>
  </si>
  <si>
    <t>Spock: Leave channel 1 open, just in case.</t>
  </si>
  <si>
    <t>Uhura: Scanning beams on unusual wavelength.</t>
  </si>
  <si>
    <t>McCoy: You bet your pointed ears I am. | Spock frowns, then Kirk laughs.</t>
  </si>
  <si>
    <t>Kirk: Initiate warp 6.</t>
  </si>
  <si>
    <t>Kirk: Take us back to where were supposed to be, warp factor one.</t>
  </si>
  <si>
    <t>Kirk: Warp factor 7.</t>
  </si>
  <si>
    <t>Kirk: Warp factor 8.</t>
  </si>
  <si>
    <t>Kirk: Fires phasers | Sulu shoots phasers at gorn ship but it has no effect.</t>
  </si>
  <si>
    <t>Uhura: Normal Starfleet channel has nothing on it but static.</t>
  </si>
  <si>
    <t>Uhura: Starfleet control calling enterprise.</t>
  </si>
  <si>
    <t>Kirk: All power Mr. Sulu.</t>
  </si>
  <si>
    <t>Sulu: Off the dial. (regarding their speed).</t>
  </si>
  <si>
    <t>Sulu: Warp 4.</t>
  </si>
  <si>
    <t>Sulu: Warp 7.</t>
  </si>
  <si>
    <t>Sulu: Warp 8.</t>
  </si>
  <si>
    <t>An accident caused by a slingshot effect near a sun sends the Enterprise back to the 1960s. They talk about using it again but its forgotten about.</t>
  </si>
  <si>
    <t>Enterprise computer keeps calling Kirk dear after being repaired on Sigma 14.</t>
  </si>
  <si>
    <t>Padd on desk at Kirks court martial.</t>
  </si>
  <si>
    <t>Kirk: Warp factor one Mr. Hansen.</t>
  </si>
  <si>
    <t>First episode the Prime Directive is mentioned and the first that Kirk breaks it. Kirk believes it only applies to living societies.</t>
  </si>
  <si>
    <t>Spock (examining minion of Landru weapon): Fascinating. This is merely a hollow tube.</t>
  </si>
  <si>
    <t>Kirk convinced Landru-computer that it was killing the body by halting their progress through Mind Control.</t>
  </si>
  <si>
    <t>Kirk: Phasers on stun, wide field.</t>
  </si>
  <si>
    <t>Kirk: Phasers on stun.</t>
  </si>
  <si>
    <t>Uhura: All channels are totally jammed.</t>
  </si>
  <si>
    <t>Uhura: Communication channels are down.</t>
  </si>
  <si>
    <t>Helmsman: On course, warp factor 2.</t>
  </si>
  <si>
    <t>Khans man fights Scotty. Scotty knocks him out.</t>
  </si>
  <si>
    <t>McCoy: Khan has a magnetism, almost electric and it could overpower Lt. McGivers with her preoccupation with the past.</t>
  </si>
  <si>
    <t>Kirk: Men were more adventuresome and bolder, more colorful | Lt. McGivers: Yes sir, I think they were.</t>
  </si>
  <si>
    <t>Lt. McGivers apologizes to Khan about Kirks behavior.</t>
  </si>
  <si>
    <t>Khan changes Lt. McGivers hairdo saying the hair should hand freely. Then he pets the back of her neck.</t>
  </si>
  <si>
    <t>Spock uses neck pinch on Khans man.</t>
  </si>
  <si>
    <t>Bullet bra and skimpy outfits of Khans women.</t>
  </si>
  <si>
    <t>Averted: Khans man struck Uhura across the face one. He gets ready to strike Uhura again.</t>
  </si>
  <si>
    <t>Khans man strikes Uhura across face.</t>
  </si>
  <si>
    <t>While being held captive, Kirk gets an order to Scotty, General Order 24 - total destruction of planet in two hours.</t>
  </si>
  <si>
    <t>Ambassador Fox, and his assistant, transport down from Enterprise to Eminiar 7 while the Enterprises screens were up.</t>
  </si>
  <si>
    <t>McCoy: Telepathic abilities are inherent in Vulcanians.</t>
  </si>
  <si>
    <t>Kirk: Nothing yet Lt. Uhura? | Uhura: Nothing Captain, hailing frequencies are open.</t>
  </si>
  <si>
    <t>Fox: Lt., open up a channel and keep it open.</t>
  </si>
  <si>
    <t>Scotty: Open a channel, Lt.</t>
  </si>
  <si>
    <t>Uhura: Message coming in from Eminiar VII. its code 17.</t>
  </si>
  <si>
    <t>Kirk purposely insults Spock to try to break the spores hold.</t>
  </si>
  <si>
    <t>Kirk: Man stagnates if he has no ambition, no desire to be more than he is.</t>
  </si>
  <si>
    <t>Spock (to Lella): I love you.</t>
  </si>
  <si>
    <t>Spock wants security to attempt to capture the creature if possible. | Kirk: Your orders are shoot to kill.</t>
  </si>
  <si>
    <t>Spock examines silicon nodule. Kirk: You seem fascinated by this rock.</t>
  </si>
  <si>
    <t>Spock: Fascinating. (while observing Horta).</t>
  </si>
  <si>
    <t>McCoy (to Spock): Did the Horta have anything to say about those ears?.</t>
  </si>
  <si>
    <t>Kirk: Warp 2 factor.</t>
  </si>
  <si>
    <t>Horta. Except there are thousands of eggs, some of them hatching by episodes end.</t>
  </si>
  <si>
    <t>Klingon: He claims to be a Vulcanian merchant.</t>
  </si>
  <si>
    <t>Spock: Fascinating, pure energy.</t>
  </si>
  <si>
    <t>Uhura: Automatic relay from Starfleet command, code 1.</t>
  </si>
  <si>
    <t>Uhura: Unit X-Y 75847 reports fleet of Klingon ships.</t>
  </si>
  <si>
    <t>Kirk: Ahead warp factor 7.</t>
  </si>
  <si>
    <t>Kirk: Set your phaser on stun.</t>
  </si>
  <si>
    <t>Spock says planet has an oxygen-hydrogen atmosphere. Maybe he meant oxygen-nitrogen atmosphere.</t>
  </si>
  <si>
    <t>Kirk: Send any communications priority one.</t>
  </si>
  <si>
    <t>Uhura: Dr. McCoy asking to see you in sick bay.</t>
  </si>
  <si>
    <t>Uhura: Fire in engineering. Situation critical.</t>
  </si>
  <si>
    <t>Uhura: Red 2 message in 1 minute Captain, code factor 1.</t>
  </si>
  <si>
    <t>Uhura: Security reports Lazarus missing.</t>
  </si>
  <si>
    <t>Spock: Our ships instruments are specifically designed to locate and identify any object in our universe, be it energy or matter.</t>
  </si>
  <si>
    <t>Kirk: Ahead warp factor one.</t>
  </si>
  <si>
    <t>Both Lazarus fight no negative space, just a switch.</t>
  </si>
  <si>
    <t>Lazarus ship transports people between dimensions.</t>
  </si>
  <si>
    <t>Spock creates a crude circuit array for his tricorder to display its recordings from the Guardian and he complains that he has to work with the 1930s equivalent tech resources of bear skins and stone knives.</t>
  </si>
  <si>
    <t>Spock: Fascinating. In regards to Guardian.</t>
  </si>
  <si>
    <t>Kirk: Broadcast to Starfleet command my last weeks log entries.</t>
  </si>
  <si>
    <t>Kirk: Open a channel to Starfleet command.</t>
  </si>
  <si>
    <t>Kirk: At times you seem quite human.</t>
  </si>
  <si>
    <t>Leave guardians planet ignoring the Guardian for the rest of the franchise.</t>
  </si>
  <si>
    <t>McCoy gives Sulu a fix him up cordrazine shot.</t>
  </si>
  <si>
    <t>McCoy transports from Enterprise to the Guardians planet.</t>
  </si>
  <si>
    <t>Kirk, Spock, Scotty, Uhura, and two Redshirts transports from Enterprise to the Guardians planet.</t>
  </si>
  <si>
    <t>Kirk, Spock, Scotty, Uhura, two Redshirts transport from the Guardians planet to Enterprise.</t>
  </si>
  <si>
    <t>Spock: Its not life as we know or understand it. (explaining how these aliens were single cells of a larger organism).</t>
  </si>
  <si>
    <t>Kirk: Lt. Uhura, try to contact that ship.</t>
  </si>
  <si>
    <t>Uhura: Contact broken. | Kirk: Re-establish | Uhura: Sorry.</t>
  </si>
  <si>
    <t>Uhura: Making contact Captain.</t>
  </si>
  <si>
    <t>Uhura: Receiving messages from a ground station. | Kirk : Report.</t>
  </si>
  <si>
    <t>Kirk: Plot an interception course Mr. Sulu, warp fact 8.</t>
  </si>
  <si>
    <t>Kirk: Reduce to sub-warp speed.</t>
  </si>
  <si>
    <t>Kirk: Warp 1 factor.</t>
  </si>
  <si>
    <t>Kirk holds Aurelan Kirk as she screams from the parasites sting.</t>
  </si>
  <si>
    <t>Kirk: Set your phasers on force 3, to kill.</t>
  </si>
  <si>
    <t>Spock: live long and prosper.</t>
  </si>
  <si>
    <t>Uhura: Message from Starfleet command, top priority. | Kirk: Relay it Lt.</t>
  </si>
  <si>
    <t>Uhura: Standing by on Vulcan hailing frequencies sir.</t>
  </si>
  <si>
    <t>Kirk: Alter course to Vulcan, increase speed to warp 4.</t>
  </si>
  <si>
    <t>Kirk: Lay in a course for Vulcan, tell engineering I want warp 8 or better.</t>
  </si>
  <si>
    <t>McCoy: To coin a phrase, fascinating.</t>
  </si>
  <si>
    <t>Chekov has a phaser. He attempts to fire it but its unfunctional.</t>
  </si>
  <si>
    <t>Uhura: Activity on hailing channel 3 sir | Kirk: Response frequencies lt. | Uhura: Calculated. Channel open sir.</t>
  </si>
  <si>
    <t>Uhura: Damage reports coming in. Situation under control. Minor damage.</t>
  </si>
  <si>
    <t>Padd on arm of captains chair, writes on it.</t>
  </si>
  <si>
    <t>Apollo: You are very intelligent for a woman is clearly presented as a relic of the last time he was among humans .</t>
  </si>
  <si>
    <t>Chekov claims Alice in Wonderland is a Russian story.</t>
  </si>
  <si>
    <t>Apollo: Beauty... Grace... You seem wise for a woman   | Apollo compliments Lt. Carolyn Palamas’ physical attributes, and seems genuinely surprised by her intelligence.</t>
  </si>
  <si>
    <t>Spock files ships phasers at temple.</t>
  </si>
  <si>
    <t>Spock: Fascinating Captain.</t>
  </si>
  <si>
    <t>Kirk: All hailing frequencies open | Uhura: Aye aye sir.</t>
  </si>
  <si>
    <t>Kirk: Get Dr. McCoy down to the transport room | Uhura: Dr. McCoy to the transport room.</t>
  </si>
  <si>
    <t>Kirk: Lt., try to make contact | Uhura: Aye aye sir.</t>
  </si>
  <si>
    <t>Uhura: Captain, the message is coming in now.</t>
  </si>
  <si>
    <t>Uhura: Captain, were getting a signal from the spacecraft. | Kirk: Put it on audio lt.</t>
  </si>
  <si>
    <t>Kirk, Spock, and McCoy discuss Nomad in the ending. | Kirk: What a doctor he would have made.</t>
  </si>
  <si>
    <t>Kirk: Scott, give Sulu warp 2 and keep her there.</t>
  </si>
  <si>
    <t>Sulu: Something heading in at ultra warp speeds.</t>
  </si>
  <si>
    <t>Engineering Tech: Warp 10.</t>
  </si>
  <si>
    <t>Nomad: That unit is defective. Its thinking is chaotic. Absorbing it unsettled me. | Spock:  that unit is a woman | Nomad: A mass of conflicting impulses.</t>
  </si>
  <si>
    <t>Chekov gets his own torture scene with lots of yelling and screaming.</t>
  </si>
  <si>
    <t>In the evil Mirror Universe, the Captain has an attractive female crewmember, The Captains Woman at his beck and call. In essence, it was a staff position.</t>
  </si>
  <si>
    <t>Kirk: What is it that will buy you? | Spock: Fascinating. (when Mirror Kirk tries to bribe Spock to release them.)</t>
  </si>
  <si>
    <t>Mirror Sulu receives call from Mirror Spock. | Spock: Why are you monitoring my communications Mr. Sulu?.</t>
  </si>
  <si>
    <t>Kirk: Lt. Uhura, Have Dr. McCoy and Mr. Scott meet me in my quarters.</t>
  </si>
  <si>
    <t>Kirk fights Mirror Sulu after his three henchmen suddenly disappear.</t>
  </si>
  <si>
    <t>Lt. Marlena Moreau, the Captains Woman in the mirror universe.</t>
  </si>
  <si>
    <t>Mirror Spock mind melds with McCoy to find out Kirks real intent.</t>
  </si>
  <si>
    <t>Kirk thinks he and Lt. Moreau could become friends. Its possible. Then he walks over to talk to her.</t>
  </si>
  <si>
    <t>Kirk decides existing under Vaal is not living, its merely existing.</t>
  </si>
  <si>
    <t>Yeoman Martha Landon: When a man and woman fall in love. | Akuta: Love? Strange words. Children… Love… What is love?.</t>
  </si>
  <si>
    <t>The crew find an idyllic paradise, except that nobody ever dies, so there is no need for replacements and the natives are ignorant of reproduction, and the emotions which lead to it. The line What is love? is used again verbatim.</t>
  </si>
  <si>
    <t>Spock: Lt. Raise the shuttlecraft. | Lt. Palmer: Enterprise to shuttlecraft. Come in shuttlecraft</t>
  </si>
  <si>
    <t>Kirk: Lt. Have Dr. McCoy, Mr. Scott, and a damage control party report to me in the transporter room.</t>
  </si>
  <si>
    <t>Lt. Palmer: Mr. Spock, the transporter is now operational.</t>
  </si>
  <si>
    <t>Spock: I wonder if there are any more of those weapons wandering around the universe. | Kirk: I certainly hope not. I found one quite sufficient.</t>
  </si>
  <si>
    <t>McCoy injects Commodore Decker with something. Decker becomes coherent instantly.</t>
  </si>
  <si>
    <t>Doomsday Machines hull is solid Nuetronium</t>
  </si>
  <si>
    <t>Kirk: Their forms were an Illusion. Only the power pack gave them reality. | Spock: Fascinating.</t>
  </si>
  <si>
    <t>Spock (as Kirk, Spock, and Korob encounter Sylvia as a giant cat): Fascinating</t>
  </si>
  <si>
    <t>McCoy: The man is dead.</t>
  </si>
  <si>
    <t>Kirk: Notify transporter room to beam up one member of the landing party. And have Dr. McCoy report to me in the transporter on the double. | Uhura: Yes sir.</t>
  </si>
  <si>
    <t>Kirk: Lt Uhura, have Mr. Spock report to the bridge. | Uhura, Aye aye sir.</t>
  </si>
  <si>
    <t>Kirk: Harry. I want control of my ship returned immediately. We have no intension of staying as your guests</t>
  </si>
  <si>
    <t>Spock (after waking up from the Companions shock): A most fascinating thing happened doctor. Apparently the Companion imparted to me a rather quaint, old-fashioned electric shock.</t>
  </si>
  <si>
    <t>Kirks assigned gladiatorial trainer has lived her whole life as a slave and is ignorant of normal culture. She asks him, What is love? Kirk proceeds to show her.</t>
  </si>
  <si>
    <t>Sargon: Our civilization destroyed itself when it became so advanced and arrogant that we dared think of ourselves as gods .</t>
  </si>
  <si>
    <t>Ensign Harper used a trident scanner to connect the M-5 computer to the USS Enterprises main power plant. He later attempted to disconnect M-5 with a trident scanner, but was vaporized by the advanced computer for his troubles.</t>
  </si>
  <si>
    <t>The Excalbian recreation of Abraham Lincoln asks if they still measure time in minutes, to which Kirk responds that they can convert to it.</t>
  </si>
  <si>
    <t>The Atavachron, a machine that creates a portal door/wall to a time in that planets past.</t>
  </si>
  <si>
    <t>Uhura: I can't raise Colony Five.</t>
  </si>
  <si>
    <t>Scotty: I can't change the laws of physics.</t>
  </si>
  <si>
    <t>Kirk: Put me thru to Starfleet | Uhura: I can't do that.</t>
  </si>
  <si>
    <t>Spock: We must establish communications with the landing party. | Uhura : I working sir but I can't do anything with this. I might be able to rig up a subspace bypass circuit.</t>
  </si>
  <si>
    <t>Uhura: I can't contact the landing party. All frequencies are jammed. | Spock: Try to break through lt.</t>
  </si>
  <si>
    <t>Engineering Tech: Warp 11 | Scotty: Impossible, it can't go that fast.</t>
  </si>
  <si>
    <t>Pike: I'm not used to having a woman on the bridge. (says Pike who has a woman as second-in-command.)</t>
  </si>
  <si>
    <t>Uhura: Tell me how your planet Vulcan looks on a lazy evening when the moon is full. | Spock: Vulcan has no moon, Miss Uhura. | Uhura: I'm not surprised, Mr. Spock. | Spock gives Uhura a raised eyebrow.</t>
  </si>
  <si>
    <t>McCoy: Smack right in the old heart. Oh, I'm sorry. In your case, it would be about here. | Spock: The fact that my internal arrangement differs from yours, Doctor, pleases me to no end.</t>
  </si>
  <si>
    <t>Ben Childress (to Eve): I'm supposed to sit, taste it, roll my eyes and, whooo, female cooking again.</t>
  </si>
  <si>
    <t>Lt. Bowman: I'm sick and tired of this machine.</t>
  </si>
  <si>
    <t>Uhura: I'm picking up a signal.</t>
  </si>
  <si>
    <t>McCoy: I'm a doctor, if I was an officer of the line….</t>
  </si>
  <si>
    <t>McCoy: I'm a doctor, not a bricklayer. (when Kirk order McCoy to examine the Horta).</t>
  </si>
  <si>
    <t>Kirk: I'm a soldier, not a diplomat.</t>
  </si>
  <si>
    <t>McCoy: I'm a surgeon, not a psychiatrist.</t>
  </si>
  <si>
    <t>Kirk: Any response from the mylerian system? | Uhura: Not since their original distress call sir. I'm scanning all frequencies.</t>
  </si>
  <si>
    <t>McCoy: I'm a Doctor, not an Engineer.</t>
  </si>
  <si>
    <t>Kirk: Did you ever hear of the Doomsday Machine? | McCoy: I'm a Doctor, not an Mechanic.</t>
  </si>
  <si>
    <t>Lt. Palmer: Sir, I'm picking up a ships disaster beacon. | Kirk: Try to raise her Lt." | Lt. Palmer:  No answer Captain. All I get is the automatic beacon.</t>
  </si>
  <si>
    <t>Spock: Fascinating. | McCoy: So improbable we almost didn't check it. |  (after finding a total lack of sodium chloride in Sturgeons body.).</t>
  </si>
  <si>
    <t>Sandoval: Subspace radio didn't work properly.</t>
  </si>
  <si>
    <t>McCoy: He's dead Jim. (after examining  Sturgeons body).</t>
  </si>
  <si>
    <t>Nurse Chapel: He's dead doctor.</t>
  </si>
  <si>
    <t>McCoy: He's dead Jim.</t>
  </si>
  <si>
    <t>Yeoman Barrows (after McCoy skewered by knight): He's dead.</t>
  </si>
  <si>
    <t>Kirk tells Spock He's in love with Edith Keeler.</t>
  </si>
  <si>
    <t>McCoy: He's dead. (says after Kirk &amp; Spock fight).</t>
  </si>
  <si>
    <t>McCoy says He's giving Kirk a tri-ox shot but is really inducing a coma (saying it would compensate for the thin air).</t>
  </si>
  <si>
    <t>McCoy: He's dead Jim. (after Nomad kills him.)</t>
  </si>
  <si>
    <t>Scotty gets shown technology unlike anything He's seen before in the alien labs.</t>
  </si>
  <si>
    <t>Kirk confuses Alice 471 saying He's unhappy and wants the Enterprise. Alice 471 can't relate to the idea of unhappiness. It must be studied further.</t>
  </si>
  <si>
    <t>A saboteur phasers himself to death rather than let Kirk and company find out exactly what He's done to the ship.</t>
  </si>
  <si>
    <t>McCoy attempts to examine Dr. Crater's tonsils on M-113. | Dr. Crater: Why, I thought the machine. | McCoy: The machine is capable of almost anything but Ill still put my trust in a healthy set of tonsils. Now, open your mouth.</t>
  </si>
  <si>
    <t>Charlie Evans abuses power Thalsians gave him and thinks He's better than everyone else.</t>
  </si>
  <si>
    <t>Dr. Crater: Nothing. Its just that it gives me pleasure to know that she's gotten to see an old friend and has a chance for some company. Its different for me, I enjoy solitude. But for a woman. You understand, of course.</t>
  </si>
  <si>
    <t>Kirk: A woman only needs to think she's beautiful to be beautiful.</t>
  </si>
  <si>
    <t>McCoy: On the other hand, she's a woman. All woman. On day shell find the right man and off shell go, out of the service.</t>
  </si>
  <si>
    <t>Uhura (trying to contact Sandoval): The frequency is open but he doesn't answer.</t>
  </si>
  <si>
    <t>Why is Spock is insensitive? | Spock: That's the way I am.</t>
  </si>
  <si>
    <t>Kirk attempts to seduce Kelinda, the female one, and while she initially realizes that's what He's attempting to do, she eventually starts to enjoy the new feeling, actually finding herself drawn to him. .</t>
  </si>
  <si>
    <t>Women in leopards and shirtless men doing gymnastics.</t>
  </si>
  <si>
    <t>The Thasians advanced past the need for physical bodies.</t>
  </si>
  <si>
    <t>Dr. Dehner</t>
  </si>
  <si>
    <t>Dr. Piper</t>
  </si>
  <si>
    <t>Kirk rips his shirt in a fight with Lt. Cmdr. Gary Mitchell on Delta Vega.</t>
  </si>
  <si>
    <t>Lt. Cmdr. Gary Mitchell restrained by Kirk, Spock, and others when Mitchell attempts to leave sick bay.</t>
  </si>
  <si>
    <t>Kirk and Lt. Cmdr. Gary Mitchell fight on surface of Delta Vega.</t>
  </si>
  <si>
    <t>Dr. Dehner gets off on wrong foot with just about everyone, especially Lt. Cmdr. Gary Mitchell.</t>
  </si>
  <si>
    <t>Lt. Cmdr. Gary Mitchell</t>
  </si>
  <si>
    <t>Lt. Cmdr. Gary Mitchell: she's (Dr. Dehner) a walking freezer unit.</t>
  </si>
  <si>
    <t>Lt. Cmdr. Gary Mitchell wrecks havoc with Kirk and the Enterprise with his new powers.</t>
  </si>
  <si>
    <t>Kirk shoots Lt. Cmdr. Gary Mitchells with phaser rifle which has no effect.</t>
  </si>
  <si>
    <t>Dr. Dehner uses her telekinetic power to electrocute Lt. Cmdr. Gary Mitchell .</t>
  </si>
  <si>
    <t>Dr. Piper examines Lt. Cmdr. Gary Mitchell in sick bay.</t>
  </si>
  <si>
    <t>Lt. Cmdr. Gary Mitchell believes the power he has obtained has made him a god.</t>
  </si>
  <si>
    <t>Lt. Cmdr. Gary Mitchell holds Yeoman Colts hand the whole the ship is in danger. Didn't anyone tell him to keep both hands on the console during emergencies?</t>
  </si>
  <si>
    <t>Kirk kills a nearly omnipotent being (Lt. Cmdr. Gary Mitchell) during their fight on Delta Vega.</t>
  </si>
  <si>
    <t>Kirk shoots rocks with phaser rifle to cause avalanche landing on Lt. Cmdr. Gary Mitchell. Falling rocks kill him when a phaser rifle has no effect.</t>
  </si>
  <si>
    <t>Lt. Cmdr. Gary Mitchell crushed by boulders from avalanche caused by Kirk and his phaser rifle.</t>
  </si>
  <si>
    <t>Lt. Kelso choked with cable telekinetically by Lt. Cmdr. Gary Mitchell.</t>
  </si>
  <si>
    <t>Scotty climbs out of Jefferies Tube near engineering working to get into engineering.</t>
  </si>
  <si>
    <t>Nurse Chapel kisses Spock cause she's always had a crush on him and the virus caused her to let her feelings known.</t>
  </si>
  <si>
    <t>Spock breaks down crying after being infected by Psi 2000 virus.</t>
  </si>
  <si>
    <t>McCoy finds a cure for the Psi 2000 virus just in the nick of time to save the ship.</t>
  </si>
  <si>
    <t>Averted: Matter/anti-matter time travel discovered when they escape the death spiral. This technique is used again in Assignment: Earth.</t>
  </si>
  <si>
    <t>Sulu (while under the influence of the Psi 2000 virus): I'll protect you fair maiden. | Uhura: Sorry, neither.</t>
  </si>
  <si>
    <t>McCoy injects Kirk with magic antidote for virus. After ripping his shirt to do it.</t>
  </si>
  <si>
    <t>Kirk: I've got it, the disease. Love. You're better off without it, and I'm better off without mine. This vessel, I give, she takes. She won't permit me my life. I've got to live hers.</t>
  </si>
  <si>
    <t>Kirk: I have a beautiful yeoman. Have you noticed her, Mister Spock? You're allowed to notice her. The Captain's not permitted.</t>
  </si>
  <si>
    <t>Kirk can't tell Yeoman Rand how he feels cause he's the Captain. Kirk: (gazing at Yeoman Rand) No beach to walk on. | Yeoman Rand: Sir?</t>
  </si>
  <si>
    <t>Crewmen blocks Yeoman Rand. Spock order the crewman to stand aside and then leaves. Yeoman Rand calls for Spock when the crewman starts harassing her again.</t>
  </si>
  <si>
    <t>Restarting cold engines has never been tried. The odds are enormous. But Scotty and Spock attempt to do the impossible.</t>
  </si>
  <si>
    <t>Scotty uses a phaser as a cutting torch to cut through the bulkhead.</t>
  </si>
  <si>
    <t>The Psi 2000 virus brings out the inner feelings of a person, good or bad.</t>
  </si>
  <si>
    <t>McCoy examines Lt. Tormolen in sick bay after he stabs himself.</t>
  </si>
  <si>
    <t>McCoy examines Sulu in sick bay after he's stopped from threatening people with his epee.</t>
  </si>
  <si>
    <t>Lt. Tormolen loses the will to live after contracting the Psi 2000 virus and dies on McCoy's operating table.</t>
  </si>
  <si>
    <t>Six research crew frozen to death on research station doing abnormal things.</t>
  </si>
  <si>
    <t>Sulu roaming the corridors shirtless with an epee just like a Musketeer.</t>
  </si>
  <si>
    <t>Enterprise begins spiraling to its death as gravity pulls it in and no engines to stop their descent.</t>
  </si>
  <si>
    <t>Ship's Log-3 (Kirk): Stardate 1513.4. In orbit around planet M-113. One crewman, member of the landing party, dead by violence. Cause unknown, but we are certain the cause of death was not poison.</t>
  </si>
  <si>
    <t>Ship's Log-6 (Kirk): continuing. The Enterprise has been invaded by a creature capable of assuming any form, and with the capacity to paralyze and draw the life from any one of us.</t>
  </si>
  <si>
    <t>Ship's Log-1 (Kirk): Stardate 1533.6. Now maneuvering to come alongside cargo vessel Antares. Its Captain and First officer are beaming over to us with an unusual passenger.</t>
  </si>
  <si>
    <t>Ship's Log-1 (Kirk): Star date 1312.4. The impossible has happened. From directly ahead, were picking up a recorded distress signal, the call letters of a vessel which has been missing for over two centuries. Did another Earth ship once probe out of the galaxy as we intend to do? What happened to it out there? Is this some warning they've left behind?</t>
  </si>
  <si>
    <t>Ship's Log-2 (Kirk): Star date 1312.9. Ships condition, heading back on impulse power only. Main engines burned out. The ships space warp ability gone. Earth bases which were only days away are now years in the distance. Our overriding question now is what destroyed the Valiant? They lived through the barrier, just as we have. What happened to them after that?</t>
  </si>
  <si>
    <t>Ship's Log-4 (Kirk): Stardate 1313.8. Add to official losses, Doctor Elizabeth Dehner. Be it noted she gave her life in performance of her duty. Lieutenant Commander Lt. Cmdr. Gary Mitchell, same notation. I want his service record to end that way. He didn't ask for what happened to him.</t>
  </si>
  <si>
    <t>Ship's Log-5 (Kirk): supplemental. The Enterprise, spiraling down out of control. Ships outer skin heating rapidly due to friction with planet atmosphere.</t>
  </si>
  <si>
    <t>Ship's Log-2 (Kirk): Stardate 1672.9. On the planets surface, temperatures are beginning to drop, our landing party there in growing jeopardy. Due to the malfunction of the ships transporter, an unexplained duplicate of myself definitely exists.</t>
  </si>
  <si>
    <t>Ship's Log-3 (Kirk): Stardate 1329.2. On board the U.S.S. Enterprise, a ships hearing is being convened against the transport vessels captain. I'm becoming concerned about the almost-hypnotic effect produced by the women.</t>
  </si>
  <si>
    <t>Ship's Log-6 (Kirk): Have transported aboard the Enterprise to implement search with infrared scanners and sensing system. Magnetic storms on the planets surface are cutting down speed and efficiency of our equipment. Search now in progress for three hours, eighteen minutes.</t>
  </si>
  <si>
    <t>Ship's Log-7 (Kirk): Have expended all but forty three minutes of power. Ships condition, critical. Search now in progress seven hours, thirty one minutes. Magnetic storms are easing.</t>
  </si>
  <si>
    <t>Ship's Log-3 (Kirk): Stardate 1514.0. The cube has been destroyed. Ships damage minor but my next decision, major. Probe on ahead or turn back.</t>
  </si>
  <si>
    <t>Ship's Log-1 (Kirk): Stardate 2947.3. We have been through a severe ion storm. One crewman is dead. Ships damage is considerable. I have ordered a non-scheduled layover on Starbase Eleven for repairs. A full report of damages was made to the commanding officer of Starbase Eleven, Commodore Stone.</t>
  </si>
  <si>
    <t>Ship's Log-3 (Kirk): stardate 3158.7 The Enterprise is preparing to leave Beta Three in Star system C One Eleven. Sociologist Lindstrom is remaining behind with a party of experts who will help restore the planets culture to a human form.</t>
  </si>
  <si>
    <t>Ship's Log-3 (Kirk): delayed. The Enterprise, in orbit about Eminiar Seven, has been declared a casualty of an incredible war fought by computers. I and my landing party, though apparently not included as casualties aboard the Enterprise, are confined on the planets surface, awaiting what?</t>
  </si>
  <si>
    <t>Ship's Log-2 (Kirk): no stardate. For us, time does not exist. McCoy, back somewhere in the past, has effected a change in the course of time. All Earth history has been changed. There is no starship Enterprise. We have only one chance. We have asked the Guardian to show us Earths history again. Spock and I will go back into time ourselves and attempt to set right what ever it was that McCoy changed.</t>
  </si>
  <si>
    <t>Ship's Log-3 (Kirk): stardate 3715.6. We have been introduced to Vaal. Evidently the source of the planets power emanations and possibly the force that threatens both us and our ship.</t>
  </si>
  <si>
    <t>Ship's Log-1 (Kirk): Stardate 3018.2. Crewman Jackson is dead and there are no apparent physical causes. Mister Scott and Mister Sulu are still out of touch on the planet below. Leaving Assistant Chief Engineer DeSalle in command of the Enterprise, I'm beaming down to the planets surface to find my two missing crewmen and discover what killed Jackson.</t>
  </si>
  <si>
    <t>Ship's Log-1 (Kirk): Stardate 4513.3. After having been taken over by an android, the Enterprise has been under way at warp seven for four days. Now we are entering orbit around a planet which has never been charted.</t>
  </si>
  <si>
    <t>Ship's Log-1 (Scotty): Stardate 3219.8. Lieutenant Commander Scott recording in the absence of Captain Kirk. A shuttlecraft bearing the Captain, the first officer, Chief Surgeon McCoy, and Assistant Federation Commissioner Hedford is now definitely overdue for a rendezvous with the Enterprise. We are attempting to backtrack it.</t>
  </si>
  <si>
    <t>Ship's Log-2 (Scotty): Stardate 3220.3. Lieutenant Commander Scott reporting in lieu of the Captain and the first officer. We are continuing our search for the missing shuttlecraft.</t>
  </si>
  <si>
    <t>Kirk, Spock, and McCoy discuss dead dog after attempting to merge them back together fails. Advise the Captain of his possible alternatives.</t>
  </si>
  <si>
    <t>Evil-Kirk strolls into sick bay. Evil-Kirk: (grabbing McCoy by the neck) I said, give me the brandy! (leaves with bottle and goes to Rand's quarters)</t>
  </si>
  <si>
    <t>McCoy and Kirk have shots of Saurian brandy. McCoy: Jim, you can use that brandy now. In fact, I'll join you.</t>
  </si>
  <si>
    <t>Yeoman Rand acts like helpless victim after the attempted rape. Yeoman Rand: I can understand. I don't want to get you into trouble. I wouldn't have even mentioned it!</t>
  </si>
  <si>
    <t>Evil-Kirk shoots phaser at Kirk. His phaser is set to kill.</t>
  </si>
  <si>
    <t>Pike imprisoned with Vina. The Talosians want them to be happy so they're give them pleasant memories.</t>
  </si>
  <si>
    <t>Talos IV is a single cultural world. they're all dying off together.</t>
  </si>
  <si>
    <t>Spock: Earth outpost 4 reports they're under attack.</t>
  </si>
  <si>
    <t>Uhura: Earth outpost 4 reports they're under attack. Then terminates.</t>
  </si>
  <si>
    <t>Kirk: The men are to be armed, with their phasers locked, I repeat, locked, on setting number one. (as they're searching for Evil-Kirk.)</t>
  </si>
  <si>
    <t>Kirk changes from gold uniform to green uniform which shows more of his chest.</t>
  </si>
  <si>
    <t>Spock does a lengthy explanation on how the transporter got fixed. Bla bla bla…</t>
  </si>
  <si>
    <t>After Kirk leaves transporter room, the transporter activates by itself and the Evil-Kirk appears.</t>
  </si>
  <si>
    <t>Kirk split into two separate entities, the good Kirk appearing first. Evil-Kirk a minute later.</t>
  </si>
  <si>
    <t>Sulu and three crewmen transport up from freezing Alpha 177 to Enterprise.</t>
  </si>
  <si>
    <t>McCoy examines Technician Fisher in sick bay after shaky transporter session.</t>
  </si>
  <si>
    <t>McCoy examines Technician Fisher in sick bay after Evil-Kirk attacks him.</t>
  </si>
  <si>
    <t>Evil-Kirk attacks technician in transporter room.</t>
  </si>
  <si>
    <t>Kirk, Spock, and McCoy discuss Kirks split personality. Spock: We have here an unusual opportunity to appraise the human mind, or to examine, in Earth terms, the roles of good and evil in a man. His negative side, which you call hostility, lust, violence, and his positive side, which Earth people express as compassion, love, tenderness.</t>
  </si>
  <si>
    <t>Kirk, Spock, and McCoy discuss merging Kirk is the only way to save crew stranded on Alpha 177. The good Kirk is having an extremely difficult time making a decision.</t>
  </si>
  <si>
    <t>Transporter malfunction creates two Kirks. Like Jekyll and Hyde.</t>
  </si>
  <si>
    <t>Technician Fisher covered in yellow ore from Alpha 177 when transported up from planet which disrupts transporter.</t>
  </si>
  <si>
    <t>McCoy examines dead dog in sick bay after it dies in transporter experiment to rejoin the two dogs.</t>
  </si>
  <si>
    <t>Subverted: Rigel XII has an extremely harsh climate with constant sandstorms.</t>
  </si>
  <si>
    <t>Ship's Log-2 (Kirk): Stardate 1329.1. We've taken aboard from an unregistered transport vessel its captain and, and three unusual females. These women have a mysterious magnetic effect on the male members of my crew, including myself. Explanation unknown at present.</t>
  </si>
  <si>
    <t>Joachim: We've lost the channel.</t>
  </si>
  <si>
    <t>Miners at party begin fighting over the Mudd's women.</t>
  </si>
  <si>
    <t>Mudd's women were well aware of what the drug was capable of.</t>
  </si>
  <si>
    <t>Harry Mudd (to Spock): You're part Vulcanian, aren't you. Ah well then, a pretty face doesn't affect you at all, does it. That is, unless you want it to. You can save it, girls. This type can turn himself off from any emotion.</t>
  </si>
  <si>
    <t>Harry Mudd calls the miners on planet to make a deal with them.</t>
  </si>
  <si>
    <t>Kirk tells Harry Mudd the miners had a subspace radio marriage.</t>
  </si>
  <si>
    <t>Magda (reporting back to Mudd on contacting the miners): Top space frequency of three nine.</t>
  </si>
  <si>
    <t>Padd on desk in Kirks quarters while Kirk is talking to Harry Mudd.</t>
  </si>
  <si>
    <t>Spock and Scotty discuss lack of dilithium crystals and the urgency to obtain them from the miners.</t>
  </si>
  <si>
    <t>Eve McHuron</t>
  </si>
  <si>
    <t>Magda Kovac</t>
  </si>
  <si>
    <t>Ruth Bonavure</t>
  </si>
  <si>
    <t>It's revealed Eve McHuron doesn't need the drug to be beautiful. Beauty is only a matter of self-confidence. All she needed to do is 'think' she was beautiful.</t>
  </si>
  <si>
    <t>Every male on the ship can't stop looking at Mudd's women. Everywhere they go, men stare at them.</t>
  </si>
  <si>
    <t>Salacious ass shot of the three women as they walk down the corridor.</t>
  </si>
  <si>
    <t>Eve (to Kirk): It's all the same, no men.</t>
  </si>
  <si>
    <t>Ben Childress (to Kirk): You mean they all really look like she does? (meaning a woman is worthless unless she's good looking.)</t>
  </si>
  <si>
    <t>Kirk and Harry Mudd transport down to Rigel XII to get dilithium crystals.</t>
  </si>
  <si>
    <t>McCoy examines Magda Kovac in sick bay.</t>
  </si>
  <si>
    <t>The outfits of Mudd's women are designed to look like they're ready to fall off at any time.</t>
  </si>
  <si>
    <t>Ruth Bonavure: Its fascinating. (Ruth steps in front of medical scanner which goes crazy befuddling McCoy.).</t>
  </si>
  <si>
    <t>Uhura: I've tried all frequencies, he refuses to answer.</t>
  </si>
  <si>
    <t>Mudd's woman wear revealing outfits and are initially on the bad guys side.</t>
  </si>
  <si>
    <t>Bridge crew laughs when Spock says running around in the grass is illogical rest, Spock doesn't laugh.</t>
  </si>
  <si>
    <t>Spock doesn't laugh.</t>
  </si>
  <si>
    <t>Lt. McGivers: Attractive, sexy historian whose prime shipboard duties appear to be painting.</t>
  </si>
  <si>
    <t>McCoy flirts with Nancy Crater (the Salt Creature) because she encourages him to do so.</t>
  </si>
  <si>
    <t>McCoy's old girlfriend, Nancy Crater. Likes to call him Plum.</t>
  </si>
  <si>
    <t>McCoy's old flame, Nancy Crater.</t>
  </si>
  <si>
    <t>Spock, after seeing Kirk alive, has an emotional outburst. Spock raises an eyebrow at Kirk and McCoy and goes back to being stoic.</t>
  </si>
  <si>
    <t>McCoy scans Zefrem Cochrane and confirms He's human.</t>
  </si>
  <si>
    <t>Zefrem Cochrane storms out when he finds out the Companion loves him. | Spock: Fascinating. A totally parochial attitude.</t>
  </si>
  <si>
    <t>Zefrem Cochrane and the Nancy Hedford/Companion hold hands and walk away.</t>
  </si>
  <si>
    <t>Zefrem Cochrane kisses Nancy Hedford/Companion</t>
  </si>
  <si>
    <t>Companion loves Zefrem Cochrane so much it gives up its immortality to experience love.</t>
  </si>
  <si>
    <t>Nancy Hedford overhears how the Companion loves Zefrem Cochrane. She confesses she's never been in love or been loved. What kind of life is that?. And Zefrem Cochrane runs away from love. Then Nancy Hedford starts crying again.</t>
  </si>
  <si>
    <t>Kor the Klingon: It's a mind-sifter or mind-ripper, depending on how much force is used. We can record every thought, every bit of knowledge in a man's mind. Of course, when that much force is used, the mind is emptied. Permanently, I'm afraid. What's left is more vegetable than human. Spock gives him the eyebrow.</t>
  </si>
  <si>
    <t>McCoy: Please don't tell Spock I said he was the best first officer in the fleet. | Spock: Why, thank you, Doctor McCoy.</t>
  </si>
  <si>
    <t>Spock calculates the size of Nomad realizing how tiny the object was. Spock raises an eyebrow.</t>
  </si>
  <si>
    <t>Spock brings phaser rifle down to of Delta Vega.</t>
  </si>
  <si>
    <t>Spock raises an eyebrow when Nomad brings Scotty back to life.</t>
  </si>
  <si>
    <t>Spock encounters Denevian intent on killing him.</t>
  </si>
  <si>
    <t>McCoy figures out how to destroy spores on a worldwide basis without harming any of the people.</t>
  </si>
  <si>
    <t>Spock gets over-emotional when reporting the ship's status.</t>
  </si>
  <si>
    <t>Spock goes crazy on bridge trying to seize it and everyone one has to subdue him.</t>
  </si>
  <si>
    <t>Spock jokes about those earth emotions  then laughs.</t>
  </si>
  <si>
    <t>Spock jury-rigs a contraption that will short out the Companions electrical impulse. It fails miserably and the Companion attacks Spock and Kirk.</t>
  </si>
  <si>
    <t>Spock knocks out Landru minion.</t>
  </si>
  <si>
    <t>Spock listens to Anan 7 about how clean a war with computers is. Spock gives him an eyebrow.</t>
  </si>
  <si>
    <t>Spock locates Akuta sneaking around watching them. (1)</t>
  </si>
  <si>
    <t>Spock locates Akuta sneaking around watching them. (2)</t>
  </si>
  <si>
    <t>Spock mind melds the Eminiar guard through the wall. Makes him open the door.</t>
  </si>
  <si>
    <t>Spock Mind Melds with Horta in order to talk with it.</t>
  </si>
  <si>
    <t>Spock mind melds with Nomad. Learns much of 'the other' but Nomad won't let go of his mind till commanded by Kirk.</t>
  </si>
  <si>
    <t>Spock mind melds with Norman the Android. Finds Norman has turned himself off.</t>
  </si>
  <si>
    <t>Spock plays the Vulcan lyre in his quarters.</t>
  </si>
  <si>
    <t>Spock pushes Kirk out of the way of the deadly thorns while taking the full brunt of them in the chest.</t>
  </si>
  <si>
    <t>Spock raises an eyebrow after , Kirk says: We didn't beat the odds. The Organians raided the game.</t>
  </si>
  <si>
    <t>Spock reads report from Padd to Kirk about a crew member needing R&amp;R. Its about Kirk. Kirk then has to go on R&amp;R.</t>
  </si>
  <si>
    <t>Spock records passage of Earth history from the guardian with tricorder.</t>
  </si>
  <si>
    <t>Spock reports deflector shields are gone but the next blast from the Doomsday Machine here shakes the ship without doing an significant damage.</t>
  </si>
  <si>
    <t>Spock risks the death penalty (the only death penalty left on the books) to return Pike to Talos IV.</t>
  </si>
  <si>
    <t>Spock scans three aberrations of hags and declares they are not real.</t>
  </si>
  <si>
    <t>Jackson beams up from Pyris VII to Enterprise</t>
  </si>
  <si>
    <t>Commodore Decker beats up Redshirt security Officer</t>
  </si>
  <si>
    <t>Commodore Decker fires Enterprise phasers at Doomsday Machine</t>
  </si>
  <si>
    <t>Goldshirt scans Constellation wreckage with large tricorder.</t>
  </si>
  <si>
    <t>Goldshirt</t>
  </si>
  <si>
    <t>Lt. Angela Martinez wedding is interrupted in the intro. Her to-be husband dies before the episode ends.</t>
  </si>
  <si>
    <t>Lt. Bailey</t>
  </si>
  <si>
    <t>Sylvia knew what she had and offered it to Kirk… who refused her.</t>
  </si>
  <si>
    <t>Commodore Stones yeoman with tricorder.</t>
  </si>
  <si>
    <t>DeSalle: Try to raise the Captain again. | Uhura: Enterprise to Captain Kirk. | Uhura: Interference returns, no connection.</t>
  </si>
  <si>
    <t>Uhura: I've tried all frequencies.</t>
  </si>
  <si>
    <t>Uhura: I've made contact with your private transmitter. | Kirk : Put it on audio.</t>
  </si>
  <si>
    <t>I've been here nearly an hour of your Earth time.</t>
  </si>
  <si>
    <t>Dr. Korby found ancient alien android technology that's never talked about again. Way before Professor Noonian Soong made Data.</t>
  </si>
  <si>
    <t>Nurse Chapel</t>
  </si>
  <si>
    <t>Kirk makes Kirk-android act out of character by thinking racist thoughts about Spock.</t>
  </si>
  <si>
    <t>Kirk makes Ruk remember why the androids revolted against the Old Ones. Ruk leaves him and goes off to kill Dr. Korby.</t>
  </si>
  <si>
    <t>Upshot of Nurse Chapels panties as her and Kirk follow the caves down to see Dr. Korby.</t>
  </si>
  <si>
    <t>onChart</t>
  </si>
  <si>
    <t>First time Spock sees a Romulan he raises an eyebrow.</t>
  </si>
  <si>
    <t>Curb Stomp Battle</t>
  </si>
  <si>
    <t>Sulu attacks Kirk with karate. Kicks him and knocks his head into a wall.</t>
  </si>
  <si>
    <t>Spock: I suspect it preys on women because women are more easily and more deeply terrified, generating more sheer horror than the male of the species.</t>
  </si>
  <si>
    <t>Lt. DeSalle one of the crewmen abducted by the Squire of Gothos</t>
  </si>
  <si>
    <t>Lt. DeSalle accompanied Kirk to investigate colonist on Omicron Ceti III</t>
  </si>
  <si>
    <t>Lt. DeSalle was in command of the Enterprise when Kirk, Spock, and McCoy were captured by Korob and Sylvia</t>
  </si>
  <si>
    <t>Cochrane: A woman. And a beautiful one at that. | Why was it necessary to make such a statement as that?</t>
  </si>
  <si>
    <t>Nomad transported into space after Kirk lobs a logic bomb and makes Nomad self-destruct.</t>
  </si>
  <si>
    <t>McCoy examines Spock in sick bay after the Salt attacked him, but did not kill him. | Spock: Fortunately, my ancestors spawned in another ocean than yours did. My blood cells are quite different.</t>
  </si>
  <si>
    <t>Kirk has to deal a vicious speech to Spock in order to piss him off enough to get over the spores influence. An unusual case in that he didn't actually mean it.</t>
  </si>
  <si>
    <t>Scotty get Constellation moving with a sudden jolt.</t>
  </si>
  <si>
    <t>T'Pau: live long and prosper. | Spock: I shall do neither.</t>
  </si>
  <si>
    <t>Spock and T'Pau mind meld before the battle.</t>
  </si>
  <si>
    <t>Omicron Ceti III appears to be a farm in the American south.</t>
  </si>
  <si>
    <t>Lazarus' planet is World is sandy with big rocks.</t>
  </si>
  <si>
    <t>Guardians' planet is World is sandy with big rocks.</t>
  </si>
  <si>
    <t>Another typical class M planetoid.</t>
  </si>
  <si>
    <t>The crew are shown the most wonderful things on android world and they all get glassy-eyed thinking how wonderful it would be to live here the rest of their lives. Until Kirk snaps them out of it.</t>
  </si>
  <si>
    <t>Charlie makes Sam from the gym disappear. Doesn't really know where he sent him.</t>
  </si>
  <si>
    <t>Hopelessly Outmatched</t>
  </si>
  <si>
    <t>Kirk pushes a big rock on Gorn but it has little effect.</t>
  </si>
  <si>
    <t>Trying To Catch Me Fighting Dirty</t>
  </si>
  <si>
    <t>Spock touches the Companion and it attacks him and knocks him out.</t>
  </si>
  <si>
    <t>Never Hurt The Innocent</t>
  </si>
  <si>
    <t>Fight a Doppelgänger</t>
  </si>
  <si>
    <t>Kirk punches Akuta, the native who doesn't fight back. Kirk apologizes for hitting him.</t>
  </si>
  <si>
    <t>Show Some Leg</t>
  </si>
  <si>
    <t>Spock repairs damage done by Lt. Finney.</t>
  </si>
  <si>
    <t>hit_a_girl</t>
  </si>
  <si>
    <t>Doomsday weapon fires a beam of pure anti-protons.</t>
  </si>
  <si>
    <t>Kirk shoots photon Torpedoes at Gorn ship and chases it away.</t>
  </si>
  <si>
    <t>Kirk tells Sulu fire in random pattern to find Romulan ship. Just like they 'would have used' the photon torpedoes.</t>
  </si>
  <si>
    <t>Kirk: Lay in a course for Altair 6, leave orbit when ready.</t>
  </si>
  <si>
    <t>The Organians have advanced past their petty problems.</t>
  </si>
  <si>
    <t>The Bully</t>
  </si>
  <si>
    <t>The Alice series androids</t>
  </si>
  <si>
    <t>Apollo: You seem wise, for a woman. (Apollo's take of the archaeology and ancient culture expert of the Enterprise crew.)</t>
  </si>
  <si>
    <t>Janice Lester quickly went insane when put in command of a ship, and broke down sobbing into her male assistants arms at the end of the episode. She was also, at one point explicitly described as red-faced with hysteria.</t>
  </si>
  <si>
    <t>Subverted: Romulan commander wears same style outfit as the rest of the Romulan officers</t>
  </si>
  <si>
    <t>Mudd: You're so smart, Kirk. You and this pointy-eared thinking machine…</t>
  </si>
  <si>
    <t>Kirk (to Spock): I suspect you're becoming more and more human all the time.</t>
  </si>
  <si>
    <t>Kirk (to Mirror Lt. Moreau): You're the Captains woman until he tells you you're not.</t>
  </si>
  <si>
    <t>Kirk: WE HAVE THE RIGHT  Ayelborne: To wage war? Is that what you're defending?.</t>
  </si>
  <si>
    <t>Mudd: Spock, you're going to love it here. They all talk the way you do.</t>
  </si>
  <si>
    <t>landing_party</t>
  </si>
  <si>
    <t>Kirk, Spock, and McCoy transport to Starbase 11.</t>
  </si>
  <si>
    <t>Kirk and Yeoman Barrows transport from Enterprise to a very green planet in the Omicron Delta system.</t>
  </si>
  <si>
    <t>Spock transports from Enterprise to a very green planet in the Omicron Delta system.</t>
  </si>
  <si>
    <t>Kirk, Sulu, Geophysicist Jaeger, and Lt. DeSalle transport from Gothos (an unrecorded planet in the star desert) to Enterprise.</t>
  </si>
  <si>
    <t>Kirk dishes out a You Suck speech to Trelane, along with a couple of bitch slaps.</t>
  </si>
  <si>
    <t>Spock transports from Enterprise to Starbase 9.</t>
  </si>
  <si>
    <t>Khan and his followers are transported to Ceti Alpha V never to be heard of again until the second movie.</t>
  </si>
  <si>
    <t>Kirk, Spock, Yeoman Tamura, Lt. Galloway, and Lt. DePaul transport down from Enterprise to Eminiar VII.</t>
  </si>
  <si>
    <t>Ambassador Fox and his assistant transport from down from Enterprise to Eminiar VII.</t>
  </si>
  <si>
    <t>Lazarus transports from Enterprise to an uncharted planet.</t>
  </si>
  <si>
    <t>Kirk transports from Enterprise to an uncharted planet.</t>
  </si>
  <si>
    <t>Kirk, Spock, and four Redshirts transport from Enterprise to an uncharted planet.</t>
  </si>
  <si>
    <t>Commodore Decker transported his crew from the derelict Constellation to the third planet in System L-374.</t>
  </si>
  <si>
    <t>Kirk, Spock, McCoy, Uhura, Chekov, and Norman transport from the Enterprise to an uncharted planet</t>
  </si>
  <si>
    <t>number of tropes</t>
  </si>
  <si>
    <t>imdb_rating</t>
  </si>
  <si>
    <t>Kirk: I'm tired of your half-breed interference Kirk (thinks this while in duplication machine to put a defect into the android double).</t>
  </si>
  <si>
    <t>Kirk-android insults Spock with half-breed comment Kirk instilled in it.</t>
  </si>
  <si>
    <t>Andrea (android) kisses Dr. Korby then phasers both her and Dr. Korby upon realizing she was imperfect.</t>
  </si>
  <si>
    <t>Nurse Chapel and Dr. Korby kiss deeply after being separated for many years ago.</t>
  </si>
  <si>
    <t>Ship's Log-1 (Kirk): Stardate 2712.4. A signal from planet Exo 3. Doctor Roger Korby has been located, he and part of his expedition remaining alive due to the discovery of underground ruins left by the former inhabitants of this world.</t>
  </si>
  <si>
    <t>Uhura: I've run all frequencies a second time, there's no….</t>
  </si>
  <si>
    <t>Kirk forces the robotized Dr. Korby to realize that he's mad and that drives him to suicide.</t>
  </si>
  <si>
    <t>Andrea sets phaser to kill.</t>
  </si>
  <si>
    <t>The town looks just like a 1960s town—only totally rundown.</t>
  </si>
  <si>
    <t>WOW! From space, this world has continents that look exactly like Earth. Can't get more Earth-like than that…</t>
  </si>
  <si>
    <t>Kirk rips his shirt in a fight with children.</t>
  </si>
  <si>
    <t>Miri: Her name was Louise. She was just a little bit older than I am when it happened. Oh, Jim. | Miri gives Kirk a big hug.</t>
  </si>
  <si>
    <t>Yeoman Rand</t>
  </si>
  <si>
    <t>Kirk: What's your name? | Miri: Miri. | Kirk: Miri. A pretty name for a pretty young woman. | Miri: Pretty? | Kirk: Very pretty.</t>
  </si>
  <si>
    <t>McCoy: The disease, Captain, the one they created three hundred years ago. | Rand: There's a chance! | McCoy: A chance. At least it's a race now, and we've just wasted a minute. (Kirk turns to Yeoman Rand and hugs her.)</t>
  </si>
  <si>
    <t>Kirk interferes with world where biological experiment killed all adults. Having no parents isn't a normal course of development so Kirk figured it was okay to interfere.</t>
  </si>
  <si>
    <t>Enterprise receives an old-style SOS signal from planet far, far away.</t>
  </si>
  <si>
    <t>Ship's Log-3 (Kirk): Doctor McCoy's bio computer and a portable electronic microscope have been beamed down from the Enterprise. They will be used in conjunction with computer banks on-board ship.</t>
  </si>
  <si>
    <t>Ship's Log-5 (Kirk): Stardate 2717.3. Three days, seven hours left to us. Investigation proves that the supply of food in the area is running dangerously low. Unless something is done, the children will starve in a few months. The disease is working on each of us according to Doctor McCoy's prediction. Our tempers are growing short, and we're no further along than we were two days ago.</t>
  </si>
  <si>
    <t>Kirk punches diseased boy in street who attacked McCoy after he touched the bike. Kirk punches him several times in face.</t>
  </si>
  <si>
    <t>Louise (diseased girl) stunned by Kirks phaser by dies on the spot.</t>
  </si>
  <si>
    <t>McCoy examines disease stricken girl, Louise on planet.</t>
  </si>
  <si>
    <t>Dr. Helen Noel uses Dr. Adam's Neural Neutralizer to implant false memory of Kirk kissing her at last year's Christmas party.</t>
  </si>
  <si>
    <t>Dr. Helen Noel climbs through vent shaft to facilitate their escape from Tantalus.</t>
  </si>
  <si>
    <t>Kirk, after Dr. Helen Noel implants the suggestion in his mind with the Neural Neutralize, plants a big, wet kiss on Dr. Helen Noel.</t>
  </si>
  <si>
    <t>Ship's Log-2 (McCoy): Made medical log regarding Dr. Van Gelder and possible situation. Kirk was then required to respond McCoy's log and went back to investigate Tantalus.</t>
  </si>
  <si>
    <t>Kirk: What's so fascinating? | Spock: An identification tape from our ship's library on Doctor Simon Van Gelder. | Kirk: Doctor Van Gelder? | Spock: Doctor Van Gelder, Captain. No mistake. There's a full ID tape on him. | Kirk: Committed to Tantalus colony when? | Spock: Assigned there six months ago as Doctor Adams' associate.</t>
  </si>
  <si>
    <t>Uhura: Oh, Captain, there was a message from Tantalus colony, sir. | Spock: It was from Van Gelder. He thought you'd like to know the treatment room had been dismantled and the equipment destroyed.</t>
  </si>
  <si>
    <t>Dr. Helen Noel plants fake memory of kiss in Kirks mind with the Neural Neutralizer.</t>
  </si>
  <si>
    <t>Dr. Van Gelder attacks a technician in transporter room.</t>
  </si>
  <si>
    <t>Kirk, Spock, and McCoy discuss the situation on Tantalus.</t>
  </si>
  <si>
    <t>Dr. Helen Noel: Attractive, sexy psychiatrist with a background in rehabilitative therapy.</t>
  </si>
  <si>
    <t>Dr. Helen Noel</t>
  </si>
  <si>
    <t>Spock uses neck pinch to subdue Dr. Van Gelder when he threatens to disable the Enterprise.</t>
  </si>
  <si>
    <t>Cargo transport from Tantalus to Enterprise.</t>
  </si>
  <si>
    <t>Cargo transported from Enterprise to Tantalus.</t>
  </si>
  <si>
    <t>Kirk and Dr. Helen Noel transport from Enterprise to Tantalus.</t>
  </si>
  <si>
    <t>McCoy examines Dr. Van Gelder in sick bay after his incident on the bridge.</t>
  </si>
  <si>
    <t>Kirk and Dr. Helen Noel get jostled in the turbolift and fall into an uncomfortable hug.</t>
  </si>
  <si>
    <t>The Neural Neutralizer. A device for curing or destroying someone's brain.</t>
  </si>
  <si>
    <t>Kirk: Ship to surface, Tantalus colony.</t>
  </si>
  <si>
    <t>Dr. Helen Noel, a psychiatrist whom Kirk had a one-night stand with at a Christmas party.</t>
  </si>
  <si>
    <t>Asylum guard (accidently) electrocuted by Dr. Helen Noel while she's trying to shutdown the force field.</t>
  </si>
  <si>
    <t>Balok's ship is equipped with tractor beam that imprisons the Enterprise and begins to tow it back to its home planet.</t>
  </si>
  <si>
    <t>McCoy: What am I? A doctor or a moon shuttle conductor.</t>
  </si>
  <si>
    <t>Spock: Fascinating. | Kirk: What's its mass, Mister Spock? | Spock: Reading goes off my scale, Captain. Must be a mile in diameter.</t>
  </si>
  <si>
    <t>Kirk: Have you tried all hailing frequencies? | Spock: Affirmative. No answer from the cube</t>
  </si>
  <si>
    <t>Uhura: It's a distress signal to the Fesarius. His engines are out. His life-sustaining system isn't operating. The message is repeating, sir. | KIRK: Any reply? | UHURA: Negative. The signal is growing weak. Sir, I doubt if the mother ship could have heard it.</t>
  </si>
  <si>
    <t>Bailey: A message coming over my navigation beam. | Kirk (to Uhura): Pick it up. | Uhura: Switching, sir.</t>
  </si>
  <si>
    <t>Yeoman Rand, the waitress | McCoy: I thought the power was off in the galley. | Rand: I used a hand phaser, and zap. Hot coffee.</t>
  </si>
  <si>
    <t>Yeoman Rand uses a deadly phaser to heat up coffee for the bridge crew.</t>
  </si>
  <si>
    <t>Kirk: Fire main phasers (at the space buoy).</t>
  </si>
  <si>
    <t>Enterprise destroys space buoy and it rocks the entire ship.</t>
  </si>
  <si>
    <t>Kirk, McCoy, and Lt. Bailey transport from Enterprise to Balok's ship.</t>
  </si>
  <si>
    <t>McCoy examines Kirk in sick bay while red alert is flashing.</t>
  </si>
  <si>
    <t>Kirk: Maximum acceleration when I give the word.</t>
  </si>
  <si>
    <t>Kirk: When I find the headquarters genius that assigned me a Yeoman. | McCoy What's the matter Jim, don't you trust yourself?.</t>
  </si>
  <si>
    <t>Kirk: Lt. Palmer. | Lt. Palmer: I can't raise the Constellation sir. I'm still getting the distress beacon but there's heavy subspace interference.</t>
  </si>
  <si>
    <t>Uhura: There's something off the starboard bow.</t>
  </si>
  <si>
    <t>Commodore Mendez: There's been subspace chatter.</t>
  </si>
  <si>
    <t>Commodore Mendez: We received a subspace message asking us to divert here immediately.</t>
  </si>
  <si>
    <t>Uhura: Someone's trying to hail us. | Spock: Maintain radio silence | Uhura: Hailing frequencies still open, I get no message from them.</t>
  </si>
  <si>
    <t>Ship's Log-1 (Kirk-personal): Stardate 3013.1. I find it hard to believe the events of the past twenty four hours or the plea of Mister Spock standing general court-martial.</t>
  </si>
  <si>
    <t>Ship's Log-2 (Kirk-personal): Stardate 3013.2. Reconvening court-martial of Mister Spock and the strangest trial evidence ever heard aboard a starship. From the mysterious planet now only one hour ahead of us, the story of Captain Pikes imprisonment there.</t>
  </si>
  <si>
    <t>Kirk and Lenore ready to kiss but are interrupted by the find of a dead body.</t>
  </si>
  <si>
    <t>Uhura plays Vulcan lyre in the rec room.</t>
  </si>
  <si>
    <t>Ship's Log-3 (Kirk): Stardate 2819.1. Ships officer Riley's condition worsening. Doctor McCoy making lab analysis to determine cause and antidote. Entire crew deeply concerned.</t>
  </si>
  <si>
    <t>Ship's Log-4 (McCoy-Medical): Lieutenant Riley's sufficiently recovered to be discharged, but the Captains ordered him restricted to Sickbay to prevent contact with the passenger who calls himself Karidian and who's suspected of being Kodos the Executioner and of murdering the Lieutenant's family.</t>
  </si>
  <si>
    <t>Lenore put phaser in Kirks quarters and set it on overload in order to kill Kirk.</t>
  </si>
  <si>
    <t>Lenore finds witnesses to her fathers atrocities and kills them so her father will be free.</t>
  </si>
  <si>
    <t>Kirk, Spock, and McCoy discuss the possibility that Karidian is Kodos the Executioner.</t>
  </si>
  <si>
    <t>Lenore, Kodos daughter. Kirk flirts with Lenore to get information about her father.</t>
  </si>
  <si>
    <t>Kirk and Lenore have a romantic stroll on the shuttle craft observation deck.</t>
  </si>
  <si>
    <t>Kodos killed by Lenore while she attempted to shoot Kirk with her phaser (which really should have been locked up for safe keeping.)</t>
  </si>
  <si>
    <t>Kirk transports from Planet Q to Enterprise (Off-screen).</t>
  </si>
  <si>
    <t>Lenore (with the Karidian players) transports from Planet Q to Enterprise.</t>
  </si>
  <si>
    <t>McCoy: Did you get a look at that little Juliet, that's a pretty exciting creature . Of course your personal chemistry would prevent you from seeing that.</t>
  </si>
  <si>
    <t>Spock: Still no answer from earth outpost #2. and now outpost #3 has gone silent.</t>
  </si>
  <si>
    <t>Kirk: Make a challenge. Warn that ship off. | Uhura: Trying to, sir. They don't acknowledge.</t>
  </si>
  <si>
    <t>Kirk (directed at Lt. Stiles after hinted Spock was a Romulan spy): Leave any bigotry in your quarters, there's no room for it on the bridge.</t>
  </si>
  <si>
    <t>Romulan crew killed when Enterprise phaser hit Romulan warbird.</t>
  </si>
  <si>
    <t>Kirk violates inviolable Starfleet orders not to enter the Romulan Neutral Zone. He feels he must destroy that invading ship to avert a war.</t>
  </si>
  <si>
    <t>Kirk: Warn that ship off | Uhura: They don't acknowledge.</t>
  </si>
  <si>
    <t>Yeoman Rand: They (Starfleet) say they'll support whatever decision you have to make.</t>
  </si>
  <si>
    <t>Lt. Angela Martinez cries into Kirks chest after death of her fiancé.</t>
  </si>
  <si>
    <t>Kirk fires ship's phases to detonate nuclear device adrift in Romulan flotsam.</t>
  </si>
  <si>
    <t>Romulan Centurion killed when Enterprise fires phaser at Romulan warbird.</t>
  </si>
  <si>
    <t>Enterprise detonates nuclear device in Romulan flotsam.</t>
  </si>
  <si>
    <t>Uhura: We're intercepting a follow up message.</t>
  </si>
  <si>
    <t>Kirk: This must be a space first. A transport ship that doesn't need anything? | Ramart: Nothing. | Kirk: Not even Saurian brandy? | Ramart: We're fine, thank you. Pleasant journey, Captain.</t>
  </si>
  <si>
    <t>Ship's Log-3 (Kirk): supplemental. All contact with the Enterprise has been lost. We're trapped here. Our ships surgeon, my personal friend, is dead. We're certain now that whatever were facing is terribly real.</t>
  </si>
  <si>
    <t>McCoy flirts with Yeoman Barrows the entire episode. She's never seen again after this episode.</t>
  </si>
  <si>
    <t>Spock scans downed knight with tricorder. Determines it and the horse are made of the same plant material as everything in the surrounding glade.</t>
  </si>
  <si>
    <t>Parks owners ability can resurrect anyone who dies in the park. This technology is never heard of again.</t>
  </si>
  <si>
    <t>Kirk shoots charging knight with handgun found by Sulu earlier.</t>
  </si>
  <si>
    <t>Kirk and Ruth kiss and remember the good times when they were a couple.</t>
  </si>
  <si>
    <t>A world with a healthy ecology but no animals or insects. D'oh!</t>
  </si>
  <si>
    <t>Distracted by the Sexy</t>
  </si>
  <si>
    <t>Kirk's rock</t>
  </si>
  <si>
    <t>Yeoman Barrows</t>
  </si>
  <si>
    <t>McCoy (skewered by charging knight. But he got better.)</t>
  </si>
  <si>
    <t>Landing area is a beautiful glade you'd find on Earth.</t>
  </si>
  <si>
    <t>McCoy and Yeoman Barrows are an inseparable couple for the episode.</t>
  </si>
  <si>
    <t>Ruth, an old flame, is a facsimile on the shore leave planet.</t>
  </si>
  <si>
    <t>Lt. Angela Martinez (killed by strafing fighter plane. Resurrected by amusement park owners.)</t>
  </si>
  <si>
    <t>Rodriguez</t>
  </si>
  <si>
    <t>Kirk goes off with the facsimile of Ruth, his old flame.</t>
  </si>
  <si>
    <t>Kirk stares at the two nearly naked showgirls that McCoy's has on his arms.</t>
  </si>
  <si>
    <t>Lt. Angela Martinez killed by strafing fighter plane. Resurrected by amusement park owners.</t>
  </si>
  <si>
    <t>Finnegan was an academy classmate of Kirk's who razed Kirk and picked a lot of fights.</t>
  </si>
  <si>
    <t>Taurus II, a rocky and fog-shrouded world. Kinda, sorta Class M.</t>
  </si>
  <si>
    <t>Shuttlecraft Galileo Seven (which crashes on a Taurus II in the Murasaki 312 Cluster.)</t>
  </si>
  <si>
    <t>Yeoman Mears: Nothing sir. Just Ionic interference.</t>
  </si>
  <si>
    <t>Lt. Bowman</t>
  </si>
  <si>
    <t>Lt. Gaetano (killed by cavemen.)</t>
  </si>
  <si>
    <t>Lt. Latimer (killed by cavemen.)</t>
  </si>
  <si>
    <t>Yeoman Mears</t>
  </si>
  <si>
    <t>Spock fires Galileo Sevens boosters while in orbit as a desperation move to make a flare.</t>
  </si>
  <si>
    <t>Everyone laughs about Spock's desperation move. Spock doesn't laugh.</t>
  </si>
  <si>
    <t>McCoy: Partial pressure of oxygen, seventy millimeters of mercury. Nitrogen one forty. Breathable, if you're not running in competition. | SPOCK: Just the facts, Doctor. | MCCOY: Traces of argon, neon, krypton, all in acceptable quantities. However, I wouldn't recommend this place as a summer resort.</t>
  </si>
  <si>
    <t>Spock accused of desperation move for burning the fuel to use as a flare.</t>
  </si>
  <si>
    <t>Ship's Log-1 (Spock): Stardate 2124.5. First Officer Spock reporting for Captain James Kirk. We are orbiting the lone unrecorded planet in the star desert. For four hours, we have made every possible instrument sweep, but Captain Kirk and Helmsman Sulu remain unaccounted for. I have placed the ship on red alert.</t>
  </si>
  <si>
    <t>Ship's Log-2 (Spock): Stardate 2125.7. Science Officer Spock reporting for Captain Kirk. We have completed fourteenth orbit of this planet without establishing contact with our missing officers or the parties sent to find them. Subspace communications remain blocked. However, by diverting impulse power to our sensors, we have made them operable, and we have detected one small area on the surface which seems relatively stable.</t>
  </si>
  <si>
    <t>Nuetronium ???</t>
  </si>
  <si>
    <t>McCoy can't test the vaccine with being able to communicate with the Enterprise. McCoy picks up the hypospray and injects himself, then collapses in agony. In minutes, the blotches disappear and he makes a full recovery.</t>
  </si>
  <si>
    <t>Agony Beam</t>
  </si>
  <si>
    <t>The mirror universe used personal agonizers and agony booths to control the crew</t>
  </si>
  <si>
    <t>Upgrade Artifact</t>
  </si>
  <si>
    <t>A Teacher which gives whoever uses it the ability to perform brain transplants and removal, perfectly. The downside is the knowledge is short-lived.</t>
  </si>
  <si>
    <t>Diverting Power</t>
  </si>
  <si>
    <t>Scotty diverts warp power to the shields to defend against Nomad's energy bolts.</t>
  </si>
  <si>
    <t>The Romulan ship had to turn off its cloaking device in order to fire its plasma weapon. Also, Kirk orders all power diverted to weapons before making the final attack on the Romulan ship.</t>
  </si>
  <si>
    <t>Assistant Chief Engineer DeSalle orders power diverted to the hull in an attempt to escape their imprisonment.</t>
  </si>
  <si>
    <t>Spock orders all but emergency maintenance power to be diverted to the shields to resist the Tholian attacks.</t>
  </si>
  <si>
    <t>While inside the giant space amoeba, Spock diverts his shuttle's secondary power to the shields.</t>
  </si>
  <si>
    <t>Disco Tech</t>
  </si>
  <si>
    <t>Energy Absorption</t>
  </si>
  <si>
    <t>The space amoeba absorbed all energy directed at it.</t>
  </si>
  <si>
    <t>Handy Remote Control</t>
  </si>
  <si>
    <t>Spock's brainless body is hooked up to a remote with perhaps twelve buttons that allows the operator to cause Spock to walk, turn, and (somehow) grab the antagonist's arms and deactivate her wrist control</t>
  </si>
  <si>
    <t>The bracelet the women wear are a handy remote control for everything they need to do with only a few buttons</t>
  </si>
  <si>
    <t>Shape-Shifting</t>
  </si>
  <si>
    <t>Cow Tools</t>
  </si>
  <si>
    <t>For the Star Trek mess hall, the set dressers went out to various shops and bought a bunch of unusual salt and pepper shakers. However, they were all considered too confusing for the viewer and normal looking ones were used. They got put to good use however, as they were put in the Sick Bay as futuristic medical devices.</t>
  </si>
  <si>
    <t>Sufficiently Advanced Bamboo Technology</t>
  </si>
  <si>
    <t xml:space="preserve">The Guardian of Forever resembles a doughnut-shaped stone slab, but it is actually a powerful device capable of Time Travel. It's also sentient, and claims to be extremely ancient, and neither a machine nor living being; and yet both. </t>
  </si>
  <si>
    <t>An ancient supercomputer that controls a planet's primitive population is built to look like a serpent-headed giant stone idol.</t>
  </si>
  <si>
    <t>The Preservers built an obelisk on a planet inhabited by transplanted Native Americans. It turned out to be a voice-activated asteroid-deflector.</t>
  </si>
  <si>
    <t>The Organians appear to be technologically backward but this is because they are actually incorporeal energy beings and everything on the planet is just props to help them more easily interact with corporeal creatures</t>
  </si>
  <si>
    <t>Magic From Technology</t>
  </si>
  <si>
    <t>Apollo is an advanced being that acts a god with his power displayed as if it is magic</t>
  </si>
  <si>
    <t>Korob and Sylvia use the transmuter to convert energy into seemingly magic acts</t>
  </si>
  <si>
    <t>Trelane uses a power transformer to change reality however he wants</t>
  </si>
  <si>
    <t>Magic Tool</t>
  </si>
  <si>
    <t>Gary Seven's servo was capable of doing anything from locking doors, severing phone lines, and whatever.</t>
  </si>
  <si>
    <t>Star Trek Shake</t>
  </si>
  <si>
    <t>Scotty rigged the engines to detonate while the Enterprise was passing through the energy barrier at the edge of the galaxy.</t>
  </si>
  <si>
    <t>The missile carrying the orbital nuclear warhead platform has a self destruct device to destroy it in case it goes off course. Gary Seven deactivates it as part of his plan to scare the Earth governments into not using such weapons.</t>
  </si>
  <si>
    <t>The Romulan commander destroys his ship rather than surrender. Notably, the Romulan ship's destruct mechanism does not feature the usual count-down or multi-person activation. The Romulan commander simply pulls a lever and the ship goes boom immediately.</t>
  </si>
  <si>
    <t>The Providers are literally 'brains in a jar'.</t>
  </si>
  <si>
    <t>sulu</t>
  </si>
  <si>
    <t>rand</t>
  </si>
  <si>
    <t>uhura</t>
  </si>
  <si>
    <t>desalle-g</t>
  </si>
  <si>
    <t>mcgivers</t>
  </si>
  <si>
    <t>The Romulan commander in the episode The Enterprise Incident is easily duped by Kirk and Spock, and, though explicitly stated to be a soldier, the most badass thing she does is slap Spock across the face in a fit of Woman Scorned fury.</t>
  </si>
  <si>
    <t>romulan</t>
  </si>
  <si>
    <t>McCoy injects Tormolan with magic antidote but he dies anyway from lack of will to live.</t>
  </si>
  <si>
    <t>Yeoman Rand slapped on the ass by Charlie cause that's what he saw the crewmen do to each other. That's the way men are.</t>
  </si>
  <si>
    <t>Yeoman Rand was nice to Charlie so he thinks she likes him. But she rejects his advances cause he misunderstood her feelings for him.</t>
  </si>
  <si>
    <t>Charlie:  I have something for you. (a rose). Pink is your favorite, isn't it? (A present from Charlie to Yeoman Rand)</t>
  </si>
  <si>
    <t>Elann of Troyius tears act like a love potion.</t>
  </si>
  <si>
    <t>evil_kirk</t>
  </si>
  <si>
    <t>Kirk shoots Gorn with makeshift cannon he created from material throw on the rocks.</t>
  </si>
  <si>
    <t>Korby: This is necessary, Captain. You will understand. Andrea. | Andrea reaches for Kirk's phaser, but Kirk grabs her to use as a shield. Kirk aims at Brown instead, while moving towards a table to use as a barrier instead of the Andrea.</t>
  </si>
  <si>
    <t>Apollo fires lightning bolts at Enterprise.</t>
  </si>
  <si>
    <t>Nurse Chapel with Padd. Hands to McCoy to sign.</t>
  </si>
  <si>
    <t>Uhura with Padd. Hands to Kirk to sign.</t>
  </si>
  <si>
    <t>Kirk sign Padd and hands to goldshirt.</t>
  </si>
  <si>
    <t>Nurse Chapel with Padd in sick bay. Reads while she monitors Sulu.</t>
  </si>
  <si>
    <t>McCoy injects Sulu while in sick bay with magic antidote for virus.</t>
  </si>
  <si>
    <t>Spock with small Padd in Starbase computer room</t>
  </si>
  <si>
    <t>Kirk with Padd on briefing table.</t>
  </si>
  <si>
    <t>Pike: What are you putting in that? Dr. Boyce: Who wants a warm martini?</t>
  </si>
  <si>
    <t>Kirk writes on Padd on bridge</t>
  </si>
  <si>
    <t>Spock scans interior of Galileo Seven after it crashed</t>
  </si>
  <si>
    <t>Uhura with Padd at communication station</t>
  </si>
  <si>
    <t>Kirk reading small Padd on bridge</t>
  </si>
  <si>
    <t>Yeoman Mears with tricorder on bridge</t>
  </si>
  <si>
    <t>Yeoman Mears records event with tricorder on shuttlecraft.</t>
  </si>
  <si>
    <t>I Like Those Odds</t>
  </si>
  <si>
    <t>Shuttlecraft carrying Vulcan ambassador docks with Enterprise</t>
  </si>
  <si>
    <t>Spock shows McCoy how to do the Vulcan salute</t>
  </si>
  <si>
    <t>jeffreries_tube</t>
  </si>
  <si>
    <t>Uhura: I've picked up some sort of signal. Just a few symbols. Not intelligible. | Kirk: Source? | Uhura: that's what bothers me sir. Impossible to locate</t>
  </si>
  <si>
    <t>Kirk calls a Yellow Alert</t>
  </si>
  <si>
    <t>Faster Than Light Travel</t>
  </si>
  <si>
    <t>Spock: Ship is heading toward up as high warp speed</t>
  </si>
  <si>
    <t>Tellurite drinking Saurian Brandy</t>
  </si>
  <si>
    <t>Tellurite found hanging up in Jefferies Tube, dead</t>
  </si>
  <si>
    <t>Tellurite found in Jefferies Tube</t>
  </si>
  <si>
    <t>clothing shirtless</t>
  </si>
  <si>
    <t>Kirk shirtless in this quarters when he gets the call about the Tellurite death</t>
  </si>
  <si>
    <t>McCoy examines dead Tellurite and determines his neck was broken</t>
  </si>
  <si>
    <t>Spock: I get readings of trititanium from the alien ship's hull.</t>
  </si>
  <si>
    <t>Uhura: Captain. I've picked up the last part of a transmission. Just like that other one. I put the recorder and directional locator on it immediately.</t>
  </si>
  <si>
    <t>Uhura: sir. The directional locator indicates reception point somewhere within the body of this ship.</t>
  </si>
  <si>
    <t>McCoy: A chemical stimulate to speed up reproduction and replacement of blood in the body. It's only experimental.</t>
  </si>
  <si>
    <t>Kirk fights the Andorian spy on board the Enterprise. Kirk knocks out the Andorian but not before he gets stabbed in the back.</t>
  </si>
  <si>
    <t>Andorian questioned using truth drugs</t>
  </si>
  <si>
    <t>Amanda: Nothing is as important as your father's life | Spock: can you imagine what my father would say if I were to agree , if I were to give up command of this vessel,. Jeopardize hundreds of lives , risk interplanetary war, all for the life of one person.</t>
  </si>
  <si>
    <t>Kirk: Any further transmissions Lt. | Uhura: None sir.</t>
  </si>
  <si>
    <t>Uhura: Captain, I'm picking up the alien signal again. But it's coming from inside the Enterprise. | Kirk: Specific origin. | Uhura: From the brig.</t>
  </si>
  <si>
    <t>instant sedation</t>
  </si>
  <si>
    <t>Nurse Chapel sedates Spock as he attempts to leave the operating room</t>
  </si>
  <si>
    <t xml:space="preserve">Andorian prisoner attacks security when they search him. </t>
  </si>
  <si>
    <t>phaser</t>
  </si>
  <si>
    <t>Redshirt stuns Andorian prisoner with phaser.</t>
  </si>
  <si>
    <t>Chekov: The alien ship has changed course and speed, moving directly toward us at warp 8.</t>
  </si>
  <si>
    <t>Kirk calls a Red Alert when alien ship begins its attack.</t>
  </si>
  <si>
    <t>Chekov: Number four shield has buckled sir.</t>
  </si>
  <si>
    <t>Chekov: Speed decreasing. Dropping close to sub-light.</t>
  </si>
  <si>
    <t>Enterprise fires ship's phasers at alien ship - and destroys the alien ship</t>
  </si>
  <si>
    <t>Kirk: Lt. Open a hailing frequency. If they wish to surrender.</t>
  </si>
  <si>
    <t>Alien self-destructed after they were disabled by the Enterprise phasers.</t>
  </si>
  <si>
    <t>Kirk: Lt. Relay to Starbase Command. Tell them we have a prisoner.| Uhura: Aye sir.</t>
  </si>
  <si>
    <t>Crew self-destructed their ship</t>
  </si>
  <si>
    <t>Orion spy took a slow poison and died on the bridge</t>
  </si>
  <si>
    <t>Series</t>
  </si>
  <si>
    <t>Spock: A very interesting hypothesis, Doctor. Briefing room.</t>
  </si>
  <si>
    <t>Spock: The, er, impostor had some interesting qualities, wouldn't you, say, Yeoman?</t>
  </si>
  <si>
    <t>Spock: Disappeared. Interesting how they became visible for just a moment.</t>
  </si>
  <si>
    <t>Spock: James Kirk. Enjoy yourself, Captain. It's an interesting planet.</t>
  </si>
  <si>
    <t>Spock: Interesting. Just as dogs are sensitive to certain sounds which humans cannot hear, these creatures evidently are sensitive to light which we cannot see.</t>
  </si>
  <si>
    <t>Spock: Interesting. Extremely low specific gravity, some uraninite, hornblende, quartz. (breaks it in half) Fragile, good cleavage. An analysis should prove interesting. (He throws one half away, and it explodes when it hits the ground.)</t>
  </si>
  <si>
    <t>Spock: Concerning the situation you related to us. In my opinion, the Argelian empathic contact is an interesting phenomenon, but the technique is not sound enough to risk a man's life.</t>
  </si>
  <si>
    <t>Spock: Interesting, Captain. Passers-by are carrying, I believe, firearms. (They are approached by two men in neat suits with machine guns.)</t>
  </si>
  <si>
    <t>UHURA: Captain. There was a message from Starbase Six. Heavy interference. All I get is Intrepid and what sounded like a sector co-ordinate. | Spock: Interesting. No indications of magnetic storms in this sector.</t>
  </si>
  <si>
    <t>Spock: The Ekosians are humanoid, so there is apt to be a similarity in architecture. Interesting.</t>
  </si>
  <si>
    <t>Spock: Interesting. A neural field?</t>
  </si>
  <si>
    <t xml:space="preserve">(Spock and Rojan are playing 3D chess.) Spock: Yes. Humans are very peculiar. I often find them unfathomable, but an interesting psychological study.  </t>
  </si>
  <si>
    <t>Spock: Interesting that the villagers know about phasers.</t>
  </si>
  <si>
    <t>Spock: (brings over a magazine) Captain, I thought you might find this interesting.</t>
  </si>
  <si>
    <t>MERIK: There's been no war here for over four hundred years, Jim. Could, let's say, your land of that same era make that same boast? I think you can see why they don't want to have their stability contaminated by dangerous ideas of other ways and other places. | Spock: Interesting, and given a conservative empire, quite understandable.</t>
  </si>
  <si>
    <t>Spock: Captain, we could say that Mister Seven and Miss Lincoln have some interesting experiences in store for them.</t>
  </si>
  <si>
    <t>Spock: There is another portion, Captain, which I believe you'll find particularly interesting.</t>
  </si>
  <si>
    <t>Spock [on monitor]: Most interesting. Our host appears to wish us to linger, yet he is apprehensive. It is logical to assume that we are being monitored and that he is aware of our every move.</t>
  </si>
  <si>
    <t>Spock: Interesting. Obviously, Mister Flint is not yet ready for us to depart.</t>
  </si>
  <si>
    <t>Norman: I trust you are enjoying yourself, Mister Spock. | Spock: Very interesting. Very interesting. This is a most unusual device. | Norman: It is our central control complex.</t>
  </si>
  <si>
    <t>McCoy: There's that magic word again. Does your logic find this fascinating, Mister Spock? | Spock: Fascinating is a word I use for the unexpected. In this case, I should think interesting would suffice.</t>
  </si>
  <si>
    <t>Spock: Come in, gentlemen. I believe you'll find this interesting. (McCoy scans Spock.) Doctor, your medical skill and curiosity are quite admirable, but I assure you I'm all right. | McCoy: You may be controlling the pain, Mister Spock, but you're far from all right. | Spock: Unimportant at the moment, Doctor. Please observe. Interesting, gentlemen. A one-celled creature resembling, more than anything else, a huge, individual brain cell.</t>
  </si>
  <si>
    <t>McCoy: Spock, what happened down there? The girl? The wedding? | Spock: Ah, yes, the girl. Most interesting. It must have been the combat. When I thought I had killed the captain, I found I had lost all interest in T'Pring. The madness was gone.</t>
  </si>
  <si>
    <t>McCoy: Well we're not going to leave them there while we just sit and wait. | Spock: Interesting. No power source. It may be shielded.</t>
  </si>
  <si>
    <t>McCoy: I was just trying to make conversation, Spock. | Spock: It would be most interesting to impress your memory engrams on a computer, Doctor. The resulting torrential flood of illogic would be most entertaining.</t>
  </si>
  <si>
    <t>Edith: You know as well as I do how out of place you two are around here. | Spock: Interesting. Where would you estimate we belong, Miss Keeler? | Edith: You? At his side, as if you've always been there and always will. And you? You belong in another place. I don't know where or how. I'll figure it out eventually.</t>
  </si>
  <si>
    <t>Marta: No, you mustn't stop me. He's my lover and I have to kill him. (Spock neck-pinches her.) | Spock: She seems to have worked out an infallible method for assuring permanent male fidelity. Interesting.</t>
  </si>
  <si>
    <t>Spock: Might be interesting to see what they look like if I can locate where that voice is coming from. (McCoy and Scotty enter)</t>
  </si>
  <si>
    <t>Scotty: Well, it's fused, all right, but it would take all the power of our main phaser banks to do it. | Spock: Interesting. Scotty: I find nothing interesting in the fact that we're about to blow up. | Spock: No, but the method is fascinating.</t>
  </si>
  <si>
    <t>Kirk: Mister Spock? Find something? | Spock: Adjusting my tricorder to register for silicon, Captain. Interesting. | Kirk: Traces? | Spock: A life form, Captain. Bearing one hundred eleven degrees, elevation four degrees.</t>
  </si>
  <si>
    <t>Kirk: Are you sure you're all right? | Spock: Perfectly, Baroner. But it was an interesting experience.</t>
  </si>
  <si>
    <t>Kirk: Well, Mister Spock, if we can't disguise you, we'll find some way of explaining you. Spock: That should prove interesting.</t>
  </si>
  <si>
    <t>Eleen: McCoy. Bring our child. | Kirk: Our child? | McCoy: I'll explain later. | Spock: That should prove very interesting.</t>
  </si>
  <si>
    <t>Kirk: An obscure Earth dialect, Mister Spock. Oochy-woochy coochy-coo. If you're curious, consult linguistics. | Spock: Well, at any rate, this should prove interesting. | Kirk: Interesting? |Spock: When the woman starts explaining how the new high teer is actually Doctor McCoy's child.</t>
  </si>
  <si>
    <t>McCoy: They must have interfered with the normal evolution of the planet. | Spock: It will be interesting to see the results of the contamination. | Kirk: We don't know there is contamination. The evidence is only circumstantial.</t>
  </si>
  <si>
    <t>Kirk: Key in the ignition. Turn the ignition on. And nothing happens. Where's the starter? There's the starter. Yes! | Spock: Interesting.</t>
  </si>
  <si>
    <t>Kirk: Maybe they had help. Maximum orbit. Take us out of range of their detection range. | Spock: Most interesting. We were attacked by a thermonuclear missile from a planet which should have no such weapon.</t>
  </si>
  <si>
    <t>Chekov: Course of asteroid, I mean spaceship two four one mark one seven. | Spock: Interesting. | Kirk: Yes?  Spock: The course Ensign Chekov just gave for the asteroid would put it on a collision course with Daran Five.</t>
  </si>
  <si>
    <t>Spock: Stratos, Captain. A city actually floating in the sky. | Kirk: Looks as tranquil as its reputation, doesn't it. | Spock: It is one of the most interesting metropolises in the galaxy. Have you ever visited here, Captain?</t>
  </si>
  <si>
    <t>Spock: I find it mildly interesting and somewhat nostalgic, if I understand the use of that word. | Garth: Nostalgic? | Spock: Yes. It is somewhat reminiscent of the dances that Vulcan children do in nursery school. Of course, the children are not so well co-ordinated.</t>
  </si>
  <si>
    <t>Spock: ???</t>
  </si>
  <si>
    <t>Lt. Palmer: Mr. Spock. Communications damage. We're unable to override interference.</t>
  </si>
  <si>
    <t>Landru's computer created a stable but stagnant world.</t>
  </si>
  <si>
    <t>Kirk leading Sarek and Amanda pass a Jefferies Tube</t>
  </si>
  <si>
    <t>Kirk's violent actions is aimed at stopped Eminiar's senseless computer war.</t>
  </si>
  <si>
    <t>Kirk wants to protect this society even if it hasn't progressed in over a millennia.</t>
  </si>
  <si>
    <t>Pollux IV looks just like Earth.</t>
  </si>
  <si>
    <t>Subverted: Jaeger: No detectable soil or vegetation. Extremely hot, toxic atmosphere swept by tornado storm. Continuous volcanic eruptions. Deadly to any life forms such as we know it without oxygen and life-support systems. | landing party transport down | Jaeger: Atmosphere exactly the same as ours.</t>
  </si>
  <si>
    <t>Anti-Lazarus comes from an anti-matter world.</t>
  </si>
  <si>
    <t>Commodore Decker launch's Shuttlecraft to ram it down its (The Doomsday Machine) throat</t>
  </si>
  <si>
    <t>Enterprise uses tractor beam to lock on to jet interceptor.</t>
  </si>
  <si>
    <t>Even without power the Constellation seems to have 100% artificial gravity.</t>
  </si>
  <si>
    <t>Spock's inner eyelids saves his vision when McCoy turned on the brilliant white light.</t>
  </si>
  <si>
    <t>Kirk and mirror Lt. Marlena Moreau kiss, long and passionate. Marlena: Its been a long time since you've kissed me like that.</t>
  </si>
  <si>
    <t>Ahn'woon is Vulcan weapon used in Koon-Ut-Kal-If-Fee.</t>
  </si>
  <si>
    <t>Ship's Log-1 (Kirk): Stardate 1513.1. Our position, orbiting planet M-113. On board the Enterprise, Mister Spock temporarily in command. On the planet the ruins of an ancient and long-dead civilization. Ships surgeon McCoy and myself are now beaming down to the planets surface. Our mission, routine medical examination of archaeologist Robert Crater and his wife Nancy. Routine but for the fact that Nancy Crater is that one woman in Doctor McCoy's past.</t>
  </si>
  <si>
    <t>Ship's Log-5 (Kirk): additional. Armed and able-bodied crewmen are not attacked and slaughtered this easily. Apparently, the killer can immobilize them as it approaches perhaps with some hypnotic or paralyzing power. The answer lies with Professor Crater.</t>
  </si>
  <si>
    <t>Ship's Log-2 (Kirk): Stardate 2126.1. Delayed report. The whole bridge crew are the unwilling guests of the creature who calls himself Trelane. We are weaponless, powerless, and our only hope of escape with the Enterprise lies in playing his games. I've decided to make my move with the field of honor game, and everything depends on my one chance with the ancient dueling pistol.</t>
  </si>
  <si>
    <t>Ship's Log-2 (Kirk): supplemental. Engineering Officer Scott informs warp engines damaged, but can be made operational and reenergized.</t>
  </si>
  <si>
    <t>Ship's Log-3 (Kirk): Stardate 3143.3. Control of the Enterprise has been regained. I wish my next decisions were no more difficult. Khan and his people. What a waste to put them in a reorientation center. And what do I do about McGivers?</t>
  </si>
  <si>
    <t>Ship's Log-1 (Kirk): stardate 3192.1. The Enterprise is en route to star cluster NGC 321. Objective, to open diplomatic relations with the civilizations known to be there. We have sent a message to Eminiar Seven, principal planet of the star cluster, informing them of our friendly intentions. We are awaiting an answer.</t>
  </si>
  <si>
    <t>Ship's Log-2 (Kirk): supplemental. We have been ordered by Starfleet Command to evacuate the colony on Omicron Three. However, the colony leader, Elias Sandoval, has refused all co-operation and will not listen to any arguments.</t>
  </si>
  <si>
    <t>Ship's Log-3 (Kirk): Stardate 3417.5. The pod plants have spread spores throughout the ship, carried by the ventilation system. Under their influence, my crew is deserting to join the Omicron colony, and I can't stop them. I don't know why I have not been infected, nor can I get Doctor McCoy to explain the physical-psychological aspects of the infection.</t>
  </si>
  <si>
    <t>Ship's Log-4 (Kirk): stardate 3417.7. Except for myself, all crew personnel have transported to the surface of the planet. Mutinied. Lieutenant Uhura has effectively sabotaged the communications station. I can only contact the surface of the planet. The ship can be maintained in orbit for several months, but even with automatic controls, I cannot pilot her alone. In effect, I am marooned here. I'm beginning to realize just how big this ship really is, how quiet. I don't know how to get my crew back, how to counteract the effect of the spores. I don't know what I can offer against paradise.</t>
  </si>
  <si>
    <t>Ship's Log-5 (Kirk): supplemental. I think I've discovered the answer, but to carry out my plan entails considerable risk. Mister Spock is much stronger than the ordinary human being. Aroused, his great physical strength could kill. But its a risk Ill have to take.</t>
  </si>
  <si>
    <t>Ship's Log-1 (Kirk): supplemental entry. Two drops of cordrazine can save a mans life. A hundred times that amount has just accidentally been pumped into Doctor McCoy's body. In a strange, wild frenzy, he has fled the ships Bridge. All connecting decks have been placed on alert. We have no way of knowing if the madness is permanent or temporary, or in what direction it will drive McCoy.</t>
  </si>
  <si>
    <t>Ship's Log-1 (Kirk): stardate 3287.2. The mass insanity we have tracked across this section of the galaxy seems to have already touched Deneva. That planet, colonized over a century ago, is one of the most beautiful in the galaxy.</t>
  </si>
  <si>
    <t>Ship's Log-2 (Kirk): supplemental. Whatever the creatures are, they have apparently taken over all the inhabitants of Deneva. Meanwhile, ships surgeon Doctor McCoy is examining a strange puncture wound left by one of the creatures on Mister Spock's back.</t>
  </si>
  <si>
    <t>Ship's Log-1 (Kirk): stardate unknown. During an ion storm, my landing party has beamed back to the Enterprise and found it and the personnel aboard changed. The ship is subtly altered physically. Behavior and discipline has become brutal, savage.</t>
  </si>
  <si>
    <t>Ship's Log-3 (Kirk): stardate unknown. We are trapped in a savage, parallel universe from which we must escape within four hours, or I will face a death sentence at Mister Spock's hands.</t>
  </si>
  <si>
    <t>Sarek gives Vulcan salute to McCoy</t>
  </si>
  <si>
    <t>Sarek gives Vulcan salute to Kirk</t>
  </si>
  <si>
    <t>Spock gives Vulcan salute to Sarek. Sarek ignores him.</t>
  </si>
  <si>
    <t>Spock: Captain, This is fascinating. (about Akuta's antenna).</t>
  </si>
  <si>
    <t>Spock: Fascinating. (as they walk into Vaal's cave.)</t>
  </si>
  <si>
    <t>Spock: Interesting. Your Earth people glorify organized violence for forty centuries, but you imprison those who employ it privately.</t>
  </si>
  <si>
    <t>Spock: We shouldn't depend on that happening again, Captain. In a society as well organized as this one seems to be, I cannot conceive of such an oversight going uncorrected. Interesting, however. Their reaction to your defiance was remarkably similar to the reaction of a computer when fed insufficient or contradictory data.</t>
  </si>
  <si>
    <t>Chekov: Phasers armed and ready, sir. (The bright dot on the view screen whizzes past them.) | Spock: Interesting. They were travelling at approximately warp ten.</t>
  </si>
  <si>
    <t>Kirk: Spock. A short time ago, I broke up an argument between Gav and your father. | Spock: Indeed, Captain? Interesting. | McCoy: Interesting? Spock, do you realize that makes your father the most likely suspect?</t>
  </si>
  <si>
    <t>HAINES: (A woman in gold uniform at Spock's station) Mister Spock, I'm getting a fluctuating energy reading on this hydrogen cloud. It's faint, sir, but it consistently reads an excess of predictable energy level. | Spock: Interesting. It seems to be an ionization trail.</t>
  </si>
  <si>
    <t>McCoy: Please, Spock, do me a favor and don't say it's fascinating. | Spock: No. But it is interesting. (McCoy rolls his eyes.)</t>
  </si>
  <si>
    <t>Kirk calls Enterprise - no response.</t>
  </si>
  <si>
    <t>Scotty calls Uhura by sending beep on her the panel informing her its time to distract Mirror Sulu.</t>
  </si>
  <si>
    <t xml:space="preserve">Uhura: Captain. The intercoms are jammed. All the ambassadors want are asking what's going on. | Kirk: Tell them to take a good… guess but, clear that board Lt. </t>
  </si>
  <si>
    <t>Kirk: Does answer our hails? | Uhura: I've tried all frequencies and hooked in the universal translator. No response sir.</t>
  </si>
  <si>
    <t xml:space="preserve">Uhura: Damage reports coming in Captain, every deck. </t>
  </si>
  <si>
    <t>Uhura: Starfleet acknowledges report on our situation and confirms. No authorized Federation vessel in their quadrant.</t>
  </si>
  <si>
    <t>Kirk: Get me Starfleet command and pipe in down to Dr. McCoy's office.</t>
  </si>
  <si>
    <t>Kirk: Lt. Uhura, contact the Halkan council. I wish to talk to them again.</t>
  </si>
  <si>
    <t>Uhura: I'm getting ground to air transmission.</t>
  </si>
  <si>
    <t>Uhura: I'm been transmitting a contact signal every five minutes. All I get is dead air. | Kirk :Maintain transition pattern.</t>
  </si>
  <si>
    <t>Uhura: Something's coming in on the Starfleet channel, priority and urgent. | Kirk: Put in audio over here.</t>
  </si>
  <si>
    <t>Uhura re-establishing comm link to Kirk.</t>
  </si>
  <si>
    <t>Uhura: Still no response sir. | Kirk: Keep it open.</t>
  </si>
  <si>
    <t>Kirk gives Spock a cool down hug after the Spock did a mind meld with a Nomad.</t>
  </si>
  <si>
    <t>Kirk holds Uhura's arms while telling her she's the only one who can  it. (get comms from Starfleet).</t>
  </si>
  <si>
    <t>Kirk takes hold of Jamie Finney's shoulders to comfort her.</t>
  </si>
  <si>
    <t>Chekov hugs Yeoman Martha Landon as she's explaining to Akuta what love is.</t>
  </si>
  <si>
    <t>Norman the android knocks out technician in Auxiliary Control.</t>
  </si>
  <si>
    <t>Norman the android knocks out technician in Engineering Override station</t>
  </si>
  <si>
    <t>Captain Christopher sketches layout of air force base on Padd.</t>
  </si>
  <si>
    <t>Lt. Singh with Padd in auxiliary control.</t>
  </si>
  <si>
    <t>Spock writes on Padd on bridge after Apollo's giant hand grabs ship, hands to Mr. Kyle.</t>
  </si>
  <si>
    <t>Spock writes on Padd on bridge after Apollo's giant hand grabs ship.</t>
  </si>
  <si>
    <t>Padd on desk in Spock's quarters.</t>
  </si>
  <si>
    <t>Spock with Padd sitting on Spock's desk.</t>
  </si>
  <si>
    <t>Blueshirt with tricorder near shuttle bay</t>
  </si>
  <si>
    <t>Lt. Palmer and two technician's working on Communication station</t>
  </si>
  <si>
    <t>Goldshirt with Padd on bridge.</t>
  </si>
  <si>
    <t>Abraham Lincoln notices Uhura is black, noting What a charming Negress. This is a bit of an inaccurate portrayal, as although some of the plans he advocated early in his life regarding slaves (such as the government buying them, freeing them, and then sending them to Liberia) would seem bothersome today due to Values Dissonance, he was remarked about at least once for not reminding people of their race.</t>
  </si>
  <si>
    <t>a potentially world-destroying asteroid held at bay by a repulsive field that is controlled through the use of music</t>
  </si>
  <si>
    <t>Bele and Loki fighting after their planet was destroyed.</t>
  </si>
  <si>
    <t>Kirk fell in love with android Rayne and was heartbroken when she died.</t>
  </si>
  <si>
    <t>Trelane's parents are advanced energy beings.</t>
  </si>
  <si>
    <t>Kirk: He was probably doing things comparable to the same mischievous pranks you played when you were a boy. | Spock: Mischievous pranks, Captain? | Kirk: Yes. Dipping little girls' curls in inkwells. Stealing apples from the neighbors' trees. Tying cans on (He's stopped by the look of horrified incredulity on Spock's face.) Forgive me, Mister Spock. I should have known better. | Spock: I shall be delighted, Captain.</t>
  </si>
  <si>
    <t>Kirk &amp; McCoy laugh at Spock's expense after insulting him.</t>
  </si>
  <si>
    <t>This is like that episode of Star Trek with the parallel universe where everything's the same except everyone is on heroin.</t>
  </si>
  <si>
    <t>Yeoman Zahra told by Kirk to record message on tricorder for Starfleet command.</t>
  </si>
  <si>
    <t>Blueshirt with tricorder on bridge.</t>
  </si>
  <si>
    <t>Lt. Carolyn Palamas scans Apollo's temple with tricorder looking for source of Apollo's power.</t>
  </si>
  <si>
    <t>Chekov scans Apollo's temple looking with tricorder for source of Apollo's power.</t>
  </si>
  <si>
    <t>Spock scans nacelle of shuttlecraft</t>
  </si>
  <si>
    <t>McCoy scans Alice's after Kirk and co drop their logic bomb.</t>
  </si>
  <si>
    <t>McCoy scanned planetoid after landing and got the exact same readings as Spock did when the shuttlecraft was pulled off course.</t>
  </si>
  <si>
    <t>Scotty scans Apollo's temple with tricorder looking for source of Apollo's power.</t>
  </si>
  <si>
    <t>Spock locates Gorn with tricorder on the move in the hills.</t>
  </si>
  <si>
    <t>Spock scans area with tricorder for Landru's minions.</t>
  </si>
  <si>
    <t>Spock tracking signs of silicon (Horta) with tricorder.</t>
  </si>
  <si>
    <t>Spock analyze Lazarus ship with tricorder.</t>
  </si>
  <si>
    <t>Spock analyzes the effect that attacked Lazarus with tricorder.</t>
  </si>
  <si>
    <t>Spock scans Vaal's cave entrance. (1)</t>
  </si>
  <si>
    <t>Spock scans Vaal's cave entrance. (2)</t>
  </si>
  <si>
    <t>Spock follows readings of life forms after they enter castle.</t>
  </si>
  <si>
    <t>Spock scans downed shuttlecraft for damage. Nothing wrong but nothing works.</t>
  </si>
  <si>
    <t>Norman the android has smoke coming out his ears after the final logic bomb is dropped</t>
  </si>
  <si>
    <t>McCoy (to Spock): I'm sure you know the type (ambiguous scientists). Devoted to logic. Completely unemotional.</t>
  </si>
  <si>
    <t>Spock: We have given the people of Vaal the apple, the knowledge of good and evil if you will, as a result of which they too have been driven out of paradise. | Kirk: Are you casting me in the role of Satan? | Spock: Not at all Captain. | Kirk Is there anyone on this ship who even remotely looks like Satan? | Spock: I am not aware of anyone who fits that description Captain. | Kirk: No Mr. Spock, I didn't think you would.</t>
  </si>
  <si>
    <t>Spock: Dr. McCoy's potion is acting like all his potions. Turning my stomach. | McCoy: If you're blood were red, instead of green, then you wouldn't have an upset stomach.</t>
  </si>
  <si>
    <t>Spock gives an eyebrow to Sarek as Sarek rebuffs him for not attending the Vulcan Science Academy</t>
  </si>
  <si>
    <t>Spock irritated by Kirks illogical chess play. Raises an eyebrow at Kirk's last move.</t>
  </si>
  <si>
    <t>Spock's response to Kirk: Sometimes I expect too much of you.</t>
  </si>
  <si>
    <t>Spock's response when the Guardian calls Spock's science knowledge primitive.</t>
  </si>
  <si>
    <t>Spock's response to McCoy as he examines him after parasite stung him.</t>
  </si>
  <si>
    <t>Spock's response to Kirk: Well, it thought I was its mother, didn't it? Do you think I'm completely without feelings, Mister Spock? You saw what it did for Scotty. What a doctor it would've made. My son, the doctor. Kind of gets you right there, doesn't it?</t>
  </si>
  <si>
    <t>Spock's silent reaction to McCoy as they follow Kirk and Nomad out of the transporter room.</t>
  </si>
  <si>
    <t>Kirk (to Spock about Mirror Kirk returning): That Jim Kirk will find a few changes if I read my Spock's correctly.</t>
  </si>
  <si>
    <t>Mirror Spock's raises an eyebrow after Kirk says he has a device which will make Spock invincible in his attempt to correct the direction of the Empire.</t>
  </si>
  <si>
    <t>Spock: We have given the people of Vaal the apple, if you will, they too have been driven out of paradise. | Kirk: Are you casting me in the role of Satan? | Spock: Not at all, Captain. | Kirk: Is there anyone on this ship who even remotely looks like Satan? | Spock: I am not aware of anyone who fits that description, Captain. | Kirk: No, Mister Spock. I didn't think you would be.</t>
  </si>
  <si>
    <t>Spock: Interesting. They were traveling at approximately, warp 10</t>
  </si>
  <si>
    <t>Engineering Tech: Warp 9 Mr. Scott.</t>
  </si>
  <si>
    <t>Kirk: Emergency warp at the earliest possible moment.</t>
  </si>
  <si>
    <t>Lt. McGivers is played as a weak, innocent victim of Khan who did what she did cause she was infatuated with a man from the past..</t>
  </si>
  <si>
    <t>Amanda slaps Spock when he refuses to relinquish command and go give blood to his father.</t>
  </si>
  <si>
    <t>Sulu uses karate chop to knock USAF guard unconscious.</t>
  </si>
  <si>
    <t>Spock fights Scotty and transporter officer to beam back to Deneva to collect alien specimen.</t>
  </si>
  <si>
    <t>Kirk, Spock, and McCoy discuss Darnell's death and the lack of salt in his body.</t>
  </si>
  <si>
    <t>Kirk, Spock, and McCoy discuss Spock's eyelids.</t>
  </si>
  <si>
    <t>Oxmyxs gang all wear fedoras, Krako's gang all wear boaters, Mirt's gang all wear bowlers.</t>
  </si>
  <si>
    <t>Kirk lays his hand on Mirror Lt. Moreau's hands to comfort her.</t>
  </si>
  <si>
    <t>Lt. McGivers falls in love with Khan. she's a normal, non-special woman who betrays her captain and shipmates in a heartbeat all for love.</t>
  </si>
  <si>
    <t>Yeoman Martha Landon is Chekov's current squeeze.</t>
  </si>
  <si>
    <t>Areel Shaw, Kirks old flame, is the prosecuting attorney.</t>
  </si>
  <si>
    <t>Sarek and Amanda lock fingers at the reception</t>
  </si>
  <si>
    <t>Sarek and Amanda lock fingers in their quarters after discussing Spock.</t>
  </si>
  <si>
    <t>Sarek and Amanda lock fingers upon arrival o the Enterprise</t>
  </si>
  <si>
    <t>Sarek and Amanda lock fingers while on tour in engineering</t>
  </si>
  <si>
    <t>Sarek and Amanda lock fingers while Sarek is in sick bay</t>
  </si>
  <si>
    <t>Tellurite attacks Sarek and is pushed back into the wall</t>
  </si>
  <si>
    <t>Kirk holds Sylvia's arms from behind while caressing her.</t>
  </si>
  <si>
    <t>T'Pring understood she had the best position and that she was in control of the situation</t>
  </si>
  <si>
    <t>McCoy sedates Tim Kirk.</t>
  </si>
  <si>
    <t>Chekov kisses Yeoman Martha London's neck.</t>
  </si>
  <si>
    <t>Kirk: Ironic, isn't it. Way back in the 20th century , the H-bomb was the ultimate weapon., their doomsday machine. And we used something like it to destroy another doomsday machine. Probably the first time a weapon has been used for constructive purposes.</t>
  </si>
  <si>
    <t>Kirk and Areel Shaw kiss . Then she tells him she's the prosecutor.</t>
  </si>
  <si>
    <t>Horta is a silicon based life form.</t>
  </si>
  <si>
    <t>Kirk points out all of Nomads errors and tells it  must execute its prime function and sterilize.</t>
  </si>
  <si>
    <t>Spock drops logic bomb telling two Alice's saying he loves the one and hates the other. Both Alice's shutdown.</t>
  </si>
  <si>
    <t>Lt. McGivers is thoroughly entranced by Kahn. She can't stop staring at him till Kirk snaps her out of it.</t>
  </si>
  <si>
    <t>Kirk: Yeoman Rand, this is Charles Evans. Show him to his quarters and drop his records off at Doctor McCoy's office, if you will. | Rand: Yes, sir. Come with me, please. | Charlie: Are you a girl? Is that a girl? | Kirk: That's a girl.</t>
  </si>
  <si>
    <t>Khan gives Lt. McGivers ultimatum. Either leave or ask for permission to stay.</t>
  </si>
  <si>
    <t>Uhura plays harpsichord given the ability to play by Trelane.</t>
  </si>
  <si>
    <t>Trelane's reality warper can change the shape of anything.</t>
  </si>
  <si>
    <t>Spock sees anomaly in front of shuttlecraft</t>
  </si>
  <si>
    <t>McCoy slips Kirk a mickey and he appears to die in battle.</t>
  </si>
  <si>
    <t>Uhura panty shot on bridge when giant green hand stops Enterprise.</t>
  </si>
  <si>
    <t>Trelane's parents show up and stop his fun.</t>
  </si>
  <si>
    <t>McCoy accidently overdoses himself on cordrazine when Enterprise hits a time displacement wave and McCoy is thrust upon his hypospray.</t>
  </si>
  <si>
    <t>Scotty fires ships phaser at Vaal force field until power reserves are gone.</t>
  </si>
  <si>
    <t>Gorn kills Lt. O'Herlihy at Cestus III outpost.</t>
  </si>
  <si>
    <t>Eminiar guards kill Fox's assistant.</t>
  </si>
  <si>
    <t>Kirk fires disrupter and destroys first disintegration booth.</t>
  </si>
  <si>
    <t>Spock destroys second disintegration booth.</t>
  </si>
  <si>
    <t>Spock fires disrupter and destroys first disintegration booth.</t>
  </si>
  <si>
    <t>Minion of Landru's staff is only a hollow tube with no mechanism.</t>
  </si>
  <si>
    <t>Trelane fires phaser he took from DeSalle at statue of Bird Creature and disintegrates it.</t>
  </si>
  <si>
    <t>Trelane fires phaser he took from DeSalle at statue of Salt Creature and disintegrates it.</t>
  </si>
  <si>
    <t>Derelict kills himself with McCoy's phaser.</t>
  </si>
  <si>
    <t>The Talosians use this sort of technology, including an elevator hidden in a rock face which leads to an advanced underground layer, and a view screen embedded in rock (probably an attempt to convey a flat screen-like device) shows up in the episode as well.</t>
  </si>
  <si>
    <t>McCoy's phaser is already set to kill when he shoots the Salt Creature.</t>
  </si>
  <si>
    <t>McCoy examines Darnell's dead body in sick bay but can't find what killed him but he doesn't believe it was alkaloid poisoning from the Borgia plant.</t>
  </si>
  <si>
    <t>Yeoman Rand's has card appear in cleavage of her uniform. A trick done by Charlie.</t>
  </si>
  <si>
    <t>Nine of the Valliant's crew killed when vessel hit Galactic Space barrier.</t>
  </si>
  <si>
    <t>McCoy, Geophysicist Jaeger, and Lt. DeSalle transport from Enterprise down to Gothos (an unrecorded planet in the star desert).</t>
  </si>
  <si>
    <t>Lt. O'Herlihy disintegrated by Gorn.</t>
  </si>
  <si>
    <t>Kirk, Spock, Lt. Kelowitz, Lt. Lang, and Lt. O'Herlihy transport down from Enterprise to Cestus III outpost.</t>
  </si>
  <si>
    <t>Captain Christopher transported from Jet Interceptor to Enterprise.</t>
  </si>
  <si>
    <t>Put Captain Christopher transported from Enterprise back in Jet Interceptor.</t>
  </si>
  <si>
    <t>McCoy examines Lt. O'Neil on planet Beta III in the C-111 system.</t>
  </si>
  <si>
    <t>Kirk pulls out a metal rod from the control panel and beats on Khan till he's unconscious</t>
  </si>
  <si>
    <t>Lt. McGivers appears to be in love but modern audiences, however, feel she often comes off as more of a Dirty Coward.</t>
  </si>
  <si>
    <t>Kirk shoots Eminiar computer and destroys it.</t>
  </si>
  <si>
    <t>Ambassador Fox's assistant killed when Eminiar guards attack.</t>
  </si>
  <si>
    <t>Scotty wisely refuses to follow Ambassador Fox's tactically stupid orders, despite acknowledging that Fox outranks him.</t>
  </si>
  <si>
    <t>Eminiar's fire planetary disrupters at Enterprise.</t>
  </si>
  <si>
    <t>Kirk interferes by destroying computer to set Eminiar's free of their clean war.</t>
  </si>
  <si>
    <t>Security Officer dissolved with corrosive acid by Horta.</t>
  </si>
  <si>
    <t>Averted: 200 Organians sent to be killed by Kor for civil disobedience.</t>
  </si>
  <si>
    <t>Derelict  dies when mishandling McCoy's phaser.</t>
  </si>
  <si>
    <t>Enterprise hits first time distortion from the Guardian.</t>
  </si>
  <si>
    <t>Enterprise hits second time distortion and causes McCoy to accidently inject self.</t>
  </si>
  <si>
    <t>McCoy (while delirious) determines where he's at by examining derelicts head.</t>
  </si>
  <si>
    <t>Scotty stuns group of Deneva people as they charge landing party.</t>
  </si>
  <si>
    <t>Spock transports from Enterprise to Deneva to retrieve sample alien.</t>
  </si>
  <si>
    <t>McCoy check Spock's condition after single-celled parasite attaché's to his back.</t>
  </si>
  <si>
    <t>3d chessboard in Spock's quarters.</t>
  </si>
  <si>
    <t>Apollo conjures giant green hand in space to hold Enterprise.</t>
  </si>
  <si>
    <t>Green hand grabs Enterprise abruptly stopping it in space.</t>
  </si>
  <si>
    <t>Redshirt security officer killed by Nomad energy beam while escorting Nomad to the holding cell.</t>
  </si>
  <si>
    <t>McCoy Scans Scotty's dead body.</t>
  </si>
  <si>
    <t>Mirror Sulu advances on Uhura during Uhura's playful distraction. Uhura pulls a knife on him..</t>
  </si>
  <si>
    <t>McCoy injects Spock after he takes plant thorns meant for Kirk.</t>
  </si>
  <si>
    <t>Scotty: Condition Red.</t>
  </si>
  <si>
    <t>Scotty turned the U.S.S. Constellation's impulse engines into a jury-rigged self-destruct device with a 30 second countdown. Note that once he enables the device, he warns Kirk that activating it is irreversible, presumably due to the considerable damage the ship has already taken. In his own words: "The way things are it's hard to keep it from blowing'!"</t>
  </si>
  <si>
    <t>Kirk transports from Constellation to Enterprise right before it explodes.</t>
  </si>
  <si>
    <t>Kirk, Scotty, and Lt. Washburn prepare to transport from Constellating to Enterprise. Doomsday Machine fires and disables transporters.</t>
  </si>
  <si>
    <t>Sulu writes on pad while talking to Uhura on bridge.</t>
  </si>
  <si>
    <t>Kirk: Since the early years of space exploration, Earth vessels have had incorporated into them a substance known as Corbomite. It is a material and a device which prevents attack on us. If any destructive energy touches our vessel, a reverse reaction of equal strength is created, destroying the attacker! It may interest you to know that since the initial use of Corbomite more than two of our centuries ago, no attacking vessel has survived the attempt. Death has little meaning to us. If it has none to you then attack us now. We grow annoyed at your foolishness.</t>
  </si>
  <si>
    <t>Uhura: Balok requests evidence of a Corbomite device.</t>
  </si>
  <si>
    <t>McCoy examines Lt. Stiles in sick bay after incident in forward phaser room.</t>
  </si>
  <si>
    <t>Kirk: Anything? | Uhura: All wavelengths dominated by ionization effects. | Kirk: Order Columbus on new search path.</t>
  </si>
  <si>
    <t>Ship's Log-1 (Kirk): stardate 3196.1. A distress call from the Pergium production station on Janus Six has brought the Enterprise to that long-established colony. Mister Spock, Doctor McCoy, and I have beamed down to meet with Chief Engineer Vanderberg, administrative head of Janus Six.</t>
  </si>
  <si>
    <t>Kirk gives Uhura the private number of his brother Sam. | Kirk: Anything? | Uhura: I've tried every major transmitting station on Deneva. None of them have acknowledged my contact signal.</t>
  </si>
  <si>
    <t>Kirk: Anything? | Uhura: I've tried every major transmitting station on Deneva. None of them have acknowledged my contact signal.</t>
  </si>
  <si>
    <t>Uhura: I'm having difficulty on that transmitter call to Deneva.</t>
  </si>
  <si>
    <t>Yeoman Zahra scans Deneva with tricorder.</t>
  </si>
  <si>
    <t>Spock scans Deneva with tricorder.</t>
  </si>
  <si>
    <t>Goof: After Apollo tells them their devices will not work, they scan the area with their tricorder looking  for Apollo's power device.</t>
  </si>
  <si>
    <t>Spock holds Padd at bridge station, reads report to Kirk.</t>
  </si>
  <si>
    <t>Mirror Chekov and thugs jump Kirk to kill him for disobeying orders to obliterate the Halkans.</t>
  </si>
  <si>
    <t>The entire race of Halkans would die before they let their dilithium crystals harm one life. They are the same in both universes. So why aren't they mirror images of each other?</t>
  </si>
  <si>
    <t>Spock receives Padd from Sulu calculating path of Doomsday Machine.</t>
  </si>
  <si>
    <t>Korob killed when Sylvia (as a cat) crashes the cell door in and crushes him.</t>
  </si>
  <si>
    <t>Sylvia killed after Kirk smashes transmuter.</t>
  </si>
  <si>
    <t>Korob (talking about Sylvia): she's irrational. The strain of adapting to your form. Insatiable desire full of sensation and experience.</t>
  </si>
  <si>
    <t>T'Pring, Spock's betrothed from his childhood.</t>
  </si>
  <si>
    <t>Spock: In my view, a splendid example of reciprocity. | McCoy: It would take a computerized Vulcan mind such as yours to make that type of a statement.</t>
  </si>
  <si>
    <t>Sylvia (as she strokes her body): We have nothing like this. And I like it. To touch, to feel, to understand the idea of luxury. I like it.</t>
  </si>
  <si>
    <t>Kirk: You don't call that damage? | Sylvia: Why should I? | Kirk: you'd know, if you had compassion. A woman, should have compassion. But I forget you're not a woman.</t>
  </si>
  <si>
    <t>Sylvia: Look at me. I'm a woman. I'm all women. | Kirk: I don't know what you are, but you're not a woman. and he throws her down to the floor.</t>
  </si>
  <si>
    <t>Sylvia: Tell me about power. | Kirk runs his hand up her arm and caresses Sylvia's face with sultry trumpet playing in the background.</t>
  </si>
  <si>
    <t>Uhura with Padd on bridge</t>
  </si>
  <si>
    <t>Chekov: Its a shame you're not real. | Alice 322: We are real milord. | Chekov: I mean real girls. | Alice 118: We are programmed to function as human females, lord. | Chekov: You are? | Alice's: Yes milord. | Chekov: Harry Mudd programmed you? | Alice's: Yes milord. | Chekov: That unprincipled, evil-minded, lecherous kulak Harry Mudd programmed you? | Alice's: Yes milord. | Chekov: This place is even better than Leningrad.</t>
  </si>
  <si>
    <t>Uhura is impressed with the androids bodies last almost forever. Eternal youth. Harry Mudd: Immortality… And eternal beauty.</t>
  </si>
  <si>
    <t>Kirk stranding Harry Mudd with 500 Stella androids was funny back then but would be considered cruel and unusual punishment today. Especially as they laughed at him when they left.</t>
  </si>
  <si>
    <t>The female companion is naturally a warm and living entity as all females are.</t>
  </si>
  <si>
    <t>McCoy examines Nancy Hedford in Zefrem Cochrane's house</t>
  </si>
  <si>
    <t>McCoy examines Nancy Hedford while traveling in shuttlecraft.</t>
  </si>
  <si>
    <t>McCoy examines Sarek when he collapses in his quarters</t>
  </si>
  <si>
    <t>McCoy exams Sarek in sick bay</t>
  </si>
  <si>
    <t>McCoy operates on Sarek with Spock the primary blood donor.</t>
  </si>
  <si>
    <t>The outfits of the female Thralls was impractical for fighting but looked damn good while they were doing anything.</t>
  </si>
  <si>
    <t>Garth's shape shifting power , which he was "taught" by the natives of Antos IV. If the skill can be learned, why doesn't the Federation send its intelligence agents to Antos IV to acquire shape shifting ability themselves?</t>
  </si>
  <si>
    <t>For fifty thousand of your terrestrial years, I have been pursuing Loki through the galaxy.</t>
  </si>
  <si>
    <t xml:space="preserve">McCoy (to Spock: There's something wrong about a man who never smiles, whose conversation never varies from the routine of the job, and won't talk about his background. | Spock: I see. | McCoy: Spock, I mean, its odd for a non-Vulcan… the ears make all the difference. | Spock: I find your arguments strewn with gaping defects in logic. </t>
  </si>
  <si>
    <t>McCoy: Isn't it unusual for a Vulcan to retire at your age? After all, you're only a hundred and two. | Sarek: One hundred two point four three seven precisely, Doctor, measured in your years. I had other concerns.</t>
  </si>
  <si>
    <t>After alien ship fires at Enterprise (1)</t>
  </si>
  <si>
    <t>After alien ship fires at Enterprise (2)</t>
  </si>
  <si>
    <t>After alien ship fires at Enterprise (3)</t>
  </si>
  <si>
    <t>After alien ship fires at Enterprise (4)</t>
  </si>
  <si>
    <t>After alien ship fires at Enterprise (5)</t>
  </si>
  <si>
    <t>Alien ship fires at Enterprise (1)</t>
  </si>
  <si>
    <t>Alien ship fires at Enterprise (2)</t>
  </si>
  <si>
    <t>Alien ship fires at Enterprise (3)</t>
  </si>
  <si>
    <t>Alien ship fires at Enterprise (4)</t>
  </si>
  <si>
    <t>Alien ship fires at Enterprise (5)</t>
  </si>
  <si>
    <t>Enterprise fires ship's phasers at alien ship. Clean miss.</t>
  </si>
  <si>
    <t>Uhura with Padd at communications station (1)</t>
  </si>
  <si>
    <t>Uhura with Padd at communications station (2)</t>
  </si>
  <si>
    <t>Ship's Log-1 (Kirk): Stardate 3842.3. We have departed Vulcan for the neutral planetoid code-named Babel. Since it is in our sector, the Enterprise has been assigned to transport ambassadors of Federation planets to this vitally important council. The issues of the council are politically complex, the passengers explosive.</t>
  </si>
  <si>
    <t>Ship's Log-3 (Spock): Stardate 3843.4. First Officer Spock in temporary command. The captain has been critically wounded by one of the delegates to the Babel conference. The ship is on alert status. We are still being followed by the intruder vessel.</t>
  </si>
  <si>
    <t>Ship's Log-2 (kirk): Stardate 3842.4. The interplanetary conference will consider the petition of the Coridan planets to be admitted to the Federation. The Coridan system has been claimed by some of the races now aboard our ship as delegates, races who have strong personal reasons for keeping Coridan out of the Federation. The most pressing problem aboard the Enterprise is to make sure open warfare doesn't break out among the delegates before the conference begins.</t>
  </si>
  <si>
    <t>Kirk: On my command, fire photon torpedoes 2, 4, and 6. widest possible ????. (all torpedoes missed)</t>
  </si>
  <si>
    <t>Coridan is rich in dilithium crystals</t>
  </si>
  <si>
    <t>3D Chess set on table in Spock's quarters</t>
  </si>
  <si>
    <t>human</t>
  </si>
  <si>
    <t>xxx</t>
  </si>
  <si>
    <t>Forward tractor beams adjusted to repel.</t>
  </si>
  <si>
    <t>humanoid</t>
  </si>
  <si>
    <t>robot</t>
  </si>
  <si>
    <t>Kirk calls Enterprise (Spock)</t>
  </si>
  <si>
    <t>Kirk calls shuttlecraft (Commodore Decker)</t>
  </si>
  <si>
    <t>pike</t>
  </si>
  <si>
    <t>tpring</t>
  </si>
  <si>
    <t>palamas</t>
  </si>
  <si>
    <t>andreaRobot</t>
  </si>
  <si>
    <t>Kirk is in love with his ship. He'll do anything to save her.</t>
  </si>
  <si>
    <t>kahra</t>
  </si>
  <si>
    <t>mears</t>
  </si>
  <si>
    <t>tamura</t>
  </si>
  <si>
    <t>zahra</t>
  </si>
  <si>
    <t>barrows</t>
  </si>
  <si>
    <t>elaan</t>
  </si>
  <si>
    <t>Security Officer Matthews transports down from Enterprise to Exo III.</t>
  </si>
  <si>
    <t>Security Officer Rayburn transports down from Enterprise to Exo III.</t>
  </si>
  <si>
    <t>McCoy: He's dead (after Kirk and co pull prank on Norman attempting to escape android world.)</t>
  </si>
  <si>
    <t>desalle</t>
  </si>
  <si>
    <t>pikeBoyce</t>
  </si>
  <si>
    <t>talosian</t>
  </si>
  <si>
    <t>colt</t>
  </si>
  <si>
    <t>orion_slave_girl</t>
  </si>
  <si>
    <t>number_one</t>
  </si>
  <si>
    <t>vina</t>
  </si>
  <si>
    <t>sturgeon</t>
  </si>
  <si>
    <t>crater</t>
  </si>
  <si>
    <t>Kirk: Release the transmitter. | Charlie: You don't need that subspace chatter.</t>
  </si>
  <si>
    <t>crew</t>
  </si>
  <si>
    <t>thasian</t>
  </si>
  <si>
    <t>dehner</t>
  </si>
  <si>
    <t>chapel</t>
  </si>
  <si>
    <t>Lt. Tormolan attempts to commit suicide. Sulu and Riley try to stop him but in the struggle he stabs himself in the gut.</t>
  </si>
  <si>
    <t>Uhura sings and play lyre for Riley who is trapped working in Engineering.</t>
  </si>
  <si>
    <t>Riley almost poisoned by Lenore while he's in working in Engineering.</t>
  </si>
  <si>
    <t>McCoy examines Riley in sick bay after attempted poisoning.</t>
  </si>
  <si>
    <t>Yeoman Rand, the waitress | Bringing a tray of food to Sulu as he works in the lab.</t>
  </si>
  <si>
    <t>Redshirt: Hey, Janice, is that for me?  | Rand: Don't you wish it was? | Blueshirt: How about that?  Redshirt: Yeah, how'd you like to have her as your personal yeoman?</t>
  </si>
  <si>
    <t>Charlie enters Yeoman Rand's room uninvited and decides he's have whatever he wants, including her.</t>
  </si>
  <si>
    <t>Uhura in uses one to fend off Mirror Sulu's lecherous advances on her at one point</t>
  </si>
  <si>
    <t>Chasity Dagger</t>
  </si>
  <si>
    <t>Rand, alone in her quarters, has let her hair down (literally) and slipped into a one-shoulder pink shiffon nightgown</t>
  </si>
  <si>
    <t>Palamas</t>
  </si>
  <si>
    <t>Kirk determines peaceful contact is not possible. So Kirk takes drastic action by destroying the disintegration chambers.</t>
  </si>
  <si>
    <t>Organian village looks like a stagnant medieval village.</t>
  </si>
  <si>
    <t>dark action girl romulan</t>
  </si>
  <si>
    <t>self_destruct romulan</t>
  </si>
  <si>
    <t>andorian</t>
  </si>
  <si>
    <t>andorianOrion</t>
  </si>
  <si>
    <t>computer</t>
  </si>
  <si>
    <t>Subverted: Norman's planet of androids is Class K</t>
  </si>
  <si>
    <t>Spock: Fascinating (after putting two Alice's out of commission with the I love you, but I hate you cause you're identical logic bomb.)</t>
  </si>
  <si>
    <t>Spock: Fascinating (after the encounter with Alice 471 where she's confused about unhappiness.)</t>
  </si>
  <si>
    <t>Spock: It would be interesting, Captain, to return to that world in a hundred years and to learn what crop has sprung from the seed you planted today.</t>
  </si>
  <si>
    <t>palmer</t>
  </si>
  <si>
    <t>martinez</t>
  </si>
  <si>
    <t>khan</t>
  </si>
  <si>
    <t>blue-skirt</t>
  </si>
  <si>
    <t>gold-skirt</t>
  </si>
  <si>
    <t>technician</t>
  </si>
  <si>
    <t>technicain</t>
  </si>
  <si>
    <t>masters</t>
  </si>
  <si>
    <t>ross</t>
  </si>
  <si>
    <t>noel</t>
  </si>
  <si>
    <t>Spock: Fascinating (as Cochrane appears n the distance)Then Spock raises an eyebrow.</t>
  </si>
  <si>
    <t>Spock's rasies an eyebrow to Kirk: It would pose an extremely complex problem in logic Mr. Spock.</t>
  </si>
  <si>
    <t>lester</t>
  </si>
  <si>
    <t>mudds_women</t>
  </si>
  <si>
    <t>lenore</t>
  </si>
  <si>
    <t>Cock Fight</t>
  </si>
  <si>
    <t>McCoy sedates Lazarus.</t>
  </si>
  <si>
    <t>mitchell</t>
  </si>
  <si>
    <t>Technician Fisher</t>
  </si>
  <si>
    <t>Matthews (gets his neck broke by Ruk the android.)</t>
  </si>
  <si>
    <t>Rayburn (thrown into chasm by Ruk the android.)</t>
  </si>
  <si>
    <t>Lt. Lang (killed by Gorn disrupter fire.)</t>
  </si>
  <si>
    <t>Lt. O'Herlihy (killed by Gorn disrupter fire.)</t>
  </si>
  <si>
    <t>Assistant to Ambassador Fox (killed by Eminians)</t>
  </si>
  <si>
    <t>Security Officer (dissolved by acid emitted by Horta.)</t>
  </si>
  <si>
    <t>Ensign Marple (killed by villagers who were taught to bash intruders in the head with a bone.)</t>
  </si>
  <si>
    <t>Lt. Hendorf (killed by thorns of deadly plant.)</t>
  </si>
  <si>
    <t>Lt. Kaplan (killed by lightning bolt created by Vaal.)</t>
  </si>
  <si>
    <t>Lt. Mallory (stepped on rock which exploded and killed him.)</t>
  </si>
  <si>
    <t>Entire crew of Constellation transported to third planet that was destroyed by the Doomsday Machine.</t>
  </si>
  <si>
    <t>Darnell (killed by Salt Creature while on M-113.)</t>
  </si>
  <si>
    <t>Ensign O'Neill (killed by caveman.)</t>
  </si>
  <si>
    <t>Was Dr. Korby having sex with Andrea the android or not?</t>
  </si>
  <si>
    <t>Kirk falls madly in love with Rayna.</t>
  </si>
  <si>
    <t>hedford</t>
  </si>
  <si>
    <t>sylvia</t>
  </si>
  <si>
    <t>landon</t>
  </si>
  <si>
    <t>lella</t>
  </si>
  <si>
    <t>Kirk, McCoy, Scotty, Lt. Washburn, and two goldshirts transport from Enterprise to Constellation</t>
  </si>
  <si>
    <t>mudd</t>
  </si>
  <si>
    <t>fox</t>
  </si>
  <si>
    <t>rayna</t>
  </si>
  <si>
    <t>The same code sequence to arm the device was used again it in the film Star Trek III, this time destroying the Enterprise.</t>
  </si>
  <si>
    <t>eve</t>
  </si>
  <si>
    <t>???-skirt</t>
  </si>
  <si>
    <t>Uhura: Captain, I'm frightened (realizing they're stranded). | Only women will show their fear of a situation.</t>
  </si>
  <si>
    <t>gold-pants</t>
  </si>
  <si>
    <t>mea3</t>
  </si>
  <si>
    <t>Mirror Lt. Marlene Moreau steps out of Mirror Kirks bedroom in shear, scanty outfit.</t>
  </si>
  <si>
    <t>McCoy was infatuated with Yeoman Barrows to begin with but got extra distracted after she changed into the medieval dress with the pointed hat.</t>
  </si>
  <si>
    <t>magda</t>
  </si>
  <si>
    <t>mendez</t>
  </si>
  <si>
    <t>Kirk shoots phaser at wall to create hole in Hall of Audience.</t>
  </si>
  <si>
    <t>Spock shoots phaser at wall to create hole in Hall of Audience.</t>
  </si>
  <si>
    <t>Kirk fires ship's phasers to destroy Klingon warship.</t>
  </si>
  <si>
    <t>Kirk fires ship's phasers at Klingon ship.</t>
  </si>
  <si>
    <t>Kirk fires ship's phasers to destroy Lazarus ship.</t>
  </si>
  <si>
    <t>Kirk fires Constellation phasers at Doomsday Machine</t>
  </si>
  <si>
    <t>Mirror Lt. Marlena Moreau kisses Kirk while she's coming on and being sexy.</t>
  </si>
  <si>
    <t>Mirror Lt. Marlene Moreau: I don't know what happened to us. Its hard for a working officer to shine as a woman. Every minute.</t>
  </si>
  <si>
    <t>Mirror Lt. Marlene Moreau: I've been a Captains woman and I like it. Ill be one again it I have to go through every officer in the fleet. | Kirk: I bet you could.</t>
  </si>
  <si>
    <t>Mirror Lt. Marlene Moreau activates Tantalus Field to monitor Spock.</t>
  </si>
  <si>
    <t>Sparks and puffs of smoke appear when transporter shorts out.</t>
  </si>
  <si>
    <t>orion</t>
  </si>
  <si>
    <t>power_absolute</t>
  </si>
  <si>
    <t>ass_pull</t>
  </si>
  <si>
    <t>goof***</t>
  </si>
  <si>
    <t>disobey_starfleet_orders</t>
  </si>
  <si>
    <t>kirk_destroys_landru</t>
  </si>
  <si>
    <t>screw_the_rules romulan</t>
  </si>
  <si>
    <t>taking_the_bullet</t>
  </si>
  <si>
    <t>Emotional Vulcan</t>
  </si>
  <si>
    <t>ship's_sensors</t>
  </si>
  <si>
    <t>hypospray</t>
  </si>
  <si>
    <t>stupid_people</t>
  </si>
  <si>
    <t>shield</t>
  </si>
  <si>
    <t>Lt. Palmer: Mr. Spock, we've pierced the interfere locally. | Spock: Can you raise Starfleet? | Lt. Palmer: No sir, but I have ship-to-ship communications back.</t>
  </si>
  <si>
    <t>conditioning</t>
  </si>
  <si>
    <t>Mirror Match</t>
  </si>
  <si>
    <t>This Means War</t>
  </si>
  <si>
    <t>Forceful Kiss</t>
  </si>
  <si>
    <t>deus_ex… alien</t>
  </si>
  <si>
    <t>goof*** alien</t>
  </si>
  <si>
    <t>racism alien</t>
  </si>
  <si>
    <t>jeffreries_tube alien</t>
  </si>
  <si>
    <t>martini</t>
  </si>
  <si>
    <t>nancy_crater</t>
  </si>
  <si>
    <t>edith</t>
  </si>
  <si>
    <t>andrea</t>
  </si>
  <si>
    <t>miri</t>
  </si>
  <si>
    <t>shaw</t>
  </si>
  <si>
    <t>uhrua</t>
  </si>
  <si>
    <t>kyle</t>
  </si>
  <si>
    <t>nancy</t>
  </si>
  <si>
    <t>kelso</t>
  </si>
  <si>
    <t>tormolan</t>
  </si>
  <si>
    <t xml:space="preserve">Kirk turns to hug Yeoman Rand after McCoy announces he may have found the magic antidote, </t>
  </si>
  <si>
    <t xml:space="preserve">Nancy Hedford breaks down and cries after Zefrem Cochrane tells Kirk the Companion brought them there to keep him company, </t>
  </si>
  <si>
    <t>Areel Shaw is a special woman from Kirk's past never to be heard of again.</t>
  </si>
  <si>
    <t>Averted: Chekov about to kiss Yeoman Landon but interrupted when Kirk returns.</t>
  </si>
  <si>
    <t>Charlie tells Yeoman Rand: You smell like a girl.</t>
  </si>
  <si>
    <t>Chekov and Yeoman Martha Landon constantly touching while strolling in the forest.</t>
  </si>
  <si>
    <t>Subverted: The Federation and the Klingons decide to fight a war. The Organians prevent the war.</t>
  </si>
  <si>
    <t>Spock hugs Kirk when he realizes he didn't really kill him. Then he regains his composure and puts a straight face back on.</t>
  </si>
  <si>
    <t>Spock kissed by Nurse Chapel and is infected with the Psi 2000 virus</t>
  </si>
  <si>
    <t>Shahna</t>
  </si>
  <si>
    <t>If Kirk could best Shahna then maybe the Gamesters would pick them as a pair.</t>
  </si>
  <si>
    <t>We, too, have mates. When it is time to increase the herd, my Provider will select one for me.</t>
  </si>
  <si>
    <t>All Planets Are Earth-Like-NOT!</t>
  </si>
  <si>
    <t>Planet Of Hats-Romulan</t>
  </si>
  <si>
    <t>imposter robot</t>
  </si>
  <si>
    <t>Kirk's death faked by McCoy during fight with Spock on Vulcan.</t>
  </si>
  <si>
    <t>Lenore attempts to kill Kirk with phaser on overload in his quarters.</t>
  </si>
  <si>
    <t>Eminiar guard killed by Spock when party is ambushed (1).</t>
  </si>
  <si>
    <t>Eminiar guard killed by Spock when party is ambushed (2).</t>
  </si>
  <si>
    <t>Mirror Redshirt of Mirror Sulu killed by Mirror Lt. Marlene Moreau with Tantalus Field. (1)</t>
  </si>
  <si>
    <t>Mirror Redshirt of Mirror Sulu killed by Mirror Lt. Marlene Moreau with Tantalus Field. (2)</t>
  </si>
  <si>
    <t>Mirror Redshirt of Mirror Sulu killed by Mirror Lt. Marlene Moreau with Tantalus Field. (3)</t>
  </si>
  <si>
    <t>Security officer escorting Nomad to security area is killed. (1-1)</t>
  </si>
  <si>
    <t>Security officer escorting Nomad to security area is killed. (1-2)</t>
  </si>
  <si>
    <t>Security officer escorting Nomad to security area is killed. (2-1)</t>
  </si>
  <si>
    <t>Security officer escorting Nomad to security area is killed. (2-2)</t>
  </si>
  <si>
    <t>Kirk, Spock, and McCoy discuss visiting Ceti Alpha V (where Khan was left) in 100 years.</t>
  </si>
  <si>
    <t>Spock gets insulted by Kirk and McCoy about what he said the creature told him about humans.</t>
  </si>
  <si>
    <t>Scotty rushes Apollo to protect Lt. Carolyn Palamas and gets knocked on his ass by a lightning bolt</t>
  </si>
  <si>
    <t>Redshirt knocked out by Evil-Kirk in corridor</t>
  </si>
  <si>
    <t>Technician knocked out by Evil-Kirk in corridor.</t>
  </si>
  <si>
    <t>Spock (under the spore's influence) is provoked by Kirk's insults and starts a fight.</t>
  </si>
  <si>
    <t>Kirk helps restrain Lt. Cmdr. Gary Mitchell when he attempts to leave sick bay.</t>
  </si>
  <si>
    <t>Spock helps restrain Lt. Cmdr. Gary Mitchell when he attempts to leave sick bay.</t>
  </si>
  <si>
    <t>Sulu and Riley try to stop Lt. Tormolan from killing himself.</t>
  </si>
  <si>
    <t>Riley and Sulu try to stop Lt. Tormolan from killing himself.</t>
  </si>
  <si>
    <t>Kirk fights Spock in the Koon-Ut-Kal-If-Fee. T'Pau presides over Spock's wedding.</t>
  </si>
  <si>
    <t>Spock fights Kirk in the Koon-Ut-Kal-If-Fee. T'Pau presides over Spock's wedding.</t>
  </si>
  <si>
    <t>Kirk fights Trelane during his hunt.</t>
  </si>
  <si>
    <t>Both Lazarus fight in negative space. (1)</t>
  </si>
  <si>
    <t>Both Lazarus fight in negative space. (2)</t>
  </si>
  <si>
    <t>Both Lazarus fight in negative space. (3)</t>
  </si>
  <si>
    <t>Both Lazarus fight in negative space. (4)</t>
  </si>
  <si>
    <t>Mirror Sulu fights fights after his three henchmen suddenly disappear.</t>
  </si>
  <si>
    <t>Uhura steps in to disarm Marlena Moreau when Marlena pulls a knife. (can't have any of the boys hitting a girl.)</t>
  </si>
  <si>
    <t>Kirk fights Ruk. Kirk loses. (1)</t>
  </si>
  <si>
    <t>Kirk fights Ruk. Kirk loses. (2)</t>
  </si>
  <si>
    <t>Kirk fights Ruk. Kirk loses. (3)</t>
  </si>
  <si>
    <t>Nomad fires energy bolt at Scotty that throws him back against the wall.</t>
  </si>
  <si>
    <t>Kirk calls Enterprise (Scotty) on Eminiar communicator. (1)</t>
  </si>
  <si>
    <t>Kirk calls Enterprise (Scotty) on Eminiar communicator. (2)</t>
  </si>
  <si>
    <t>Kirk calls Enterprise (Spock) (1)</t>
  </si>
  <si>
    <t>Kirk calls Enterprise (Spock) (2)</t>
  </si>
  <si>
    <t>Kirk calls Enterprise (Spock) (3)</t>
  </si>
  <si>
    <t>Kirk calls Enterprise (Scotty)</t>
  </si>
  <si>
    <t>Kirk calls Enterprise (Scotty) (1)</t>
  </si>
  <si>
    <t>Kirk calls Enterprise (Scotty) (2)</t>
  </si>
  <si>
    <t>Kirk calls Enterprise (Scotty) (3)</t>
  </si>
  <si>
    <t>Kirk calls Enterprise (Scotty) (4)</t>
  </si>
  <si>
    <t>Kirk calls Enterprise (Scotty) (5)</t>
  </si>
  <si>
    <t>Kirk calls Enterprise (Scotty) (6)</t>
  </si>
  <si>
    <t>Kirk calls Enterprise (Sulu) (1)</t>
  </si>
  <si>
    <t>Kirk calls Enterprise (Sulu) (2)</t>
  </si>
  <si>
    <t>Kirk calls Enterprise (Sulu) (3)</t>
  </si>
  <si>
    <t>Kirk calls Enterprise (Uhura) (1)</t>
  </si>
  <si>
    <t>Kirk calls Enterprise (Uhura) (2)</t>
  </si>
  <si>
    <t>Kirk calls Enterprise (Uhura) (3) | Interference cuts out communication.</t>
  </si>
  <si>
    <t>Kirk calls Enterprise (unable to raise ship) (1)</t>
  </si>
  <si>
    <t>Kirk calls Enterprise (unable to raise ship) (2)</t>
  </si>
  <si>
    <t>Kirk calls Enterprise (1)</t>
  </si>
  <si>
    <t>Kirk calls Enterprise (2)</t>
  </si>
  <si>
    <t>Kirk calls Enterprise (3)</t>
  </si>
  <si>
    <t>Kirk calls Enterprise (4)</t>
  </si>
  <si>
    <t>Kirk calls Enterprise (5)</t>
  </si>
  <si>
    <t>Kirk calls Enterprise (2) Gets Commodore Decker in command.</t>
  </si>
  <si>
    <t>Kirk calls Lt. Cmdr. Giotto</t>
  </si>
  <si>
    <t>Kirk calls McCoy</t>
  </si>
  <si>
    <t>Kirk calls Rayburn</t>
  </si>
  <si>
    <t>Kirk calls Rodriguez</t>
  </si>
  <si>
    <t>Kirk calls Scotty</t>
  </si>
  <si>
    <t>Kirk calls Scotty (1)</t>
  </si>
  <si>
    <t>Kirk calls Scotty (2)</t>
  </si>
  <si>
    <t>Kirk calls Scotty (3)</t>
  </si>
  <si>
    <t>Kirk calls Scotty (4)</t>
  </si>
  <si>
    <t>Kirk calls Spock (Spock doesn't answer) (1)</t>
  </si>
  <si>
    <t>Kirk calls Spock (Spock doesn't answer) (2)</t>
  </si>
  <si>
    <t>Kirk calls Spock</t>
  </si>
  <si>
    <t>Kirk calls Spock (1)</t>
  </si>
  <si>
    <t>Kirk calls Spock (2)</t>
  </si>
  <si>
    <t>Kirk calls the miners not knowing Harry Mudd has already contacted them and make his own deal.</t>
  </si>
  <si>
    <t>Kirk calls Uhura</t>
  </si>
  <si>
    <t>Kirk receives call from Ensign Mallory</t>
  </si>
  <si>
    <t>Kirk receives call from Enterprise (Scotty) (1)</t>
  </si>
  <si>
    <t>Kirk receives call from Enterprise (Scotty) (2)</t>
  </si>
  <si>
    <t>Kirk receives call from Enterprise (Scotty) (3)</t>
  </si>
  <si>
    <t>Kirk receives call from Enterprise (Scotty) (4)</t>
  </si>
  <si>
    <t>Kirk receives call from Enterprise (Spock)</t>
  </si>
  <si>
    <t>Kirk receives call from Enterprise (Spock) (1)</t>
  </si>
  <si>
    <t>Kirk receives call from Enterprise (Spock) (2)</t>
  </si>
  <si>
    <t>Kirk receives call from Enterprise (Spock) (3)</t>
  </si>
  <si>
    <t>Kirk receives call from Enterprise (Spock) (4)</t>
  </si>
  <si>
    <t>Kirk receives call from Enterprise (Spock) (5)</t>
  </si>
  <si>
    <t>Kirk receives call from Enterprise</t>
  </si>
  <si>
    <t>Kirk receives call from Enterprise (1)</t>
  </si>
  <si>
    <t>Kirk receives call from Enterprise (2)</t>
  </si>
  <si>
    <t>Kor calls Klingon warship</t>
  </si>
  <si>
    <t>McCoy calls Enterprise (Uhura)</t>
  </si>
  <si>
    <t>McCoy calls Enterprise (1)</t>
  </si>
  <si>
    <t>McCoy calls Enterprise (2)</t>
  </si>
  <si>
    <t>McCoy calls Enterprise (3)</t>
  </si>
  <si>
    <t>McCoy calls Enterprise</t>
  </si>
  <si>
    <t>McCoy calls Kirk</t>
  </si>
  <si>
    <t>McCoy calls Rodriguez</t>
  </si>
  <si>
    <t>McCoy receives call from Uhura</t>
  </si>
  <si>
    <t>Pike calls Dr. Boyce</t>
  </si>
  <si>
    <t>Pike calls Enterprise</t>
  </si>
  <si>
    <t>Ruk calls Enterprise (posing as Kirk)</t>
  </si>
  <si>
    <t>Scotty calls Kirk</t>
  </si>
  <si>
    <t>Scotty calls Enterprise (empty channel)</t>
  </si>
  <si>
    <t>Scotty receives call from Kirk</t>
  </si>
  <si>
    <t>Scotty receives call from Kirk (1)</t>
  </si>
  <si>
    <t>Scotty receives call from Kirk (2)</t>
  </si>
  <si>
    <t>Scotty receives call from Kirk (3)</t>
  </si>
  <si>
    <t>Spock calls Enterprise (Scotty)</t>
  </si>
  <si>
    <t>Spock calls Enterprise</t>
  </si>
  <si>
    <t>Spock calls Enterprise (1)</t>
  </si>
  <si>
    <t>Spock calls Enterprise (2)</t>
  </si>
  <si>
    <t>Spock calls Kirk</t>
  </si>
  <si>
    <t>Uhura calls Enterprise</t>
  </si>
  <si>
    <t>Uhura calls McCoy</t>
  </si>
  <si>
    <t>Uhura receives call from Kirk</t>
  </si>
  <si>
    <t>Number One calls Enterprise (1) (communicator is dead).</t>
  </si>
  <si>
    <t>Number One calls Enterprise (2)</t>
  </si>
  <si>
    <t>Number One calls Enterprise (3)</t>
  </si>
  <si>
    <t>Number One calls Enterprise (4)</t>
  </si>
  <si>
    <t>Sulu calls Enterprise (Kirk)</t>
  </si>
  <si>
    <t>Sulu calls Enterprise from Alpha 177 (1)</t>
  </si>
  <si>
    <t>Sulu calls Enterprise from Alpha 177 (2)</t>
  </si>
  <si>
    <t>Sulu calls Enterprise from Alpha 177 (3)</t>
  </si>
  <si>
    <t>Sulu calls Enterprise from Alpha 177 (4)</t>
  </si>
  <si>
    <t>McCoy sedates Dr. Van Gelder. (1)</t>
  </si>
  <si>
    <t>McCoy sedates Dr. Van Gelder. (2)</t>
  </si>
  <si>
    <t>McCoy sedates Spock. (1)</t>
  </si>
  <si>
    <t>McCoy sedates Spock. (2)</t>
  </si>
  <si>
    <t>Khan knocks out transporter officer to get back aboard his ship.</t>
  </si>
  <si>
    <t>Crewman (1)</t>
  </si>
  <si>
    <t>Crewman (2)</t>
  </si>
  <si>
    <t>crewman (1)</t>
  </si>
  <si>
    <t>crewman (2)</t>
  </si>
  <si>
    <t>crewman (3)</t>
  </si>
  <si>
    <t>crewman (4)</t>
  </si>
  <si>
    <t>Lt. DePaul</t>
  </si>
  <si>
    <t>Lt. DeSalle</t>
  </si>
  <si>
    <t>Lt. Galloway</t>
  </si>
  <si>
    <t>Lt. Kelowitz</t>
  </si>
  <si>
    <t>Lt. Kelso (strangled by Lt. Cmdr. Gary Mitchell using his newly acquired telekinetic powers.)</t>
  </si>
  <si>
    <t>Lt. Tormolan (loses will to live after returning to Enterprise)</t>
  </si>
  <si>
    <t>Redshirt (1)</t>
  </si>
  <si>
    <t>Redshirt (2)</t>
  </si>
  <si>
    <t>Redshirt (3)</t>
  </si>
  <si>
    <t>Redshirt (4)</t>
  </si>
  <si>
    <t>Technician (1)</t>
  </si>
  <si>
    <t>Technician (2)</t>
  </si>
  <si>
    <t>Technician (3)</t>
  </si>
  <si>
    <t>Yeoman Tamura</t>
  </si>
  <si>
    <t>Yeoman Zahra</t>
  </si>
  <si>
    <t>Yeoman Barrows apparently is McCoy's main squeeze. Never seen after this episode.</t>
  </si>
  <si>
    <t>Kirk flirts with a 300 year adolescent child.</t>
  </si>
  <si>
    <t>Edith Keeler likes Kirk and accepts his flirting.</t>
  </si>
  <si>
    <t>moreau_au</t>
  </si>
  <si>
    <t>Nancy Crater (the Salt Creature) lures Darnell away so she can suck out his salt.</t>
  </si>
  <si>
    <t>Nancy Crater (the Salt Creature) encourages McCoy's flirting with her.</t>
  </si>
  <si>
    <t>Scotty ask Lt. Carolyn Palamas if she'd like to go for coffee.</t>
  </si>
  <si>
    <t>Lt. Carolyn Palamas accepts Scotty's invitation for coffee.</t>
  </si>
  <si>
    <t>McCoy defends Yeoman Barrows from the charging knight, and ends up dying in the process.</t>
  </si>
  <si>
    <t>Jamie Finney, Ben Finney's daughter</t>
  </si>
  <si>
    <t>Lella cries and hugs Spock as she's free of spores and Spock doesn't hug her back.</t>
  </si>
  <si>
    <t>Kirk comforts Yeoman Rand after she shows him the spots on legs.</t>
  </si>
  <si>
    <t>Yeoman Martha Landon is embraced from behind by Chekov as they walk through the forest.</t>
  </si>
  <si>
    <t>Kirk reaches for Yeoman Rand and they hold each other during dangerous time.</t>
  </si>
  <si>
    <t>Uhura allows Mirror Sulu to hug her as she distracts him for Scotty to route power to transports.</t>
  </si>
  <si>
    <t>Chekov: We'll have to head there directly at warp 6 sir. Insufficient time to stop off at Vulcan.</t>
  </si>
  <si>
    <t>companion</t>
  </si>
  <si>
    <t>Zefrem Cochrane is unaware the Companion loves him.</t>
  </si>
  <si>
    <t>Kirk is trying to forget that encounter with Dr. Helen Noel but must work wither her on a professional level.</t>
  </si>
  <si>
    <t>Gold-skirt hands Padd to Kirk to sign.</t>
  </si>
  <si>
    <t>Gold-skirt with Padd on bridge</t>
  </si>
  <si>
    <t>Kirk reads Starfleet report on Padd and hands to Red-skirt.</t>
  </si>
  <si>
    <t>Kirk signs Padd and return to a Red-skirt.</t>
  </si>
  <si>
    <t>Red-skirt at communication station with Padd</t>
  </si>
  <si>
    <t>Red-skirt hands Scotty a Padd.</t>
  </si>
  <si>
    <t>Red-skirt lay Padd on table by Spock in briefing room.</t>
  </si>
  <si>
    <t>Red-skirt with Padd on bridge.</t>
  </si>
  <si>
    <t>Red-skirt with small Padd on bridge.</t>
  </si>
  <si>
    <t>Red-skirt yeoman (acting as a waitress) holds a tray to collect remnants of Kirks meal when he leaves the bridge.</t>
  </si>
  <si>
    <t>Red-skirt holds tricorder on bridge.</t>
  </si>
  <si>
    <t>Red-skirt with tricorder in briefing room.</t>
  </si>
  <si>
    <t>Red-skirt with tricorder on bridge.</t>
  </si>
  <si>
    <t>Red-skirt with tricorder on planet.</t>
  </si>
  <si>
    <t>Blue-skirt with Padd in corridor.</t>
  </si>
  <si>
    <t>Blue-skirt with Padd on the bridge</t>
  </si>
  <si>
    <t>Blue-skirt works on Padd on bridge.</t>
  </si>
  <si>
    <t>Spock writes on Padd and hands to Blue-skirt.</t>
  </si>
  <si>
    <t>Blue-skirt with Padd in sick bay.</t>
  </si>
  <si>
    <t xml:space="preserve">Spock receives Padd from Blue-skirt and signs it </t>
  </si>
  <si>
    <t>Blue-skirt with tricorder on bridge.</t>
  </si>
  <si>
    <t>Kirk, Spock, McCoy, Scotty, Redshirt, Redshirt transport from Enterprise to Deneva.</t>
  </si>
  <si>
    <t>Kirk, spock, redshirt transports from Enterprise to Deneva.</t>
  </si>
  <si>
    <t>unobtainium Tritanium</t>
  </si>
  <si>
    <t>McGivers, acting like a meek and defeated woman, asks if she can please stay.</t>
  </si>
  <si>
    <t>telephone_operator KU</t>
  </si>
  <si>
    <t>telephone_operator K*</t>
  </si>
  <si>
    <t>telephone_operator *S</t>
  </si>
  <si>
    <t>telephone_operator SU</t>
  </si>
  <si>
    <t>telephone_operator UK</t>
  </si>
  <si>
    <t>telephone_operator *K</t>
  </si>
  <si>
    <t>telephone_operator S*</t>
  </si>
  <si>
    <t>Yeoman Ross, another in a line of indistinguishable yeomans.</t>
  </si>
  <si>
    <t>Andrea, the beautiful android whom Kirk's magic charms makes into a real girl.</t>
  </si>
  <si>
    <t>Mea3, a woman Kirk gives only a passing glance.</t>
  </si>
  <si>
    <t>People kept wondering when the top of Mea3's dress would fall off.</t>
  </si>
  <si>
    <t>Spock screams when the men are left on the Enterprise and Number One and Yeoman Colt are transported to Talos IV.</t>
  </si>
  <si>
    <t>Elias: You've know the Vulcanian?</t>
  </si>
  <si>
    <t>cold_war neutral_zone romulan</t>
  </si>
  <si>
    <t>category</t>
  </si>
  <si>
    <t>catchphrase</t>
  </si>
  <si>
    <t>hugAndKiss</t>
  </si>
  <si>
    <t>McCoy loves Yeoman Barrows in that princess.</t>
  </si>
  <si>
    <t>weapon</t>
  </si>
  <si>
    <t>regular</t>
  </si>
  <si>
    <t>regular large</t>
  </si>
  <si>
    <t>disrupter</t>
  </si>
  <si>
    <t>energy_staff</t>
  </si>
  <si>
    <t>photon_torpedoes</t>
  </si>
  <si>
    <t>projectile</t>
  </si>
  <si>
    <t>space</t>
  </si>
  <si>
    <t>exposition</t>
  </si>
  <si>
    <t>fascinating</t>
  </si>
  <si>
    <t>interesting</t>
  </si>
  <si>
    <t>vulcanian</t>
  </si>
  <si>
    <t>small</t>
  </si>
  <si>
    <t>diverting_power</t>
  </si>
  <si>
    <t>eyebrow</t>
  </si>
  <si>
    <t>misogynist</t>
  </si>
  <si>
    <t>freudian_trio</t>
  </si>
  <si>
    <t>girl_of_the_week</t>
  </si>
  <si>
    <t>logic_bomb</t>
  </si>
  <si>
    <t>russia</t>
  </si>
  <si>
    <t>chekovs_gun</t>
  </si>
  <si>
    <t>summation</t>
  </si>
  <si>
    <t>flirt</t>
  </si>
  <si>
    <t xml:space="preserve">flirt </t>
  </si>
  <si>
    <t>gesture</t>
  </si>
  <si>
    <t>lost</t>
  </si>
  <si>
    <t>old_flame</t>
  </si>
  <si>
    <t xml:space="preserve">touch </t>
  </si>
  <si>
    <t>unrequited</t>
  </si>
  <si>
    <t>what is it</t>
  </si>
  <si>
    <t>true</t>
  </si>
  <si>
    <t>The Tease</t>
  </si>
  <si>
    <t>Uhura flirts with Spock trying to start a conversation on the bridge.</t>
  </si>
  <si>
    <t>Darnell follows Nancy Crater (The Salt Creature) cause he's horny.</t>
  </si>
  <si>
    <t>The Salt Creature poses as a black man who speaks Swahili attempted to seduce Uhura</t>
  </si>
  <si>
    <t>Spock is totally oblivious to Uhura's flirting.</t>
  </si>
  <si>
    <t>The Flirt</t>
  </si>
  <si>
    <t>The Tease Victim</t>
  </si>
  <si>
    <t>The Flirt Victim</t>
  </si>
  <si>
    <t>The Stalker Victim</t>
  </si>
  <si>
    <t>tease</t>
  </si>
  <si>
    <t>Uhura teases mirror Sulu to distract him from the monitor panel</t>
  </si>
  <si>
    <t>rape</t>
  </si>
  <si>
    <t>feminism</t>
  </si>
  <si>
    <t>unwanted</t>
  </si>
  <si>
    <t>Fascinating</t>
  </si>
  <si>
    <t>He's Dead</t>
  </si>
  <si>
    <t>I'm a Doctor</t>
  </si>
  <si>
    <t>Interesting</t>
  </si>
  <si>
    <t>Live Long</t>
  </si>
  <si>
    <t>Shot To Kill</t>
  </si>
  <si>
    <t>Starboard Bow</t>
  </si>
  <si>
    <t>Vulcanian</t>
  </si>
  <si>
    <t>Vulcan Salute</t>
  </si>
  <si>
    <t>Not Life As We Know It</t>
  </si>
  <si>
    <t>log</t>
  </si>
  <si>
    <t>After the mutiny and stealing the Enterprise, absolutely nothing is done to Spock for his part. Not even a slap on the wrist.</t>
  </si>
  <si>
    <t>Hello, Lawyer</t>
  </si>
  <si>
    <t>Areel Shaw, not only Kirk's old flame but a hot lawyer woman…</t>
  </si>
  <si>
    <t>Lt. carolyn Palamas, sexy historian</t>
  </si>
  <si>
    <t>Hot Social Worker</t>
  </si>
  <si>
    <t>Edith Keeler preaches doing good for your fellow man. And Looks really, really great while she's dong it.</t>
  </si>
  <si>
    <t>hold_hands</t>
  </si>
  <si>
    <t>hug</t>
  </si>
  <si>
    <t>kiss</t>
  </si>
  <si>
    <t>The Odd Couple</t>
  </si>
  <si>
    <t>Dr. Crater's an archeologist. Nancy's a salt sucking vampire. What a crazy pair.</t>
  </si>
  <si>
    <t>transporter</t>
  </si>
  <si>
    <t>chauvanism</t>
  </si>
  <si>
    <t>values</t>
  </si>
  <si>
    <t>lust</t>
  </si>
  <si>
    <t>women_are_objects</t>
  </si>
  <si>
    <t>women_know_they're_sexy</t>
  </si>
  <si>
    <t>colthing romulan</t>
  </si>
  <si>
    <t>clothing robot</t>
  </si>
  <si>
    <t>Get A Hold Of Yourself Woman</t>
  </si>
  <si>
    <t>standards</t>
  </si>
  <si>
    <t>Handsome Lech</t>
  </si>
  <si>
    <t>Did They Or didn't They?</t>
  </si>
  <si>
    <t>So many innuendos it's impossible to tell if Dr. Korby had sex with the android Andrea.</t>
  </si>
  <si>
    <t>McCoy and Yeoman Barrows were so touchy-feeley I'd be amazed that they hadn't got it on in the forest after everything was settled.</t>
  </si>
  <si>
    <t>Kirk and Areel Shaw probably had sex previously. But did they get together after the court martial was finished?</t>
  </si>
  <si>
    <t>mccgivers</t>
  </si>
  <si>
    <t>It's questionable it McGives had sex with Khan while on the Enterprise but I'm sure they had sex once stranded on Ceti Alpha V</t>
  </si>
  <si>
    <t>How much time did Spock and Lella spend alone? Was it enough for more than just a quickie?</t>
  </si>
  <si>
    <t>Kirk and Edith Keeler were very much in love. And it seemed that Kirk spend enough time with her without Spock. Just how much time would be enough?</t>
  </si>
  <si>
    <t>After Apollo takes Lt. Palamas away, can anyone be sure exactly what they were doing?</t>
  </si>
  <si>
    <t>Harry Mudd programmed thousands of androids to his specifications. Would such a lecherous man NOT partake of the fruits of his labors?</t>
  </si>
  <si>
    <t>Checkov finds out that Harry Mudd programmed all the female androids. Chekov got a really big grin after finding this out.</t>
  </si>
  <si>
    <t>The last we saw, Zefrem and the Companion in Nancy Hedford's body were holding hands. I imagine it progressed quite a bit after the Enterprise left.</t>
  </si>
  <si>
    <t>sex</t>
  </si>
  <si>
    <t>Nomad self-destructs after Kirk gives him a lethal does of Kirk's Logic</t>
  </si>
  <si>
    <t>friend</t>
  </si>
  <si>
    <t>outmatched</t>
  </si>
  <si>
    <t>alternative_universe</t>
  </si>
  <si>
    <t>starship</t>
  </si>
  <si>
    <t>time_travel</t>
  </si>
  <si>
    <t>unobtainium</t>
  </si>
  <si>
    <t>McCoy creates light devise to kill the parasites. Unfortunately, it also blinds the infected.</t>
  </si>
  <si>
    <t>evil-twin</t>
  </si>
  <si>
    <t>girl_fight</t>
  </si>
  <si>
    <t>Insane Equals Violent</t>
  </si>
  <si>
    <t>technobabble</t>
  </si>
  <si>
    <t>overdose</t>
  </si>
  <si>
    <t>saurian_brandy</t>
  </si>
  <si>
    <t>tropes</t>
  </si>
  <si>
    <t>bad_behavior</t>
  </si>
  <si>
    <t>second_earth</t>
  </si>
  <si>
    <t>jeffries_tube</t>
  </si>
  <si>
    <t>music</t>
  </si>
  <si>
    <t>music_play</t>
  </si>
  <si>
    <t>music_play vulcan_lyre_sing</t>
  </si>
  <si>
    <t>music_play_sing vulcan_lyre</t>
  </si>
  <si>
    <t>music_sing</t>
  </si>
  <si>
    <t>condition_red</t>
  </si>
  <si>
    <t>yellow_alert</t>
  </si>
  <si>
    <t>3d_checkers</t>
  </si>
  <si>
    <t>3d_chess</t>
  </si>
  <si>
    <t>Drinking Tropes</t>
  </si>
  <si>
    <t>plague</t>
  </si>
  <si>
    <t>exam_local</t>
  </si>
  <si>
    <t>exam_shuttlecraft</t>
  </si>
  <si>
    <t>exam_sick_bay</t>
  </si>
  <si>
    <t>operation_sick_bay</t>
  </si>
  <si>
    <t>avoided</t>
  </si>
  <si>
    <t>dirty</t>
  </si>
  <si>
    <t>distraction</t>
  </si>
  <si>
    <t>innocent</t>
  </si>
  <si>
    <t>the_bully</t>
  </si>
  <si>
    <t>alert_baker_3</t>
  </si>
  <si>
    <t>alert_status yellow_alert</t>
  </si>
  <si>
    <t>all_decks_battle_stations security_alert</t>
  </si>
  <si>
    <t>all_decks_damage_report</t>
  </si>
  <si>
    <t>battle_stations alert_status security_red standard_general_alert</t>
  </si>
  <si>
    <t>battle_stations condition_alert</t>
  </si>
  <si>
    <t>battle_stations full_security_alert</t>
  </si>
  <si>
    <t>battle_stations general_damage_report</t>
  </si>
  <si>
    <t>battle_stations red_alert</t>
  </si>
  <si>
    <t>damage_report red_alert</t>
  </si>
  <si>
    <t>flashing red lights</t>
  </si>
  <si>
    <t>general_alert_status general_order_24</t>
  </si>
  <si>
    <t>general_quarters_3 security_condition_3</t>
  </si>
  <si>
    <t>intruder_alert</t>
  </si>
  <si>
    <t>red_alert</t>
  </si>
  <si>
    <t>red_security_alert</t>
  </si>
  <si>
    <t>security_double_red_alert</t>
  </si>
  <si>
    <t>security_alert_3</t>
  </si>
  <si>
    <t>friendly</t>
  </si>
  <si>
    <t>kirksRock</t>
  </si>
  <si>
    <t>lechery</t>
  </si>
  <si>
    <t>Real Women Don't Wear Dresses</t>
  </si>
  <si>
    <t>vanity</t>
  </si>
  <si>
    <t>Planet of Hats</t>
  </si>
  <si>
    <t>hes_dead</t>
  </si>
  <si>
    <t>butt_monkey</t>
  </si>
  <si>
    <t>im_a_doctor</t>
  </si>
  <si>
    <t>you_suck</t>
  </si>
  <si>
    <t>chivaulry</t>
  </si>
  <si>
    <t>forced_fight</t>
  </si>
  <si>
    <t>restless_natives</t>
  </si>
  <si>
    <t>Uhura write on padd in briefing room</t>
  </si>
  <si>
    <t>Scotty with small Padd on briefing room table</t>
  </si>
  <si>
    <t>Redshirt security officer killed by native thrown weapaon after pulling his phaser on the Klingon.</t>
  </si>
  <si>
    <t>Ship's Log-1 (Kirk):</t>
  </si>
  <si>
    <t>redshirt (killed by native with thrown weapon, the kligat)</t>
  </si>
  <si>
    <t>Servant girl (their waitress) enter's Kirk and cos tent with bowl of fruits.</t>
  </si>
  <si>
    <t>Kirk, Spock, and McCoy discuss Klingon situation on Capella IV</t>
  </si>
  <si>
    <t>Rare mineral essential in life support systems has been discovered on Capella IV in abundance.</t>
  </si>
  <si>
    <t>Uhura: Mr. Scott. I'm getting a call from a vessel. So faint I can't make it out. | Scotty: Put a booster on it Lt. Try to pull it in. | Uhura: I've lost it.</t>
  </si>
  <si>
    <t>Maab doesn't like dealing with the Earth people as has staged a coup on  Akaar, the Teer.</t>
  </si>
  <si>
    <t>Kirk fights one lf Maab's men and knocks him out in front of their tent.</t>
  </si>
  <si>
    <t>Akaar stabs soldier in front of his tent with sword.</t>
  </si>
  <si>
    <t>Maab stabs soldier in camp.</t>
  </si>
  <si>
    <t>Maab throws kligot and kills solder.</t>
  </si>
  <si>
    <t>Kirk fights Klingon in Akaar's tent while looking for weapons and communicators</t>
  </si>
  <si>
    <t>Uhura: I have the signal clear now Mr. Scott. It is a distress call. It's from the SS Dierdra. | Scotty: Dierdra? That's a frighter | Uhura: They're reporting they're under attack. They're running. Trying to manuver. It's a Klingon vessel attacking.</t>
  </si>
  <si>
    <t>Scotty: Try the captain. | Uhura: Enterprise to Captain Kirk. Come in Captain.</t>
  </si>
  <si>
    <t>Kirk stops Maab from killing Eleen, Akaar's wife and a skuffle starts. The trio is subdued.</t>
  </si>
  <si>
    <t>Uhura: Enterprise to Mr. Spock. Dr. McCoy. Come in please.</t>
  </si>
  <si>
    <t>Scotty: Take us out of orbit Mr. Sulu. Ahead warp 5.</t>
  </si>
  <si>
    <t>Ship's Log-2 (Scotty):</t>
  </si>
  <si>
    <t>Scotty takes Padd from blue-skirt. Signs it. Gives it back.</t>
  </si>
  <si>
    <t>Kirk, Spock, and McCoy plan escape from camp using McCoy examining Eleen which is against the law.</t>
  </si>
  <si>
    <t>Spock renders guard unconscience with neck pinch</t>
  </si>
  <si>
    <t>Kirk knocks out after McCoy distracts them by touching Eleen.</t>
  </si>
  <si>
    <t>Scotty: No signal at all? | uhura: Negative sir.</t>
  </si>
  <si>
    <t>Ship's Log-3 (Kirk):</t>
  </si>
  <si>
    <t>deus ex…</t>
  </si>
  <si>
    <t>They found their communicators but not their weapons. How convient plotwise.</t>
  </si>
  <si>
    <t>McCoy exams Eleen after they escape</t>
  </si>
  <si>
    <t>set_piece</t>
  </si>
  <si>
    <t>The trio takes a defensive position near the bottom of Kirk's Rock</t>
  </si>
  <si>
    <t>While planning their defense near the rock, Kirk pulls out the communicator, looks at it, and returns it to his belt</t>
  </si>
  <si>
    <t>Kirk flips open his communicator the same time as Spock to create a sonic disruption</t>
  </si>
  <si>
    <t>Spock flips open his communicator the same time as Kirk to create a sonic disruption</t>
  </si>
  <si>
    <t>Klingon take's sword of fallen solder, stabs him, and takes one of the phasers he had</t>
  </si>
  <si>
    <t>McCoy: I'm a doctor, not an escalator.</t>
  </si>
  <si>
    <t>Uhura: There's nothing Mr. Scott. All channels and frequencies are clear.</t>
  </si>
  <si>
    <t>McCoy delievers Eleen's baby in a cave.</t>
  </si>
  <si>
    <t>Kirk calls Enterprise. No answer (they've been decoyed away from the planet)</t>
  </si>
  <si>
    <t>Kirk, Spock, and McCoy discuss why Eleen cals the baby "Our Child."</t>
  </si>
  <si>
    <t>Scotty: We're turning back. Warp 5 helm.</t>
  </si>
  <si>
    <t>Scotty: Warp 6 as soon as she'll take it Mr. Sulu.</t>
  </si>
  <si>
    <t xml:space="preserve">Uhura: Mr. Scott. Another distress call. From the the USS Carolina. | Scotty: ignore it. | Uhura: Mr.s Scott. The Carolian is registered in this sector. | Scotty: Ignore it Lt. Log it as my order, my resonsibility. </t>
  </si>
  <si>
    <t>Scotty: There's an old saying. Fool me once, shame on you. Fool me twice, shame on me. | Chekov: I know this saying. It was invented in Russia.</t>
  </si>
  <si>
    <t>Eleen picks up a rock and smacks McCoy in the head while he's sleeping</t>
  </si>
  <si>
    <t>eleen</t>
  </si>
  <si>
    <t>Eleen, widow of the Teer, Akaar</t>
  </si>
  <si>
    <t>Kirk, Spock, and McCoy discuss McCoy's small patient.</t>
  </si>
  <si>
    <t>battle stations</t>
  </si>
  <si>
    <t>Scotty: Mr. Sulu, sound battle stations</t>
  </si>
  <si>
    <t>Blue-skirt with tricorder on the bridge.</t>
  </si>
  <si>
    <t xml:space="preserve">Uhura: This is the USS Enterprise calling the unidentified Klingon vessel, come in. </t>
  </si>
  <si>
    <t xml:space="preserve">Scotty: Close out the frequecy Lt. </t>
  </si>
  <si>
    <t>Kirk fires arrow into Klingon's leg.</t>
  </si>
  <si>
    <t>Spock fires arrow into guard's stomarch (killing him)</t>
  </si>
  <si>
    <t>Kirk fires arrow into guard's neck (killing him)</t>
  </si>
  <si>
    <t>Klingon fires phaser at Spock up in the rocks.</t>
  </si>
  <si>
    <t>Spock calls Enterprise. No answer</t>
  </si>
  <si>
    <t>Klingon fires phaser at solider (killing him)</t>
  </si>
  <si>
    <t>Klingon fires phaser at Maab (killing him)</t>
  </si>
  <si>
    <t>Maab's soldier throws kligat while Maab distracts him at Klingon (killing him)</t>
  </si>
  <si>
    <t>Scotty and four redshirts arrive just like the cavalry</t>
  </si>
  <si>
    <t>Redshirt with a Padd on the bridge.</t>
  </si>
  <si>
    <t>Everyone Laughs Except Spock</t>
  </si>
  <si>
    <t>Discussion of Leonard James Akaar, the new Teer of Capella</t>
  </si>
  <si>
    <t>Maab kills Akaar</t>
  </si>
  <si>
    <t>Akaar, the High Teer killed during coup staged by Maab</t>
  </si>
  <si>
    <t>Maab's soldier killed during coup staged by Maab</t>
  </si>
  <si>
    <t>Capella IV looks just like southern California.</t>
  </si>
  <si>
    <t>Maab's soldier kills Klingon while he's distracted by Maab.</t>
  </si>
  <si>
    <t>The Coup</t>
  </si>
  <si>
    <t>Torches and Pitchforks</t>
  </si>
  <si>
    <t>Back Stab</t>
  </si>
  <si>
    <t>vulcan_neck_pinch</t>
  </si>
  <si>
    <t>set_Piece</t>
  </si>
  <si>
    <t>non-humanoid</t>
  </si>
  <si>
    <t>culture</t>
  </si>
  <si>
    <t>gone</t>
  </si>
  <si>
    <t>no_more</t>
  </si>
  <si>
    <t>energy_beings</t>
  </si>
  <si>
    <t>Tellurites said to be important members of the Federation have little or nothing to do.</t>
  </si>
  <si>
    <t>Andorians said to be important members of the Federation have little or nothing to do.</t>
  </si>
  <si>
    <t>Blatant Lies</t>
  </si>
  <si>
    <t>Spock kisses Lella. (1)</t>
  </si>
  <si>
    <t>Spock kisses Lella. (2)</t>
  </si>
  <si>
    <t>Spock kisses Lella. (3)</t>
  </si>
  <si>
    <t>Dr. Korby commands Andrea to kiss him. (Dr. Korby)</t>
  </si>
  <si>
    <t>Kirk and Uhura forced to kiss by telekinetic aliens.</t>
  </si>
  <si>
    <t>Spock and Nurse Chapel forced to kiss by telekinetic aliens.</t>
  </si>
  <si>
    <t>Organian peace treaty: imposed peace by energy beings on angry, warring lesser beings (Federation and the Klingons).</t>
  </si>
  <si>
    <t>Spock and T'Pau exchange the Vulcan salute. (1)</t>
  </si>
  <si>
    <t>Spock and T'Pau exchange the Vulcan salute. (2)</t>
  </si>
  <si>
    <t>Averted: McCoy learns that he's suffering from a disease called xenopolycythemia which will kill him in one year. When he tells Kirk about it he asks him to keep it to himself so hell be most effective in his job in the time left.</t>
  </si>
  <si>
    <t>McCoy skewered by lance of charging knight but got resurrected.</t>
  </si>
  <si>
    <t>Averted: Scotty killed by Nomads energy beam but Nomad repaired the damage and Scotty was alive again.</t>
  </si>
  <si>
    <t>Akaar's soldier killed during coup staged by Maab (1)</t>
  </si>
  <si>
    <t>Akaar's soldier killed during coup staged by Maab (2)</t>
  </si>
  <si>
    <t>One of Maab's men killed in alavanche create by Kirk and Spock's communicators (1)</t>
  </si>
  <si>
    <t>One of Maab's men killed in alavanche create by Kirk and Spock's communicators (2)</t>
  </si>
  <si>
    <t>kirk_android</t>
  </si>
  <si>
    <t>Averted: Yeoman Rand slaps Charlie when he won't leave her alone and he gets angry and makes her disappear</t>
  </si>
  <si>
    <t>Kirk fights Evil-Kirk in engineering</t>
  </si>
  <si>
    <t>Kirk knocks out McCoy with punch to the face after being attacked by possessed McCoy carrying a mace.</t>
  </si>
  <si>
    <t>Spock pinches Scotty after being attacked with mace.</t>
  </si>
  <si>
    <t>Enterprise calls Spock.</t>
  </si>
  <si>
    <t>Kirk kisses Andrea. She begins to have conflict between Kirk and Dr. Korby.</t>
  </si>
  <si>
    <t>Kirk kisses Sylvia passionately and she kisses him back. | Kirk: You're a very beautiful woman.</t>
  </si>
  <si>
    <t>harassment</t>
  </si>
  <si>
    <t>cthulhu alien</t>
  </si>
  <si>
    <t>modern_woman</t>
  </si>
  <si>
    <t>femme_fatale</t>
  </si>
  <si>
    <t>tantalus_field</t>
  </si>
  <si>
    <t>Bitch_Alert</t>
  </si>
  <si>
    <t>Dr. Helen Noel has the hots for Kirk and wants to get more familiar.</t>
  </si>
  <si>
    <t>Kirk reminds the doctor that for all his vaunted powers, Lt. Cmdr. Gary Mitchell is still human, subject to human frailties.</t>
  </si>
  <si>
    <t>McCoy examines Evil-Kirk strapped to bed in sick bay. (1)</t>
  </si>
  <si>
    <t>McCoy examines Evil-Kirk strapped to bed in sick bay. (2)</t>
  </si>
  <si>
    <t>McCoy examines Lazarus in sick bay. (1)</t>
  </si>
  <si>
    <t>McCoy examines Lazarus in sick bay. (2)</t>
  </si>
  <si>
    <t>???</t>
  </si>
  <si>
    <t>Kirk with Padd</t>
  </si>
  <si>
    <t>Red-skirt with a Padd on the bridge. (1)</t>
  </si>
  <si>
    <t>Red-skirt with a Padd on the bridge. (2)</t>
  </si>
  <si>
    <t>Kirk, McCoy, Sulu, and Rodriguez have phasers. Lt. Angela Martinez and Yeomans Barrows have no phasers.</t>
  </si>
  <si>
    <t>Spock: Open communicator channel. (1)</t>
  </si>
  <si>
    <t>Spock: Open communicator channel. (2)</t>
  </si>
  <si>
    <t>ramart #1</t>
  </si>
  <si>
    <t>rayburn  (dead)</t>
  </si>
  <si>
    <t>USAF_guard</t>
  </si>
  <si>
    <t>interference</t>
  </si>
  <si>
    <t>oneOff</t>
  </si>
  <si>
    <t>vulcan_culture</t>
  </si>
  <si>
    <t>cthulhu</t>
  </si>
  <si>
    <t>doppelgänger</t>
  </si>
  <si>
    <t>lecherous</t>
  </si>
  <si>
    <t>non_human</t>
  </si>
  <si>
    <t>additives</t>
  </si>
  <si>
    <t>boyce</t>
  </si>
  <si>
    <t>McCoy calls for housing cement mixture to fix the Horta</t>
  </si>
  <si>
    <t>medical</t>
  </si>
  <si>
    <t>insane</t>
  </si>
  <si>
    <t>macgyvering</t>
  </si>
  <si>
    <t>Doomsday Machine fires at Enterprise and shakes it badly. (1)</t>
  </si>
  <si>
    <t>Doomsday Machine fires at Enterprise and shakes it badly. (2)</t>
  </si>
  <si>
    <t>Doomsday Machine fires at Enterprise and shakes it badly. (3)</t>
  </si>
  <si>
    <t>Doomsday Machine fires at Enterprise and shakes it badly. (4)</t>
  </si>
  <si>
    <t>Nomad fires blast of incredible energy at Enterprise. (1)</t>
  </si>
  <si>
    <t>Nomad fires blast of incredible energy at Enterprise. (2)</t>
  </si>
  <si>
    <t>Nomad fires blast of incredible energy at Enterprise. (3)</t>
  </si>
  <si>
    <t>Lazarus enters Anti-matter distortion on Enterprise. (1)</t>
  </si>
  <si>
    <t>Lazarus enters Anti-matter distortion on Enterprise. (2)</t>
  </si>
  <si>
    <t>Lazarus enters Anti-matter distortion on planet. (1)</t>
  </si>
  <si>
    <t>Lazarus enters Anti-matter distortion on planet. (2)</t>
  </si>
  <si>
    <t>Galileo Seven attacked by giant cavemen. (1)</t>
  </si>
  <si>
    <t>Galileo Seven attacked by giant cavemen. (2)</t>
  </si>
  <si>
    <t>Romulan ship fired on by Enterprise. (1)</t>
  </si>
  <si>
    <t>Romulan ship fired on by Enterprise. (2)</t>
  </si>
  <si>
    <t>Romulan ship fired on by Enterprise. (3)</t>
  </si>
  <si>
    <t>mind_meld</t>
  </si>
  <si>
    <t>Chekov: Just like Russia | McCoy:  More like the Garden of Eden. | Chekov: The Garden of Eden was just outside Moscow.</t>
  </si>
  <si>
    <t>Yeoman Colt is a suitable mate for her youth, strength and "unusually strong female drives".</t>
  </si>
  <si>
    <t>trio</t>
  </si>
  <si>
    <t>romulan_plasma_cannon</t>
  </si>
  <si>
    <t>phaser-ship</t>
  </si>
  <si>
    <t>klingon_disrupter</t>
  </si>
  <si>
    <t>anti-proton_beam</t>
  </si>
  <si>
    <t>telepathy</t>
  </si>
  <si>
    <t>shapeshifter</t>
  </si>
  <si>
    <t>omnipotent_child</t>
  </si>
  <si>
    <t>mirror</t>
  </si>
  <si>
    <t>all_powerful</t>
  </si>
  <si>
    <t>operation_on_planet</t>
  </si>
  <si>
    <t>wham_line</t>
  </si>
  <si>
    <t>black_humor</t>
  </si>
  <si>
    <t>Eve, Magda, and Ruth-Mudd's woman</t>
  </si>
  <si>
    <t>Doomsday Machine fires at Enterprise (1)</t>
  </si>
  <si>
    <t>Doomsday Machine fires at Enterprise (2)</t>
  </si>
  <si>
    <t>Doomsday Machine fires at Enterprise (3)</t>
  </si>
  <si>
    <t>Doomsday Machine fires at Enterprise (4)</t>
  </si>
  <si>
    <t>Klingon ship fires disrupters at Enterprise. (1)</t>
  </si>
  <si>
    <t>Klingon ship fires disrupters at Enterprise. (2)</t>
  </si>
  <si>
    <t>Lt. Gaetano shoots at cavemen to frighten them. (1)</t>
  </si>
  <si>
    <t>Lt. Gaetano shoots at cavemen to frighten them. (2)</t>
  </si>
  <si>
    <t>Lt. Gaetano shoots at cavemen to frighten them. (3)</t>
  </si>
  <si>
    <t>Lt. Gaetano shoots at cavemen to frighten them. (4)</t>
  </si>
  <si>
    <t>Lt. Gaetano shoots at cavemen to frighten them. (5)</t>
  </si>
  <si>
    <t>Lt. Gaetano shoots at cavemen to frighten them. (6)</t>
  </si>
  <si>
    <t>Spock: Apparently some kind of transposition has taken place. I find it extremely interesting.</t>
  </si>
  <si>
    <t>Mirror Lt. Marlene Moreau uses Tantalus Field to kill Mirror Redshirt. (1)</t>
  </si>
  <si>
    <t>Mirror Lt. Marlene Moreau uses Tantalus Field to kill Mirror Redshirt. (2)</t>
  </si>
  <si>
    <t>Mirror Lt. Marlene Moreau uses Tantalus Field to kill Mirror Redshirt. (3)</t>
  </si>
  <si>
    <t>Spock fires phaser to stun townspeople. (1)</t>
  </si>
  <si>
    <t>Spock fires phaser to stun townspeople. (2)</t>
  </si>
  <si>
    <t>Spock kill Eminiar guard. (1)</t>
  </si>
  <si>
    <t>Spock kill Eminiar guard. (2)</t>
  </si>
  <si>
    <t>Spock tracking signs of silicon (Horta) with tricorder. (1)</t>
  </si>
  <si>
    <t>Spock tracking signs of silicon (Horta) with tricorder. (2)</t>
  </si>
  <si>
    <t>Spock play the Vulcan lyre as Uhura sings</t>
  </si>
  <si>
    <t>Uhura with Padd on bridge. (1)</t>
  </si>
  <si>
    <t>Uhura with Padd on bridge. (2)</t>
  </si>
  <si>
    <t>shirt colors</t>
  </si>
  <si>
    <t>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</si>
</sst>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7" x14ac:knownFonts="1">
    <font>
      <sz val="9"/>
      <color theme="1"/>
      <name val="Calibri"/>
      <family val="2"/>
      <scheme val="minor"/>
    </font>
    <font>
      <sz val="8"/>
      <color theme="1"/>
      <name val="Calibri"/>
      <family val="2"/>
      <scheme val="minor"/>
    </font>
    <font>
      <sz val="9"/>
      <name val="Calibri"/>
      <family val="2"/>
      <scheme val="minor"/>
    </font>
    <font>
      <b/>
      <sz val="8"/>
      <color theme="1"/>
      <name val="Calibri"/>
      <family val="2"/>
      <scheme val="minor"/>
    </font>
    <font>
      <sz val="8"/>
      <name val="Calibri"/>
      <family val="2"/>
      <scheme val="minor"/>
    </font>
    <font>
      <sz val="8"/>
      <color rgb="FFFF0000"/>
      <name val="Calibri"/>
      <family val="2"/>
      <scheme val="minor"/>
    </font>
    <font>
      <sz val="8"/>
      <color theme="1" tint="0.499984740745262"/>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CC"/>
        <bgColor indexed="64"/>
      </patternFill>
    </fill>
    <fill>
      <patternFill patternType="solid">
        <fgColor rgb="FFFF0000"/>
        <bgColor indexed="64"/>
      </patternFill>
    </fill>
    <fill>
      <patternFill patternType="solid">
        <fgColor theme="2"/>
        <bgColor indexed="64"/>
      </patternFill>
    </fill>
    <fill>
      <patternFill patternType="solid">
        <fgColor theme="9"/>
        <bgColor indexed="64"/>
      </patternFill>
    </fill>
  </fills>
  <borders count="1">
    <border>
      <left/>
      <right/>
      <top/>
      <bottom/>
      <diagonal/>
    </border>
  </borders>
  <cellStyleXfs count="1">
    <xf numFmtId="0" fontId="0" fillId="0" borderId="0"/>
  </cellStyleXfs>
  <cellXfs count="40">
    <xf numFmtId="0" fontId="0" fillId="0" borderId="0" xfId="0"/>
    <xf numFmtId="0" fontId="1" fillId="0" borderId="0" xfId="0" applyFont="1" applyFill="1" applyAlignment="1">
      <alignment horizontal="left" vertical="top"/>
    </xf>
    <xf numFmtId="0" fontId="1" fillId="0" borderId="0" xfId="0" applyFont="1" applyAlignment="1"/>
    <xf numFmtId="0" fontId="1" fillId="0" borderId="0" xfId="0" applyFont="1" applyFill="1" applyAlignment="1"/>
    <xf numFmtId="0" fontId="1" fillId="0" borderId="0" xfId="0" applyFont="1" applyFill="1" applyAlignment="1">
      <alignment vertical="top"/>
    </xf>
    <xf numFmtId="0" fontId="1" fillId="0" borderId="0" xfId="0" applyFont="1"/>
    <xf numFmtId="0" fontId="1" fillId="0" borderId="0" xfId="0" applyFont="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0" fontId="1" fillId="0" borderId="0" xfId="0" applyFont="1" applyAlignment="1">
      <alignment horizontal="right" vertical="top"/>
    </xf>
    <xf numFmtId="0" fontId="1" fillId="6" borderId="0" xfId="0" applyFont="1" applyFill="1" applyAlignment="1">
      <alignment horizontal="left" vertical="top"/>
    </xf>
    <xf numFmtId="0" fontId="1" fillId="6" borderId="0" xfId="0" applyFont="1" applyFill="1" applyAlignment="1">
      <alignment horizontal="right" vertical="top"/>
    </xf>
    <xf numFmtId="164" fontId="1" fillId="0" borderId="0" xfId="0" applyNumberFormat="1" applyFont="1" applyAlignment="1">
      <alignment horizontal="left" vertical="top"/>
    </xf>
    <xf numFmtId="0" fontId="2" fillId="0" borderId="0" xfId="0" applyFont="1" applyFill="1" applyAlignment="1">
      <alignment horizontal="left" vertical="top"/>
    </xf>
    <xf numFmtId="0" fontId="1" fillId="0" borderId="0" xfId="0" applyFont="1" applyFill="1" applyAlignment="1">
      <alignment horizontal="right" vertical="top"/>
    </xf>
    <xf numFmtId="0" fontId="1" fillId="4" borderId="0" xfId="0" applyFont="1" applyFill="1" applyAlignment="1">
      <alignment horizontal="right" vertical="top"/>
    </xf>
    <xf numFmtId="0" fontId="1" fillId="4" borderId="0" xfId="0" applyFont="1" applyFill="1" applyAlignment="1">
      <alignment horizontal="left" vertical="top"/>
    </xf>
    <xf numFmtId="0" fontId="1" fillId="3" borderId="0" xfId="0" applyFont="1" applyFill="1" applyAlignment="1">
      <alignment horizontal="right" vertical="top"/>
    </xf>
    <xf numFmtId="0" fontId="3" fillId="0" borderId="0" xfId="0" applyFont="1" applyFill="1" applyAlignment="1">
      <alignment horizontal="left" vertical="top"/>
    </xf>
    <xf numFmtId="0" fontId="3" fillId="4" borderId="0" xfId="0" applyFont="1" applyFill="1" applyAlignment="1">
      <alignment horizontal="left" vertical="top"/>
    </xf>
    <xf numFmtId="0" fontId="3" fillId="3" borderId="0" xfId="0" applyFont="1" applyFill="1" applyAlignment="1">
      <alignment horizontal="left" vertical="top"/>
    </xf>
    <xf numFmtId="0" fontId="4" fillId="0" borderId="0" xfId="0" applyFont="1" applyFill="1" applyAlignment="1">
      <alignment horizontal="left" vertical="top"/>
    </xf>
    <xf numFmtId="0" fontId="4" fillId="0" borderId="0" xfId="0" applyNumberFormat="1" applyFont="1" applyFill="1" applyAlignment="1">
      <alignment horizontal="right" vertical="top"/>
    </xf>
    <xf numFmtId="0" fontId="4" fillId="4" borderId="0" xfId="0" applyFont="1" applyFill="1" applyAlignment="1">
      <alignment horizontal="right" vertical="top"/>
    </xf>
    <xf numFmtId="0" fontId="4" fillId="3" borderId="0" xfId="0" applyFont="1" applyFill="1" applyAlignment="1">
      <alignment horizontal="right" vertical="top"/>
    </xf>
    <xf numFmtId="0" fontId="1" fillId="0" borderId="0" xfId="0" applyNumberFormat="1" applyFont="1" applyFill="1" applyAlignment="1">
      <alignment horizontal="right" vertical="top"/>
    </xf>
    <xf numFmtId="0" fontId="4" fillId="0" borderId="0" xfId="0" applyFont="1" applyFill="1" applyAlignment="1">
      <alignment horizontal="right" vertical="top"/>
    </xf>
    <xf numFmtId="0" fontId="1" fillId="0" borderId="0" xfId="0" applyNumberFormat="1" applyFont="1" applyAlignment="1">
      <alignment horizontal="right" vertical="top"/>
    </xf>
    <xf numFmtId="0" fontId="1" fillId="5" borderId="0" xfId="0" applyFont="1" applyFill="1" applyAlignment="1">
      <alignment horizontal="left" vertical="top"/>
    </xf>
    <xf numFmtId="0" fontId="1" fillId="0" borderId="0" xfId="0" quotePrefix="1" applyFont="1" applyFill="1" applyAlignment="1">
      <alignment horizontal="left" vertical="top"/>
    </xf>
    <xf numFmtId="0" fontId="4" fillId="0" borderId="0" xfId="0" quotePrefix="1" applyFont="1" applyFill="1" applyAlignment="1">
      <alignment horizontal="left" vertical="top"/>
    </xf>
    <xf numFmtId="0" fontId="5" fillId="0" borderId="0" xfId="0" applyFont="1" applyFill="1" applyAlignment="1">
      <alignment horizontal="left" vertical="top"/>
    </xf>
    <xf numFmtId="0" fontId="1" fillId="0" borderId="0" xfId="0" applyFont="1" applyFill="1" applyAlignment="1">
      <alignment horizontal="left" vertical="top" wrapText="1"/>
    </xf>
    <xf numFmtId="0" fontId="6" fillId="2" borderId="0" xfId="0" applyFont="1" applyFill="1" applyAlignment="1">
      <alignment horizontal="left" vertical="top"/>
    </xf>
    <xf numFmtId="0" fontId="1" fillId="3" borderId="0" xfId="0" applyFont="1" applyFill="1" applyAlignment="1">
      <alignment horizontal="left" vertical="top"/>
    </xf>
    <xf numFmtId="0" fontId="1" fillId="7" borderId="0" xfId="0" applyFont="1" applyFill="1" applyAlignment="1">
      <alignment horizontal="left" vertical="top"/>
    </xf>
    <xf numFmtId="0" fontId="1" fillId="0" borderId="0" xfId="0" applyFont="1" applyFill="1"/>
    <xf numFmtId="0" fontId="0" fillId="0" borderId="0" xfId="0" applyAlignment="1"/>
    <xf numFmtId="0" fontId="0" fillId="0" borderId="0" xfId="0" applyAlignment="1">
      <alignment vertical="top"/>
    </xf>
    <xf numFmtId="0" fontId="0" fillId="7" borderId="0" xfId="0" applyFill="1" applyAlignment="1">
      <alignment vertical="top"/>
    </xf>
  </cellXfs>
  <cellStyles count="1">
    <cellStyle name="Normal" xfId="0" builtinId="0"/>
  </cellStyles>
  <dxfs count="72">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6699"/>
        </patternFill>
      </fill>
    </dxf>
    <dxf>
      <fill>
        <patternFill>
          <bgColor rgb="FFFF6699"/>
        </patternFill>
      </fill>
    </dxf>
    <dxf>
      <fill>
        <patternFill>
          <bgColor rgb="FFFF6699"/>
        </patternFill>
      </fill>
    </dxf>
    <dxf>
      <fill>
        <patternFill>
          <bgColor rgb="FFFF0000"/>
        </patternFill>
      </fill>
    </dxf>
    <dxf>
      <fill>
        <patternFill>
          <bgColor rgb="FFFF0000"/>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66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2621"/>
  <sheetViews>
    <sheetView zoomScale="150" zoomScaleNormal="150" workbookViewId="0">
      <pane ySplit="3" topLeftCell="A1096" activePane="bottomLeft" state="frozen"/>
      <selection activeCell="B2908" sqref="B2908"/>
      <selection pane="bottomLeft" activeCell="A1035" sqref="A1035:A1118"/>
    </sheetView>
  </sheetViews>
  <sheetFormatPr defaultColWidth="10.77734375" defaultRowHeight="10.5" x14ac:dyDescent="0.25"/>
  <cols>
    <col min="1" max="1" width="7.6640625" style="5" bestFit="1" customWidth="1"/>
    <col min="2" max="3" width="20.77734375" style="32" customWidth="1"/>
    <col min="4" max="4" width="20.77734375" style="1" customWidth="1"/>
    <col min="5" max="5" width="75.77734375" style="1" customWidth="1"/>
    <col min="6" max="6" width="10.77734375" style="1" customWidth="1"/>
    <col min="7" max="8" width="3.77734375" style="14" customWidth="1"/>
    <col min="9" max="9" width="4.77734375" style="14" customWidth="1"/>
    <col min="10" max="10" width="4.77734375" style="15" customWidth="1"/>
    <col min="11" max="11" width="30.33203125" style="16" customWidth="1"/>
    <col min="12" max="13" width="3.77734375" style="16" customWidth="1"/>
    <col min="14" max="15" width="5.77734375" style="14" customWidth="1"/>
    <col min="16" max="16" width="11.109375" style="17" bestFit="1" customWidth="1"/>
    <col min="17" max="17" width="9.77734375" style="17" bestFit="1" customWidth="1"/>
    <col min="18" max="18" width="8" style="17" bestFit="1" customWidth="1"/>
    <col min="19" max="19" width="29.33203125" style="1" customWidth="1"/>
    <col min="20" max="16384" width="10.77734375" style="1"/>
  </cols>
  <sheetData>
    <row r="1" spans="1:18" x14ac:dyDescent="0.3">
      <c r="A1" s="14"/>
      <c r="B1" s="1">
        <f>MAX(A:A)+1</f>
        <v>3035</v>
      </c>
      <c r="C1" s="1"/>
    </row>
    <row r="2" spans="1:18" x14ac:dyDescent="0.3">
      <c r="A2" s="14"/>
      <c r="B2" s="1"/>
      <c r="C2" s="1"/>
    </row>
    <row r="3" spans="1:18" x14ac:dyDescent="0.3">
      <c r="A3" s="18" t="s">
        <v>160</v>
      </c>
      <c r="B3" s="1" t="s">
        <v>2710</v>
      </c>
      <c r="C3" s="18" t="s">
        <v>2601</v>
      </c>
      <c r="D3" s="18" t="s">
        <v>150</v>
      </c>
      <c r="E3" s="18" t="s">
        <v>164</v>
      </c>
      <c r="F3" s="18" t="s">
        <v>183</v>
      </c>
      <c r="G3" s="18" t="s">
        <v>744</v>
      </c>
      <c r="H3" s="18" t="s">
        <v>758</v>
      </c>
      <c r="I3" s="18" t="s">
        <v>161</v>
      </c>
      <c r="J3" s="19" t="s">
        <v>15</v>
      </c>
      <c r="K3" s="19" t="s">
        <v>16</v>
      </c>
      <c r="L3" s="19" t="s">
        <v>157</v>
      </c>
      <c r="M3" s="19" t="s">
        <v>158</v>
      </c>
      <c r="N3" s="18" t="s">
        <v>182</v>
      </c>
      <c r="O3" s="18" t="s">
        <v>1638</v>
      </c>
      <c r="P3" s="20" t="s">
        <v>594</v>
      </c>
      <c r="Q3" s="20" t="s">
        <v>163</v>
      </c>
      <c r="R3" s="20" t="s">
        <v>162</v>
      </c>
    </row>
    <row r="4" spans="1:18" x14ac:dyDescent="0.3">
      <c r="A4" s="14">
        <v>64</v>
      </c>
      <c r="B4" s="1" t="s">
        <v>2757</v>
      </c>
      <c r="C4" s="1" t="s">
        <v>2</v>
      </c>
      <c r="D4" s="1" t="s">
        <v>2842</v>
      </c>
      <c r="E4" s="1" t="s">
        <v>882</v>
      </c>
      <c r="F4" s="21"/>
      <c r="G4" s="14">
        <v>0</v>
      </c>
      <c r="H4" s="14">
        <v>0</v>
      </c>
      <c r="I4" s="25">
        <v>217</v>
      </c>
      <c r="J4" s="23">
        <f>VLOOKUP(I4,episodes!$A$1:$B$76,2,FALSE)</f>
        <v>47</v>
      </c>
      <c r="K4" s="16" t="str">
        <f>VLOOKUP(I4,episodes!$A$1:$E$81,5,FALSE)</f>
        <v>A Piece of the Action</v>
      </c>
      <c r="L4" s="16">
        <f>VLOOKUP(I4,episodes!$A$1:$D$81,3,FALSE)</f>
        <v>2</v>
      </c>
      <c r="M4" s="16">
        <f>VLOOKUP(I4,episodes!$A$1:$D$81,4,FALSE)</f>
        <v>17</v>
      </c>
      <c r="O4" s="14">
        <v>1</v>
      </c>
      <c r="P4" s="24">
        <f>LEN(E4)+LEN(K4)</f>
        <v>56</v>
      </c>
      <c r="Q4" s="24">
        <f>COUNTIFS(B:B,B6)</f>
        <v>1</v>
      </c>
      <c r="R4" s="24">
        <f>COUNTIFS(D:D,D7)</f>
        <v>13</v>
      </c>
    </row>
    <row r="5" spans="1:18" x14ac:dyDescent="0.3">
      <c r="A5" s="14">
        <v>26</v>
      </c>
      <c r="B5" s="1" t="s">
        <v>2757</v>
      </c>
      <c r="C5" s="1" t="s">
        <v>2</v>
      </c>
      <c r="D5" s="1" t="s">
        <v>2842</v>
      </c>
      <c r="E5" s="1" t="s">
        <v>852</v>
      </c>
      <c r="F5" s="21"/>
      <c r="G5" s="14">
        <v>0</v>
      </c>
      <c r="H5" s="14">
        <v>0</v>
      </c>
      <c r="I5" s="22">
        <v>126</v>
      </c>
      <c r="J5" s="23">
        <f>VLOOKUP(I5,episodes!$A$1:$B$76,2,FALSE)</f>
        <v>27</v>
      </c>
      <c r="K5" s="16" t="str">
        <f>VLOOKUP(I5,episodes!$A$1:$E$81,5,FALSE)</f>
        <v>Errand of Mercy</v>
      </c>
      <c r="L5" s="16">
        <f>VLOOKUP(I5,episodes!$A$1:$D$81,3,FALSE)</f>
        <v>1</v>
      </c>
      <c r="M5" s="16">
        <f>VLOOKUP(I5,episodes!$A$1:$D$81,4,FALSE)</f>
        <v>26</v>
      </c>
      <c r="O5" s="14">
        <v>1</v>
      </c>
      <c r="P5" s="24">
        <f>LEN(E5)+LEN(K5)</f>
        <v>65</v>
      </c>
      <c r="Q5" s="24">
        <f>COUNTIFS(B:B,B4)</f>
        <v>4</v>
      </c>
      <c r="R5" s="24">
        <f>COUNTIFS(D:D,D5)</f>
        <v>13</v>
      </c>
    </row>
    <row r="6" spans="1:18" x14ac:dyDescent="0.3">
      <c r="A6" s="14">
        <v>11</v>
      </c>
      <c r="B6" s="21" t="s">
        <v>2390</v>
      </c>
      <c r="C6" s="21" t="s">
        <v>2</v>
      </c>
      <c r="D6" s="1" t="s">
        <v>2842</v>
      </c>
      <c r="E6" s="1" t="s">
        <v>495</v>
      </c>
      <c r="F6" s="21"/>
      <c r="G6" s="14">
        <v>0</v>
      </c>
      <c r="H6" s="14">
        <v>0</v>
      </c>
      <c r="I6" s="22">
        <v>114</v>
      </c>
      <c r="J6" s="23">
        <f>VLOOKUP(I6,episodes!$A$1:$B$76,2,FALSE)</f>
        <v>15</v>
      </c>
      <c r="K6" s="16" t="str">
        <f>VLOOKUP(I6,episodes!$A$1:$E$81,5,FALSE)</f>
        <v>Balance of Terror</v>
      </c>
      <c r="L6" s="16">
        <f>VLOOKUP(I6,episodes!$A$1:$D$81,3,FALSE)</f>
        <v>1</v>
      </c>
      <c r="M6" s="16">
        <f>VLOOKUP(I6,episodes!$A$1:$D$81,4,FALSE)</f>
        <v>14</v>
      </c>
      <c r="O6" s="14">
        <v>1</v>
      </c>
      <c r="P6" s="24">
        <f>LEN(E6)+LEN(K6)</f>
        <v>67</v>
      </c>
      <c r="Q6" s="24">
        <f>COUNTIFS(B:B,B5)</f>
        <v>4</v>
      </c>
      <c r="R6" s="24">
        <f>COUNTIFS(D:D,D6)</f>
        <v>13</v>
      </c>
    </row>
    <row r="7" spans="1:18" x14ac:dyDescent="0.3">
      <c r="A7" s="14">
        <v>9</v>
      </c>
      <c r="B7" s="21" t="s">
        <v>362</v>
      </c>
      <c r="C7" s="21" t="s">
        <v>2</v>
      </c>
      <c r="D7" s="1" t="s">
        <v>2842</v>
      </c>
      <c r="E7" s="1" t="s">
        <v>1257</v>
      </c>
      <c r="F7" s="21"/>
      <c r="G7" s="14">
        <v>0</v>
      </c>
      <c r="H7" s="14">
        <v>0</v>
      </c>
      <c r="I7" s="22">
        <v>110</v>
      </c>
      <c r="J7" s="23">
        <f>VLOOKUP(I7,episodes!$A$1:$B$76,2,FALSE)</f>
        <v>11</v>
      </c>
      <c r="K7" s="16" t="str">
        <f>VLOOKUP(I7,episodes!$A$1:$E$81,5,FALSE)</f>
        <v>The Corbomite Maneuver</v>
      </c>
      <c r="L7" s="16">
        <f>VLOOKUP(I7,episodes!$A$1:$D$81,3,FALSE)</f>
        <v>1</v>
      </c>
      <c r="M7" s="16">
        <f>VLOOKUP(I7,episodes!$A$1:$D$81,4,FALSE)</f>
        <v>10</v>
      </c>
      <c r="O7" s="14">
        <v>1</v>
      </c>
      <c r="P7" s="24">
        <f>LEN(E7)+LEN(K7)</f>
        <v>113</v>
      </c>
      <c r="Q7" s="24">
        <f>COUNTIFS(B:B,B6)</f>
        <v>1</v>
      </c>
      <c r="R7" s="24">
        <f>COUNTIFS(D:D,D7)</f>
        <v>13</v>
      </c>
    </row>
    <row r="8" spans="1:18" x14ac:dyDescent="0.3">
      <c r="A8" s="14">
        <v>72</v>
      </c>
      <c r="B8" s="21" t="s">
        <v>362</v>
      </c>
      <c r="C8" s="21" t="s">
        <v>2</v>
      </c>
      <c r="D8" s="1" t="s">
        <v>2842</v>
      </c>
      <c r="E8" s="1" t="s">
        <v>2202</v>
      </c>
      <c r="F8" s="21"/>
      <c r="G8" s="14">
        <v>0</v>
      </c>
      <c r="H8" s="14">
        <v>0</v>
      </c>
      <c r="I8" s="22">
        <v>315</v>
      </c>
      <c r="J8" s="23">
        <f>VLOOKUP(I8,episodes!$A$1:$B$81,2,FALSE)</f>
        <v>71</v>
      </c>
      <c r="K8" s="16" t="str">
        <f>VLOOKUP(I8,episodes!$A$1:$E$81,5,FALSE)</f>
        <v>Let That Be Your Last Battlefield</v>
      </c>
      <c r="L8" s="16">
        <f>VLOOKUP(I8,episodes!$A$1:$D$81,3,FALSE)</f>
        <v>3</v>
      </c>
      <c r="M8" s="16">
        <f>VLOOKUP(I8,episodes!$A$1:$D$81,4,FALSE)</f>
        <v>15</v>
      </c>
      <c r="O8" s="14">
        <v>1</v>
      </c>
      <c r="P8" s="24">
        <f>LEN(E8)+LEN(K8)</f>
        <v>124</v>
      </c>
      <c r="Q8" s="24">
        <f>COUNTIFS(B:B,B10)</f>
        <v>6</v>
      </c>
      <c r="R8" s="24">
        <f>COUNTIFS(D:D,#REF!)</f>
        <v>0</v>
      </c>
    </row>
    <row r="9" spans="1:18" x14ac:dyDescent="0.3">
      <c r="A9" s="14">
        <v>74</v>
      </c>
      <c r="B9" s="21" t="s">
        <v>362</v>
      </c>
      <c r="C9" s="21" t="s">
        <v>2</v>
      </c>
      <c r="D9" s="1" t="s">
        <v>2842</v>
      </c>
      <c r="E9" s="1" t="s">
        <v>1632</v>
      </c>
      <c r="F9" s="21"/>
      <c r="G9" s="14">
        <v>0</v>
      </c>
      <c r="H9" s="14">
        <v>0</v>
      </c>
      <c r="I9" s="22">
        <v>321</v>
      </c>
      <c r="J9" s="23">
        <f>VLOOKUP(I9,episodes!$A$1:$B$81,2,FALSE)</f>
        <v>77</v>
      </c>
      <c r="K9" s="16" t="str">
        <f>VLOOKUP(I9,episodes!$A$1:$E$81,5,FALSE)</f>
        <v>The Cloud Minders</v>
      </c>
      <c r="L9" s="16">
        <f>VLOOKUP(I9,episodes!$A$1:$D$81,3,FALSE)</f>
        <v>3</v>
      </c>
      <c r="M9" s="16">
        <f>VLOOKUP(I9,episodes!$A$1:$D$81,4,FALSE)</f>
        <v>21</v>
      </c>
      <c r="O9" s="14">
        <v>1</v>
      </c>
      <c r="P9" s="24">
        <f>LEN(E9)+LEN(K9)</f>
        <v>66</v>
      </c>
      <c r="Q9" s="24">
        <f>COUNTIFS(B:B,#REF!)</f>
        <v>0</v>
      </c>
      <c r="R9" s="24">
        <f>COUNTIFS(D:D,D11)</f>
        <v>13</v>
      </c>
    </row>
    <row r="10" spans="1:18" x14ac:dyDescent="0.3">
      <c r="A10" s="14">
        <v>61</v>
      </c>
      <c r="B10" s="21" t="s">
        <v>362</v>
      </c>
      <c r="C10" s="21" t="s">
        <v>2</v>
      </c>
      <c r="D10" s="1" t="s">
        <v>2842</v>
      </c>
      <c r="E10" s="1" t="s">
        <v>2204</v>
      </c>
      <c r="F10" s="21"/>
      <c r="G10" s="14">
        <v>0</v>
      </c>
      <c r="H10" s="14">
        <v>0</v>
      </c>
      <c r="I10" s="22">
        <v>210</v>
      </c>
      <c r="J10" s="23">
        <f>VLOOKUP(I10,episodes!$A$1:$B$81,2,FALSE)</f>
        <v>40</v>
      </c>
      <c r="K10" s="16" t="str">
        <f>VLOOKUP(I10,episodes!$A$1:$E$81,5,FALSE)</f>
        <v>Journey to Babel</v>
      </c>
      <c r="L10" s="16">
        <f>VLOOKUP(I10,episodes!$A$1:$D$81,3,FALSE)</f>
        <v>2</v>
      </c>
      <c r="M10" s="16">
        <f>VLOOKUP(I10,episodes!$A$1:$D$81,4,FALSE)</f>
        <v>10</v>
      </c>
      <c r="O10" s="14">
        <v>1</v>
      </c>
      <c r="P10" s="24">
        <f>LEN(E10)+LEN(K10)</f>
        <v>230</v>
      </c>
      <c r="Q10" s="24">
        <f>COUNTIFS(B:B,B9)</f>
        <v>6</v>
      </c>
      <c r="R10" s="24">
        <f>COUNTIFS(D:D,D10)</f>
        <v>13</v>
      </c>
    </row>
    <row r="11" spans="1:18" s="5" customFormat="1" x14ac:dyDescent="0.25">
      <c r="A11" s="14">
        <v>1803</v>
      </c>
      <c r="B11" s="1" t="s">
        <v>272</v>
      </c>
      <c r="C11" s="21" t="s">
        <v>2</v>
      </c>
      <c r="D11" s="21" t="s">
        <v>2842</v>
      </c>
      <c r="E11" s="1" t="s">
        <v>2855</v>
      </c>
      <c r="F11" s="21"/>
      <c r="G11" s="14">
        <v>0</v>
      </c>
      <c r="H11" s="14">
        <v>0</v>
      </c>
      <c r="I11" s="26">
        <v>126</v>
      </c>
      <c r="J11" s="23">
        <f>VLOOKUP(I11,episodes!$A$1:$B$76,2,FALSE)</f>
        <v>27</v>
      </c>
      <c r="K11" s="16" t="str">
        <f>VLOOKUP(I11,episodes!$A$1:$E$81,5,FALSE)</f>
        <v>Errand of Mercy</v>
      </c>
      <c r="L11" s="16">
        <f>VLOOKUP(I11,episodes!$A$1:$D$81,3,FALSE)</f>
        <v>1</v>
      </c>
      <c r="M11" s="16">
        <f>VLOOKUP(I11,episodes!$A$1:$D$81,4,FALSE)</f>
        <v>26</v>
      </c>
      <c r="N11" s="14"/>
      <c r="O11" s="14">
        <v>1</v>
      </c>
      <c r="P11" s="24">
        <f>LEN(E11)+LEN(K11)</f>
        <v>131</v>
      </c>
      <c r="Q11" s="24">
        <f>COUNTIFS(B:B,#REF!)</f>
        <v>0</v>
      </c>
      <c r="R11" s="24">
        <f>COUNTIFS(D:D,D11)</f>
        <v>13</v>
      </c>
    </row>
    <row r="12" spans="1:18" s="5" customFormat="1" x14ac:dyDescent="0.25">
      <c r="A12" s="14">
        <v>375</v>
      </c>
      <c r="B12" s="21" t="s">
        <v>62</v>
      </c>
      <c r="C12" s="21" t="s">
        <v>2</v>
      </c>
      <c r="D12" s="21" t="s">
        <v>2842</v>
      </c>
      <c r="E12" s="1" t="s">
        <v>2087</v>
      </c>
      <c r="F12" s="21"/>
      <c r="G12" s="14">
        <v>0</v>
      </c>
      <c r="H12" s="14">
        <v>0</v>
      </c>
      <c r="I12" s="22">
        <v>217</v>
      </c>
      <c r="J12" s="23">
        <f>VLOOKUP(I12,episodes!$A$1:$B$81,2,FALSE)</f>
        <v>47</v>
      </c>
      <c r="K12" s="16" t="str">
        <f>VLOOKUP(I12,episodes!$A$1:$E$81,5,FALSE)</f>
        <v>A Piece of the Action</v>
      </c>
      <c r="L12" s="16">
        <f>VLOOKUP(I12,episodes!$A$1:$D$81,3,FALSE)</f>
        <v>2</v>
      </c>
      <c r="M12" s="16">
        <f>VLOOKUP(I12,episodes!$A$1:$D$81,4,FALSE)</f>
        <v>17</v>
      </c>
      <c r="N12" s="14"/>
      <c r="O12" s="14">
        <v>1</v>
      </c>
      <c r="P12" s="24">
        <f>LEN(E12)+LEN(K12)</f>
        <v>111</v>
      </c>
      <c r="Q12" s="24">
        <f>COUNTIFS(B:B,B14)</f>
        <v>4</v>
      </c>
      <c r="R12" s="24">
        <f>COUNTIFS(D:D,D15)</f>
        <v>13</v>
      </c>
    </row>
    <row r="13" spans="1:18" s="5" customFormat="1" x14ac:dyDescent="0.25">
      <c r="A13" s="14">
        <v>2707</v>
      </c>
      <c r="B13" s="1" t="s">
        <v>2757</v>
      </c>
      <c r="C13" s="1" t="s">
        <v>2</v>
      </c>
      <c r="D13" s="1" t="s">
        <v>2842</v>
      </c>
      <c r="E13" s="1" t="s">
        <v>1538</v>
      </c>
      <c r="F13" s="21"/>
      <c r="G13" s="14">
        <v>0</v>
      </c>
      <c r="H13" s="14">
        <v>0</v>
      </c>
      <c r="I13" s="25">
        <v>100</v>
      </c>
      <c r="J13" s="23">
        <f>VLOOKUP(I13,episodes!$A$1:$B$76,2,FALSE)</f>
        <v>1</v>
      </c>
      <c r="K13" s="16" t="str">
        <f>VLOOKUP(I13,episodes!$A$1:$E$81,5,FALSE)</f>
        <v>The Cage</v>
      </c>
      <c r="L13" s="16">
        <f>VLOOKUP(I13,episodes!$A$1:$D$81,3,FALSE)</f>
        <v>1</v>
      </c>
      <c r="M13" s="16">
        <f>VLOOKUP(I13,episodes!$A$1:$D$81,4,FALSE)</f>
        <v>0</v>
      </c>
      <c r="N13" s="14"/>
      <c r="O13" s="14">
        <v>1</v>
      </c>
      <c r="P13" s="24">
        <f>LEN(E13)+LEN(K13)</f>
        <v>76</v>
      </c>
      <c r="Q13" s="24">
        <f>COUNTIFS(B:B,B12)</f>
        <v>1</v>
      </c>
      <c r="R13" s="24">
        <f>COUNTIFS(D:D,D13)</f>
        <v>13</v>
      </c>
    </row>
    <row r="14" spans="1:18" s="5" customFormat="1" x14ac:dyDescent="0.25">
      <c r="A14" s="14">
        <v>40</v>
      </c>
      <c r="B14" s="1" t="s">
        <v>2757</v>
      </c>
      <c r="C14" s="21" t="s">
        <v>2</v>
      </c>
      <c r="D14" s="1" t="s">
        <v>2842</v>
      </c>
      <c r="E14" s="1" t="s">
        <v>2179</v>
      </c>
      <c r="F14" s="21"/>
      <c r="G14" s="14">
        <v>0</v>
      </c>
      <c r="H14" s="14">
        <v>0</v>
      </c>
      <c r="I14" s="25">
        <v>204</v>
      </c>
      <c r="J14" s="23">
        <f>VLOOKUP(I14,episodes!$A$1:$B$81,2,FALSE)</f>
        <v>34</v>
      </c>
      <c r="K14" s="16" t="str">
        <f>VLOOKUP(I14,episodes!$A$1:$E$81,5,FALSE)</f>
        <v>Mirror, Mirror</v>
      </c>
      <c r="L14" s="16">
        <f>VLOOKUP(I14,episodes!$A$1:$D$81,3,FALSE)</f>
        <v>2</v>
      </c>
      <c r="M14" s="16">
        <f>VLOOKUP(I14,episodes!$A$1:$D$81,4,FALSE)</f>
        <v>4</v>
      </c>
      <c r="N14" s="14"/>
      <c r="O14" s="14">
        <v>1</v>
      </c>
      <c r="P14" s="24">
        <f>LEN(E14)+LEN(K14)</f>
        <v>191</v>
      </c>
      <c r="Q14" s="24">
        <f>COUNTIFS(B:B,B13)</f>
        <v>4</v>
      </c>
      <c r="R14" s="24">
        <f>COUNTIFS(D:D,D14)</f>
        <v>13</v>
      </c>
    </row>
    <row r="15" spans="1:18" s="5" customFormat="1" x14ac:dyDescent="0.25">
      <c r="A15" s="14">
        <v>75</v>
      </c>
      <c r="B15" s="21" t="s">
        <v>362</v>
      </c>
      <c r="C15" s="21" t="s">
        <v>2</v>
      </c>
      <c r="D15" s="1" t="s">
        <v>2842</v>
      </c>
      <c r="E15" s="1" t="s">
        <v>1428</v>
      </c>
      <c r="F15" s="21"/>
      <c r="G15" s="14">
        <v>0</v>
      </c>
      <c r="H15" s="14">
        <v>0</v>
      </c>
      <c r="I15" s="22">
        <v>322</v>
      </c>
      <c r="J15" s="23">
        <f>VLOOKUP(I15,episodes!$A$1:$B$81,2,FALSE)</f>
        <v>78</v>
      </c>
      <c r="K15" s="16" t="str">
        <f>VLOOKUP(I15,episodes!$A$1:$E$81,5,FALSE)</f>
        <v>The Savage Curtain</v>
      </c>
      <c r="L15" s="16">
        <f>VLOOKUP(I15,episodes!$A$1:$D$81,3,FALSE)</f>
        <v>3</v>
      </c>
      <c r="M15" s="16">
        <f>VLOOKUP(I15,episodes!$A$1:$D$81,4,FALSE)</f>
        <v>22</v>
      </c>
      <c r="N15" s="14"/>
      <c r="O15" s="14">
        <v>1</v>
      </c>
      <c r="P15" s="24">
        <f>LEN(E15)+LEN(K15)</f>
        <v>157</v>
      </c>
      <c r="Q15" s="24">
        <f>COUNTIFS(B:B,B17)</f>
        <v>7</v>
      </c>
      <c r="R15" s="24">
        <f>COUNTIFS(D:D,D18)</f>
        <v>9</v>
      </c>
    </row>
    <row r="16" spans="1:18" s="5" customFormat="1" x14ac:dyDescent="0.25">
      <c r="A16" s="14">
        <v>67</v>
      </c>
      <c r="B16" s="21" t="s">
        <v>362</v>
      </c>
      <c r="C16" s="21" t="s">
        <v>2</v>
      </c>
      <c r="D16" s="1" t="s">
        <v>2842</v>
      </c>
      <c r="E16" s="1" t="s">
        <v>65</v>
      </c>
      <c r="F16" s="21"/>
      <c r="G16" s="14">
        <v>0</v>
      </c>
      <c r="H16" s="14">
        <v>0</v>
      </c>
      <c r="I16" s="22">
        <v>302</v>
      </c>
      <c r="J16" s="23">
        <f>VLOOKUP(I16,episodes!$A$1:$B$81,2,FALSE)</f>
        <v>58</v>
      </c>
      <c r="K16" s="16" t="str">
        <f>VLOOKUP(I16,episodes!$A$1:$E$81,5,FALSE)</f>
        <v>The Enterprise Incident</v>
      </c>
      <c r="L16" s="16">
        <f>VLOOKUP(I16,episodes!$A$1:$D$81,3,FALSE)</f>
        <v>3</v>
      </c>
      <c r="M16" s="16">
        <f>VLOOKUP(I16,episodes!$A$1:$D$81,4,FALSE)</f>
        <v>2</v>
      </c>
      <c r="N16" s="14"/>
      <c r="O16" s="14">
        <v>1</v>
      </c>
      <c r="P16" s="24">
        <f>LEN(E16)+LEN(K16)</f>
        <v>141</v>
      </c>
      <c r="Q16" s="24">
        <f>COUNTIFS(B:B,B18)</f>
        <v>5</v>
      </c>
      <c r="R16" s="24">
        <f>COUNTIFS(D:D,D19)</f>
        <v>9</v>
      </c>
    </row>
    <row r="17" spans="1:18" s="5" customFormat="1" x14ac:dyDescent="0.25">
      <c r="A17" s="14">
        <v>20</v>
      </c>
      <c r="B17" s="21" t="s">
        <v>351</v>
      </c>
      <c r="C17" s="21" t="s">
        <v>2</v>
      </c>
      <c r="D17" s="21" t="s">
        <v>2845</v>
      </c>
      <c r="E17" s="1" t="s">
        <v>608</v>
      </c>
      <c r="F17" s="21"/>
      <c r="G17" s="14">
        <v>0</v>
      </c>
      <c r="H17" s="14">
        <v>0</v>
      </c>
      <c r="I17" s="22">
        <v>117</v>
      </c>
      <c r="J17" s="23">
        <f>VLOOKUP(I17,episodes!$A$1:$B$76,2,FALSE)</f>
        <v>18</v>
      </c>
      <c r="K17" s="16" t="str">
        <f>VLOOKUP(I17,episodes!$A$1:$E$81,5,FALSE)</f>
        <v>The Squire of Gothos</v>
      </c>
      <c r="L17" s="16">
        <f>VLOOKUP(I17,episodes!$A$1:$D$81,3,FALSE)</f>
        <v>1</v>
      </c>
      <c r="M17" s="16">
        <f>VLOOKUP(I17,episodes!$A$1:$D$81,4,FALSE)</f>
        <v>17</v>
      </c>
      <c r="N17" s="14"/>
      <c r="O17" s="14">
        <v>1</v>
      </c>
      <c r="P17" s="24">
        <f>LEN(E17)+LEN(K17)</f>
        <v>69</v>
      </c>
      <c r="Q17" s="24">
        <f>COUNTIFS(B:B,B16)</f>
        <v>6</v>
      </c>
      <c r="R17" s="24">
        <f>COUNTIFS(D:D,D17)</f>
        <v>9</v>
      </c>
    </row>
    <row r="18" spans="1:18" s="5" customFormat="1" x14ac:dyDescent="0.25">
      <c r="A18" s="14">
        <v>1742</v>
      </c>
      <c r="B18" s="1" t="s">
        <v>271</v>
      </c>
      <c r="C18" s="21" t="s">
        <v>2</v>
      </c>
      <c r="D18" s="21" t="s">
        <v>2845</v>
      </c>
      <c r="E18" s="1" t="s">
        <v>682</v>
      </c>
      <c r="F18" s="21"/>
      <c r="G18" s="14">
        <v>0</v>
      </c>
      <c r="H18" s="14">
        <v>0</v>
      </c>
      <c r="I18" s="22">
        <v>118</v>
      </c>
      <c r="J18" s="23">
        <f>VLOOKUP(I18,episodes!$A$1:$B$76,2,FALSE)</f>
        <v>19</v>
      </c>
      <c r="K18" s="16" t="str">
        <f>VLOOKUP(I18,episodes!$A$1:$E$81,5,FALSE)</f>
        <v>Arena</v>
      </c>
      <c r="L18" s="16">
        <f>VLOOKUP(I18,episodes!$A$1:$D$81,3,FALSE)</f>
        <v>1</v>
      </c>
      <c r="M18" s="16">
        <f>VLOOKUP(I18,episodes!$A$1:$D$81,4,FALSE)</f>
        <v>18</v>
      </c>
      <c r="N18" s="14"/>
      <c r="O18" s="14">
        <v>1</v>
      </c>
      <c r="P18" s="24">
        <f>LEN(E18)+LEN(K18)</f>
        <v>81</v>
      </c>
      <c r="Q18" s="24">
        <f>COUNTIFS(B:B,B17)</f>
        <v>7</v>
      </c>
      <c r="R18" s="24">
        <f>COUNTIFS(D:D,D18)</f>
        <v>9</v>
      </c>
    </row>
    <row r="19" spans="1:18" s="5" customFormat="1" x14ac:dyDescent="0.25">
      <c r="A19" s="14">
        <v>1802</v>
      </c>
      <c r="B19" s="1" t="s">
        <v>271</v>
      </c>
      <c r="C19" s="21" t="s">
        <v>2</v>
      </c>
      <c r="D19" s="21" t="s">
        <v>2845</v>
      </c>
      <c r="E19" s="1" t="s">
        <v>414</v>
      </c>
      <c r="F19" s="21"/>
      <c r="G19" s="14">
        <v>0</v>
      </c>
      <c r="H19" s="14">
        <v>0</v>
      </c>
      <c r="I19" s="22">
        <v>126</v>
      </c>
      <c r="J19" s="23">
        <f>VLOOKUP(I19,episodes!$A$1:$B$76,2,FALSE)</f>
        <v>27</v>
      </c>
      <c r="K19" s="16" t="str">
        <f>VLOOKUP(I19,episodes!$A$1:$E$81,5,FALSE)</f>
        <v>Errand of Mercy</v>
      </c>
      <c r="L19" s="16">
        <f>VLOOKUP(I19,episodes!$A$1:$D$81,3,FALSE)</f>
        <v>1</v>
      </c>
      <c r="M19" s="16">
        <f>VLOOKUP(I19,episodes!$A$1:$D$81,4,FALSE)</f>
        <v>26</v>
      </c>
      <c r="N19" s="14"/>
      <c r="O19" s="14">
        <v>1</v>
      </c>
      <c r="P19" s="24">
        <f>LEN(E19)+LEN(K19)</f>
        <v>54</v>
      </c>
      <c r="Q19" s="24">
        <f>COUNTIFS(B:B,B17)</f>
        <v>7</v>
      </c>
      <c r="R19" s="24">
        <f>COUNTIFS(D:D,D19)</f>
        <v>9</v>
      </c>
    </row>
    <row r="20" spans="1:18" s="5" customFormat="1" x14ac:dyDescent="0.25">
      <c r="A20" s="14">
        <v>45</v>
      </c>
      <c r="B20" s="1" t="s">
        <v>271</v>
      </c>
      <c r="C20" s="21" t="s">
        <v>2</v>
      </c>
      <c r="D20" s="21" t="s">
        <v>2845</v>
      </c>
      <c r="E20" s="1" t="s">
        <v>1047</v>
      </c>
      <c r="F20" s="21"/>
      <c r="G20" s="14">
        <v>0</v>
      </c>
      <c r="H20" s="14">
        <v>0</v>
      </c>
      <c r="I20" s="14">
        <v>209</v>
      </c>
      <c r="J20" s="23">
        <f>VLOOKUP(I20,episodes!$A$1:$B$81,2,FALSE)</f>
        <v>39</v>
      </c>
      <c r="K20" s="16" t="str">
        <f>VLOOKUP(I20,episodes!$A$1:$E$81,5,FALSE)</f>
        <v>Metamorphosis</v>
      </c>
      <c r="L20" s="16">
        <f>VLOOKUP(I20,episodes!$A$1:$D$81,3,FALSE)</f>
        <v>2</v>
      </c>
      <c r="M20" s="16">
        <f>VLOOKUP(I20,episodes!$A$1:$D$81,4,FALSE)</f>
        <v>9</v>
      </c>
      <c r="N20" s="14"/>
      <c r="O20" s="14">
        <v>1</v>
      </c>
      <c r="P20" s="24">
        <f>LEN(E20)+LEN(K20)</f>
        <v>45</v>
      </c>
      <c r="Q20" s="24">
        <f>COUNTIFS(B:B,B19)</f>
        <v>5</v>
      </c>
      <c r="R20" s="24">
        <f>COUNTIFS(D:D,D20)</f>
        <v>9</v>
      </c>
    </row>
    <row r="21" spans="1:18" s="5" customFormat="1" x14ac:dyDescent="0.25">
      <c r="A21" s="14">
        <v>46</v>
      </c>
      <c r="B21" s="1" t="s">
        <v>271</v>
      </c>
      <c r="C21" s="21" t="s">
        <v>2</v>
      </c>
      <c r="D21" s="21" t="s">
        <v>2845</v>
      </c>
      <c r="E21" s="1" t="s">
        <v>1042</v>
      </c>
      <c r="F21" s="21"/>
      <c r="G21" s="14">
        <v>0</v>
      </c>
      <c r="H21" s="14">
        <v>0</v>
      </c>
      <c r="I21" s="14">
        <v>209</v>
      </c>
      <c r="J21" s="23">
        <f>VLOOKUP(I21,episodes!$A$1:$B$81,2,FALSE)</f>
        <v>39</v>
      </c>
      <c r="K21" s="16" t="str">
        <f>VLOOKUP(I21,episodes!$A$1:$E$81,5,FALSE)</f>
        <v>Metamorphosis</v>
      </c>
      <c r="L21" s="16">
        <f>VLOOKUP(I21,episodes!$A$1:$D$81,3,FALSE)</f>
        <v>2</v>
      </c>
      <c r="M21" s="16">
        <f>VLOOKUP(I21,episodes!$A$1:$D$81,4,FALSE)</f>
        <v>9</v>
      </c>
      <c r="N21" s="14"/>
      <c r="O21" s="14">
        <v>1</v>
      </c>
      <c r="P21" s="24">
        <f>LEN(E21)+LEN(K21)</f>
        <v>63</v>
      </c>
      <c r="Q21" s="24">
        <f>COUNTIFS(B:B,B20)</f>
        <v>5</v>
      </c>
      <c r="R21" s="24">
        <f>COUNTIFS(D:D,D21)</f>
        <v>9</v>
      </c>
    </row>
    <row r="22" spans="1:18" s="5" customFormat="1" x14ac:dyDescent="0.25">
      <c r="A22" s="14">
        <v>23</v>
      </c>
      <c r="B22" s="21" t="s">
        <v>351</v>
      </c>
      <c r="C22" s="21" t="s">
        <v>2</v>
      </c>
      <c r="D22" s="21" t="s">
        <v>2845</v>
      </c>
      <c r="E22" s="1" t="s">
        <v>613</v>
      </c>
      <c r="F22" s="21"/>
      <c r="G22" s="14">
        <v>0</v>
      </c>
      <c r="H22" s="14">
        <v>0</v>
      </c>
      <c r="I22" s="22">
        <v>118</v>
      </c>
      <c r="J22" s="23">
        <f>VLOOKUP(I22,episodes!$A$1:$B$76,2,FALSE)</f>
        <v>19</v>
      </c>
      <c r="K22" s="16" t="str">
        <f>VLOOKUP(I22,episodes!$A$1:$E$81,5,FALSE)</f>
        <v>Arena</v>
      </c>
      <c r="L22" s="16">
        <f>VLOOKUP(I22,episodes!$A$1:$D$81,3,FALSE)</f>
        <v>1</v>
      </c>
      <c r="M22" s="16">
        <f>VLOOKUP(I22,episodes!$A$1:$D$81,4,FALSE)</f>
        <v>18</v>
      </c>
      <c r="N22" s="14"/>
      <c r="O22" s="14">
        <v>1</v>
      </c>
      <c r="P22" s="24">
        <f>LEN(E22)+LEN(K22)</f>
        <v>57</v>
      </c>
      <c r="Q22" s="24">
        <f>COUNTIFS(B:B,B21)</f>
        <v>5</v>
      </c>
      <c r="R22" s="24">
        <f>COUNTIFS(D:D,D22)</f>
        <v>9</v>
      </c>
    </row>
    <row r="23" spans="1:18" s="5" customFormat="1" x14ac:dyDescent="0.25">
      <c r="A23" s="14">
        <v>28</v>
      </c>
      <c r="B23" s="21" t="s">
        <v>351</v>
      </c>
      <c r="C23" s="21" t="s">
        <v>2</v>
      </c>
      <c r="D23" s="21" t="s">
        <v>2845</v>
      </c>
      <c r="E23" s="1" t="s">
        <v>1673</v>
      </c>
      <c r="F23" s="21"/>
      <c r="G23" s="14">
        <v>0</v>
      </c>
      <c r="H23" s="14">
        <v>0</v>
      </c>
      <c r="I23" s="22">
        <v>126</v>
      </c>
      <c r="J23" s="23">
        <f>VLOOKUP(I23,episodes!$A$1:$B$76,2,FALSE)</f>
        <v>27</v>
      </c>
      <c r="K23" s="16" t="str">
        <f>VLOOKUP(I23,episodes!$A$1:$E$81,5,FALSE)</f>
        <v>Errand of Mercy</v>
      </c>
      <c r="L23" s="16">
        <f>VLOOKUP(I23,episodes!$A$1:$D$81,3,FALSE)</f>
        <v>1</v>
      </c>
      <c r="M23" s="16">
        <f>VLOOKUP(I23,episodes!$A$1:$D$81,4,FALSE)</f>
        <v>26</v>
      </c>
      <c r="N23" s="14"/>
      <c r="O23" s="14">
        <v>1</v>
      </c>
      <c r="P23" s="24">
        <f>LEN(E23)+LEN(K23)</f>
        <v>69</v>
      </c>
      <c r="Q23" s="24">
        <f>COUNTIFS(B:B,B22)</f>
        <v>7</v>
      </c>
      <c r="R23" s="24">
        <f>COUNTIFS(D:D,D23)</f>
        <v>9</v>
      </c>
    </row>
    <row r="24" spans="1:18" s="5" customFormat="1" x14ac:dyDescent="0.25">
      <c r="A24" s="14">
        <v>2493</v>
      </c>
      <c r="B24" s="21" t="s">
        <v>351</v>
      </c>
      <c r="C24" s="21" t="s">
        <v>2</v>
      </c>
      <c r="D24" s="21" t="s">
        <v>2845</v>
      </c>
      <c r="E24" s="1" t="s">
        <v>1472</v>
      </c>
      <c r="F24" s="21"/>
      <c r="G24" s="14">
        <v>0</v>
      </c>
      <c r="H24" s="14">
        <v>0</v>
      </c>
      <c r="I24" s="14">
        <v>102</v>
      </c>
      <c r="J24" s="23">
        <f>VLOOKUP(I24,episodes!$A$1:$B$76,2,FALSE)</f>
        <v>3</v>
      </c>
      <c r="K24" s="16" t="str">
        <f>VLOOKUP(I24,episodes!$A$1:$E$81,5,FALSE)</f>
        <v>Charlie X</v>
      </c>
      <c r="L24" s="16">
        <f>VLOOKUP(I24,episodes!$A$1:$D$81,3,FALSE)</f>
        <v>1</v>
      </c>
      <c r="M24" s="16">
        <f>VLOOKUP(I24,episodes!$A$1:$D$81,4,FALSE)</f>
        <v>2</v>
      </c>
      <c r="N24" s="14"/>
      <c r="O24" s="14">
        <v>1</v>
      </c>
      <c r="P24" s="24">
        <f>LEN(E24)+LEN(K24)</f>
        <v>65</v>
      </c>
      <c r="Q24" s="24">
        <f>COUNTIFS(B:B,B23)</f>
        <v>7</v>
      </c>
      <c r="R24" s="24">
        <f>COUNTIFS(D:D,D24)</f>
        <v>9</v>
      </c>
    </row>
    <row r="25" spans="1:18" s="5" customFormat="1" x14ac:dyDescent="0.25">
      <c r="A25" s="14">
        <v>13</v>
      </c>
      <c r="B25" s="1" t="s">
        <v>271</v>
      </c>
      <c r="C25" s="21" t="s">
        <v>2</v>
      </c>
      <c r="D25" s="21" t="s">
        <v>2845</v>
      </c>
      <c r="E25" s="1" t="s">
        <v>2043</v>
      </c>
      <c r="F25" s="21"/>
      <c r="G25" s="14">
        <v>0</v>
      </c>
      <c r="H25" s="14">
        <v>0</v>
      </c>
      <c r="I25" s="22">
        <v>117</v>
      </c>
      <c r="J25" s="23">
        <f>VLOOKUP(I25,episodes!$A$1:$B$76,2,FALSE)</f>
        <v>18</v>
      </c>
      <c r="K25" s="16" t="str">
        <f>VLOOKUP(I25,episodes!$A$1:$E$81,5,FALSE)</f>
        <v>The Squire of Gothos</v>
      </c>
      <c r="L25" s="16">
        <f>VLOOKUP(I25,episodes!$A$1:$D$81,3,FALSE)</f>
        <v>1</v>
      </c>
      <c r="M25" s="16">
        <f>VLOOKUP(I25,episodes!$A$1:$D$81,4,FALSE)</f>
        <v>17</v>
      </c>
      <c r="N25" s="14"/>
      <c r="O25" s="14">
        <v>1</v>
      </c>
      <c r="P25" s="24">
        <f>LEN(E25)+LEN(K25)</f>
        <v>65</v>
      </c>
      <c r="Q25" s="24">
        <f>COUNTIFS(B:B,B24)</f>
        <v>7</v>
      </c>
      <c r="R25" s="24">
        <f>COUNTIFS(D:D,D25)</f>
        <v>9</v>
      </c>
    </row>
    <row r="26" spans="1:18" s="5" customFormat="1" x14ac:dyDescent="0.25">
      <c r="A26" s="14">
        <v>69</v>
      </c>
      <c r="B26" s="21" t="s">
        <v>330</v>
      </c>
      <c r="C26" s="21" t="s">
        <v>2</v>
      </c>
      <c r="D26" s="1" t="s">
        <v>2843</v>
      </c>
      <c r="E26" s="1" t="s">
        <v>1161</v>
      </c>
      <c r="F26" s="21"/>
      <c r="G26" s="14">
        <v>0</v>
      </c>
      <c r="H26" s="14">
        <v>0</v>
      </c>
      <c r="I26" s="22">
        <v>314</v>
      </c>
      <c r="J26" s="23">
        <f>VLOOKUP(I26,episodes!$A$1:$B$81,2,FALSE)</f>
        <v>70</v>
      </c>
      <c r="K26" s="16" t="str">
        <f>VLOOKUP(I26,episodes!$A$1:$E$81,5,FALSE)</f>
        <v>Whom Gods Destroy</v>
      </c>
      <c r="L26" s="16">
        <f>VLOOKUP(I26,episodes!$A$1:$D$81,3,FALSE)</f>
        <v>3</v>
      </c>
      <c r="M26" s="16">
        <f>VLOOKUP(I26,episodes!$A$1:$D$81,4,FALSE)</f>
        <v>14</v>
      </c>
      <c r="N26" s="14"/>
      <c r="O26" s="14">
        <v>1</v>
      </c>
      <c r="P26" s="24">
        <f>LEN(E26)+LEN(K26)</f>
        <v>66</v>
      </c>
      <c r="Q26" s="24">
        <f>COUNTIFS(B:B,B28)</f>
        <v>5</v>
      </c>
      <c r="R26" s="24">
        <f>COUNTIFS(D:D,D29)</f>
        <v>5</v>
      </c>
    </row>
    <row r="27" spans="1:18" s="5" customFormat="1" x14ac:dyDescent="0.25">
      <c r="A27" s="14">
        <v>54</v>
      </c>
      <c r="B27" s="21" t="s">
        <v>330</v>
      </c>
      <c r="C27" s="1" t="s">
        <v>2</v>
      </c>
      <c r="D27" s="1" t="s">
        <v>2843</v>
      </c>
      <c r="E27" s="1" t="s">
        <v>2847</v>
      </c>
      <c r="F27" s="21"/>
      <c r="G27" s="14">
        <v>0</v>
      </c>
      <c r="H27" s="14">
        <v>0</v>
      </c>
      <c r="I27" s="22">
        <v>210</v>
      </c>
      <c r="J27" s="23">
        <f>VLOOKUP(I27,episodes!$A$1:$B$76,2,FALSE)</f>
        <v>40</v>
      </c>
      <c r="K27" s="16" t="str">
        <f>VLOOKUP(I27,episodes!$A$1:$E$81,5,FALSE)</f>
        <v>Journey to Babel</v>
      </c>
      <c r="L27" s="16">
        <f>VLOOKUP(I27,episodes!$A$1:$D$81,3,FALSE)</f>
        <v>2</v>
      </c>
      <c r="M27" s="16">
        <f>VLOOKUP(I27,episodes!$A$1:$D$81,4,FALSE)</f>
        <v>10</v>
      </c>
      <c r="N27" s="14"/>
      <c r="O27" s="14">
        <v>1</v>
      </c>
      <c r="P27" s="24">
        <f>LEN(E27)+LEN(K27)</f>
        <v>102</v>
      </c>
      <c r="Q27" s="24">
        <f>COUNTIFS(B:B,B26)</f>
        <v>5</v>
      </c>
      <c r="R27" s="24">
        <f>COUNTIFS(D:D,D27)</f>
        <v>5</v>
      </c>
    </row>
    <row r="28" spans="1:18" s="5" customFormat="1" x14ac:dyDescent="0.25">
      <c r="A28" s="14">
        <v>63</v>
      </c>
      <c r="B28" s="21" t="s">
        <v>330</v>
      </c>
      <c r="C28" s="21" t="s">
        <v>2</v>
      </c>
      <c r="D28" s="1" t="s">
        <v>2843</v>
      </c>
      <c r="E28" s="1" t="s">
        <v>880</v>
      </c>
      <c r="F28" s="21"/>
      <c r="G28" s="14">
        <v>0</v>
      </c>
      <c r="H28" s="14">
        <v>0</v>
      </c>
      <c r="I28" s="22">
        <v>216</v>
      </c>
      <c r="J28" s="23">
        <f>VLOOKUP(I28,episodes!$A$1:$B$81,2,FALSE)</f>
        <v>46</v>
      </c>
      <c r="K28" s="16" t="str">
        <f>VLOOKUP(I28,episodes!$A$1:$E$81,5,FALSE)</f>
        <v>The Gamesters of Triskelion</v>
      </c>
      <c r="L28" s="16">
        <f>VLOOKUP(I28,episodes!$A$1:$D$81,3,FALSE)</f>
        <v>2</v>
      </c>
      <c r="M28" s="16">
        <f>VLOOKUP(I28,episodes!$A$1:$D$81,4,FALSE)</f>
        <v>16</v>
      </c>
      <c r="N28" s="14"/>
      <c r="O28" s="14">
        <v>1</v>
      </c>
      <c r="P28" s="24">
        <f>LEN(E28)+LEN(K28)</f>
        <v>59</v>
      </c>
      <c r="Q28" s="24">
        <f>COUNTIFS(B:B,B30)</f>
        <v>5</v>
      </c>
      <c r="R28" s="24">
        <f>COUNTIFS(D:D,D31)</f>
        <v>2</v>
      </c>
    </row>
    <row r="29" spans="1:18" s="5" customFormat="1" x14ac:dyDescent="0.25">
      <c r="A29" s="14">
        <v>53</v>
      </c>
      <c r="B29" s="21" t="s">
        <v>330</v>
      </c>
      <c r="C29" s="1" t="s">
        <v>2</v>
      </c>
      <c r="D29" s="1" t="s">
        <v>2843</v>
      </c>
      <c r="E29" s="1" t="s">
        <v>2846</v>
      </c>
      <c r="F29" s="21"/>
      <c r="G29" s="14">
        <v>0</v>
      </c>
      <c r="H29" s="14">
        <v>0</v>
      </c>
      <c r="I29" s="22">
        <v>210</v>
      </c>
      <c r="J29" s="23">
        <f>VLOOKUP(I29,episodes!$A$1:$B$76,2,FALSE)</f>
        <v>40</v>
      </c>
      <c r="K29" s="16" t="str">
        <f>VLOOKUP(I29,episodes!$A$1:$E$81,5,FALSE)</f>
        <v>Journey to Babel</v>
      </c>
      <c r="L29" s="16">
        <f>VLOOKUP(I29,episodes!$A$1:$D$81,3,FALSE)</f>
        <v>2</v>
      </c>
      <c r="M29" s="16">
        <f>VLOOKUP(I29,episodes!$A$1:$D$81,4,FALSE)</f>
        <v>10</v>
      </c>
      <c r="N29" s="14"/>
      <c r="O29" s="14">
        <v>1</v>
      </c>
      <c r="P29" s="24">
        <f>LEN(E29)+LEN(K29)</f>
        <v>103</v>
      </c>
      <c r="Q29" s="24">
        <f>COUNTIFS(B:B,#REF!)</f>
        <v>0</v>
      </c>
      <c r="R29" s="24">
        <f>COUNTIFS(D:D,D29)</f>
        <v>5</v>
      </c>
    </row>
    <row r="30" spans="1:18" s="5" customFormat="1" x14ac:dyDescent="0.25">
      <c r="A30" s="14">
        <v>73</v>
      </c>
      <c r="B30" s="21" t="s">
        <v>330</v>
      </c>
      <c r="C30" s="21" t="s">
        <v>2</v>
      </c>
      <c r="D30" s="1" t="s">
        <v>2843</v>
      </c>
      <c r="E30" s="1" t="s">
        <v>887</v>
      </c>
      <c r="F30" s="21"/>
      <c r="G30" s="14">
        <v>0</v>
      </c>
      <c r="H30" s="14">
        <v>0</v>
      </c>
      <c r="I30" s="22">
        <v>318</v>
      </c>
      <c r="J30" s="23">
        <f>VLOOKUP(I30,episodes!$A$1:$B$81,2,FALSE)</f>
        <v>74</v>
      </c>
      <c r="K30" s="16" t="str">
        <f>VLOOKUP(I30,episodes!$A$1:$E$81,5,FALSE)</f>
        <v>The Lights of Zetar</v>
      </c>
      <c r="L30" s="16">
        <f>VLOOKUP(I30,episodes!$A$1:$D$81,3,FALSE)</f>
        <v>3</v>
      </c>
      <c r="M30" s="16">
        <f>VLOOKUP(I30,episodes!$A$1:$D$81,4,FALSE)</f>
        <v>18</v>
      </c>
      <c r="N30" s="14"/>
      <c r="O30" s="14">
        <v>1</v>
      </c>
      <c r="P30" s="24">
        <f>LEN(E30)+LEN(K30)</f>
        <v>101</v>
      </c>
      <c r="Q30" s="24">
        <f>COUNTIFS(B:B,B32)</f>
        <v>2</v>
      </c>
      <c r="R30" s="24">
        <f>COUNTIFS(D:D,D33)</f>
        <v>6</v>
      </c>
    </row>
    <row r="31" spans="1:18" s="5" customFormat="1" x14ac:dyDescent="0.25">
      <c r="A31" s="14">
        <v>818</v>
      </c>
      <c r="B31" s="21" t="s">
        <v>740</v>
      </c>
      <c r="C31" s="21" t="s">
        <v>2</v>
      </c>
      <c r="D31" s="21" t="s">
        <v>2895</v>
      </c>
      <c r="E31" s="1" t="s">
        <v>2144</v>
      </c>
      <c r="F31" s="21"/>
      <c r="G31" s="14">
        <v>1</v>
      </c>
      <c r="H31" s="14">
        <v>0</v>
      </c>
      <c r="I31" s="22">
        <v>123</v>
      </c>
      <c r="J31" s="23">
        <f>VLOOKUP(I31,episodes!$A$1:$B$76,2,FALSE)</f>
        <v>24</v>
      </c>
      <c r="K31" s="16" t="str">
        <f>VLOOKUP(I31,episodes!$A$1:$E$81,5,FALSE)</f>
        <v>A Taste of Armageddon</v>
      </c>
      <c r="L31" s="16">
        <f>VLOOKUP(I31,episodes!$A$1:$D$81,3,FALSE)</f>
        <v>1</v>
      </c>
      <c r="M31" s="16">
        <f>VLOOKUP(I31,episodes!$A$1:$D$81,4,FALSE)</f>
        <v>23</v>
      </c>
      <c r="N31" s="14"/>
      <c r="O31" s="14">
        <v>1</v>
      </c>
      <c r="P31" s="24">
        <f>LEN(E31)+LEN(K31)</f>
        <v>101</v>
      </c>
      <c r="Q31" s="24">
        <f>COUNTIFS(B:B,B30)</f>
        <v>5</v>
      </c>
      <c r="R31" s="24">
        <f>COUNTIFS(D:D,D31)</f>
        <v>2</v>
      </c>
    </row>
    <row r="32" spans="1:18" s="5" customFormat="1" x14ac:dyDescent="0.25">
      <c r="A32" s="14">
        <v>795</v>
      </c>
      <c r="B32" s="21" t="s">
        <v>740</v>
      </c>
      <c r="C32" s="21" t="s">
        <v>2</v>
      </c>
      <c r="D32" s="21" t="s">
        <v>2895</v>
      </c>
      <c r="E32" s="1" t="s">
        <v>640</v>
      </c>
      <c r="F32" s="21"/>
      <c r="G32" s="14">
        <v>1</v>
      </c>
      <c r="H32" s="14">
        <v>0</v>
      </c>
      <c r="I32" s="22">
        <v>121</v>
      </c>
      <c r="J32" s="23">
        <f>VLOOKUP(I32,episodes!$A$1:$B$76,2,FALSE)</f>
        <v>22</v>
      </c>
      <c r="K32" s="16" t="str">
        <f>VLOOKUP(I32,episodes!$A$1:$E$81,5,FALSE)</f>
        <v>The Return of the Archons</v>
      </c>
      <c r="L32" s="16">
        <f>VLOOKUP(I32,episodes!$A$1:$D$81,3,FALSE)</f>
        <v>1</v>
      </c>
      <c r="M32" s="16">
        <f>VLOOKUP(I32,episodes!$A$1:$D$81,4,FALSE)</f>
        <v>21</v>
      </c>
      <c r="N32" s="14"/>
      <c r="O32" s="14">
        <v>1</v>
      </c>
      <c r="P32" s="24">
        <f>LEN(E32)+LEN(K32)</f>
        <v>91</v>
      </c>
      <c r="Q32" s="24">
        <f>COUNTIFS(B:B,#REF!)</f>
        <v>0</v>
      </c>
      <c r="R32" s="24">
        <f>COUNTIFS(D:D,D32)</f>
        <v>2</v>
      </c>
    </row>
    <row r="33" spans="1:18" s="5" customFormat="1" x14ac:dyDescent="0.25">
      <c r="A33" s="14">
        <v>7</v>
      </c>
      <c r="B33" s="21" t="s">
        <v>339</v>
      </c>
      <c r="C33" s="21" t="s">
        <v>2</v>
      </c>
      <c r="D33" s="21" t="s">
        <v>2844</v>
      </c>
      <c r="E33" s="1" t="s">
        <v>470</v>
      </c>
      <c r="F33" s="21"/>
      <c r="G33" s="14">
        <v>0</v>
      </c>
      <c r="H33" s="14">
        <v>0</v>
      </c>
      <c r="I33" s="25">
        <v>107</v>
      </c>
      <c r="J33" s="23">
        <f>VLOOKUP(I33,episodes!$A$1:$B$76,2,FALSE)</f>
        <v>8</v>
      </c>
      <c r="K33" s="16" t="str">
        <f>VLOOKUP(I33,episodes!$A$1:$E$81,5,FALSE)</f>
        <v>What Are Little Girls Made Of?</v>
      </c>
      <c r="L33" s="16">
        <f>VLOOKUP(I33,episodes!$A$1:$D$81,3,FALSE)</f>
        <v>1</v>
      </c>
      <c r="M33" s="16">
        <f>VLOOKUP(I33,episodes!$A$1:$D$81,4,FALSE)</f>
        <v>7</v>
      </c>
      <c r="N33" s="14"/>
      <c r="O33" s="14">
        <v>1</v>
      </c>
      <c r="P33" s="24">
        <f>LEN(E33)+LEN(K33)</f>
        <v>116</v>
      </c>
      <c r="Q33" s="24">
        <f>COUNTIFS(B:B,B32)</f>
        <v>2</v>
      </c>
      <c r="R33" s="24">
        <f>COUNTIFS(D:D,D33)</f>
        <v>6</v>
      </c>
    </row>
    <row r="34" spans="1:18" s="5" customFormat="1" x14ac:dyDescent="0.25">
      <c r="A34" s="14">
        <v>2712</v>
      </c>
      <c r="B34" s="21" t="s">
        <v>339</v>
      </c>
      <c r="C34" s="21" t="s">
        <v>2</v>
      </c>
      <c r="D34" s="21" t="s">
        <v>2844</v>
      </c>
      <c r="E34" s="1" t="s">
        <v>1179</v>
      </c>
      <c r="F34" s="21"/>
      <c r="G34" s="14">
        <v>0</v>
      </c>
      <c r="H34" s="14">
        <v>0</v>
      </c>
      <c r="I34" s="25">
        <v>101</v>
      </c>
      <c r="J34" s="23">
        <f>VLOOKUP(I34,episodes!$A$1:$B$76,2,FALSE)</f>
        <v>2</v>
      </c>
      <c r="K34" s="16" t="str">
        <f>VLOOKUP(I34,episodes!$A$1:$E$81,5,FALSE)</f>
        <v>The Man Trap</v>
      </c>
      <c r="L34" s="16">
        <f>VLOOKUP(I34,episodes!$A$1:$D$81,3,FALSE)</f>
        <v>1</v>
      </c>
      <c r="M34" s="16">
        <f>VLOOKUP(I34,episodes!$A$1:$D$81,4,FALSE)</f>
        <v>1</v>
      </c>
      <c r="N34" s="14"/>
      <c r="O34" s="14">
        <v>1</v>
      </c>
      <c r="P34" s="24">
        <f>LEN(E34)+LEN(K34)</f>
        <v>71</v>
      </c>
      <c r="Q34" s="24">
        <f>COUNTIFS(B:B,B33)</f>
        <v>3</v>
      </c>
      <c r="R34" s="24">
        <f>COUNTIFS(D:D,D34)</f>
        <v>6</v>
      </c>
    </row>
    <row r="35" spans="1:18" s="5" customFormat="1" x14ac:dyDescent="0.25">
      <c r="A35" s="14">
        <v>31</v>
      </c>
      <c r="B35" s="21" t="s">
        <v>339</v>
      </c>
      <c r="C35" s="21" t="s">
        <v>2</v>
      </c>
      <c r="D35" s="21" t="s">
        <v>2844</v>
      </c>
      <c r="E35" s="1" t="s">
        <v>733</v>
      </c>
      <c r="F35" s="21"/>
      <c r="G35" s="14">
        <v>0</v>
      </c>
      <c r="H35" s="14">
        <v>0</v>
      </c>
      <c r="I35" s="22">
        <v>128</v>
      </c>
      <c r="J35" s="23">
        <f>VLOOKUP(I35,episodes!$A$1:$B$76,2,FALSE)</f>
        <v>29</v>
      </c>
      <c r="K35" s="16" t="str">
        <f>VLOOKUP(I35,episodes!$A$1:$E$81,5,FALSE)</f>
        <v>The City on the Edge of Forever</v>
      </c>
      <c r="L35" s="16">
        <f>VLOOKUP(I35,episodes!$A$1:$D$81,3,FALSE)</f>
        <v>1</v>
      </c>
      <c r="M35" s="16">
        <f>VLOOKUP(I35,episodes!$A$1:$D$81,4,FALSE)</f>
        <v>28</v>
      </c>
      <c r="N35" s="14"/>
      <c r="O35" s="14">
        <v>1</v>
      </c>
      <c r="P35" s="24">
        <f>LEN(E35)+LEN(K35)</f>
        <v>75</v>
      </c>
      <c r="Q35" s="24">
        <f>COUNTIFS(B:B,B34)</f>
        <v>3</v>
      </c>
      <c r="R35" s="24">
        <f>COUNTIFS(D:D,D35)</f>
        <v>6</v>
      </c>
    </row>
    <row r="36" spans="1:18" s="5" customFormat="1" x14ac:dyDescent="0.25">
      <c r="A36" s="14">
        <v>2478</v>
      </c>
      <c r="B36" s="1" t="s">
        <v>270</v>
      </c>
      <c r="C36" s="21" t="s">
        <v>2</v>
      </c>
      <c r="D36" s="21" t="s">
        <v>2844</v>
      </c>
      <c r="E36" s="1" t="s">
        <v>180</v>
      </c>
      <c r="F36" s="21"/>
      <c r="G36" s="14">
        <v>0</v>
      </c>
      <c r="H36" s="14">
        <v>0</v>
      </c>
      <c r="I36" s="25">
        <v>100</v>
      </c>
      <c r="J36" s="23">
        <f>VLOOKUP(I36,episodes!$A$1:$B$76,2,FALSE)</f>
        <v>1</v>
      </c>
      <c r="K36" s="16" t="str">
        <f>VLOOKUP(I36,episodes!$A$1:$E$81,5,FALSE)</f>
        <v>The Cage</v>
      </c>
      <c r="L36" s="16">
        <f>VLOOKUP(I36,episodes!$A$1:$D$81,3,FALSE)</f>
        <v>1</v>
      </c>
      <c r="M36" s="16">
        <f>VLOOKUP(I36,episodes!$A$1:$D$81,4,FALSE)</f>
        <v>0</v>
      </c>
      <c r="N36" s="14"/>
      <c r="O36" s="14">
        <v>1</v>
      </c>
      <c r="P36" s="24">
        <f>LEN(E36)+LEN(K36)</f>
        <v>17</v>
      </c>
      <c r="Q36" s="24">
        <f>COUNTIFS(B:B,B35)</f>
        <v>3</v>
      </c>
      <c r="R36" s="24">
        <f>COUNTIFS(D:D,D36)</f>
        <v>6</v>
      </c>
    </row>
    <row r="37" spans="1:18" s="5" customFormat="1" x14ac:dyDescent="0.25">
      <c r="A37" s="14">
        <v>8</v>
      </c>
      <c r="B37" s="21" t="s">
        <v>351</v>
      </c>
      <c r="C37" s="21" t="s">
        <v>2</v>
      </c>
      <c r="D37" s="21" t="s">
        <v>2844</v>
      </c>
      <c r="E37" s="1" t="s">
        <v>473</v>
      </c>
      <c r="F37" s="21"/>
      <c r="G37" s="14">
        <v>0</v>
      </c>
      <c r="H37" s="14">
        <v>0</v>
      </c>
      <c r="I37" s="25">
        <v>107</v>
      </c>
      <c r="J37" s="23">
        <f>VLOOKUP(I37,episodes!$A$1:$B$76,2,FALSE)</f>
        <v>8</v>
      </c>
      <c r="K37" s="16" t="str">
        <f>VLOOKUP(I37,episodes!$A$1:$E$81,5,FALSE)</f>
        <v>What Are Little Girls Made Of?</v>
      </c>
      <c r="L37" s="16">
        <f>VLOOKUP(I37,episodes!$A$1:$D$81,3,FALSE)</f>
        <v>1</v>
      </c>
      <c r="M37" s="16">
        <f>VLOOKUP(I37,episodes!$A$1:$D$81,4,FALSE)</f>
        <v>7</v>
      </c>
      <c r="N37" s="14"/>
      <c r="O37" s="14">
        <v>1</v>
      </c>
      <c r="P37" s="24">
        <f>LEN(E37)+LEN(K37)</f>
        <v>93</v>
      </c>
      <c r="Q37" s="24">
        <f>COUNTIFS(B:B,B36)</f>
        <v>1</v>
      </c>
      <c r="R37" s="24">
        <f>COUNTIFS(D:D,D37)</f>
        <v>6</v>
      </c>
    </row>
    <row r="38" spans="1:18" s="5" customFormat="1" x14ac:dyDescent="0.25">
      <c r="A38" s="14">
        <v>12</v>
      </c>
      <c r="B38" s="21" t="s">
        <v>351</v>
      </c>
      <c r="C38" s="21" t="s">
        <v>2</v>
      </c>
      <c r="D38" s="21" t="s">
        <v>2844</v>
      </c>
      <c r="E38" s="1" t="s">
        <v>595</v>
      </c>
      <c r="F38" s="21"/>
      <c r="G38" s="14">
        <v>0</v>
      </c>
      <c r="H38" s="14">
        <v>0</v>
      </c>
      <c r="I38" s="25">
        <v>115</v>
      </c>
      <c r="J38" s="23">
        <f>VLOOKUP(I38,episodes!$A$1:$B$76,2,FALSE)</f>
        <v>16</v>
      </c>
      <c r="K38" s="16" t="str">
        <f>VLOOKUP(I38,episodes!$A$1:$E$81,5,FALSE)</f>
        <v>Shore Leave</v>
      </c>
      <c r="L38" s="16">
        <f>VLOOKUP(I38,episodes!$A$1:$D$81,3,FALSE)</f>
        <v>1</v>
      </c>
      <c r="M38" s="16">
        <f>VLOOKUP(I38,episodes!$A$1:$D$81,4,FALSE)</f>
        <v>15</v>
      </c>
      <c r="N38" s="14"/>
      <c r="O38" s="14">
        <v>1</v>
      </c>
      <c r="P38" s="24">
        <f>LEN(E38)+LEN(K38)</f>
        <v>98</v>
      </c>
      <c r="Q38" s="24">
        <f>COUNTIFS(B:B,B37)</f>
        <v>7</v>
      </c>
      <c r="R38" s="24">
        <f>COUNTIFS(D:D,D38)</f>
        <v>6</v>
      </c>
    </row>
    <row r="39" spans="1:18" s="5" customFormat="1" x14ac:dyDescent="0.25">
      <c r="A39" s="14">
        <v>25</v>
      </c>
      <c r="B39" s="1" t="s">
        <v>303</v>
      </c>
      <c r="C39" s="21" t="s">
        <v>2</v>
      </c>
      <c r="D39" s="21" t="s">
        <v>2841</v>
      </c>
      <c r="E39" s="1" t="s">
        <v>2104</v>
      </c>
      <c r="F39" s="21"/>
      <c r="G39" s="14">
        <v>0</v>
      </c>
      <c r="H39" s="14">
        <v>0</v>
      </c>
      <c r="I39" s="22">
        <v>125</v>
      </c>
      <c r="J39" s="23">
        <f>VLOOKUP(I39,episodes!$A$1:$B$76,2,FALSE)</f>
        <v>26</v>
      </c>
      <c r="K39" s="16" t="str">
        <f>VLOOKUP(I39,episodes!$A$1:$E$81,5,FALSE)</f>
        <v>The Devil in the Dark</v>
      </c>
      <c r="L39" s="16">
        <f>VLOOKUP(I39,episodes!$A$1:$D$81,3,FALSE)</f>
        <v>1</v>
      </c>
      <c r="M39" s="16">
        <f>VLOOKUP(I39,episodes!$A$1:$D$81,4,FALSE)</f>
        <v>25</v>
      </c>
      <c r="N39" s="14"/>
      <c r="O39" s="14">
        <v>1</v>
      </c>
      <c r="P39" s="24">
        <f>LEN(E39)+LEN(K39)</f>
        <v>56</v>
      </c>
      <c r="Q39" s="24">
        <f>COUNTIFS(B:B,B38)</f>
        <v>7</v>
      </c>
      <c r="R39" s="24">
        <f>COUNTIFS(D:D,D39)</f>
        <v>6</v>
      </c>
    </row>
    <row r="40" spans="1:18" s="5" customFormat="1" x14ac:dyDescent="0.25">
      <c r="A40" s="14">
        <v>24</v>
      </c>
      <c r="B40" s="1" t="s">
        <v>302</v>
      </c>
      <c r="C40" s="21" t="s">
        <v>2</v>
      </c>
      <c r="D40" s="21" t="s">
        <v>2841</v>
      </c>
      <c r="E40" s="1" t="s">
        <v>1338</v>
      </c>
      <c r="F40" s="21"/>
      <c r="G40" s="14">
        <v>0</v>
      </c>
      <c r="H40" s="14">
        <v>0</v>
      </c>
      <c r="I40" s="22">
        <v>125</v>
      </c>
      <c r="J40" s="23">
        <f>VLOOKUP(I40,episodes!$A$1:$B$76,2,FALSE)</f>
        <v>26</v>
      </c>
      <c r="K40" s="16" t="str">
        <f>VLOOKUP(I40,episodes!$A$1:$E$81,5,FALSE)</f>
        <v>The Devil in the Dark</v>
      </c>
      <c r="L40" s="16">
        <f>VLOOKUP(I40,episodes!$A$1:$D$81,3,FALSE)</f>
        <v>1</v>
      </c>
      <c r="M40" s="16">
        <f>VLOOKUP(I40,episodes!$A$1:$D$81,4,FALSE)</f>
        <v>25</v>
      </c>
      <c r="N40" s="14"/>
      <c r="O40" s="14">
        <v>1</v>
      </c>
      <c r="P40" s="24">
        <f>LEN(E40)+LEN(K40)</f>
        <v>102</v>
      </c>
      <c r="Q40" s="24">
        <f>COUNTIFS(B:B,B39)</f>
        <v>3</v>
      </c>
      <c r="R40" s="24">
        <f>COUNTIFS(D:D,D40)</f>
        <v>6</v>
      </c>
    </row>
    <row r="41" spans="1:18" s="5" customFormat="1" x14ac:dyDescent="0.25">
      <c r="A41" s="14">
        <v>44</v>
      </c>
      <c r="B41" s="21" t="s">
        <v>351</v>
      </c>
      <c r="C41" s="21" t="s">
        <v>2</v>
      </c>
      <c r="D41" s="21" t="s">
        <v>2841</v>
      </c>
      <c r="E41" s="1" t="s">
        <v>1154</v>
      </c>
      <c r="F41" s="21"/>
      <c r="G41" s="14">
        <v>0</v>
      </c>
      <c r="H41" s="14">
        <v>0</v>
      </c>
      <c r="I41" s="22">
        <v>207</v>
      </c>
      <c r="J41" s="23">
        <f>VLOOKUP(I41,episodes!$A$1:$B$81,2,FALSE)</f>
        <v>37</v>
      </c>
      <c r="K41" s="16" t="str">
        <f>VLOOKUP(I41,episodes!$A$1:$E$81,5,FALSE)</f>
        <v>Catspaw</v>
      </c>
      <c r="L41" s="16">
        <f>VLOOKUP(I41,episodes!$A$1:$D$81,3,FALSE)</f>
        <v>2</v>
      </c>
      <c r="M41" s="16">
        <f>VLOOKUP(I41,episodes!$A$1:$D$81,4,FALSE)</f>
        <v>7</v>
      </c>
      <c r="N41" s="14"/>
      <c r="O41" s="14">
        <v>1</v>
      </c>
      <c r="P41" s="24">
        <f>LEN(E41)+LEN(K41)</f>
        <v>58</v>
      </c>
      <c r="Q41" s="24">
        <f>COUNTIFS(B:B,B40)</f>
        <v>2</v>
      </c>
      <c r="R41" s="24">
        <f>COUNTIFS(D:D,D41)</f>
        <v>6</v>
      </c>
    </row>
    <row r="42" spans="1:18" s="5" customFormat="1" x14ac:dyDescent="0.25">
      <c r="A42" s="14">
        <v>2</v>
      </c>
      <c r="B42" s="1" t="s">
        <v>302</v>
      </c>
      <c r="C42" s="1" t="s">
        <v>2</v>
      </c>
      <c r="D42" s="21" t="s">
        <v>2841</v>
      </c>
      <c r="E42" s="1" t="s">
        <v>376</v>
      </c>
      <c r="F42" s="21"/>
      <c r="G42" s="14">
        <v>0</v>
      </c>
      <c r="H42" s="14">
        <v>0</v>
      </c>
      <c r="I42" s="25">
        <v>101</v>
      </c>
      <c r="J42" s="23">
        <f>VLOOKUP(I42,episodes!$A$1:$B$76,2,FALSE)</f>
        <v>2</v>
      </c>
      <c r="K42" s="16" t="str">
        <f>VLOOKUP(I42,episodes!$A$1:$E$81,5,FALSE)</f>
        <v>The Man Trap</v>
      </c>
      <c r="L42" s="16">
        <f>VLOOKUP(I42,episodes!$A$1:$D$81,3,FALSE)</f>
        <v>1</v>
      </c>
      <c r="M42" s="16">
        <f>VLOOKUP(I42,episodes!$A$1:$D$81,4,FALSE)</f>
        <v>1</v>
      </c>
      <c r="N42" s="14"/>
      <c r="O42" s="14">
        <v>1</v>
      </c>
      <c r="P42" s="24">
        <f>LEN(E42)+LEN(K42)</f>
        <v>46</v>
      </c>
      <c r="Q42" s="24">
        <f>COUNTIFS(B:B,B41)</f>
        <v>7</v>
      </c>
      <c r="R42" s="24">
        <f>COUNTIFS(D:D,D42)</f>
        <v>6</v>
      </c>
    </row>
    <row r="43" spans="1:18" s="5" customFormat="1" x14ac:dyDescent="0.25">
      <c r="A43" s="14">
        <v>33</v>
      </c>
      <c r="B43" s="1" t="s">
        <v>303</v>
      </c>
      <c r="C43" s="21" t="s">
        <v>2</v>
      </c>
      <c r="D43" s="21" t="s">
        <v>2841</v>
      </c>
      <c r="E43" s="1" t="s">
        <v>429</v>
      </c>
      <c r="F43" s="21"/>
      <c r="G43" s="14">
        <v>0</v>
      </c>
      <c r="H43" s="14">
        <v>0</v>
      </c>
      <c r="I43" s="22">
        <v>129</v>
      </c>
      <c r="J43" s="23">
        <f>VLOOKUP(I43,episodes!$A$1:$B$76,2,FALSE)</f>
        <v>30</v>
      </c>
      <c r="K43" s="16" t="str">
        <f>VLOOKUP(I43,episodes!$A$1:$E$81,5,FALSE)</f>
        <v>Operation: Annihilate!</v>
      </c>
      <c r="L43" s="16">
        <f>VLOOKUP(I43,episodes!$A$1:$D$81,3,FALSE)</f>
        <v>1</v>
      </c>
      <c r="M43" s="16">
        <f>VLOOKUP(I43,episodes!$A$1:$D$81,4,FALSE)</f>
        <v>29</v>
      </c>
      <c r="N43" s="14"/>
      <c r="O43" s="14">
        <v>1</v>
      </c>
      <c r="P43" s="24">
        <f>LEN(E43)+LEN(K43)</f>
        <v>78</v>
      </c>
      <c r="Q43" s="24">
        <f>COUNTIFS(B:B,B42)</f>
        <v>2</v>
      </c>
      <c r="R43" s="24">
        <f>COUNTIFS(D:D,D43)</f>
        <v>6</v>
      </c>
    </row>
    <row r="44" spans="1:18" s="5" customFormat="1" x14ac:dyDescent="0.25">
      <c r="A44" s="14">
        <v>62</v>
      </c>
      <c r="B44" s="1" t="s">
        <v>303</v>
      </c>
      <c r="C44" s="21" t="s">
        <v>2</v>
      </c>
      <c r="D44" s="21" t="s">
        <v>2841</v>
      </c>
      <c r="E44" s="1" t="s">
        <v>1860</v>
      </c>
      <c r="F44" s="21"/>
      <c r="G44" s="14">
        <v>0</v>
      </c>
      <c r="H44" s="14">
        <v>0</v>
      </c>
      <c r="I44" s="22">
        <v>216</v>
      </c>
      <c r="J44" s="23">
        <f>VLOOKUP(I44,episodes!$A$1:$B$81,2,FALSE)</f>
        <v>46</v>
      </c>
      <c r="K44" s="16" t="str">
        <f>VLOOKUP(I44,episodes!$A$1:$E$81,5,FALSE)</f>
        <v>The Gamesters of Triskelion</v>
      </c>
      <c r="L44" s="16">
        <f>VLOOKUP(I44,episodes!$A$1:$D$81,3,FALSE)</f>
        <v>2</v>
      </c>
      <c r="M44" s="16">
        <f>VLOOKUP(I44,episodes!$A$1:$D$81,4,FALSE)</f>
        <v>16</v>
      </c>
      <c r="N44" s="14"/>
      <c r="O44" s="14">
        <v>1</v>
      </c>
      <c r="P44" s="24">
        <f>LEN(E44)+LEN(K44)</f>
        <v>73</v>
      </c>
      <c r="Q44" s="24">
        <f>COUNTIFS(B:B,B46)</f>
        <v>4</v>
      </c>
      <c r="R44" s="24">
        <f>COUNTIFS(D:D,D47)</f>
        <v>2</v>
      </c>
    </row>
    <row r="45" spans="1:18" s="5" customFormat="1" x14ac:dyDescent="0.25">
      <c r="A45" s="14">
        <v>34</v>
      </c>
      <c r="B45" s="1" t="s">
        <v>234</v>
      </c>
      <c r="C45" s="21" t="s">
        <v>2</v>
      </c>
      <c r="D45" s="1" t="s">
        <v>2345</v>
      </c>
      <c r="E45" s="1" t="s">
        <v>165</v>
      </c>
      <c r="F45" s="21"/>
      <c r="G45" s="14">
        <v>0</v>
      </c>
      <c r="H45" s="14">
        <v>0</v>
      </c>
      <c r="I45" s="25">
        <v>202</v>
      </c>
      <c r="J45" s="23">
        <f>VLOOKUP(I45,episodes!$A$1:$B$76,2,FALSE)</f>
        <v>32</v>
      </c>
      <c r="K45" s="16" t="str">
        <f>VLOOKUP(I45,episodes!$A$1:$E$81,5,FALSE)</f>
        <v>Who Mourns for Adonais?</v>
      </c>
      <c r="L45" s="16">
        <f>VLOOKUP(I45,episodes!$A$1:$D$81,3,FALSE)</f>
        <v>2</v>
      </c>
      <c r="M45" s="16">
        <f>VLOOKUP(I45,episodes!$A$1:$D$81,4,FALSE)</f>
        <v>2</v>
      </c>
      <c r="N45" s="14"/>
      <c r="O45" s="14">
        <v>1</v>
      </c>
      <c r="P45" s="24">
        <f>LEN(E45)+LEN(K45)</f>
        <v>94</v>
      </c>
      <c r="Q45" s="24">
        <f>COUNTIFS(B:B,B44)</f>
        <v>3</v>
      </c>
      <c r="R45" s="24">
        <f>COUNTIFS(D:D,D45)</f>
        <v>3</v>
      </c>
    </row>
    <row r="46" spans="1:18" s="5" customFormat="1" x14ac:dyDescent="0.25">
      <c r="A46" s="14">
        <v>66</v>
      </c>
      <c r="B46" s="1" t="s">
        <v>234</v>
      </c>
      <c r="C46" s="21" t="s">
        <v>2</v>
      </c>
      <c r="D46" s="1" t="s">
        <v>2345</v>
      </c>
      <c r="E46" s="1" t="s">
        <v>1426</v>
      </c>
      <c r="F46" s="21"/>
      <c r="G46" s="14">
        <v>0</v>
      </c>
      <c r="H46" s="14">
        <v>0</v>
      </c>
      <c r="I46" s="14">
        <v>220</v>
      </c>
      <c r="J46" s="23">
        <f>VLOOKUP(I46,episodes!$A$1:$B$81,2,FALSE)</f>
        <v>50</v>
      </c>
      <c r="K46" s="16" t="str">
        <f>VLOOKUP(I46,episodes!$A$1:$E$81,5,FALSE)</f>
        <v>Return to Tomorrow</v>
      </c>
      <c r="L46" s="16">
        <f>VLOOKUP(I46,episodes!$A$1:$D$81,3,FALSE)</f>
        <v>2</v>
      </c>
      <c r="M46" s="16">
        <f>VLOOKUP(I46,episodes!$A$1:$D$81,4,FALSE)</f>
        <v>20</v>
      </c>
      <c r="N46" s="14"/>
      <c r="O46" s="14">
        <v>1</v>
      </c>
      <c r="P46" s="24">
        <f>LEN(E46)+LEN(K46)</f>
        <v>142</v>
      </c>
      <c r="Q46" s="24">
        <f>COUNTIFS(B:B,B48)</f>
        <v>1</v>
      </c>
      <c r="R46" s="24">
        <f>COUNTIFS(D:D,D49)</f>
        <v>0</v>
      </c>
    </row>
    <row r="47" spans="1:18" s="5" customFormat="1" x14ac:dyDescent="0.25">
      <c r="A47" s="14">
        <v>248</v>
      </c>
      <c r="B47" s="21" t="s">
        <v>234</v>
      </c>
      <c r="C47" s="1" t="s">
        <v>2936</v>
      </c>
      <c r="D47" s="21" t="s">
        <v>2934</v>
      </c>
      <c r="E47" s="1" t="s">
        <v>1464</v>
      </c>
      <c r="F47" s="21" t="s">
        <v>2224</v>
      </c>
      <c r="G47" s="14">
        <v>0</v>
      </c>
      <c r="H47" s="14">
        <v>0</v>
      </c>
      <c r="I47" s="25">
        <v>102</v>
      </c>
      <c r="J47" s="23">
        <f>VLOOKUP(I47,episodes!$A$1:$B$76,2,FALSE)</f>
        <v>3</v>
      </c>
      <c r="K47" s="16" t="str">
        <f>VLOOKUP(I47,episodes!$A$1:$E$81,5,FALSE)</f>
        <v>Charlie X</v>
      </c>
      <c r="L47" s="16">
        <f>VLOOKUP(I47,episodes!$A$1:$D$81,3,FALSE)</f>
        <v>1</v>
      </c>
      <c r="M47" s="16">
        <f>VLOOKUP(I47,episodes!$A$1:$D$81,4,FALSE)</f>
        <v>2</v>
      </c>
      <c r="N47" s="14"/>
      <c r="O47" s="14">
        <v>0</v>
      </c>
      <c r="P47" s="24">
        <f>LEN(E47)+LEN(K47)</f>
        <v>97</v>
      </c>
      <c r="Q47" s="24">
        <f>COUNTIFS(B:B,B46)</f>
        <v>4</v>
      </c>
      <c r="R47" s="24">
        <f>COUNTIFS(D:D,#REF!)</f>
        <v>0</v>
      </c>
    </row>
    <row r="48" spans="1:18" s="5" customFormat="1" x14ac:dyDescent="0.25">
      <c r="A48" s="14">
        <v>19</v>
      </c>
      <c r="B48" s="21" t="s">
        <v>347</v>
      </c>
      <c r="C48" s="1" t="s">
        <v>2936</v>
      </c>
      <c r="D48" s="21" t="s">
        <v>2934</v>
      </c>
      <c r="E48" s="1" t="s">
        <v>607</v>
      </c>
      <c r="F48" s="21" t="s">
        <v>2</v>
      </c>
      <c r="G48" s="14">
        <v>0</v>
      </c>
      <c r="H48" s="14">
        <v>0</v>
      </c>
      <c r="I48" s="22">
        <v>117</v>
      </c>
      <c r="J48" s="23">
        <f>VLOOKUP(I48,episodes!$A$1:$B$76,2,FALSE)</f>
        <v>18</v>
      </c>
      <c r="K48" s="16" t="str">
        <f>VLOOKUP(I48,episodes!$A$1:$E$81,5,FALSE)</f>
        <v>The Squire of Gothos</v>
      </c>
      <c r="L48" s="16">
        <f>VLOOKUP(I48,episodes!$A$1:$D$81,3,FALSE)</f>
        <v>1</v>
      </c>
      <c r="M48" s="16">
        <f>VLOOKUP(I48,episodes!$A$1:$D$81,4,FALSE)</f>
        <v>17</v>
      </c>
      <c r="N48" s="14"/>
      <c r="O48" s="14">
        <v>0</v>
      </c>
      <c r="P48" s="24">
        <f>LEN(E48)+LEN(K48)</f>
        <v>110</v>
      </c>
      <c r="Q48" s="24">
        <f>COUNTIFS(B:B,B47)</f>
        <v>4</v>
      </c>
      <c r="R48" s="24">
        <f>COUNTIFS(D:D,#REF!)</f>
        <v>0</v>
      </c>
    </row>
    <row r="49" spans="1:18" s="5" customFormat="1" x14ac:dyDescent="0.25">
      <c r="A49" s="14">
        <v>964</v>
      </c>
      <c r="B49" s="21" t="s">
        <v>365</v>
      </c>
      <c r="C49" s="21" t="s">
        <v>2939</v>
      </c>
      <c r="D49" s="21"/>
      <c r="E49" s="1" t="s">
        <v>2193</v>
      </c>
      <c r="F49" s="21" t="s">
        <v>4</v>
      </c>
      <c r="G49" s="14">
        <v>1</v>
      </c>
      <c r="H49" s="14">
        <v>0</v>
      </c>
      <c r="I49" s="22">
        <v>208</v>
      </c>
      <c r="J49" s="23">
        <f>VLOOKUP(I49,episodes!$A$1:$B$81,2,FALSE)</f>
        <v>38</v>
      </c>
      <c r="K49" s="16" t="str">
        <f>VLOOKUP(I49,episodes!$A$1:$E$81,5,FALSE)</f>
        <v>I, Mudd</v>
      </c>
      <c r="L49" s="16">
        <f>VLOOKUP(I49,episodes!$A$1:$D$81,3,FALSE)</f>
        <v>2</v>
      </c>
      <c r="M49" s="16">
        <f>VLOOKUP(I49,episodes!$A$1:$D$81,4,FALSE)</f>
        <v>8</v>
      </c>
      <c r="N49" s="14"/>
      <c r="O49" s="14">
        <v>0</v>
      </c>
      <c r="P49" s="24">
        <f>LEN(E49)+LEN(K49)</f>
        <v>187</v>
      </c>
      <c r="Q49" s="24">
        <f>COUNTIFS(B:B,B48)</f>
        <v>1</v>
      </c>
      <c r="R49" s="24">
        <f>COUNTIFS(D:D,D49)</f>
        <v>0</v>
      </c>
    </row>
    <row r="50" spans="1:18" s="5" customFormat="1" x14ac:dyDescent="0.25">
      <c r="A50" s="14">
        <v>138</v>
      </c>
      <c r="B50" s="21" t="s">
        <v>776</v>
      </c>
      <c r="C50" s="21" t="s">
        <v>2602</v>
      </c>
      <c r="D50" s="1" t="s">
        <v>2759</v>
      </c>
      <c r="E50" s="1" t="s">
        <v>1400</v>
      </c>
      <c r="F50" s="21" t="s">
        <v>7</v>
      </c>
      <c r="G50" s="14">
        <v>0</v>
      </c>
      <c r="H50" s="14">
        <v>2</v>
      </c>
      <c r="I50" s="14">
        <v>204</v>
      </c>
      <c r="J50" s="23">
        <f>VLOOKUP(I50,episodes!$A$1:$B$81,2,FALSE)</f>
        <v>34</v>
      </c>
      <c r="K50" s="16" t="str">
        <f>VLOOKUP(I50,episodes!$A$1:$E$81,5,FALSE)</f>
        <v>Mirror, Mirror</v>
      </c>
      <c r="L50" s="16">
        <f>VLOOKUP(I50,episodes!$A$1:$D$81,3,FALSE)</f>
        <v>2</v>
      </c>
      <c r="M50" s="16">
        <f>VLOOKUP(I50,episodes!$A$1:$D$81,4,FALSE)</f>
        <v>4</v>
      </c>
      <c r="N50" s="14"/>
      <c r="O50" s="14">
        <v>0</v>
      </c>
      <c r="P50" s="24">
        <f>LEN(E50)+LEN(K50)</f>
        <v>83</v>
      </c>
      <c r="Q50" s="24">
        <f>COUNTIFS(B:B,B49)</f>
        <v>5</v>
      </c>
      <c r="R50" s="24">
        <f>COUNTIFS(D:D,D50)</f>
        <v>2</v>
      </c>
    </row>
    <row r="51" spans="1:18" s="5" customFormat="1" x14ac:dyDescent="0.25">
      <c r="A51" s="14">
        <v>149</v>
      </c>
      <c r="B51" s="21" t="s">
        <v>776</v>
      </c>
      <c r="C51" s="21" t="s">
        <v>2602</v>
      </c>
      <c r="D51" s="1" t="s">
        <v>2759</v>
      </c>
      <c r="E51" s="1" t="s">
        <v>879</v>
      </c>
      <c r="F51" s="21" t="s">
        <v>7</v>
      </c>
      <c r="G51" s="14">
        <v>0</v>
      </c>
      <c r="H51" s="14">
        <v>2</v>
      </c>
      <c r="I51" s="14">
        <v>212</v>
      </c>
      <c r="J51" s="23">
        <f>VLOOKUP(I51,episodes!$A$1:$B$81,2,FALSE)</f>
        <v>42</v>
      </c>
      <c r="K51" s="16" t="str">
        <f>VLOOKUP(I51,episodes!$A$1:$E$81,5,FALSE)</f>
        <v>The Deadly Years</v>
      </c>
      <c r="L51" s="16">
        <f>VLOOKUP(I51,episodes!$A$1:$D$81,3,FALSE)</f>
        <v>2</v>
      </c>
      <c r="M51" s="16">
        <f>VLOOKUP(I51,episodes!$A$1:$D$81,4,FALSE)</f>
        <v>12</v>
      </c>
      <c r="N51" s="14"/>
      <c r="O51" s="14">
        <v>0</v>
      </c>
      <c r="P51" s="24">
        <f>LEN(E51)+LEN(K51)</f>
        <v>151</v>
      </c>
      <c r="Q51" s="24">
        <f>COUNTIFS(B:B,B53)</f>
        <v>2</v>
      </c>
      <c r="R51" s="24">
        <f>COUNTIFS(D:D,D54)</f>
        <v>2</v>
      </c>
    </row>
    <row r="52" spans="1:18" s="5" customFormat="1" x14ac:dyDescent="0.25">
      <c r="A52" s="14">
        <v>130</v>
      </c>
      <c r="B52" s="21" t="s">
        <v>735</v>
      </c>
      <c r="C52" s="21" t="s">
        <v>2602</v>
      </c>
      <c r="D52" s="21" t="s">
        <v>2625</v>
      </c>
      <c r="E52" s="1" t="s">
        <v>1381</v>
      </c>
      <c r="F52" s="21" t="s">
        <v>7</v>
      </c>
      <c r="G52" s="14">
        <v>0</v>
      </c>
      <c r="H52" s="14">
        <v>2</v>
      </c>
      <c r="I52" s="14">
        <v>202</v>
      </c>
      <c r="J52" s="23">
        <f>VLOOKUP(I52,episodes!$A$1:$B$76,2,FALSE)</f>
        <v>32</v>
      </c>
      <c r="K52" s="16" t="str">
        <f>VLOOKUP(I52,episodes!$A$1:$E$81,5,FALSE)</f>
        <v>Who Mourns for Adonais?</v>
      </c>
      <c r="L52" s="16">
        <f>VLOOKUP(I52,episodes!$A$1:$D$81,3,FALSE)</f>
        <v>2</v>
      </c>
      <c r="M52" s="16">
        <f>VLOOKUP(I52,episodes!$A$1:$D$81,4,FALSE)</f>
        <v>2</v>
      </c>
      <c r="N52" s="14"/>
      <c r="O52" s="14">
        <v>0</v>
      </c>
      <c r="P52" s="24">
        <f>LEN(E52)+LEN(K52)</f>
        <v>88</v>
      </c>
      <c r="Q52" s="24">
        <f>COUNTIFS(B:B,B51)</f>
        <v>2</v>
      </c>
      <c r="R52" s="24">
        <f>COUNTIFS(D:D,D52)</f>
        <v>2</v>
      </c>
    </row>
    <row r="53" spans="1:18" s="5" customFormat="1" x14ac:dyDescent="0.25">
      <c r="A53" s="14">
        <v>131</v>
      </c>
      <c r="B53" s="21" t="s">
        <v>735</v>
      </c>
      <c r="C53" s="21" t="s">
        <v>2602</v>
      </c>
      <c r="D53" s="21" t="s">
        <v>2625</v>
      </c>
      <c r="E53" s="1" t="s">
        <v>775</v>
      </c>
      <c r="F53" s="21" t="s">
        <v>7</v>
      </c>
      <c r="G53" s="14">
        <v>0</v>
      </c>
      <c r="H53" s="14">
        <v>2</v>
      </c>
      <c r="I53" s="14">
        <v>205</v>
      </c>
      <c r="J53" s="23">
        <f>VLOOKUP(I53,episodes!$A$1:$B$81,2,FALSE)</f>
        <v>35</v>
      </c>
      <c r="K53" s="16" t="str">
        <f>VLOOKUP(I53,episodes!$A$1:$E$81,5,FALSE)</f>
        <v>The Apple</v>
      </c>
      <c r="L53" s="16">
        <f>VLOOKUP(I53,episodes!$A$1:$D$81,3,FALSE)</f>
        <v>2</v>
      </c>
      <c r="M53" s="16">
        <f>VLOOKUP(I53,episodes!$A$1:$D$81,4,FALSE)</f>
        <v>5</v>
      </c>
      <c r="N53" s="14"/>
      <c r="O53" s="14">
        <v>0</v>
      </c>
      <c r="P53" s="24">
        <f>LEN(E53)+LEN(K53)</f>
        <v>45</v>
      </c>
      <c r="Q53" s="24">
        <f>COUNTIFS(B:B,B52)</f>
        <v>2</v>
      </c>
      <c r="R53" s="24">
        <f>COUNTIFS(D:D,D53)</f>
        <v>2</v>
      </c>
    </row>
    <row r="54" spans="1:18" s="5" customFormat="1" x14ac:dyDescent="0.25">
      <c r="A54" s="14">
        <v>2083</v>
      </c>
      <c r="B54" s="21" t="s">
        <v>340</v>
      </c>
      <c r="C54" s="21" t="s">
        <v>2602</v>
      </c>
      <c r="D54" s="21" t="s">
        <v>2348</v>
      </c>
      <c r="E54" s="1" t="s">
        <v>389</v>
      </c>
      <c r="F54" s="21" t="s">
        <v>5</v>
      </c>
      <c r="G54" s="14">
        <v>1</v>
      </c>
      <c r="H54" s="14">
        <v>0</v>
      </c>
      <c r="I54" s="25">
        <v>111</v>
      </c>
      <c r="J54" s="23">
        <f>VLOOKUP(I54,episodes!$A$1:$B$76,2,FALSE)</f>
        <v>12</v>
      </c>
      <c r="K54" s="16" t="str">
        <f>VLOOKUP(I54,episodes!$A$1:$E$81,5,FALSE)</f>
        <v>The Menagerie, Part I</v>
      </c>
      <c r="L54" s="16">
        <f>VLOOKUP(I54,episodes!$A$1:$D$81,3,FALSE)</f>
        <v>1</v>
      </c>
      <c r="M54" s="16">
        <f>VLOOKUP(I54,episodes!$A$1:$D$81,4,FALSE)</f>
        <v>11</v>
      </c>
      <c r="N54" s="14"/>
      <c r="O54" s="14">
        <v>0</v>
      </c>
      <c r="P54" s="24">
        <f>LEN(E54)+LEN(K54)</f>
        <v>75</v>
      </c>
      <c r="Q54" s="24">
        <f>COUNTIFS(B:B,B53)</f>
        <v>2</v>
      </c>
      <c r="R54" s="24">
        <f>COUNTIFS(D:D,D54)</f>
        <v>2</v>
      </c>
    </row>
    <row r="55" spans="1:18" s="5" customFormat="1" x14ac:dyDescent="0.25">
      <c r="A55" s="14">
        <v>2055</v>
      </c>
      <c r="B55" s="21" t="s">
        <v>253</v>
      </c>
      <c r="C55" s="21" t="s">
        <v>2602</v>
      </c>
      <c r="D55" s="1" t="s">
        <v>2352</v>
      </c>
      <c r="E55" s="1" t="s">
        <v>1493</v>
      </c>
      <c r="F55" s="21" t="s">
        <v>5</v>
      </c>
      <c r="G55" s="14">
        <v>1</v>
      </c>
      <c r="H55" s="14">
        <v>0</v>
      </c>
      <c r="I55" s="25">
        <v>104</v>
      </c>
      <c r="J55" s="23">
        <f>VLOOKUP(I55,episodes!$A$1:$B$76,2,FALSE)</f>
        <v>5</v>
      </c>
      <c r="K55" s="16" t="str">
        <f>VLOOKUP(I55,episodes!$A$1:$E$81,5,FALSE)</f>
        <v>The Naked Time</v>
      </c>
      <c r="L55" s="16">
        <f>VLOOKUP(I55,episodes!$A$1:$D$81,3,FALSE)</f>
        <v>1</v>
      </c>
      <c r="M55" s="16">
        <f>VLOOKUP(I55,episodes!$A$1:$D$81,4,FALSE)</f>
        <v>4</v>
      </c>
      <c r="N55" s="14"/>
      <c r="O55" s="14">
        <v>0</v>
      </c>
      <c r="P55" s="24">
        <f>LEN(E55)+LEN(K55)</f>
        <v>78</v>
      </c>
      <c r="Q55" s="24">
        <f>COUNTIFS(B:B,#REF!)</f>
        <v>0</v>
      </c>
      <c r="R55" s="24">
        <f>COUNTIFS(D:D,D55)</f>
        <v>1</v>
      </c>
    </row>
    <row r="56" spans="1:18" s="5" customFormat="1" x14ac:dyDescent="0.25">
      <c r="A56" s="14">
        <v>2287</v>
      </c>
      <c r="B56" s="21" t="s">
        <v>280</v>
      </c>
      <c r="C56" s="21" t="s">
        <v>2602</v>
      </c>
      <c r="D56" s="21" t="s">
        <v>2619</v>
      </c>
      <c r="E56" s="1" t="s">
        <v>1911</v>
      </c>
      <c r="F56" s="21" t="s">
        <v>5</v>
      </c>
      <c r="G56" s="14">
        <v>1</v>
      </c>
      <c r="H56" s="14">
        <v>0</v>
      </c>
      <c r="I56" s="22">
        <v>210</v>
      </c>
      <c r="J56" s="23">
        <f>VLOOKUP(I56,episodes!$A$1:$B$81,2,FALSE)</f>
        <v>40</v>
      </c>
      <c r="K56" s="16" t="str">
        <f>VLOOKUP(I56,episodes!$A$1:$E$81,5,FALSE)</f>
        <v>Journey to Babel</v>
      </c>
      <c r="L56" s="16">
        <f>VLOOKUP(I56,episodes!$A$1:$D$81,3,FALSE)</f>
        <v>2</v>
      </c>
      <c r="M56" s="16">
        <f>VLOOKUP(I56,episodes!$A$1:$D$81,4,FALSE)</f>
        <v>10</v>
      </c>
      <c r="N56" s="14"/>
      <c r="O56" s="14">
        <v>0</v>
      </c>
      <c r="P56" s="24">
        <f>LEN(E56)+LEN(K56)</f>
        <v>274</v>
      </c>
      <c r="Q56" s="24">
        <f>COUNTIFS(B:B,B55)</f>
        <v>1</v>
      </c>
      <c r="R56" s="24">
        <f>COUNTIFS(D:D,D56)</f>
        <v>34</v>
      </c>
    </row>
    <row r="57" spans="1:18" x14ac:dyDescent="0.3">
      <c r="A57" s="14">
        <v>1951</v>
      </c>
      <c r="B57" s="21" t="s">
        <v>280</v>
      </c>
      <c r="C57" s="21" t="s">
        <v>2602</v>
      </c>
      <c r="D57" s="21" t="s">
        <v>2619</v>
      </c>
      <c r="E57" s="1" t="s">
        <v>1639</v>
      </c>
      <c r="F57" s="21" t="s">
        <v>5</v>
      </c>
      <c r="G57" s="14">
        <v>1</v>
      </c>
      <c r="H57" s="14">
        <v>0</v>
      </c>
      <c r="I57" s="22">
        <v>114</v>
      </c>
      <c r="J57" s="23">
        <f>VLOOKUP(I57,episodes!$A$1:$B$76,2,FALSE)</f>
        <v>15</v>
      </c>
      <c r="K57" s="16" t="str">
        <f>VLOOKUP(I57,episodes!$A$1:$E$81,5,FALSE)</f>
        <v>Balance of Terror</v>
      </c>
      <c r="L57" s="16">
        <f>VLOOKUP(I57,episodes!$A$1:$D$81,3,FALSE)</f>
        <v>1</v>
      </c>
      <c r="M57" s="16">
        <f>VLOOKUP(I57,episodes!$A$1:$D$81,4,FALSE)</f>
        <v>14</v>
      </c>
      <c r="O57" s="14">
        <v>0</v>
      </c>
      <c r="P57" s="24">
        <f>LEN(E57)+LEN(K57)</f>
        <v>70</v>
      </c>
      <c r="Q57" s="24">
        <f>COUNTIFS(B:B,B56)</f>
        <v>34</v>
      </c>
      <c r="R57" s="24">
        <f>COUNTIFS(D:D,D57)</f>
        <v>34</v>
      </c>
    </row>
    <row r="58" spans="1:18" x14ac:dyDescent="0.3">
      <c r="A58" s="14">
        <v>909</v>
      </c>
      <c r="B58" s="21" t="s">
        <v>280</v>
      </c>
      <c r="C58" s="21" t="s">
        <v>2602</v>
      </c>
      <c r="D58" s="21" t="s">
        <v>2619</v>
      </c>
      <c r="E58" s="1" t="s">
        <v>2075</v>
      </c>
      <c r="F58" s="21" t="s">
        <v>4</v>
      </c>
      <c r="G58" s="14">
        <v>1</v>
      </c>
      <c r="H58" s="14">
        <v>0</v>
      </c>
      <c r="I58" s="25">
        <v>204</v>
      </c>
      <c r="J58" s="23">
        <f>VLOOKUP(I58,episodes!$A$1:$B$81,2,FALSE)</f>
        <v>34</v>
      </c>
      <c r="K58" s="16" t="str">
        <f>VLOOKUP(I58,episodes!$A$1:$E$81,5,FALSE)</f>
        <v>Mirror, Mirror</v>
      </c>
      <c r="L58" s="16">
        <f>VLOOKUP(I58,episodes!$A$1:$D$81,3,FALSE)</f>
        <v>2</v>
      </c>
      <c r="M58" s="16">
        <f>VLOOKUP(I58,episodes!$A$1:$D$81,4,FALSE)</f>
        <v>4</v>
      </c>
      <c r="O58" s="14">
        <v>0</v>
      </c>
      <c r="P58" s="24">
        <f>LEN(E58)+LEN(K58)</f>
        <v>128</v>
      </c>
      <c r="Q58" s="24">
        <f>COUNTIFS(B:B,B57)</f>
        <v>34</v>
      </c>
      <c r="R58" s="24">
        <f>COUNTIFS(D:D,D58)</f>
        <v>34</v>
      </c>
    </row>
    <row r="59" spans="1:18" x14ac:dyDescent="0.3">
      <c r="A59" s="14">
        <v>1229</v>
      </c>
      <c r="B59" s="21" t="s">
        <v>280</v>
      </c>
      <c r="C59" s="21" t="s">
        <v>2602</v>
      </c>
      <c r="D59" s="21" t="s">
        <v>2619</v>
      </c>
      <c r="E59" s="1" t="s">
        <v>663</v>
      </c>
      <c r="F59" s="21" t="s">
        <v>4</v>
      </c>
      <c r="G59" s="14">
        <v>1</v>
      </c>
      <c r="H59" s="14">
        <v>0</v>
      </c>
      <c r="I59" s="22">
        <v>124</v>
      </c>
      <c r="J59" s="23">
        <f>VLOOKUP(I59,episodes!$A$1:$B$76,2,FALSE)</f>
        <v>25</v>
      </c>
      <c r="K59" s="16" t="str">
        <f>VLOOKUP(I59,episodes!$A$1:$E$81,5,FALSE)</f>
        <v>This Side of Paradise</v>
      </c>
      <c r="L59" s="16">
        <f>VLOOKUP(I59,episodes!$A$1:$D$81,3,FALSE)</f>
        <v>1</v>
      </c>
      <c r="M59" s="16">
        <f>VLOOKUP(I59,episodes!$A$1:$D$81,4,FALSE)</f>
        <v>24</v>
      </c>
      <c r="O59" s="14">
        <v>0</v>
      </c>
      <c r="P59" s="24">
        <f>LEN(E59)+LEN(K59)</f>
        <v>136</v>
      </c>
      <c r="Q59" s="24">
        <f>COUNTIFS(B:B,B57)</f>
        <v>34</v>
      </c>
      <c r="R59" s="24">
        <f>COUNTIFS(D:D,D59)</f>
        <v>34</v>
      </c>
    </row>
    <row r="60" spans="1:18" x14ac:dyDescent="0.3">
      <c r="A60" s="14">
        <v>1230</v>
      </c>
      <c r="B60" s="21" t="s">
        <v>280</v>
      </c>
      <c r="C60" s="21" t="s">
        <v>2602</v>
      </c>
      <c r="D60" s="21" t="s">
        <v>2619</v>
      </c>
      <c r="E60" s="1" t="s">
        <v>663</v>
      </c>
      <c r="F60" s="21" t="s">
        <v>5</v>
      </c>
      <c r="G60" s="14">
        <v>1</v>
      </c>
      <c r="H60" s="14">
        <v>0</v>
      </c>
      <c r="I60" s="22">
        <v>124</v>
      </c>
      <c r="J60" s="23">
        <f>VLOOKUP(I60,episodes!$A$1:$B$76,2,FALSE)</f>
        <v>25</v>
      </c>
      <c r="K60" s="16" t="str">
        <f>VLOOKUP(I60,episodes!$A$1:$E$81,5,FALSE)</f>
        <v>This Side of Paradise</v>
      </c>
      <c r="L60" s="16">
        <f>VLOOKUP(I60,episodes!$A$1:$D$81,3,FALSE)</f>
        <v>1</v>
      </c>
      <c r="M60" s="16">
        <f>VLOOKUP(I60,episodes!$A$1:$D$81,4,FALSE)</f>
        <v>24</v>
      </c>
      <c r="O60" s="14">
        <v>0</v>
      </c>
      <c r="P60" s="24">
        <f>LEN(E60)+LEN(K60)</f>
        <v>136</v>
      </c>
      <c r="Q60" s="24"/>
      <c r="R60" s="24"/>
    </row>
    <row r="61" spans="1:18" x14ac:dyDescent="0.3">
      <c r="A61" s="14">
        <v>1459</v>
      </c>
      <c r="B61" s="21" t="s">
        <v>280</v>
      </c>
      <c r="C61" s="21" t="s">
        <v>2602</v>
      </c>
      <c r="D61" s="21" t="s">
        <v>2619</v>
      </c>
      <c r="E61" s="1" t="s">
        <v>1593</v>
      </c>
      <c r="F61" s="1" t="s">
        <v>60</v>
      </c>
      <c r="G61" s="14">
        <v>0</v>
      </c>
      <c r="H61" s="14">
        <v>0</v>
      </c>
      <c r="I61" s="22">
        <v>126</v>
      </c>
      <c r="J61" s="23">
        <f>VLOOKUP(I61,episodes!$A$1:$B$76,2,FALSE)</f>
        <v>27</v>
      </c>
      <c r="K61" s="16" t="str">
        <f>VLOOKUP(I61,episodes!$A$1:$E$81,5,FALSE)</f>
        <v>Errand of Mercy</v>
      </c>
      <c r="L61" s="16">
        <f>VLOOKUP(I61,episodes!$A$1:$D$81,3,FALSE)</f>
        <v>1</v>
      </c>
      <c r="M61" s="16">
        <f>VLOOKUP(I61,episodes!$A$1:$D$81,4,FALSE)</f>
        <v>26</v>
      </c>
      <c r="O61" s="14">
        <v>0</v>
      </c>
      <c r="P61" s="24">
        <f>LEN(E61)+LEN(K61)</f>
        <v>330</v>
      </c>
      <c r="Q61" s="24">
        <f>COUNTIFS(B:B,B60)</f>
        <v>34</v>
      </c>
      <c r="R61" s="24">
        <f>COUNTIFS(D:D,D61)</f>
        <v>34</v>
      </c>
    </row>
    <row r="62" spans="1:18" x14ac:dyDescent="0.3">
      <c r="A62" s="14">
        <v>1602</v>
      </c>
      <c r="B62" s="21" t="s">
        <v>280</v>
      </c>
      <c r="C62" s="21" t="s">
        <v>2602</v>
      </c>
      <c r="D62" s="21" t="s">
        <v>2619</v>
      </c>
      <c r="E62" s="1" t="s">
        <v>1599</v>
      </c>
      <c r="F62" s="21" t="s">
        <v>8</v>
      </c>
      <c r="G62" s="14">
        <v>0</v>
      </c>
      <c r="H62" s="14">
        <v>1</v>
      </c>
      <c r="I62" s="22">
        <v>124</v>
      </c>
      <c r="J62" s="23">
        <f>VLOOKUP(I62,episodes!$A$1:$B$76,2,FALSE)</f>
        <v>25</v>
      </c>
      <c r="K62" s="16" t="str">
        <f>VLOOKUP(I62,episodes!$A$1:$E$81,5,FALSE)</f>
        <v>This Side of Paradise</v>
      </c>
      <c r="L62" s="16">
        <f>VLOOKUP(I62,episodes!$A$1:$D$81,3,FALSE)</f>
        <v>1</v>
      </c>
      <c r="M62" s="16">
        <f>VLOOKUP(I62,episodes!$A$1:$D$81,4,FALSE)</f>
        <v>24</v>
      </c>
      <c r="O62" s="14">
        <v>0</v>
      </c>
      <c r="P62" s="24">
        <f>LEN(E62)+LEN(K62)</f>
        <v>116</v>
      </c>
      <c r="Q62" s="24">
        <f>COUNTIFS(B:B,B61)</f>
        <v>34</v>
      </c>
      <c r="R62" s="24">
        <f>COUNTIFS(D:D,D62)</f>
        <v>34</v>
      </c>
    </row>
    <row r="63" spans="1:18" x14ac:dyDescent="0.3">
      <c r="A63" s="14">
        <v>1663</v>
      </c>
      <c r="B63" s="21" t="s">
        <v>280</v>
      </c>
      <c r="C63" s="21" t="s">
        <v>2602</v>
      </c>
      <c r="D63" s="21" t="s">
        <v>2619</v>
      </c>
      <c r="E63" s="1" t="s">
        <v>1594</v>
      </c>
      <c r="F63" s="21" t="s">
        <v>8</v>
      </c>
      <c r="G63" s="14">
        <v>0</v>
      </c>
      <c r="H63" s="14">
        <v>1</v>
      </c>
      <c r="I63" s="22">
        <v>129</v>
      </c>
      <c r="J63" s="23">
        <f>VLOOKUP(I63,episodes!$A$1:$B$76,2,FALSE)</f>
        <v>30</v>
      </c>
      <c r="K63" s="16" t="str">
        <f>VLOOKUP(I63,episodes!$A$1:$E$81,5,FALSE)</f>
        <v>Operation: Annihilate!</v>
      </c>
      <c r="L63" s="16">
        <f>VLOOKUP(I63,episodes!$A$1:$D$81,3,FALSE)</f>
        <v>1</v>
      </c>
      <c r="M63" s="16">
        <f>VLOOKUP(I63,episodes!$A$1:$D$81,4,FALSE)</f>
        <v>29</v>
      </c>
      <c r="O63" s="14">
        <v>0</v>
      </c>
      <c r="P63" s="24">
        <f>LEN(E63)+LEN(K63)</f>
        <v>142</v>
      </c>
      <c r="Q63" s="24">
        <f>COUNTIFS(B:B,B62)</f>
        <v>34</v>
      </c>
      <c r="R63" s="24">
        <f>COUNTIFS(D:D,D63)</f>
        <v>34</v>
      </c>
    </row>
    <row r="64" spans="1:18" x14ac:dyDescent="0.3">
      <c r="A64" s="14">
        <v>2240</v>
      </c>
      <c r="B64" s="21" t="s">
        <v>280</v>
      </c>
      <c r="C64" s="21" t="s">
        <v>2602</v>
      </c>
      <c r="D64" s="21" t="s">
        <v>2619</v>
      </c>
      <c r="E64" s="1" t="s">
        <v>2076</v>
      </c>
      <c r="F64" s="21" t="s">
        <v>5</v>
      </c>
      <c r="G64" s="14">
        <v>1</v>
      </c>
      <c r="H64" s="14">
        <v>0</v>
      </c>
      <c r="I64" s="25">
        <v>204</v>
      </c>
      <c r="J64" s="23">
        <f>VLOOKUP(I64,episodes!$A$1:$B$81,2,FALSE)</f>
        <v>34</v>
      </c>
      <c r="K64" s="16" t="str">
        <f>VLOOKUP(I64,episodes!$A$1:$E$81,5,FALSE)</f>
        <v>Mirror, Mirror</v>
      </c>
      <c r="L64" s="16">
        <f>VLOOKUP(I64,episodes!$A$1:$D$81,3,FALSE)</f>
        <v>2</v>
      </c>
      <c r="M64" s="16">
        <f>VLOOKUP(I64,episodes!$A$1:$D$81,4,FALSE)</f>
        <v>4</v>
      </c>
      <c r="O64" s="14">
        <v>0</v>
      </c>
      <c r="P64" s="24">
        <f>LEN(E64)+LEN(K64)</f>
        <v>166</v>
      </c>
      <c r="Q64" s="24">
        <f>COUNTIFS(B:B,B63)</f>
        <v>34</v>
      </c>
      <c r="R64" s="24">
        <f>COUNTIFS(D:D,D64)</f>
        <v>34</v>
      </c>
    </row>
    <row r="65" spans="1:18" x14ac:dyDescent="0.3">
      <c r="A65" s="14">
        <v>2065</v>
      </c>
      <c r="B65" s="21" t="s">
        <v>280</v>
      </c>
      <c r="C65" s="21" t="s">
        <v>2602</v>
      </c>
      <c r="D65" s="21" t="s">
        <v>2619</v>
      </c>
      <c r="E65" s="1" t="s">
        <v>1565</v>
      </c>
      <c r="F65" s="21" t="s">
        <v>5</v>
      </c>
      <c r="G65" s="14">
        <v>1</v>
      </c>
      <c r="H65" s="14">
        <v>0</v>
      </c>
      <c r="I65" s="25">
        <v>106</v>
      </c>
      <c r="J65" s="23">
        <f>VLOOKUP(I65,episodes!$A$1:$B$76,2,FALSE)</f>
        <v>7</v>
      </c>
      <c r="K65" s="16" t="str">
        <f>VLOOKUP(I65,episodes!$A$1:$E$81,5,FALSE)</f>
        <v>Mudd's Women</v>
      </c>
      <c r="L65" s="16">
        <f>VLOOKUP(I65,episodes!$A$1:$D$81,3,FALSE)</f>
        <v>1</v>
      </c>
      <c r="M65" s="16">
        <f>VLOOKUP(I65,episodes!$A$1:$D$81,4,FALSE)</f>
        <v>6</v>
      </c>
      <c r="O65" s="14">
        <v>0</v>
      </c>
      <c r="P65" s="24">
        <f>LEN(E65)+LEN(K65)</f>
        <v>111</v>
      </c>
      <c r="Q65" s="24">
        <f>COUNTIFS(B:B,B64)</f>
        <v>34</v>
      </c>
      <c r="R65" s="24">
        <f>COUNTIFS(D:D,D65)</f>
        <v>34</v>
      </c>
    </row>
    <row r="66" spans="1:18" x14ac:dyDescent="0.3">
      <c r="A66" s="14">
        <v>2233</v>
      </c>
      <c r="B66" s="21" t="s">
        <v>280</v>
      </c>
      <c r="C66" s="21" t="s">
        <v>2602</v>
      </c>
      <c r="D66" s="21" t="s">
        <v>2619</v>
      </c>
      <c r="E66" s="1" t="s">
        <v>1595</v>
      </c>
      <c r="F66" s="21" t="s">
        <v>5</v>
      </c>
      <c r="G66" s="14">
        <v>1</v>
      </c>
      <c r="H66" s="14">
        <v>0</v>
      </c>
      <c r="I66" s="25">
        <v>203</v>
      </c>
      <c r="J66" s="23">
        <f>VLOOKUP(I66,episodes!$A$1:$B$76,2,FALSE)</f>
        <v>33</v>
      </c>
      <c r="K66" s="16" t="str">
        <f>VLOOKUP(I66,episodes!$A$1:$E$81,5,FALSE)</f>
        <v>The Changeling</v>
      </c>
      <c r="L66" s="16">
        <f>VLOOKUP(I66,episodes!$A$1:$D$81,3,FALSE)</f>
        <v>2</v>
      </c>
      <c r="M66" s="16">
        <f>VLOOKUP(I66,episodes!$A$1:$D$81,4,FALSE)</f>
        <v>3</v>
      </c>
      <c r="O66" s="14">
        <v>0</v>
      </c>
      <c r="P66" s="24">
        <f>LEN(E66)+LEN(K66)</f>
        <v>108</v>
      </c>
      <c r="Q66" s="24">
        <f>COUNTIFS(B:B,B65)</f>
        <v>34</v>
      </c>
      <c r="R66" s="24">
        <f>COUNTIFS(D:D,D66)</f>
        <v>34</v>
      </c>
    </row>
    <row r="67" spans="1:18" x14ac:dyDescent="0.3">
      <c r="A67" s="14">
        <v>2095</v>
      </c>
      <c r="B67" s="21" t="s">
        <v>280</v>
      </c>
      <c r="C67" s="21" t="s">
        <v>2602</v>
      </c>
      <c r="D67" s="21" t="s">
        <v>2619</v>
      </c>
      <c r="E67" s="1" t="s">
        <v>1132</v>
      </c>
      <c r="F67" s="21" t="s">
        <v>5</v>
      </c>
      <c r="G67" s="14">
        <v>1</v>
      </c>
      <c r="H67" s="14">
        <v>0</v>
      </c>
      <c r="I67" s="22">
        <v>116</v>
      </c>
      <c r="J67" s="23">
        <f>VLOOKUP(I67,episodes!$A$1:$B$76,2,FALSE)</f>
        <v>17</v>
      </c>
      <c r="K67" s="16" t="str">
        <f>VLOOKUP(I67,episodes!$A$1:$E$81,5,FALSE)</f>
        <v>The Galileo Seven</v>
      </c>
      <c r="L67" s="16">
        <f>VLOOKUP(I67,episodes!$A$1:$D$81,3,FALSE)</f>
        <v>1</v>
      </c>
      <c r="M67" s="16">
        <f>VLOOKUP(I67,episodes!$A$1:$D$81,4,FALSE)</f>
        <v>16</v>
      </c>
      <c r="O67" s="14">
        <v>0</v>
      </c>
      <c r="P67" s="24">
        <f>LEN(E67)+LEN(K67)</f>
        <v>95</v>
      </c>
      <c r="Q67" s="24">
        <f>COUNTIFS(B:B,B66)</f>
        <v>34</v>
      </c>
      <c r="R67" s="24">
        <f>COUNTIFS(D:D,D67)</f>
        <v>34</v>
      </c>
    </row>
    <row r="68" spans="1:18" x14ac:dyDescent="0.3">
      <c r="A68" s="14">
        <v>2288</v>
      </c>
      <c r="B68" s="21" t="s">
        <v>280</v>
      </c>
      <c r="C68" s="21" t="s">
        <v>2602</v>
      </c>
      <c r="D68" s="21" t="s">
        <v>2619</v>
      </c>
      <c r="E68" s="1" t="s">
        <v>2068</v>
      </c>
      <c r="F68" s="21" t="s">
        <v>5</v>
      </c>
      <c r="G68" s="14">
        <v>1</v>
      </c>
      <c r="H68" s="14">
        <v>0</v>
      </c>
      <c r="I68" s="22">
        <v>210</v>
      </c>
      <c r="J68" s="23">
        <f>VLOOKUP(I68,episodes!$A$1:$B$81,2,FALSE)</f>
        <v>40</v>
      </c>
      <c r="K68" s="16" t="str">
        <f>VLOOKUP(I68,episodes!$A$1:$E$81,5,FALSE)</f>
        <v>Journey to Babel</v>
      </c>
      <c r="L68" s="16">
        <f>VLOOKUP(I68,episodes!$A$1:$D$81,3,FALSE)</f>
        <v>2</v>
      </c>
      <c r="M68" s="16">
        <f>VLOOKUP(I68,episodes!$A$1:$D$81,4,FALSE)</f>
        <v>10</v>
      </c>
      <c r="O68" s="14">
        <v>0</v>
      </c>
      <c r="P68" s="24">
        <f>LEN(E68)+LEN(K68)</f>
        <v>113</v>
      </c>
      <c r="Q68" s="24">
        <f>COUNTIFS(B:B,B67)</f>
        <v>34</v>
      </c>
      <c r="R68" s="24">
        <f>COUNTIFS(D:D,D68)</f>
        <v>34</v>
      </c>
    </row>
    <row r="69" spans="1:18" x14ac:dyDescent="0.3">
      <c r="A69" s="14">
        <v>2134</v>
      </c>
      <c r="B69" s="21" t="s">
        <v>280</v>
      </c>
      <c r="C69" s="21" t="s">
        <v>2602</v>
      </c>
      <c r="D69" s="21" t="s">
        <v>2619</v>
      </c>
      <c r="E69" s="1" t="s">
        <v>2069</v>
      </c>
      <c r="F69" s="21" t="s">
        <v>5</v>
      </c>
      <c r="G69" s="14">
        <v>1</v>
      </c>
      <c r="H69" s="14">
        <v>0</v>
      </c>
      <c r="I69" s="22">
        <v>122</v>
      </c>
      <c r="J69" s="23">
        <f>VLOOKUP(I69,episodes!$A$1:$B$76,2,FALSE)</f>
        <v>23</v>
      </c>
      <c r="K69" s="16" t="str">
        <f>VLOOKUP(I69,episodes!$A$1:$E$81,5,FALSE)</f>
        <v>Space Seed</v>
      </c>
      <c r="L69" s="16">
        <f>VLOOKUP(I69,episodes!$A$1:$D$81,3,FALSE)</f>
        <v>1</v>
      </c>
      <c r="M69" s="16">
        <f>VLOOKUP(I69,episodes!$A$1:$D$81,4,FALSE)</f>
        <v>22</v>
      </c>
      <c r="O69" s="14">
        <v>0</v>
      </c>
      <c r="P69" s="24">
        <f>LEN(E69)+LEN(K69)</f>
        <v>95</v>
      </c>
      <c r="Q69" s="24">
        <f>COUNTIFS(B:B,B68)</f>
        <v>34</v>
      </c>
      <c r="R69" s="24">
        <f>COUNTIFS(D:D,D69)</f>
        <v>34</v>
      </c>
    </row>
    <row r="70" spans="1:18" x14ac:dyDescent="0.3">
      <c r="A70" s="14">
        <v>2071</v>
      </c>
      <c r="B70" s="21" t="s">
        <v>280</v>
      </c>
      <c r="C70" s="21" t="s">
        <v>2602</v>
      </c>
      <c r="D70" s="21" t="s">
        <v>2619</v>
      </c>
      <c r="E70" s="1" t="s">
        <v>455</v>
      </c>
      <c r="F70" s="21" t="s">
        <v>5</v>
      </c>
      <c r="G70" s="14">
        <v>1</v>
      </c>
      <c r="H70" s="14">
        <v>0</v>
      </c>
      <c r="I70" s="25">
        <v>108</v>
      </c>
      <c r="J70" s="23">
        <f>VLOOKUP(I70,episodes!$A$1:$B$76,2,FALSE)</f>
        <v>9</v>
      </c>
      <c r="K70" s="16" t="str">
        <f>VLOOKUP(I70,episodes!$A$1:$E$81,5,FALSE)</f>
        <v>Miri</v>
      </c>
      <c r="L70" s="16">
        <f>VLOOKUP(I70,episodes!$A$1:$D$81,3,FALSE)</f>
        <v>1</v>
      </c>
      <c r="M70" s="16">
        <f>VLOOKUP(I70,episodes!$A$1:$D$81,4,FALSE)</f>
        <v>8</v>
      </c>
      <c r="O70" s="14">
        <v>0</v>
      </c>
      <c r="P70" s="24">
        <f>LEN(E70)+LEN(K70)</f>
        <v>55</v>
      </c>
      <c r="Q70" s="24">
        <f>COUNTIFS(B:B,B69)</f>
        <v>34</v>
      </c>
      <c r="R70" s="24">
        <f>COUNTIFS(D:D,D70)</f>
        <v>34</v>
      </c>
    </row>
    <row r="71" spans="1:18" x14ac:dyDescent="0.3">
      <c r="A71" s="14">
        <v>2137</v>
      </c>
      <c r="B71" s="21" t="s">
        <v>280</v>
      </c>
      <c r="C71" s="21" t="s">
        <v>2602</v>
      </c>
      <c r="D71" s="21" t="s">
        <v>2619</v>
      </c>
      <c r="E71" s="1" t="s">
        <v>1605</v>
      </c>
      <c r="F71" s="21" t="s">
        <v>5</v>
      </c>
      <c r="G71" s="14">
        <v>1</v>
      </c>
      <c r="H71" s="14">
        <v>0</v>
      </c>
      <c r="I71" s="22">
        <v>123</v>
      </c>
      <c r="J71" s="23">
        <f>VLOOKUP(I71,episodes!$A$1:$B$76,2,FALSE)</f>
        <v>24</v>
      </c>
      <c r="K71" s="16" t="str">
        <f>VLOOKUP(I71,episodes!$A$1:$E$81,5,FALSE)</f>
        <v>A Taste of Armageddon</v>
      </c>
      <c r="L71" s="16">
        <f>VLOOKUP(I71,episodes!$A$1:$D$81,3,FALSE)</f>
        <v>1</v>
      </c>
      <c r="M71" s="16">
        <f>VLOOKUP(I71,episodes!$A$1:$D$81,4,FALSE)</f>
        <v>23</v>
      </c>
      <c r="O71" s="14">
        <v>0</v>
      </c>
      <c r="P71" s="24">
        <f>LEN(E71)+LEN(K71)</f>
        <v>113</v>
      </c>
      <c r="Q71" s="24">
        <f>COUNTIFS(B:B,B70)</f>
        <v>34</v>
      </c>
      <c r="R71" s="24">
        <f>COUNTIFS(D:D,D71)</f>
        <v>34</v>
      </c>
    </row>
    <row r="72" spans="1:18" x14ac:dyDescent="0.3">
      <c r="A72" s="14">
        <v>2169</v>
      </c>
      <c r="B72" s="21" t="s">
        <v>280</v>
      </c>
      <c r="C72" s="21" t="s">
        <v>2602</v>
      </c>
      <c r="D72" s="21" t="s">
        <v>2619</v>
      </c>
      <c r="E72" s="1" t="s">
        <v>1614</v>
      </c>
      <c r="F72" s="21" t="s">
        <v>5</v>
      </c>
      <c r="G72" s="14">
        <v>1</v>
      </c>
      <c r="H72" s="14">
        <v>0</v>
      </c>
      <c r="I72" s="22">
        <v>126</v>
      </c>
      <c r="J72" s="23">
        <f>VLOOKUP(I72,episodes!$A$1:$B$76,2,FALSE)</f>
        <v>27</v>
      </c>
      <c r="K72" s="16" t="str">
        <f>VLOOKUP(I72,episodes!$A$1:$E$81,5,FALSE)</f>
        <v>Errand of Mercy</v>
      </c>
      <c r="L72" s="16">
        <f>VLOOKUP(I72,episodes!$A$1:$D$81,3,FALSE)</f>
        <v>1</v>
      </c>
      <c r="M72" s="16">
        <f>VLOOKUP(I72,episodes!$A$1:$D$81,4,FALSE)</f>
        <v>26</v>
      </c>
      <c r="O72" s="14">
        <v>0</v>
      </c>
      <c r="P72" s="24">
        <f>LEN(E72)+LEN(K72)</f>
        <v>113</v>
      </c>
      <c r="Q72" s="24">
        <f>COUNTIFS(B:B,B71)</f>
        <v>34</v>
      </c>
      <c r="R72" s="24">
        <f>COUNTIFS(D:D,D72)</f>
        <v>34</v>
      </c>
    </row>
    <row r="73" spans="1:18" x14ac:dyDescent="0.3">
      <c r="A73" s="14">
        <v>2234</v>
      </c>
      <c r="B73" s="21" t="s">
        <v>280</v>
      </c>
      <c r="C73" s="21" t="s">
        <v>2602</v>
      </c>
      <c r="D73" s="21" t="s">
        <v>2619</v>
      </c>
      <c r="E73" s="1" t="s">
        <v>1597</v>
      </c>
      <c r="F73" s="21" t="s">
        <v>5</v>
      </c>
      <c r="G73" s="14">
        <v>1</v>
      </c>
      <c r="H73" s="14">
        <v>0</v>
      </c>
      <c r="I73" s="25">
        <v>203</v>
      </c>
      <c r="J73" s="23">
        <f>VLOOKUP(I73,episodes!$A$1:$B$76,2,FALSE)</f>
        <v>33</v>
      </c>
      <c r="K73" s="16" t="str">
        <f>VLOOKUP(I73,episodes!$A$1:$E$81,5,FALSE)</f>
        <v>The Changeling</v>
      </c>
      <c r="L73" s="16">
        <f>VLOOKUP(I73,episodes!$A$1:$D$81,3,FALSE)</f>
        <v>2</v>
      </c>
      <c r="M73" s="16">
        <f>VLOOKUP(I73,episodes!$A$1:$D$81,4,FALSE)</f>
        <v>3</v>
      </c>
      <c r="O73" s="14">
        <v>0</v>
      </c>
      <c r="P73" s="24">
        <f>LEN(E73)+LEN(K73)</f>
        <v>76</v>
      </c>
      <c r="Q73" s="24">
        <f>COUNTIFS(B:B,B72)</f>
        <v>34</v>
      </c>
      <c r="R73" s="24">
        <f>COUNTIFS(D:D,D73)</f>
        <v>34</v>
      </c>
    </row>
    <row r="74" spans="1:18" x14ac:dyDescent="0.3">
      <c r="A74" s="14">
        <v>2159</v>
      </c>
      <c r="B74" s="21" t="s">
        <v>280</v>
      </c>
      <c r="C74" s="21" t="s">
        <v>2602</v>
      </c>
      <c r="D74" s="21" t="s">
        <v>2619</v>
      </c>
      <c r="E74" s="1" t="s">
        <v>1135</v>
      </c>
      <c r="F74" s="21" t="s">
        <v>5</v>
      </c>
      <c r="G74" s="14">
        <v>1</v>
      </c>
      <c r="H74" s="14">
        <v>0</v>
      </c>
      <c r="I74" s="22">
        <v>125</v>
      </c>
      <c r="J74" s="23">
        <f>VLOOKUP(I74,episodes!$A$1:$B$76,2,FALSE)</f>
        <v>26</v>
      </c>
      <c r="K74" s="16" t="str">
        <f>VLOOKUP(I74,episodes!$A$1:$E$81,5,FALSE)</f>
        <v>The Devil in the Dark</v>
      </c>
      <c r="L74" s="16">
        <f>VLOOKUP(I74,episodes!$A$1:$D$81,3,FALSE)</f>
        <v>1</v>
      </c>
      <c r="M74" s="16">
        <f>VLOOKUP(I74,episodes!$A$1:$D$81,4,FALSE)</f>
        <v>25</v>
      </c>
      <c r="O74" s="14">
        <v>0</v>
      </c>
      <c r="P74" s="24">
        <f>LEN(E74)+LEN(K74)</f>
        <v>106</v>
      </c>
      <c r="Q74" s="24">
        <f>COUNTIFS(B:B,B73)</f>
        <v>34</v>
      </c>
      <c r="R74" s="24">
        <f>COUNTIFS(D:D,D74)</f>
        <v>34</v>
      </c>
    </row>
    <row r="75" spans="1:18" x14ac:dyDescent="0.3">
      <c r="A75" s="14">
        <v>2105</v>
      </c>
      <c r="B75" s="21" t="s">
        <v>280</v>
      </c>
      <c r="C75" s="21" t="s">
        <v>2602</v>
      </c>
      <c r="D75" s="21" t="s">
        <v>2619</v>
      </c>
      <c r="E75" s="1" t="s">
        <v>1133</v>
      </c>
      <c r="F75" s="21" t="s">
        <v>5</v>
      </c>
      <c r="G75" s="14">
        <v>1</v>
      </c>
      <c r="H75" s="14">
        <v>0</v>
      </c>
      <c r="I75" s="22">
        <v>117</v>
      </c>
      <c r="J75" s="23">
        <f>VLOOKUP(I75,episodes!$A$1:$B$76,2,FALSE)</f>
        <v>18</v>
      </c>
      <c r="K75" s="16" t="str">
        <f>VLOOKUP(I75,episodes!$A$1:$E$81,5,FALSE)</f>
        <v>The Squire of Gothos</v>
      </c>
      <c r="L75" s="16">
        <f>VLOOKUP(I75,episodes!$A$1:$D$81,3,FALSE)</f>
        <v>1</v>
      </c>
      <c r="M75" s="16">
        <f>VLOOKUP(I75,episodes!$A$1:$D$81,4,FALSE)</f>
        <v>17</v>
      </c>
      <c r="O75" s="14">
        <v>0</v>
      </c>
      <c r="P75" s="24">
        <f>LEN(E75)+LEN(K75)</f>
        <v>97</v>
      </c>
      <c r="Q75" s="24">
        <f>COUNTIFS(B:B,B74)</f>
        <v>34</v>
      </c>
      <c r="R75" s="24">
        <f>COUNTIFS(D:D,D75)</f>
        <v>34</v>
      </c>
    </row>
    <row r="76" spans="1:18" x14ac:dyDescent="0.3">
      <c r="A76" s="14">
        <v>2160</v>
      </c>
      <c r="B76" s="21" t="s">
        <v>280</v>
      </c>
      <c r="C76" s="21" t="s">
        <v>2602</v>
      </c>
      <c r="D76" s="21" t="s">
        <v>2619</v>
      </c>
      <c r="E76" s="1" t="s">
        <v>1134</v>
      </c>
      <c r="F76" s="21" t="s">
        <v>5</v>
      </c>
      <c r="G76" s="14">
        <v>1</v>
      </c>
      <c r="H76" s="14">
        <v>0</v>
      </c>
      <c r="I76" s="22">
        <v>125</v>
      </c>
      <c r="J76" s="23">
        <f>VLOOKUP(I76,episodes!$A$1:$B$76,2,FALSE)</f>
        <v>26</v>
      </c>
      <c r="K76" s="16" t="str">
        <f>VLOOKUP(I76,episodes!$A$1:$E$81,5,FALSE)</f>
        <v>The Devil in the Dark</v>
      </c>
      <c r="L76" s="16">
        <f>VLOOKUP(I76,episodes!$A$1:$D$81,3,FALSE)</f>
        <v>1</v>
      </c>
      <c r="M76" s="16">
        <f>VLOOKUP(I76,episodes!$A$1:$D$81,4,FALSE)</f>
        <v>25</v>
      </c>
      <c r="O76" s="14">
        <v>0</v>
      </c>
      <c r="P76" s="24">
        <f>LEN(E76)+LEN(K76)</f>
        <v>62</v>
      </c>
      <c r="Q76" s="24">
        <f>COUNTIFS(B:B,B75)</f>
        <v>34</v>
      </c>
      <c r="R76" s="24">
        <f>COUNTIFS(D:D,D76)</f>
        <v>34</v>
      </c>
    </row>
    <row r="77" spans="1:18" x14ac:dyDescent="0.3">
      <c r="A77" s="14">
        <v>2189</v>
      </c>
      <c r="B77" s="21" t="s">
        <v>280</v>
      </c>
      <c r="C77" s="21" t="s">
        <v>2602</v>
      </c>
      <c r="D77" s="21" t="s">
        <v>2619</v>
      </c>
      <c r="E77" s="1" t="s">
        <v>420</v>
      </c>
      <c r="F77" s="21" t="s">
        <v>5</v>
      </c>
      <c r="G77" s="14">
        <v>1</v>
      </c>
      <c r="H77" s="14">
        <v>0</v>
      </c>
      <c r="I77" s="22">
        <v>128</v>
      </c>
      <c r="J77" s="23">
        <f>VLOOKUP(I77,episodes!$A$1:$B$76,2,FALSE)</f>
        <v>29</v>
      </c>
      <c r="K77" s="16" t="str">
        <f>VLOOKUP(I77,episodes!$A$1:$E$81,5,FALSE)</f>
        <v>The City on the Edge of Forever</v>
      </c>
      <c r="L77" s="16">
        <f>VLOOKUP(I77,episodes!$A$1:$D$81,3,FALSE)</f>
        <v>1</v>
      </c>
      <c r="M77" s="16">
        <f>VLOOKUP(I77,episodes!$A$1:$D$81,4,FALSE)</f>
        <v>28</v>
      </c>
      <c r="O77" s="14">
        <v>0</v>
      </c>
      <c r="P77" s="24">
        <f>LEN(E77)+LEN(K77)</f>
        <v>66</v>
      </c>
      <c r="Q77" s="24">
        <f>COUNTIFS(B:B,B76)</f>
        <v>34</v>
      </c>
      <c r="R77" s="24">
        <f>COUNTIFS(D:D,D77)</f>
        <v>34</v>
      </c>
    </row>
    <row r="78" spans="1:18" x14ac:dyDescent="0.3">
      <c r="A78" s="14">
        <v>2224</v>
      </c>
      <c r="B78" s="21" t="s">
        <v>280</v>
      </c>
      <c r="C78" s="21" t="s">
        <v>2602</v>
      </c>
      <c r="D78" s="21" t="s">
        <v>2619</v>
      </c>
      <c r="E78" s="1" t="s">
        <v>1586</v>
      </c>
      <c r="F78" s="21" t="s">
        <v>5</v>
      </c>
      <c r="G78" s="14">
        <v>1</v>
      </c>
      <c r="H78" s="14">
        <v>0</v>
      </c>
      <c r="I78" s="22">
        <v>201</v>
      </c>
      <c r="J78" s="23">
        <f>VLOOKUP(I78,episodes!$A$1:$B$76,2,FALSE)</f>
        <v>31</v>
      </c>
      <c r="K78" s="16" t="str">
        <f>VLOOKUP(I78,episodes!$A$1:$E$81,5,FALSE)</f>
        <v>Amok Time</v>
      </c>
      <c r="L78" s="16">
        <f>VLOOKUP(I78,episodes!$A$1:$D$81,3,FALSE)</f>
        <v>2</v>
      </c>
      <c r="M78" s="16">
        <f>VLOOKUP(I78,episodes!$A$1:$D$81,4,FALSE)</f>
        <v>1</v>
      </c>
      <c r="O78" s="14">
        <v>0</v>
      </c>
      <c r="P78" s="24">
        <f>LEN(E78)+LEN(K78)</f>
        <v>139</v>
      </c>
      <c r="Q78" s="24">
        <f>COUNTIFS(B:B,B77)</f>
        <v>34</v>
      </c>
      <c r="R78" s="24">
        <f>COUNTIFS(D:D,D78)</f>
        <v>34</v>
      </c>
    </row>
    <row r="79" spans="1:18" x14ac:dyDescent="0.3">
      <c r="A79" s="14">
        <v>2278</v>
      </c>
      <c r="B79" s="21" t="s">
        <v>280</v>
      </c>
      <c r="C79" s="21" t="s">
        <v>2602</v>
      </c>
      <c r="D79" s="21" t="s">
        <v>2619</v>
      </c>
      <c r="E79" s="1" t="s">
        <v>2291</v>
      </c>
      <c r="F79" s="21" t="s">
        <v>5</v>
      </c>
      <c r="G79" s="14">
        <v>1</v>
      </c>
      <c r="H79" s="14">
        <v>0</v>
      </c>
      <c r="I79" s="14">
        <v>209</v>
      </c>
      <c r="J79" s="23">
        <f>VLOOKUP(I79,episodes!$A$1:$B$81,2,FALSE)</f>
        <v>39</v>
      </c>
      <c r="K79" s="16" t="str">
        <f>VLOOKUP(I79,episodes!$A$1:$E$81,5,FALSE)</f>
        <v>Metamorphosis</v>
      </c>
      <c r="L79" s="16">
        <f>VLOOKUP(I79,episodes!$A$1:$D$81,3,FALSE)</f>
        <v>2</v>
      </c>
      <c r="M79" s="16">
        <f>VLOOKUP(I79,episodes!$A$1:$D$81,4,FALSE)</f>
        <v>9</v>
      </c>
      <c r="O79" s="14">
        <v>0</v>
      </c>
      <c r="P79" s="24">
        <f>LEN(E79)+LEN(K79)</f>
        <v>97</v>
      </c>
      <c r="Q79" s="24">
        <f>COUNTIFS(B:B,B78)</f>
        <v>34</v>
      </c>
      <c r="R79" s="24">
        <f>COUNTIFS(D:D,D79)</f>
        <v>34</v>
      </c>
    </row>
    <row r="80" spans="1:18" x14ac:dyDescent="0.3">
      <c r="A80" s="14">
        <v>2256</v>
      </c>
      <c r="B80" s="21" t="s">
        <v>280</v>
      </c>
      <c r="C80" s="21" t="s">
        <v>2602</v>
      </c>
      <c r="D80" s="21" t="s">
        <v>2619</v>
      </c>
      <c r="E80" s="1" t="s">
        <v>1415</v>
      </c>
      <c r="F80" s="21" t="s">
        <v>5</v>
      </c>
      <c r="G80" s="14">
        <v>1</v>
      </c>
      <c r="H80" s="14">
        <v>0</v>
      </c>
      <c r="I80" s="25">
        <v>206</v>
      </c>
      <c r="J80" s="23">
        <f>VLOOKUP(I80,episodes!$A$1:$B$81,2,FALSE)</f>
        <v>36</v>
      </c>
      <c r="K80" s="16" t="str">
        <f>VLOOKUP(I80,episodes!$A$1:$E$81,5,FALSE)</f>
        <v>The Doomsday Machine</v>
      </c>
      <c r="L80" s="16">
        <f>VLOOKUP(I80,episodes!$A$1:$D$81,3,FALSE)</f>
        <v>2</v>
      </c>
      <c r="M80" s="16">
        <f>VLOOKUP(I80,episodes!$A$1:$D$81,4,FALSE)</f>
        <v>6</v>
      </c>
      <c r="O80" s="14">
        <v>0</v>
      </c>
      <c r="P80" s="24">
        <f>LEN(E80)+LEN(K80)</f>
        <v>165</v>
      </c>
      <c r="Q80" s="24">
        <f>COUNTIFS(B:B,B79)</f>
        <v>34</v>
      </c>
      <c r="R80" s="24">
        <f>COUNTIFS(D:D,D80)</f>
        <v>34</v>
      </c>
    </row>
    <row r="81" spans="1:18" x14ac:dyDescent="0.3">
      <c r="A81" s="14">
        <v>2252</v>
      </c>
      <c r="B81" s="21" t="s">
        <v>280</v>
      </c>
      <c r="C81" s="21" t="s">
        <v>2602</v>
      </c>
      <c r="D81" s="21" t="s">
        <v>2619</v>
      </c>
      <c r="E81" s="1" t="s">
        <v>1136</v>
      </c>
      <c r="F81" s="21" t="s">
        <v>5</v>
      </c>
      <c r="G81" s="14">
        <v>1</v>
      </c>
      <c r="H81" s="14">
        <v>0</v>
      </c>
      <c r="I81" s="25">
        <v>205</v>
      </c>
      <c r="J81" s="23">
        <f>VLOOKUP(I81,episodes!$A$1:$B$81,2,FALSE)</f>
        <v>35</v>
      </c>
      <c r="K81" s="16" t="str">
        <f>VLOOKUP(I81,episodes!$A$1:$E$81,5,FALSE)</f>
        <v>The Apple</v>
      </c>
      <c r="L81" s="16">
        <f>VLOOKUP(I81,episodes!$A$1:$D$81,3,FALSE)</f>
        <v>2</v>
      </c>
      <c r="M81" s="16">
        <f>VLOOKUP(I81,episodes!$A$1:$D$81,4,FALSE)</f>
        <v>5</v>
      </c>
      <c r="O81" s="14">
        <v>0</v>
      </c>
      <c r="P81" s="24">
        <f>LEN(E81)+LEN(K81)</f>
        <v>606</v>
      </c>
      <c r="Q81" s="24">
        <f>COUNTIFS(B:B,B80)</f>
        <v>34</v>
      </c>
      <c r="R81" s="24">
        <f>COUNTIFS(D:D,D81)</f>
        <v>34</v>
      </c>
    </row>
    <row r="82" spans="1:18" x14ac:dyDescent="0.3">
      <c r="A82" s="14">
        <v>2257</v>
      </c>
      <c r="B82" s="21" t="s">
        <v>280</v>
      </c>
      <c r="C82" s="21" t="s">
        <v>2602</v>
      </c>
      <c r="D82" s="21" t="s">
        <v>2619</v>
      </c>
      <c r="E82" s="1" t="s">
        <v>2077</v>
      </c>
      <c r="F82" s="21" t="s">
        <v>5</v>
      </c>
      <c r="G82" s="14">
        <v>1</v>
      </c>
      <c r="H82" s="14">
        <v>0</v>
      </c>
      <c r="I82" s="25">
        <v>206</v>
      </c>
      <c r="J82" s="23">
        <f>VLOOKUP(I82,episodes!$A$1:$B$81,2,FALSE)</f>
        <v>36</v>
      </c>
      <c r="K82" s="16" t="str">
        <f>VLOOKUP(I82,episodes!$A$1:$E$81,5,FALSE)</f>
        <v>The Doomsday Machine</v>
      </c>
      <c r="L82" s="16">
        <f>VLOOKUP(I82,episodes!$A$1:$D$81,3,FALSE)</f>
        <v>2</v>
      </c>
      <c r="M82" s="16">
        <f>VLOOKUP(I82,episodes!$A$1:$D$81,4,FALSE)</f>
        <v>6</v>
      </c>
      <c r="O82" s="14">
        <v>0</v>
      </c>
      <c r="P82" s="24">
        <f>LEN(E82)+LEN(K82)</f>
        <v>403</v>
      </c>
      <c r="Q82" s="24">
        <f>COUNTIFS(B:B,B81)</f>
        <v>34</v>
      </c>
      <c r="R82" s="24">
        <f>COUNTIFS(D:D,D82)</f>
        <v>34</v>
      </c>
    </row>
    <row r="83" spans="1:18" x14ac:dyDescent="0.3">
      <c r="A83" s="14">
        <v>2190</v>
      </c>
      <c r="B83" s="21" t="s">
        <v>280</v>
      </c>
      <c r="C83" s="21" t="s">
        <v>2602</v>
      </c>
      <c r="D83" s="21" t="s">
        <v>2619</v>
      </c>
      <c r="E83" s="1" t="s">
        <v>2292</v>
      </c>
      <c r="F83" s="21" t="s">
        <v>5</v>
      </c>
      <c r="G83" s="14">
        <v>1</v>
      </c>
      <c r="H83" s="14">
        <v>0</v>
      </c>
      <c r="I83" s="22">
        <v>128</v>
      </c>
      <c r="J83" s="23">
        <f>VLOOKUP(I83,episodes!$A$1:$B$76,2,FALSE)</f>
        <v>29</v>
      </c>
      <c r="K83" s="16" t="str">
        <f>VLOOKUP(I83,episodes!$A$1:$E$81,5,FALSE)</f>
        <v>The City on the Edge of Forever</v>
      </c>
      <c r="L83" s="16">
        <f>VLOOKUP(I83,episodes!$A$1:$D$81,3,FALSE)</f>
        <v>1</v>
      </c>
      <c r="M83" s="16">
        <f>VLOOKUP(I83,episodes!$A$1:$D$81,4,FALSE)</f>
        <v>28</v>
      </c>
      <c r="O83" s="14">
        <v>0</v>
      </c>
      <c r="P83" s="24">
        <f>LEN(E83)+LEN(K83)</f>
        <v>128</v>
      </c>
      <c r="Q83" s="24">
        <f>COUNTIFS(B:B,B82)</f>
        <v>34</v>
      </c>
      <c r="R83" s="24">
        <f>COUNTIFS(D:D,D83)</f>
        <v>34</v>
      </c>
    </row>
    <row r="84" spans="1:18" x14ac:dyDescent="0.3">
      <c r="A84" s="14">
        <v>2191</v>
      </c>
      <c r="B84" s="21" t="s">
        <v>280</v>
      </c>
      <c r="C84" s="21" t="s">
        <v>2602</v>
      </c>
      <c r="D84" s="21" t="s">
        <v>2619</v>
      </c>
      <c r="E84" s="1" t="s">
        <v>2070</v>
      </c>
      <c r="F84" s="21" t="s">
        <v>5</v>
      </c>
      <c r="G84" s="14">
        <v>1</v>
      </c>
      <c r="H84" s="14">
        <v>0</v>
      </c>
      <c r="I84" s="22">
        <v>128</v>
      </c>
      <c r="J84" s="23">
        <f>VLOOKUP(I84,episodes!$A$1:$B$76,2,FALSE)</f>
        <v>29</v>
      </c>
      <c r="K84" s="16" t="str">
        <f>VLOOKUP(I84,episodes!$A$1:$E$81,5,FALSE)</f>
        <v>The City on the Edge of Forever</v>
      </c>
      <c r="L84" s="16">
        <f>VLOOKUP(I84,episodes!$A$1:$D$81,3,FALSE)</f>
        <v>1</v>
      </c>
      <c r="M84" s="16">
        <f>VLOOKUP(I84,episodes!$A$1:$D$81,4,FALSE)</f>
        <v>28</v>
      </c>
      <c r="O84" s="14">
        <v>0</v>
      </c>
      <c r="P84" s="24">
        <f>LEN(E84)+LEN(K84)</f>
        <v>92</v>
      </c>
      <c r="Q84" s="24">
        <f>COUNTIFS(B:B,B83)</f>
        <v>34</v>
      </c>
      <c r="R84" s="24">
        <f>COUNTIFS(D:D,D84)</f>
        <v>34</v>
      </c>
    </row>
    <row r="85" spans="1:18" x14ac:dyDescent="0.3">
      <c r="A85" s="14">
        <v>2235</v>
      </c>
      <c r="B85" s="21" t="s">
        <v>280</v>
      </c>
      <c r="C85" s="21" t="s">
        <v>2602</v>
      </c>
      <c r="D85" s="21" t="s">
        <v>2619</v>
      </c>
      <c r="E85" s="1" t="s">
        <v>2073</v>
      </c>
      <c r="F85" s="21" t="s">
        <v>5</v>
      </c>
      <c r="G85" s="14">
        <v>1</v>
      </c>
      <c r="H85" s="14">
        <v>0</v>
      </c>
      <c r="I85" s="25">
        <v>203</v>
      </c>
      <c r="J85" s="23">
        <f>VLOOKUP(I85,episodes!$A$1:$B$76,2,FALSE)</f>
        <v>33</v>
      </c>
      <c r="K85" s="16" t="str">
        <f>VLOOKUP(I85,episodes!$A$1:$E$81,5,FALSE)</f>
        <v>The Changeling</v>
      </c>
      <c r="L85" s="16">
        <f>VLOOKUP(I85,episodes!$A$1:$D$81,3,FALSE)</f>
        <v>2</v>
      </c>
      <c r="M85" s="16">
        <f>VLOOKUP(I85,episodes!$A$1:$D$81,4,FALSE)</f>
        <v>3</v>
      </c>
      <c r="O85" s="14">
        <v>0</v>
      </c>
      <c r="P85" s="24">
        <f>LEN(E85)+LEN(K85)</f>
        <v>271</v>
      </c>
      <c r="Q85" s="24">
        <f>COUNTIFS(B:B,B84)</f>
        <v>34</v>
      </c>
      <c r="R85" s="24">
        <f>COUNTIFS(D:D,D85)</f>
        <v>34</v>
      </c>
    </row>
    <row r="86" spans="1:18" x14ac:dyDescent="0.3">
      <c r="A86" s="14">
        <v>2203</v>
      </c>
      <c r="B86" s="21" t="s">
        <v>280</v>
      </c>
      <c r="C86" s="21" t="s">
        <v>2602</v>
      </c>
      <c r="D86" s="21" t="s">
        <v>2619</v>
      </c>
      <c r="E86" s="1" t="s">
        <v>2072</v>
      </c>
      <c r="F86" s="21" t="s">
        <v>5</v>
      </c>
      <c r="G86" s="14">
        <v>1</v>
      </c>
      <c r="H86" s="14">
        <v>0</v>
      </c>
      <c r="I86" s="22">
        <v>129</v>
      </c>
      <c r="J86" s="23">
        <f>VLOOKUP(I86,episodes!$A$1:$B$76,2,FALSE)</f>
        <v>30</v>
      </c>
      <c r="K86" s="16" t="str">
        <f>VLOOKUP(I86,episodes!$A$1:$E$81,5,FALSE)</f>
        <v>Operation: Annihilate!</v>
      </c>
      <c r="L86" s="16">
        <f>VLOOKUP(I86,episodes!$A$1:$D$81,3,FALSE)</f>
        <v>1</v>
      </c>
      <c r="M86" s="16">
        <f>VLOOKUP(I86,episodes!$A$1:$D$81,4,FALSE)</f>
        <v>29</v>
      </c>
      <c r="O86" s="14">
        <v>0</v>
      </c>
      <c r="P86" s="24">
        <f>LEN(E86)+LEN(K86)</f>
        <v>92</v>
      </c>
      <c r="Q86" s="24">
        <f>COUNTIFS(B:B,B85)</f>
        <v>34</v>
      </c>
      <c r="R86" s="24">
        <f>COUNTIFS(D:D,D86)</f>
        <v>34</v>
      </c>
    </row>
    <row r="87" spans="1:18" x14ac:dyDescent="0.3">
      <c r="A87" s="14">
        <v>2192</v>
      </c>
      <c r="B87" s="21" t="s">
        <v>280</v>
      </c>
      <c r="C87" s="21" t="s">
        <v>2602</v>
      </c>
      <c r="D87" s="21" t="s">
        <v>2619</v>
      </c>
      <c r="E87" s="1" t="s">
        <v>2071</v>
      </c>
      <c r="F87" s="21" t="s">
        <v>5</v>
      </c>
      <c r="G87" s="14">
        <v>1</v>
      </c>
      <c r="H87" s="14">
        <v>0</v>
      </c>
      <c r="I87" s="22">
        <v>128</v>
      </c>
      <c r="J87" s="23">
        <f>VLOOKUP(I87,episodes!$A$1:$B$76,2,FALSE)</f>
        <v>29</v>
      </c>
      <c r="K87" s="16" t="str">
        <f>VLOOKUP(I87,episodes!$A$1:$E$81,5,FALSE)</f>
        <v>The City on the Edge of Forever</v>
      </c>
      <c r="L87" s="16">
        <f>VLOOKUP(I87,episodes!$A$1:$D$81,3,FALSE)</f>
        <v>1</v>
      </c>
      <c r="M87" s="16">
        <f>VLOOKUP(I87,episodes!$A$1:$D$81,4,FALSE)</f>
        <v>28</v>
      </c>
      <c r="O87" s="14">
        <v>0</v>
      </c>
      <c r="P87" s="24">
        <f>LEN(E87)+LEN(K87)</f>
        <v>108</v>
      </c>
      <c r="Q87" s="24">
        <f>COUNTIFS(B:B,B86)</f>
        <v>34</v>
      </c>
      <c r="R87" s="24">
        <f>COUNTIFS(D:D,D87)</f>
        <v>34</v>
      </c>
    </row>
    <row r="88" spans="1:18" x14ac:dyDescent="0.3">
      <c r="A88" s="14">
        <v>2236</v>
      </c>
      <c r="B88" s="21" t="s">
        <v>280</v>
      </c>
      <c r="C88" s="21" t="s">
        <v>2602</v>
      </c>
      <c r="D88" s="21" t="s">
        <v>2619</v>
      </c>
      <c r="E88" s="1" t="s">
        <v>2074</v>
      </c>
      <c r="F88" s="21" t="s">
        <v>5</v>
      </c>
      <c r="G88" s="14">
        <v>1</v>
      </c>
      <c r="H88" s="14">
        <v>0</v>
      </c>
      <c r="I88" s="25">
        <v>203</v>
      </c>
      <c r="J88" s="23">
        <f>VLOOKUP(I88,episodes!$A$1:$B$76,2,FALSE)</f>
        <v>33</v>
      </c>
      <c r="K88" s="16" t="str">
        <f>VLOOKUP(I88,episodes!$A$1:$E$81,5,FALSE)</f>
        <v>The Changeling</v>
      </c>
      <c r="L88" s="16">
        <f>VLOOKUP(I88,episodes!$A$1:$D$81,3,FALSE)</f>
        <v>2</v>
      </c>
      <c r="M88" s="16">
        <f>VLOOKUP(I88,episodes!$A$1:$D$81,4,FALSE)</f>
        <v>3</v>
      </c>
      <c r="O88" s="14">
        <v>0</v>
      </c>
      <c r="P88" s="24">
        <f>LEN(E88)+LEN(K88)</f>
        <v>105</v>
      </c>
      <c r="Q88" s="24">
        <f>COUNTIFS(B:B,B87)</f>
        <v>34</v>
      </c>
      <c r="R88" s="24">
        <f>COUNTIFS(D:D,D88)</f>
        <v>34</v>
      </c>
    </row>
    <row r="89" spans="1:18" x14ac:dyDescent="0.3">
      <c r="A89" s="14">
        <v>2047</v>
      </c>
      <c r="B89" s="21" t="s">
        <v>280</v>
      </c>
      <c r="C89" s="21" t="s">
        <v>2602</v>
      </c>
      <c r="D89" s="21" t="s">
        <v>2619</v>
      </c>
      <c r="E89" s="1" t="s">
        <v>1437</v>
      </c>
      <c r="F89" s="21" t="s">
        <v>5</v>
      </c>
      <c r="G89" s="14">
        <v>1</v>
      </c>
      <c r="H89" s="14">
        <v>0</v>
      </c>
      <c r="I89" s="25">
        <v>101</v>
      </c>
      <c r="J89" s="23">
        <f>VLOOKUP(I89,episodes!$A$1:$B$76,2,FALSE)</f>
        <v>2</v>
      </c>
      <c r="K89" s="16" t="str">
        <f>VLOOKUP(I89,episodes!$A$1:$E$81,5,FALSE)</f>
        <v>The Man Trap</v>
      </c>
      <c r="L89" s="16">
        <f>VLOOKUP(I89,episodes!$A$1:$D$81,3,FALSE)</f>
        <v>1</v>
      </c>
      <c r="M89" s="16">
        <f>VLOOKUP(I89,episodes!$A$1:$D$81,4,FALSE)</f>
        <v>1</v>
      </c>
      <c r="O89" s="14">
        <v>0</v>
      </c>
      <c r="P89" s="24">
        <f>LEN(E89)+LEN(K89)</f>
        <v>214</v>
      </c>
      <c r="Q89" s="24">
        <f>COUNTIFS(B:B,B88)</f>
        <v>34</v>
      </c>
      <c r="R89" s="24">
        <f>COUNTIFS(D:D,D89)</f>
        <v>34</v>
      </c>
    </row>
    <row r="90" spans="1:18" x14ac:dyDescent="0.3">
      <c r="A90" s="14">
        <v>2102</v>
      </c>
      <c r="B90" s="21" t="s">
        <v>2650</v>
      </c>
      <c r="C90" s="21" t="s">
        <v>2602</v>
      </c>
      <c r="D90" s="21" t="s">
        <v>2614</v>
      </c>
      <c r="E90" s="1" t="s">
        <v>1279</v>
      </c>
      <c r="F90" s="21" t="s">
        <v>173</v>
      </c>
      <c r="G90" s="14">
        <v>1</v>
      </c>
      <c r="H90" s="14">
        <v>0</v>
      </c>
      <c r="I90" s="22">
        <v>117</v>
      </c>
      <c r="J90" s="23">
        <f>VLOOKUP(I90,episodes!$A$1:$B$76,2,FALSE)</f>
        <v>18</v>
      </c>
      <c r="K90" s="16" t="str">
        <f>VLOOKUP(I90,episodes!$A$1:$E$81,5,FALSE)</f>
        <v>The Squire of Gothos</v>
      </c>
      <c r="L90" s="16">
        <f>VLOOKUP(I90,episodes!$A$1:$D$81,3,FALSE)</f>
        <v>1</v>
      </c>
      <c r="M90" s="16">
        <f>VLOOKUP(I90,episodes!$A$1:$D$81,4,FALSE)</f>
        <v>17</v>
      </c>
      <c r="O90" s="14">
        <v>0</v>
      </c>
      <c r="P90" s="24">
        <f>LEN(E90)+LEN(K90)</f>
        <v>154</v>
      </c>
      <c r="Q90" s="24">
        <f>COUNTIFS(B:B,B89)</f>
        <v>34</v>
      </c>
      <c r="R90" s="24">
        <f>COUNTIFS(D:D,D90)</f>
        <v>24</v>
      </c>
    </row>
    <row r="91" spans="1:18" x14ac:dyDescent="0.3">
      <c r="A91" s="14">
        <v>2258</v>
      </c>
      <c r="B91" s="21" t="s">
        <v>2650</v>
      </c>
      <c r="C91" s="21" t="s">
        <v>2602</v>
      </c>
      <c r="D91" s="21" t="s">
        <v>2614</v>
      </c>
      <c r="E91" s="1" t="s">
        <v>1418</v>
      </c>
      <c r="F91" s="21" t="s">
        <v>5</v>
      </c>
      <c r="G91" s="14">
        <v>1</v>
      </c>
      <c r="H91" s="14">
        <v>0</v>
      </c>
      <c r="I91" s="22">
        <v>207</v>
      </c>
      <c r="J91" s="23">
        <f>VLOOKUP(I91,episodes!$A$1:$B$81,2,FALSE)</f>
        <v>37</v>
      </c>
      <c r="K91" s="16" t="str">
        <f>VLOOKUP(I91,episodes!$A$1:$E$81,5,FALSE)</f>
        <v>Catspaw</v>
      </c>
      <c r="L91" s="16">
        <f>VLOOKUP(I91,episodes!$A$1:$D$81,3,FALSE)</f>
        <v>2</v>
      </c>
      <c r="M91" s="16">
        <f>VLOOKUP(I91,episodes!$A$1:$D$81,4,FALSE)</f>
        <v>7</v>
      </c>
      <c r="O91" s="14">
        <v>0</v>
      </c>
      <c r="P91" s="24">
        <f>LEN(E91)+LEN(K91)</f>
        <v>103</v>
      </c>
      <c r="Q91" s="24">
        <f>COUNTIFS(B:B,B90)</f>
        <v>24</v>
      </c>
      <c r="R91" s="24">
        <f>COUNTIFS(D:D,D91)</f>
        <v>24</v>
      </c>
    </row>
    <row r="92" spans="1:18" x14ac:dyDescent="0.3">
      <c r="A92" s="14">
        <v>2238</v>
      </c>
      <c r="B92" s="21" t="s">
        <v>2650</v>
      </c>
      <c r="C92" s="21" t="s">
        <v>2602</v>
      </c>
      <c r="D92" s="21" t="s">
        <v>2614</v>
      </c>
      <c r="E92" s="1" t="s">
        <v>1402</v>
      </c>
      <c r="F92" s="21" t="s">
        <v>5</v>
      </c>
      <c r="G92" s="14">
        <v>1</v>
      </c>
      <c r="H92" s="14">
        <v>0</v>
      </c>
      <c r="I92" s="25">
        <v>204</v>
      </c>
      <c r="J92" s="23">
        <f>VLOOKUP(I92,episodes!$A$1:$B$81,2,FALSE)</f>
        <v>34</v>
      </c>
      <c r="K92" s="16" t="str">
        <f>VLOOKUP(I92,episodes!$A$1:$E$81,5,FALSE)</f>
        <v>Mirror, Mirror</v>
      </c>
      <c r="L92" s="16">
        <f>VLOOKUP(I92,episodes!$A$1:$D$81,3,FALSE)</f>
        <v>2</v>
      </c>
      <c r="M92" s="16">
        <f>VLOOKUP(I92,episodes!$A$1:$D$81,4,FALSE)</f>
        <v>4</v>
      </c>
      <c r="O92" s="14">
        <v>0</v>
      </c>
      <c r="P92" s="24">
        <f>LEN(E92)+LEN(K92)</f>
        <v>128</v>
      </c>
      <c r="Q92" s="24">
        <f>COUNTIFS(B:B,B91)</f>
        <v>24</v>
      </c>
      <c r="R92" s="24">
        <f>COUNTIFS(D:D,D92)</f>
        <v>24</v>
      </c>
    </row>
    <row r="93" spans="1:18" x14ac:dyDescent="0.3">
      <c r="A93" s="14">
        <v>2074</v>
      </c>
      <c r="B93" s="21" t="s">
        <v>2650</v>
      </c>
      <c r="C93" s="21" t="s">
        <v>2602</v>
      </c>
      <c r="D93" s="21" t="s">
        <v>2614</v>
      </c>
      <c r="E93" s="1" t="s">
        <v>1727</v>
      </c>
      <c r="F93" s="21" t="s">
        <v>5</v>
      </c>
      <c r="G93" s="14">
        <v>1</v>
      </c>
      <c r="H93" s="14">
        <v>0</v>
      </c>
      <c r="I93" s="25">
        <v>109</v>
      </c>
      <c r="J93" s="23">
        <f>VLOOKUP(I93,episodes!$A$1:$B$76,2,FALSE)</f>
        <v>10</v>
      </c>
      <c r="K93" s="16" t="str">
        <f>VLOOKUP(I93,episodes!$A$1:$E$81,5,FALSE)</f>
        <v>Dagger of the Mind</v>
      </c>
      <c r="L93" s="16">
        <f>VLOOKUP(I93,episodes!$A$1:$D$81,3,FALSE)</f>
        <v>1</v>
      </c>
      <c r="M93" s="16">
        <f>VLOOKUP(I93,episodes!$A$1:$D$81,4,FALSE)</f>
        <v>9</v>
      </c>
      <c r="O93" s="14">
        <v>0</v>
      </c>
      <c r="P93" s="24">
        <f>LEN(E93)+LEN(K93)</f>
        <v>347</v>
      </c>
      <c r="Q93" s="24">
        <f>COUNTIFS(B:B,B92)</f>
        <v>24</v>
      </c>
      <c r="R93" s="24">
        <f>COUNTIFS(D:D,D93)</f>
        <v>24</v>
      </c>
    </row>
    <row r="94" spans="1:18" x14ac:dyDescent="0.3">
      <c r="A94" s="14">
        <v>1636</v>
      </c>
      <c r="B94" s="21" t="s">
        <v>2650</v>
      </c>
      <c r="C94" s="21" t="s">
        <v>2602</v>
      </c>
      <c r="D94" s="21" t="s">
        <v>2614</v>
      </c>
      <c r="E94" s="1" t="s">
        <v>1380</v>
      </c>
      <c r="F94" s="21" t="s">
        <v>8</v>
      </c>
      <c r="G94" s="14">
        <v>0</v>
      </c>
      <c r="H94" s="14">
        <v>1</v>
      </c>
      <c r="I94" s="22">
        <v>202</v>
      </c>
      <c r="J94" s="23">
        <f>VLOOKUP(I94,episodes!$A$1:$B$76,2,FALSE)</f>
        <v>32</v>
      </c>
      <c r="K94" s="16" t="str">
        <f>VLOOKUP(I94,episodes!$A$1:$E$81,5,FALSE)</f>
        <v>Who Mourns for Adonais?</v>
      </c>
      <c r="L94" s="16">
        <f>VLOOKUP(I94,episodes!$A$1:$D$81,3,FALSE)</f>
        <v>2</v>
      </c>
      <c r="M94" s="16">
        <f>VLOOKUP(I94,episodes!$A$1:$D$81,4,FALSE)</f>
        <v>2</v>
      </c>
      <c r="O94" s="14">
        <v>0</v>
      </c>
      <c r="P94" s="24">
        <f>LEN(E94)+LEN(K94)</f>
        <v>60</v>
      </c>
      <c r="Q94" s="24">
        <f>COUNTIFS(B:B,B93)</f>
        <v>24</v>
      </c>
      <c r="R94" s="24">
        <f>COUNTIFS(D:D,D94)</f>
        <v>24</v>
      </c>
    </row>
    <row r="95" spans="1:18" x14ac:dyDescent="0.3">
      <c r="A95" s="14">
        <v>2022</v>
      </c>
      <c r="B95" s="21" t="s">
        <v>2650</v>
      </c>
      <c r="C95" s="21" t="s">
        <v>2602</v>
      </c>
      <c r="D95" s="21" t="s">
        <v>2614</v>
      </c>
      <c r="E95" s="1" t="s">
        <v>1577</v>
      </c>
      <c r="F95" s="21" t="s">
        <v>5</v>
      </c>
      <c r="G95" s="14">
        <v>1</v>
      </c>
      <c r="H95" s="14">
        <v>0</v>
      </c>
      <c r="I95" s="25">
        <v>106</v>
      </c>
      <c r="J95" s="23">
        <f>VLOOKUP(I95,episodes!$A$1:$B$76,2,FALSE)</f>
        <v>7</v>
      </c>
      <c r="K95" s="16" t="str">
        <f>VLOOKUP(I95,episodes!$A$1:$E$81,5,FALSE)</f>
        <v>Mudd's Women</v>
      </c>
      <c r="L95" s="16">
        <f>VLOOKUP(I95,episodes!$A$1:$D$81,3,FALSE)</f>
        <v>1</v>
      </c>
      <c r="M95" s="16">
        <f>VLOOKUP(I95,episodes!$A$1:$D$81,4,FALSE)</f>
        <v>6</v>
      </c>
      <c r="O95" s="14">
        <v>0</v>
      </c>
      <c r="P95" s="24">
        <f>LEN(E95)+LEN(K95)</f>
        <v>120</v>
      </c>
      <c r="Q95" s="24">
        <f>COUNTIFS(B:B,B94)</f>
        <v>24</v>
      </c>
      <c r="R95" s="24">
        <f>COUNTIFS(D:D,D95)</f>
        <v>24</v>
      </c>
    </row>
    <row r="96" spans="1:18" x14ac:dyDescent="0.3">
      <c r="A96" s="14">
        <v>2273</v>
      </c>
      <c r="B96" s="21" t="s">
        <v>2650</v>
      </c>
      <c r="C96" s="21" t="s">
        <v>2602</v>
      </c>
      <c r="D96" s="21" t="s">
        <v>2614</v>
      </c>
      <c r="E96" s="1" t="s">
        <v>1424</v>
      </c>
      <c r="F96" s="21" t="s">
        <v>5</v>
      </c>
      <c r="G96" s="14">
        <v>1</v>
      </c>
      <c r="H96" s="14">
        <v>0</v>
      </c>
      <c r="I96" s="14">
        <v>209</v>
      </c>
      <c r="J96" s="23">
        <f>VLOOKUP(I96,episodes!$A$1:$B$81,2,FALSE)</f>
        <v>39</v>
      </c>
      <c r="K96" s="16" t="str">
        <f>VLOOKUP(I96,episodes!$A$1:$E$81,5,FALSE)</f>
        <v>Metamorphosis</v>
      </c>
      <c r="L96" s="16">
        <f>VLOOKUP(I96,episodes!$A$1:$D$81,3,FALSE)</f>
        <v>2</v>
      </c>
      <c r="M96" s="16">
        <f>VLOOKUP(I96,episodes!$A$1:$D$81,4,FALSE)</f>
        <v>9</v>
      </c>
      <c r="O96" s="14">
        <v>0</v>
      </c>
      <c r="P96" s="24">
        <f>LEN(E96)+LEN(K96)</f>
        <v>192</v>
      </c>
      <c r="Q96" s="24">
        <f>COUNTIFS(B:B,B95)</f>
        <v>24</v>
      </c>
      <c r="R96" s="24">
        <f>COUNTIFS(D:D,D96)</f>
        <v>24</v>
      </c>
    </row>
    <row r="97" spans="1:18" x14ac:dyDescent="0.3">
      <c r="A97" s="14">
        <v>2259</v>
      </c>
      <c r="B97" s="21" t="s">
        <v>2650</v>
      </c>
      <c r="C97" s="21" t="s">
        <v>2602</v>
      </c>
      <c r="D97" s="21" t="s">
        <v>2614</v>
      </c>
      <c r="E97" s="1" t="s">
        <v>1419</v>
      </c>
      <c r="F97" s="21" t="s">
        <v>5</v>
      </c>
      <c r="G97" s="14">
        <v>1</v>
      </c>
      <c r="H97" s="14">
        <v>0</v>
      </c>
      <c r="I97" s="22">
        <v>207</v>
      </c>
      <c r="J97" s="23">
        <f>VLOOKUP(I97,episodes!$A$1:$B$81,2,FALSE)</f>
        <v>37</v>
      </c>
      <c r="K97" s="16" t="str">
        <f>VLOOKUP(I97,episodes!$A$1:$E$81,5,FALSE)</f>
        <v>Catspaw</v>
      </c>
      <c r="L97" s="16">
        <f>VLOOKUP(I97,episodes!$A$1:$D$81,3,FALSE)</f>
        <v>2</v>
      </c>
      <c r="M97" s="16">
        <f>VLOOKUP(I97,episodes!$A$1:$D$81,4,FALSE)</f>
        <v>7</v>
      </c>
      <c r="O97" s="14">
        <v>0</v>
      </c>
      <c r="P97" s="24">
        <f>LEN(E97)+LEN(K97)</f>
        <v>85</v>
      </c>
      <c r="Q97" s="24">
        <f>COUNTIFS(B:B,B96)</f>
        <v>24</v>
      </c>
      <c r="R97" s="24">
        <f>COUNTIFS(D:D,D97)</f>
        <v>24</v>
      </c>
    </row>
    <row r="98" spans="1:18" x14ac:dyDescent="0.3">
      <c r="A98" s="14">
        <v>2120</v>
      </c>
      <c r="B98" s="21" t="s">
        <v>2650</v>
      </c>
      <c r="C98" s="21" t="s">
        <v>2602</v>
      </c>
      <c r="D98" s="21" t="s">
        <v>2614</v>
      </c>
      <c r="E98" s="1" t="s">
        <v>1307</v>
      </c>
      <c r="F98" s="21" t="s">
        <v>5</v>
      </c>
      <c r="G98" s="14">
        <v>1</v>
      </c>
      <c r="H98" s="14">
        <v>0</v>
      </c>
      <c r="I98" s="22">
        <v>121</v>
      </c>
      <c r="J98" s="23">
        <f>VLOOKUP(I98,episodes!$A$1:$B$76,2,FALSE)</f>
        <v>22</v>
      </c>
      <c r="K98" s="16" t="str">
        <f>VLOOKUP(I98,episodes!$A$1:$E$81,5,FALSE)</f>
        <v>The Return of the Archons</v>
      </c>
      <c r="L98" s="16">
        <f>VLOOKUP(I98,episodes!$A$1:$D$81,3,FALSE)</f>
        <v>1</v>
      </c>
      <c r="M98" s="16">
        <f>VLOOKUP(I98,episodes!$A$1:$D$81,4,FALSE)</f>
        <v>21</v>
      </c>
      <c r="O98" s="14">
        <v>0</v>
      </c>
      <c r="P98" s="24">
        <f>LEN(E98)+LEN(K98)</f>
        <v>110</v>
      </c>
      <c r="Q98" s="24">
        <f>COUNTIFS(B:B,B97)</f>
        <v>24</v>
      </c>
      <c r="R98" s="24">
        <f>COUNTIFS(D:D,D98)</f>
        <v>24</v>
      </c>
    </row>
    <row r="99" spans="1:18" x14ac:dyDescent="0.3">
      <c r="A99" s="14">
        <v>2151</v>
      </c>
      <c r="B99" s="21" t="s">
        <v>2650</v>
      </c>
      <c r="C99" s="21" t="s">
        <v>2602</v>
      </c>
      <c r="D99" s="21" t="s">
        <v>2614</v>
      </c>
      <c r="E99" s="1" t="s">
        <v>1334</v>
      </c>
      <c r="F99" s="21" t="s">
        <v>5</v>
      </c>
      <c r="G99" s="14">
        <v>1</v>
      </c>
      <c r="H99" s="14">
        <v>0</v>
      </c>
      <c r="I99" s="22">
        <v>125</v>
      </c>
      <c r="J99" s="23">
        <f>VLOOKUP(I99,episodes!$A$1:$B$76,2,FALSE)</f>
        <v>26</v>
      </c>
      <c r="K99" s="16" t="str">
        <f>VLOOKUP(I99,episodes!$A$1:$E$81,5,FALSE)</f>
        <v>The Devil in the Dark</v>
      </c>
      <c r="L99" s="16">
        <f>VLOOKUP(I99,episodes!$A$1:$D$81,3,FALSE)</f>
        <v>1</v>
      </c>
      <c r="M99" s="16">
        <f>VLOOKUP(I99,episodes!$A$1:$D$81,4,FALSE)</f>
        <v>25</v>
      </c>
      <c r="O99" s="14">
        <v>0</v>
      </c>
      <c r="P99" s="24">
        <f>LEN(E99)+LEN(K99)</f>
        <v>91</v>
      </c>
      <c r="Q99" s="24">
        <f>COUNTIFS(B:B,B98)</f>
        <v>24</v>
      </c>
      <c r="R99" s="24">
        <f>COUNTIFS(D:D,D99)</f>
        <v>24</v>
      </c>
    </row>
    <row r="100" spans="1:18" x14ac:dyDescent="0.3">
      <c r="A100" s="14">
        <v>2089</v>
      </c>
      <c r="B100" s="21" t="s">
        <v>2650</v>
      </c>
      <c r="C100" s="21" t="s">
        <v>2602</v>
      </c>
      <c r="D100" s="21" t="s">
        <v>2614</v>
      </c>
      <c r="E100" s="1" t="s">
        <v>1268</v>
      </c>
      <c r="F100" s="21" t="s">
        <v>5</v>
      </c>
      <c r="G100" s="14">
        <v>1</v>
      </c>
      <c r="H100" s="14">
        <v>0</v>
      </c>
      <c r="I100" s="22">
        <v>115</v>
      </c>
      <c r="J100" s="23">
        <f>VLOOKUP(I100,episodes!$A$1:$B$76,2,FALSE)</f>
        <v>16</v>
      </c>
      <c r="K100" s="16" t="str">
        <f>VLOOKUP(I100,episodes!$A$1:$E$81,5,FALSE)</f>
        <v>Shore Leave</v>
      </c>
      <c r="L100" s="16">
        <f>VLOOKUP(I100,episodes!$A$1:$D$81,3,FALSE)</f>
        <v>1</v>
      </c>
      <c r="M100" s="16">
        <f>VLOOKUP(I100,episodes!$A$1:$D$81,4,FALSE)</f>
        <v>15</v>
      </c>
      <c r="O100" s="14">
        <v>0</v>
      </c>
      <c r="P100" s="24">
        <f>LEN(E100)+LEN(K100)</f>
        <v>105</v>
      </c>
      <c r="Q100" s="24">
        <f>COUNTIFS(B:B,B99)</f>
        <v>24</v>
      </c>
      <c r="R100" s="24">
        <f>COUNTIFS(D:D,D100)</f>
        <v>24</v>
      </c>
    </row>
    <row r="101" spans="1:18" x14ac:dyDescent="0.3">
      <c r="A101" s="14">
        <v>2242</v>
      </c>
      <c r="B101" s="21" t="s">
        <v>2650</v>
      </c>
      <c r="C101" s="21" t="s">
        <v>2602</v>
      </c>
      <c r="D101" s="21" t="s">
        <v>2614</v>
      </c>
      <c r="E101" s="1" t="s">
        <v>2003</v>
      </c>
      <c r="F101" s="21" t="s">
        <v>5</v>
      </c>
      <c r="G101" s="14">
        <v>1</v>
      </c>
      <c r="H101" s="14">
        <v>0</v>
      </c>
      <c r="I101" s="25">
        <v>205</v>
      </c>
      <c r="J101" s="23">
        <f>VLOOKUP(I101,episodes!$A$1:$B$81,2,FALSE)</f>
        <v>35</v>
      </c>
      <c r="K101" s="16" t="str">
        <f>VLOOKUP(I101,episodes!$A$1:$E$81,5,FALSE)</f>
        <v>The Apple</v>
      </c>
      <c r="L101" s="16">
        <f>VLOOKUP(I101,episodes!$A$1:$D$81,3,FALSE)</f>
        <v>2</v>
      </c>
      <c r="M101" s="16">
        <f>VLOOKUP(I101,episodes!$A$1:$D$81,4,FALSE)</f>
        <v>5</v>
      </c>
      <c r="O101" s="14">
        <v>0</v>
      </c>
      <c r="P101" s="24">
        <f>LEN(E101)+LEN(K101)</f>
        <v>70</v>
      </c>
      <c r="Q101" s="24">
        <f>COUNTIFS(B:B,B100)</f>
        <v>24</v>
      </c>
      <c r="R101" s="24">
        <f>COUNTIFS(D:D,D101)</f>
        <v>24</v>
      </c>
    </row>
    <row r="102" spans="1:18" x14ac:dyDescent="0.3">
      <c r="A102" s="14">
        <v>2265</v>
      </c>
      <c r="B102" s="21" t="s">
        <v>2650</v>
      </c>
      <c r="C102" s="21" t="s">
        <v>2602</v>
      </c>
      <c r="D102" s="21" t="s">
        <v>2614</v>
      </c>
      <c r="E102" s="1" t="s">
        <v>2278</v>
      </c>
      <c r="F102" s="21" t="s">
        <v>5</v>
      </c>
      <c r="G102" s="14">
        <v>1</v>
      </c>
      <c r="H102" s="14">
        <v>0</v>
      </c>
      <c r="I102" s="22">
        <v>208</v>
      </c>
      <c r="J102" s="23">
        <f>VLOOKUP(I102,episodes!$A$1:$B$81,2,FALSE)</f>
        <v>38</v>
      </c>
      <c r="K102" s="16" t="str">
        <f>VLOOKUP(I102,episodes!$A$1:$E$81,5,FALSE)</f>
        <v>I, Mudd</v>
      </c>
      <c r="L102" s="16">
        <f>VLOOKUP(I102,episodes!$A$1:$D$81,3,FALSE)</f>
        <v>2</v>
      </c>
      <c r="M102" s="16">
        <f>VLOOKUP(I102,episodes!$A$1:$D$81,4,FALSE)</f>
        <v>8</v>
      </c>
      <c r="O102" s="14">
        <v>0</v>
      </c>
      <c r="P102" s="24">
        <f>LEN(E102)+LEN(K102)</f>
        <v>142</v>
      </c>
      <c r="Q102" s="24">
        <f>COUNTIFS(B:B,B101)</f>
        <v>24</v>
      </c>
      <c r="R102" s="24">
        <f>COUNTIFS(D:D,D102)</f>
        <v>24</v>
      </c>
    </row>
    <row r="103" spans="1:18" x14ac:dyDescent="0.3">
      <c r="A103" s="14">
        <v>2266</v>
      </c>
      <c r="B103" s="21" t="s">
        <v>2650</v>
      </c>
      <c r="C103" s="21" t="s">
        <v>2602</v>
      </c>
      <c r="D103" s="21" t="s">
        <v>2614</v>
      </c>
      <c r="E103" s="1" t="s">
        <v>2279</v>
      </c>
      <c r="F103" s="21" t="s">
        <v>5</v>
      </c>
      <c r="G103" s="14">
        <v>1</v>
      </c>
      <c r="H103" s="14">
        <v>0</v>
      </c>
      <c r="I103" s="22">
        <v>208</v>
      </c>
      <c r="J103" s="23">
        <f>VLOOKUP(I103,episodes!$A$1:$B$81,2,FALSE)</f>
        <v>38</v>
      </c>
      <c r="K103" s="16" t="str">
        <f>VLOOKUP(I103,episodes!$A$1:$E$81,5,FALSE)</f>
        <v>I, Mudd</v>
      </c>
      <c r="L103" s="16">
        <f>VLOOKUP(I103,episodes!$A$1:$D$81,3,FALSE)</f>
        <v>2</v>
      </c>
      <c r="M103" s="16">
        <f>VLOOKUP(I103,episodes!$A$1:$D$81,4,FALSE)</f>
        <v>8</v>
      </c>
      <c r="O103" s="14">
        <v>0</v>
      </c>
      <c r="P103" s="24">
        <f>LEN(E103)+LEN(K103)</f>
        <v>102</v>
      </c>
      <c r="Q103" s="24">
        <f>COUNTIFS(B:B,B102)</f>
        <v>24</v>
      </c>
      <c r="R103" s="24">
        <f>COUNTIFS(D:D,D103)</f>
        <v>24</v>
      </c>
    </row>
    <row r="104" spans="1:18" x14ac:dyDescent="0.3">
      <c r="A104" s="14">
        <v>2232</v>
      </c>
      <c r="B104" s="21" t="s">
        <v>2650</v>
      </c>
      <c r="C104" s="21" t="s">
        <v>2602</v>
      </c>
      <c r="D104" s="21" t="s">
        <v>2614</v>
      </c>
      <c r="E104" s="1" t="s">
        <v>1389</v>
      </c>
      <c r="F104" s="21" t="s">
        <v>5</v>
      </c>
      <c r="G104" s="14">
        <v>1</v>
      </c>
      <c r="H104" s="14">
        <v>0</v>
      </c>
      <c r="I104" s="25">
        <v>203</v>
      </c>
      <c r="J104" s="23">
        <f>VLOOKUP(I104,episodes!$A$1:$B$76,2,FALSE)</f>
        <v>33</v>
      </c>
      <c r="K104" s="16" t="str">
        <f>VLOOKUP(I104,episodes!$A$1:$E$81,5,FALSE)</f>
        <v>The Changeling</v>
      </c>
      <c r="L104" s="16">
        <f>VLOOKUP(I104,episodes!$A$1:$D$81,3,FALSE)</f>
        <v>2</v>
      </c>
      <c r="M104" s="16">
        <f>VLOOKUP(I104,episodes!$A$1:$D$81,4,FALSE)</f>
        <v>3</v>
      </c>
      <c r="O104" s="14">
        <v>0</v>
      </c>
      <c r="P104" s="24">
        <f>LEN(E104)+LEN(K104)</f>
        <v>41</v>
      </c>
      <c r="Q104" s="24">
        <f>COUNTIFS(B:B,B103)</f>
        <v>24</v>
      </c>
      <c r="R104" s="24">
        <f>COUNTIFS(D:D,D104)</f>
        <v>24</v>
      </c>
    </row>
    <row r="105" spans="1:18" x14ac:dyDescent="0.3">
      <c r="A105" s="14">
        <v>2164</v>
      </c>
      <c r="B105" s="21" t="s">
        <v>2650</v>
      </c>
      <c r="C105" s="21" t="s">
        <v>2602</v>
      </c>
      <c r="D105" s="21" t="s">
        <v>2614</v>
      </c>
      <c r="E105" s="1" t="s">
        <v>1340</v>
      </c>
      <c r="F105" s="21" t="s">
        <v>5</v>
      </c>
      <c r="G105" s="14">
        <v>1</v>
      </c>
      <c r="H105" s="14">
        <v>0</v>
      </c>
      <c r="I105" s="22">
        <v>126</v>
      </c>
      <c r="J105" s="23">
        <f>VLOOKUP(I105,episodes!$A$1:$B$76,2,FALSE)</f>
        <v>27</v>
      </c>
      <c r="K105" s="16" t="str">
        <f>VLOOKUP(I105,episodes!$A$1:$E$81,5,FALSE)</f>
        <v>Errand of Mercy</v>
      </c>
      <c r="L105" s="16">
        <f>VLOOKUP(I105,episodes!$A$1:$D$81,3,FALSE)</f>
        <v>1</v>
      </c>
      <c r="M105" s="16">
        <f>VLOOKUP(I105,episodes!$A$1:$D$81,4,FALSE)</f>
        <v>26</v>
      </c>
      <c r="O105" s="14">
        <v>0</v>
      </c>
      <c r="P105" s="24">
        <f>LEN(E105)+LEN(K105)</f>
        <v>47</v>
      </c>
      <c r="Q105" s="24">
        <f>COUNTIFS(B:B,B104)</f>
        <v>24</v>
      </c>
      <c r="R105" s="24">
        <f>COUNTIFS(D:D,D105)</f>
        <v>24</v>
      </c>
    </row>
    <row r="106" spans="1:18" x14ac:dyDescent="0.3">
      <c r="A106" s="14">
        <v>2243</v>
      </c>
      <c r="B106" s="21" t="s">
        <v>2650</v>
      </c>
      <c r="C106" s="21" t="s">
        <v>2602</v>
      </c>
      <c r="D106" s="21" t="s">
        <v>2614</v>
      </c>
      <c r="E106" s="1" t="s">
        <v>2004</v>
      </c>
      <c r="F106" s="21" t="s">
        <v>5</v>
      </c>
      <c r="G106" s="14">
        <v>1</v>
      </c>
      <c r="H106" s="14">
        <v>0</v>
      </c>
      <c r="I106" s="25">
        <v>205</v>
      </c>
      <c r="J106" s="23">
        <f>VLOOKUP(I106,episodes!$A$1:$B$81,2,FALSE)</f>
        <v>35</v>
      </c>
      <c r="K106" s="16" t="str">
        <f>VLOOKUP(I106,episodes!$A$1:$E$81,5,FALSE)</f>
        <v>The Apple</v>
      </c>
      <c r="L106" s="16">
        <f>VLOOKUP(I106,episodes!$A$1:$D$81,3,FALSE)</f>
        <v>2</v>
      </c>
      <c r="M106" s="16">
        <f>VLOOKUP(I106,episodes!$A$1:$D$81,4,FALSE)</f>
        <v>5</v>
      </c>
      <c r="O106" s="14">
        <v>0</v>
      </c>
      <c r="P106" s="24">
        <f>LEN(E106)+LEN(K106)</f>
        <v>61</v>
      </c>
      <c r="Q106" s="24">
        <f>COUNTIFS(B:B,B105)</f>
        <v>24</v>
      </c>
      <c r="R106" s="24">
        <f>COUNTIFS(D:D,D106)</f>
        <v>24</v>
      </c>
    </row>
    <row r="107" spans="1:18" x14ac:dyDescent="0.3">
      <c r="A107" s="14">
        <v>2152</v>
      </c>
      <c r="B107" s="21" t="s">
        <v>2650</v>
      </c>
      <c r="C107" s="21" t="s">
        <v>2602</v>
      </c>
      <c r="D107" s="21" t="s">
        <v>2614</v>
      </c>
      <c r="E107" s="1" t="s">
        <v>1335</v>
      </c>
      <c r="F107" s="21" t="s">
        <v>5</v>
      </c>
      <c r="G107" s="14">
        <v>1</v>
      </c>
      <c r="H107" s="14">
        <v>0</v>
      </c>
      <c r="I107" s="22">
        <v>125</v>
      </c>
      <c r="J107" s="23">
        <f>VLOOKUP(I107,episodes!$A$1:$B$76,2,FALSE)</f>
        <v>26</v>
      </c>
      <c r="K107" s="16" t="str">
        <f>VLOOKUP(I107,episodes!$A$1:$E$81,5,FALSE)</f>
        <v>The Devil in the Dark</v>
      </c>
      <c r="L107" s="16">
        <f>VLOOKUP(I107,episodes!$A$1:$D$81,3,FALSE)</f>
        <v>1</v>
      </c>
      <c r="M107" s="16">
        <f>VLOOKUP(I107,episodes!$A$1:$D$81,4,FALSE)</f>
        <v>25</v>
      </c>
      <c r="O107" s="14">
        <v>0</v>
      </c>
      <c r="P107" s="24">
        <f>LEN(E107)+LEN(K107)</f>
        <v>65</v>
      </c>
      <c r="Q107" s="24">
        <f>COUNTIFS(B:B,B106)</f>
        <v>24</v>
      </c>
      <c r="R107" s="24">
        <f>COUNTIFS(D:D,D107)</f>
        <v>24</v>
      </c>
    </row>
    <row r="108" spans="1:18" x14ac:dyDescent="0.3">
      <c r="A108" s="14">
        <v>2078</v>
      </c>
      <c r="B108" s="21" t="s">
        <v>2650</v>
      </c>
      <c r="C108" s="21" t="s">
        <v>2602</v>
      </c>
      <c r="D108" s="21" t="s">
        <v>2614</v>
      </c>
      <c r="E108" s="1" t="s">
        <v>1746</v>
      </c>
      <c r="F108" s="21" t="s">
        <v>5</v>
      </c>
      <c r="G108" s="14">
        <v>1</v>
      </c>
      <c r="H108" s="14">
        <v>0</v>
      </c>
      <c r="I108" s="25">
        <v>110</v>
      </c>
      <c r="J108" s="23">
        <f>VLOOKUP(I108,episodes!$A$1:$B$76,2,FALSE)</f>
        <v>11</v>
      </c>
      <c r="K108" s="16" t="str">
        <f>VLOOKUP(I108,episodes!$A$1:$E$81,5,FALSE)</f>
        <v>The Corbomite Maneuver</v>
      </c>
      <c r="L108" s="16">
        <f>VLOOKUP(I108,episodes!$A$1:$D$81,3,FALSE)</f>
        <v>1</v>
      </c>
      <c r="M108" s="16">
        <f>VLOOKUP(I108,episodes!$A$1:$D$81,4,FALSE)</f>
        <v>10</v>
      </c>
      <c r="O108" s="14">
        <v>0</v>
      </c>
      <c r="P108" s="24">
        <f>LEN(E108)+LEN(K108)</f>
        <v>153</v>
      </c>
      <c r="Q108" s="24">
        <f>COUNTIFS(B:B,B107)</f>
        <v>24</v>
      </c>
      <c r="R108" s="24">
        <f>COUNTIFS(D:D,D108)</f>
        <v>24</v>
      </c>
    </row>
    <row r="109" spans="1:18" x14ac:dyDescent="0.3">
      <c r="A109" s="14">
        <v>2041</v>
      </c>
      <c r="B109" s="21" t="s">
        <v>2650</v>
      </c>
      <c r="C109" s="21" t="s">
        <v>2602</v>
      </c>
      <c r="D109" s="21" t="s">
        <v>2614</v>
      </c>
      <c r="E109" s="1" t="s">
        <v>1450</v>
      </c>
      <c r="F109" s="21" t="s">
        <v>5</v>
      </c>
      <c r="G109" s="14">
        <v>1</v>
      </c>
      <c r="H109" s="14">
        <v>0</v>
      </c>
      <c r="I109" s="25">
        <v>101</v>
      </c>
      <c r="J109" s="23">
        <f>VLOOKUP(I109,episodes!$A$1:$B$76,2,FALSE)</f>
        <v>2</v>
      </c>
      <c r="K109" s="16" t="str">
        <f>VLOOKUP(I109,episodes!$A$1:$E$81,5,FALSE)</f>
        <v>The Man Trap</v>
      </c>
      <c r="L109" s="16">
        <f>VLOOKUP(I109,episodes!$A$1:$D$81,3,FALSE)</f>
        <v>1</v>
      </c>
      <c r="M109" s="16">
        <f>VLOOKUP(I109,episodes!$A$1:$D$81,4,FALSE)</f>
        <v>1</v>
      </c>
      <c r="O109" s="14">
        <v>0</v>
      </c>
      <c r="P109" s="24">
        <f>LEN(E109)+LEN(K109)</f>
        <v>152</v>
      </c>
      <c r="Q109" s="24">
        <f>COUNTIFS(B:B,B108)</f>
        <v>24</v>
      </c>
      <c r="R109" s="24">
        <f>COUNTIFS(D:D,D109)</f>
        <v>24</v>
      </c>
    </row>
    <row r="110" spans="1:18" x14ac:dyDescent="0.3">
      <c r="A110" s="14">
        <v>2056</v>
      </c>
      <c r="B110" s="21" t="s">
        <v>2650</v>
      </c>
      <c r="C110" s="21" t="s">
        <v>2602</v>
      </c>
      <c r="D110" s="21" t="s">
        <v>2614</v>
      </c>
      <c r="E110" s="1" t="s">
        <v>1218</v>
      </c>
      <c r="F110" s="21" t="s">
        <v>5</v>
      </c>
      <c r="G110" s="14">
        <v>1</v>
      </c>
      <c r="H110" s="14">
        <v>0</v>
      </c>
      <c r="I110" s="25">
        <v>104</v>
      </c>
      <c r="J110" s="23">
        <f>VLOOKUP(I110,episodes!$A$1:$B$76,2,FALSE)</f>
        <v>5</v>
      </c>
      <c r="K110" s="16" t="str">
        <f>VLOOKUP(I110,episodes!$A$1:$E$81,5,FALSE)</f>
        <v>The Naked Time</v>
      </c>
      <c r="L110" s="16">
        <f>VLOOKUP(I110,episodes!$A$1:$D$81,3,FALSE)</f>
        <v>1</v>
      </c>
      <c r="M110" s="16">
        <f>VLOOKUP(I110,episodes!$A$1:$D$81,4,FALSE)</f>
        <v>4</v>
      </c>
      <c r="O110" s="14">
        <v>0</v>
      </c>
      <c r="P110" s="24">
        <f>LEN(E110)+LEN(K110)</f>
        <v>262</v>
      </c>
      <c r="Q110" s="24">
        <f>COUNTIFS(B:B,B109)</f>
        <v>24</v>
      </c>
      <c r="R110" s="24">
        <f>COUNTIFS(D:D,D110)</f>
        <v>24</v>
      </c>
    </row>
    <row r="111" spans="1:18" x14ac:dyDescent="0.3">
      <c r="A111" s="14">
        <v>2106</v>
      </c>
      <c r="B111" s="21" t="s">
        <v>2650</v>
      </c>
      <c r="C111" s="21" t="s">
        <v>2602</v>
      </c>
      <c r="D111" s="21" t="s">
        <v>2614</v>
      </c>
      <c r="E111" s="1" t="s">
        <v>1286</v>
      </c>
      <c r="F111" s="21" t="s">
        <v>5</v>
      </c>
      <c r="G111" s="14">
        <v>1</v>
      </c>
      <c r="H111" s="14">
        <v>0</v>
      </c>
      <c r="I111" s="22">
        <v>118</v>
      </c>
      <c r="J111" s="23">
        <f>VLOOKUP(I111,episodes!$A$1:$B$76,2,FALSE)</f>
        <v>19</v>
      </c>
      <c r="K111" s="16" t="str">
        <f>VLOOKUP(I111,episodes!$A$1:$E$81,5,FALSE)</f>
        <v>Arena</v>
      </c>
      <c r="L111" s="16">
        <f>VLOOKUP(I111,episodes!$A$1:$D$81,3,FALSE)</f>
        <v>1</v>
      </c>
      <c r="M111" s="16">
        <f>VLOOKUP(I111,episodes!$A$1:$D$81,4,FALSE)</f>
        <v>18</v>
      </c>
      <c r="O111" s="14">
        <v>0</v>
      </c>
      <c r="P111" s="24">
        <f>LEN(E111)+LEN(K111)</f>
        <v>78</v>
      </c>
      <c r="Q111" s="24">
        <f>COUNTIFS(B:B,B110)</f>
        <v>24</v>
      </c>
      <c r="R111" s="24">
        <f>COUNTIFS(D:D,D111)</f>
        <v>24</v>
      </c>
    </row>
    <row r="112" spans="1:18" x14ac:dyDescent="0.3">
      <c r="A112" s="14">
        <v>2182</v>
      </c>
      <c r="B112" s="21" t="s">
        <v>2650</v>
      </c>
      <c r="C112" s="21" t="s">
        <v>2602</v>
      </c>
      <c r="D112" s="21" t="s">
        <v>2614</v>
      </c>
      <c r="E112" s="1" t="s">
        <v>1356</v>
      </c>
      <c r="F112" s="21" t="s">
        <v>5</v>
      </c>
      <c r="G112" s="14">
        <v>1</v>
      </c>
      <c r="H112" s="14">
        <v>0</v>
      </c>
      <c r="I112" s="22">
        <v>128</v>
      </c>
      <c r="J112" s="23">
        <f>VLOOKUP(I112,episodes!$A$1:$B$76,2,FALSE)</f>
        <v>29</v>
      </c>
      <c r="K112" s="16" t="str">
        <f>VLOOKUP(I112,episodes!$A$1:$E$81,5,FALSE)</f>
        <v>The City on the Edge of Forever</v>
      </c>
      <c r="L112" s="16">
        <f>VLOOKUP(I112,episodes!$A$1:$D$81,3,FALSE)</f>
        <v>1</v>
      </c>
      <c r="M112" s="16">
        <f>VLOOKUP(I112,episodes!$A$1:$D$81,4,FALSE)</f>
        <v>28</v>
      </c>
      <c r="O112" s="14">
        <v>0</v>
      </c>
      <c r="P112" s="24">
        <f>LEN(E112)+LEN(K112)</f>
        <v>74</v>
      </c>
      <c r="Q112" s="24">
        <f>COUNTIFS(B:B,B111)</f>
        <v>24</v>
      </c>
      <c r="R112" s="24">
        <f>COUNTIFS(D:D,D112)</f>
        <v>24</v>
      </c>
    </row>
    <row r="113" spans="1:18" x14ac:dyDescent="0.3">
      <c r="A113" s="14">
        <v>2274</v>
      </c>
      <c r="B113" s="21" t="s">
        <v>2650</v>
      </c>
      <c r="C113" s="21" t="s">
        <v>2602</v>
      </c>
      <c r="D113" s="21" t="s">
        <v>2614</v>
      </c>
      <c r="E113" s="1" t="s">
        <v>1588</v>
      </c>
      <c r="F113" s="21" t="s">
        <v>5</v>
      </c>
      <c r="G113" s="14">
        <v>1</v>
      </c>
      <c r="H113" s="14">
        <v>0</v>
      </c>
      <c r="I113" s="14">
        <v>209</v>
      </c>
      <c r="J113" s="23">
        <f>VLOOKUP(I113,episodes!$A$1:$B$81,2,FALSE)</f>
        <v>39</v>
      </c>
      <c r="K113" s="16" t="str">
        <f>VLOOKUP(I113,episodes!$A$1:$E$81,5,FALSE)</f>
        <v>Metamorphosis</v>
      </c>
      <c r="L113" s="16">
        <f>VLOOKUP(I113,episodes!$A$1:$D$81,3,FALSE)</f>
        <v>2</v>
      </c>
      <c r="M113" s="16">
        <f>VLOOKUP(I113,episodes!$A$1:$D$81,4,FALSE)</f>
        <v>9</v>
      </c>
      <c r="O113" s="14">
        <v>0</v>
      </c>
      <c r="P113" s="24">
        <f>LEN(E113)+LEN(K113)</f>
        <v>134</v>
      </c>
      <c r="Q113" s="24">
        <f>COUNTIFS(B:B,B112)</f>
        <v>24</v>
      </c>
      <c r="R113" s="24">
        <f>COUNTIFS(D:D,D113)</f>
        <v>24</v>
      </c>
    </row>
    <row r="114" spans="1:18" x14ac:dyDescent="0.3">
      <c r="A114" s="14">
        <v>1520</v>
      </c>
      <c r="B114" s="21" t="s">
        <v>2651</v>
      </c>
      <c r="C114" s="21" t="s">
        <v>2602</v>
      </c>
      <c r="D114" s="1" t="s">
        <v>2758</v>
      </c>
      <c r="E114" s="1" t="s">
        <v>2244</v>
      </c>
      <c r="F114" s="21" t="s">
        <v>8</v>
      </c>
      <c r="G114" s="14">
        <v>0</v>
      </c>
      <c r="H114" s="14">
        <v>1</v>
      </c>
      <c r="I114" s="22">
        <v>208</v>
      </c>
      <c r="J114" s="23">
        <f>VLOOKUP(I114,episodes!$A$1:$B$81,2,FALSE)</f>
        <v>38</v>
      </c>
      <c r="K114" s="16" t="str">
        <f>VLOOKUP(I114,episodes!$A$1:$E$81,5,FALSE)</f>
        <v>I, Mudd</v>
      </c>
      <c r="L114" s="16">
        <f>VLOOKUP(I114,episodes!$A$1:$D$81,3,FALSE)</f>
        <v>2</v>
      </c>
      <c r="M114" s="16">
        <f>VLOOKUP(I114,episodes!$A$1:$D$81,4,FALSE)</f>
        <v>8</v>
      </c>
      <c r="O114" s="14">
        <v>0</v>
      </c>
      <c r="P114" s="24">
        <f>LEN(E114)+LEN(K114)</f>
        <v>100</v>
      </c>
      <c r="Q114" s="24">
        <f>COUNTIFS(B:B,B113)</f>
        <v>24</v>
      </c>
      <c r="R114" s="24">
        <f>COUNTIFS(D:D,D114)</f>
        <v>8</v>
      </c>
    </row>
    <row r="115" spans="1:18" x14ac:dyDescent="0.3">
      <c r="A115" s="14">
        <v>1503</v>
      </c>
      <c r="B115" s="21" t="s">
        <v>2651</v>
      </c>
      <c r="C115" s="21" t="s">
        <v>2602</v>
      </c>
      <c r="D115" s="1" t="s">
        <v>2758</v>
      </c>
      <c r="E115" s="1" t="s">
        <v>1454</v>
      </c>
      <c r="F115" s="21" t="s">
        <v>8</v>
      </c>
      <c r="G115" s="14">
        <v>0</v>
      </c>
      <c r="H115" s="14">
        <v>1</v>
      </c>
      <c r="I115" s="25">
        <v>105</v>
      </c>
      <c r="J115" s="23">
        <f>VLOOKUP(I115,episodes!$A$1:$B$76,2,FALSE)</f>
        <v>6</v>
      </c>
      <c r="K115" s="16" t="str">
        <f>VLOOKUP(I115,episodes!$A$1:$E$81,5,FALSE)</f>
        <v>The Enemy Within</v>
      </c>
      <c r="L115" s="16">
        <f>VLOOKUP(I115,episodes!$A$1:$D$81,3,FALSE)</f>
        <v>1</v>
      </c>
      <c r="M115" s="16">
        <f>VLOOKUP(I115,episodes!$A$1:$D$81,4,FALSE)</f>
        <v>5</v>
      </c>
      <c r="O115" s="14">
        <v>0</v>
      </c>
      <c r="P115" s="24">
        <f>LEN(E115)+LEN(K115)</f>
        <v>37</v>
      </c>
      <c r="Q115" s="24">
        <f>COUNTIFS(B:B,B114)</f>
        <v>8</v>
      </c>
      <c r="R115" s="24">
        <f>COUNTIFS(D:D,D115)</f>
        <v>8</v>
      </c>
    </row>
    <row r="116" spans="1:18" x14ac:dyDescent="0.3">
      <c r="A116" s="14">
        <v>1501</v>
      </c>
      <c r="B116" s="21" t="s">
        <v>2651</v>
      </c>
      <c r="C116" s="21" t="s">
        <v>2602</v>
      </c>
      <c r="D116" s="1" t="s">
        <v>2758</v>
      </c>
      <c r="E116" s="1" t="s">
        <v>1452</v>
      </c>
      <c r="F116" s="21" t="s">
        <v>8</v>
      </c>
      <c r="G116" s="14">
        <v>0</v>
      </c>
      <c r="H116" s="14">
        <v>1</v>
      </c>
      <c r="I116" s="25">
        <v>101</v>
      </c>
      <c r="J116" s="23">
        <f>VLOOKUP(I116,episodes!$A$1:$B$76,2,FALSE)</f>
        <v>2</v>
      </c>
      <c r="K116" s="16" t="str">
        <f>VLOOKUP(I116,episodes!$A$1:$E$81,5,FALSE)</f>
        <v>The Man Trap</v>
      </c>
      <c r="L116" s="16">
        <f>VLOOKUP(I116,episodes!$A$1:$D$81,3,FALSE)</f>
        <v>1</v>
      </c>
      <c r="M116" s="16">
        <f>VLOOKUP(I116,episodes!$A$1:$D$81,4,FALSE)</f>
        <v>1</v>
      </c>
      <c r="O116" s="14">
        <v>0</v>
      </c>
      <c r="P116" s="24">
        <f>LEN(E116)+LEN(K116)</f>
        <v>68</v>
      </c>
      <c r="Q116" s="24">
        <f>COUNTIFS(B:B,B115)</f>
        <v>8</v>
      </c>
      <c r="R116" s="24">
        <f>COUNTIFS(D:D,D116)</f>
        <v>8</v>
      </c>
    </row>
    <row r="117" spans="1:18" x14ac:dyDescent="0.3">
      <c r="A117" s="14">
        <v>1516</v>
      </c>
      <c r="B117" s="21" t="s">
        <v>2651</v>
      </c>
      <c r="C117" s="21" t="s">
        <v>2602</v>
      </c>
      <c r="D117" s="1" t="s">
        <v>2758</v>
      </c>
      <c r="E117" s="1" t="s">
        <v>1459</v>
      </c>
      <c r="F117" s="21" t="s">
        <v>8</v>
      </c>
      <c r="G117" s="14">
        <v>0</v>
      </c>
      <c r="H117" s="14">
        <v>1</v>
      </c>
      <c r="I117" s="25">
        <v>203</v>
      </c>
      <c r="J117" s="23">
        <f>VLOOKUP(I117,episodes!$A$1:$B$76,2,FALSE)</f>
        <v>33</v>
      </c>
      <c r="K117" s="16" t="str">
        <f>VLOOKUP(I117,episodes!$A$1:$E$81,5,FALSE)</f>
        <v>The Changeling</v>
      </c>
      <c r="L117" s="16">
        <f>VLOOKUP(I117,episodes!$A$1:$D$81,3,FALSE)</f>
        <v>2</v>
      </c>
      <c r="M117" s="16">
        <f>VLOOKUP(I117,episodes!$A$1:$D$81,4,FALSE)</f>
        <v>3</v>
      </c>
      <c r="O117" s="14">
        <v>0</v>
      </c>
      <c r="P117" s="24">
        <f>LEN(E117)+LEN(K117)</f>
        <v>60</v>
      </c>
      <c r="Q117" s="24">
        <f>COUNTIFS(B:B,B116)</f>
        <v>8</v>
      </c>
      <c r="R117" s="24">
        <f>COUNTIFS(D:D,D117)</f>
        <v>8</v>
      </c>
    </row>
    <row r="118" spans="1:18" x14ac:dyDescent="0.3">
      <c r="A118" s="14">
        <v>1515</v>
      </c>
      <c r="B118" s="21" t="s">
        <v>2651</v>
      </c>
      <c r="C118" s="21" t="s">
        <v>2602</v>
      </c>
      <c r="D118" s="1" t="s">
        <v>2758</v>
      </c>
      <c r="E118" s="1" t="s">
        <v>1457</v>
      </c>
      <c r="F118" s="21" t="s">
        <v>8</v>
      </c>
      <c r="G118" s="14">
        <v>0</v>
      </c>
      <c r="H118" s="14">
        <v>1</v>
      </c>
      <c r="I118" s="22">
        <v>201</v>
      </c>
      <c r="J118" s="23">
        <f>VLOOKUP(I118,episodes!$A$1:$B$76,2,FALSE)</f>
        <v>31</v>
      </c>
      <c r="K118" s="16" t="str">
        <f>VLOOKUP(I118,episodes!$A$1:$E$81,5,FALSE)</f>
        <v>Amok Time</v>
      </c>
      <c r="L118" s="16">
        <f>VLOOKUP(I118,episodes!$A$1:$D$81,3,FALSE)</f>
        <v>2</v>
      </c>
      <c r="M118" s="16">
        <f>VLOOKUP(I118,episodes!$A$1:$D$81,4,FALSE)</f>
        <v>1</v>
      </c>
      <c r="O118" s="14">
        <v>0</v>
      </c>
      <c r="P118" s="24">
        <f>LEN(E118)+LEN(K118)</f>
        <v>59</v>
      </c>
      <c r="Q118" s="24">
        <f>COUNTIFS(B:B,B117)</f>
        <v>8</v>
      </c>
      <c r="R118" s="24">
        <f>COUNTIFS(D:D,D118)</f>
        <v>8</v>
      </c>
    </row>
    <row r="119" spans="1:18" x14ac:dyDescent="0.3">
      <c r="A119" s="14">
        <v>1519</v>
      </c>
      <c r="B119" s="21" t="s">
        <v>2651</v>
      </c>
      <c r="C119" s="21" t="s">
        <v>2602</v>
      </c>
      <c r="D119" s="1" t="s">
        <v>2758</v>
      </c>
      <c r="E119" s="1" t="s">
        <v>1420</v>
      </c>
      <c r="F119" s="21" t="s">
        <v>8</v>
      </c>
      <c r="G119" s="14">
        <v>0</v>
      </c>
      <c r="H119" s="14">
        <v>1</v>
      </c>
      <c r="I119" s="22">
        <v>207</v>
      </c>
      <c r="J119" s="23">
        <f>VLOOKUP(I119,episodes!$A$1:$B$81,2,FALSE)</f>
        <v>37</v>
      </c>
      <c r="K119" s="16" t="str">
        <f>VLOOKUP(I119,episodes!$A$1:$E$81,5,FALSE)</f>
        <v>Catspaw</v>
      </c>
      <c r="L119" s="16">
        <f>VLOOKUP(I119,episodes!$A$1:$D$81,3,FALSE)</f>
        <v>2</v>
      </c>
      <c r="M119" s="16">
        <f>VLOOKUP(I119,episodes!$A$1:$D$81,4,FALSE)</f>
        <v>7</v>
      </c>
      <c r="O119" s="14">
        <v>0</v>
      </c>
      <c r="P119" s="24">
        <f>LEN(E119)+LEN(K119)</f>
        <v>30</v>
      </c>
      <c r="Q119" s="24">
        <f>COUNTIFS(B:B,B118)</f>
        <v>8</v>
      </c>
      <c r="R119" s="24">
        <f>COUNTIFS(D:D,D119)</f>
        <v>8</v>
      </c>
    </row>
    <row r="120" spans="1:18" x14ac:dyDescent="0.3">
      <c r="A120" s="14">
        <v>115</v>
      </c>
      <c r="B120" s="21" t="s">
        <v>2651</v>
      </c>
      <c r="C120" s="21" t="s">
        <v>2602</v>
      </c>
      <c r="D120" s="1" t="s">
        <v>2758</v>
      </c>
      <c r="E120" s="1" t="s">
        <v>1453</v>
      </c>
      <c r="F120" s="21" t="s">
        <v>2258</v>
      </c>
      <c r="G120" s="14">
        <v>0</v>
      </c>
      <c r="H120" s="14">
        <v>2</v>
      </c>
      <c r="I120" s="25">
        <v>104</v>
      </c>
      <c r="J120" s="23">
        <f>VLOOKUP(I120,episodes!$A$1:$B$76,2,FALSE)</f>
        <v>5</v>
      </c>
      <c r="K120" s="16" t="str">
        <f>VLOOKUP(I120,episodes!$A$1:$E$81,5,FALSE)</f>
        <v>The Naked Time</v>
      </c>
      <c r="L120" s="16">
        <f>VLOOKUP(I120,episodes!$A$1:$D$81,3,FALSE)</f>
        <v>1</v>
      </c>
      <c r="M120" s="16">
        <f>VLOOKUP(I120,episodes!$A$1:$D$81,4,FALSE)</f>
        <v>4</v>
      </c>
      <c r="O120" s="14">
        <v>0</v>
      </c>
      <c r="P120" s="24">
        <f>LEN(E120)+LEN(K120)</f>
        <v>45</v>
      </c>
      <c r="Q120" s="24">
        <f>COUNTIFS(B:B,B119)</f>
        <v>8</v>
      </c>
      <c r="R120" s="24">
        <f>COUNTIFS(D:D,D120)</f>
        <v>8</v>
      </c>
    </row>
    <row r="121" spans="1:18" x14ac:dyDescent="0.3">
      <c r="A121" s="14">
        <v>87</v>
      </c>
      <c r="B121" s="21" t="s">
        <v>2651</v>
      </c>
      <c r="C121" s="21" t="s">
        <v>2602</v>
      </c>
      <c r="D121" s="1" t="s">
        <v>2758</v>
      </c>
      <c r="E121" s="1" t="s">
        <v>1455</v>
      </c>
      <c r="F121" s="21" t="s">
        <v>2240</v>
      </c>
      <c r="G121" s="14">
        <v>0</v>
      </c>
      <c r="H121" s="14">
        <v>0</v>
      </c>
      <c r="I121" s="22">
        <v>115</v>
      </c>
      <c r="J121" s="23">
        <f>VLOOKUP(I121,episodes!$A$1:$B$76,2,FALSE)</f>
        <v>16</v>
      </c>
      <c r="K121" s="16" t="str">
        <f>VLOOKUP(I121,episodes!$A$1:$E$81,5,FALSE)</f>
        <v>Shore Leave</v>
      </c>
      <c r="L121" s="16">
        <f>VLOOKUP(I121,episodes!$A$1:$D$81,3,FALSE)</f>
        <v>1</v>
      </c>
      <c r="M121" s="16">
        <f>VLOOKUP(I121,episodes!$A$1:$D$81,4,FALSE)</f>
        <v>15</v>
      </c>
      <c r="O121" s="14">
        <v>0</v>
      </c>
      <c r="P121" s="24">
        <f>LEN(E121)+LEN(K121)</f>
        <v>70</v>
      </c>
      <c r="Q121" s="24">
        <f>COUNTIFS(B:B,B120)</f>
        <v>8</v>
      </c>
      <c r="R121" s="24">
        <f>COUNTIFS(D:D,D121)</f>
        <v>8</v>
      </c>
    </row>
    <row r="122" spans="1:18" x14ac:dyDescent="0.3">
      <c r="A122" s="14">
        <v>1649</v>
      </c>
      <c r="B122" s="21" t="s">
        <v>2652</v>
      </c>
      <c r="C122" s="21" t="s">
        <v>2602</v>
      </c>
      <c r="D122" s="1" t="s">
        <v>2760</v>
      </c>
      <c r="E122" s="1" t="s">
        <v>1448</v>
      </c>
      <c r="F122" s="21" t="s">
        <v>8</v>
      </c>
      <c r="G122" s="14">
        <v>0</v>
      </c>
      <c r="H122" s="14">
        <v>1</v>
      </c>
      <c r="I122" s="14">
        <v>206</v>
      </c>
      <c r="J122" s="23">
        <f>VLOOKUP(I122,episodes!$A$1:$B$81,2,FALSE)</f>
        <v>36</v>
      </c>
      <c r="K122" s="16" t="str">
        <f>VLOOKUP(I122,episodes!$A$1:$E$81,5,FALSE)</f>
        <v>The Doomsday Machine</v>
      </c>
      <c r="L122" s="16">
        <f>VLOOKUP(I122,episodes!$A$1:$D$81,3,FALSE)</f>
        <v>2</v>
      </c>
      <c r="M122" s="16">
        <f>VLOOKUP(I122,episodes!$A$1:$D$81,4,FALSE)</f>
        <v>6</v>
      </c>
      <c r="O122" s="14">
        <v>0</v>
      </c>
      <c r="P122" s="24">
        <f>LEN(E122)+LEN(K122)</f>
        <v>108</v>
      </c>
      <c r="Q122" s="24">
        <f>COUNTIFS(B:B,B121)</f>
        <v>8</v>
      </c>
      <c r="R122" s="24">
        <f>COUNTIFS(D:D,D122)</f>
        <v>8</v>
      </c>
    </row>
    <row r="123" spans="1:18" x14ac:dyDescent="0.3">
      <c r="A123" s="14">
        <v>851</v>
      </c>
      <c r="B123" s="21" t="s">
        <v>2652</v>
      </c>
      <c r="C123" s="21" t="s">
        <v>2602</v>
      </c>
      <c r="D123" s="1" t="s">
        <v>2760</v>
      </c>
      <c r="E123" s="1" t="s">
        <v>1444</v>
      </c>
      <c r="F123" s="21" t="s">
        <v>4</v>
      </c>
      <c r="G123" s="14">
        <v>1</v>
      </c>
      <c r="H123" s="14">
        <v>0</v>
      </c>
      <c r="I123" s="22">
        <v>126</v>
      </c>
      <c r="J123" s="23">
        <f>VLOOKUP(I123,episodes!$A$1:$B$76,2,FALSE)</f>
        <v>27</v>
      </c>
      <c r="K123" s="16" t="str">
        <f>VLOOKUP(I123,episodes!$A$1:$E$81,5,FALSE)</f>
        <v>Errand of Mercy</v>
      </c>
      <c r="L123" s="16">
        <f>VLOOKUP(I123,episodes!$A$1:$D$81,3,FALSE)</f>
        <v>1</v>
      </c>
      <c r="M123" s="16">
        <f>VLOOKUP(I123,episodes!$A$1:$D$81,4,FALSE)</f>
        <v>26</v>
      </c>
      <c r="O123" s="14">
        <v>0</v>
      </c>
      <c r="P123" s="24">
        <f>LEN(E123)+LEN(K123)</f>
        <v>51</v>
      </c>
      <c r="Q123" s="24">
        <f>COUNTIFS(B:B,B122)</f>
        <v>8</v>
      </c>
      <c r="R123" s="24">
        <f>COUNTIFS(D:D,D123)</f>
        <v>8</v>
      </c>
    </row>
    <row r="124" spans="1:18" x14ac:dyDescent="0.3">
      <c r="A124" s="14">
        <v>1507</v>
      </c>
      <c r="B124" s="21" t="s">
        <v>2652</v>
      </c>
      <c r="C124" s="21" t="s">
        <v>2602</v>
      </c>
      <c r="D124" s="1" t="s">
        <v>2760</v>
      </c>
      <c r="E124" s="1" t="s">
        <v>1442</v>
      </c>
      <c r="F124" s="21" t="s">
        <v>8</v>
      </c>
      <c r="G124" s="14">
        <v>0</v>
      </c>
      <c r="H124" s="14">
        <v>1</v>
      </c>
      <c r="I124" s="22">
        <v>123</v>
      </c>
      <c r="J124" s="23">
        <f>VLOOKUP(I124,episodes!$A$1:$B$76,2,FALSE)</f>
        <v>24</v>
      </c>
      <c r="K124" s="16" t="str">
        <f>VLOOKUP(I124,episodes!$A$1:$E$81,5,FALSE)</f>
        <v>A Taste of Armageddon</v>
      </c>
      <c r="L124" s="16">
        <f>VLOOKUP(I124,episodes!$A$1:$D$81,3,FALSE)</f>
        <v>1</v>
      </c>
      <c r="M124" s="16">
        <f>VLOOKUP(I124,episodes!$A$1:$D$81,4,FALSE)</f>
        <v>23</v>
      </c>
      <c r="O124" s="14">
        <v>0</v>
      </c>
      <c r="P124" s="24">
        <f>LEN(E124)+LEN(K124)</f>
        <v>75</v>
      </c>
      <c r="Q124" s="24">
        <f>COUNTIFS(B:B,B123)</f>
        <v>8</v>
      </c>
      <c r="R124" s="24">
        <f>COUNTIFS(D:D,D124)</f>
        <v>8</v>
      </c>
    </row>
    <row r="125" spans="1:18" x14ac:dyDescent="0.3">
      <c r="A125" s="14">
        <v>1508</v>
      </c>
      <c r="B125" s="21" t="s">
        <v>2652</v>
      </c>
      <c r="C125" s="21" t="s">
        <v>2602</v>
      </c>
      <c r="D125" s="1" t="s">
        <v>2760</v>
      </c>
      <c r="E125" s="1" t="s">
        <v>1443</v>
      </c>
      <c r="F125" s="21" t="s">
        <v>8</v>
      </c>
      <c r="G125" s="14">
        <v>0</v>
      </c>
      <c r="H125" s="14">
        <v>1</v>
      </c>
      <c r="I125" s="22">
        <v>125</v>
      </c>
      <c r="J125" s="23">
        <f>VLOOKUP(I125,episodes!$A$1:$B$76,2,FALSE)</f>
        <v>26</v>
      </c>
      <c r="K125" s="16" t="str">
        <f>VLOOKUP(I125,episodes!$A$1:$E$81,5,FALSE)</f>
        <v>The Devil in the Dark</v>
      </c>
      <c r="L125" s="16">
        <f>VLOOKUP(I125,episodes!$A$1:$D$81,3,FALSE)</f>
        <v>1</v>
      </c>
      <c r="M125" s="16">
        <f>VLOOKUP(I125,episodes!$A$1:$D$81,4,FALSE)</f>
        <v>25</v>
      </c>
      <c r="O125" s="14">
        <v>0</v>
      </c>
      <c r="P125" s="24">
        <f>LEN(E125)+LEN(K125)</f>
        <v>105</v>
      </c>
      <c r="Q125" s="24">
        <f>COUNTIFS(B:B,B124)</f>
        <v>8</v>
      </c>
      <c r="R125" s="24">
        <f>COUNTIFS(D:D,D125)</f>
        <v>8</v>
      </c>
    </row>
    <row r="126" spans="1:18" x14ac:dyDescent="0.3">
      <c r="A126" s="14">
        <v>1517</v>
      </c>
      <c r="B126" s="21" t="s">
        <v>2652</v>
      </c>
      <c r="C126" s="21" t="s">
        <v>2602</v>
      </c>
      <c r="D126" s="1" t="s">
        <v>2760</v>
      </c>
      <c r="E126" s="1" t="s">
        <v>1447</v>
      </c>
      <c r="F126" s="21" t="s">
        <v>8</v>
      </c>
      <c r="G126" s="14">
        <v>0</v>
      </c>
      <c r="H126" s="14">
        <v>1</v>
      </c>
      <c r="I126" s="25">
        <v>204</v>
      </c>
      <c r="J126" s="23">
        <f>VLOOKUP(I126,episodes!$A$1:$B$81,2,FALSE)</f>
        <v>34</v>
      </c>
      <c r="K126" s="16" t="str">
        <f>VLOOKUP(I126,episodes!$A$1:$E$81,5,FALSE)</f>
        <v>Mirror, Mirror</v>
      </c>
      <c r="L126" s="16">
        <f>VLOOKUP(I126,episodes!$A$1:$D$81,3,FALSE)</f>
        <v>2</v>
      </c>
      <c r="M126" s="16">
        <f>VLOOKUP(I126,episodes!$A$1:$D$81,4,FALSE)</f>
        <v>4</v>
      </c>
      <c r="O126" s="14">
        <v>0</v>
      </c>
      <c r="P126" s="24">
        <f>LEN(E126)+LEN(K126)</f>
        <v>51</v>
      </c>
      <c r="Q126" s="24">
        <f>COUNTIFS(B:B,B125)</f>
        <v>8</v>
      </c>
      <c r="R126" s="24">
        <f>COUNTIFS(D:D,D126)</f>
        <v>8</v>
      </c>
    </row>
    <row r="127" spans="1:18" x14ac:dyDescent="0.3">
      <c r="A127" s="14">
        <v>2976</v>
      </c>
      <c r="B127" s="21" t="s">
        <v>2652</v>
      </c>
      <c r="C127" s="21" t="s">
        <v>2602</v>
      </c>
      <c r="D127" s="1" t="s">
        <v>2760</v>
      </c>
      <c r="E127" s="4" t="s">
        <v>2801</v>
      </c>
      <c r="F127" s="21" t="s">
        <v>8</v>
      </c>
      <c r="G127" s="14">
        <v>0</v>
      </c>
      <c r="H127" s="14">
        <v>1</v>
      </c>
      <c r="I127" s="7">
        <v>211</v>
      </c>
      <c r="J127" s="23">
        <f>VLOOKUP(I127,episodes!$A$1:$B$81,2,FALSE)</f>
        <v>41</v>
      </c>
      <c r="K127" s="16" t="str">
        <f>VLOOKUP(I127,episodes!$A$1:$E$81,5,FALSE)</f>
        <v>Friday's Child</v>
      </c>
      <c r="L127" s="16">
        <f>VLOOKUP(I127,episodes!$A$1:$D$81,3,FALSE)</f>
        <v>2</v>
      </c>
      <c r="M127" s="16">
        <f>VLOOKUP(I127,episodes!$A$1:$D$81,4,FALSE)</f>
        <v>11</v>
      </c>
      <c r="O127" s="14">
        <v>0</v>
      </c>
      <c r="P127" s="24">
        <f>LEN(E127)+LEN(K127)</f>
        <v>52</v>
      </c>
      <c r="Q127" s="24"/>
      <c r="R127" s="24"/>
    </row>
    <row r="128" spans="1:18" x14ac:dyDescent="0.3">
      <c r="A128" s="14">
        <v>1510</v>
      </c>
      <c r="B128" s="21" t="s">
        <v>2652</v>
      </c>
      <c r="C128" s="21" t="s">
        <v>2602</v>
      </c>
      <c r="D128" s="1" t="s">
        <v>2760</v>
      </c>
      <c r="E128" s="1" t="s">
        <v>1445</v>
      </c>
      <c r="F128" s="21" t="s">
        <v>8</v>
      </c>
      <c r="G128" s="14">
        <v>0</v>
      </c>
      <c r="H128" s="14">
        <v>1</v>
      </c>
      <c r="I128" s="22">
        <v>128</v>
      </c>
      <c r="J128" s="23">
        <f>VLOOKUP(I128,episodes!$A$1:$B$76,2,FALSE)</f>
        <v>29</v>
      </c>
      <c r="K128" s="16" t="str">
        <f>VLOOKUP(I128,episodes!$A$1:$E$81,5,FALSE)</f>
        <v>The City on the Edge of Forever</v>
      </c>
      <c r="L128" s="16">
        <f>VLOOKUP(I128,episodes!$A$1:$D$81,3,FALSE)</f>
        <v>1</v>
      </c>
      <c r="M128" s="16">
        <f>VLOOKUP(I128,episodes!$A$1:$D$81,4,FALSE)</f>
        <v>28</v>
      </c>
      <c r="O128" s="14">
        <v>0</v>
      </c>
      <c r="P128" s="24">
        <f>LEN(E128)+LEN(K128)</f>
        <v>72</v>
      </c>
      <c r="Q128" s="24">
        <f>COUNTIFS(B:B,B127)</f>
        <v>8</v>
      </c>
      <c r="R128" s="24">
        <f>COUNTIFS(D:D,D128)</f>
        <v>8</v>
      </c>
    </row>
    <row r="129" spans="1:18" x14ac:dyDescent="0.3">
      <c r="A129" s="14">
        <v>1506</v>
      </c>
      <c r="B129" s="21" t="s">
        <v>2652</v>
      </c>
      <c r="C129" s="21" t="s">
        <v>2602</v>
      </c>
      <c r="D129" s="1" t="s">
        <v>2760</v>
      </c>
      <c r="E129" s="1" t="s">
        <v>1745</v>
      </c>
      <c r="F129" s="21" t="s">
        <v>8</v>
      </c>
      <c r="G129" s="14">
        <v>0</v>
      </c>
      <c r="H129" s="14">
        <v>1</v>
      </c>
      <c r="I129" s="25">
        <v>110</v>
      </c>
      <c r="J129" s="23">
        <f>VLOOKUP(I129,episodes!$A$1:$B$76,2,FALSE)</f>
        <v>11</v>
      </c>
      <c r="K129" s="16" t="str">
        <f>VLOOKUP(I129,episodes!$A$1:$E$81,5,FALSE)</f>
        <v>The Corbomite Maneuver</v>
      </c>
      <c r="L129" s="16">
        <f>VLOOKUP(I129,episodes!$A$1:$D$81,3,FALSE)</f>
        <v>1</v>
      </c>
      <c r="M129" s="16">
        <f>VLOOKUP(I129,episodes!$A$1:$D$81,4,FALSE)</f>
        <v>10</v>
      </c>
      <c r="O129" s="14">
        <v>0</v>
      </c>
      <c r="P129" s="24">
        <f>LEN(E129)+LEN(K129)</f>
        <v>77</v>
      </c>
      <c r="Q129" s="24">
        <f>COUNTIFS(B:B,B128)</f>
        <v>8</v>
      </c>
      <c r="R129" s="24">
        <f>COUNTIFS(D:D,D129)</f>
        <v>8</v>
      </c>
    </row>
    <row r="130" spans="1:18" x14ac:dyDescent="0.3">
      <c r="A130" s="14">
        <v>2305</v>
      </c>
      <c r="B130" s="21" t="s">
        <v>2653</v>
      </c>
      <c r="C130" s="21" t="s">
        <v>2602</v>
      </c>
      <c r="D130" s="1" t="s">
        <v>2615</v>
      </c>
      <c r="E130" s="4" t="s">
        <v>1941</v>
      </c>
      <c r="F130" s="21" t="s">
        <v>5</v>
      </c>
      <c r="G130" s="14">
        <v>1</v>
      </c>
      <c r="H130" s="14">
        <v>0</v>
      </c>
      <c r="I130" s="7">
        <v>222</v>
      </c>
      <c r="J130" s="23">
        <f>VLOOKUP(I130,episodes!$A$1:$B$81,2,FALSE)</f>
        <v>52</v>
      </c>
      <c r="K130" s="16" t="str">
        <f>VLOOKUP(I130,episodes!$A$1:$E$81,5,FALSE)</f>
        <v>By Any Other Name</v>
      </c>
      <c r="L130" s="16">
        <f>VLOOKUP(I130,episodes!$A$1:$D$81,3,FALSE)</f>
        <v>2</v>
      </c>
      <c r="M130" s="16">
        <f>VLOOKUP(I130,episodes!$A$1:$D$81,4,FALSE)</f>
        <v>22</v>
      </c>
      <c r="O130" s="14">
        <v>0</v>
      </c>
      <c r="P130" s="24">
        <f>LEN(E130)+LEN(K130)</f>
        <v>168</v>
      </c>
      <c r="Q130" s="24">
        <f>COUNTIFS(B:B,B132)</f>
        <v>49</v>
      </c>
      <c r="R130" s="24">
        <f>COUNTIFS(D:D,D133)</f>
        <v>49</v>
      </c>
    </row>
    <row r="131" spans="1:18" x14ac:dyDescent="0.3">
      <c r="A131" s="14">
        <v>2314</v>
      </c>
      <c r="B131" s="21" t="s">
        <v>2653</v>
      </c>
      <c r="C131" s="21" t="s">
        <v>2602</v>
      </c>
      <c r="D131" s="1" t="s">
        <v>2615</v>
      </c>
      <c r="E131" s="4" t="s">
        <v>1967</v>
      </c>
      <c r="F131" s="21" t="s">
        <v>5</v>
      </c>
      <c r="G131" s="14">
        <v>1</v>
      </c>
      <c r="H131" s="14">
        <v>0</v>
      </c>
      <c r="I131" s="7">
        <v>308</v>
      </c>
      <c r="J131" s="23">
        <f>VLOOKUP(I131,episodes!$A$1:$B$81,2,FALSE)</f>
        <v>64</v>
      </c>
      <c r="K131" s="16" t="str">
        <f>VLOOKUP(I131,episodes!$A$1:$E$81,5,FALSE)</f>
        <v>For the World Is Hollow and I Have Touched the Sky</v>
      </c>
      <c r="L131" s="16">
        <f>VLOOKUP(I131,episodes!$A$1:$D$81,3,FALSE)</f>
        <v>3</v>
      </c>
      <c r="M131" s="16">
        <f>VLOOKUP(I131,episodes!$A$1:$D$81,4,FALSE)</f>
        <v>8</v>
      </c>
      <c r="O131" s="14">
        <v>0</v>
      </c>
      <c r="P131" s="24">
        <f>LEN(E131)+LEN(K131)</f>
        <v>270</v>
      </c>
      <c r="Q131" s="24">
        <f>COUNTIFS(B:B,B133)</f>
        <v>49</v>
      </c>
      <c r="R131" s="24">
        <f>COUNTIFS(D:D,D134)</f>
        <v>49</v>
      </c>
    </row>
    <row r="132" spans="1:18" x14ac:dyDescent="0.3">
      <c r="A132" s="14">
        <v>2283</v>
      </c>
      <c r="B132" s="21" t="s">
        <v>2653</v>
      </c>
      <c r="C132" s="21" t="s">
        <v>2602</v>
      </c>
      <c r="D132" s="1" t="s">
        <v>2615</v>
      </c>
      <c r="E132" s="4" t="s">
        <v>2007</v>
      </c>
      <c r="F132" s="21" t="s">
        <v>5</v>
      </c>
      <c r="G132" s="14">
        <v>1</v>
      </c>
      <c r="H132" s="14">
        <v>0</v>
      </c>
      <c r="I132" s="7">
        <v>210</v>
      </c>
      <c r="J132" s="23">
        <f>VLOOKUP(I132,episodes!$A$1:$B$81,2,FALSE)</f>
        <v>40</v>
      </c>
      <c r="K132" s="16" t="str">
        <f>VLOOKUP(I132,episodes!$A$1:$E$81,5,FALSE)</f>
        <v>Journey to Babel</v>
      </c>
      <c r="L132" s="16">
        <f>VLOOKUP(I132,episodes!$A$1:$D$81,3,FALSE)</f>
        <v>2</v>
      </c>
      <c r="M132" s="16">
        <f>VLOOKUP(I132,episodes!$A$1:$D$81,4,FALSE)</f>
        <v>10</v>
      </c>
      <c r="O132" s="14">
        <v>0</v>
      </c>
      <c r="P132" s="24">
        <f>LEN(E132)+LEN(K132)</f>
        <v>178</v>
      </c>
      <c r="Q132" s="24">
        <f>COUNTIFS(B:B,B131)</f>
        <v>49</v>
      </c>
      <c r="R132" s="24">
        <f>COUNTIFS(D:D,D132)</f>
        <v>49</v>
      </c>
    </row>
    <row r="133" spans="1:18" x14ac:dyDescent="0.3">
      <c r="A133" s="14">
        <v>2183</v>
      </c>
      <c r="B133" s="21" t="s">
        <v>2653</v>
      </c>
      <c r="C133" s="21" t="s">
        <v>2602</v>
      </c>
      <c r="D133" s="1" t="s">
        <v>2615</v>
      </c>
      <c r="E133" s="4" t="s">
        <v>1955</v>
      </c>
      <c r="F133" s="21" t="s">
        <v>5</v>
      </c>
      <c r="G133" s="14">
        <v>1</v>
      </c>
      <c r="H133" s="14">
        <v>0</v>
      </c>
      <c r="I133" s="7">
        <v>128</v>
      </c>
      <c r="J133" s="23">
        <f>VLOOKUP(I133,episodes!$A$1:$B$81,2,FALSE)</f>
        <v>29</v>
      </c>
      <c r="K133" s="16" t="str">
        <f>VLOOKUP(I133,episodes!$A$1:$E$81,5,FALSE)</f>
        <v>The City on the Edge of Forever</v>
      </c>
      <c r="L133" s="16">
        <f>VLOOKUP(I133,episodes!$A$1:$D$81,3,FALSE)</f>
        <v>1</v>
      </c>
      <c r="M133" s="16">
        <f>VLOOKUP(I133,episodes!$A$1:$D$81,4,FALSE)</f>
        <v>28</v>
      </c>
      <c r="O133" s="14">
        <v>0</v>
      </c>
      <c r="P133" s="24">
        <f>LEN(E133)+LEN(K133)</f>
        <v>346</v>
      </c>
      <c r="Q133" s="24">
        <f>COUNTIFS(B:B,B132)</f>
        <v>49</v>
      </c>
      <c r="R133" s="24">
        <f>COUNTIFS(D:D,D133)</f>
        <v>49</v>
      </c>
    </row>
    <row r="134" spans="1:18" x14ac:dyDescent="0.3">
      <c r="A134" s="14">
        <v>2293</v>
      </c>
      <c r="B134" s="21" t="s">
        <v>2653</v>
      </c>
      <c r="C134" s="21" t="s">
        <v>2602</v>
      </c>
      <c r="D134" s="1" t="s">
        <v>2615</v>
      </c>
      <c r="E134" s="4" t="s">
        <v>1962</v>
      </c>
      <c r="F134" s="21" t="s">
        <v>5</v>
      </c>
      <c r="G134" s="14">
        <v>1</v>
      </c>
      <c r="H134" s="14">
        <v>0</v>
      </c>
      <c r="I134" s="7">
        <v>211</v>
      </c>
      <c r="J134" s="23">
        <f>VLOOKUP(I134,episodes!$A$1:$B$81,2,FALSE)</f>
        <v>41</v>
      </c>
      <c r="K134" s="16" t="str">
        <f>VLOOKUP(I134,episodes!$A$1:$E$81,5,FALSE)</f>
        <v>Friday's Child</v>
      </c>
      <c r="L134" s="16">
        <f>VLOOKUP(I134,episodes!$A$1:$D$81,3,FALSE)</f>
        <v>2</v>
      </c>
      <c r="M134" s="16">
        <f>VLOOKUP(I134,episodes!$A$1:$D$81,4,FALSE)</f>
        <v>11</v>
      </c>
      <c r="O134" s="14">
        <v>0</v>
      </c>
      <c r="P134" s="24">
        <f>LEN(E134)+LEN(K134)</f>
        <v>137</v>
      </c>
      <c r="Q134" s="24">
        <f>COUNTIFS(B:B,B121)</f>
        <v>8</v>
      </c>
      <c r="R134" s="24">
        <f>COUNTIFS(D:D,D134)</f>
        <v>49</v>
      </c>
    </row>
    <row r="135" spans="1:18" x14ac:dyDescent="0.3">
      <c r="A135" s="14">
        <v>2297</v>
      </c>
      <c r="B135" s="21" t="s">
        <v>2653</v>
      </c>
      <c r="C135" s="21" t="s">
        <v>2602</v>
      </c>
      <c r="D135" s="1" t="s">
        <v>2615</v>
      </c>
      <c r="E135" s="4" t="s">
        <v>2009</v>
      </c>
      <c r="F135" s="21" t="s">
        <v>5</v>
      </c>
      <c r="G135" s="14">
        <v>1</v>
      </c>
      <c r="H135" s="14">
        <v>0</v>
      </c>
      <c r="I135" s="7">
        <v>216</v>
      </c>
      <c r="J135" s="23">
        <f>VLOOKUP(I135,episodes!$A$1:$B$81,2,FALSE)</f>
        <v>46</v>
      </c>
      <c r="K135" s="16" t="str">
        <f>VLOOKUP(I135,episodes!$A$1:$E$81,5,FALSE)</f>
        <v>The Gamesters of Triskelion</v>
      </c>
      <c r="L135" s="16">
        <f>VLOOKUP(I135,episodes!$A$1:$D$81,3,FALSE)</f>
        <v>2</v>
      </c>
      <c r="M135" s="16">
        <f>VLOOKUP(I135,episodes!$A$1:$D$81,4,FALSE)</f>
        <v>16</v>
      </c>
      <c r="O135" s="14">
        <v>0</v>
      </c>
      <c r="P135" s="24">
        <f>LEN(E135)+LEN(K135)</f>
        <v>298</v>
      </c>
      <c r="Q135" s="24">
        <f>COUNTIFS(B:B,B136)</f>
        <v>49</v>
      </c>
      <c r="R135" s="24">
        <f>COUNTIFS(D:D,D138)</f>
        <v>49</v>
      </c>
    </row>
    <row r="136" spans="1:18" x14ac:dyDescent="0.3">
      <c r="A136" s="14">
        <v>2294</v>
      </c>
      <c r="B136" s="21" t="s">
        <v>2653</v>
      </c>
      <c r="C136" s="21" t="s">
        <v>2602</v>
      </c>
      <c r="D136" s="1" t="s">
        <v>2615</v>
      </c>
      <c r="E136" s="4" t="s">
        <v>1963</v>
      </c>
      <c r="F136" s="21" t="s">
        <v>5</v>
      </c>
      <c r="G136" s="14">
        <v>1</v>
      </c>
      <c r="H136" s="14">
        <v>0</v>
      </c>
      <c r="I136" s="7">
        <v>211</v>
      </c>
      <c r="J136" s="23">
        <f>VLOOKUP(I136,episodes!$A$1:$B$81,2,FALSE)</f>
        <v>41</v>
      </c>
      <c r="K136" s="16" t="str">
        <f>VLOOKUP(I136,episodes!$A$1:$E$81,5,FALSE)</f>
        <v>Friday's Child</v>
      </c>
      <c r="L136" s="16">
        <f>VLOOKUP(I136,episodes!$A$1:$D$81,3,FALSE)</f>
        <v>2</v>
      </c>
      <c r="M136" s="16">
        <f>VLOOKUP(I136,episodes!$A$1:$D$81,4,FALSE)</f>
        <v>11</v>
      </c>
      <c r="O136" s="14">
        <v>0</v>
      </c>
      <c r="P136" s="24">
        <f>LEN(E136)+LEN(K136)</f>
        <v>301</v>
      </c>
      <c r="Q136" s="24">
        <f>COUNTIFS(B:B,B84)</f>
        <v>34</v>
      </c>
      <c r="R136" s="24">
        <f>COUNTIFS(D:D,D136)</f>
        <v>49</v>
      </c>
    </row>
    <row r="137" spans="1:18" x14ac:dyDescent="0.3">
      <c r="A137" s="14">
        <v>2165</v>
      </c>
      <c r="B137" s="21" t="s">
        <v>2653</v>
      </c>
      <c r="C137" s="21" t="s">
        <v>2602</v>
      </c>
      <c r="D137" s="1" t="s">
        <v>2615</v>
      </c>
      <c r="E137" s="4" t="s">
        <v>1960</v>
      </c>
      <c r="F137" s="21" t="s">
        <v>5</v>
      </c>
      <c r="G137" s="14">
        <v>1</v>
      </c>
      <c r="H137" s="14">
        <v>0</v>
      </c>
      <c r="I137" s="7">
        <v>126</v>
      </c>
      <c r="J137" s="23">
        <f>VLOOKUP(I137,episodes!$A$1:$B$81,2,FALSE)</f>
        <v>27</v>
      </c>
      <c r="K137" s="16" t="str">
        <f>VLOOKUP(I137,episodes!$A$1:$E$81,5,FALSE)</f>
        <v>Errand of Mercy</v>
      </c>
      <c r="L137" s="16">
        <f>VLOOKUP(I137,episodes!$A$1:$D$81,3,FALSE)</f>
        <v>1</v>
      </c>
      <c r="M137" s="16">
        <f>VLOOKUP(I137,episodes!$A$1:$D$81,4,FALSE)</f>
        <v>26</v>
      </c>
      <c r="O137" s="14">
        <v>0</v>
      </c>
      <c r="P137" s="24">
        <f>LEN(E137)+LEN(K137)</f>
        <v>118</v>
      </c>
      <c r="Q137" s="24">
        <f>COUNTIFS(B:B,B136)</f>
        <v>49</v>
      </c>
      <c r="R137" s="24">
        <f>COUNTIFS(D:D,D137)</f>
        <v>49</v>
      </c>
    </row>
    <row r="138" spans="1:18" x14ac:dyDescent="0.3">
      <c r="A138" s="14">
        <v>2299</v>
      </c>
      <c r="B138" s="21" t="s">
        <v>2653</v>
      </c>
      <c r="C138" s="21" t="s">
        <v>2602</v>
      </c>
      <c r="D138" s="1" t="s">
        <v>2615</v>
      </c>
      <c r="E138" s="4" t="s">
        <v>1965</v>
      </c>
      <c r="F138" s="21" t="s">
        <v>5</v>
      </c>
      <c r="G138" s="14">
        <v>1</v>
      </c>
      <c r="H138" s="14">
        <v>0</v>
      </c>
      <c r="I138" s="7">
        <v>217</v>
      </c>
      <c r="J138" s="23">
        <f>VLOOKUP(I138,episodes!$A$1:$B$81,2,FALSE)</f>
        <v>47</v>
      </c>
      <c r="K138" s="16" t="str">
        <f>VLOOKUP(I138,episodes!$A$1:$E$81,5,FALSE)</f>
        <v>A Piece of the Action</v>
      </c>
      <c r="L138" s="16">
        <f>VLOOKUP(I138,episodes!$A$1:$D$81,3,FALSE)</f>
        <v>2</v>
      </c>
      <c r="M138" s="16">
        <f>VLOOKUP(I138,episodes!$A$1:$D$81,4,FALSE)</f>
        <v>17</v>
      </c>
      <c r="O138" s="14">
        <v>0</v>
      </c>
      <c r="P138" s="24">
        <f>LEN(E138)+LEN(K138)</f>
        <v>159</v>
      </c>
      <c r="Q138" s="24">
        <f>COUNTIFS(B:B,B140)</f>
        <v>49</v>
      </c>
      <c r="R138" s="24">
        <f>COUNTIFS(D:D,D141)</f>
        <v>49</v>
      </c>
    </row>
    <row r="139" spans="1:18" x14ac:dyDescent="0.3">
      <c r="A139" s="14">
        <v>2303</v>
      </c>
      <c r="B139" s="21" t="s">
        <v>2653</v>
      </c>
      <c r="C139" s="21" t="s">
        <v>2602</v>
      </c>
      <c r="D139" s="1" t="s">
        <v>2615</v>
      </c>
      <c r="E139" s="4" t="s">
        <v>1966</v>
      </c>
      <c r="F139" s="21" t="s">
        <v>5</v>
      </c>
      <c r="G139" s="14">
        <v>1</v>
      </c>
      <c r="H139" s="14">
        <v>0</v>
      </c>
      <c r="I139" s="7">
        <v>221</v>
      </c>
      <c r="J139" s="23">
        <f>VLOOKUP(I139,episodes!$A$1:$B$81,2,FALSE)</f>
        <v>51</v>
      </c>
      <c r="K139" s="16" t="str">
        <f>VLOOKUP(I139,episodes!$A$1:$E$81,5,FALSE)</f>
        <v>Patterns of Force</v>
      </c>
      <c r="L139" s="16">
        <f>VLOOKUP(I139,episodes!$A$1:$D$81,3,FALSE)</f>
        <v>2</v>
      </c>
      <c r="M139" s="16">
        <f>VLOOKUP(I139,episodes!$A$1:$D$81,4,FALSE)</f>
        <v>21</v>
      </c>
      <c r="O139" s="14">
        <v>0</v>
      </c>
      <c r="P139" s="24">
        <f>LEN(E139)+LEN(K139)</f>
        <v>224</v>
      </c>
      <c r="Q139" s="24">
        <f>COUNTIFS(B:B,B141)</f>
        <v>49</v>
      </c>
      <c r="R139" s="24">
        <f>COUNTIFS(D:D,D142)</f>
        <v>49</v>
      </c>
    </row>
    <row r="140" spans="1:18" x14ac:dyDescent="0.3">
      <c r="A140" s="14">
        <v>2153</v>
      </c>
      <c r="B140" s="21" t="s">
        <v>2653</v>
      </c>
      <c r="C140" s="21" t="s">
        <v>2602</v>
      </c>
      <c r="D140" s="1" t="s">
        <v>2615</v>
      </c>
      <c r="E140" s="4" t="s">
        <v>1959</v>
      </c>
      <c r="F140" s="21" t="s">
        <v>5</v>
      </c>
      <c r="G140" s="14">
        <v>1</v>
      </c>
      <c r="H140" s="14">
        <v>0</v>
      </c>
      <c r="I140" s="7">
        <v>125</v>
      </c>
      <c r="J140" s="23">
        <f>VLOOKUP(I140,episodes!$A$1:$B$81,2,FALSE)</f>
        <v>26</v>
      </c>
      <c r="K140" s="16" t="str">
        <f>VLOOKUP(I140,episodes!$A$1:$E$81,5,FALSE)</f>
        <v>The Devil in the Dark</v>
      </c>
      <c r="L140" s="16">
        <f>VLOOKUP(I140,episodes!$A$1:$D$81,3,FALSE)</f>
        <v>1</v>
      </c>
      <c r="M140" s="16">
        <f>VLOOKUP(I140,episodes!$A$1:$D$81,4,FALSE)</f>
        <v>25</v>
      </c>
      <c r="O140" s="14">
        <v>0</v>
      </c>
      <c r="P140" s="24">
        <f>LEN(E140)+LEN(K140)</f>
        <v>242</v>
      </c>
      <c r="Q140" s="24">
        <f>COUNTIFS(B:B,B139)</f>
        <v>49</v>
      </c>
      <c r="R140" s="24">
        <f>COUNTIFS(D:D,D140)</f>
        <v>49</v>
      </c>
    </row>
    <row r="141" spans="1:18" x14ac:dyDescent="0.3">
      <c r="A141" s="14">
        <v>2284</v>
      </c>
      <c r="B141" s="21" t="s">
        <v>2653</v>
      </c>
      <c r="C141" s="21" t="s">
        <v>2602</v>
      </c>
      <c r="D141" s="1" t="s">
        <v>2615</v>
      </c>
      <c r="E141" s="4" t="s">
        <v>2008</v>
      </c>
      <c r="F141" s="21" t="s">
        <v>5</v>
      </c>
      <c r="G141" s="14">
        <v>1</v>
      </c>
      <c r="H141" s="14">
        <v>0</v>
      </c>
      <c r="I141" s="7">
        <v>210</v>
      </c>
      <c r="J141" s="23">
        <f>VLOOKUP(I141,episodes!$A$1:$B$81,2,FALSE)</f>
        <v>40</v>
      </c>
      <c r="K141" s="16" t="str">
        <f>VLOOKUP(I141,episodes!$A$1:$E$81,5,FALSE)</f>
        <v>Journey to Babel</v>
      </c>
      <c r="L141" s="16">
        <f>VLOOKUP(I141,episodes!$A$1:$D$81,3,FALSE)</f>
        <v>2</v>
      </c>
      <c r="M141" s="16">
        <f>VLOOKUP(I141,episodes!$A$1:$D$81,4,FALSE)</f>
        <v>10</v>
      </c>
      <c r="O141" s="14">
        <v>0</v>
      </c>
      <c r="P141" s="24">
        <f>LEN(E141)+LEN(K141)</f>
        <v>229</v>
      </c>
      <c r="Q141" s="24">
        <f>COUNTIFS(B:B,B140)</f>
        <v>49</v>
      </c>
      <c r="R141" s="24">
        <f>COUNTIFS(D:D,D141)</f>
        <v>49</v>
      </c>
    </row>
    <row r="142" spans="1:18" x14ac:dyDescent="0.3">
      <c r="A142" s="14">
        <v>2184</v>
      </c>
      <c r="B142" s="21" t="s">
        <v>2653</v>
      </c>
      <c r="C142" s="21" t="s">
        <v>2602</v>
      </c>
      <c r="D142" s="1" t="s">
        <v>2615</v>
      </c>
      <c r="E142" s="4" t="s">
        <v>1961</v>
      </c>
      <c r="F142" s="21" t="s">
        <v>5</v>
      </c>
      <c r="G142" s="14">
        <v>1</v>
      </c>
      <c r="H142" s="14">
        <v>0</v>
      </c>
      <c r="I142" s="7">
        <v>128</v>
      </c>
      <c r="J142" s="23">
        <f>VLOOKUP(I142,episodes!$A$1:$B$81,2,FALSE)</f>
        <v>29</v>
      </c>
      <c r="K142" s="16" t="str">
        <f>VLOOKUP(I142,episodes!$A$1:$E$81,5,FALSE)</f>
        <v>The City on the Edge of Forever</v>
      </c>
      <c r="L142" s="16">
        <f>VLOOKUP(I142,episodes!$A$1:$D$81,3,FALSE)</f>
        <v>1</v>
      </c>
      <c r="M142" s="16">
        <f>VLOOKUP(I142,episodes!$A$1:$D$81,4,FALSE)</f>
        <v>28</v>
      </c>
      <c r="O142" s="14">
        <v>0</v>
      </c>
      <c r="P142" s="24">
        <f>LEN(E142)+LEN(K142)</f>
        <v>159</v>
      </c>
      <c r="Q142" s="24">
        <f>COUNTIFS(B:B,B141)</f>
        <v>49</v>
      </c>
      <c r="R142" s="24">
        <f>COUNTIFS(D:D,D142)</f>
        <v>49</v>
      </c>
    </row>
    <row r="143" spans="1:18" x14ac:dyDescent="0.3">
      <c r="A143" s="14">
        <v>2315</v>
      </c>
      <c r="B143" s="21" t="s">
        <v>2653</v>
      </c>
      <c r="C143" s="21" t="s">
        <v>2602</v>
      </c>
      <c r="D143" s="1" t="s">
        <v>2615</v>
      </c>
      <c r="E143" s="4" t="s">
        <v>1956</v>
      </c>
      <c r="F143" s="21" t="s">
        <v>5</v>
      </c>
      <c r="G143" s="14">
        <v>1</v>
      </c>
      <c r="H143" s="14">
        <v>0</v>
      </c>
      <c r="I143" s="7">
        <v>314</v>
      </c>
      <c r="J143" s="23">
        <f>VLOOKUP(I143,episodes!$A$1:$B$81,2,FALSE)</f>
        <v>70</v>
      </c>
      <c r="K143" s="16" t="str">
        <f>VLOOKUP(I143,episodes!$A$1:$E$81,5,FALSE)</f>
        <v>Whom Gods Destroy</v>
      </c>
      <c r="L143" s="16">
        <f>VLOOKUP(I143,episodes!$A$1:$D$81,3,FALSE)</f>
        <v>3</v>
      </c>
      <c r="M143" s="16">
        <f>VLOOKUP(I143,episodes!$A$1:$D$81,4,FALSE)</f>
        <v>14</v>
      </c>
      <c r="O143" s="14">
        <v>0</v>
      </c>
      <c r="P143" s="24">
        <f>LEN(E143)+LEN(K143)</f>
        <v>222</v>
      </c>
      <c r="Q143" s="24">
        <f>COUNTIFS(B:B,B145)</f>
        <v>49</v>
      </c>
      <c r="R143" s="24">
        <f>COUNTIFS(D:D,D146)</f>
        <v>49</v>
      </c>
    </row>
    <row r="144" spans="1:18" x14ac:dyDescent="0.3">
      <c r="A144" s="14">
        <v>2308</v>
      </c>
      <c r="B144" s="21" t="s">
        <v>2653</v>
      </c>
      <c r="C144" s="21" t="s">
        <v>2602</v>
      </c>
      <c r="D144" s="1" t="s">
        <v>2615</v>
      </c>
      <c r="E144" s="4" t="s">
        <v>1954</v>
      </c>
      <c r="F144" s="21" t="s">
        <v>5</v>
      </c>
      <c r="G144" s="14">
        <v>1</v>
      </c>
      <c r="H144" s="14">
        <v>0</v>
      </c>
      <c r="I144" s="7">
        <v>224</v>
      </c>
      <c r="J144" s="23">
        <f>VLOOKUP(I144,episodes!$A$1:$B$81,2,FALSE)</f>
        <v>54</v>
      </c>
      <c r="K144" s="16" t="str">
        <f>VLOOKUP(I144,episodes!$A$1:$E$81,5,FALSE)</f>
        <v>The Ultimate Computer</v>
      </c>
      <c r="L144" s="16">
        <f>VLOOKUP(I144,episodes!$A$1:$D$81,3,FALSE)</f>
        <v>2</v>
      </c>
      <c r="M144" s="16">
        <f>VLOOKUP(I144,episodes!$A$1:$D$81,4,FALSE)</f>
        <v>24</v>
      </c>
      <c r="O144" s="14">
        <v>0</v>
      </c>
      <c r="P144" s="24">
        <f>LEN(E144)+LEN(K144)</f>
        <v>236</v>
      </c>
      <c r="Q144" s="24">
        <f>COUNTIFS(B:B,B146)</f>
        <v>49</v>
      </c>
      <c r="R144" s="24">
        <f>COUNTIFS(D:D,D147)</f>
        <v>49</v>
      </c>
    </row>
    <row r="145" spans="1:18" x14ac:dyDescent="0.3">
      <c r="A145" s="14">
        <v>2309</v>
      </c>
      <c r="B145" s="21" t="s">
        <v>2653</v>
      </c>
      <c r="C145" s="21" t="s">
        <v>2602</v>
      </c>
      <c r="D145" s="1" t="s">
        <v>2615</v>
      </c>
      <c r="E145" s="4" t="s">
        <v>2010</v>
      </c>
      <c r="F145" s="21" t="s">
        <v>5</v>
      </c>
      <c r="G145" s="14">
        <v>1</v>
      </c>
      <c r="H145" s="14">
        <v>0</v>
      </c>
      <c r="I145" s="7">
        <v>224</v>
      </c>
      <c r="J145" s="23">
        <f>VLOOKUP(I145,episodes!$A$1:$B$81,2,FALSE)</f>
        <v>54</v>
      </c>
      <c r="K145" s="16" t="str">
        <f>VLOOKUP(I145,episodes!$A$1:$E$81,5,FALSE)</f>
        <v>The Ultimate Computer</v>
      </c>
      <c r="L145" s="16">
        <f>VLOOKUP(I145,episodes!$A$1:$D$81,3,FALSE)</f>
        <v>2</v>
      </c>
      <c r="M145" s="16">
        <f>VLOOKUP(I145,episodes!$A$1:$D$81,4,FALSE)</f>
        <v>24</v>
      </c>
      <c r="O145" s="14">
        <v>0</v>
      </c>
      <c r="P145" s="24">
        <f>LEN(E145)+LEN(K145)</f>
        <v>148</v>
      </c>
      <c r="Q145" s="24">
        <f>COUNTIFS(B:B,B147)</f>
        <v>49</v>
      </c>
      <c r="R145" s="24">
        <f>COUNTIFS(D:D,D148)</f>
        <v>49</v>
      </c>
    </row>
    <row r="146" spans="1:18" x14ac:dyDescent="0.3">
      <c r="A146" s="14">
        <v>2215</v>
      </c>
      <c r="B146" s="21" t="s">
        <v>2653</v>
      </c>
      <c r="C146" s="21" t="s">
        <v>2602</v>
      </c>
      <c r="D146" s="1" t="s">
        <v>2615</v>
      </c>
      <c r="E146" s="4" t="s">
        <v>1952</v>
      </c>
      <c r="F146" s="21" t="s">
        <v>5</v>
      </c>
      <c r="G146" s="14">
        <v>1</v>
      </c>
      <c r="H146" s="14">
        <v>0</v>
      </c>
      <c r="I146" s="7">
        <v>201</v>
      </c>
      <c r="J146" s="23">
        <f>VLOOKUP(I146,episodes!$A$1:$B$81,2,FALSE)</f>
        <v>31</v>
      </c>
      <c r="K146" s="16" t="str">
        <f>VLOOKUP(I146,episodes!$A$1:$E$81,5,FALSE)</f>
        <v>Amok Time</v>
      </c>
      <c r="L146" s="16">
        <f>VLOOKUP(I146,episodes!$A$1:$D$81,3,FALSE)</f>
        <v>2</v>
      </c>
      <c r="M146" s="16">
        <f>VLOOKUP(I146,episodes!$A$1:$D$81,4,FALSE)</f>
        <v>1</v>
      </c>
      <c r="O146" s="14">
        <v>0</v>
      </c>
      <c r="P146" s="24">
        <f>LEN(E146)+LEN(K146)</f>
        <v>254</v>
      </c>
      <c r="Q146" s="24">
        <f>COUNTIFS(B:B,B145)</f>
        <v>49</v>
      </c>
      <c r="R146" s="24">
        <f>COUNTIFS(D:D,D146)</f>
        <v>49</v>
      </c>
    </row>
    <row r="147" spans="1:18" x14ac:dyDescent="0.3">
      <c r="A147" s="14">
        <v>2103</v>
      </c>
      <c r="B147" s="21" t="s">
        <v>2653</v>
      </c>
      <c r="C147" s="21" t="s">
        <v>2602</v>
      </c>
      <c r="D147" s="1" t="s">
        <v>2615</v>
      </c>
      <c r="E147" s="4" t="s">
        <v>1950</v>
      </c>
      <c r="F147" s="21" t="s">
        <v>5</v>
      </c>
      <c r="G147" s="14">
        <v>1</v>
      </c>
      <c r="H147" s="14">
        <v>0</v>
      </c>
      <c r="I147" s="7">
        <v>117</v>
      </c>
      <c r="J147" s="23">
        <f>VLOOKUP(I147,episodes!$A$1:$B$81,2,FALSE)</f>
        <v>18</v>
      </c>
      <c r="K147" s="16" t="str">
        <f>VLOOKUP(I147,episodes!$A$1:$E$81,5,FALSE)</f>
        <v>The Squire of Gothos</v>
      </c>
      <c r="L147" s="16">
        <f>VLOOKUP(I147,episodes!$A$1:$D$81,3,FALSE)</f>
        <v>1</v>
      </c>
      <c r="M147" s="16">
        <f>VLOOKUP(I147,episodes!$A$1:$D$81,4,FALSE)</f>
        <v>17</v>
      </c>
      <c r="O147" s="14">
        <v>0</v>
      </c>
      <c r="P147" s="24">
        <f>LEN(E147)+LEN(K147)</f>
        <v>223</v>
      </c>
      <c r="Q147" s="24">
        <f>COUNTIFS(B:B,B146)</f>
        <v>49</v>
      </c>
      <c r="R147" s="24">
        <f>COUNTIFS(D:D,D147)</f>
        <v>49</v>
      </c>
    </row>
    <row r="148" spans="1:18" x14ac:dyDescent="0.3">
      <c r="A148" s="14">
        <v>2300</v>
      </c>
      <c r="B148" s="21" t="s">
        <v>2653</v>
      </c>
      <c r="C148" s="21" t="s">
        <v>2602</v>
      </c>
      <c r="D148" s="1" t="s">
        <v>2615</v>
      </c>
      <c r="E148" s="4" t="s">
        <v>1964</v>
      </c>
      <c r="F148" s="21" t="s">
        <v>5</v>
      </c>
      <c r="G148" s="14">
        <v>1</v>
      </c>
      <c r="H148" s="14">
        <v>0</v>
      </c>
      <c r="I148" s="7">
        <v>217</v>
      </c>
      <c r="J148" s="23">
        <f>VLOOKUP(I148,episodes!$A$1:$B$81,2,FALSE)</f>
        <v>47</v>
      </c>
      <c r="K148" s="16" t="str">
        <f>VLOOKUP(I148,episodes!$A$1:$E$81,5,FALSE)</f>
        <v>A Piece of the Action</v>
      </c>
      <c r="L148" s="16">
        <f>VLOOKUP(I148,episodes!$A$1:$D$81,3,FALSE)</f>
        <v>2</v>
      </c>
      <c r="M148" s="16">
        <f>VLOOKUP(I148,episodes!$A$1:$D$81,4,FALSE)</f>
        <v>17</v>
      </c>
      <c r="O148" s="14">
        <v>0</v>
      </c>
      <c r="P148" s="24">
        <f>LEN(E148)+LEN(K148)</f>
        <v>250</v>
      </c>
      <c r="Q148" s="24">
        <f>COUNTIFS(B:B,B150)</f>
        <v>49</v>
      </c>
      <c r="R148" s="24">
        <f>COUNTIFS(D:D,D151)</f>
        <v>49</v>
      </c>
    </row>
    <row r="149" spans="1:18" x14ac:dyDescent="0.3">
      <c r="A149" s="14">
        <v>2298</v>
      </c>
      <c r="B149" s="21" t="s">
        <v>2653</v>
      </c>
      <c r="C149" s="21" t="s">
        <v>2602</v>
      </c>
      <c r="D149" s="1" t="s">
        <v>2615</v>
      </c>
      <c r="E149" s="4" t="s">
        <v>1953</v>
      </c>
      <c r="F149" s="21" t="s">
        <v>5</v>
      </c>
      <c r="G149" s="14">
        <v>1</v>
      </c>
      <c r="H149" s="14">
        <v>0</v>
      </c>
      <c r="I149" s="7">
        <v>216</v>
      </c>
      <c r="J149" s="23">
        <f>VLOOKUP(I149,episodes!$A$1:$B$81,2,FALSE)</f>
        <v>46</v>
      </c>
      <c r="K149" s="16" t="str">
        <f>VLOOKUP(I149,episodes!$A$1:$E$81,5,FALSE)</f>
        <v>The Gamesters of Triskelion</v>
      </c>
      <c r="L149" s="16">
        <f>VLOOKUP(I149,episodes!$A$1:$D$81,3,FALSE)</f>
        <v>2</v>
      </c>
      <c r="M149" s="16">
        <f>VLOOKUP(I149,episodes!$A$1:$D$81,4,FALSE)</f>
        <v>16</v>
      </c>
      <c r="O149" s="14">
        <v>0</v>
      </c>
      <c r="P149" s="24">
        <f>LEN(E149)+LEN(K149)</f>
        <v>161</v>
      </c>
      <c r="Q149" s="24">
        <f>COUNTIFS(B:B,B149)</f>
        <v>49</v>
      </c>
      <c r="R149" s="24">
        <f>COUNTIFS(D:D,D152)</f>
        <v>49</v>
      </c>
    </row>
    <row r="150" spans="1:18" x14ac:dyDescent="0.3">
      <c r="A150" s="14">
        <v>2310</v>
      </c>
      <c r="B150" s="21" t="s">
        <v>2653</v>
      </c>
      <c r="C150" s="21" t="s">
        <v>2602</v>
      </c>
      <c r="D150" s="1" t="s">
        <v>2615</v>
      </c>
      <c r="E150" s="4" t="s">
        <v>1944</v>
      </c>
      <c r="F150" s="21" t="s">
        <v>5</v>
      </c>
      <c r="G150" s="14">
        <v>1</v>
      </c>
      <c r="H150" s="14">
        <v>0</v>
      </c>
      <c r="I150" s="7">
        <v>225</v>
      </c>
      <c r="J150" s="23">
        <f>VLOOKUP(I150,episodes!$A$1:$B$81,2,FALSE)</f>
        <v>55</v>
      </c>
      <c r="K150" s="16" t="str">
        <f>VLOOKUP(I150,episodes!$A$1:$E$81,5,FALSE)</f>
        <v>Bread and Circuses</v>
      </c>
      <c r="L150" s="16">
        <f>VLOOKUP(I150,episodes!$A$1:$D$81,3,FALSE)</f>
        <v>2</v>
      </c>
      <c r="M150" s="16">
        <f>VLOOKUP(I150,episodes!$A$1:$D$81,4,FALSE)</f>
        <v>25</v>
      </c>
      <c r="O150" s="14">
        <v>0</v>
      </c>
      <c r="P150" s="24">
        <f>LEN(E150)+LEN(K150)</f>
        <v>355</v>
      </c>
      <c r="Q150" s="24">
        <f>COUNTIFS(B:B,B152)</f>
        <v>49</v>
      </c>
      <c r="R150" s="24">
        <f>COUNTIFS(D:D,D153)</f>
        <v>49</v>
      </c>
    </row>
    <row r="151" spans="1:18" x14ac:dyDescent="0.3">
      <c r="A151" s="14">
        <v>2267</v>
      </c>
      <c r="B151" s="21" t="s">
        <v>2653</v>
      </c>
      <c r="C151" s="21" t="s">
        <v>2602</v>
      </c>
      <c r="D151" s="1" t="s">
        <v>2615</v>
      </c>
      <c r="E151" s="4" t="s">
        <v>1949</v>
      </c>
      <c r="F151" s="21" t="s">
        <v>5</v>
      </c>
      <c r="G151" s="14">
        <v>1</v>
      </c>
      <c r="H151" s="14">
        <v>0</v>
      </c>
      <c r="I151" s="7">
        <v>208</v>
      </c>
      <c r="J151" s="23">
        <f>VLOOKUP(I151,episodes!$A$1:$B$81,2,FALSE)</f>
        <v>38</v>
      </c>
      <c r="K151" s="16" t="str">
        <f>VLOOKUP(I151,episodes!$A$1:$E$81,5,FALSE)</f>
        <v>I, Mudd</v>
      </c>
      <c r="L151" s="16">
        <f>VLOOKUP(I151,episodes!$A$1:$D$81,3,FALSE)</f>
        <v>2</v>
      </c>
      <c r="M151" s="16">
        <f>VLOOKUP(I151,episodes!$A$1:$D$81,4,FALSE)</f>
        <v>8</v>
      </c>
      <c r="O151" s="14">
        <v>0</v>
      </c>
      <c r="P151" s="24">
        <f>LEN(E151)+LEN(K151)</f>
        <v>184</v>
      </c>
      <c r="Q151" s="24">
        <f>COUNTIFS(B:B,B150)</f>
        <v>49</v>
      </c>
      <c r="R151" s="24">
        <f>COUNTIFS(D:D,D151)</f>
        <v>49</v>
      </c>
    </row>
    <row r="152" spans="1:18" x14ac:dyDescent="0.3">
      <c r="A152" s="14">
        <v>2317</v>
      </c>
      <c r="B152" s="21" t="s">
        <v>2653</v>
      </c>
      <c r="C152" s="21" t="s">
        <v>2602</v>
      </c>
      <c r="D152" s="1" t="s">
        <v>2615</v>
      </c>
      <c r="E152" s="4" t="s">
        <v>1958</v>
      </c>
      <c r="F152" s="21" t="s">
        <v>5</v>
      </c>
      <c r="G152" s="14">
        <v>1</v>
      </c>
      <c r="H152" s="14">
        <v>0</v>
      </c>
      <c r="I152" s="7">
        <v>317</v>
      </c>
      <c r="J152" s="23">
        <f>VLOOKUP(I152,episodes!$A$1:$B$81,2,FALSE)</f>
        <v>73</v>
      </c>
      <c r="K152" s="16" t="str">
        <f>VLOOKUP(I152,episodes!$A$1:$E$81,5,FALSE)</f>
        <v>That Which Survives</v>
      </c>
      <c r="L152" s="16">
        <f>VLOOKUP(I152,episodes!$A$1:$D$81,3,FALSE)</f>
        <v>3</v>
      </c>
      <c r="M152" s="16">
        <f>VLOOKUP(I152,episodes!$A$1:$D$81,4,FALSE)</f>
        <v>17</v>
      </c>
      <c r="O152" s="14">
        <v>0</v>
      </c>
      <c r="P152" s="24">
        <f>LEN(E152)+LEN(K152)</f>
        <v>264</v>
      </c>
      <c r="Q152" s="24">
        <f>COUNTIFS(B:B,B154)</f>
        <v>49</v>
      </c>
      <c r="R152" s="24">
        <f>COUNTIFS(D:D,D155)</f>
        <v>49</v>
      </c>
    </row>
    <row r="153" spans="1:18" x14ac:dyDescent="0.3">
      <c r="A153" s="14">
        <v>2318</v>
      </c>
      <c r="B153" s="21" t="s">
        <v>2653</v>
      </c>
      <c r="C153" s="21" t="s">
        <v>2602</v>
      </c>
      <c r="D153" s="1" t="s">
        <v>2615</v>
      </c>
      <c r="E153" s="4" t="s">
        <v>1947</v>
      </c>
      <c r="F153" s="21" t="s">
        <v>5</v>
      </c>
      <c r="G153" s="14">
        <v>1</v>
      </c>
      <c r="H153" s="14">
        <v>0</v>
      </c>
      <c r="I153" s="7">
        <v>319</v>
      </c>
      <c r="J153" s="23">
        <f>VLOOKUP(I153,episodes!$A$1:$B$81,2,FALSE)</f>
        <v>75</v>
      </c>
      <c r="K153" s="16" t="str">
        <f>VLOOKUP(I153,episodes!$A$1:$E$81,5,FALSE)</f>
        <v>Requiem for Methuselah</v>
      </c>
      <c r="L153" s="16">
        <f>VLOOKUP(I153,episodes!$A$1:$D$81,3,FALSE)</f>
        <v>3</v>
      </c>
      <c r="M153" s="16">
        <f>VLOOKUP(I153,episodes!$A$1:$D$81,4,FALSE)</f>
        <v>19</v>
      </c>
      <c r="O153" s="14">
        <v>0</v>
      </c>
      <c r="P153" s="24">
        <f>LEN(E153)+LEN(K153)</f>
        <v>214</v>
      </c>
      <c r="Q153" s="24">
        <f>COUNTIFS(B:B,B155)</f>
        <v>49</v>
      </c>
      <c r="R153" s="24">
        <f>COUNTIFS(D:D,D156)</f>
        <v>49</v>
      </c>
    </row>
    <row r="154" spans="1:18" x14ac:dyDescent="0.3">
      <c r="A154" s="14">
        <v>2311</v>
      </c>
      <c r="B154" s="21" t="s">
        <v>2653</v>
      </c>
      <c r="C154" s="21" t="s">
        <v>2602</v>
      </c>
      <c r="D154" s="1" t="s">
        <v>2615</v>
      </c>
      <c r="E154" s="4" t="s">
        <v>1943</v>
      </c>
      <c r="F154" s="21" t="s">
        <v>5</v>
      </c>
      <c r="G154" s="14">
        <v>1</v>
      </c>
      <c r="H154" s="14">
        <v>0</v>
      </c>
      <c r="I154" s="7">
        <v>225</v>
      </c>
      <c r="J154" s="23">
        <f>VLOOKUP(I154,episodes!$A$1:$B$81,2,FALSE)</f>
        <v>55</v>
      </c>
      <c r="K154" s="16" t="str">
        <f>VLOOKUP(I154,episodes!$A$1:$E$81,5,FALSE)</f>
        <v>Bread and Circuses</v>
      </c>
      <c r="L154" s="16">
        <f>VLOOKUP(I154,episodes!$A$1:$D$81,3,FALSE)</f>
        <v>2</v>
      </c>
      <c r="M154" s="16">
        <f>VLOOKUP(I154,episodes!$A$1:$D$81,4,FALSE)</f>
        <v>25</v>
      </c>
      <c r="O154" s="14">
        <v>0</v>
      </c>
      <c r="P154" s="24">
        <f>LEN(E154)+LEN(K154)</f>
        <v>101</v>
      </c>
      <c r="Q154" s="24">
        <f>COUNTIFS(B:B,B156)</f>
        <v>49</v>
      </c>
      <c r="R154" s="24">
        <f>COUNTIFS(D:D,D157)</f>
        <v>49</v>
      </c>
    </row>
    <row r="155" spans="1:18" x14ac:dyDescent="0.3">
      <c r="A155" s="14">
        <v>2321</v>
      </c>
      <c r="B155" s="21" t="s">
        <v>2653</v>
      </c>
      <c r="C155" s="21" t="s">
        <v>2602</v>
      </c>
      <c r="D155" s="1" t="s">
        <v>2615</v>
      </c>
      <c r="E155" s="4" t="s">
        <v>1970</v>
      </c>
      <c r="F155" s="21" t="s">
        <v>5</v>
      </c>
      <c r="G155" s="14">
        <v>1</v>
      </c>
      <c r="H155" s="14">
        <v>0</v>
      </c>
      <c r="I155" s="7">
        <v>323</v>
      </c>
      <c r="J155" s="23">
        <f>VLOOKUP(I155,episodes!$A$1:$B$81,2,FALSE)</f>
        <v>79</v>
      </c>
      <c r="K155" s="16" t="str">
        <f>VLOOKUP(I155,episodes!$A$1:$E$81,5,FALSE)</f>
        <v>All Our Yesterdays</v>
      </c>
      <c r="L155" s="16">
        <f>VLOOKUP(I155,episodes!$A$1:$D$81,3,FALSE)</f>
        <v>3</v>
      </c>
      <c r="M155" s="16">
        <f>VLOOKUP(I155,episodes!$A$1:$D$81,4,FALSE)</f>
        <v>23</v>
      </c>
      <c r="O155" s="14">
        <v>0</v>
      </c>
      <c r="P155" s="24">
        <f>LEN(E155)+LEN(K155)</f>
        <v>28</v>
      </c>
      <c r="Q155" s="24">
        <f>COUNTIFS(B:B,B157)</f>
        <v>49</v>
      </c>
      <c r="R155" s="24">
        <f>COUNTIFS(D:D,D158)</f>
        <v>49</v>
      </c>
    </row>
    <row r="156" spans="1:18" x14ac:dyDescent="0.3">
      <c r="A156" s="14">
        <v>2042</v>
      </c>
      <c r="B156" s="21" t="s">
        <v>2653</v>
      </c>
      <c r="C156" s="21" t="s">
        <v>2602</v>
      </c>
      <c r="D156" s="1" t="s">
        <v>2615</v>
      </c>
      <c r="E156" s="4" t="s">
        <v>1930</v>
      </c>
      <c r="F156" s="21" t="s">
        <v>5</v>
      </c>
      <c r="G156" s="14">
        <v>1</v>
      </c>
      <c r="H156" s="14">
        <v>0</v>
      </c>
      <c r="I156" s="7">
        <v>101</v>
      </c>
      <c r="J156" s="23">
        <f>VLOOKUP(I156,episodes!$A$1:$B$81,2,FALSE)</f>
        <v>2</v>
      </c>
      <c r="K156" s="16" t="str">
        <f>VLOOKUP(I156,episodes!$A$1:$E$81,5,FALSE)</f>
        <v>The Man Trap</v>
      </c>
      <c r="L156" s="16">
        <f>VLOOKUP(I156,episodes!$A$1:$D$81,3,FALSE)</f>
        <v>1</v>
      </c>
      <c r="M156" s="16">
        <f>VLOOKUP(I156,episodes!$A$1:$D$81,4,FALSE)</f>
        <v>1</v>
      </c>
      <c r="O156" s="14">
        <v>0</v>
      </c>
      <c r="P156" s="24">
        <f>LEN(E156)+LEN(K156)</f>
        <v>72</v>
      </c>
      <c r="Q156" s="24">
        <f>COUNTIFS(B:B,B155)</f>
        <v>49</v>
      </c>
      <c r="R156" s="24">
        <f>COUNTIFS(D:D,D156)</f>
        <v>49</v>
      </c>
    </row>
    <row r="157" spans="1:18" x14ac:dyDescent="0.3">
      <c r="A157" s="14">
        <v>2239</v>
      </c>
      <c r="B157" s="21" t="s">
        <v>2653</v>
      </c>
      <c r="C157" s="21" t="s">
        <v>2602</v>
      </c>
      <c r="D157" s="1" t="s">
        <v>2615</v>
      </c>
      <c r="E157" s="4" t="s">
        <v>2953</v>
      </c>
      <c r="F157" s="21" t="s">
        <v>5</v>
      </c>
      <c r="G157" s="14">
        <v>1</v>
      </c>
      <c r="H157" s="14">
        <v>0</v>
      </c>
      <c r="I157" s="7">
        <v>204</v>
      </c>
      <c r="J157" s="23">
        <f>VLOOKUP(I157,episodes!$A$1:$B$81,2,FALSE)</f>
        <v>34</v>
      </c>
      <c r="K157" s="16" t="str">
        <f>VLOOKUP(I157,episodes!$A$1:$E$81,5,FALSE)</f>
        <v>Mirror, Mirror</v>
      </c>
      <c r="L157" s="16">
        <f>VLOOKUP(I157,episodes!$A$1:$D$81,3,FALSE)</f>
        <v>2</v>
      </c>
      <c r="M157" s="16">
        <f>VLOOKUP(I157,episodes!$A$1:$D$81,4,FALSE)</f>
        <v>4</v>
      </c>
      <c r="O157" s="14">
        <v>0</v>
      </c>
      <c r="P157" s="24">
        <f>LEN(E157)+LEN(K157)</f>
        <v>108</v>
      </c>
      <c r="Q157" s="24">
        <f>COUNTIFS(B:B,B156)</f>
        <v>49</v>
      </c>
      <c r="R157" s="24">
        <f>COUNTIFS(D:D,D157)</f>
        <v>49</v>
      </c>
    </row>
    <row r="158" spans="1:18" x14ac:dyDescent="0.3">
      <c r="A158" s="14">
        <v>2312</v>
      </c>
      <c r="B158" s="21" t="s">
        <v>2653</v>
      </c>
      <c r="C158" s="21" t="s">
        <v>2602</v>
      </c>
      <c r="D158" s="1" t="s">
        <v>2615</v>
      </c>
      <c r="E158" s="4" t="s">
        <v>1945</v>
      </c>
      <c r="F158" s="21" t="s">
        <v>5</v>
      </c>
      <c r="G158" s="14">
        <v>1</v>
      </c>
      <c r="H158" s="14">
        <v>0</v>
      </c>
      <c r="I158" s="7">
        <v>226</v>
      </c>
      <c r="J158" s="23">
        <f>VLOOKUP(I158,episodes!$A$1:$B$81,2,FALSE)</f>
        <v>56</v>
      </c>
      <c r="K158" s="16" t="str">
        <f>VLOOKUP(I158,episodes!$A$1:$E$81,5,FALSE)</f>
        <v>Assignment: Earth</v>
      </c>
      <c r="L158" s="16">
        <f>VLOOKUP(I158,episodes!$A$1:$D$81,3,FALSE)</f>
        <v>2</v>
      </c>
      <c r="M158" s="16">
        <f>VLOOKUP(I158,episodes!$A$1:$D$81,4,FALSE)</f>
        <v>26</v>
      </c>
      <c r="O158" s="14">
        <v>0</v>
      </c>
      <c r="P158" s="24">
        <f>LEN(E158)+LEN(K158)</f>
        <v>133</v>
      </c>
      <c r="Q158" s="24">
        <f>COUNTIFS(B:B,B160)</f>
        <v>49</v>
      </c>
      <c r="R158" s="24">
        <f>COUNTIFS(D:D,D161)</f>
        <v>49</v>
      </c>
    </row>
    <row r="159" spans="1:18" x14ac:dyDescent="0.3">
      <c r="A159" s="14">
        <v>2198</v>
      </c>
      <c r="B159" s="21" t="s">
        <v>2653</v>
      </c>
      <c r="C159" s="21" t="s">
        <v>2602</v>
      </c>
      <c r="D159" s="1" t="s">
        <v>2615</v>
      </c>
      <c r="E159" s="4" t="s">
        <v>1951</v>
      </c>
      <c r="F159" s="21" t="s">
        <v>5</v>
      </c>
      <c r="G159" s="14">
        <v>1</v>
      </c>
      <c r="H159" s="14">
        <v>0</v>
      </c>
      <c r="I159" s="7">
        <v>129</v>
      </c>
      <c r="J159" s="23">
        <f>VLOOKUP(I159,episodes!$A$1:$B$81,2,FALSE)</f>
        <v>30</v>
      </c>
      <c r="K159" s="16" t="str">
        <f>VLOOKUP(I159,episodes!$A$1:$E$81,5,FALSE)</f>
        <v>Operation: Annihilate!</v>
      </c>
      <c r="L159" s="16">
        <f>VLOOKUP(I159,episodes!$A$1:$D$81,3,FALSE)</f>
        <v>1</v>
      </c>
      <c r="M159" s="16">
        <f>VLOOKUP(I159,episodes!$A$1:$D$81,4,FALSE)</f>
        <v>29</v>
      </c>
      <c r="O159" s="14">
        <v>0</v>
      </c>
      <c r="P159" s="24">
        <f>LEN(E159)+LEN(K159)</f>
        <v>464</v>
      </c>
      <c r="Q159" s="24">
        <f>COUNTIFS(B:B,B158)</f>
        <v>49</v>
      </c>
      <c r="R159" s="24">
        <f>COUNTIFS(D:D,D159)</f>
        <v>49</v>
      </c>
    </row>
    <row r="160" spans="1:18" x14ac:dyDescent="0.3">
      <c r="A160" s="14">
        <v>2295</v>
      </c>
      <c r="B160" s="21" t="s">
        <v>2653</v>
      </c>
      <c r="C160" s="21" t="s">
        <v>2602</v>
      </c>
      <c r="D160" s="1" t="s">
        <v>2615</v>
      </c>
      <c r="E160" s="4" t="s">
        <v>1936</v>
      </c>
      <c r="F160" s="21" t="s">
        <v>5</v>
      </c>
      <c r="G160" s="14">
        <v>1</v>
      </c>
      <c r="H160" s="14">
        <v>0</v>
      </c>
      <c r="I160" s="7">
        <v>214</v>
      </c>
      <c r="J160" s="23">
        <f>VLOOKUP(I160,episodes!$A$1:$B$81,2,FALSE)</f>
        <v>44</v>
      </c>
      <c r="K160" s="16" t="str">
        <f>VLOOKUP(I160,episodes!$A$1:$E$81,5,FALSE)</f>
        <v>Wolf in the Fold</v>
      </c>
      <c r="L160" s="16">
        <f>VLOOKUP(I160,episodes!$A$1:$D$81,3,FALSE)</f>
        <v>2</v>
      </c>
      <c r="M160" s="16">
        <f>VLOOKUP(I160,episodes!$A$1:$D$81,4,FALSE)</f>
        <v>14</v>
      </c>
      <c r="O160" s="14">
        <v>0</v>
      </c>
      <c r="P160" s="24">
        <f>LEN(E160)+LEN(K160)</f>
        <v>201</v>
      </c>
      <c r="Q160" s="24">
        <f>COUNTIFS(B:B,B162)</f>
        <v>49</v>
      </c>
      <c r="R160" s="24">
        <f>COUNTIFS(D:D,D163)</f>
        <v>49</v>
      </c>
    </row>
    <row r="161" spans="1:18" x14ac:dyDescent="0.3">
      <c r="A161" s="14">
        <v>2088</v>
      </c>
      <c r="B161" s="21" t="s">
        <v>2653</v>
      </c>
      <c r="C161" s="21" t="s">
        <v>2602</v>
      </c>
      <c r="D161" s="1" t="s">
        <v>2615</v>
      </c>
      <c r="E161" s="4" t="s">
        <v>1932</v>
      </c>
      <c r="F161" s="21" t="s">
        <v>5</v>
      </c>
      <c r="G161" s="14">
        <v>1</v>
      </c>
      <c r="H161" s="14">
        <v>0</v>
      </c>
      <c r="I161" s="7">
        <v>114</v>
      </c>
      <c r="J161" s="23">
        <f>VLOOKUP(I161,episodes!$A$1:$B$81,2,FALSE)</f>
        <v>15</v>
      </c>
      <c r="K161" s="16" t="str">
        <f>VLOOKUP(I161,episodes!$A$1:$E$81,5,FALSE)</f>
        <v>Balance of Terror</v>
      </c>
      <c r="L161" s="16">
        <f>VLOOKUP(I161,episodes!$A$1:$D$81,3,FALSE)</f>
        <v>1</v>
      </c>
      <c r="M161" s="16">
        <f>VLOOKUP(I161,episodes!$A$1:$D$81,4,FALSE)</f>
        <v>14</v>
      </c>
      <c r="O161" s="14">
        <v>0</v>
      </c>
      <c r="P161" s="24">
        <f>LEN(E161)+LEN(K161)</f>
        <v>91</v>
      </c>
      <c r="Q161" s="24">
        <f>COUNTIFS(B:B,B160)</f>
        <v>49</v>
      </c>
      <c r="R161" s="24">
        <f>COUNTIFS(D:D,D161)</f>
        <v>49</v>
      </c>
    </row>
    <row r="162" spans="1:18" x14ac:dyDescent="0.3">
      <c r="A162" s="14">
        <v>2316</v>
      </c>
      <c r="B162" s="21" t="s">
        <v>2653</v>
      </c>
      <c r="C162" s="21" t="s">
        <v>2602</v>
      </c>
      <c r="D162" s="1" t="s">
        <v>2615</v>
      </c>
      <c r="E162" s="4" t="s">
        <v>1969</v>
      </c>
      <c r="F162" s="21" t="s">
        <v>5</v>
      </c>
      <c r="G162" s="14">
        <v>1</v>
      </c>
      <c r="H162" s="14">
        <v>0</v>
      </c>
      <c r="I162" s="7">
        <v>314</v>
      </c>
      <c r="J162" s="23">
        <f>VLOOKUP(I162,episodes!$A$1:$B$81,2,FALSE)</f>
        <v>70</v>
      </c>
      <c r="K162" s="16" t="str">
        <f>VLOOKUP(I162,episodes!$A$1:$E$81,5,FALSE)</f>
        <v>Whom Gods Destroy</v>
      </c>
      <c r="L162" s="16">
        <f>VLOOKUP(I162,episodes!$A$1:$D$81,3,FALSE)</f>
        <v>3</v>
      </c>
      <c r="M162" s="16">
        <f>VLOOKUP(I162,episodes!$A$1:$D$81,4,FALSE)</f>
        <v>14</v>
      </c>
      <c r="O162" s="14">
        <v>0</v>
      </c>
      <c r="P162" s="24">
        <f>LEN(E162)+LEN(K162)</f>
        <v>286</v>
      </c>
      <c r="Q162" s="24">
        <f>COUNTIFS(B:B,B164)</f>
        <v>49</v>
      </c>
      <c r="R162" s="24">
        <f>COUNTIFS(D:D,D165)</f>
        <v>49</v>
      </c>
    </row>
    <row r="163" spans="1:18" x14ac:dyDescent="0.3">
      <c r="A163" s="14">
        <v>2307</v>
      </c>
      <c r="B163" s="21" t="s">
        <v>2653</v>
      </c>
      <c r="C163" s="21" t="s">
        <v>2602</v>
      </c>
      <c r="D163" s="1" t="s">
        <v>2615</v>
      </c>
      <c r="E163" s="4" t="s">
        <v>1942</v>
      </c>
      <c r="F163" s="21" t="s">
        <v>5</v>
      </c>
      <c r="G163" s="14">
        <v>1</v>
      </c>
      <c r="H163" s="14">
        <v>0</v>
      </c>
      <c r="I163" s="7">
        <v>223</v>
      </c>
      <c r="J163" s="23">
        <f>VLOOKUP(I163,episodes!$A$1:$B$81,2,FALSE)</f>
        <v>53</v>
      </c>
      <c r="K163" s="16" t="str">
        <f>VLOOKUP(I163,episodes!$A$1:$E$81,5,FALSE)</f>
        <v>The Omega Glory</v>
      </c>
      <c r="L163" s="16">
        <f>VLOOKUP(I163,episodes!$A$1:$D$81,3,FALSE)</f>
        <v>2</v>
      </c>
      <c r="M163" s="16">
        <f>VLOOKUP(I163,episodes!$A$1:$D$81,4,FALSE)</f>
        <v>23</v>
      </c>
      <c r="O163" s="14">
        <v>0</v>
      </c>
      <c r="P163" s="24">
        <f>LEN(E163)+LEN(K163)</f>
        <v>72</v>
      </c>
      <c r="Q163" s="24">
        <f>COUNTIFS(B:B,B165)</f>
        <v>49</v>
      </c>
      <c r="R163" s="24">
        <f>COUNTIFS(D:D,D166)</f>
        <v>49</v>
      </c>
    </row>
    <row r="164" spans="1:18" x14ac:dyDescent="0.3">
      <c r="A164" s="14">
        <v>2301</v>
      </c>
      <c r="B164" s="21" t="s">
        <v>2653</v>
      </c>
      <c r="C164" s="21" t="s">
        <v>2602</v>
      </c>
      <c r="D164" s="1" t="s">
        <v>2615</v>
      </c>
      <c r="E164" s="4" t="s">
        <v>1937</v>
      </c>
      <c r="F164" s="21" t="s">
        <v>5</v>
      </c>
      <c r="G164" s="14">
        <v>1</v>
      </c>
      <c r="H164" s="14">
        <v>0</v>
      </c>
      <c r="I164" s="7">
        <v>217</v>
      </c>
      <c r="J164" s="23">
        <f>VLOOKUP(I164,episodes!$A$1:$B$81,2,FALSE)</f>
        <v>47</v>
      </c>
      <c r="K164" s="16" t="str">
        <f>VLOOKUP(I164,episodes!$A$1:$E$81,5,FALSE)</f>
        <v>A Piece of the Action</v>
      </c>
      <c r="L164" s="16">
        <f>VLOOKUP(I164,episodes!$A$1:$D$81,3,FALSE)</f>
        <v>2</v>
      </c>
      <c r="M164" s="16">
        <f>VLOOKUP(I164,episodes!$A$1:$D$81,4,FALSE)</f>
        <v>17</v>
      </c>
      <c r="O164" s="14">
        <v>0</v>
      </c>
      <c r="P164" s="24">
        <f>LEN(E164)+LEN(K164)</f>
        <v>161</v>
      </c>
      <c r="Q164" s="24">
        <f>COUNTIFS(B:B,B166)</f>
        <v>49</v>
      </c>
      <c r="R164" s="24">
        <f>COUNTIFS(D:D,#REF!)</f>
        <v>0</v>
      </c>
    </row>
    <row r="165" spans="1:18" x14ac:dyDescent="0.3">
      <c r="A165" s="14">
        <v>2306</v>
      </c>
      <c r="B165" s="21" t="s">
        <v>2653</v>
      </c>
      <c r="C165" s="21" t="s">
        <v>2602</v>
      </c>
      <c r="D165" s="1" t="s">
        <v>2615</v>
      </c>
      <c r="E165" s="4" t="s">
        <v>1940</v>
      </c>
      <c r="F165" s="21" t="s">
        <v>5</v>
      </c>
      <c r="G165" s="14">
        <v>1</v>
      </c>
      <c r="H165" s="14">
        <v>0</v>
      </c>
      <c r="I165" s="7">
        <v>222</v>
      </c>
      <c r="J165" s="23">
        <f>VLOOKUP(I165,episodes!$A$1:$B$81,2,FALSE)</f>
        <v>52</v>
      </c>
      <c r="K165" s="16" t="str">
        <f>VLOOKUP(I165,episodes!$A$1:$E$81,5,FALSE)</f>
        <v>By Any Other Name</v>
      </c>
      <c r="L165" s="16">
        <f>VLOOKUP(I165,episodes!$A$1:$D$81,3,FALSE)</f>
        <v>2</v>
      </c>
      <c r="M165" s="16">
        <f>VLOOKUP(I165,episodes!$A$1:$D$81,4,FALSE)</f>
        <v>22</v>
      </c>
      <c r="O165" s="14">
        <v>0</v>
      </c>
      <c r="P165" s="24">
        <f>LEN(E165)+LEN(K165)</f>
        <v>52</v>
      </c>
      <c r="Q165" s="24"/>
      <c r="R165" s="24"/>
    </row>
    <row r="166" spans="1:18" x14ac:dyDescent="0.3">
      <c r="A166" s="14">
        <v>2244</v>
      </c>
      <c r="B166" s="21" t="s">
        <v>2653</v>
      </c>
      <c r="C166" s="21" t="s">
        <v>2602</v>
      </c>
      <c r="D166" s="1" t="s">
        <v>2615</v>
      </c>
      <c r="E166" s="4" t="s">
        <v>1935</v>
      </c>
      <c r="F166" s="21" t="s">
        <v>5</v>
      </c>
      <c r="G166" s="14">
        <v>1</v>
      </c>
      <c r="H166" s="14">
        <v>0</v>
      </c>
      <c r="I166" s="7">
        <v>205</v>
      </c>
      <c r="J166" s="23">
        <f>VLOOKUP(I166,episodes!$A$1:$B$81,2,FALSE)</f>
        <v>35</v>
      </c>
      <c r="K166" s="16" t="str">
        <f>VLOOKUP(I166,episodes!$A$1:$E$81,5,FALSE)</f>
        <v>The Apple</v>
      </c>
      <c r="L166" s="16">
        <f>VLOOKUP(I166,episodes!$A$1:$D$81,3,FALSE)</f>
        <v>2</v>
      </c>
      <c r="M166" s="16">
        <f>VLOOKUP(I166,episodes!$A$1:$D$81,4,FALSE)</f>
        <v>5</v>
      </c>
      <c r="O166" s="14">
        <v>0</v>
      </c>
      <c r="P166" s="24">
        <f>LEN(E166)+LEN(K166)</f>
        <v>246</v>
      </c>
      <c r="Q166" s="24">
        <f>COUNTIFS(B:B,B165)</f>
        <v>49</v>
      </c>
      <c r="R166" s="24">
        <f>COUNTIFS(D:D,D166)</f>
        <v>49</v>
      </c>
    </row>
    <row r="167" spans="1:18" x14ac:dyDescent="0.3">
      <c r="A167" s="14">
        <v>2199</v>
      </c>
      <c r="B167" s="21" t="s">
        <v>2653</v>
      </c>
      <c r="C167" s="21" t="s">
        <v>2602</v>
      </c>
      <c r="D167" s="1" t="s">
        <v>2615</v>
      </c>
      <c r="E167" s="4" t="s">
        <v>1934</v>
      </c>
      <c r="F167" s="21" t="s">
        <v>5</v>
      </c>
      <c r="G167" s="14">
        <v>1</v>
      </c>
      <c r="H167" s="14">
        <v>0</v>
      </c>
      <c r="I167" s="7">
        <v>129</v>
      </c>
      <c r="J167" s="23">
        <f>VLOOKUP(I167,episodes!$A$1:$B$81,2,FALSE)</f>
        <v>30</v>
      </c>
      <c r="K167" s="16" t="str">
        <f>VLOOKUP(I167,episodes!$A$1:$E$81,5,FALSE)</f>
        <v>Operation: Annihilate!</v>
      </c>
      <c r="L167" s="16">
        <f>VLOOKUP(I167,episodes!$A$1:$D$81,3,FALSE)</f>
        <v>1</v>
      </c>
      <c r="M167" s="16">
        <f>VLOOKUP(I167,episodes!$A$1:$D$81,4,FALSE)</f>
        <v>29</v>
      </c>
      <c r="O167" s="14">
        <v>0</v>
      </c>
      <c r="P167" s="24">
        <f>LEN(E167)+LEN(K167)</f>
        <v>182</v>
      </c>
      <c r="Q167" s="24">
        <f>COUNTIFS(B:B,#REF!)</f>
        <v>0</v>
      </c>
      <c r="R167" s="24">
        <f>COUNTIFS(D:D,D167)</f>
        <v>49</v>
      </c>
    </row>
    <row r="168" spans="1:18" x14ac:dyDescent="0.3">
      <c r="A168" s="14">
        <v>2319</v>
      </c>
      <c r="B168" s="21" t="s">
        <v>2653</v>
      </c>
      <c r="C168" s="21" t="s">
        <v>2602</v>
      </c>
      <c r="D168" s="1" t="s">
        <v>2615</v>
      </c>
      <c r="E168" s="4" t="s">
        <v>1948</v>
      </c>
      <c r="F168" s="21" t="s">
        <v>5</v>
      </c>
      <c r="G168" s="14">
        <v>1</v>
      </c>
      <c r="H168" s="14">
        <v>0</v>
      </c>
      <c r="I168" s="7">
        <v>319</v>
      </c>
      <c r="J168" s="23">
        <f>VLOOKUP(I168,episodes!$A$1:$B$81,2,FALSE)</f>
        <v>75</v>
      </c>
      <c r="K168" s="16" t="str">
        <f>VLOOKUP(I168,episodes!$A$1:$E$81,5,FALSE)</f>
        <v>Requiem for Methuselah</v>
      </c>
      <c r="L168" s="16">
        <f>VLOOKUP(I168,episodes!$A$1:$D$81,3,FALSE)</f>
        <v>3</v>
      </c>
      <c r="M168" s="16">
        <f>VLOOKUP(I168,episodes!$A$1:$D$81,4,FALSE)</f>
        <v>19</v>
      </c>
      <c r="O168" s="14">
        <v>0</v>
      </c>
      <c r="P168" s="24">
        <f>LEN(E168)+LEN(K168)</f>
        <v>100</v>
      </c>
      <c r="Q168" s="24">
        <f>COUNTIFS(B:B,B170)</f>
        <v>49</v>
      </c>
      <c r="R168" s="24">
        <f>COUNTIFS(D:D,D171)</f>
        <v>49</v>
      </c>
    </row>
    <row r="169" spans="1:18" x14ac:dyDescent="0.3">
      <c r="A169" s="14">
        <v>2075</v>
      </c>
      <c r="B169" s="21" t="s">
        <v>2653</v>
      </c>
      <c r="C169" s="21" t="s">
        <v>2602</v>
      </c>
      <c r="D169" s="1" t="s">
        <v>2615</v>
      </c>
      <c r="E169" s="4" t="s">
        <v>2005</v>
      </c>
      <c r="F169" s="21" t="s">
        <v>5</v>
      </c>
      <c r="G169" s="14">
        <v>1</v>
      </c>
      <c r="H169" s="14">
        <v>0</v>
      </c>
      <c r="I169" s="7">
        <v>109</v>
      </c>
      <c r="J169" s="23">
        <f>VLOOKUP(I169,episodes!$A$1:$B$81,2,FALSE)</f>
        <v>10</v>
      </c>
      <c r="K169" s="16" t="str">
        <f>VLOOKUP(I169,episodes!$A$1:$E$81,5,FALSE)</f>
        <v>Dagger of the Mind</v>
      </c>
      <c r="L169" s="16">
        <f>VLOOKUP(I169,episodes!$A$1:$D$81,3,FALSE)</f>
        <v>1</v>
      </c>
      <c r="M169" s="16">
        <f>VLOOKUP(I169,episodes!$A$1:$D$81,4,FALSE)</f>
        <v>9</v>
      </c>
      <c r="O169" s="14">
        <v>0</v>
      </c>
      <c r="P169" s="24">
        <f>LEN(E169)+LEN(K169)</f>
        <v>151</v>
      </c>
      <c r="Q169" s="24">
        <f>COUNTIFS(B:B,B168)</f>
        <v>49</v>
      </c>
      <c r="R169" s="24">
        <f>COUNTIFS(D:D,D169)</f>
        <v>49</v>
      </c>
    </row>
    <row r="170" spans="1:18" x14ac:dyDescent="0.3">
      <c r="A170" s="14">
        <v>2132</v>
      </c>
      <c r="B170" s="21" t="s">
        <v>2653</v>
      </c>
      <c r="C170" s="21" t="s">
        <v>2602</v>
      </c>
      <c r="D170" s="1" t="s">
        <v>2615</v>
      </c>
      <c r="E170" s="4" t="s">
        <v>2280</v>
      </c>
      <c r="F170" s="21" t="s">
        <v>5</v>
      </c>
      <c r="G170" s="14">
        <v>1</v>
      </c>
      <c r="H170" s="14">
        <v>0</v>
      </c>
      <c r="I170" s="7">
        <v>122</v>
      </c>
      <c r="J170" s="23">
        <f>VLOOKUP(I170,episodes!$A$1:$B$81,2,FALSE)</f>
        <v>23</v>
      </c>
      <c r="K170" s="16" t="str">
        <f>VLOOKUP(I170,episodes!$A$1:$E$81,5,FALSE)</f>
        <v>Space Seed</v>
      </c>
      <c r="L170" s="16">
        <f>VLOOKUP(I170,episodes!$A$1:$D$81,3,FALSE)</f>
        <v>1</v>
      </c>
      <c r="M170" s="16">
        <f>VLOOKUP(I170,episodes!$A$1:$D$81,4,FALSE)</f>
        <v>22</v>
      </c>
      <c r="O170" s="14">
        <v>0</v>
      </c>
      <c r="P170" s="24">
        <f>LEN(E170)+LEN(K170)</f>
        <v>160</v>
      </c>
      <c r="Q170" s="24">
        <f>COUNTIFS(B:B,B169)</f>
        <v>49</v>
      </c>
      <c r="R170" s="24">
        <f>COUNTIFS(D:D,D170)</f>
        <v>49</v>
      </c>
    </row>
    <row r="171" spans="1:18" x14ac:dyDescent="0.3">
      <c r="A171" s="14">
        <v>2090</v>
      </c>
      <c r="B171" s="21" t="s">
        <v>2653</v>
      </c>
      <c r="C171" s="21" t="s">
        <v>2602</v>
      </c>
      <c r="D171" s="1" t="s">
        <v>2615</v>
      </c>
      <c r="E171" s="4" t="s">
        <v>1933</v>
      </c>
      <c r="F171" s="21" t="s">
        <v>5</v>
      </c>
      <c r="G171" s="14">
        <v>1</v>
      </c>
      <c r="H171" s="14">
        <v>0</v>
      </c>
      <c r="I171" s="7">
        <v>115</v>
      </c>
      <c r="J171" s="23">
        <f>VLOOKUP(I171,episodes!$A$1:$B$81,2,FALSE)</f>
        <v>16</v>
      </c>
      <c r="K171" s="16" t="str">
        <f>VLOOKUP(I171,episodes!$A$1:$E$81,5,FALSE)</f>
        <v>Shore Leave</v>
      </c>
      <c r="L171" s="16">
        <f>VLOOKUP(I171,episodes!$A$1:$D$81,3,FALSE)</f>
        <v>1</v>
      </c>
      <c r="M171" s="16">
        <f>VLOOKUP(I171,episodes!$A$1:$D$81,4,FALSE)</f>
        <v>15</v>
      </c>
      <c r="O171" s="14">
        <v>0</v>
      </c>
      <c r="P171" s="24">
        <f>LEN(E171)+LEN(K171)</f>
        <v>82</v>
      </c>
      <c r="Q171" s="24">
        <f>COUNTIFS(B:B,B170)</f>
        <v>49</v>
      </c>
      <c r="R171" s="24">
        <f>COUNTIFS(D:D,D171)</f>
        <v>49</v>
      </c>
    </row>
    <row r="172" spans="1:18" x14ac:dyDescent="0.3">
      <c r="A172" s="14">
        <v>2079</v>
      </c>
      <c r="B172" s="21" t="s">
        <v>2653</v>
      </c>
      <c r="C172" s="21" t="s">
        <v>2602</v>
      </c>
      <c r="D172" s="1" t="s">
        <v>2615</v>
      </c>
      <c r="E172" s="4" t="s">
        <v>1957</v>
      </c>
      <c r="F172" s="21" t="s">
        <v>5</v>
      </c>
      <c r="G172" s="14">
        <v>1</v>
      </c>
      <c r="H172" s="14">
        <v>0</v>
      </c>
      <c r="I172" s="7">
        <v>110</v>
      </c>
      <c r="J172" s="23">
        <f>VLOOKUP(I172,episodes!$A$1:$B$81,2,FALSE)</f>
        <v>11</v>
      </c>
      <c r="K172" s="16" t="str">
        <f>VLOOKUP(I172,episodes!$A$1:$E$81,5,FALSE)</f>
        <v>The Corbomite Maneuver</v>
      </c>
      <c r="L172" s="16">
        <f>VLOOKUP(I172,episodes!$A$1:$D$81,3,FALSE)</f>
        <v>1</v>
      </c>
      <c r="M172" s="16">
        <f>VLOOKUP(I172,episodes!$A$1:$D$81,4,FALSE)</f>
        <v>10</v>
      </c>
      <c r="O172" s="14">
        <v>0</v>
      </c>
      <c r="P172" s="24">
        <f>LEN(E172)+LEN(K172)</f>
        <v>150</v>
      </c>
      <c r="Q172" s="24">
        <f>COUNTIFS(B:B,B171)</f>
        <v>49</v>
      </c>
      <c r="R172" s="24">
        <f>COUNTIFS(D:D,D172)</f>
        <v>49</v>
      </c>
    </row>
    <row r="173" spans="1:18" x14ac:dyDescent="0.3">
      <c r="A173" s="14">
        <v>2320</v>
      </c>
      <c r="B173" s="21" t="s">
        <v>2653</v>
      </c>
      <c r="C173" s="21" t="s">
        <v>2602</v>
      </c>
      <c r="D173" s="1" t="s">
        <v>2615</v>
      </c>
      <c r="E173" s="4" t="s">
        <v>1968</v>
      </c>
      <c r="F173" s="21" t="s">
        <v>5</v>
      </c>
      <c r="G173" s="14">
        <v>1</v>
      </c>
      <c r="H173" s="14">
        <v>0</v>
      </c>
      <c r="I173" s="7">
        <v>321</v>
      </c>
      <c r="J173" s="23">
        <f>VLOOKUP(I173,episodes!$A$1:$B$81,2,FALSE)</f>
        <v>77</v>
      </c>
      <c r="K173" s="16" t="str">
        <f>VLOOKUP(I173,episodes!$A$1:$E$81,5,FALSE)</f>
        <v>The Cloud Minders</v>
      </c>
      <c r="L173" s="16">
        <f>VLOOKUP(I173,episodes!$A$1:$D$81,3,FALSE)</f>
        <v>3</v>
      </c>
      <c r="M173" s="16">
        <f>VLOOKUP(I173,episodes!$A$1:$D$81,4,FALSE)</f>
        <v>21</v>
      </c>
      <c r="O173" s="14">
        <v>0</v>
      </c>
      <c r="P173" s="24">
        <f>LEN(E173)+LEN(K173)</f>
        <v>243</v>
      </c>
      <c r="Q173" s="24">
        <f>COUNTIFS(B:B,B175)</f>
        <v>49</v>
      </c>
      <c r="R173" s="24">
        <f>COUNTIFS(D:D,D176)</f>
        <v>49</v>
      </c>
    </row>
    <row r="174" spans="1:18" x14ac:dyDescent="0.3">
      <c r="A174" s="14">
        <v>2304</v>
      </c>
      <c r="B174" s="21" t="s">
        <v>2653</v>
      </c>
      <c r="C174" s="21" t="s">
        <v>2602</v>
      </c>
      <c r="D174" s="1" t="s">
        <v>2615</v>
      </c>
      <c r="E174" s="4" t="s">
        <v>1939</v>
      </c>
      <c r="F174" s="21" t="s">
        <v>5</v>
      </c>
      <c r="G174" s="14">
        <v>1</v>
      </c>
      <c r="H174" s="14">
        <v>0</v>
      </c>
      <c r="I174" s="7">
        <v>221</v>
      </c>
      <c r="J174" s="23">
        <f>VLOOKUP(I174,episodes!$A$1:$B$81,2,FALSE)</f>
        <v>51</v>
      </c>
      <c r="K174" s="16" t="str">
        <f>VLOOKUP(I174,episodes!$A$1:$E$81,5,FALSE)</f>
        <v>Patterns of Force</v>
      </c>
      <c r="L174" s="16">
        <f>VLOOKUP(I174,episodes!$A$1:$D$81,3,FALSE)</f>
        <v>2</v>
      </c>
      <c r="M174" s="16">
        <f>VLOOKUP(I174,episodes!$A$1:$D$81,4,FALSE)</f>
        <v>21</v>
      </c>
      <c r="O174" s="14">
        <v>0</v>
      </c>
      <c r="P174" s="24">
        <f>LEN(E174)+LEN(K174)</f>
        <v>115</v>
      </c>
      <c r="Q174" s="24">
        <f>COUNTIFS(B:B,B176)</f>
        <v>49</v>
      </c>
      <c r="R174" s="24">
        <f>COUNTIFS(D:D,D177)</f>
        <v>49</v>
      </c>
    </row>
    <row r="175" spans="1:18" x14ac:dyDescent="0.3">
      <c r="A175" s="14">
        <v>2060</v>
      </c>
      <c r="B175" s="21" t="s">
        <v>2653</v>
      </c>
      <c r="C175" s="21" t="s">
        <v>2602</v>
      </c>
      <c r="D175" s="1" t="s">
        <v>2615</v>
      </c>
      <c r="E175" s="4" t="s">
        <v>1931</v>
      </c>
      <c r="F175" s="21" t="s">
        <v>5</v>
      </c>
      <c r="G175" s="14">
        <v>1</v>
      </c>
      <c r="H175" s="14">
        <v>0</v>
      </c>
      <c r="I175" s="7">
        <v>105</v>
      </c>
      <c r="J175" s="23">
        <f>VLOOKUP(I175,episodes!$A$1:$B$81,2,FALSE)</f>
        <v>6</v>
      </c>
      <c r="K175" s="16" t="str">
        <f>VLOOKUP(I175,episodes!$A$1:$E$81,5,FALSE)</f>
        <v>The Enemy Within</v>
      </c>
      <c r="L175" s="16">
        <f>VLOOKUP(I175,episodes!$A$1:$D$81,3,FALSE)</f>
        <v>1</v>
      </c>
      <c r="M175" s="16">
        <f>VLOOKUP(I175,episodes!$A$1:$D$81,4,FALSE)</f>
        <v>5</v>
      </c>
      <c r="O175" s="14">
        <v>0</v>
      </c>
      <c r="P175" s="24">
        <f>LEN(E175)+LEN(K175)</f>
        <v>99</v>
      </c>
      <c r="Q175" s="24">
        <f>COUNTIFS(B:B,B174)</f>
        <v>49</v>
      </c>
      <c r="R175" s="24">
        <f>COUNTIFS(D:D,D175)</f>
        <v>49</v>
      </c>
    </row>
    <row r="176" spans="1:18" x14ac:dyDescent="0.3">
      <c r="A176" s="14">
        <v>2313</v>
      </c>
      <c r="B176" s="21" t="s">
        <v>2653</v>
      </c>
      <c r="C176" s="21" t="s">
        <v>2602</v>
      </c>
      <c r="D176" s="1" t="s">
        <v>2615</v>
      </c>
      <c r="E176" s="4" t="s">
        <v>1946</v>
      </c>
      <c r="F176" s="21" t="s">
        <v>5</v>
      </c>
      <c r="G176" s="14">
        <v>1</v>
      </c>
      <c r="H176" s="14">
        <v>0</v>
      </c>
      <c r="I176" s="7">
        <v>304</v>
      </c>
      <c r="J176" s="23">
        <f>VLOOKUP(I176,episodes!$A$1:$B$81,2,FALSE)</f>
        <v>60</v>
      </c>
      <c r="K176" s="16" t="str">
        <f>VLOOKUP(I176,episodes!$A$1:$E$81,5,FALSE)</f>
        <v>And the Children Shall Lead</v>
      </c>
      <c r="L176" s="16">
        <f>VLOOKUP(I176,episodes!$A$1:$D$81,3,FALSE)</f>
        <v>3</v>
      </c>
      <c r="M176" s="16">
        <f>VLOOKUP(I176,episodes!$A$1:$D$81,4,FALSE)</f>
        <v>4</v>
      </c>
      <c r="O176" s="14">
        <v>0</v>
      </c>
      <c r="P176" s="24">
        <f>LEN(E176)+LEN(K176)</f>
        <v>122</v>
      </c>
      <c r="Q176" s="24"/>
      <c r="R176" s="24"/>
    </row>
    <row r="177" spans="1:18" x14ac:dyDescent="0.3">
      <c r="A177" s="14">
        <v>2121</v>
      </c>
      <c r="B177" s="21" t="s">
        <v>2653</v>
      </c>
      <c r="C177" s="21" t="s">
        <v>2602</v>
      </c>
      <c r="D177" s="1" t="s">
        <v>2615</v>
      </c>
      <c r="E177" s="4" t="s">
        <v>2006</v>
      </c>
      <c r="F177" s="21" t="s">
        <v>5</v>
      </c>
      <c r="G177" s="14">
        <v>1</v>
      </c>
      <c r="H177" s="14">
        <v>0</v>
      </c>
      <c r="I177" s="7">
        <v>121</v>
      </c>
      <c r="J177" s="23">
        <f>VLOOKUP(I177,episodes!$A$1:$B$81,2,FALSE)</f>
        <v>22</v>
      </c>
      <c r="K177" s="16" t="str">
        <f>VLOOKUP(I177,episodes!$A$1:$E$81,5,FALSE)</f>
        <v>The Return of the Archons</v>
      </c>
      <c r="L177" s="16">
        <f>VLOOKUP(I177,episodes!$A$1:$D$81,3,FALSE)</f>
        <v>1</v>
      </c>
      <c r="M177" s="16">
        <f>VLOOKUP(I177,episodes!$A$1:$D$81,4,FALSE)</f>
        <v>21</v>
      </c>
      <c r="O177" s="14">
        <v>0</v>
      </c>
      <c r="P177" s="24">
        <f>LEN(E177)+LEN(K177)</f>
        <v>351</v>
      </c>
      <c r="Q177" s="24">
        <f>COUNTIFS(B:B,B176)</f>
        <v>49</v>
      </c>
      <c r="R177" s="24">
        <f>COUNTIFS(D:D,D177)</f>
        <v>49</v>
      </c>
    </row>
    <row r="178" spans="1:18" x14ac:dyDescent="0.3">
      <c r="A178" s="14">
        <v>2302</v>
      </c>
      <c r="B178" s="21" t="s">
        <v>2653</v>
      </c>
      <c r="C178" s="21" t="s">
        <v>2602</v>
      </c>
      <c r="D178" s="1" t="s">
        <v>2615</v>
      </c>
      <c r="E178" s="4" t="s">
        <v>1938</v>
      </c>
      <c r="F178" s="21" t="s">
        <v>5</v>
      </c>
      <c r="G178" s="14">
        <v>1</v>
      </c>
      <c r="H178" s="14">
        <v>0</v>
      </c>
      <c r="I178" s="7">
        <v>218</v>
      </c>
      <c r="J178" s="23">
        <f>VLOOKUP(I178,episodes!$A$1:$B$81,2,FALSE)</f>
        <v>48</v>
      </c>
      <c r="K178" s="16" t="str">
        <f>VLOOKUP(I178,episodes!$A$1:$E$81,5,FALSE)</f>
        <v>The Immunity Syndrome</v>
      </c>
      <c r="L178" s="16">
        <f>VLOOKUP(I178,episodes!$A$1:$D$81,3,FALSE)</f>
        <v>2</v>
      </c>
      <c r="M178" s="16">
        <f>VLOOKUP(I178,episodes!$A$1:$D$81,4,FALSE)</f>
        <v>18</v>
      </c>
      <c r="O178" s="14">
        <v>0</v>
      </c>
      <c r="P178" s="24">
        <f>LEN(E178)+LEN(K178)</f>
        <v>233</v>
      </c>
      <c r="Q178" s="24">
        <f>COUNTIFS(B:B,B180)</f>
        <v>8</v>
      </c>
      <c r="R178" s="24">
        <f>COUNTIFS(D:D,D181)</f>
        <v>8</v>
      </c>
    </row>
    <row r="179" spans="1:18" x14ac:dyDescent="0.3">
      <c r="A179" s="14">
        <v>2241</v>
      </c>
      <c r="B179" s="21" t="s">
        <v>313</v>
      </c>
      <c r="C179" s="21" t="s">
        <v>2602</v>
      </c>
      <c r="D179" s="1" t="s">
        <v>2924</v>
      </c>
      <c r="E179" s="1" t="s">
        <v>1407</v>
      </c>
      <c r="F179" s="21" t="s">
        <v>5</v>
      </c>
      <c r="G179" s="14">
        <v>1</v>
      </c>
      <c r="H179" s="14">
        <v>0</v>
      </c>
      <c r="I179" s="25">
        <v>204</v>
      </c>
      <c r="J179" s="23">
        <f>VLOOKUP(I179,episodes!$A$1:$B$81,2,FALSE)</f>
        <v>34</v>
      </c>
      <c r="K179" s="16" t="str">
        <f>VLOOKUP(I179,episodes!$A$1:$E$81,5,FALSE)</f>
        <v>Mirror, Mirror</v>
      </c>
      <c r="L179" s="16">
        <f>VLOOKUP(I179,episodes!$A$1:$D$81,3,FALSE)</f>
        <v>2</v>
      </c>
      <c r="M179" s="16">
        <f>VLOOKUP(I179,episodes!$A$1:$D$81,4,FALSE)</f>
        <v>4</v>
      </c>
      <c r="O179" s="14">
        <v>0</v>
      </c>
      <c r="P179" s="24">
        <f>LEN(E179)+LEN(K179)</f>
        <v>79</v>
      </c>
      <c r="Q179" s="24">
        <f>COUNTIFS(B:B,B178)</f>
        <v>49</v>
      </c>
      <c r="R179" s="24">
        <f>COUNTIFS(D:D,D179)</f>
        <v>8</v>
      </c>
    </row>
    <row r="180" spans="1:18" x14ac:dyDescent="0.3">
      <c r="A180" s="14">
        <v>2226</v>
      </c>
      <c r="B180" s="21" t="s">
        <v>313</v>
      </c>
      <c r="C180" s="21" t="s">
        <v>2602</v>
      </c>
      <c r="D180" s="1" t="s">
        <v>2924</v>
      </c>
      <c r="E180" s="1" t="s">
        <v>1652</v>
      </c>
      <c r="F180" s="21" t="s">
        <v>5</v>
      </c>
      <c r="G180" s="14">
        <v>1</v>
      </c>
      <c r="H180" s="14">
        <v>0</v>
      </c>
      <c r="I180" s="22">
        <v>201</v>
      </c>
      <c r="J180" s="23">
        <f>VLOOKUP(I180,episodes!$A$1:$B$76,2,FALSE)</f>
        <v>31</v>
      </c>
      <c r="K180" s="16" t="str">
        <f>VLOOKUP(I180,episodes!$A$1:$E$81,5,FALSE)</f>
        <v>Amok Time</v>
      </c>
      <c r="L180" s="16">
        <f>VLOOKUP(I180,episodes!$A$1:$D$81,3,FALSE)</f>
        <v>2</v>
      </c>
      <c r="M180" s="16">
        <f>VLOOKUP(I180,episodes!$A$1:$D$81,4,FALSE)</f>
        <v>1</v>
      </c>
      <c r="O180" s="14">
        <v>0</v>
      </c>
      <c r="P180" s="24">
        <f>LEN(E180)+LEN(K180)</f>
        <v>53</v>
      </c>
      <c r="Q180" s="24">
        <f>COUNTIFS(B:B,B179)</f>
        <v>8</v>
      </c>
      <c r="R180" s="24">
        <f>COUNTIFS(D:D,D180)</f>
        <v>8</v>
      </c>
    </row>
    <row r="181" spans="1:18" x14ac:dyDescent="0.3">
      <c r="A181" s="14">
        <v>2139</v>
      </c>
      <c r="B181" s="21" t="s">
        <v>313</v>
      </c>
      <c r="C181" s="21" t="s">
        <v>2602</v>
      </c>
      <c r="D181" s="1" t="s">
        <v>2924</v>
      </c>
      <c r="E181" s="1" t="s">
        <v>1608</v>
      </c>
      <c r="F181" s="21" t="s">
        <v>5</v>
      </c>
      <c r="G181" s="14">
        <v>1</v>
      </c>
      <c r="H181" s="14">
        <v>0</v>
      </c>
      <c r="I181" s="22">
        <v>123</v>
      </c>
      <c r="J181" s="23">
        <f>VLOOKUP(I181,episodes!$A$1:$B$76,2,FALSE)</f>
        <v>24</v>
      </c>
      <c r="K181" s="16" t="str">
        <f>VLOOKUP(I181,episodes!$A$1:$E$81,5,FALSE)</f>
        <v>A Taste of Armageddon</v>
      </c>
      <c r="L181" s="16">
        <f>VLOOKUP(I181,episodes!$A$1:$D$81,3,FALSE)</f>
        <v>1</v>
      </c>
      <c r="M181" s="16">
        <f>VLOOKUP(I181,episodes!$A$1:$D$81,4,FALSE)</f>
        <v>23</v>
      </c>
      <c r="O181" s="14">
        <v>0</v>
      </c>
      <c r="P181" s="24">
        <f>LEN(E181)+LEN(K181)</f>
        <v>98</v>
      </c>
      <c r="Q181" s="24">
        <f>COUNTIFS(B:B,B180)</f>
        <v>8</v>
      </c>
      <c r="R181" s="24">
        <f>COUNTIFS(D:D,D181)</f>
        <v>8</v>
      </c>
    </row>
    <row r="182" spans="1:18" x14ac:dyDescent="0.3">
      <c r="A182" s="14">
        <v>2076</v>
      </c>
      <c r="B182" s="21" t="s">
        <v>313</v>
      </c>
      <c r="C182" s="21" t="s">
        <v>2602</v>
      </c>
      <c r="D182" s="1" t="s">
        <v>2924</v>
      </c>
      <c r="E182" s="1" t="s">
        <v>479</v>
      </c>
      <c r="F182" s="21" t="s">
        <v>5</v>
      </c>
      <c r="G182" s="14">
        <v>1</v>
      </c>
      <c r="H182" s="14">
        <v>0</v>
      </c>
      <c r="I182" s="25">
        <v>109</v>
      </c>
      <c r="J182" s="23">
        <f>VLOOKUP(I182,episodes!$A$1:$B$76,2,FALSE)</f>
        <v>10</v>
      </c>
      <c r="K182" s="16" t="str">
        <f>VLOOKUP(I182,episodes!$A$1:$E$81,5,FALSE)</f>
        <v>Dagger of the Mind</v>
      </c>
      <c r="L182" s="16">
        <f>VLOOKUP(I182,episodes!$A$1:$D$81,3,FALSE)</f>
        <v>1</v>
      </c>
      <c r="M182" s="16">
        <f>VLOOKUP(I182,episodes!$A$1:$D$81,4,FALSE)</f>
        <v>9</v>
      </c>
      <c r="O182" s="14">
        <v>0</v>
      </c>
      <c r="P182" s="24">
        <f>LEN(E182)+LEN(K182)</f>
        <v>85</v>
      </c>
      <c r="Q182" s="24">
        <f>COUNTIFS(B:B,B181)</f>
        <v>8</v>
      </c>
      <c r="R182" s="24">
        <f>COUNTIFS(D:D,D182)</f>
        <v>8</v>
      </c>
    </row>
    <row r="183" spans="1:18" x14ac:dyDescent="0.3">
      <c r="A183" s="14">
        <v>2162</v>
      </c>
      <c r="B183" s="21" t="s">
        <v>313</v>
      </c>
      <c r="C183" s="21" t="s">
        <v>2602</v>
      </c>
      <c r="D183" s="1" t="s">
        <v>2924</v>
      </c>
      <c r="E183" s="1" t="s">
        <v>1609</v>
      </c>
      <c r="F183" s="21" t="s">
        <v>5</v>
      </c>
      <c r="G183" s="14">
        <v>1</v>
      </c>
      <c r="H183" s="14">
        <v>0</v>
      </c>
      <c r="I183" s="22">
        <v>125</v>
      </c>
      <c r="J183" s="23">
        <f>VLOOKUP(I183,episodes!$A$1:$B$76,2,FALSE)</f>
        <v>26</v>
      </c>
      <c r="K183" s="16" t="str">
        <f>VLOOKUP(I183,episodes!$A$1:$E$81,5,FALSE)</f>
        <v>The Devil in the Dark</v>
      </c>
      <c r="L183" s="16">
        <f>VLOOKUP(I183,episodes!$A$1:$D$81,3,FALSE)</f>
        <v>1</v>
      </c>
      <c r="M183" s="16">
        <f>VLOOKUP(I183,episodes!$A$1:$D$81,4,FALSE)</f>
        <v>25</v>
      </c>
      <c r="O183" s="14">
        <v>0</v>
      </c>
      <c r="P183" s="24">
        <f>LEN(E183)+LEN(K183)</f>
        <v>74</v>
      </c>
      <c r="Q183" s="24">
        <f>COUNTIFS(B:B,B182)</f>
        <v>8</v>
      </c>
      <c r="R183" s="24">
        <f>COUNTIFS(D:D,D183)</f>
        <v>8</v>
      </c>
    </row>
    <row r="184" spans="1:18" x14ac:dyDescent="0.3">
      <c r="A184" s="14">
        <v>2127</v>
      </c>
      <c r="B184" s="21" t="s">
        <v>313</v>
      </c>
      <c r="C184" s="21" t="s">
        <v>2602</v>
      </c>
      <c r="D184" s="1" t="s">
        <v>2924</v>
      </c>
      <c r="E184" s="1" t="s">
        <v>510</v>
      </c>
      <c r="F184" s="21" t="s">
        <v>5</v>
      </c>
      <c r="G184" s="14">
        <v>1</v>
      </c>
      <c r="H184" s="14">
        <v>0</v>
      </c>
      <c r="I184" s="22">
        <v>121</v>
      </c>
      <c r="J184" s="23">
        <f>VLOOKUP(I184,episodes!$A$1:$B$76,2,FALSE)</f>
        <v>22</v>
      </c>
      <c r="K184" s="16" t="str">
        <f>VLOOKUP(I184,episodes!$A$1:$E$81,5,FALSE)</f>
        <v>The Return of the Archons</v>
      </c>
      <c r="L184" s="16">
        <f>VLOOKUP(I184,episodes!$A$1:$D$81,3,FALSE)</f>
        <v>1</v>
      </c>
      <c r="M184" s="16">
        <f>VLOOKUP(I184,episodes!$A$1:$D$81,4,FALSE)</f>
        <v>21</v>
      </c>
      <c r="O184" s="14">
        <v>0</v>
      </c>
      <c r="P184" s="24">
        <f>LEN(E184)+LEN(K184)</f>
        <v>91</v>
      </c>
      <c r="Q184" s="24">
        <f>COUNTIFS(B:B,B183)</f>
        <v>8</v>
      </c>
      <c r="R184" s="24">
        <f>COUNTIFS(D:D,D184)</f>
        <v>8</v>
      </c>
    </row>
    <row r="185" spans="1:18" x14ac:dyDescent="0.3">
      <c r="A185" s="14">
        <v>2237</v>
      </c>
      <c r="B185" s="21" t="s">
        <v>313</v>
      </c>
      <c r="C185" s="21" t="s">
        <v>2602</v>
      </c>
      <c r="D185" s="1" t="s">
        <v>2924</v>
      </c>
      <c r="E185" s="1" t="s">
        <v>1610</v>
      </c>
      <c r="F185" s="21" t="s">
        <v>5</v>
      </c>
      <c r="G185" s="14">
        <v>1</v>
      </c>
      <c r="H185" s="14">
        <v>0</v>
      </c>
      <c r="I185" s="25">
        <v>203</v>
      </c>
      <c r="J185" s="23">
        <f>VLOOKUP(I185,episodes!$A$1:$B$76,2,FALSE)</f>
        <v>33</v>
      </c>
      <c r="K185" s="16" t="str">
        <f>VLOOKUP(I185,episodes!$A$1:$E$81,5,FALSE)</f>
        <v>The Changeling</v>
      </c>
      <c r="L185" s="16">
        <f>VLOOKUP(I185,episodes!$A$1:$D$81,3,FALSE)</f>
        <v>2</v>
      </c>
      <c r="M185" s="16">
        <f>VLOOKUP(I185,episodes!$A$1:$D$81,4,FALSE)</f>
        <v>3</v>
      </c>
      <c r="O185" s="14">
        <v>0</v>
      </c>
      <c r="P185" s="24">
        <f>LEN(E185)+LEN(K185)</f>
        <v>128</v>
      </c>
      <c r="Q185" s="24">
        <f>COUNTIFS(B:B,B184)</f>
        <v>8</v>
      </c>
      <c r="R185" s="24">
        <f>COUNTIFS(D:D,D185)</f>
        <v>8</v>
      </c>
    </row>
    <row r="186" spans="1:18" x14ac:dyDescent="0.3">
      <c r="A186" s="14">
        <v>2271</v>
      </c>
      <c r="B186" s="21" t="s">
        <v>313</v>
      </c>
      <c r="C186" s="21" t="s">
        <v>2602</v>
      </c>
      <c r="D186" s="1" t="s">
        <v>2924</v>
      </c>
      <c r="E186" s="1" t="s">
        <v>1611</v>
      </c>
      <c r="F186" s="21" t="s">
        <v>5</v>
      </c>
      <c r="G186" s="14">
        <v>1</v>
      </c>
      <c r="H186" s="14">
        <v>0</v>
      </c>
      <c r="I186" s="22">
        <v>208</v>
      </c>
      <c r="J186" s="23">
        <f>VLOOKUP(I186,episodes!$A$1:$B$81,2,FALSE)</f>
        <v>38</v>
      </c>
      <c r="K186" s="16" t="str">
        <f>VLOOKUP(I186,episodes!$A$1:$E$81,5,FALSE)</f>
        <v>I, Mudd</v>
      </c>
      <c r="L186" s="16">
        <f>VLOOKUP(I186,episodes!$A$1:$D$81,3,FALSE)</f>
        <v>2</v>
      </c>
      <c r="M186" s="16">
        <f>VLOOKUP(I186,episodes!$A$1:$D$81,4,FALSE)</f>
        <v>8</v>
      </c>
      <c r="O186" s="14">
        <v>0</v>
      </c>
      <c r="P186" s="24">
        <f>LEN(E186)+LEN(K186)</f>
        <v>85</v>
      </c>
      <c r="Q186" s="24">
        <f>COUNTIFS(B:B,B185)</f>
        <v>8</v>
      </c>
      <c r="R186" s="24">
        <f>COUNTIFS(D:D,D186)</f>
        <v>8</v>
      </c>
    </row>
    <row r="187" spans="1:18" x14ac:dyDescent="0.3">
      <c r="A187" s="14">
        <v>1963</v>
      </c>
      <c r="B187" s="21" t="s">
        <v>256</v>
      </c>
      <c r="C187" s="21" t="s">
        <v>2602</v>
      </c>
      <c r="D187" s="1" t="s">
        <v>2896</v>
      </c>
      <c r="E187" s="1" t="s">
        <v>1431</v>
      </c>
      <c r="F187" s="21" t="s">
        <v>6</v>
      </c>
      <c r="G187" s="14">
        <v>0</v>
      </c>
      <c r="H187" s="14">
        <v>1</v>
      </c>
      <c r="I187" s="25">
        <v>104</v>
      </c>
      <c r="J187" s="23">
        <f>VLOOKUP(I187,episodes!$A$1:$B$76,2,FALSE)</f>
        <v>5</v>
      </c>
      <c r="K187" s="16" t="str">
        <f>VLOOKUP(I187,episodes!$A$1:$E$81,5,FALSE)</f>
        <v>The Naked Time</v>
      </c>
      <c r="L187" s="16">
        <f>VLOOKUP(I187,episodes!$A$1:$D$81,3,FALSE)</f>
        <v>1</v>
      </c>
      <c r="M187" s="16">
        <f>VLOOKUP(I187,episodes!$A$1:$D$81,4,FALSE)</f>
        <v>4</v>
      </c>
      <c r="O187" s="14">
        <v>0</v>
      </c>
      <c r="P187" s="24">
        <f>LEN(E187)+LEN(K187)</f>
        <v>57</v>
      </c>
      <c r="Q187" s="24">
        <f>COUNTIFS(B:B,B186)</f>
        <v>8</v>
      </c>
      <c r="R187" s="24">
        <f>COUNTIFS(D:D,D187)</f>
        <v>4</v>
      </c>
    </row>
    <row r="188" spans="1:18" x14ac:dyDescent="0.3">
      <c r="A188" s="14">
        <v>2154</v>
      </c>
      <c r="B188" s="21" t="s">
        <v>2655</v>
      </c>
      <c r="C188" s="21" t="s">
        <v>2602</v>
      </c>
      <c r="D188" s="1" t="s">
        <v>2896</v>
      </c>
      <c r="E188" s="1" t="s">
        <v>1333</v>
      </c>
      <c r="F188" s="21" t="s">
        <v>5</v>
      </c>
      <c r="G188" s="14">
        <v>1</v>
      </c>
      <c r="H188" s="14">
        <v>0</v>
      </c>
      <c r="I188" s="22">
        <v>125</v>
      </c>
      <c r="J188" s="23">
        <f>VLOOKUP(I188,episodes!$A$1:$B$76,2,FALSE)</f>
        <v>26</v>
      </c>
      <c r="K188" s="16" t="str">
        <f>VLOOKUP(I188,episodes!$A$1:$E$81,5,FALSE)</f>
        <v>The Devil in the Dark</v>
      </c>
      <c r="L188" s="16">
        <f>VLOOKUP(I188,episodes!$A$1:$D$81,3,FALSE)</f>
        <v>1</v>
      </c>
      <c r="M188" s="16">
        <f>VLOOKUP(I188,episodes!$A$1:$D$81,4,FALSE)</f>
        <v>25</v>
      </c>
      <c r="O188" s="14">
        <v>0</v>
      </c>
      <c r="P188" s="24">
        <f>LEN(E188)+LEN(K188)</f>
        <v>128</v>
      </c>
      <c r="Q188" s="24">
        <f>COUNTIFS(B:B,B187)</f>
        <v>2</v>
      </c>
      <c r="R188" s="24">
        <f>COUNTIFS(D:D,D188)</f>
        <v>4</v>
      </c>
    </row>
    <row r="189" spans="1:18" x14ac:dyDescent="0.3">
      <c r="A189" s="14">
        <v>2197</v>
      </c>
      <c r="B189" s="21" t="s">
        <v>2659</v>
      </c>
      <c r="C189" s="21" t="s">
        <v>2602</v>
      </c>
      <c r="D189" s="1" t="s">
        <v>2896</v>
      </c>
      <c r="E189" s="1" t="s">
        <v>1365</v>
      </c>
      <c r="F189" s="21" t="s">
        <v>5</v>
      </c>
      <c r="G189" s="14">
        <v>1</v>
      </c>
      <c r="H189" s="14">
        <v>0</v>
      </c>
      <c r="I189" s="22">
        <v>129</v>
      </c>
      <c r="J189" s="23">
        <f>VLOOKUP(I189,episodes!$A$1:$B$76,2,FALSE)</f>
        <v>30</v>
      </c>
      <c r="K189" s="16" t="str">
        <f>VLOOKUP(I189,episodes!$A$1:$E$81,5,FALSE)</f>
        <v>Operation: Annihilate!</v>
      </c>
      <c r="L189" s="16">
        <f>VLOOKUP(I189,episodes!$A$1:$D$81,3,FALSE)</f>
        <v>1</v>
      </c>
      <c r="M189" s="16">
        <f>VLOOKUP(I189,episodes!$A$1:$D$81,4,FALSE)</f>
        <v>29</v>
      </c>
      <c r="O189" s="14">
        <v>0</v>
      </c>
      <c r="P189" s="24">
        <f>LEN(E189)+LEN(K189)</f>
        <v>140</v>
      </c>
      <c r="Q189" s="24">
        <f>COUNTIFS(B:B,B188)</f>
        <v>1</v>
      </c>
      <c r="R189" s="24">
        <f>COUNTIFS(D:D,D189)</f>
        <v>4</v>
      </c>
    </row>
    <row r="190" spans="1:18" x14ac:dyDescent="0.3">
      <c r="A190" s="14">
        <v>2503</v>
      </c>
      <c r="B190" s="21" t="s">
        <v>2656</v>
      </c>
      <c r="C190" s="21" t="s">
        <v>2602</v>
      </c>
      <c r="D190" s="1" t="s">
        <v>2896</v>
      </c>
      <c r="E190" s="1" t="s">
        <v>1759</v>
      </c>
      <c r="F190" s="21" t="s">
        <v>1863</v>
      </c>
      <c r="G190" s="14">
        <v>1</v>
      </c>
      <c r="H190" s="14">
        <v>0</v>
      </c>
      <c r="I190" s="14">
        <v>102</v>
      </c>
      <c r="J190" s="23">
        <f>VLOOKUP(I190,episodes!$A$1:$B$76,2,FALSE)</f>
        <v>3</v>
      </c>
      <c r="K190" s="16" t="str">
        <f>VLOOKUP(I190,episodes!$A$1:$E$81,5,FALSE)</f>
        <v>Charlie X</v>
      </c>
      <c r="L190" s="16">
        <f>VLOOKUP(I190,episodes!$A$1:$D$81,3,FALSE)</f>
        <v>1</v>
      </c>
      <c r="M190" s="16">
        <f>VLOOKUP(I190,episodes!$A$1:$D$81,4,FALSE)</f>
        <v>2</v>
      </c>
      <c r="O190" s="14">
        <v>0</v>
      </c>
      <c r="P190" s="24">
        <f>LEN(E190)+LEN(K190)</f>
        <v>56</v>
      </c>
      <c r="Q190" s="24">
        <f>COUNTIFS(B:B,B189)</f>
        <v>1</v>
      </c>
      <c r="R190" s="24">
        <f>COUNTIFS(D:D,D190)</f>
        <v>4</v>
      </c>
    </row>
    <row r="191" spans="1:18" x14ac:dyDescent="0.3">
      <c r="A191" s="14">
        <v>624</v>
      </c>
      <c r="B191" s="21" t="s">
        <v>279</v>
      </c>
      <c r="C191" s="21" t="s">
        <v>2602</v>
      </c>
      <c r="D191" s="21" t="s">
        <v>42</v>
      </c>
      <c r="E191" s="1" t="s">
        <v>1701</v>
      </c>
      <c r="F191" s="21" t="s">
        <v>4</v>
      </c>
      <c r="G191" s="14">
        <v>1</v>
      </c>
      <c r="H191" s="14">
        <v>0</v>
      </c>
      <c r="I191" s="25">
        <v>107</v>
      </c>
      <c r="J191" s="23">
        <f>VLOOKUP(I191,episodes!$A$1:$B$76,2,FALSE)</f>
        <v>8</v>
      </c>
      <c r="K191" s="16" t="str">
        <f>VLOOKUP(I191,episodes!$A$1:$E$81,5,FALSE)</f>
        <v>What Are Little Girls Made Of?</v>
      </c>
      <c r="L191" s="16">
        <f>VLOOKUP(I191,episodes!$A$1:$D$81,3,FALSE)</f>
        <v>1</v>
      </c>
      <c r="M191" s="16">
        <f>VLOOKUP(I191,episodes!$A$1:$D$81,4,FALSE)</f>
        <v>7</v>
      </c>
      <c r="O191" s="14">
        <v>0</v>
      </c>
      <c r="P191" s="24">
        <f>LEN(E191)+LEN(K191)</f>
        <v>166</v>
      </c>
      <c r="Q191" s="24">
        <f>COUNTIFS(B:B,B190)</f>
        <v>1</v>
      </c>
      <c r="R191" s="24">
        <f>COUNTIFS(D:D,#REF!)</f>
        <v>0</v>
      </c>
    </row>
    <row r="192" spans="1:18" x14ac:dyDescent="0.3">
      <c r="A192" s="14">
        <v>625</v>
      </c>
      <c r="B192" s="21" t="s">
        <v>279</v>
      </c>
      <c r="C192" s="21" t="s">
        <v>2602</v>
      </c>
      <c r="D192" s="21" t="s">
        <v>42</v>
      </c>
      <c r="E192" s="1" t="s">
        <v>1702</v>
      </c>
      <c r="F192" s="21" t="s">
        <v>4</v>
      </c>
      <c r="G192" s="14">
        <v>1</v>
      </c>
      <c r="H192" s="14">
        <v>0</v>
      </c>
      <c r="I192" s="25">
        <v>107</v>
      </c>
      <c r="J192" s="23">
        <f>VLOOKUP(I192,episodes!$A$1:$B$76,2,FALSE)</f>
        <v>8</v>
      </c>
      <c r="K192" s="16" t="str">
        <f>VLOOKUP(I192,episodes!$A$1:$E$81,5,FALSE)</f>
        <v>What Are Little Girls Made Of?</v>
      </c>
      <c r="L192" s="16">
        <f>VLOOKUP(I192,episodes!$A$1:$D$81,3,FALSE)</f>
        <v>1</v>
      </c>
      <c r="M192" s="16">
        <f>VLOOKUP(I192,episodes!$A$1:$D$81,4,FALSE)</f>
        <v>7</v>
      </c>
      <c r="O192" s="14">
        <v>0</v>
      </c>
      <c r="P192" s="24">
        <f>LEN(E192)+LEN(K192)</f>
        <v>102</v>
      </c>
      <c r="Q192" s="24">
        <f>COUNTIFS(B:B,B191)</f>
        <v>25</v>
      </c>
      <c r="R192" s="24">
        <f>COUNTIFS(D:D,#REF!)</f>
        <v>0</v>
      </c>
    </row>
    <row r="193" spans="1:18" x14ac:dyDescent="0.3">
      <c r="A193" s="14">
        <v>99</v>
      </c>
      <c r="B193" s="21" t="s">
        <v>279</v>
      </c>
      <c r="C193" s="21" t="s">
        <v>2602</v>
      </c>
      <c r="D193" s="21" t="s">
        <v>42</v>
      </c>
      <c r="E193" s="1" t="s">
        <v>1440</v>
      </c>
      <c r="F193" s="21" t="s">
        <v>46</v>
      </c>
      <c r="G193" s="14">
        <v>0</v>
      </c>
      <c r="H193" s="14">
        <v>0</v>
      </c>
      <c r="I193" s="22">
        <v>116</v>
      </c>
      <c r="J193" s="23">
        <f>VLOOKUP(I193,episodes!$A$1:$B$76,2,FALSE)</f>
        <v>17</v>
      </c>
      <c r="K193" s="16" t="str">
        <f>VLOOKUP(I193,episodes!$A$1:$E$81,5,FALSE)</f>
        <v>The Galileo Seven</v>
      </c>
      <c r="L193" s="16">
        <f>VLOOKUP(I193,episodes!$A$1:$D$81,3,FALSE)</f>
        <v>1</v>
      </c>
      <c r="M193" s="16">
        <f>VLOOKUP(I193,episodes!$A$1:$D$81,4,FALSE)</f>
        <v>16</v>
      </c>
      <c r="O193" s="14">
        <v>0</v>
      </c>
      <c r="P193" s="24">
        <f>LEN(E193)+LEN(K193)</f>
        <v>64</v>
      </c>
      <c r="Q193" s="24">
        <f>COUNTIFS(B:B,B192)</f>
        <v>25</v>
      </c>
      <c r="R193" s="24">
        <f>COUNTIFS(D:D,#REF!)</f>
        <v>0</v>
      </c>
    </row>
    <row r="194" spans="1:18" x14ac:dyDescent="0.3">
      <c r="A194" s="14">
        <v>135</v>
      </c>
      <c r="B194" s="21" t="s">
        <v>298</v>
      </c>
      <c r="C194" s="21" t="s">
        <v>2602</v>
      </c>
      <c r="D194" s="1" t="s">
        <v>2624</v>
      </c>
      <c r="E194" s="1" t="s">
        <v>1386</v>
      </c>
      <c r="F194" s="21" t="s">
        <v>7</v>
      </c>
      <c r="G194" s="14">
        <v>0</v>
      </c>
      <c r="H194" s="14">
        <v>2</v>
      </c>
      <c r="I194" s="14">
        <v>202</v>
      </c>
      <c r="J194" s="23">
        <f>VLOOKUP(I194,episodes!$A$1:$B$76,2,FALSE)</f>
        <v>32</v>
      </c>
      <c r="K194" s="16" t="str">
        <f>VLOOKUP(I194,episodes!$A$1:$E$81,5,FALSE)</f>
        <v>Who Mourns for Adonais?</v>
      </c>
      <c r="L194" s="16">
        <f>VLOOKUP(I194,episodes!$A$1:$D$81,3,FALSE)</f>
        <v>2</v>
      </c>
      <c r="M194" s="16">
        <f>VLOOKUP(I194,episodes!$A$1:$D$81,4,FALSE)</f>
        <v>2</v>
      </c>
      <c r="O194" s="14">
        <v>0</v>
      </c>
      <c r="P194" s="24">
        <f>LEN(E194)+LEN(K194)</f>
        <v>76</v>
      </c>
      <c r="Q194" s="24">
        <f>COUNTIFS(B:B,B193)</f>
        <v>25</v>
      </c>
      <c r="R194" s="24">
        <f>COUNTIFS(D:D,D194)</f>
        <v>3</v>
      </c>
    </row>
    <row r="195" spans="1:18" x14ac:dyDescent="0.3">
      <c r="A195" s="14">
        <v>134</v>
      </c>
      <c r="B195" s="21" t="s">
        <v>298</v>
      </c>
      <c r="C195" s="21" t="s">
        <v>2602</v>
      </c>
      <c r="D195" s="1" t="s">
        <v>2624</v>
      </c>
      <c r="E195" s="1" t="s">
        <v>2925</v>
      </c>
      <c r="F195" s="21" t="s">
        <v>7</v>
      </c>
      <c r="G195" s="14">
        <v>0</v>
      </c>
      <c r="H195" s="14">
        <v>2</v>
      </c>
      <c r="I195" s="14">
        <v>202</v>
      </c>
      <c r="J195" s="23">
        <f>VLOOKUP(I195,episodes!$A$1:$B$81,2,FALSE)</f>
        <v>32</v>
      </c>
      <c r="K195" s="16" t="str">
        <f>VLOOKUP(I195,episodes!$A$1:$E$81,5,FALSE)</f>
        <v>Who Mourns for Adonais?</v>
      </c>
      <c r="L195" s="16">
        <f>VLOOKUP(I195,episodes!$A$1:$D$81,3,FALSE)</f>
        <v>2</v>
      </c>
      <c r="M195" s="16">
        <f>VLOOKUP(I195,episodes!$A$1:$D$81,4,FALSE)</f>
        <v>2</v>
      </c>
      <c r="O195" s="14">
        <v>0</v>
      </c>
      <c r="P195" s="24">
        <f>LEN(E195)+LEN(K195)</f>
        <v>141</v>
      </c>
      <c r="Q195" s="24">
        <f>COUNTIFS(B:B,B194)</f>
        <v>3</v>
      </c>
      <c r="R195" s="24">
        <f>COUNTIFS(D:D,D195)</f>
        <v>3</v>
      </c>
    </row>
    <row r="196" spans="1:18" x14ac:dyDescent="0.3">
      <c r="A196" s="14">
        <v>2986</v>
      </c>
      <c r="B196" s="21" t="s">
        <v>298</v>
      </c>
      <c r="C196" s="21" t="s">
        <v>2602</v>
      </c>
      <c r="D196" s="1" t="s">
        <v>2624</v>
      </c>
      <c r="E196" s="4" t="s">
        <v>2809</v>
      </c>
      <c r="F196" s="21" t="s">
        <v>7</v>
      </c>
      <c r="G196" s="14">
        <v>0</v>
      </c>
      <c r="H196" s="14">
        <v>1</v>
      </c>
      <c r="I196" s="7">
        <v>211</v>
      </c>
      <c r="J196" s="23">
        <f>VLOOKUP(I196,episodes!$A$1:$B$81,2,FALSE)</f>
        <v>41</v>
      </c>
      <c r="K196" s="16" t="str">
        <f>VLOOKUP(I196,episodes!$A$1:$E$81,5,FALSE)</f>
        <v>Friday's Child</v>
      </c>
      <c r="L196" s="16">
        <f>VLOOKUP(I196,episodes!$A$1:$D$81,3,FALSE)</f>
        <v>2</v>
      </c>
      <c r="M196" s="16">
        <f>VLOOKUP(I196,episodes!$A$1:$D$81,4,FALSE)</f>
        <v>11</v>
      </c>
      <c r="O196" s="14">
        <v>0</v>
      </c>
      <c r="P196" s="24">
        <f>LEN(E196)+LEN(K196)</f>
        <v>157</v>
      </c>
      <c r="Q196" s="24"/>
      <c r="R196" s="24"/>
    </row>
    <row r="197" spans="1:18" x14ac:dyDescent="0.3">
      <c r="A197" s="14">
        <v>2098</v>
      </c>
      <c r="B197" s="21" t="s">
        <v>350</v>
      </c>
      <c r="C197" s="21" t="s">
        <v>2602</v>
      </c>
      <c r="D197" s="1" t="s">
        <v>5</v>
      </c>
      <c r="E197" s="1" t="s">
        <v>1821</v>
      </c>
      <c r="F197" s="21" t="s">
        <v>5</v>
      </c>
      <c r="G197" s="14">
        <v>1</v>
      </c>
      <c r="H197" s="14">
        <v>0</v>
      </c>
      <c r="I197" s="25">
        <v>116</v>
      </c>
      <c r="J197" s="23">
        <f>VLOOKUP(I197,episodes!$A$1:$B$76,2,FALSE)</f>
        <v>17</v>
      </c>
      <c r="K197" s="16" t="str">
        <f>VLOOKUP(I197,episodes!$A$1:$E$81,5,FALSE)</f>
        <v>The Galileo Seven</v>
      </c>
      <c r="L197" s="16">
        <f>VLOOKUP(I197,episodes!$A$1:$D$81,3,FALSE)</f>
        <v>1</v>
      </c>
      <c r="M197" s="16">
        <f>VLOOKUP(I197,episodes!$A$1:$D$81,4,FALSE)</f>
        <v>16</v>
      </c>
      <c r="O197" s="14">
        <v>0</v>
      </c>
      <c r="P197" s="24">
        <f>LEN(E197)+LEN(K197)</f>
        <v>90</v>
      </c>
      <c r="Q197" s="24">
        <f>COUNTIFS(B:B,B196)</f>
        <v>3</v>
      </c>
      <c r="R197" s="24">
        <f>COUNTIFS(D:D,D197)</f>
        <v>22</v>
      </c>
    </row>
    <row r="198" spans="1:18" x14ac:dyDescent="0.3">
      <c r="A198" s="14">
        <v>2038</v>
      </c>
      <c r="B198" s="21" t="s">
        <v>350</v>
      </c>
      <c r="C198" s="21" t="s">
        <v>2602</v>
      </c>
      <c r="D198" s="1" t="s">
        <v>5</v>
      </c>
      <c r="E198" s="1" t="s">
        <v>1058</v>
      </c>
      <c r="F198" s="21" t="s">
        <v>5</v>
      </c>
      <c r="G198" s="14">
        <v>1</v>
      </c>
      <c r="H198" s="14">
        <v>0</v>
      </c>
      <c r="I198" s="25">
        <v>100</v>
      </c>
      <c r="J198" s="23">
        <f>VLOOKUP(I198,episodes!$A$1:$B$76,2,FALSE)</f>
        <v>1</v>
      </c>
      <c r="K198" s="16" t="str">
        <f>VLOOKUP(I198,episodes!$A$1:$E$81,5,FALSE)</f>
        <v>The Cage</v>
      </c>
      <c r="L198" s="16">
        <f>VLOOKUP(I198,episodes!$A$1:$D$81,3,FALSE)</f>
        <v>1</v>
      </c>
      <c r="M198" s="16">
        <f>VLOOKUP(I198,episodes!$A$1:$D$81,4,FALSE)</f>
        <v>0</v>
      </c>
      <c r="O198" s="14">
        <v>0</v>
      </c>
      <c r="P198" s="24">
        <f>LEN(E198)+LEN(K198)</f>
        <v>63</v>
      </c>
      <c r="Q198" s="24">
        <f>COUNTIFS(B:B,B197)</f>
        <v>9</v>
      </c>
      <c r="R198" s="24">
        <f>COUNTIFS(D:D,D198)</f>
        <v>22</v>
      </c>
    </row>
    <row r="199" spans="1:18" x14ac:dyDescent="0.3">
      <c r="A199" s="14">
        <v>2227</v>
      </c>
      <c r="B199" s="21" t="s">
        <v>350</v>
      </c>
      <c r="C199" s="21" t="s">
        <v>2602</v>
      </c>
      <c r="D199" s="1" t="s">
        <v>5</v>
      </c>
      <c r="E199" s="1" t="s">
        <v>808</v>
      </c>
      <c r="F199" s="21" t="s">
        <v>5</v>
      </c>
      <c r="G199" s="14">
        <v>1</v>
      </c>
      <c r="H199" s="14">
        <v>0</v>
      </c>
      <c r="I199" s="22">
        <v>201</v>
      </c>
      <c r="J199" s="23">
        <f>VLOOKUP(I199,episodes!$A$1:$B$76,2,FALSE)</f>
        <v>31</v>
      </c>
      <c r="K199" s="16" t="str">
        <f>VLOOKUP(I199,episodes!$A$1:$E$81,5,FALSE)</f>
        <v>Amok Time</v>
      </c>
      <c r="L199" s="16">
        <f>VLOOKUP(I199,episodes!$A$1:$D$81,3,FALSE)</f>
        <v>2</v>
      </c>
      <c r="M199" s="16">
        <f>VLOOKUP(I199,episodes!$A$1:$D$81,4,FALSE)</f>
        <v>1</v>
      </c>
      <c r="O199" s="14">
        <v>0</v>
      </c>
      <c r="P199" s="24">
        <f>LEN(E199)+LEN(K199)</f>
        <v>56</v>
      </c>
      <c r="Q199" s="24">
        <f>COUNTIFS(B:B,B198)</f>
        <v>9</v>
      </c>
      <c r="R199" s="24">
        <f>COUNTIFS(D:D,D199)</f>
        <v>22</v>
      </c>
    </row>
    <row r="200" spans="1:18" x14ac:dyDescent="0.3">
      <c r="A200" s="14">
        <v>2050</v>
      </c>
      <c r="B200" s="21" t="s">
        <v>350</v>
      </c>
      <c r="C200" s="21" t="s">
        <v>2602</v>
      </c>
      <c r="D200" s="1" t="s">
        <v>5</v>
      </c>
      <c r="E200" s="1" t="s">
        <v>1600</v>
      </c>
      <c r="F200" s="21" t="s">
        <v>5</v>
      </c>
      <c r="G200" s="14">
        <v>1</v>
      </c>
      <c r="H200" s="14">
        <v>0</v>
      </c>
      <c r="I200" s="25">
        <v>101</v>
      </c>
      <c r="J200" s="23">
        <f>VLOOKUP(I200,episodes!$A$1:$B$76,2,FALSE)</f>
        <v>2</v>
      </c>
      <c r="K200" s="16" t="str">
        <f>VLOOKUP(I200,episodes!$A$1:$E$81,5,FALSE)</f>
        <v>The Man Trap</v>
      </c>
      <c r="L200" s="16">
        <f>VLOOKUP(I200,episodes!$A$1:$D$81,3,FALSE)</f>
        <v>1</v>
      </c>
      <c r="M200" s="16">
        <f>VLOOKUP(I200,episodes!$A$1:$D$81,4,FALSE)</f>
        <v>1</v>
      </c>
      <c r="O200" s="14">
        <v>0</v>
      </c>
      <c r="P200" s="24">
        <f>LEN(E200)+LEN(K200)</f>
        <v>71</v>
      </c>
      <c r="Q200" s="24">
        <f>COUNTIFS(B:B,B198)</f>
        <v>9</v>
      </c>
      <c r="R200" s="24">
        <f>COUNTIFS(D:D,D200)</f>
        <v>22</v>
      </c>
    </row>
    <row r="201" spans="1:18" x14ac:dyDescent="0.3">
      <c r="A201" s="14">
        <v>2343</v>
      </c>
      <c r="B201" s="21" t="s">
        <v>350</v>
      </c>
      <c r="C201" s="21" t="s">
        <v>2602</v>
      </c>
      <c r="D201" s="1" t="s">
        <v>5</v>
      </c>
      <c r="E201" s="1" t="s">
        <v>1602</v>
      </c>
      <c r="F201" s="21" t="s">
        <v>5</v>
      </c>
      <c r="G201" s="14">
        <v>1</v>
      </c>
      <c r="H201" s="14">
        <v>0</v>
      </c>
      <c r="I201" s="25">
        <v>103</v>
      </c>
      <c r="J201" s="23">
        <f>VLOOKUP(I201,episodes!$A$1:$B$76,2,FALSE)</f>
        <v>4</v>
      </c>
      <c r="K201" s="16" t="str">
        <f>VLOOKUP(I201,episodes!$A$1:$E$81,5,FALSE)</f>
        <v>Where No Man Has Gone Before</v>
      </c>
      <c r="L201" s="16">
        <f>VLOOKUP(I201,episodes!$A$1:$D$81,3,FALSE)</f>
        <v>1</v>
      </c>
      <c r="M201" s="16">
        <f>VLOOKUP(I201,episodes!$A$1:$D$81,4,FALSE)</f>
        <v>3</v>
      </c>
      <c r="O201" s="14">
        <v>0</v>
      </c>
      <c r="P201" s="24">
        <f>LEN(E201)+LEN(K201)</f>
        <v>80</v>
      </c>
      <c r="Q201" s="24">
        <f>COUNTIFS(B:B,B200)</f>
        <v>9</v>
      </c>
      <c r="R201" s="24">
        <f>COUNTIFS(D:D,D201)</f>
        <v>22</v>
      </c>
    </row>
    <row r="202" spans="1:18" x14ac:dyDescent="0.3">
      <c r="A202" s="14">
        <v>2228</v>
      </c>
      <c r="B202" s="21" t="s">
        <v>350</v>
      </c>
      <c r="C202" s="21" t="s">
        <v>2602</v>
      </c>
      <c r="D202" s="1" t="s">
        <v>5</v>
      </c>
      <c r="E202" s="1" t="s">
        <v>809</v>
      </c>
      <c r="F202" s="21" t="s">
        <v>5</v>
      </c>
      <c r="G202" s="14">
        <v>1</v>
      </c>
      <c r="H202" s="14">
        <v>0</v>
      </c>
      <c r="I202" s="22">
        <v>201</v>
      </c>
      <c r="J202" s="23">
        <f>VLOOKUP(I202,episodes!$A$1:$B$76,2,FALSE)</f>
        <v>31</v>
      </c>
      <c r="K202" s="16" t="str">
        <f>VLOOKUP(I202,episodes!$A$1:$E$81,5,FALSE)</f>
        <v>Amok Time</v>
      </c>
      <c r="L202" s="16">
        <f>VLOOKUP(I202,episodes!$A$1:$D$81,3,FALSE)</f>
        <v>2</v>
      </c>
      <c r="M202" s="16">
        <f>VLOOKUP(I202,episodes!$A$1:$D$81,4,FALSE)</f>
        <v>1</v>
      </c>
      <c r="O202" s="14">
        <v>0</v>
      </c>
      <c r="P202" s="24">
        <f>LEN(E202)+LEN(K202)</f>
        <v>78</v>
      </c>
      <c r="Q202" s="24">
        <f>COUNTIFS(B:B,B201)</f>
        <v>9</v>
      </c>
      <c r="R202" s="24">
        <f>COUNTIFS(D:D,D202)</f>
        <v>22</v>
      </c>
    </row>
    <row r="203" spans="1:18" x14ac:dyDescent="0.3">
      <c r="A203" s="14">
        <v>2039</v>
      </c>
      <c r="B203" s="21" t="s">
        <v>350</v>
      </c>
      <c r="C203" s="21" t="s">
        <v>2602</v>
      </c>
      <c r="D203" s="1" t="s">
        <v>5</v>
      </c>
      <c r="E203" s="1" t="s">
        <v>2598</v>
      </c>
      <c r="F203" s="21" t="s">
        <v>5</v>
      </c>
      <c r="G203" s="14">
        <v>1</v>
      </c>
      <c r="H203" s="14">
        <v>0</v>
      </c>
      <c r="I203" s="25">
        <v>100</v>
      </c>
      <c r="J203" s="23">
        <f>VLOOKUP(I203,episodes!$A$1:$B$76,2,FALSE)</f>
        <v>1</v>
      </c>
      <c r="K203" s="16" t="str">
        <f>VLOOKUP(I203,episodes!$A$1:$E$81,5,FALSE)</f>
        <v>The Cage</v>
      </c>
      <c r="L203" s="16">
        <f>VLOOKUP(I203,episodes!$A$1:$D$81,3,FALSE)</f>
        <v>1</v>
      </c>
      <c r="M203" s="16">
        <f>VLOOKUP(I203,episodes!$A$1:$D$81,4,FALSE)</f>
        <v>0</v>
      </c>
      <c r="O203" s="14">
        <v>0</v>
      </c>
      <c r="P203" s="24">
        <f>LEN(E203)+LEN(K203)</f>
        <v>121</v>
      </c>
      <c r="Q203" s="24">
        <f>COUNTIFS(B:B,B202)</f>
        <v>9</v>
      </c>
      <c r="R203" s="24">
        <f>COUNTIFS(D:D,D203)</f>
        <v>22</v>
      </c>
    </row>
    <row r="204" spans="1:18" x14ac:dyDescent="0.3">
      <c r="A204" s="14">
        <v>2054</v>
      </c>
      <c r="B204" s="21" t="s">
        <v>350</v>
      </c>
      <c r="C204" s="21" t="s">
        <v>2602</v>
      </c>
      <c r="D204" s="1" t="s">
        <v>5</v>
      </c>
      <c r="E204" s="1" t="s">
        <v>757</v>
      </c>
      <c r="F204" s="21" t="s">
        <v>5</v>
      </c>
      <c r="G204" s="14">
        <v>1</v>
      </c>
      <c r="H204" s="14">
        <v>0</v>
      </c>
      <c r="I204" s="25">
        <v>103</v>
      </c>
      <c r="J204" s="23">
        <f>VLOOKUP(I204,episodes!$A$1:$B$76,2,FALSE)</f>
        <v>4</v>
      </c>
      <c r="K204" s="16" t="str">
        <f>VLOOKUP(I204,episodes!$A$1:$E$81,5,FALSE)</f>
        <v>Where No Man Has Gone Before</v>
      </c>
      <c r="L204" s="16">
        <f>VLOOKUP(I204,episodes!$A$1:$D$81,3,FALSE)</f>
        <v>1</v>
      </c>
      <c r="M204" s="16">
        <f>VLOOKUP(I204,episodes!$A$1:$D$81,4,FALSE)</f>
        <v>3</v>
      </c>
      <c r="O204" s="14">
        <v>0</v>
      </c>
      <c r="P204" s="24">
        <f>LEN(E204)+LEN(K204)</f>
        <v>77</v>
      </c>
      <c r="Q204" s="24">
        <f>COUNTIFS(B:B,B203)</f>
        <v>9</v>
      </c>
      <c r="R204" s="24">
        <f>COUNTIFS(D:D,D204)</f>
        <v>22</v>
      </c>
    </row>
    <row r="205" spans="1:18" x14ac:dyDescent="0.3">
      <c r="A205" s="14">
        <v>2063</v>
      </c>
      <c r="B205" s="21" t="s">
        <v>350</v>
      </c>
      <c r="C205" s="21" t="s">
        <v>2602</v>
      </c>
      <c r="D205" s="1" t="s">
        <v>5</v>
      </c>
      <c r="E205" s="1" t="s">
        <v>458</v>
      </c>
      <c r="F205" s="21" t="s">
        <v>5</v>
      </c>
      <c r="G205" s="14">
        <v>1</v>
      </c>
      <c r="H205" s="14">
        <v>0</v>
      </c>
      <c r="I205" s="25">
        <v>105</v>
      </c>
      <c r="J205" s="23">
        <f>VLOOKUP(I205,episodes!$A$1:$B$76,2,FALSE)</f>
        <v>6</v>
      </c>
      <c r="K205" s="16" t="str">
        <f>VLOOKUP(I205,episodes!$A$1:$E$81,5,FALSE)</f>
        <v>The Enemy Within</v>
      </c>
      <c r="L205" s="16">
        <f>VLOOKUP(I205,episodes!$A$1:$D$81,3,FALSE)</f>
        <v>1</v>
      </c>
      <c r="M205" s="16">
        <f>VLOOKUP(I205,episodes!$A$1:$D$81,4,FALSE)</f>
        <v>5</v>
      </c>
      <c r="O205" s="14">
        <v>0</v>
      </c>
      <c r="P205" s="24">
        <f>LEN(E205)+LEN(K205)</f>
        <v>65</v>
      </c>
      <c r="Q205" s="24">
        <f>COUNTIFS(B:B,B204)</f>
        <v>9</v>
      </c>
      <c r="R205" s="24">
        <f>COUNTIFS(D:D,D205)</f>
        <v>22</v>
      </c>
    </row>
    <row r="206" spans="1:18" x14ac:dyDescent="0.3">
      <c r="A206" s="14">
        <v>2064</v>
      </c>
      <c r="B206" s="21" t="s">
        <v>355</v>
      </c>
      <c r="C206" s="21" t="s">
        <v>2602</v>
      </c>
      <c r="D206" s="21" t="s">
        <v>2707</v>
      </c>
      <c r="E206" s="1" t="s">
        <v>1543</v>
      </c>
      <c r="F206" s="21" t="s">
        <v>5</v>
      </c>
      <c r="G206" s="14">
        <v>1</v>
      </c>
      <c r="H206" s="14">
        <v>0</v>
      </c>
      <c r="I206" s="25">
        <v>105</v>
      </c>
      <c r="J206" s="23">
        <f>VLOOKUP(I206,episodes!$A$1:$B$76,2,FALSE)</f>
        <v>6</v>
      </c>
      <c r="K206" s="16" t="str">
        <f>VLOOKUP(I206,episodes!$A$1:$E$81,5,FALSE)</f>
        <v>The Enemy Within</v>
      </c>
      <c r="L206" s="16">
        <f>VLOOKUP(I206,episodes!$A$1:$D$81,3,FALSE)</f>
        <v>1</v>
      </c>
      <c r="M206" s="16">
        <f>VLOOKUP(I206,episodes!$A$1:$D$81,4,FALSE)</f>
        <v>5</v>
      </c>
      <c r="O206" s="14">
        <v>0</v>
      </c>
      <c r="P206" s="24">
        <f>LEN(E206)+LEN(K206)</f>
        <v>95</v>
      </c>
      <c r="Q206" s="24">
        <f>COUNTIFS(B:B,B205)</f>
        <v>9</v>
      </c>
      <c r="R206" s="24">
        <f>COUNTIFS(D:D,D206)</f>
        <v>2</v>
      </c>
    </row>
    <row r="207" spans="1:18" x14ac:dyDescent="0.3">
      <c r="A207" s="14">
        <v>77</v>
      </c>
      <c r="B207" s="21" t="s">
        <v>2658</v>
      </c>
      <c r="C207" s="21" t="s">
        <v>2602</v>
      </c>
      <c r="D207" s="1" t="s">
        <v>2897</v>
      </c>
      <c r="E207" s="1" t="s">
        <v>2001</v>
      </c>
      <c r="F207" s="21" t="s">
        <v>2</v>
      </c>
      <c r="G207" s="14">
        <v>0</v>
      </c>
      <c r="H207" s="14">
        <v>0</v>
      </c>
      <c r="I207" s="22">
        <v>210</v>
      </c>
      <c r="J207" s="23">
        <f>VLOOKUP(I207,episodes!$A$1:$B$81,2,FALSE)</f>
        <v>40</v>
      </c>
      <c r="K207" s="16" t="str">
        <f>VLOOKUP(I207,episodes!$A$1:$E$81,5,FALSE)</f>
        <v>Journey to Babel</v>
      </c>
      <c r="L207" s="16">
        <f>VLOOKUP(I207,episodes!$A$1:$D$81,3,FALSE)</f>
        <v>2</v>
      </c>
      <c r="M207" s="16">
        <f>VLOOKUP(I207,episodes!$A$1:$D$81,4,FALSE)</f>
        <v>10</v>
      </c>
      <c r="O207" s="14">
        <v>0</v>
      </c>
      <c r="P207" s="24">
        <f>LEN(E207)+LEN(K207)</f>
        <v>49</v>
      </c>
      <c r="Q207" s="24">
        <f>COUNTIFS(B:B,B206)</f>
        <v>2</v>
      </c>
      <c r="R207" s="24">
        <f>COUNTIFS(D:D,D207)</f>
        <v>8</v>
      </c>
    </row>
    <row r="208" spans="1:18" x14ac:dyDescent="0.3">
      <c r="A208" s="14">
        <v>50</v>
      </c>
      <c r="B208" s="21" t="s">
        <v>2658</v>
      </c>
      <c r="C208" s="21" t="s">
        <v>2602</v>
      </c>
      <c r="D208" s="1" t="s">
        <v>2897</v>
      </c>
      <c r="E208" s="1" t="s">
        <v>2000</v>
      </c>
      <c r="F208" s="21" t="s">
        <v>2</v>
      </c>
      <c r="G208" s="14">
        <v>0</v>
      </c>
      <c r="H208" s="14">
        <v>0</v>
      </c>
      <c r="I208" s="22">
        <v>210</v>
      </c>
      <c r="J208" s="23">
        <f>VLOOKUP(I208,episodes!$A$1:$B$81,2,FALSE)</f>
        <v>40</v>
      </c>
      <c r="K208" s="16" t="str">
        <f>VLOOKUP(I208,episodes!$A$1:$E$81,5,FALSE)</f>
        <v>Journey to Babel</v>
      </c>
      <c r="L208" s="16">
        <f>VLOOKUP(I208,episodes!$A$1:$D$81,3,FALSE)</f>
        <v>2</v>
      </c>
      <c r="M208" s="16">
        <f>VLOOKUP(I208,episodes!$A$1:$D$81,4,FALSE)</f>
        <v>10</v>
      </c>
      <c r="O208" s="14">
        <v>0</v>
      </c>
      <c r="P208" s="24">
        <f>LEN(E208)+LEN(K208)</f>
        <v>50</v>
      </c>
      <c r="Q208" s="24">
        <f>COUNTIFS(B:B,B207)</f>
        <v>6</v>
      </c>
      <c r="R208" s="24">
        <f>COUNTIFS(D:D,D208)</f>
        <v>8</v>
      </c>
    </row>
    <row r="209" spans="1:18" x14ac:dyDescent="0.3">
      <c r="A209" s="14">
        <v>2217</v>
      </c>
      <c r="B209" s="21" t="s">
        <v>2658</v>
      </c>
      <c r="C209" s="21" t="s">
        <v>2602</v>
      </c>
      <c r="D209" s="1" t="s">
        <v>2897</v>
      </c>
      <c r="E209" s="1" t="s">
        <v>2856</v>
      </c>
      <c r="F209" s="21" t="s">
        <v>5</v>
      </c>
      <c r="G209" s="14">
        <v>1</v>
      </c>
      <c r="H209" s="14">
        <v>0</v>
      </c>
      <c r="I209" s="22">
        <v>201</v>
      </c>
      <c r="J209" s="23">
        <f>VLOOKUP(I209,episodes!$A$1:$B$76,2,FALSE)</f>
        <v>31</v>
      </c>
      <c r="K209" s="16" t="str">
        <f>VLOOKUP(I209,episodes!$A$1:$E$81,5,FALSE)</f>
        <v>Amok Time</v>
      </c>
      <c r="L209" s="16">
        <f>VLOOKUP(I209,episodes!$A$1:$D$81,3,FALSE)</f>
        <v>2</v>
      </c>
      <c r="M209" s="16">
        <f>VLOOKUP(I209,episodes!$A$1:$D$81,4,FALSE)</f>
        <v>1</v>
      </c>
      <c r="O209" s="14">
        <v>0</v>
      </c>
      <c r="P209" s="24">
        <f>LEN(E209)+LEN(K209)</f>
        <v>56</v>
      </c>
      <c r="Q209" s="24">
        <f>COUNTIFS(B:B,B208)</f>
        <v>6</v>
      </c>
      <c r="R209" s="24">
        <f>COUNTIFS(D:D,D209)</f>
        <v>8</v>
      </c>
    </row>
    <row r="210" spans="1:18" x14ac:dyDescent="0.3">
      <c r="A210" s="14">
        <v>2218</v>
      </c>
      <c r="B210" s="21" t="s">
        <v>2658</v>
      </c>
      <c r="C210" s="21" t="s">
        <v>2602</v>
      </c>
      <c r="D210" s="1" t="s">
        <v>2897</v>
      </c>
      <c r="E210" s="1" t="s">
        <v>2857</v>
      </c>
      <c r="F210" s="21" t="s">
        <v>5</v>
      </c>
      <c r="G210" s="14">
        <v>1</v>
      </c>
      <c r="H210" s="14">
        <v>0</v>
      </c>
      <c r="I210" s="22">
        <v>201</v>
      </c>
      <c r="J210" s="23">
        <f>VLOOKUP(I210,episodes!$A$1:$B$76,2,FALSE)</f>
        <v>31</v>
      </c>
      <c r="K210" s="16" t="str">
        <f>VLOOKUP(I210,episodes!$A$1:$E$81,5,FALSE)</f>
        <v>Amok Time</v>
      </c>
      <c r="L210" s="16">
        <f>VLOOKUP(I210,episodes!$A$1:$D$81,3,FALSE)</f>
        <v>2</v>
      </c>
      <c r="M210" s="16">
        <f>VLOOKUP(I210,episodes!$A$1:$D$81,4,FALSE)</f>
        <v>1</v>
      </c>
      <c r="O210" s="14">
        <v>0</v>
      </c>
      <c r="P210" s="24">
        <f>LEN(E210)+LEN(K210)</f>
        <v>56</v>
      </c>
      <c r="Q210" s="24">
        <f>COUNTIFS(B:B,B209)</f>
        <v>6</v>
      </c>
      <c r="R210" s="24">
        <f>COUNTIFS(D:D,D210)</f>
        <v>8</v>
      </c>
    </row>
    <row r="211" spans="1:18" x14ac:dyDescent="0.3">
      <c r="A211" s="14">
        <v>2285</v>
      </c>
      <c r="B211" s="21" t="s">
        <v>2658</v>
      </c>
      <c r="C211" s="21" t="s">
        <v>2602</v>
      </c>
      <c r="D211" s="1" t="s">
        <v>2897</v>
      </c>
      <c r="E211" s="1" t="s">
        <v>2002</v>
      </c>
      <c r="F211" s="21" t="s">
        <v>5</v>
      </c>
      <c r="G211" s="14">
        <v>1</v>
      </c>
      <c r="H211" s="14">
        <v>0</v>
      </c>
      <c r="I211" s="22">
        <v>210</v>
      </c>
      <c r="J211" s="23">
        <f>VLOOKUP(I211,episodes!$A$1:$B$81,2,FALSE)</f>
        <v>40</v>
      </c>
      <c r="K211" s="16" t="str">
        <f>VLOOKUP(I211,episodes!$A$1:$E$81,5,FALSE)</f>
        <v>Journey to Babel</v>
      </c>
      <c r="L211" s="16">
        <f>VLOOKUP(I211,episodes!$A$1:$D$81,3,FALSE)</f>
        <v>2</v>
      </c>
      <c r="M211" s="16">
        <f>VLOOKUP(I211,episodes!$A$1:$D$81,4,FALSE)</f>
        <v>10</v>
      </c>
      <c r="O211" s="14">
        <v>0</v>
      </c>
      <c r="P211" s="24">
        <f>LEN(E211)+LEN(K211)</f>
        <v>70</v>
      </c>
      <c r="Q211" s="24">
        <f>COUNTIFS(B:B,B210)</f>
        <v>6</v>
      </c>
      <c r="R211" s="24">
        <f>COUNTIFS(D:D,D211)</f>
        <v>8</v>
      </c>
    </row>
    <row r="212" spans="1:18" x14ac:dyDescent="0.3">
      <c r="A212" s="14">
        <v>2286</v>
      </c>
      <c r="B212" s="21" t="s">
        <v>2658</v>
      </c>
      <c r="C212" s="21" t="s">
        <v>2602</v>
      </c>
      <c r="D212" s="1" t="s">
        <v>2897</v>
      </c>
      <c r="E212" s="1" t="s">
        <v>1893</v>
      </c>
      <c r="F212" s="21" t="s">
        <v>5</v>
      </c>
      <c r="G212" s="14">
        <v>1</v>
      </c>
      <c r="H212" s="14">
        <v>0</v>
      </c>
      <c r="I212" s="22">
        <v>210</v>
      </c>
      <c r="J212" s="23">
        <f>VLOOKUP(I212,episodes!$A$1:$B$81,2,FALSE)</f>
        <v>40</v>
      </c>
      <c r="K212" s="16" t="str">
        <f>VLOOKUP(I212,episodes!$A$1:$E$81,5,FALSE)</f>
        <v>Journey to Babel</v>
      </c>
      <c r="L212" s="16">
        <f>VLOOKUP(I212,episodes!$A$1:$D$81,3,FALSE)</f>
        <v>2</v>
      </c>
      <c r="M212" s="16">
        <f>VLOOKUP(I212,episodes!$A$1:$D$81,4,FALSE)</f>
        <v>10</v>
      </c>
      <c r="O212" s="14">
        <v>0</v>
      </c>
      <c r="P212" s="24">
        <f>LEN(E212)+LEN(K212)</f>
        <v>61</v>
      </c>
      <c r="Q212" s="24">
        <f>COUNTIFS(B:B,B211)</f>
        <v>6</v>
      </c>
      <c r="R212" s="24">
        <f>COUNTIFS(D:D,D212)</f>
        <v>8</v>
      </c>
    </row>
    <row r="213" spans="1:18" x14ac:dyDescent="0.3">
      <c r="A213" s="14">
        <v>2216</v>
      </c>
      <c r="B213" s="21" t="s">
        <v>2654</v>
      </c>
      <c r="C213" s="21" t="s">
        <v>2602</v>
      </c>
      <c r="D213" s="1" t="s">
        <v>2897</v>
      </c>
      <c r="E213" s="1" t="s">
        <v>1375</v>
      </c>
      <c r="F213" s="21" t="s">
        <v>5</v>
      </c>
      <c r="G213" s="14">
        <v>1</v>
      </c>
      <c r="H213" s="14">
        <v>0</v>
      </c>
      <c r="I213" s="22">
        <v>201</v>
      </c>
      <c r="J213" s="23">
        <f>VLOOKUP(I213,episodes!$A$1:$B$76,2,FALSE)</f>
        <v>31</v>
      </c>
      <c r="K213" s="16" t="str">
        <f>VLOOKUP(I213,episodes!$A$1:$E$81,5,FALSE)</f>
        <v>Amok Time</v>
      </c>
      <c r="L213" s="16">
        <f>VLOOKUP(I213,episodes!$A$1:$D$81,3,FALSE)</f>
        <v>2</v>
      </c>
      <c r="M213" s="16">
        <f>VLOOKUP(I213,episodes!$A$1:$D$81,4,FALSE)</f>
        <v>1</v>
      </c>
      <c r="O213" s="14">
        <v>0</v>
      </c>
      <c r="P213" s="24">
        <f>LEN(E213)+LEN(K213)</f>
        <v>38</v>
      </c>
      <c r="Q213" s="24">
        <f>COUNTIFS(B:B,B212)</f>
        <v>6</v>
      </c>
      <c r="R213" s="24">
        <f>COUNTIFS(D:D,D213)</f>
        <v>8</v>
      </c>
    </row>
    <row r="214" spans="1:18" x14ac:dyDescent="0.3">
      <c r="A214" s="14">
        <v>2028</v>
      </c>
      <c r="B214" s="21" t="s">
        <v>2654</v>
      </c>
      <c r="C214" s="21" t="s">
        <v>2602</v>
      </c>
      <c r="D214" s="1" t="s">
        <v>2897</v>
      </c>
      <c r="E214" s="1" t="s">
        <v>1651</v>
      </c>
      <c r="F214" s="21" t="s">
        <v>5</v>
      </c>
      <c r="G214" s="14">
        <v>1</v>
      </c>
      <c r="H214" s="14">
        <v>0</v>
      </c>
      <c r="I214" s="22">
        <v>201</v>
      </c>
      <c r="J214" s="23">
        <f>VLOOKUP(I214,episodes!$A$1:$B$76,2,FALSE)</f>
        <v>31</v>
      </c>
      <c r="K214" s="16" t="str">
        <f>VLOOKUP(I214,episodes!$A$1:$E$81,5,FALSE)</f>
        <v>Amok Time</v>
      </c>
      <c r="L214" s="16">
        <f>VLOOKUP(I214,episodes!$A$1:$D$81,3,FALSE)</f>
        <v>2</v>
      </c>
      <c r="M214" s="16">
        <f>VLOOKUP(I214,episodes!$A$1:$D$81,4,FALSE)</f>
        <v>1</v>
      </c>
      <c r="O214" s="14">
        <v>0</v>
      </c>
      <c r="P214" s="24">
        <f>LEN(E214)+LEN(K214)</f>
        <v>67</v>
      </c>
      <c r="Q214" s="24">
        <f>COUNTIFS(B:B,B213)</f>
        <v>2</v>
      </c>
      <c r="R214" s="24">
        <f>COUNTIFS(D:D,D214)</f>
        <v>8</v>
      </c>
    </row>
    <row r="215" spans="1:18" x14ac:dyDescent="0.3">
      <c r="A215" s="14">
        <v>317</v>
      </c>
      <c r="B215" s="21" t="s">
        <v>2657</v>
      </c>
      <c r="C215" s="21" t="s">
        <v>2602</v>
      </c>
      <c r="D215" s="1" t="s">
        <v>2616</v>
      </c>
      <c r="E215" s="1" t="s">
        <v>2599</v>
      </c>
      <c r="F215" s="21" t="s">
        <v>2224</v>
      </c>
      <c r="G215" s="14">
        <v>0</v>
      </c>
      <c r="H215" s="14">
        <v>0</v>
      </c>
      <c r="I215" s="22">
        <v>124</v>
      </c>
      <c r="J215" s="23">
        <f>VLOOKUP(I215,episodes!$A$1:$B$76,2,FALSE)</f>
        <v>25</v>
      </c>
      <c r="K215" s="16" t="str">
        <f>VLOOKUP(I215,episodes!$A$1:$E$81,5,FALSE)</f>
        <v>This Side of Paradise</v>
      </c>
      <c r="L215" s="16">
        <f>VLOOKUP(I215,episodes!$A$1:$D$81,3,FALSE)</f>
        <v>1</v>
      </c>
      <c r="M215" s="16">
        <f>VLOOKUP(I215,episodes!$A$1:$D$81,4,FALSE)</f>
        <v>24</v>
      </c>
      <c r="O215" s="14">
        <v>0</v>
      </c>
      <c r="P215" s="24">
        <f>LEN(E215)+LEN(K215)</f>
        <v>54</v>
      </c>
      <c r="Q215" s="24">
        <f>COUNTIFS(B:B,#REF!)</f>
        <v>0</v>
      </c>
      <c r="R215" s="24">
        <f>COUNTIFS(D:D,D215)</f>
        <v>5</v>
      </c>
    </row>
    <row r="216" spans="1:18" x14ac:dyDescent="0.3">
      <c r="A216" s="14">
        <v>1765</v>
      </c>
      <c r="B216" s="21" t="s">
        <v>2657</v>
      </c>
      <c r="C216" s="21" t="s">
        <v>2602</v>
      </c>
      <c r="D216" s="1" t="s">
        <v>2616</v>
      </c>
      <c r="E216" s="1" t="s">
        <v>1560</v>
      </c>
      <c r="F216" s="21" t="s">
        <v>2320</v>
      </c>
      <c r="G216" s="14">
        <v>0</v>
      </c>
      <c r="H216" s="14">
        <v>0</v>
      </c>
      <c r="I216" s="22">
        <v>106</v>
      </c>
      <c r="J216" s="23">
        <f>VLOOKUP(I216,episodes!$A$1:$B$76,2,FALSE)</f>
        <v>7</v>
      </c>
      <c r="K216" s="16" t="str">
        <f>VLOOKUP(I216,episodes!$A$1:$E$81,5,FALSE)</f>
        <v>Mudd's Women</v>
      </c>
      <c r="L216" s="16">
        <f>VLOOKUP(I216,episodes!$A$1:$D$81,3,FALSE)</f>
        <v>1</v>
      </c>
      <c r="M216" s="16">
        <f>VLOOKUP(I216,episodes!$A$1:$D$81,4,FALSE)</f>
        <v>6</v>
      </c>
      <c r="O216" s="14">
        <v>0</v>
      </c>
      <c r="P216" s="24">
        <f>LEN(E216)+LEN(K216)</f>
        <v>238</v>
      </c>
      <c r="Q216" s="24">
        <f>COUNTIFS(B:B,B215)</f>
        <v>5</v>
      </c>
      <c r="R216" s="24">
        <f>COUNTIFS(D:D,D216)</f>
        <v>5</v>
      </c>
    </row>
    <row r="217" spans="1:18" x14ac:dyDescent="0.3">
      <c r="A217" s="14">
        <v>1454</v>
      </c>
      <c r="B217" s="21" t="s">
        <v>2657</v>
      </c>
      <c r="C217" s="21" t="s">
        <v>2602</v>
      </c>
      <c r="D217" s="1" t="s">
        <v>2616</v>
      </c>
      <c r="E217" s="1" t="s">
        <v>1339</v>
      </c>
      <c r="F217" s="21" t="s">
        <v>60</v>
      </c>
      <c r="G217" s="14">
        <v>0</v>
      </c>
      <c r="H217" s="14">
        <v>0</v>
      </c>
      <c r="I217" s="22">
        <v>126</v>
      </c>
      <c r="J217" s="23">
        <f>VLOOKUP(I217,episodes!$A$1:$B$76,2,FALSE)</f>
        <v>27</v>
      </c>
      <c r="K217" s="16" t="str">
        <f>VLOOKUP(I217,episodes!$A$1:$E$81,5,FALSE)</f>
        <v>Errand of Mercy</v>
      </c>
      <c r="L217" s="16">
        <f>VLOOKUP(I217,episodes!$A$1:$D$81,3,FALSE)</f>
        <v>1</v>
      </c>
      <c r="M217" s="16">
        <f>VLOOKUP(I217,episodes!$A$1:$D$81,4,FALSE)</f>
        <v>26</v>
      </c>
      <c r="O217" s="14">
        <v>0</v>
      </c>
      <c r="P217" s="24">
        <f>LEN(E217)+LEN(K217)</f>
        <v>61</v>
      </c>
      <c r="Q217" s="24">
        <f>COUNTIFS(B:B,B215)</f>
        <v>5</v>
      </c>
      <c r="R217" s="24">
        <f>COUNTIFS(D:D,D217)</f>
        <v>5</v>
      </c>
    </row>
    <row r="218" spans="1:18" x14ac:dyDescent="0.3">
      <c r="A218" s="14">
        <v>1594</v>
      </c>
      <c r="B218" s="21" t="s">
        <v>2657</v>
      </c>
      <c r="C218" s="21" t="s">
        <v>2602</v>
      </c>
      <c r="D218" s="1" t="s">
        <v>2616</v>
      </c>
      <c r="E218" s="1" t="s">
        <v>1325</v>
      </c>
      <c r="F218" s="21" t="s">
        <v>8</v>
      </c>
      <c r="G218" s="14">
        <v>0</v>
      </c>
      <c r="H218" s="14">
        <v>1</v>
      </c>
      <c r="I218" s="22">
        <v>123</v>
      </c>
      <c r="J218" s="23">
        <f>VLOOKUP(I218,episodes!$A$1:$B$76,2,FALSE)</f>
        <v>24</v>
      </c>
      <c r="K218" s="16" t="str">
        <f>VLOOKUP(I218,episodes!$A$1:$E$81,5,FALSE)</f>
        <v>A Taste of Armageddon</v>
      </c>
      <c r="L218" s="16">
        <f>VLOOKUP(I218,episodes!$A$1:$D$81,3,FALSE)</f>
        <v>1</v>
      </c>
      <c r="M218" s="16">
        <f>VLOOKUP(I218,episodes!$A$1:$D$81,4,FALSE)</f>
        <v>23</v>
      </c>
      <c r="O218" s="14">
        <v>0</v>
      </c>
      <c r="P218" s="24">
        <f>LEN(E218)+LEN(K218)</f>
        <v>76</v>
      </c>
      <c r="Q218" s="24">
        <f>COUNTIFS(B:B,B217)</f>
        <v>5</v>
      </c>
      <c r="R218" s="24">
        <f>COUNTIFS(D:D,D218)</f>
        <v>5</v>
      </c>
    </row>
    <row r="219" spans="1:18" x14ac:dyDescent="0.3">
      <c r="A219" s="14">
        <v>2117</v>
      </c>
      <c r="B219" s="21" t="s">
        <v>2657</v>
      </c>
      <c r="C219" s="21" t="s">
        <v>2602</v>
      </c>
      <c r="D219" s="1" t="s">
        <v>2616</v>
      </c>
      <c r="E219" s="1" t="s">
        <v>840</v>
      </c>
      <c r="F219" s="21" t="s">
        <v>5</v>
      </c>
      <c r="G219" s="14">
        <v>1</v>
      </c>
      <c r="H219" s="14">
        <v>0</v>
      </c>
      <c r="I219" s="22">
        <v>120</v>
      </c>
      <c r="J219" s="23">
        <f>VLOOKUP(I219,episodes!$A$1:$B$76,2,FALSE)</f>
        <v>21</v>
      </c>
      <c r="K219" s="16" t="str">
        <f>VLOOKUP(I219,episodes!$A$1:$E$81,5,FALSE)</f>
        <v>Court Martial</v>
      </c>
      <c r="L219" s="16">
        <f>VLOOKUP(I219,episodes!$A$1:$D$81,3,FALSE)</f>
        <v>1</v>
      </c>
      <c r="M219" s="16">
        <f>VLOOKUP(I219,episodes!$A$1:$D$81,4,FALSE)</f>
        <v>20</v>
      </c>
      <c r="O219" s="14">
        <v>0</v>
      </c>
      <c r="P219" s="24">
        <f>LEN(E219)+LEN(K219)</f>
        <v>41</v>
      </c>
      <c r="Q219" s="24">
        <f>COUNTIFS(B:B,B218)</f>
        <v>5</v>
      </c>
      <c r="R219" s="24">
        <f>COUNTIFS(D:D,D219)</f>
        <v>5</v>
      </c>
    </row>
    <row r="220" spans="1:18" x14ac:dyDescent="0.3">
      <c r="A220" s="14">
        <v>963</v>
      </c>
      <c r="B220" s="21" t="s">
        <v>304</v>
      </c>
      <c r="C220" s="21" t="s">
        <v>2276</v>
      </c>
      <c r="D220" s="1" t="s">
        <v>2623</v>
      </c>
      <c r="E220" s="1" t="s">
        <v>1461</v>
      </c>
      <c r="F220" s="21" t="s">
        <v>4</v>
      </c>
      <c r="G220" s="14">
        <v>1</v>
      </c>
      <c r="H220" s="14">
        <v>0</v>
      </c>
      <c r="I220" s="22">
        <v>208</v>
      </c>
      <c r="J220" s="23">
        <f>VLOOKUP(I220,episodes!$A$1:$B$81,2,FALSE)</f>
        <v>38</v>
      </c>
      <c r="K220" s="16" t="str">
        <f>VLOOKUP(I220,episodes!$A$1:$E$81,5,FALSE)</f>
        <v>I, Mudd</v>
      </c>
      <c r="L220" s="16">
        <f>VLOOKUP(I220,episodes!$A$1:$D$81,3,FALSE)</f>
        <v>2</v>
      </c>
      <c r="M220" s="16">
        <f>VLOOKUP(I220,episodes!$A$1:$D$81,4,FALSE)</f>
        <v>8</v>
      </c>
      <c r="O220" s="14">
        <v>0</v>
      </c>
      <c r="P220" s="24">
        <f>LEN(E220)+LEN(K220)</f>
        <v>155</v>
      </c>
      <c r="Q220" s="24">
        <f>COUNTIFS(B:B,B219)</f>
        <v>5</v>
      </c>
      <c r="R220" s="24">
        <f>COUNTIFS(D:D,D220)</f>
        <v>8</v>
      </c>
    </row>
    <row r="221" spans="1:18" x14ac:dyDescent="0.3">
      <c r="A221" s="14">
        <v>789</v>
      </c>
      <c r="B221" s="21" t="s">
        <v>304</v>
      </c>
      <c r="C221" s="21" t="s">
        <v>2276</v>
      </c>
      <c r="D221" s="1" t="s">
        <v>2623</v>
      </c>
      <c r="E221" s="1" t="s">
        <v>1308</v>
      </c>
      <c r="F221" s="21" t="s">
        <v>4</v>
      </c>
      <c r="G221" s="14">
        <v>1</v>
      </c>
      <c r="H221" s="14">
        <v>0</v>
      </c>
      <c r="I221" s="22">
        <v>121</v>
      </c>
      <c r="J221" s="23">
        <f>VLOOKUP(I221,episodes!$A$1:$B$76,2,FALSE)</f>
        <v>22</v>
      </c>
      <c r="K221" s="16" t="str">
        <f>VLOOKUP(I221,episodes!$A$1:$E$81,5,FALSE)</f>
        <v>The Return of the Archons</v>
      </c>
      <c r="L221" s="16">
        <f>VLOOKUP(I221,episodes!$A$1:$D$81,3,FALSE)</f>
        <v>1</v>
      </c>
      <c r="M221" s="16">
        <f>VLOOKUP(I221,episodes!$A$1:$D$81,4,FALSE)</f>
        <v>21</v>
      </c>
      <c r="O221" s="14">
        <v>0</v>
      </c>
      <c r="P221" s="24">
        <f>LEN(E221)+LEN(K221)</f>
        <v>132</v>
      </c>
      <c r="Q221" s="24">
        <f>COUNTIFS(B:B,B220)</f>
        <v>8</v>
      </c>
      <c r="R221" s="24">
        <f>COUNTIFS(D:D,D221)</f>
        <v>8</v>
      </c>
    </row>
    <row r="222" spans="1:18" x14ac:dyDescent="0.3">
      <c r="A222" s="14">
        <v>629</v>
      </c>
      <c r="B222" s="21" t="s">
        <v>304</v>
      </c>
      <c r="C222" s="21" t="s">
        <v>2276</v>
      </c>
      <c r="D222" s="1" t="s">
        <v>2623</v>
      </c>
      <c r="E222" s="1" t="s">
        <v>1707</v>
      </c>
      <c r="F222" s="21" t="s">
        <v>4</v>
      </c>
      <c r="G222" s="14">
        <v>1</v>
      </c>
      <c r="H222" s="14">
        <v>0</v>
      </c>
      <c r="I222" s="25">
        <v>107</v>
      </c>
      <c r="J222" s="23">
        <f>VLOOKUP(I222,episodes!$A$1:$B$76,2,FALSE)</f>
        <v>8</v>
      </c>
      <c r="K222" s="16" t="str">
        <f>VLOOKUP(I222,episodes!$A$1:$E$81,5,FALSE)</f>
        <v>What Are Little Girls Made Of?</v>
      </c>
      <c r="L222" s="16">
        <f>VLOOKUP(I222,episodes!$A$1:$D$81,3,FALSE)</f>
        <v>1</v>
      </c>
      <c r="M222" s="16">
        <f>VLOOKUP(I222,episodes!$A$1:$D$81,4,FALSE)</f>
        <v>7</v>
      </c>
      <c r="O222" s="14">
        <v>0</v>
      </c>
      <c r="P222" s="24">
        <f>LEN(E222)+LEN(K222)</f>
        <v>122</v>
      </c>
      <c r="Q222" s="24">
        <f>COUNTIFS(B:B,B221)</f>
        <v>8</v>
      </c>
      <c r="R222" s="24">
        <f>COUNTIFS(D:D,D222)</f>
        <v>8</v>
      </c>
    </row>
    <row r="223" spans="1:18" x14ac:dyDescent="0.3">
      <c r="A223" s="14">
        <v>981</v>
      </c>
      <c r="B223" s="21" t="s">
        <v>304</v>
      </c>
      <c r="C223" s="21" t="s">
        <v>2276</v>
      </c>
      <c r="D223" s="1" t="s">
        <v>2623</v>
      </c>
      <c r="E223" s="1" t="s">
        <v>383</v>
      </c>
      <c r="F223" s="21" t="s">
        <v>4</v>
      </c>
      <c r="G223" s="14">
        <v>1</v>
      </c>
      <c r="H223" s="14">
        <v>0</v>
      </c>
      <c r="I223" s="25">
        <v>107</v>
      </c>
      <c r="J223" s="23">
        <f>VLOOKUP(I223,episodes!$A$1:$B$76,2,FALSE)</f>
        <v>8</v>
      </c>
      <c r="K223" s="16" t="str">
        <f>VLOOKUP(I223,episodes!$A$1:$E$81,5,FALSE)</f>
        <v>What Are Little Girls Made Of?</v>
      </c>
      <c r="L223" s="16">
        <f>VLOOKUP(I223,episodes!$A$1:$D$81,3,FALSE)</f>
        <v>1</v>
      </c>
      <c r="M223" s="16">
        <f>VLOOKUP(I223,episodes!$A$1:$D$81,4,FALSE)</f>
        <v>7</v>
      </c>
      <c r="O223" s="14">
        <v>0</v>
      </c>
      <c r="P223" s="24">
        <f>LEN(E223)+LEN(K223)</f>
        <v>71</v>
      </c>
      <c r="Q223" s="24">
        <f>COUNTIFS(B:B,B219)</f>
        <v>5</v>
      </c>
      <c r="R223" s="24">
        <f>COUNTIFS(D:D,D223)</f>
        <v>8</v>
      </c>
    </row>
    <row r="224" spans="1:18" x14ac:dyDescent="0.3">
      <c r="A224" s="14">
        <v>630</v>
      </c>
      <c r="B224" s="21" t="s">
        <v>304</v>
      </c>
      <c r="C224" s="21" t="s">
        <v>2276</v>
      </c>
      <c r="D224" s="1" t="s">
        <v>2623</v>
      </c>
      <c r="E224" s="1" t="s">
        <v>1635</v>
      </c>
      <c r="F224" s="21" t="s">
        <v>4</v>
      </c>
      <c r="G224" s="14">
        <v>1</v>
      </c>
      <c r="H224" s="14">
        <v>0</v>
      </c>
      <c r="I224" s="25">
        <v>107</v>
      </c>
      <c r="J224" s="23">
        <f>VLOOKUP(I224,episodes!$A$1:$B$76,2,FALSE)</f>
        <v>8</v>
      </c>
      <c r="K224" s="16" t="str">
        <f>VLOOKUP(I224,episodes!$A$1:$E$81,5,FALSE)</f>
        <v>What Are Little Girls Made Of?</v>
      </c>
      <c r="L224" s="16">
        <f>VLOOKUP(I224,episodes!$A$1:$D$81,3,FALSE)</f>
        <v>1</v>
      </c>
      <c r="M224" s="16">
        <f>VLOOKUP(I224,episodes!$A$1:$D$81,4,FALSE)</f>
        <v>7</v>
      </c>
      <c r="O224" s="14">
        <v>0</v>
      </c>
      <c r="P224" s="24">
        <f>LEN(E224)+LEN(K224)</f>
        <v>115</v>
      </c>
      <c r="Q224" s="24">
        <f>COUNTIFS(B:B,#REF!)</f>
        <v>0</v>
      </c>
      <c r="R224" s="24">
        <f>COUNTIFS(D:D,D224)</f>
        <v>8</v>
      </c>
    </row>
    <row r="225" spans="1:18" x14ac:dyDescent="0.3">
      <c r="A225" s="14">
        <v>1187</v>
      </c>
      <c r="B225" s="21" t="s">
        <v>304</v>
      </c>
      <c r="C225" s="21" t="s">
        <v>2276</v>
      </c>
      <c r="D225" s="1" t="s">
        <v>2623</v>
      </c>
      <c r="E225" s="1" t="s">
        <v>1636</v>
      </c>
      <c r="F225" s="21" t="s">
        <v>4</v>
      </c>
      <c r="G225" s="14">
        <v>1</v>
      </c>
      <c r="H225" s="14">
        <v>0</v>
      </c>
      <c r="I225" s="25">
        <v>107</v>
      </c>
      <c r="J225" s="23">
        <f>VLOOKUP(I225,episodes!$A$1:$B$76,2,FALSE)</f>
        <v>8</v>
      </c>
      <c r="K225" s="16" t="str">
        <f>VLOOKUP(I225,episodes!$A$1:$E$81,5,FALSE)</f>
        <v>What Are Little Girls Made Of?</v>
      </c>
      <c r="L225" s="16">
        <f>VLOOKUP(I225,episodes!$A$1:$D$81,3,FALSE)</f>
        <v>1</v>
      </c>
      <c r="M225" s="16">
        <f>VLOOKUP(I225,episodes!$A$1:$D$81,4,FALSE)</f>
        <v>7</v>
      </c>
      <c r="O225" s="14">
        <v>0</v>
      </c>
      <c r="P225" s="24">
        <f>LEN(E225)+LEN(K225)</f>
        <v>148</v>
      </c>
      <c r="Q225" s="24">
        <f>COUNTIFS(B:B,#REF!)</f>
        <v>0</v>
      </c>
      <c r="R225" s="24">
        <f>COUNTIFS(D:D,D225)</f>
        <v>8</v>
      </c>
    </row>
    <row r="226" spans="1:18" x14ac:dyDescent="0.3">
      <c r="A226" s="14">
        <v>1185</v>
      </c>
      <c r="B226" s="21" t="s">
        <v>304</v>
      </c>
      <c r="C226" s="21" t="s">
        <v>2276</v>
      </c>
      <c r="D226" s="1" t="s">
        <v>2623</v>
      </c>
      <c r="E226" s="1" t="s">
        <v>2105</v>
      </c>
      <c r="F226" s="21" t="s">
        <v>4</v>
      </c>
      <c r="G226" s="14">
        <v>1</v>
      </c>
      <c r="H226" s="14">
        <v>0</v>
      </c>
      <c r="I226" s="25">
        <v>203</v>
      </c>
      <c r="J226" s="23">
        <f>VLOOKUP(I226,episodes!$A$1:$B$76,2,FALSE)</f>
        <v>33</v>
      </c>
      <c r="K226" s="16" t="str">
        <f>VLOOKUP(I226,episodes!$A$1:$E$81,5,FALSE)</f>
        <v>The Changeling</v>
      </c>
      <c r="L226" s="16">
        <f>VLOOKUP(I226,episodes!$A$1:$D$81,3,FALSE)</f>
        <v>2</v>
      </c>
      <c r="M226" s="16">
        <f>VLOOKUP(I226,episodes!$A$1:$D$81,4,FALSE)</f>
        <v>3</v>
      </c>
      <c r="O226" s="14">
        <v>0</v>
      </c>
      <c r="P226" s="24">
        <f>LEN(E226)+LEN(K226)</f>
        <v>111</v>
      </c>
      <c r="Q226" s="24">
        <f>COUNTIFS(B:B,B224)</f>
        <v>8</v>
      </c>
      <c r="R226" s="24">
        <f>COUNTIFS(D:D,D226)</f>
        <v>8</v>
      </c>
    </row>
    <row r="227" spans="1:18" x14ac:dyDescent="0.3">
      <c r="A227" s="14">
        <v>2270</v>
      </c>
      <c r="B227" s="21" t="s">
        <v>304</v>
      </c>
      <c r="C227" s="21" t="s">
        <v>2276</v>
      </c>
      <c r="D227" s="1" t="s">
        <v>2623</v>
      </c>
      <c r="E227" s="1" t="s">
        <v>2106</v>
      </c>
      <c r="F227" s="21" t="s">
        <v>5</v>
      </c>
      <c r="G227" s="14">
        <v>1</v>
      </c>
      <c r="H227" s="14">
        <v>0</v>
      </c>
      <c r="I227" s="22">
        <v>208</v>
      </c>
      <c r="J227" s="23">
        <f>VLOOKUP(I227,episodes!$A$1:$B$81,2,FALSE)</f>
        <v>38</v>
      </c>
      <c r="K227" s="16" t="str">
        <f>VLOOKUP(I227,episodes!$A$1:$E$81,5,FALSE)</f>
        <v>I, Mudd</v>
      </c>
      <c r="L227" s="16">
        <f>VLOOKUP(I227,episodes!$A$1:$D$81,3,FALSE)</f>
        <v>2</v>
      </c>
      <c r="M227" s="16">
        <f>VLOOKUP(I227,episodes!$A$1:$D$81,4,FALSE)</f>
        <v>8</v>
      </c>
      <c r="O227" s="14">
        <v>0</v>
      </c>
      <c r="P227" s="24">
        <f>LEN(E227)+LEN(K227)</f>
        <v>117</v>
      </c>
      <c r="Q227" s="24">
        <f>COUNTIFS(B:B,B226)</f>
        <v>8</v>
      </c>
      <c r="R227" s="24">
        <f>COUNTIFS(D:D,D227)</f>
        <v>8</v>
      </c>
    </row>
    <row r="228" spans="1:18" x14ac:dyDescent="0.3">
      <c r="A228" s="14">
        <v>10</v>
      </c>
      <c r="B228" s="21" t="s">
        <v>305</v>
      </c>
      <c r="C228" s="21" t="s">
        <v>2276</v>
      </c>
      <c r="E228" s="1" t="s">
        <v>390</v>
      </c>
      <c r="F228" s="1" t="s">
        <v>2</v>
      </c>
      <c r="G228" s="14">
        <v>0</v>
      </c>
      <c r="H228" s="14">
        <v>0</v>
      </c>
      <c r="I228" s="25">
        <v>111</v>
      </c>
      <c r="J228" s="23">
        <f>VLOOKUP(I228,episodes!$A$1:$B$76,2,FALSE)</f>
        <v>12</v>
      </c>
      <c r="K228" s="16" t="str">
        <f>VLOOKUP(I228,episodes!$A$1:$E$81,5,FALSE)</f>
        <v>The Menagerie, Part I</v>
      </c>
      <c r="L228" s="16">
        <f>VLOOKUP(I228,episodes!$A$1:$D$81,3,FALSE)</f>
        <v>1</v>
      </c>
      <c r="M228" s="16">
        <f>VLOOKUP(I228,episodes!$A$1:$D$81,4,FALSE)</f>
        <v>11</v>
      </c>
      <c r="O228" s="14">
        <v>0</v>
      </c>
      <c r="P228" s="24">
        <f>LEN(E228)+LEN(K228)</f>
        <v>80</v>
      </c>
      <c r="Q228" s="24">
        <f>COUNTIFS(B:B,B227)</f>
        <v>8</v>
      </c>
      <c r="R228" s="24">
        <f>COUNTIFS(D:D,D228)</f>
        <v>0</v>
      </c>
    </row>
    <row r="229" spans="1:18" x14ac:dyDescent="0.3">
      <c r="A229" s="14">
        <v>76</v>
      </c>
      <c r="B229" s="21" t="s">
        <v>334</v>
      </c>
      <c r="C229" s="21" t="s">
        <v>68</v>
      </c>
      <c r="D229" s="1" t="s">
        <v>2</v>
      </c>
      <c r="E229" s="1" t="s">
        <v>2146</v>
      </c>
      <c r="F229" s="21" t="s">
        <v>2</v>
      </c>
      <c r="G229" s="14">
        <v>0</v>
      </c>
      <c r="H229" s="14">
        <v>0</v>
      </c>
      <c r="I229" s="9">
        <v>126</v>
      </c>
      <c r="J229" s="23">
        <v>27</v>
      </c>
      <c r="K229" s="16" t="str">
        <f>VLOOKUP(I229,episodes!$A$1:$E$81,5,FALSE)</f>
        <v>Errand of Mercy</v>
      </c>
      <c r="L229" s="16">
        <f>VLOOKUP(I229,episodes!$A$1:$D$81,3,FALSE)</f>
        <v>1</v>
      </c>
      <c r="M229" s="16">
        <f>VLOOKUP(I229,episodes!$A$1:$D$81,4,FALSE)</f>
        <v>26</v>
      </c>
      <c r="O229" s="14">
        <v>0</v>
      </c>
      <c r="P229" s="24">
        <f>LEN(E229)+LEN(K229)</f>
        <v>86</v>
      </c>
      <c r="Q229" s="24">
        <f>COUNTIFS(B:B,B228)</f>
        <v>1</v>
      </c>
      <c r="R229" s="24">
        <f>COUNTIFS(D:D,D229)</f>
        <v>33</v>
      </c>
    </row>
    <row r="230" spans="1:18" x14ac:dyDescent="0.3">
      <c r="A230" s="14">
        <v>43</v>
      </c>
      <c r="B230" s="21" t="s">
        <v>334</v>
      </c>
      <c r="C230" s="21" t="s">
        <v>68</v>
      </c>
      <c r="D230" s="21" t="s">
        <v>2</v>
      </c>
      <c r="E230" s="1" t="s">
        <v>2181</v>
      </c>
      <c r="F230" s="21" t="s">
        <v>2</v>
      </c>
      <c r="G230" s="14">
        <v>0</v>
      </c>
      <c r="H230" s="14">
        <v>0</v>
      </c>
      <c r="I230" s="22">
        <v>207</v>
      </c>
      <c r="J230" s="23">
        <f>VLOOKUP(I230,episodes!$A$1:$B$81,2,FALSE)</f>
        <v>37</v>
      </c>
      <c r="K230" s="16" t="str">
        <f>VLOOKUP(I230,episodes!$A$1:$E$81,5,FALSE)</f>
        <v>Catspaw</v>
      </c>
      <c r="L230" s="16">
        <f>VLOOKUP(I230,episodes!$A$1:$D$81,3,FALSE)</f>
        <v>2</v>
      </c>
      <c r="M230" s="16">
        <f>VLOOKUP(I230,episodes!$A$1:$D$81,4,FALSE)</f>
        <v>7</v>
      </c>
      <c r="O230" s="14">
        <v>0</v>
      </c>
      <c r="P230" s="24">
        <f>LEN(E230)+LEN(K230)</f>
        <v>84</v>
      </c>
      <c r="Q230" s="24">
        <f>COUNTIFS(B:B,B229)</f>
        <v>84</v>
      </c>
      <c r="R230" s="24">
        <f>COUNTIFS(D:D,D230)</f>
        <v>33</v>
      </c>
    </row>
    <row r="231" spans="1:18" x14ac:dyDescent="0.3">
      <c r="A231" s="14">
        <v>5</v>
      </c>
      <c r="B231" s="21" t="s">
        <v>334</v>
      </c>
      <c r="C231" s="21" t="s">
        <v>68</v>
      </c>
      <c r="D231" s="21" t="s">
        <v>2</v>
      </c>
      <c r="E231" s="1" t="s">
        <v>1069</v>
      </c>
      <c r="F231" s="21" t="s">
        <v>2</v>
      </c>
      <c r="G231" s="14">
        <v>0</v>
      </c>
      <c r="H231" s="14">
        <v>0</v>
      </c>
      <c r="I231" s="25">
        <v>101</v>
      </c>
      <c r="J231" s="23">
        <v>2</v>
      </c>
      <c r="K231" s="16" t="str">
        <f>VLOOKUP(I231,episodes!$A$1:$E$81,5,FALSE)</f>
        <v>The Man Trap</v>
      </c>
      <c r="L231" s="16">
        <f>VLOOKUP(I231,episodes!$A$1:$D$81,3,FALSE)</f>
        <v>1</v>
      </c>
      <c r="M231" s="16">
        <f>VLOOKUP(I231,episodes!$A$1:$D$81,4,FALSE)</f>
        <v>1</v>
      </c>
      <c r="O231" s="14">
        <v>0</v>
      </c>
      <c r="P231" s="24">
        <f>LEN(E231)+LEN(K231)</f>
        <v>73</v>
      </c>
      <c r="Q231" s="24">
        <f>COUNTIFS(B:B,B230)</f>
        <v>84</v>
      </c>
      <c r="R231" s="24">
        <f>COUNTIFS(D:D,D231)</f>
        <v>33</v>
      </c>
    </row>
    <row r="232" spans="1:18" x14ac:dyDescent="0.3">
      <c r="A232" s="14">
        <v>1805</v>
      </c>
      <c r="B232" s="21" t="s">
        <v>334</v>
      </c>
      <c r="C232" s="21" t="s">
        <v>68</v>
      </c>
      <c r="D232" s="21" t="s">
        <v>2</v>
      </c>
      <c r="E232" s="1" t="s">
        <v>1928</v>
      </c>
      <c r="F232" s="21" t="s">
        <v>2344</v>
      </c>
      <c r="G232" s="14">
        <v>0</v>
      </c>
      <c r="H232" s="14">
        <v>0</v>
      </c>
      <c r="I232" s="22">
        <v>210</v>
      </c>
      <c r="J232" s="23">
        <f>VLOOKUP(I232,episodes!$A$1:$B$81,2,FALSE)</f>
        <v>40</v>
      </c>
      <c r="K232" s="16" t="str">
        <f>VLOOKUP(I232,episodes!$A$1:$E$81,5,FALSE)</f>
        <v>Journey to Babel</v>
      </c>
      <c r="L232" s="16">
        <f>VLOOKUP(I232,episodes!$A$1:$D$81,3,FALSE)</f>
        <v>2</v>
      </c>
      <c r="M232" s="16">
        <f>VLOOKUP(I232,episodes!$A$1:$D$81,4,FALSE)</f>
        <v>10</v>
      </c>
      <c r="O232" s="14">
        <v>0</v>
      </c>
      <c r="P232" s="24">
        <f>LEN(E232)+LEN(K232)</f>
        <v>67</v>
      </c>
      <c r="Q232" s="24">
        <f>COUNTIFS(B:B,B230)</f>
        <v>84</v>
      </c>
      <c r="R232" s="24">
        <f>COUNTIFS(D:D,D232)</f>
        <v>33</v>
      </c>
    </row>
    <row r="233" spans="1:18" x14ac:dyDescent="0.3">
      <c r="A233" s="14">
        <v>1479</v>
      </c>
      <c r="B233" s="21" t="s">
        <v>334</v>
      </c>
      <c r="C233" s="21" t="s">
        <v>68</v>
      </c>
      <c r="D233" s="21" t="s">
        <v>2</v>
      </c>
      <c r="E233" s="1" t="s">
        <v>1072</v>
      </c>
      <c r="F233" s="21" t="s">
        <v>8</v>
      </c>
      <c r="G233" s="14">
        <v>0</v>
      </c>
      <c r="H233" s="14">
        <v>1</v>
      </c>
      <c r="I233" s="22">
        <v>101</v>
      </c>
      <c r="J233" s="23">
        <v>2</v>
      </c>
      <c r="K233" s="16" t="str">
        <f>VLOOKUP(I233,episodes!$A$1:$E$81,5,FALSE)</f>
        <v>The Man Trap</v>
      </c>
      <c r="L233" s="16">
        <f>VLOOKUP(I233,episodes!$A$1:$D$81,3,FALSE)</f>
        <v>1</v>
      </c>
      <c r="M233" s="16">
        <f>VLOOKUP(I233,episodes!$A$1:$D$81,4,FALSE)</f>
        <v>1</v>
      </c>
      <c r="O233" s="14">
        <v>0</v>
      </c>
      <c r="P233" s="24">
        <f>LEN(E233)+LEN(K233)</f>
        <v>68</v>
      </c>
      <c r="Q233" s="24">
        <f>COUNTIFS(B:B,B232)</f>
        <v>84</v>
      </c>
      <c r="R233" s="24">
        <f>COUNTIFS(D:D,D233)</f>
        <v>33</v>
      </c>
    </row>
    <row r="234" spans="1:18" x14ac:dyDescent="0.3">
      <c r="A234" s="14">
        <v>1349</v>
      </c>
      <c r="B234" s="21" t="s">
        <v>334</v>
      </c>
      <c r="C234" s="21" t="s">
        <v>68</v>
      </c>
      <c r="D234" s="21" t="s">
        <v>2</v>
      </c>
      <c r="E234" s="1" t="s">
        <v>2182</v>
      </c>
      <c r="F234" s="21" t="s">
        <v>2316</v>
      </c>
      <c r="G234" s="14">
        <v>0</v>
      </c>
      <c r="H234" s="14">
        <v>0</v>
      </c>
      <c r="I234" s="22">
        <v>207</v>
      </c>
      <c r="J234" s="23">
        <f>VLOOKUP(I234,episodes!$A$1:$B$81,2,FALSE)</f>
        <v>37</v>
      </c>
      <c r="K234" s="16" t="str">
        <f>VLOOKUP(I234,episodes!$A$1:$E$81,5,FALSE)</f>
        <v>Catspaw</v>
      </c>
      <c r="L234" s="16">
        <f>VLOOKUP(I234,episodes!$A$1:$D$81,3,FALSE)</f>
        <v>2</v>
      </c>
      <c r="M234" s="16">
        <f>VLOOKUP(I234,episodes!$A$1:$D$81,4,FALSE)</f>
        <v>7</v>
      </c>
      <c r="O234" s="14">
        <v>0</v>
      </c>
      <c r="P234" s="24">
        <f>LEN(E234)+LEN(K234)</f>
        <v>51</v>
      </c>
      <c r="Q234" s="24"/>
      <c r="R234" s="24"/>
    </row>
    <row r="235" spans="1:18" x14ac:dyDescent="0.3">
      <c r="A235" s="14">
        <v>60</v>
      </c>
      <c r="B235" s="21" t="s">
        <v>334</v>
      </c>
      <c r="C235" s="21" t="s">
        <v>68</v>
      </c>
      <c r="D235" s="21" t="s">
        <v>2</v>
      </c>
      <c r="E235" s="1" t="s">
        <v>1900</v>
      </c>
      <c r="F235" s="21" t="s">
        <v>2</v>
      </c>
      <c r="G235" s="14">
        <v>0</v>
      </c>
      <c r="H235" s="14">
        <v>0</v>
      </c>
      <c r="I235" s="22">
        <v>210</v>
      </c>
      <c r="J235" s="23">
        <f>VLOOKUP(I235,episodes!$A$1:$B$81,2,FALSE)</f>
        <v>40</v>
      </c>
      <c r="K235" s="16" t="str">
        <f>VLOOKUP(I235,episodes!$A$1:$E$81,5,FALSE)</f>
        <v>Journey to Babel</v>
      </c>
      <c r="L235" s="16">
        <f>VLOOKUP(I235,episodes!$A$1:$D$81,3,FALSE)</f>
        <v>2</v>
      </c>
      <c r="M235" s="16">
        <f>VLOOKUP(I235,episodes!$A$1:$D$81,4,FALSE)</f>
        <v>10</v>
      </c>
      <c r="O235" s="14">
        <v>0</v>
      </c>
      <c r="P235" s="24">
        <f>LEN(E235)+LEN(K235)</f>
        <v>66</v>
      </c>
      <c r="Q235" s="24">
        <f>COUNTIFS(B:B,B234)</f>
        <v>84</v>
      </c>
      <c r="R235" s="24">
        <f>COUNTIFS(D:D,D235)</f>
        <v>33</v>
      </c>
    </row>
    <row r="236" spans="1:18" x14ac:dyDescent="0.3">
      <c r="A236" s="14">
        <v>93</v>
      </c>
      <c r="B236" s="21" t="s">
        <v>334</v>
      </c>
      <c r="C236" s="21" t="s">
        <v>68</v>
      </c>
      <c r="D236" s="1" t="s">
        <v>46</v>
      </c>
      <c r="E236" s="1" t="s">
        <v>1070</v>
      </c>
      <c r="F236" s="21" t="s">
        <v>46</v>
      </c>
      <c r="G236" s="14">
        <v>0</v>
      </c>
      <c r="H236" s="14">
        <v>0</v>
      </c>
      <c r="I236" s="9">
        <v>101</v>
      </c>
      <c r="J236" s="23">
        <v>2</v>
      </c>
      <c r="K236" s="16" t="str">
        <f>VLOOKUP(I236,episodes!$A$1:$E$81,5,FALSE)</f>
        <v>The Man Trap</v>
      </c>
      <c r="L236" s="16">
        <f>VLOOKUP(I236,episodes!$A$1:$D$81,3,FALSE)</f>
        <v>1</v>
      </c>
      <c r="M236" s="16">
        <f>VLOOKUP(I236,episodes!$A$1:$D$81,4,FALSE)</f>
        <v>1</v>
      </c>
      <c r="O236" s="14">
        <v>0</v>
      </c>
      <c r="P236" s="24">
        <f>LEN(E236)+LEN(K236)</f>
        <v>53</v>
      </c>
      <c r="Q236" s="24">
        <f>COUNTIFS(B:B,B235)</f>
        <v>84</v>
      </c>
      <c r="R236" s="24">
        <f>COUNTIFS(D:D,D236)</f>
        <v>7</v>
      </c>
    </row>
    <row r="237" spans="1:18" x14ac:dyDescent="0.3">
      <c r="A237" s="14">
        <v>286</v>
      </c>
      <c r="B237" s="21" t="s">
        <v>334</v>
      </c>
      <c r="C237" s="21" t="s">
        <v>68</v>
      </c>
      <c r="D237" s="1" t="s">
        <v>46</v>
      </c>
      <c r="E237" s="1" t="s">
        <v>1156</v>
      </c>
      <c r="F237" s="21" t="s">
        <v>2224</v>
      </c>
      <c r="G237" s="14">
        <v>0</v>
      </c>
      <c r="H237" s="14">
        <v>0</v>
      </c>
      <c r="I237" s="27">
        <v>116</v>
      </c>
      <c r="J237" s="23">
        <v>17</v>
      </c>
      <c r="K237" s="16" t="str">
        <f>VLOOKUP(I237,episodes!$A$1:$E$81,5,FALSE)</f>
        <v>The Galileo Seven</v>
      </c>
      <c r="L237" s="16">
        <f>VLOOKUP(I237,episodes!$A$1:$D$81,3,FALSE)</f>
        <v>1</v>
      </c>
      <c r="M237" s="16">
        <f>VLOOKUP(I237,episodes!$A$1:$D$81,4,FALSE)</f>
        <v>16</v>
      </c>
      <c r="O237" s="14">
        <v>0</v>
      </c>
      <c r="P237" s="24">
        <f>LEN(E237)+LEN(K237)</f>
        <v>50</v>
      </c>
      <c r="Q237" s="24">
        <f>COUNTIFS(B:B,B236)</f>
        <v>84</v>
      </c>
      <c r="R237" s="24">
        <f>COUNTIFS(D:D,D237)</f>
        <v>7</v>
      </c>
    </row>
    <row r="238" spans="1:18" x14ac:dyDescent="0.3">
      <c r="A238" s="14">
        <v>2425</v>
      </c>
      <c r="B238" s="21" t="s">
        <v>334</v>
      </c>
      <c r="C238" s="21" t="s">
        <v>68</v>
      </c>
      <c r="D238" s="1" t="s">
        <v>46</v>
      </c>
      <c r="E238" s="1" t="s">
        <v>1071</v>
      </c>
      <c r="F238" s="21" t="s">
        <v>2252</v>
      </c>
      <c r="G238" s="14">
        <v>0</v>
      </c>
      <c r="H238" s="14">
        <v>1</v>
      </c>
      <c r="I238" s="25">
        <v>101</v>
      </c>
      <c r="J238" s="23">
        <v>2</v>
      </c>
      <c r="K238" s="16" t="str">
        <f>VLOOKUP(I238,episodes!$A$1:$E$81,5,FALSE)</f>
        <v>The Man Trap</v>
      </c>
      <c r="L238" s="16">
        <f>VLOOKUP(I238,episodes!$A$1:$D$81,3,FALSE)</f>
        <v>1</v>
      </c>
      <c r="M238" s="16">
        <f>VLOOKUP(I238,episodes!$A$1:$D$81,4,FALSE)</f>
        <v>1</v>
      </c>
      <c r="O238" s="14">
        <v>0</v>
      </c>
      <c r="P238" s="24">
        <f>LEN(E238)+LEN(K238)</f>
        <v>58</v>
      </c>
      <c r="Q238" s="24">
        <f>COUNTIFS(B:B,B236)</f>
        <v>84</v>
      </c>
      <c r="R238" s="24">
        <f>COUNTIFS(D:D,D238)</f>
        <v>7</v>
      </c>
    </row>
    <row r="239" spans="1:18" x14ac:dyDescent="0.3">
      <c r="A239" s="14">
        <v>2494</v>
      </c>
      <c r="B239" s="21" t="s">
        <v>334</v>
      </c>
      <c r="C239" s="21" t="s">
        <v>68</v>
      </c>
      <c r="D239" s="1" t="s">
        <v>46</v>
      </c>
      <c r="E239" s="1" t="s">
        <v>1507</v>
      </c>
      <c r="F239" s="21" t="s">
        <v>2376</v>
      </c>
      <c r="G239" s="14">
        <v>0</v>
      </c>
      <c r="H239" s="14">
        <v>0</v>
      </c>
      <c r="I239" s="25">
        <v>104</v>
      </c>
      <c r="J239" s="23">
        <v>5</v>
      </c>
      <c r="K239" s="16" t="str">
        <f>VLOOKUP(I239,episodes!$A$1:$E$81,5,FALSE)</f>
        <v>The Naked Time</v>
      </c>
      <c r="L239" s="16">
        <f>VLOOKUP(I239,episodes!$A$1:$D$81,3,FALSE)</f>
        <v>1</v>
      </c>
      <c r="M239" s="16">
        <f>VLOOKUP(I239,episodes!$A$1:$D$81,4,FALSE)</f>
        <v>4</v>
      </c>
      <c r="O239" s="14">
        <v>0</v>
      </c>
      <c r="P239" s="24">
        <f>LEN(E239)+LEN(K239)</f>
        <v>123</v>
      </c>
      <c r="Q239" s="24">
        <f>COUNTIFS(B:B,B238)</f>
        <v>84</v>
      </c>
      <c r="R239" s="24">
        <f>COUNTIFS(D:D,D239)</f>
        <v>7</v>
      </c>
    </row>
    <row r="240" spans="1:18" x14ac:dyDescent="0.3">
      <c r="A240" s="14">
        <v>1571</v>
      </c>
      <c r="B240" s="21" t="s">
        <v>323</v>
      </c>
      <c r="C240" s="21" t="s">
        <v>68</v>
      </c>
      <c r="D240" s="1" t="s">
        <v>46</v>
      </c>
      <c r="E240" s="1" t="s">
        <v>2859</v>
      </c>
      <c r="F240" s="21" t="s">
        <v>8</v>
      </c>
      <c r="G240" s="14">
        <v>0</v>
      </c>
      <c r="H240" s="14">
        <v>1</v>
      </c>
      <c r="I240" s="9">
        <v>115</v>
      </c>
      <c r="J240" s="23">
        <v>16</v>
      </c>
      <c r="K240" s="16" t="str">
        <f>VLOOKUP(I240,episodes!$A$1:$E$81,5,FALSE)</f>
        <v>Shore Leave</v>
      </c>
      <c r="L240" s="16">
        <f>VLOOKUP(I240,episodes!$A$1:$D$81,3,FALSE)</f>
        <v>1</v>
      </c>
      <c r="M240" s="16">
        <f>VLOOKUP(I240,episodes!$A$1:$D$81,4,FALSE)</f>
        <v>15</v>
      </c>
      <c r="O240" s="14">
        <v>0</v>
      </c>
      <c r="P240" s="24">
        <f>LEN(E240)+LEN(K240)</f>
        <v>74</v>
      </c>
      <c r="Q240" s="24">
        <f>COUNTIFS(B:B,#REF!)</f>
        <v>0</v>
      </c>
      <c r="R240" s="24">
        <f>COUNTIFS(D:D,D240)</f>
        <v>7</v>
      </c>
    </row>
    <row r="241" spans="1:18" x14ac:dyDescent="0.3">
      <c r="A241" s="14">
        <v>2049</v>
      </c>
      <c r="B241" s="21" t="s">
        <v>334</v>
      </c>
      <c r="C241" s="21" t="s">
        <v>68</v>
      </c>
      <c r="D241" s="1" t="s">
        <v>46</v>
      </c>
      <c r="E241" s="1" t="s">
        <v>1178</v>
      </c>
      <c r="F241" s="21" t="s">
        <v>5</v>
      </c>
      <c r="G241" s="14">
        <v>1</v>
      </c>
      <c r="H241" s="14">
        <v>0</v>
      </c>
      <c r="I241" s="9">
        <v>101</v>
      </c>
      <c r="J241" s="23">
        <v>2</v>
      </c>
      <c r="K241" s="16" t="str">
        <f>VLOOKUP(I241,episodes!$A$1:$E$81,5,FALSE)</f>
        <v>The Man Trap</v>
      </c>
      <c r="L241" s="16">
        <f>VLOOKUP(I241,episodes!$A$1:$D$81,3,FALSE)</f>
        <v>1</v>
      </c>
      <c r="M241" s="16">
        <f>VLOOKUP(I241,episodes!$A$1:$D$81,4,FALSE)</f>
        <v>1</v>
      </c>
      <c r="O241" s="14">
        <v>0</v>
      </c>
      <c r="P241" s="24">
        <f>LEN(E241)+LEN(K241)</f>
        <v>114</v>
      </c>
      <c r="Q241" s="24">
        <f>COUNTIFS(B:B,B240)</f>
        <v>5</v>
      </c>
      <c r="R241" s="24">
        <f>COUNTIFS(D:D,D241)</f>
        <v>7</v>
      </c>
    </row>
    <row r="242" spans="1:18" x14ac:dyDescent="0.3">
      <c r="A242" s="14">
        <v>2086</v>
      </c>
      <c r="B242" s="21" t="s">
        <v>340</v>
      </c>
      <c r="C242" s="21" t="s">
        <v>68</v>
      </c>
      <c r="D242" s="1" t="s">
        <v>46</v>
      </c>
      <c r="E242" s="1" t="s">
        <v>1618</v>
      </c>
      <c r="F242" s="21" t="s">
        <v>5</v>
      </c>
      <c r="G242" s="14">
        <v>1</v>
      </c>
      <c r="H242" s="14">
        <v>0</v>
      </c>
      <c r="I242" s="25">
        <v>111</v>
      </c>
      <c r="J242" s="23">
        <f>VLOOKUP(I242,episodes!$A$1:$B$76,2,FALSE)</f>
        <v>12</v>
      </c>
      <c r="K242" s="16" t="str">
        <f>VLOOKUP(I242,episodes!$A$1:$E$81,5,FALSE)</f>
        <v>The Menagerie, Part I</v>
      </c>
      <c r="L242" s="16">
        <f>VLOOKUP(I242,episodes!$A$1:$D$81,3,FALSE)</f>
        <v>1</v>
      </c>
      <c r="M242" s="16">
        <f>VLOOKUP(I242,episodes!$A$1:$D$81,4,FALSE)</f>
        <v>11</v>
      </c>
      <c r="O242" s="14">
        <v>0</v>
      </c>
      <c r="P242" s="24">
        <f>LEN(E242)+LEN(K242)</f>
        <v>121</v>
      </c>
      <c r="Q242" s="24">
        <f>COUNTIFS(B:B,B241)</f>
        <v>84</v>
      </c>
      <c r="R242" s="24">
        <f>COUNTIFS(D:D,D242)</f>
        <v>7</v>
      </c>
    </row>
    <row r="243" spans="1:18" x14ac:dyDescent="0.3">
      <c r="A243" s="14">
        <v>1751</v>
      </c>
      <c r="B243" s="21" t="s">
        <v>334</v>
      </c>
      <c r="C243" s="21" t="s">
        <v>68</v>
      </c>
      <c r="D243" s="1" t="s">
        <v>2284</v>
      </c>
      <c r="E243" s="1" t="s">
        <v>1483</v>
      </c>
      <c r="F243" s="21" t="s">
        <v>2257</v>
      </c>
      <c r="G243" s="14">
        <v>0</v>
      </c>
      <c r="H243" s="14">
        <v>0</v>
      </c>
      <c r="I243" s="25">
        <v>103</v>
      </c>
      <c r="J243" s="23">
        <v>4</v>
      </c>
      <c r="K243" s="16" t="str">
        <f>VLOOKUP(I243,episodes!$A$1:$E$81,5,FALSE)</f>
        <v>Where No Man Has Gone Before</v>
      </c>
      <c r="L243" s="16">
        <f>VLOOKUP(I243,episodes!$A$1:$D$81,3,FALSE)</f>
        <v>1</v>
      </c>
      <c r="M243" s="16">
        <f>VLOOKUP(I243,episodes!$A$1:$D$81,4,FALSE)</f>
        <v>3</v>
      </c>
      <c r="O243" s="14">
        <v>0</v>
      </c>
      <c r="P243" s="24">
        <f>LEN(E243)+LEN(K243)</f>
        <v>106</v>
      </c>
      <c r="Q243" s="24"/>
      <c r="R243" s="24"/>
    </row>
    <row r="244" spans="1:18" x14ac:dyDescent="0.3">
      <c r="A244" s="14">
        <v>170</v>
      </c>
      <c r="B244" s="21" t="s">
        <v>334</v>
      </c>
      <c r="C244" s="21" t="s">
        <v>68</v>
      </c>
      <c r="D244" s="1" t="s">
        <v>2255</v>
      </c>
      <c r="E244" s="1" t="s">
        <v>1195</v>
      </c>
      <c r="F244" s="21" t="s">
        <v>2255</v>
      </c>
      <c r="G244" s="14">
        <v>0</v>
      </c>
      <c r="H244" s="14">
        <v>0</v>
      </c>
      <c r="I244" s="27">
        <v>102</v>
      </c>
      <c r="J244" s="23">
        <v>3</v>
      </c>
      <c r="K244" s="16" t="str">
        <f>VLOOKUP(I244,episodes!$A$1:$E$81,5,FALSE)</f>
        <v>Charlie X</v>
      </c>
      <c r="L244" s="16">
        <f>VLOOKUP(I244,episodes!$A$1:$D$81,3,FALSE)</f>
        <v>1</v>
      </c>
      <c r="M244" s="16">
        <f>VLOOKUP(I244,episodes!$A$1:$D$81,4,FALSE)</f>
        <v>2</v>
      </c>
      <c r="O244" s="14">
        <v>0</v>
      </c>
      <c r="P244" s="24">
        <f>LEN(E244)+LEN(K244)</f>
        <v>136</v>
      </c>
      <c r="Q244" s="24">
        <f>COUNTIFS(B:B,B243)</f>
        <v>84</v>
      </c>
      <c r="R244" s="24">
        <f>COUNTIFS(D:D,D244)</f>
        <v>4</v>
      </c>
    </row>
    <row r="245" spans="1:18" x14ac:dyDescent="0.3">
      <c r="A245" s="14">
        <v>172</v>
      </c>
      <c r="B245" s="21" t="s">
        <v>334</v>
      </c>
      <c r="C245" s="21" t="s">
        <v>68</v>
      </c>
      <c r="D245" s="1" t="s">
        <v>2255</v>
      </c>
      <c r="E245" s="1" t="s">
        <v>2131</v>
      </c>
      <c r="F245" s="21" t="s">
        <v>2255</v>
      </c>
      <c r="G245" s="14">
        <v>0</v>
      </c>
      <c r="H245" s="14">
        <v>0</v>
      </c>
      <c r="I245" s="25">
        <v>103</v>
      </c>
      <c r="J245" s="23">
        <v>4</v>
      </c>
      <c r="K245" s="16" t="str">
        <f>VLOOKUP(I245,episodes!$A$1:$E$81,5,FALSE)</f>
        <v>Where No Man Has Gone Before</v>
      </c>
      <c r="L245" s="16">
        <f>VLOOKUP(I245,episodes!$A$1:$D$81,3,FALSE)</f>
        <v>1</v>
      </c>
      <c r="M245" s="16">
        <f>VLOOKUP(I245,episodes!$A$1:$D$81,4,FALSE)</f>
        <v>3</v>
      </c>
      <c r="O245" s="14">
        <v>0</v>
      </c>
      <c r="P245" s="24">
        <f>LEN(E245)+LEN(K245)</f>
        <v>102</v>
      </c>
      <c r="Q245" s="24">
        <f>COUNTIFS(B:B,B244)</f>
        <v>84</v>
      </c>
      <c r="R245" s="24">
        <f>COUNTIFS(D:D,D245)</f>
        <v>4</v>
      </c>
    </row>
    <row r="246" spans="1:18" x14ac:dyDescent="0.3">
      <c r="A246" s="14">
        <v>174</v>
      </c>
      <c r="B246" s="21" t="s">
        <v>334</v>
      </c>
      <c r="C246" s="21" t="s">
        <v>68</v>
      </c>
      <c r="D246" s="1" t="s">
        <v>2255</v>
      </c>
      <c r="E246" s="1" t="s">
        <v>1508</v>
      </c>
      <c r="F246" s="21" t="s">
        <v>2255</v>
      </c>
      <c r="G246" s="14">
        <v>0</v>
      </c>
      <c r="H246" s="14">
        <v>0</v>
      </c>
      <c r="I246" s="25">
        <v>104</v>
      </c>
      <c r="J246" s="23">
        <v>5</v>
      </c>
      <c r="K246" s="16" t="str">
        <f>VLOOKUP(I246,episodes!$A$1:$E$81,5,FALSE)</f>
        <v>The Naked Time</v>
      </c>
      <c r="L246" s="16">
        <f>VLOOKUP(I246,episodes!$A$1:$D$81,3,FALSE)</f>
        <v>1</v>
      </c>
      <c r="M246" s="16">
        <f>VLOOKUP(I246,episodes!$A$1:$D$81,4,FALSE)</f>
        <v>4</v>
      </c>
      <c r="O246" s="14">
        <v>0</v>
      </c>
      <c r="P246" s="24">
        <f>LEN(E246)+LEN(K246)</f>
        <v>90</v>
      </c>
      <c r="Q246" s="24">
        <f>COUNTIFS(B:B,B245)</f>
        <v>84</v>
      </c>
      <c r="R246" s="24">
        <f>COUNTIFS(D:D,D246)</f>
        <v>4</v>
      </c>
    </row>
    <row r="247" spans="1:18" x14ac:dyDescent="0.3">
      <c r="A247" s="14">
        <v>2491</v>
      </c>
      <c r="B247" s="21" t="s">
        <v>323</v>
      </c>
      <c r="C247" s="21" t="s">
        <v>68</v>
      </c>
      <c r="D247" s="1" t="s">
        <v>2255</v>
      </c>
      <c r="E247" s="1" t="s">
        <v>1196</v>
      </c>
      <c r="F247" s="21" t="s">
        <v>2256</v>
      </c>
      <c r="G247" s="14">
        <v>0</v>
      </c>
      <c r="H247" s="14">
        <v>0</v>
      </c>
      <c r="I247" s="27">
        <v>102</v>
      </c>
      <c r="J247" s="23">
        <v>3</v>
      </c>
      <c r="K247" s="16" t="str">
        <f>VLOOKUP(I247,episodes!$A$1:$E$81,5,FALSE)</f>
        <v>Charlie X</v>
      </c>
      <c r="L247" s="16">
        <f>VLOOKUP(I247,episodes!$A$1:$D$81,3,FALSE)</f>
        <v>1</v>
      </c>
      <c r="M247" s="16">
        <f>VLOOKUP(I247,episodes!$A$1:$D$81,4,FALSE)</f>
        <v>2</v>
      </c>
      <c r="O247" s="14">
        <v>0</v>
      </c>
      <c r="P247" s="24">
        <f>LEN(E247)+LEN(K247)</f>
        <v>65</v>
      </c>
      <c r="Q247" s="24">
        <f>COUNTIFS(B:B,B246)</f>
        <v>84</v>
      </c>
      <c r="R247" s="24">
        <f>COUNTIFS(D:D,D247)</f>
        <v>4</v>
      </c>
    </row>
    <row r="248" spans="1:18" x14ac:dyDescent="0.3">
      <c r="A248" s="14">
        <v>274</v>
      </c>
      <c r="B248" s="21" t="s">
        <v>334</v>
      </c>
      <c r="C248" s="21" t="s">
        <v>68</v>
      </c>
      <c r="D248" s="1" t="s">
        <v>56</v>
      </c>
      <c r="E248" s="1" t="s">
        <v>1116</v>
      </c>
      <c r="F248" s="21" t="s">
        <v>2224</v>
      </c>
      <c r="G248" s="14">
        <v>0</v>
      </c>
      <c r="H248" s="14">
        <v>0</v>
      </c>
      <c r="I248" s="9">
        <v>114</v>
      </c>
      <c r="J248" s="23">
        <v>15</v>
      </c>
      <c r="K248" s="16" t="str">
        <f>VLOOKUP(I248,episodes!$A$1:$E$81,5,FALSE)</f>
        <v>Balance of Terror</v>
      </c>
      <c r="L248" s="16">
        <f>VLOOKUP(I248,episodes!$A$1:$D$81,3,FALSE)</f>
        <v>1</v>
      </c>
      <c r="M248" s="16">
        <f>VLOOKUP(I248,episodes!$A$1:$D$81,4,FALSE)</f>
        <v>14</v>
      </c>
      <c r="O248" s="14">
        <v>0</v>
      </c>
      <c r="P248" s="24">
        <f>LEN(E248)+LEN(K248)</f>
        <v>76</v>
      </c>
      <c r="Q248" s="24">
        <f>COUNTIFS(B:B,#REF!)</f>
        <v>0</v>
      </c>
      <c r="R248" s="24">
        <f>COUNTIFS(D:D,D248)</f>
        <v>16</v>
      </c>
    </row>
    <row r="249" spans="1:18" s="28" customFormat="1" x14ac:dyDescent="0.3">
      <c r="A249" s="14">
        <v>232</v>
      </c>
      <c r="B249" s="21" t="s">
        <v>334</v>
      </c>
      <c r="C249" s="21" t="s">
        <v>68</v>
      </c>
      <c r="D249" s="21" t="s">
        <v>56</v>
      </c>
      <c r="E249" s="1" t="s">
        <v>920</v>
      </c>
      <c r="F249" s="21" t="s">
        <v>56</v>
      </c>
      <c r="G249" s="14">
        <v>0</v>
      </c>
      <c r="H249" s="14">
        <v>0</v>
      </c>
      <c r="I249" s="14">
        <v>206</v>
      </c>
      <c r="J249" s="23">
        <f>VLOOKUP(I249,episodes!$A$1:$B$81,2,FALSE)</f>
        <v>36</v>
      </c>
      <c r="K249" s="16" t="str">
        <f>VLOOKUP(I249,episodes!$A$1:$E$81,5,FALSE)</f>
        <v>The Doomsday Machine</v>
      </c>
      <c r="L249" s="16">
        <f>VLOOKUP(I249,episodes!$A$1:$D$81,3,FALSE)</f>
        <v>2</v>
      </c>
      <c r="M249" s="16">
        <f>VLOOKUP(I249,episodes!$A$1:$D$81,4,FALSE)</f>
        <v>6</v>
      </c>
      <c r="N249" s="14"/>
      <c r="O249" s="14">
        <v>0</v>
      </c>
      <c r="P249" s="24">
        <f>LEN(E249)+LEN(K249)</f>
        <v>176</v>
      </c>
      <c r="Q249" s="24">
        <f>COUNTIFS(B:B,B248)</f>
        <v>84</v>
      </c>
      <c r="R249" s="24">
        <f>COUNTIFS(D:D,D249)</f>
        <v>16</v>
      </c>
    </row>
    <row r="250" spans="1:18" x14ac:dyDescent="0.3">
      <c r="A250" s="14">
        <v>210</v>
      </c>
      <c r="B250" s="21" t="s">
        <v>334</v>
      </c>
      <c r="C250" s="21" t="s">
        <v>68</v>
      </c>
      <c r="D250" s="1" t="s">
        <v>56</v>
      </c>
      <c r="E250" s="1" t="s">
        <v>1155</v>
      </c>
      <c r="F250" s="21" t="s">
        <v>56</v>
      </c>
      <c r="G250" s="14">
        <v>0</v>
      </c>
      <c r="H250" s="14">
        <v>0</v>
      </c>
      <c r="I250" s="9">
        <v>101</v>
      </c>
      <c r="J250" s="23">
        <v>2</v>
      </c>
      <c r="K250" s="16" t="str">
        <f>VLOOKUP(I250,episodes!$A$1:$E$81,5,FALSE)</f>
        <v>The Man Trap</v>
      </c>
      <c r="L250" s="16">
        <f>VLOOKUP(I250,episodes!$A$1:$D$81,3,FALSE)</f>
        <v>1</v>
      </c>
      <c r="M250" s="16">
        <f>VLOOKUP(I250,episodes!$A$1:$D$81,4,FALSE)</f>
        <v>1</v>
      </c>
      <c r="O250" s="14">
        <v>0</v>
      </c>
      <c r="P250" s="24">
        <f>LEN(E250)+LEN(K250)</f>
        <v>51</v>
      </c>
      <c r="Q250" s="24">
        <f>COUNTIFS(B:B,B249)</f>
        <v>84</v>
      </c>
      <c r="R250" s="24">
        <f>COUNTIFS(D:D,D250)</f>
        <v>16</v>
      </c>
    </row>
    <row r="251" spans="1:18" x14ac:dyDescent="0.3">
      <c r="A251" s="14">
        <v>371</v>
      </c>
      <c r="B251" s="21" t="s">
        <v>334</v>
      </c>
      <c r="C251" s="21" t="s">
        <v>68</v>
      </c>
      <c r="D251" s="1" t="s">
        <v>56</v>
      </c>
      <c r="E251" s="1" t="s">
        <v>1120</v>
      </c>
      <c r="F251" s="21" t="s">
        <v>2224</v>
      </c>
      <c r="G251" s="14">
        <v>0</v>
      </c>
      <c r="H251" s="14">
        <v>0</v>
      </c>
      <c r="I251" s="22">
        <v>207</v>
      </c>
      <c r="J251" s="23">
        <f>VLOOKUP(I251,episodes!$A$1:$B$81,2,FALSE)</f>
        <v>37</v>
      </c>
      <c r="K251" s="16" t="str">
        <f>VLOOKUP(I251,episodes!$A$1:$E$81,5,FALSE)</f>
        <v>Catspaw</v>
      </c>
      <c r="L251" s="16">
        <f>VLOOKUP(I251,episodes!$A$1:$D$81,3,FALSE)</f>
        <v>2</v>
      </c>
      <c r="M251" s="16">
        <f>VLOOKUP(I251,episodes!$A$1:$D$81,4,FALSE)</f>
        <v>7</v>
      </c>
      <c r="O251" s="14">
        <v>0</v>
      </c>
      <c r="P251" s="24">
        <f>LEN(E251)+LEN(K251)</f>
        <v>75</v>
      </c>
      <c r="Q251" s="24">
        <f>COUNTIFS(B:B,B250)</f>
        <v>84</v>
      </c>
      <c r="R251" s="24">
        <f>COUNTIFS(D:D,D251)</f>
        <v>16</v>
      </c>
    </row>
    <row r="252" spans="1:18" x14ac:dyDescent="0.3">
      <c r="A252" s="14">
        <v>1039</v>
      </c>
      <c r="B252" s="21" t="s">
        <v>334</v>
      </c>
      <c r="C252" s="21" t="s">
        <v>68</v>
      </c>
      <c r="D252" s="1" t="s">
        <v>56</v>
      </c>
      <c r="E252" s="1" t="s">
        <v>770</v>
      </c>
      <c r="F252" s="21" t="s">
        <v>4</v>
      </c>
      <c r="G252" s="14">
        <v>1</v>
      </c>
      <c r="H252" s="14">
        <v>0</v>
      </c>
      <c r="I252" s="9">
        <v>113</v>
      </c>
      <c r="J252" s="23">
        <v>14</v>
      </c>
      <c r="K252" s="16" t="str">
        <f>VLOOKUP(I252,episodes!$A$1:$E$81,5,FALSE)</f>
        <v>The Conscience of the King</v>
      </c>
      <c r="L252" s="16">
        <f>VLOOKUP(I252,episodes!$A$1:$D$81,3,FALSE)</f>
        <v>1</v>
      </c>
      <c r="M252" s="16">
        <f>VLOOKUP(I252,episodes!$A$1:$D$81,4,FALSE)</f>
        <v>13</v>
      </c>
      <c r="O252" s="14">
        <v>0</v>
      </c>
      <c r="P252" s="24">
        <f>LEN(E252)+LEN(K252)</f>
        <v>101</v>
      </c>
      <c r="Q252" s="24">
        <f>COUNTIFS(B:B,B251)</f>
        <v>84</v>
      </c>
      <c r="R252" s="24">
        <f>COUNTIFS(D:D,D252)</f>
        <v>16</v>
      </c>
    </row>
    <row r="253" spans="1:18" x14ac:dyDescent="0.3">
      <c r="A253" s="14">
        <v>1058</v>
      </c>
      <c r="B253" s="21" t="s">
        <v>334</v>
      </c>
      <c r="C253" s="21" t="s">
        <v>68</v>
      </c>
      <c r="D253" s="1" t="s">
        <v>56</v>
      </c>
      <c r="E253" s="1" t="s">
        <v>2392</v>
      </c>
      <c r="F253" s="21" t="s">
        <v>4</v>
      </c>
      <c r="G253" s="14">
        <v>1</v>
      </c>
      <c r="H253" s="14">
        <v>0</v>
      </c>
      <c r="I253" s="9">
        <v>201</v>
      </c>
      <c r="J253" s="23">
        <v>31</v>
      </c>
      <c r="K253" s="16" t="str">
        <f>VLOOKUP(I253,episodes!$A$1:$E$81,5,FALSE)</f>
        <v>Amok Time</v>
      </c>
      <c r="L253" s="16">
        <f>VLOOKUP(I253,episodes!$A$1:$D$81,3,FALSE)</f>
        <v>2</v>
      </c>
      <c r="M253" s="16">
        <f>VLOOKUP(I253,episodes!$A$1:$D$81,4,FALSE)</f>
        <v>1</v>
      </c>
      <c r="O253" s="14">
        <v>0</v>
      </c>
      <c r="P253" s="24">
        <f>LEN(E253)+LEN(K253)</f>
        <v>71</v>
      </c>
      <c r="Q253" s="24"/>
      <c r="R253" s="24"/>
    </row>
    <row r="254" spans="1:18" x14ac:dyDescent="0.3">
      <c r="A254" s="14">
        <v>1046</v>
      </c>
      <c r="B254" s="21" t="s">
        <v>334</v>
      </c>
      <c r="C254" s="21" t="s">
        <v>68</v>
      </c>
      <c r="D254" s="1" t="s">
        <v>56</v>
      </c>
      <c r="E254" s="1" t="s">
        <v>2393</v>
      </c>
      <c r="F254" s="21" t="s">
        <v>2295</v>
      </c>
      <c r="G254" s="14">
        <v>0</v>
      </c>
      <c r="H254" s="14">
        <v>0</v>
      </c>
      <c r="I254" s="9">
        <v>113</v>
      </c>
      <c r="J254" s="23">
        <v>14</v>
      </c>
      <c r="K254" s="16" t="str">
        <f>VLOOKUP(I254,episodes!$A$1:$E$81,5,FALSE)</f>
        <v>The Conscience of the King</v>
      </c>
      <c r="L254" s="16">
        <f>VLOOKUP(I254,episodes!$A$1:$D$81,3,FALSE)</f>
        <v>1</v>
      </c>
      <c r="M254" s="16">
        <f>VLOOKUP(I254,episodes!$A$1:$D$81,4,FALSE)</f>
        <v>13</v>
      </c>
      <c r="O254" s="14">
        <v>0</v>
      </c>
      <c r="P254" s="24">
        <f>LEN(E254)+LEN(K254)</f>
        <v>95</v>
      </c>
      <c r="Q254" s="24"/>
      <c r="R254" s="24"/>
    </row>
    <row r="255" spans="1:18" x14ac:dyDescent="0.3">
      <c r="A255" s="14">
        <v>1112</v>
      </c>
      <c r="B255" s="21" t="s">
        <v>334</v>
      </c>
      <c r="C255" s="21" t="s">
        <v>68</v>
      </c>
      <c r="D255" s="1" t="s">
        <v>56</v>
      </c>
      <c r="E255" s="1" t="s">
        <v>1489</v>
      </c>
      <c r="F255" s="21" t="s">
        <v>2298</v>
      </c>
      <c r="G255" s="14">
        <v>0</v>
      </c>
      <c r="H255" s="14">
        <v>0</v>
      </c>
      <c r="I255" s="9">
        <v>103</v>
      </c>
      <c r="J255" s="23">
        <v>4</v>
      </c>
      <c r="K255" s="16" t="str">
        <f>VLOOKUP(I255,episodes!$A$1:$E$81,5,FALSE)</f>
        <v>Where No Man Has Gone Before</v>
      </c>
      <c r="L255" s="16">
        <f>VLOOKUP(I255,episodes!$A$1:$D$81,3,FALSE)</f>
        <v>1</v>
      </c>
      <c r="M255" s="16">
        <f>VLOOKUP(I255,episodes!$A$1:$D$81,4,FALSE)</f>
        <v>3</v>
      </c>
      <c r="O255" s="14">
        <v>0</v>
      </c>
      <c r="P255" s="24">
        <f>LEN(E255)+LEN(K255)</f>
        <v>123</v>
      </c>
      <c r="Q255" s="24"/>
      <c r="R255" s="24"/>
    </row>
    <row r="256" spans="1:18" x14ac:dyDescent="0.3">
      <c r="A256" s="14">
        <v>186</v>
      </c>
      <c r="B256" s="21" t="s">
        <v>1162</v>
      </c>
      <c r="C256" s="21" t="s">
        <v>68</v>
      </c>
      <c r="D256" s="21" t="s">
        <v>56</v>
      </c>
      <c r="E256" s="1" t="s">
        <v>1644</v>
      </c>
      <c r="F256" s="21" t="s">
        <v>2245</v>
      </c>
      <c r="G256" s="14">
        <v>0</v>
      </c>
      <c r="H256" s="14">
        <v>0</v>
      </c>
      <c r="I256" s="22">
        <v>124</v>
      </c>
      <c r="J256" s="23">
        <f>VLOOKUP(I256,episodes!$A$1:$B$76,2,FALSE)</f>
        <v>25</v>
      </c>
      <c r="K256" s="16" t="str">
        <f>VLOOKUP(I256,episodes!$A$1:$E$81,5,FALSE)</f>
        <v>This Side of Paradise</v>
      </c>
      <c r="L256" s="16">
        <f>VLOOKUP(I256,episodes!$A$1:$D$81,3,FALSE)</f>
        <v>1</v>
      </c>
      <c r="M256" s="16">
        <f>VLOOKUP(I256,episodes!$A$1:$D$81,4,FALSE)</f>
        <v>24</v>
      </c>
      <c r="O256" s="14">
        <v>0</v>
      </c>
      <c r="P256" s="24">
        <f>LEN(E256)+LEN(K256)</f>
        <v>93</v>
      </c>
      <c r="Q256" s="24">
        <f>COUNTIFS(B:B,B255)</f>
        <v>84</v>
      </c>
      <c r="R256" s="24">
        <f>COUNTIFS(D:D,D256)</f>
        <v>16</v>
      </c>
    </row>
    <row r="257" spans="1:18" x14ac:dyDescent="0.3">
      <c r="A257" s="14">
        <v>289</v>
      </c>
      <c r="B257" s="21" t="s">
        <v>1162</v>
      </c>
      <c r="C257" s="21" t="s">
        <v>68</v>
      </c>
      <c r="D257" s="21" t="s">
        <v>56</v>
      </c>
      <c r="E257" s="1" t="s">
        <v>1643</v>
      </c>
      <c r="F257" s="21" t="s">
        <v>2224</v>
      </c>
      <c r="G257" s="14">
        <v>0</v>
      </c>
      <c r="H257" s="14">
        <v>0</v>
      </c>
      <c r="I257" s="22">
        <v>117</v>
      </c>
      <c r="J257" s="23">
        <f>VLOOKUP(I257,episodes!$A$1:$B$76,2,FALSE)</f>
        <v>18</v>
      </c>
      <c r="K257" s="16" t="str">
        <f>VLOOKUP(I257,episodes!$A$1:$E$81,5,FALSE)</f>
        <v>The Squire of Gothos</v>
      </c>
      <c r="L257" s="16">
        <f>VLOOKUP(I257,episodes!$A$1:$D$81,3,FALSE)</f>
        <v>1</v>
      </c>
      <c r="M257" s="16">
        <f>VLOOKUP(I257,episodes!$A$1:$D$81,4,FALSE)</f>
        <v>17</v>
      </c>
      <c r="O257" s="14">
        <v>0</v>
      </c>
      <c r="P257" s="24">
        <f>LEN(E257)+LEN(K257)</f>
        <v>83</v>
      </c>
      <c r="Q257" s="24">
        <f>COUNTIFS(B:B,B256)</f>
        <v>3</v>
      </c>
      <c r="R257" s="24">
        <f>COUNTIFS(D:D,D257)</f>
        <v>16</v>
      </c>
    </row>
    <row r="258" spans="1:18" x14ac:dyDescent="0.3">
      <c r="A258" s="14">
        <v>287</v>
      </c>
      <c r="B258" s="21" t="s">
        <v>334</v>
      </c>
      <c r="C258" s="21" t="s">
        <v>68</v>
      </c>
      <c r="D258" s="1" t="s">
        <v>56</v>
      </c>
      <c r="E258" s="1" t="s">
        <v>764</v>
      </c>
      <c r="F258" s="21" t="s">
        <v>2224</v>
      </c>
      <c r="G258" s="14">
        <v>0</v>
      </c>
      <c r="H258" s="14">
        <v>0</v>
      </c>
      <c r="I258" s="27">
        <v>116</v>
      </c>
      <c r="J258" s="23">
        <v>17</v>
      </c>
      <c r="K258" s="16" t="str">
        <f>VLOOKUP(I258,episodes!$A$1:$E$81,5,FALSE)</f>
        <v>The Galileo Seven</v>
      </c>
      <c r="L258" s="16">
        <f>VLOOKUP(I258,episodes!$A$1:$D$81,3,FALSE)</f>
        <v>1</v>
      </c>
      <c r="M258" s="16">
        <f>VLOOKUP(I258,episodes!$A$1:$D$81,4,FALSE)</f>
        <v>16</v>
      </c>
      <c r="O258" s="14">
        <v>0</v>
      </c>
      <c r="P258" s="24">
        <f>LEN(E258)+LEN(K258)</f>
        <v>47</v>
      </c>
      <c r="Q258" s="24">
        <f>COUNTIFS(B:B,#REF!)</f>
        <v>0</v>
      </c>
      <c r="R258" s="24">
        <f>COUNTIFS(D:D,D258)</f>
        <v>16</v>
      </c>
    </row>
    <row r="259" spans="1:18" x14ac:dyDescent="0.3">
      <c r="A259" s="14">
        <v>1757</v>
      </c>
      <c r="B259" s="21" t="s">
        <v>334</v>
      </c>
      <c r="C259" s="21" t="s">
        <v>68</v>
      </c>
      <c r="D259" s="1" t="s">
        <v>56</v>
      </c>
      <c r="E259" s="1" t="s">
        <v>1490</v>
      </c>
      <c r="F259" s="21" t="s">
        <v>2375</v>
      </c>
      <c r="G259" s="14">
        <v>0</v>
      </c>
      <c r="H259" s="14">
        <v>0</v>
      </c>
      <c r="I259" s="9">
        <v>103</v>
      </c>
      <c r="J259" s="23">
        <v>4</v>
      </c>
      <c r="K259" s="16" t="str">
        <f>VLOOKUP(I259,episodes!$A$1:$E$81,5,FALSE)</f>
        <v>Where No Man Has Gone Before</v>
      </c>
      <c r="L259" s="16">
        <f>VLOOKUP(I259,episodes!$A$1:$D$81,3,FALSE)</f>
        <v>1</v>
      </c>
      <c r="M259" s="16">
        <f>VLOOKUP(I259,episodes!$A$1:$D$81,4,FALSE)</f>
        <v>3</v>
      </c>
      <c r="O259" s="14">
        <v>0</v>
      </c>
      <c r="P259" s="24">
        <f>LEN(E259)+LEN(K259)</f>
        <v>99</v>
      </c>
      <c r="Q259" s="24"/>
      <c r="R259" s="24"/>
    </row>
    <row r="260" spans="1:18" x14ac:dyDescent="0.3">
      <c r="A260" s="14">
        <v>293</v>
      </c>
      <c r="B260" s="21" t="s">
        <v>334</v>
      </c>
      <c r="C260" s="21" t="s">
        <v>68</v>
      </c>
      <c r="D260" s="1" t="s">
        <v>56</v>
      </c>
      <c r="E260" s="1" t="s">
        <v>768</v>
      </c>
      <c r="F260" s="21" t="s">
        <v>2224</v>
      </c>
      <c r="G260" s="14">
        <v>0</v>
      </c>
      <c r="H260" s="14">
        <v>0</v>
      </c>
      <c r="I260" s="9">
        <v>118</v>
      </c>
      <c r="J260" s="23">
        <v>19</v>
      </c>
      <c r="K260" s="16" t="str">
        <f>VLOOKUP(I260,episodes!$A$1:$E$81,5,FALSE)</f>
        <v>Arena</v>
      </c>
      <c r="L260" s="16">
        <f>VLOOKUP(I260,episodes!$A$1:$D$81,3,FALSE)</f>
        <v>1</v>
      </c>
      <c r="M260" s="16">
        <f>VLOOKUP(I260,episodes!$A$1:$D$81,4,FALSE)</f>
        <v>18</v>
      </c>
      <c r="O260" s="14">
        <v>0</v>
      </c>
      <c r="P260" s="24">
        <f>LEN(E260)+LEN(K260)</f>
        <v>36</v>
      </c>
      <c r="Q260" s="24">
        <f>COUNTIFS(B:B,B259)</f>
        <v>84</v>
      </c>
      <c r="R260" s="24">
        <f>COUNTIFS(D:D,D260)</f>
        <v>16</v>
      </c>
    </row>
    <row r="261" spans="1:18" x14ac:dyDescent="0.3">
      <c r="A261" s="14">
        <v>288</v>
      </c>
      <c r="B261" s="21" t="s">
        <v>334</v>
      </c>
      <c r="C261" s="21" t="s">
        <v>68</v>
      </c>
      <c r="D261" s="1" t="s">
        <v>56</v>
      </c>
      <c r="E261" s="1" t="s">
        <v>765</v>
      </c>
      <c r="F261" s="21" t="s">
        <v>2224</v>
      </c>
      <c r="G261" s="14">
        <v>0</v>
      </c>
      <c r="H261" s="14">
        <v>0</v>
      </c>
      <c r="I261" s="27">
        <v>116</v>
      </c>
      <c r="J261" s="23">
        <v>17</v>
      </c>
      <c r="K261" s="16" t="str">
        <f>VLOOKUP(I261,episodes!$A$1:$E$81,5,FALSE)</f>
        <v>The Galileo Seven</v>
      </c>
      <c r="L261" s="16">
        <f>VLOOKUP(I261,episodes!$A$1:$D$81,3,FALSE)</f>
        <v>1</v>
      </c>
      <c r="M261" s="16">
        <f>VLOOKUP(I261,episodes!$A$1:$D$81,4,FALSE)</f>
        <v>16</v>
      </c>
      <c r="O261" s="14">
        <v>0</v>
      </c>
      <c r="P261" s="24">
        <f>LEN(E261)+LEN(K261)</f>
        <v>47</v>
      </c>
      <c r="Q261" s="24">
        <f>COUNTIFS(B:B,B260)</f>
        <v>84</v>
      </c>
      <c r="R261" s="24">
        <f>COUNTIFS(D:D,D261)</f>
        <v>16</v>
      </c>
    </row>
    <row r="262" spans="1:18" x14ac:dyDescent="0.3">
      <c r="A262" s="14">
        <v>275</v>
      </c>
      <c r="B262" s="21" t="s">
        <v>334</v>
      </c>
      <c r="C262" s="21" t="s">
        <v>68</v>
      </c>
      <c r="D262" s="1" t="s">
        <v>56</v>
      </c>
      <c r="E262" s="1" t="s">
        <v>925</v>
      </c>
      <c r="F262" s="21" t="s">
        <v>2224</v>
      </c>
      <c r="G262" s="14">
        <v>0</v>
      </c>
      <c r="H262" s="14">
        <v>0</v>
      </c>
      <c r="I262" s="9">
        <v>114</v>
      </c>
      <c r="J262" s="23">
        <v>15</v>
      </c>
      <c r="K262" s="16" t="str">
        <f>VLOOKUP(I262,episodes!$A$1:$E$81,5,FALSE)</f>
        <v>Balance of Terror</v>
      </c>
      <c r="L262" s="16">
        <f>VLOOKUP(I262,episodes!$A$1:$D$81,3,FALSE)</f>
        <v>1</v>
      </c>
      <c r="M262" s="16">
        <f>VLOOKUP(I262,episodes!$A$1:$D$81,4,FALSE)</f>
        <v>14</v>
      </c>
      <c r="O262" s="14">
        <v>0</v>
      </c>
      <c r="P262" s="24">
        <f>LEN(E262)+LEN(K262)</f>
        <v>80</v>
      </c>
      <c r="Q262" s="24">
        <f>COUNTIFS(B:B,B261)</f>
        <v>84</v>
      </c>
      <c r="R262" s="24">
        <f>COUNTIFS(D:D,D262)</f>
        <v>16</v>
      </c>
    </row>
    <row r="263" spans="1:18" x14ac:dyDescent="0.3">
      <c r="A263" s="14">
        <v>1700</v>
      </c>
      <c r="B263" s="21" t="s">
        <v>323</v>
      </c>
      <c r="C263" s="21" t="s">
        <v>68</v>
      </c>
      <c r="D263" s="21" t="s">
        <v>56</v>
      </c>
      <c r="E263" s="1" t="s">
        <v>2113</v>
      </c>
      <c r="F263" s="21" t="s">
        <v>4</v>
      </c>
      <c r="G263" s="14">
        <v>1</v>
      </c>
      <c r="H263" s="14">
        <v>0</v>
      </c>
      <c r="I263" s="22">
        <v>201</v>
      </c>
      <c r="J263" s="23">
        <f>VLOOKUP(I263,episodes!$A$1:$B$76,2,FALSE)</f>
        <v>31</v>
      </c>
      <c r="K263" s="16" t="str">
        <f>VLOOKUP(I263,episodes!$A$1:$E$81,5,FALSE)</f>
        <v>Amok Time</v>
      </c>
      <c r="L263" s="16">
        <f>VLOOKUP(I263,episodes!$A$1:$D$81,3,FALSE)</f>
        <v>2</v>
      </c>
      <c r="M263" s="16">
        <f>VLOOKUP(I263,episodes!$A$1:$D$81,4,FALSE)</f>
        <v>1</v>
      </c>
      <c r="O263" s="14">
        <v>0</v>
      </c>
      <c r="P263" s="24">
        <f>LEN(E263)+LEN(K263)</f>
        <v>67</v>
      </c>
      <c r="Q263" s="24"/>
      <c r="R263" s="24"/>
    </row>
    <row r="264" spans="1:18" x14ac:dyDescent="0.3">
      <c r="A264" s="14">
        <v>280</v>
      </c>
      <c r="B264" s="21" t="s">
        <v>323</v>
      </c>
      <c r="C264" s="21" t="s">
        <v>68</v>
      </c>
      <c r="D264" s="21" t="s">
        <v>2285</v>
      </c>
      <c r="E264" s="1" t="s">
        <v>1809</v>
      </c>
      <c r="F264" s="21" t="s">
        <v>2224</v>
      </c>
      <c r="G264" s="14">
        <v>0</v>
      </c>
      <c r="H264" s="14">
        <v>0</v>
      </c>
      <c r="I264" s="25">
        <v>115</v>
      </c>
      <c r="J264" s="23">
        <f>VLOOKUP(I264,episodes!$A$1:$B$76,2,FALSE)</f>
        <v>16</v>
      </c>
      <c r="K264" s="16" t="str">
        <f>VLOOKUP(I264,episodes!$A$1:$E$81,5,FALSE)</f>
        <v>Shore Leave</v>
      </c>
      <c r="L264" s="16">
        <f>VLOOKUP(I264,episodes!$A$1:$D$81,3,FALSE)</f>
        <v>1</v>
      </c>
      <c r="M264" s="16">
        <f>VLOOKUP(I264,episodes!$A$1:$D$81,4,FALSE)</f>
        <v>15</v>
      </c>
      <c r="O264" s="14">
        <v>0</v>
      </c>
      <c r="P264" s="24">
        <f>LEN(E264)+LEN(K264)</f>
        <v>102</v>
      </c>
      <c r="Q264" s="24">
        <f>COUNTIFS(B:B,B263)</f>
        <v>5</v>
      </c>
      <c r="R264" s="24">
        <f>COUNTIFS(D:D,D264)</f>
        <v>1</v>
      </c>
    </row>
    <row r="265" spans="1:18" x14ac:dyDescent="0.3">
      <c r="A265" s="14">
        <v>324</v>
      </c>
      <c r="B265" s="21" t="s">
        <v>334</v>
      </c>
      <c r="C265" s="21" t="s">
        <v>68</v>
      </c>
      <c r="D265" s="1" t="s">
        <v>2224</v>
      </c>
      <c r="E265" s="1" t="s">
        <v>766</v>
      </c>
      <c r="F265" s="21" t="s">
        <v>2224</v>
      </c>
      <c r="G265" s="14">
        <v>0</v>
      </c>
      <c r="H265" s="14">
        <v>0</v>
      </c>
      <c r="I265" s="27">
        <v>125</v>
      </c>
      <c r="J265" s="23">
        <v>26</v>
      </c>
      <c r="K265" s="16" t="str">
        <f>VLOOKUP(I265,episodes!$A$1:$E$81,5,FALSE)</f>
        <v>The Devil in the Dark</v>
      </c>
      <c r="L265" s="16">
        <f>VLOOKUP(I265,episodes!$A$1:$D$81,3,FALSE)</f>
        <v>1</v>
      </c>
      <c r="M265" s="16">
        <f>VLOOKUP(I265,episodes!$A$1:$D$81,4,FALSE)</f>
        <v>25</v>
      </c>
      <c r="O265" s="14">
        <v>0</v>
      </c>
      <c r="P265" s="24">
        <f>LEN(E265)+LEN(K265)</f>
        <v>88</v>
      </c>
      <c r="Q265" s="24">
        <f>COUNTIFS(B:B,B264)</f>
        <v>5</v>
      </c>
      <c r="R265" s="24">
        <f>COUNTIFS(D:D,D265)</f>
        <v>28</v>
      </c>
    </row>
    <row r="266" spans="1:18" x14ac:dyDescent="0.3">
      <c r="A266" s="14">
        <v>81</v>
      </c>
      <c r="B266" s="21" t="s">
        <v>334</v>
      </c>
      <c r="C266" s="21" t="s">
        <v>68</v>
      </c>
      <c r="D266" s="21" t="s">
        <v>2224</v>
      </c>
      <c r="E266" s="1" t="s">
        <v>1462</v>
      </c>
      <c r="F266" s="21" t="s">
        <v>2275</v>
      </c>
      <c r="G266" s="14">
        <v>0</v>
      </c>
      <c r="H266" s="14">
        <v>0</v>
      </c>
      <c r="I266" s="14">
        <v>313</v>
      </c>
      <c r="J266" s="23">
        <f>VLOOKUP(I266,episodes!$A$1:$B$81,2,FALSE)</f>
        <v>69</v>
      </c>
      <c r="K266" s="16" t="str">
        <f>VLOOKUP(I266,episodes!$A$1:$E$81,5,FALSE)</f>
        <v>Elaan of Troyius</v>
      </c>
      <c r="L266" s="16">
        <f>VLOOKUP(I266,episodes!$A$1:$D$81,3,FALSE)</f>
        <v>3</v>
      </c>
      <c r="M266" s="16">
        <f>VLOOKUP(I266,episodes!$A$1:$D$81,4,FALSE)</f>
        <v>13</v>
      </c>
      <c r="O266" s="14">
        <v>0</v>
      </c>
      <c r="P266" s="24">
        <f>LEN(E266)+LEN(K266)</f>
        <v>129</v>
      </c>
      <c r="Q266" s="24">
        <f>COUNTIFS(B:B,B268)</f>
        <v>84</v>
      </c>
      <c r="R266" s="24">
        <f>COUNTIFS(D:D,D269)</f>
        <v>28</v>
      </c>
    </row>
    <row r="267" spans="1:18" x14ac:dyDescent="0.3">
      <c r="A267" s="14">
        <v>3016</v>
      </c>
      <c r="B267" s="21" t="s">
        <v>334</v>
      </c>
      <c r="C267" s="1" t="s">
        <v>68</v>
      </c>
      <c r="D267" s="1" t="s">
        <v>2224</v>
      </c>
      <c r="E267" s="1" t="s">
        <v>2832</v>
      </c>
      <c r="F267" s="21"/>
      <c r="G267" s="14">
        <v>0</v>
      </c>
      <c r="H267" s="14">
        <v>0</v>
      </c>
      <c r="I267" s="22">
        <v>211</v>
      </c>
      <c r="J267" s="23">
        <f>VLOOKUP(I267,episodes!$A$1:$B$76,2,FALSE)</f>
        <v>41</v>
      </c>
      <c r="K267" s="16" t="str">
        <f>VLOOKUP(I267,episodes!$A$1:$E$81,5,FALSE)</f>
        <v>Friday's Child</v>
      </c>
      <c r="L267" s="16">
        <f>VLOOKUP(I267,episodes!$A$1:$D$81,3,FALSE)</f>
        <v>2</v>
      </c>
      <c r="M267" s="16">
        <f>VLOOKUP(I267,episodes!$A$1:$D$81,4,FALSE)</f>
        <v>11</v>
      </c>
      <c r="O267" s="14">
        <v>0</v>
      </c>
      <c r="P267" s="24">
        <f>LEN(E267)+LEN(K267)</f>
        <v>68</v>
      </c>
      <c r="Q267" s="24"/>
      <c r="R267" s="24">
        <f>COUNTIFS(D:D,D267)</f>
        <v>28</v>
      </c>
    </row>
    <row r="268" spans="1:18" x14ac:dyDescent="0.3">
      <c r="A268" s="14">
        <v>3018</v>
      </c>
      <c r="B268" s="21" t="s">
        <v>334</v>
      </c>
      <c r="C268" s="1" t="s">
        <v>68</v>
      </c>
      <c r="D268" s="1" t="s">
        <v>2224</v>
      </c>
      <c r="E268" s="1" t="s">
        <v>2861</v>
      </c>
      <c r="F268" s="21"/>
      <c r="G268" s="14">
        <v>0</v>
      </c>
      <c r="H268" s="14">
        <v>0</v>
      </c>
      <c r="I268" s="22">
        <v>211</v>
      </c>
      <c r="J268" s="23">
        <f>VLOOKUP(I268,episodes!$A$1:$B$76,2,FALSE)</f>
        <v>41</v>
      </c>
      <c r="K268" s="16" t="str">
        <f>VLOOKUP(I268,episodes!$A$1:$E$81,5,FALSE)</f>
        <v>Friday's Child</v>
      </c>
      <c r="L268" s="16">
        <f>VLOOKUP(I268,episodes!$A$1:$D$81,3,FALSE)</f>
        <v>2</v>
      </c>
      <c r="M268" s="16">
        <f>VLOOKUP(I268,episodes!$A$1:$D$81,4,FALSE)</f>
        <v>11</v>
      </c>
      <c r="O268" s="14">
        <v>0</v>
      </c>
      <c r="P268" s="24">
        <f>LEN(E268)+LEN(K268)</f>
        <v>67</v>
      </c>
      <c r="Q268" s="24"/>
      <c r="R268" s="24">
        <f>COUNTIFS(D:D,D268)</f>
        <v>28</v>
      </c>
    </row>
    <row r="269" spans="1:18" x14ac:dyDescent="0.3">
      <c r="A269" s="14">
        <v>3019</v>
      </c>
      <c r="B269" s="21" t="s">
        <v>334</v>
      </c>
      <c r="C269" s="1" t="s">
        <v>68</v>
      </c>
      <c r="D269" s="1" t="s">
        <v>2224</v>
      </c>
      <c r="E269" s="1" t="s">
        <v>2862</v>
      </c>
      <c r="F269" s="21"/>
      <c r="G269" s="14">
        <v>0</v>
      </c>
      <c r="H269" s="14">
        <v>0</v>
      </c>
      <c r="I269" s="22">
        <v>211</v>
      </c>
      <c r="J269" s="23">
        <f>VLOOKUP(I269,episodes!$A$1:$B$76,2,FALSE)</f>
        <v>41</v>
      </c>
      <c r="K269" s="16" t="str">
        <f>VLOOKUP(I269,episodes!$A$1:$E$81,5,FALSE)</f>
        <v>Friday's Child</v>
      </c>
      <c r="L269" s="16">
        <f>VLOOKUP(I269,episodes!$A$1:$D$81,3,FALSE)</f>
        <v>2</v>
      </c>
      <c r="M269" s="16">
        <f>VLOOKUP(I269,episodes!$A$1:$D$81,4,FALSE)</f>
        <v>11</v>
      </c>
      <c r="O269" s="14">
        <v>0</v>
      </c>
      <c r="P269" s="24">
        <f>LEN(E269)+LEN(K269)</f>
        <v>67</v>
      </c>
      <c r="Q269" s="24"/>
      <c r="R269" s="24">
        <f>COUNTIFS(D:D,D269)</f>
        <v>28</v>
      </c>
    </row>
    <row r="270" spans="1:18" x14ac:dyDescent="0.3">
      <c r="A270" s="14">
        <v>314</v>
      </c>
      <c r="B270" s="21" t="s">
        <v>334</v>
      </c>
      <c r="C270" s="21" t="s">
        <v>68</v>
      </c>
      <c r="D270" s="1" t="s">
        <v>2224</v>
      </c>
      <c r="E270" s="1" t="s">
        <v>2141</v>
      </c>
      <c r="F270" s="21" t="s">
        <v>2224</v>
      </c>
      <c r="G270" s="14">
        <v>0</v>
      </c>
      <c r="H270" s="14">
        <v>0</v>
      </c>
      <c r="I270" s="27">
        <v>123</v>
      </c>
      <c r="J270" s="23">
        <v>24</v>
      </c>
      <c r="K270" s="16" t="str">
        <f>VLOOKUP(I270,episodes!$A$1:$E$81,5,FALSE)</f>
        <v>A Taste of Armageddon</v>
      </c>
      <c r="L270" s="16">
        <f>VLOOKUP(I270,episodes!$A$1:$D$81,3,FALSE)</f>
        <v>1</v>
      </c>
      <c r="M270" s="16">
        <f>VLOOKUP(I270,episodes!$A$1:$D$81,4,FALSE)</f>
        <v>23</v>
      </c>
      <c r="O270" s="14">
        <v>0</v>
      </c>
      <c r="P270" s="24">
        <f>LEN(E270)+LEN(K270)</f>
        <v>82</v>
      </c>
      <c r="Q270" s="24">
        <f>COUNTIFS(B:B,B269)</f>
        <v>84</v>
      </c>
      <c r="R270" s="24">
        <f>COUNTIFS(D:D,D270)</f>
        <v>28</v>
      </c>
    </row>
    <row r="271" spans="1:18" x14ac:dyDescent="0.3">
      <c r="A271" s="14">
        <v>1790</v>
      </c>
      <c r="B271" s="21" t="s">
        <v>334</v>
      </c>
      <c r="C271" s="21" t="s">
        <v>68</v>
      </c>
      <c r="D271" s="1" t="s">
        <v>2224</v>
      </c>
      <c r="E271" s="1" t="s">
        <v>1743</v>
      </c>
      <c r="F271" s="21" t="s">
        <v>2290</v>
      </c>
      <c r="G271" s="14">
        <v>0</v>
      </c>
      <c r="H271" s="14">
        <v>0</v>
      </c>
      <c r="I271" s="25">
        <v>109</v>
      </c>
      <c r="J271" s="23">
        <v>10</v>
      </c>
      <c r="K271" s="16" t="str">
        <f>VLOOKUP(I271,episodes!$A$1:$E$81,5,FALSE)</f>
        <v>Dagger of the Mind</v>
      </c>
      <c r="L271" s="16">
        <f>VLOOKUP(I271,episodes!$A$1:$D$81,3,FALSE)</f>
        <v>1</v>
      </c>
      <c r="M271" s="16">
        <f>VLOOKUP(I271,episodes!$A$1:$D$81,4,FALSE)</f>
        <v>9</v>
      </c>
      <c r="O271" s="14">
        <v>0</v>
      </c>
      <c r="P271" s="24">
        <f>LEN(E271)+LEN(K271)</f>
        <v>122</v>
      </c>
      <c r="Q271" s="24">
        <f>COUNTIFS(B:B,B270)</f>
        <v>84</v>
      </c>
      <c r="R271" s="24">
        <f>COUNTIFS(D:D,D271)</f>
        <v>28</v>
      </c>
    </row>
    <row r="272" spans="1:18" x14ac:dyDescent="0.3">
      <c r="A272" s="14">
        <v>349</v>
      </c>
      <c r="B272" s="21" t="s">
        <v>334</v>
      </c>
      <c r="C272" s="21" t="s">
        <v>68</v>
      </c>
      <c r="D272" s="1" t="s">
        <v>2224</v>
      </c>
      <c r="E272" s="1" t="s">
        <v>762</v>
      </c>
      <c r="F272" s="21" t="s">
        <v>2224</v>
      </c>
      <c r="G272" s="14">
        <v>0</v>
      </c>
      <c r="H272" s="14">
        <v>0</v>
      </c>
      <c r="I272" s="9">
        <v>129</v>
      </c>
      <c r="J272" s="23">
        <v>30</v>
      </c>
      <c r="K272" s="16" t="str">
        <f>VLOOKUP(I272,episodes!$A$1:$E$81,5,FALSE)</f>
        <v>Operation: Annihilate!</v>
      </c>
      <c r="L272" s="16">
        <f>VLOOKUP(I272,episodes!$A$1:$D$81,3,FALSE)</f>
        <v>1</v>
      </c>
      <c r="M272" s="16">
        <f>VLOOKUP(I272,episodes!$A$1:$D$81,4,FALSE)</f>
        <v>29</v>
      </c>
      <c r="O272" s="14">
        <v>0</v>
      </c>
      <c r="P272" s="24">
        <f>LEN(E272)+LEN(K272)</f>
        <v>101</v>
      </c>
      <c r="Q272" s="24">
        <f>COUNTIFS(B:B,B271)</f>
        <v>84</v>
      </c>
      <c r="R272" s="24">
        <f>COUNTIFS(D:D,D272)</f>
        <v>28</v>
      </c>
    </row>
    <row r="273" spans="1:18" x14ac:dyDescent="0.3">
      <c r="A273" s="14">
        <v>251</v>
      </c>
      <c r="B273" s="21" t="s">
        <v>334</v>
      </c>
      <c r="C273" s="21" t="s">
        <v>68</v>
      </c>
      <c r="D273" s="1" t="s">
        <v>2224</v>
      </c>
      <c r="E273" s="1" t="s">
        <v>1658</v>
      </c>
      <c r="F273" s="21" t="s">
        <v>2224</v>
      </c>
      <c r="G273" s="14">
        <v>0</v>
      </c>
      <c r="H273" s="14">
        <v>0</v>
      </c>
      <c r="I273" s="27">
        <v>102</v>
      </c>
      <c r="J273" s="23">
        <v>3</v>
      </c>
      <c r="K273" s="16" t="str">
        <f>VLOOKUP(I273,episodes!$A$1:$E$81,5,FALSE)</f>
        <v>Charlie X</v>
      </c>
      <c r="L273" s="16">
        <f>VLOOKUP(I273,episodes!$A$1:$D$81,3,FALSE)</f>
        <v>1</v>
      </c>
      <c r="M273" s="16">
        <f>VLOOKUP(I273,episodes!$A$1:$D$81,4,FALSE)</f>
        <v>2</v>
      </c>
      <c r="O273" s="14">
        <v>0</v>
      </c>
      <c r="P273" s="24">
        <f>LEN(E273)+LEN(K273)</f>
        <v>89</v>
      </c>
      <c r="Q273" s="24">
        <f>COUNTIFS(B:B,B272)</f>
        <v>84</v>
      </c>
      <c r="R273" s="24">
        <f>COUNTIFS(D:D,D273)</f>
        <v>28</v>
      </c>
    </row>
    <row r="274" spans="1:18" x14ac:dyDescent="0.3">
      <c r="A274" s="14">
        <v>374</v>
      </c>
      <c r="B274" s="21" t="s">
        <v>334</v>
      </c>
      <c r="C274" s="21" t="s">
        <v>68</v>
      </c>
      <c r="D274" s="21" t="s">
        <v>2224</v>
      </c>
      <c r="E274" s="1" t="s">
        <v>1927</v>
      </c>
      <c r="F274" s="21" t="s">
        <v>2224</v>
      </c>
      <c r="G274" s="14">
        <v>0</v>
      </c>
      <c r="H274" s="14">
        <v>0</v>
      </c>
      <c r="I274" s="22">
        <v>210</v>
      </c>
      <c r="J274" s="23">
        <f>VLOOKUP(I274,episodes!$A$1:$B$81,2,FALSE)</f>
        <v>40</v>
      </c>
      <c r="K274" s="16" t="str">
        <f>VLOOKUP(I274,episodes!$A$1:$E$81,5,FALSE)</f>
        <v>Journey to Babel</v>
      </c>
      <c r="L274" s="16">
        <f>VLOOKUP(I274,episodes!$A$1:$D$81,3,FALSE)</f>
        <v>2</v>
      </c>
      <c r="M274" s="16">
        <f>VLOOKUP(I274,episodes!$A$1:$D$81,4,FALSE)</f>
        <v>10</v>
      </c>
      <c r="O274" s="14">
        <v>0</v>
      </c>
      <c r="P274" s="24">
        <f>LEN(E274)+LEN(K274)</f>
        <v>47</v>
      </c>
      <c r="Q274" s="24">
        <f>COUNTIFS(B:B,B273)</f>
        <v>84</v>
      </c>
      <c r="R274" s="24">
        <f>COUNTIFS(D:D,D274)</f>
        <v>28</v>
      </c>
    </row>
    <row r="275" spans="1:18" x14ac:dyDescent="0.3">
      <c r="A275" s="14">
        <v>345</v>
      </c>
      <c r="B275" s="21" t="s">
        <v>334</v>
      </c>
      <c r="C275" s="21" t="s">
        <v>68</v>
      </c>
      <c r="D275" s="1" t="s">
        <v>2224</v>
      </c>
      <c r="E275" s="1" t="s">
        <v>2147</v>
      </c>
      <c r="F275" s="21" t="s">
        <v>2224</v>
      </c>
      <c r="G275" s="14">
        <v>0</v>
      </c>
      <c r="H275" s="14">
        <v>0</v>
      </c>
      <c r="I275" s="9">
        <v>128</v>
      </c>
      <c r="J275" s="23">
        <v>29</v>
      </c>
      <c r="K275" s="16" t="str">
        <f>VLOOKUP(I275,episodes!$A$1:$E$81,5,FALSE)</f>
        <v>The City on the Edge of Forever</v>
      </c>
      <c r="L275" s="16">
        <f>VLOOKUP(I275,episodes!$A$1:$D$81,3,FALSE)</f>
        <v>1</v>
      </c>
      <c r="M275" s="16">
        <f>VLOOKUP(I275,episodes!$A$1:$D$81,4,FALSE)</f>
        <v>28</v>
      </c>
      <c r="O275" s="14">
        <v>0</v>
      </c>
      <c r="P275" s="24">
        <f>LEN(E275)+LEN(K275)</f>
        <v>78</v>
      </c>
      <c r="Q275" s="24">
        <f>COUNTIFS(B:B,B274)</f>
        <v>84</v>
      </c>
      <c r="R275" s="24">
        <f>COUNTIFS(D:D,D275)</f>
        <v>28</v>
      </c>
    </row>
    <row r="276" spans="1:18" x14ac:dyDescent="0.3">
      <c r="A276" s="14">
        <v>268</v>
      </c>
      <c r="B276" s="21" t="s">
        <v>334</v>
      </c>
      <c r="C276" s="21" t="s">
        <v>68</v>
      </c>
      <c r="D276" s="1" t="s">
        <v>2224</v>
      </c>
      <c r="E276" s="1" t="s">
        <v>828</v>
      </c>
      <c r="F276" s="21" t="s">
        <v>2224</v>
      </c>
      <c r="G276" s="14">
        <v>0</v>
      </c>
      <c r="H276" s="14">
        <v>0</v>
      </c>
      <c r="I276" s="25">
        <v>108</v>
      </c>
      <c r="J276" s="23">
        <v>9</v>
      </c>
      <c r="K276" s="16" t="str">
        <f>VLOOKUP(I276,episodes!$A$1:$E$81,5,FALSE)</f>
        <v>Miri</v>
      </c>
      <c r="L276" s="16">
        <f>VLOOKUP(I276,episodes!$A$1:$D$81,3,FALSE)</f>
        <v>1</v>
      </c>
      <c r="M276" s="16">
        <f>VLOOKUP(I276,episodes!$A$1:$D$81,4,FALSE)</f>
        <v>8</v>
      </c>
      <c r="O276" s="14">
        <v>0</v>
      </c>
      <c r="P276" s="24">
        <f>LEN(E276)+LEN(K276)</f>
        <v>45</v>
      </c>
      <c r="Q276" s="24">
        <f>COUNTIFS(B:B,B275)</f>
        <v>84</v>
      </c>
      <c r="R276" s="24">
        <f>COUNTIFS(D:D,D276)</f>
        <v>28</v>
      </c>
    </row>
    <row r="277" spans="1:18" x14ac:dyDescent="0.3">
      <c r="A277" s="14">
        <v>168</v>
      </c>
      <c r="B277" s="21" t="s">
        <v>334</v>
      </c>
      <c r="C277" s="21" t="s">
        <v>68</v>
      </c>
      <c r="D277" s="21" t="s">
        <v>2224</v>
      </c>
      <c r="E277" s="1" t="s">
        <v>1068</v>
      </c>
      <c r="F277" s="21" t="s">
        <v>2253</v>
      </c>
      <c r="G277" s="14">
        <v>0</v>
      </c>
      <c r="H277" s="14">
        <v>0</v>
      </c>
      <c r="I277" s="25">
        <v>101</v>
      </c>
      <c r="J277" s="23">
        <v>2</v>
      </c>
      <c r="K277" s="16" t="str">
        <f>VLOOKUP(I277,episodes!$A$1:$E$81,5,FALSE)</f>
        <v>The Man Trap</v>
      </c>
      <c r="L277" s="16">
        <f>VLOOKUP(I277,episodes!$A$1:$D$81,3,FALSE)</f>
        <v>1</v>
      </c>
      <c r="M277" s="16">
        <f>VLOOKUP(I277,episodes!$A$1:$D$81,4,FALSE)</f>
        <v>1</v>
      </c>
      <c r="O277" s="14">
        <v>0</v>
      </c>
      <c r="P277" s="24">
        <f>LEN(E277)+LEN(K277)</f>
        <v>59</v>
      </c>
      <c r="Q277" s="24">
        <f>COUNTIFS(B:B,#REF!)</f>
        <v>0</v>
      </c>
      <c r="R277" s="24">
        <f>COUNTIFS(D:D,D277)</f>
        <v>28</v>
      </c>
    </row>
    <row r="278" spans="1:18" x14ac:dyDescent="0.3">
      <c r="A278" s="14">
        <v>346</v>
      </c>
      <c r="B278" s="21" t="s">
        <v>334</v>
      </c>
      <c r="C278" s="21" t="s">
        <v>68</v>
      </c>
      <c r="D278" s="1" t="s">
        <v>2224</v>
      </c>
      <c r="E278" s="1" t="s">
        <v>858</v>
      </c>
      <c r="F278" s="21" t="s">
        <v>2368</v>
      </c>
      <c r="G278" s="14">
        <v>0</v>
      </c>
      <c r="H278" s="14">
        <v>0</v>
      </c>
      <c r="I278" s="25">
        <v>128</v>
      </c>
      <c r="J278" s="23">
        <v>29</v>
      </c>
      <c r="K278" s="16" t="str">
        <f>VLOOKUP(I278,episodes!$A$1:$E$81,5,FALSE)</f>
        <v>The City on the Edge of Forever</v>
      </c>
      <c r="L278" s="16">
        <f>VLOOKUP(I278,episodes!$A$1:$D$81,3,FALSE)</f>
        <v>1</v>
      </c>
      <c r="M278" s="16">
        <f>VLOOKUP(I278,episodes!$A$1:$D$81,4,FALSE)</f>
        <v>28</v>
      </c>
      <c r="O278" s="14">
        <v>0</v>
      </c>
      <c r="P278" s="24">
        <f>LEN(E278)+LEN(K278)</f>
        <v>66</v>
      </c>
      <c r="Q278" s="24">
        <f>COUNTIFS(B:B,B277)</f>
        <v>84</v>
      </c>
      <c r="R278" s="24">
        <f>COUNTIFS(D:D,D278)</f>
        <v>28</v>
      </c>
    </row>
    <row r="279" spans="1:18" x14ac:dyDescent="0.3">
      <c r="A279" s="14">
        <v>315</v>
      </c>
      <c r="B279" s="21" t="s">
        <v>334</v>
      </c>
      <c r="C279" s="21" t="s">
        <v>68</v>
      </c>
      <c r="D279" s="1" t="s">
        <v>2224</v>
      </c>
      <c r="E279" s="1" t="s">
        <v>2394</v>
      </c>
      <c r="F279" s="21" t="s">
        <v>2224</v>
      </c>
      <c r="G279" s="14">
        <v>0</v>
      </c>
      <c r="H279" s="14">
        <v>0</v>
      </c>
      <c r="I279" s="25">
        <v>123</v>
      </c>
      <c r="J279" s="23">
        <v>24</v>
      </c>
      <c r="K279" s="16" t="str">
        <f>VLOOKUP(I279,episodes!$A$1:$E$81,5,FALSE)</f>
        <v>A Taste of Armageddon</v>
      </c>
      <c r="L279" s="16">
        <f>VLOOKUP(I279,episodes!$A$1:$D$81,3,FALSE)</f>
        <v>1</v>
      </c>
      <c r="M279" s="16">
        <f>VLOOKUP(I279,episodes!$A$1:$D$81,4,FALSE)</f>
        <v>23</v>
      </c>
      <c r="O279" s="14">
        <v>0</v>
      </c>
      <c r="P279" s="24">
        <f>LEN(E279)+LEN(K279)</f>
        <v>78</v>
      </c>
      <c r="Q279" s="24">
        <f>COUNTIFS(B:B,B278)</f>
        <v>84</v>
      </c>
      <c r="R279" s="24">
        <f>COUNTIFS(D:D,D279)</f>
        <v>28</v>
      </c>
    </row>
    <row r="280" spans="1:18" x14ac:dyDescent="0.3">
      <c r="A280" s="14">
        <v>316</v>
      </c>
      <c r="B280" s="21" t="s">
        <v>334</v>
      </c>
      <c r="C280" s="21" t="s">
        <v>68</v>
      </c>
      <c r="D280" s="1" t="s">
        <v>2224</v>
      </c>
      <c r="E280" s="1" t="s">
        <v>2395</v>
      </c>
      <c r="F280" s="21" t="s">
        <v>2224</v>
      </c>
      <c r="G280" s="14">
        <v>0</v>
      </c>
      <c r="H280" s="14">
        <v>0</v>
      </c>
      <c r="I280" s="25">
        <v>123</v>
      </c>
      <c r="J280" s="23">
        <v>24</v>
      </c>
      <c r="K280" s="16" t="str">
        <f>VLOOKUP(I280,episodes!$A$1:$E$81,5,FALSE)</f>
        <v>A Taste of Armageddon</v>
      </c>
      <c r="L280" s="16">
        <f>VLOOKUP(I280,episodes!$A$1:$D$81,3,FALSE)</f>
        <v>1</v>
      </c>
      <c r="M280" s="16">
        <f>VLOOKUP(I280,episodes!$A$1:$D$81,4,FALSE)</f>
        <v>23</v>
      </c>
      <c r="O280" s="14">
        <v>0</v>
      </c>
      <c r="P280" s="24">
        <f>LEN(E280)+LEN(K280)</f>
        <v>78</v>
      </c>
      <c r="Q280" s="24">
        <f>COUNTIFS(B:B,B279)</f>
        <v>84</v>
      </c>
      <c r="R280" s="24">
        <f>COUNTIFS(D:D,D280)</f>
        <v>28</v>
      </c>
    </row>
    <row r="281" spans="1:18" x14ac:dyDescent="0.3">
      <c r="A281" s="14">
        <v>271</v>
      </c>
      <c r="B281" s="21" t="s">
        <v>334</v>
      </c>
      <c r="C281" s="21" t="s">
        <v>68</v>
      </c>
      <c r="D281" s="1" t="s">
        <v>2224</v>
      </c>
      <c r="E281" s="1" t="s">
        <v>1774</v>
      </c>
      <c r="F281" s="21" t="s">
        <v>2224</v>
      </c>
      <c r="G281" s="14">
        <v>0</v>
      </c>
      <c r="H281" s="14">
        <v>0</v>
      </c>
      <c r="I281" s="9">
        <v>113</v>
      </c>
      <c r="J281" s="23">
        <v>14</v>
      </c>
      <c r="K281" s="16" t="str">
        <f>VLOOKUP(I281,episodes!$A$1:$E$81,5,FALSE)</f>
        <v>The Conscience of the King</v>
      </c>
      <c r="L281" s="16">
        <f>VLOOKUP(I281,episodes!$A$1:$D$81,3,FALSE)</f>
        <v>1</v>
      </c>
      <c r="M281" s="16">
        <f>VLOOKUP(I281,episodes!$A$1:$D$81,4,FALSE)</f>
        <v>13</v>
      </c>
      <c r="O281" s="14">
        <v>0</v>
      </c>
      <c r="P281" s="24">
        <f>LEN(E281)+LEN(K281)</f>
        <v>158</v>
      </c>
      <c r="Q281" s="24">
        <f>COUNTIFS(B:B,B280)</f>
        <v>84</v>
      </c>
      <c r="R281" s="24">
        <f>COUNTIFS(D:D,D281)</f>
        <v>28</v>
      </c>
    </row>
    <row r="282" spans="1:18" x14ac:dyDescent="0.3">
      <c r="A282" s="14">
        <v>408</v>
      </c>
      <c r="B282" s="21" t="s">
        <v>334</v>
      </c>
      <c r="C282" s="21" t="s">
        <v>68</v>
      </c>
      <c r="D282" s="1" t="s">
        <v>2224</v>
      </c>
      <c r="E282" s="1" t="s">
        <v>1721</v>
      </c>
      <c r="F282" s="21" t="s">
        <v>2224</v>
      </c>
      <c r="G282" s="14">
        <v>0</v>
      </c>
      <c r="H282" s="14">
        <v>0</v>
      </c>
      <c r="I282" s="9">
        <v>108</v>
      </c>
      <c r="J282" s="23">
        <v>9</v>
      </c>
      <c r="K282" s="16" t="str">
        <f>VLOOKUP(I282,episodes!$A$1:$E$81,5,FALSE)</f>
        <v>Miri</v>
      </c>
      <c r="L282" s="16">
        <f>VLOOKUP(I282,episodes!$A$1:$D$81,3,FALSE)</f>
        <v>1</v>
      </c>
      <c r="M282" s="16">
        <f>VLOOKUP(I282,episodes!$A$1:$D$81,4,FALSE)</f>
        <v>8</v>
      </c>
      <c r="O282" s="14">
        <v>0</v>
      </c>
      <c r="P282" s="24">
        <f>LEN(E282)+LEN(K282)</f>
        <v>71</v>
      </c>
      <c r="Q282" s="24"/>
      <c r="R282" s="24"/>
    </row>
    <row r="283" spans="1:18" x14ac:dyDescent="0.3">
      <c r="A283" s="14">
        <v>3017</v>
      </c>
      <c r="B283" s="21" t="s">
        <v>334</v>
      </c>
      <c r="C283" s="1" t="s">
        <v>68</v>
      </c>
      <c r="D283" s="1" t="s">
        <v>2224</v>
      </c>
      <c r="E283" s="1" t="s">
        <v>2833</v>
      </c>
      <c r="F283" s="21"/>
      <c r="G283" s="14">
        <v>0</v>
      </c>
      <c r="H283" s="14">
        <v>0</v>
      </c>
      <c r="I283" s="22">
        <v>211</v>
      </c>
      <c r="J283" s="23">
        <f>VLOOKUP(I283,episodes!$A$1:$B$76,2,FALSE)</f>
        <v>41</v>
      </c>
      <c r="K283" s="16" t="str">
        <f>VLOOKUP(I283,episodes!$A$1:$E$81,5,FALSE)</f>
        <v>Friday's Child</v>
      </c>
      <c r="L283" s="16">
        <f>VLOOKUP(I283,episodes!$A$1:$D$81,3,FALSE)</f>
        <v>2</v>
      </c>
      <c r="M283" s="16">
        <f>VLOOKUP(I283,episodes!$A$1:$D$81,4,FALSE)</f>
        <v>11</v>
      </c>
      <c r="O283" s="14">
        <v>0</v>
      </c>
      <c r="P283" s="24">
        <f>LEN(E283)+LEN(K283)</f>
        <v>62</v>
      </c>
      <c r="Q283" s="24"/>
      <c r="R283" s="24">
        <f>COUNTIFS(D:D,D283)</f>
        <v>28</v>
      </c>
    </row>
    <row r="284" spans="1:18" x14ac:dyDescent="0.3">
      <c r="A284" s="14">
        <v>325</v>
      </c>
      <c r="B284" s="21" t="s">
        <v>334</v>
      </c>
      <c r="C284" s="21" t="s">
        <v>68</v>
      </c>
      <c r="D284" s="1" t="s">
        <v>2224</v>
      </c>
      <c r="E284" s="1" t="s">
        <v>924</v>
      </c>
      <c r="F284" s="21" t="s">
        <v>2224</v>
      </c>
      <c r="G284" s="14">
        <v>0</v>
      </c>
      <c r="H284" s="14">
        <v>0</v>
      </c>
      <c r="I284" s="9">
        <v>125</v>
      </c>
      <c r="J284" s="23">
        <v>26</v>
      </c>
      <c r="K284" s="16" t="str">
        <f>VLOOKUP(I284,episodes!$A$1:$E$81,5,FALSE)</f>
        <v>The Devil in the Dark</v>
      </c>
      <c r="L284" s="16">
        <f>VLOOKUP(I284,episodes!$A$1:$D$81,3,FALSE)</f>
        <v>1</v>
      </c>
      <c r="M284" s="16">
        <f>VLOOKUP(I284,episodes!$A$1:$D$81,4,FALSE)</f>
        <v>25</v>
      </c>
      <c r="O284" s="14">
        <v>0</v>
      </c>
      <c r="P284" s="24">
        <f>LEN(E284)+LEN(K284)</f>
        <v>66</v>
      </c>
      <c r="Q284" s="24">
        <f>COUNTIFS(B:B,#REF!)</f>
        <v>0</v>
      </c>
      <c r="R284" s="24">
        <f>COUNTIFS(D:D,D284)</f>
        <v>28</v>
      </c>
    </row>
    <row r="285" spans="1:18" x14ac:dyDescent="0.3">
      <c r="A285" s="14">
        <v>2973</v>
      </c>
      <c r="B285" s="21" t="s">
        <v>334</v>
      </c>
      <c r="C285" s="21" t="s">
        <v>68</v>
      </c>
      <c r="D285" s="1" t="s">
        <v>2224</v>
      </c>
      <c r="E285" s="4" t="s">
        <v>2863</v>
      </c>
      <c r="F285" s="21"/>
      <c r="G285" s="14">
        <v>0</v>
      </c>
      <c r="H285" s="14">
        <v>0</v>
      </c>
      <c r="I285" s="7">
        <v>211</v>
      </c>
      <c r="J285" s="23">
        <f>VLOOKUP(I285,episodes!$A$1:$B$81,2,FALSE)</f>
        <v>41</v>
      </c>
      <c r="K285" s="16" t="str">
        <f>VLOOKUP(I285,episodes!$A$1:$E$81,5,FALSE)</f>
        <v>Friday's Child</v>
      </c>
      <c r="L285" s="16">
        <f>VLOOKUP(I285,episodes!$A$1:$D$81,3,FALSE)</f>
        <v>2</v>
      </c>
      <c r="M285" s="16">
        <f>VLOOKUP(I285,episodes!$A$1:$D$81,4,FALSE)</f>
        <v>11</v>
      </c>
      <c r="O285" s="14">
        <v>0</v>
      </c>
      <c r="P285" s="24">
        <f>LEN(E285)+LEN(K285)</f>
        <v>96</v>
      </c>
      <c r="Q285" s="24"/>
      <c r="R285" s="24">
        <f>COUNTIFS(D:D,D285)</f>
        <v>28</v>
      </c>
    </row>
    <row r="286" spans="1:18" x14ac:dyDescent="0.3">
      <c r="A286" s="14">
        <v>2974</v>
      </c>
      <c r="B286" s="21" t="s">
        <v>334</v>
      </c>
      <c r="C286" s="21" t="s">
        <v>68</v>
      </c>
      <c r="D286" s="1" t="s">
        <v>2224</v>
      </c>
      <c r="E286" s="4" t="s">
        <v>2864</v>
      </c>
      <c r="F286" s="21"/>
      <c r="G286" s="14">
        <v>0</v>
      </c>
      <c r="H286" s="14">
        <v>0</v>
      </c>
      <c r="I286" s="7">
        <v>211</v>
      </c>
      <c r="J286" s="23">
        <f>VLOOKUP(I286,episodes!$A$1:$B$81,2,FALSE)</f>
        <v>41</v>
      </c>
      <c r="K286" s="16" t="str">
        <f>VLOOKUP(I286,episodes!$A$1:$E$81,5,FALSE)</f>
        <v>Friday's Child</v>
      </c>
      <c r="L286" s="16">
        <f>VLOOKUP(I286,episodes!$A$1:$D$81,3,FALSE)</f>
        <v>2</v>
      </c>
      <c r="M286" s="16">
        <f>VLOOKUP(I286,episodes!$A$1:$D$81,4,FALSE)</f>
        <v>11</v>
      </c>
      <c r="O286" s="14">
        <v>0</v>
      </c>
      <c r="P286" s="24">
        <f>LEN(E286)+LEN(K286)</f>
        <v>96</v>
      </c>
      <c r="Q286" s="24"/>
      <c r="R286" s="24">
        <f>COUNTIFS(D:D,D286)</f>
        <v>28</v>
      </c>
    </row>
    <row r="287" spans="1:18" x14ac:dyDescent="0.3">
      <c r="A287" s="14">
        <v>350</v>
      </c>
      <c r="B287" s="21" t="s">
        <v>334</v>
      </c>
      <c r="C287" s="21" t="s">
        <v>68</v>
      </c>
      <c r="D287" s="1" t="s">
        <v>2224</v>
      </c>
      <c r="E287" s="1" t="s">
        <v>772</v>
      </c>
      <c r="F287" s="21" t="s">
        <v>2224</v>
      </c>
      <c r="G287" s="14">
        <v>0</v>
      </c>
      <c r="H287" s="14">
        <v>0</v>
      </c>
      <c r="I287" s="27">
        <v>129</v>
      </c>
      <c r="J287" s="23">
        <v>30</v>
      </c>
      <c r="K287" s="16" t="str">
        <f>VLOOKUP(I287,episodes!$A$1:$E$81,5,FALSE)</f>
        <v>Operation: Annihilate!</v>
      </c>
      <c r="L287" s="16">
        <f>VLOOKUP(I287,episodes!$A$1:$D$81,3,FALSE)</f>
        <v>1</v>
      </c>
      <c r="M287" s="16">
        <f>VLOOKUP(I287,episodes!$A$1:$D$81,4,FALSE)</f>
        <v>29</v>
      </c>
      <c r="O287" s="14">
        <v>0</v>
      </c>
      <c r="P287" s="24">
        <f>LEN(E287)+LEN(K287)</f>
        <v>71</v>
      </c>
      <c r="Q287" s="24">
        <f>COUNTIFS(B:B,B286)</f>
        <v>84</v>
      </c>
      <c r="R287" s="24">
        <f>COUNTIFS(D:D,D287)</f>
        <v>28</v>
      </c>
    </row>
    <row r="288" spans="1:18" x14ac:dyDescent="0.3">
      <c r="A288" s="14">
        <v>326</v>
      </c>
      <c r="B288" s="21" t="s">
        <v>334</v>
      </c>
      <c r="C288" s="21" t="s">
        <v>68</v>
      </c>
      <c r="D288" s="1" t="s">
        <v>2224</v>
      </c>
      <c r="E288" s="1" t="s">
        <v>1117</v>
      </c>
      <c r="F288" s="21" t="s">
        <v>2224</v>
      </c>
      <c r="G288" s="14">
        <v>0</v>
      </c>
      <c r="H288" s="14">
        <v>0</v>
      </c>
      <c r="I288" s="9">
        <v>125</v>
      </c>
      <c r="J288" s="23">
        <v>26</v>
      </c>
      <c r="K288" s="16" t="str">
        <f>VLOOKUP(I288,episodes!$A$1:$E$81,5,FALSE)</f>
        <v>The Devil in the Dark</v>
      </c>
      <c r="L288" s="16">
        <f>VLOOKUP(I288,episodes!$A$1:$D$81,3,FALSE)</f>
        <v>1</v>
      </c>
      <c r="M288" s="16">
        <f>VLOOKUP(I288,episodes!$A$1:$D$81,4,FALSE)</f>
        <v>25</v>
      </c>
      <c r="O288" s="14">
        <v>0</v>
      </c>
      <c r="P288" s="24">
        <f>LEN(E288)+LEN(K288)</f>
        <v>82</v>
      </c>
      <c r="Q288" s="24">
        <f>COUNTIFS(B:B,B287)</f>
        <v>84</v>
      </c>
      <c r="R288" s="24">
        <f>COUNTIFS(D:D,D288)</f>
        <v>28</v>
      </c>
    </row>
    <row r="289" spans="1:18" x14ac:dyDescent="0.3">
      <c r="A289" s="14">
        <v>304</v>
      </c>
      <c r="B289" s="21" t="s">
        <v>334</v>
      </c>
      <c r="C289" s="21" t="s">
        <v>68</v>
      </c>
      <c r="D289" s="1" t="s">
        <v>2224</v>
      </c>
      <c r="E289" s="1" t="s">
        <v>769</v>
      </c>
      <c r="F289" s="21" t="s">
        <v>2224</v>
      </c>
      <c r="G289" s="14">
        <v>0</v>
      </c>
      <c r="H289" s="14">
        <v>0</v>
      </c>
      <c r="I289" s="9">
        <v>121</v>
      </c>
      <c r="J289" s="23">
        <v>22</v>
      </c>
      <c r="K289" s="16" t="str">
        <f>VLOOKUP(I289,episodes!$A$1:$E$81,5,FALSE)</f>
        <v>The Return of the Archons</v>
      </c>
      <c r="L289" s="16">
        <f>VLOOKUP(I289,episodes!$A$1:$D$81,3,FALSE)</f>
        <v>1</v>
      </c>
      <c r="M289" s="16">
        <f>VLOOKUP(I289,episodes!$A$1:$D$81,4,FALSE)</f>
        <v>21</v>
      </c>
      <c r="O289" s="14">
        <v>0</v>
      </c>
      <c r="P289" s="24">
        <f>LEN(E289)+LEN(K289)</f>
        <v>70</v>
      </c>
      <c r="Q289" s="24">
        <f>COUNTIFS(B:B,B288)</f>
        <v>84</v>
      </c>
      <c r="R289" s="24">
        <f>COUNTIFS(D:D,D289)</f>
        <v>28</v>
      </c>
    </row>
    <row r="290" spans="1:18" x14ac:dyDescent="0.3">
      <c r="A290" s="14">
        <v>272</v>
      </c>
      <c r="B290" s="21" t="s">
        <v>334</v>
      </c>
      <c r="C290" s="21" t="s">
        <v>68</v>
      </c>
      <c r="D290" s="1" t="s">
        <v>2224</v>
      </c>
      <c r="E290" s="1" t="s">
        <v>771</v>
      </c>
      <c r="F290" s="21" t="s">
        <v>2224</v>
      </c>
      <c r="G290" s="14">
        <v>0</v>
      </c>
      <c r="H290" s="14">
        <v>0</v>
      </c>
      <c r="I290" s="9">
        <v>113</v>
      </c>
      <c r="J290" s="23">
        <v>14</v>
      </c>
      <c r="K290" s="16" t="str">
        <f>VLOOKUP(I290,episodes!$A$1:$E$81,5,FALSE)</f>
        <v>The Conscience of the King</v>
      </c>
      <c r="L290" s="16">
        <f>VLOOKUP(I290,episodes!$A$1:$D$81,3,FALSE)</f>
        <v>1</v>
      </c>
      <c r="M290" s="16">
        <f>VLOOKUP(I290,episodes!$A$1:$D$81,4,FALSE)</f>
        <v>13</v>
      </c>
      <c r="O290" s="14">
        <v>0</v>
      </c>
      <c r="P290" s="24">
        <f>LEN(E290)+LEN(K290)</f>
        <v>56</v>
      </c>
      <c r="Q290" s="24">
        <f>COUNTIFS(B:B,B289)</f>
        <v>84</v>
      </c>
      <c r="R290" s="24">
        <f>COUNTIFS(D:D,D290)</f>
        <v>28</v>
      </c>
    </row>
    <row r="291" spans="1:18" x14ac:dyDescent="0.3">
      <c r="A291" s="14">
        <v>1458</v>
      </c>
      <c r="B291" s="21" t="s">
        <v>334</v>
      </c>
      <c r="C291" s="21" t="s">
        <v>68</v>
      </c>
      <c r="D291" s="1" t="s">
        <v>60</v>
      </c>
      <c r="E291" s="1" t="s">
        <v>767</v>
      </c>
      <c r="F291" s="21" t="s">
        <v>60</v>
      </c>
      <c r="G291" s="14">
        <v>0</v>
      </c>
      <c r="H291" s="14">
        <v>0</v>
      </c>
      <c r="I291" s="25">
        <v>126</v>
      </c>
      <c r="J291" s="23">
        <v>27</v>
      </c>
      <c r="K291" s="16" t="str">
        <f>VLOOKUP(I291,episodes!$A$1:$E$81,5,FALSE)</f>
        <v>Errand of Mercy</v>
      </c>
      <c r="L291" s="16">
        <f>VLOOKUP(I291,episodes!$A$1:$D$81,3,FALSE)</f>
        <v>1</v>
      </c>
      <c r="M291" s="16">
        <f>VLOOKUP(I291,episodes!$A$1:$D$81,4,FALSE)</f>
        <v>26</v>
      </c>
      <c r="O291" s="14">
        <v>0</v>
      </c>
      <c r="P291" s="24">
        <f>LEN(E291)+LEN(K291)</f>
        <v>75</v>
      </c>
      <c r="Q291" s="24">
        <f>COUNTIFS(B:B,#REF!)</f>
        <v>0</v>
      </c>
      <c r="R291" s="24">
        <f>COUNTIFS(D:D,D291)</f>
        <v>4</v>
      </c>
    </row>
    <row r="292" spans="1:18" x14ac:dyDescent="0.3">
      <c r="A292" s="14">
        <v>2975</v>
      </c>
      <c r="B292" s="21" t="s">
        <v>334</v>
      </c>
      <c r="C292" s="21" t="s">
        <v>68</v>
      </c>
      <c r="D292" s="1" t="s">
        <v>60</v>
      </c>
      <c r="E292" s="4" t="s">
        <v>2800</v>
      </c>
      <c r="F292" s="21"/>
      <c r="G292" s="14">
        <v>0</v>
      </c>
      <c r="H292" s="14">
        <v>0</v>
      </c>
      <c r="I292" s="7">
        <v>211</v>
      </c>
      <c r="J292" s="23">
        <f>VLOOKUP(I292,episodes!$A$1:$B$81,2,FALSE)</f>
        <v>41</v>
      </c>
      <c r="K292" s="16" t="str">
        <f>VLOOKUP(I292,episodes!$A$1:$E$81,5,FALSE)</f>
        <v>Friday's Child</v>
      </c>
      <c r="L292" s="16">
        <f>VLOOKUP(I292,episodes!$A$1:$D$81,3,FALSE)</f>
        <v>2</v>
      </c>
      <c r="M292" s="16">
        <f>VLOOKUP(I292,episodes!$A$1:$D$81,4,FALSE)</f>
        <v>11</v>
      </c>
      <c r="O292" s="14">
        <v>0</v>
      </c>
      <c r="P292" s="24">
        <f>LEN(E292)+LEN(K292)</f>
        <v>99</v>
      </c>
      <c r="Q292" s="24"/>
      <c r="R292" s="24">
        <f>COUNTIFS(D:D,D292)</f>
        <v>4</v>
      </c>
    </row>
    <row r="293" spans="1:18" x14ac:dyDescent="0.3">
      <c r="A293" s="14">
        <v>3022</v>
      </c>
      <c r="B293" s="21" t="s">
        <v>334</v>
      </c>
      <c r="C293" s="21" t="s">
        <v>68</v>
      </c>
      <c r="D293" s="1" t="s">
        <v>60</v>
      </c>
      <c r="E293" s="4" t="s">
        <v>2835</v>
      </c>
      <c r="F293" s="21" t="s">
        <v>2225</v>
      </c>
      <c r="G293" s="14">
        <v>0</v>
      </c>
      <c r="H293" s="14">
        <v>0</v>
      </c>
      <c r="I293" s="7">
        <v>211</v>
      </c>
      <c r="J293" s="23">
        <f>VLOOKUP(I293,episodes!$A$1:$B$81,2,FALSE)</f>
        <v>41</v>
      </c>
      <c r="K293" s="16" t="str">
        <f>VLOOKUP(I293,episodes!$A$1:$E$81,5,FALSE)</f>
        <v>Friday's Child</v>
      </c>
      <c r="L293" s="16">
        <f>VLOOKUP(I293,episodes!$A$1:$D$81,3,FALSE)</f>
        <v>2</v>
      </c>
      <c r="M293" s="16">
        <f>VLOOKUP(I293,episodes!$A$1:$D$81,4,FALSE)</f>
        <v>11</v>
      </c>
      <c r="O293" s="14">
        <v>0</v>
      </c>
      <c r="P293" s="24">
        <f>LEN(E293)+LEN(K293)</f>
        <v>73</v>
      </c>
      <c r="Q293" s="24"/>
      <c r="R293" s="24"/>
    </row>
    <row r="294" spans="1:18" x14ac:dyDescent="0.3">
      <c r="A294" s="14">
        <v>1661</v>
      </c>
      <c r="B294" s="21" t="s">
        <v>1149</v>
      </c>
      <c r="C294" s="21" t="s">
        <v>68</v>
      </c>
      <c r="D294" s="21" t="s">
        <v>8</v>
      </c>
      <c r="E294" s="1" t="s">
        <v>2858</v>
      </c>
      <c r="F294" s="21" t="s">
        <v>8</v>
      </c>
      <c r="G294" s="14">
        <v>0</v>
      </c>
      <c r="H294" s="14">
        <v>1</v>
      </c>
      <c r="I294" s="14">
        <v>308</v>
      </c>
      <c r="J294" s="23">
        <f>VLOOKUP(I294,episodes!$A$1:$B$81,2,FALSE)</f>
        <v>64</v>
      </c>
      <c r="K294" s="16" t="str">
        <f>VLOOKUP(I294,episodes!$A$1:$E$81,5,FALSE)</f>
        <v>For the World Is Hollow and I Have Touched the Sky</v>
      </c>
      <c r="L294" s="16">
        <f>VLOOKUP(I294,episodes!$A$1:$D$81,3,FALSE)</f>
        <v>3</v>
      </c>
      <c r="M294" s="16">
        <f>VLOOKUP(I294,episodes!$A$1:$D$81,4,FALSE)</f>
        <v>8</v>
      </c>
      <c r="O294" s="14">
        <v>0</v>
      </c>
      <c r="P294" s="24">
        <f>LEN(E294)+LEN(K294)</f>
        <v>280</v>
      </c>
      <c r="Q294" s="24">
        <f>COUNTIFS(B:B,B296)</f>
        <v>84</v>
      </c>
      <c r="R294" s="24">
        <f>COUNTIFS(D:D,D297)</f>
        <v>20</v>
      </c>
    </row>
    <row r="295" spans="1:18" x14ac:dyDescent="0.3">
      <c r="A295" s="14">
        <v>1957</v>
      </c>
      <c r="B295" s="21" t="s">
        <v>323</v>
      </c>
      <c r="C295" s="21" t="s">
        <v>68</v>
      </c>
      <c r="D295" s="21" t="s">
        <v>45</v>
      </c>
      <c r="E295" s="1" t="s">
        <v>2860</v>
      </c>
      <c r="F295" s="21" t="s">
        <v>6</v>
      </c>
      <c r="G295" s="14">
        <v>0</v>
      </c>
      <c r="H295" s="14">
        <v>1</v>
      </c>
      <c r="I295" s="22">
        <v>203</v>
      </c>
      <c r="J295" s="23">
        <f>VLOOKUP(I295,episodes!$A$1:$B$76,2,FALSE)</f>
        <v>33</v>
      </c>
      <c r="K295" s="16" t="str">
        <f>VLOOKUP(I295,episodes!$A$1:$E$81,5,FALSE)</f>
        <v>The Changeling</v>
      </c>
      <c r="L295" s="16">
        <f>VLOOKUP(I295,episodes!$A$1:$D$81,3,FALSE)</f>
        <v>2</v>
      </c>
      <c r="M295" s="16">
        <f>VLOOKUP(I295,episodes!$A$1:$D$81,4,FALSE)</f>
        <v>3</v>
      </c>
      <c r="O295" s="14">
        <v>0</v>
      </c>
      <c r="P295" s="24">
        <f>LEN(E295)+LEN(K295)</f>
        <v>116</v>
      </c>
      <c r="Q295" s="24">
        <f>COUNTIFS(B:B,#REF!)</f>
        <v>0</v>
      </c>
      <c r="R295" s="24">
        <f>COUNTIFS(D:D,D295)</f>
        <v>20</v>
      </c>
    </row>
    <row r="296" spans="1:18" x14ac:dyDescent="0.3">
      <c r="A296" s="14">
        <v>364</v>
      </c>
      <c r="B296" s="21" t="s">
        <v>334</v>
      </c>
      <c r="C296" s="21" t="s">
        <v>68</v>
      </c>
      <c r="D296" s="1" t="s">
        <v>45</v>
      </c>
      <c r="E296" s="1" t="s">
        <v>1119</v>
      </c>
      <c r="F296" s="21" t="s">
        <v>2224</v>
      </c>
      <c r="G296" s="14">
        <v>0</v>
      </c>
      <c r="H296" s="14">
        <v>0</v>
      </c>
      <c r="I296" s="25">
        <v>205</v>
      </c>
      <c r="J296" s="23">
        <v>35</v>
      </c>
      <c r="K296" s="16" t="str">
        <f>VLOOKUP(I296,episodes!$A$1:$E$81,5,FALSE)</f>
        <v>The Apple</v>
      </c>
      <c r="L296" s="16">
        <f>VLOOKUP(I296,episodes!$A$1:$D$81,3,FALSE)</f>
        <v>2</v>
      </c>
      <c r="M296" s="16">
        <f>VLOOKUP(I296,episodes!$A$1:$D$81,4,FALSE)</f>
        <v>5</v>
      </c>
      <c r="O296" s="14">
        <v>0</v>
      </c>
      <c r="P296" s="24">
        <f>LEN(E296)+LEN(K296)</f>
        <v>65</v>
      </c>
      <c r="Q296" s="24">
        <f>COUNTIFS(B:B,B295)</f>
        <v>5</v>
      </c>
      <c r="R296" s="24">
        <f>COUNTIFS(D:D,D296)</f>
        <v>20</v>
      </c>
    </row>
    <row r="297" spans="1:18" x14ac:dyDescent="0.3">
      <c r="A297" s="14">
        <v>188</v>
      </c>
      <c r="B297" s="21" t="s">
        <v>1162</v>
      </c>
      <c r="C297" s="21" t="s">
        <v>68</v>
      </c>
      <c r="D297" s="21" t="s">
        <v>45</v>
      </c>
      <c r="E297" s="1" t="s">
        <v>1645</v>
      </c>
      <c r="F297" s="21" t="s">
        <v>2245</v>
      </c>
      <c r="G297" s="14">
        <v>0</v>
      </c>
      <c r="H297" s="14">
        <v>0</v>
      </c>
      <c r="I297" s="22">
        <v>207</v>
      </c>
      <c r="J297" s="23">
        <f>VLOOKUP(I297,episodes!$A$1:$B$81,2,FALSE)</f>
        <v>37</v>
      </c>
      <c r="K297" s="16" t="str">
        <f>VLOOKUP(I297,episodes!$A$1:$E$81,5,FALSE)</f>
        <v>Catspaw</v>
      </c>
      <c r="L297" s="16">
        <f>VLOOKUP(I297,episodes!$A$1:$D$81,3,FALSE)</f>
        <v>2</v>
      </c>
      <c r="M297" s="16">
        <f>VLOOKUP(I297,episodes!$A$1:$D$81,4,FALSE)</f>
        <v>7</v>
      </c>
      <c r="O297" s="14">
        <v>0</v>
      </c>
      <c r="P297" s="24">
        <f>LEN(E297)+LEN(K297)</f>
        <v>113</v>
      </c>
      <c r="Q297" s="24">
        <f>COUNTIFS(B:B,#REF!)</f>
        <v>0</v>
      </c>
      <c r="R297" s="24">
        <f>COUNTIFS(D:D,D297)</f>
        <v>20</v>
      </c>
    </row>
    <row r="298" spans="1:18" x14ac:dyDescent="0.3">
      <c r="A298" s="14">
        <v>365</v>
      </c>
      <c r="B298" s="21" t="s">
        <v>334</v>
      </c>
      <c r="C298" s="21" t="s">
        <v>68</v>
      </c>
      <c r="D298" s="1" t="s">
        <v>45</v>
      </c>
      <c r="E298" s="1" t="s">
        <v>1118</v>
      </c>
      <c r="F298" s="21" t="s">
        <v>2224</v>
      </c>
      <c r="G298" s="14">
        <v>0</v>
      </c>
      <c r="H298" s="14">
        <v>0</v>
      </c>
      <c r="I298" s="9">
        <v>205</v>
      </c>
      <c r="J298" s="23">
        <v>35</v>
      </c>
      <c r="K298" s="16" t="str">
        <f>VLOOKUP(I298,episodes!$A$1:$E$81,5,FALSE)</f>
        <v>The Apple</v>
      </c>
      <c r="L298" s="16">
        <f>VLOOKUP(I298,episodes!$A$1:$D$81,3,FALSE)</f>
        <v>2</v>
      </c>
      <c r="M298" s="16">
        <f>VLOOKUP(I298,episodes!$A$1:$D$81,4,FALSE)</f>
        <v>5</v>
      </c>
      <c r="O298" s="14">
        <v>0</v>
      </c>
      <c r="P298" s="24">
        <f>LEN(E298)+LEN(K298)</f>
        <v>51</v>
      </c>
      <c r="Q298" s="24">
        <f>COUNTIFS(B:B,B297)</f>
        <v>3</v>
      </c>
      <c r="R298" s="24">
        <f>COUNTIFS(D:D,D298)</f>
        <v>20</v>
      </c>
    </row>
    <row r="299" spans="1:18" x14ac:dyDescent="0.3">
      <c r="A299" s="14">
        <v>366</v>
      </c>
      <c r="B299" s="21" t="s">
        <v>334</v>
      </c>
      <c r="C299" s="21" t="s">
        <v>68</v>
      </c>
      <c r="D299" s="1" t="s">
        <v>45</v>
      </c>
      <c r="E299" s="1" t="s">
        <v>914</v>
      </c>
      <c r="F299" s="21" t="s">
        <v>2224</v>
      </c>
      <c r="G299" s="14">
        <v>0</v>
      </c>
      <c r="H299" s="14">
        <v>0</v>
      </c>
      <c r="I299" s="25">
        <v>205</v>
      </c>
      <c r="J299" s="23">
        <v>35</v>
      </c>
      <c r="K299" s="16" t="str">
        <f>VLOOKUP(I299,episodes!$A$1:$E$81,5,FALSE)</f>
        <v>The Apple</v>
      </c>
      <c r="L299" s="16">
        <f>VLOOKUP(I299,episodes!$A$1:$D$81,3,FALSE)</f>
        <v>2</v>
      </c>
      <c r="M299" s="16">
        <f>VLOOKUP(I299,episodes!$A$1:$D$81,4,FALSE)</f>
        <v>5</v>
      </c>
      <c r="O299" s="14">
        <v>0</v>
      </c>
      <c r="P299" s="24">
        <f>LEN(E299)+LEN(K299)</f>
        <v>62</v>
      </c>
      <c r="Q299" s="24">
        <f>COUNTIFS(B:B,B298)</f>
        <v>84</v>
      </c>
      <c r="R299" s="24">
        <f>COUNTIFS(D:D,D299)</f>
        <v>20</v>
      </c>
    </row>
    <row r="300" spans="1:18" x14ac:dyDescent="0.3">
      <c r="A300" s="14">
        <v>367</v>
      </c>
      <c r="B300" s="21" t="s">
        <v>334</v>
      </c>
      <c r="C300" s="21" t="s">
        <v>68</v>
      </c>
      <c r="D300" s="1" t="s">
        <v>45</v>
      </c>
      <c r="E300" s="1" t="s">
        <v>915</v>
      </c>
      <c r="F300" s="21" t="s">
        <v>2224</v>
      </c>
      <c r="G300" s="14">
        <v>0</v>
      </c>
      <c r="H300" s="14">
        <v>0</v>
      </c>
      <c r="I300" s="9">
        <v>205</v>
      </c>
      <c r="J300" s="23">
        <v>35</v>
      </c>
      <c r="K300" s="16" t="str">
        <f>VLOOKUP(I300,episodes!$A$1:$E$81,5,FALSE)</f>
        <v>The Apple</v>
      </c>
      <c r="L300" s="16">
        <f>VLOOKUP(I300,episodes!$A$1:$D$81,3,FALSE)</f>
        <v>2</v>
      </c>
      <c r="M300" s="16">
        <f>VLOOKUP(I300,episodes!$A$1:$D$81,4,FALSE)</f>
        <v>5</v>
      </c>
      <c r="O300" s="14">
        <v>0</v>
      </c>
      <c r="P300" s="24">
        <f>LEN(E300)+LEN(K300)</f>
        <v>58</v>
      </c>
      <c r="Q300" s="24">
        <f>COUNTIFS(B:B,B299)</f>
        <v>84</v>
      </c>
      <c r="R300" s="24">
        <f>COUNTIFS(D:D,D300)</f>
        <v>20</v>
      </c>
    </row>
    <row r="301" spans="1:18" x14ac:dyDescent="0.3">
      <c r="A301" s="14">
        <v>294</v>
      </c>
      <c r="B301" s="21" t="s">
        <v>334</v>
      </c>
      <c r="C301" s="21" t="s">
        <v>68</v>
      </c>
      <c r="D301" s="1" t="s">
        <v>45</v>
      </c>
      <c r="E301" s="1" t="s">
        <v>2133</v>
      </c>
      <c r="F301" s="21" t="s">
        <v>2224</v>
      </c>
      <c r="G301" s="14">
        <v>0</v>
      </c>
      <c r="H301" s="14">
        <v>0</v>
      </c>
      <c r="I301" s="9">
        <v>118</v>
      </c>
      <c r="J301" s="23">
        <v>19</v>
      </c>
      <c r="K301" s="16" t="str">
        <f>VLOOKUP(I301,episodes!$A$1:$E$81,5,FALSE)</f>
        <v>Arena</v>
      </c>
      <c r="L301" s="16">
        <f>VLOOKUP(I301,episodes!$A$1:$D$81,3,FALSE)</f>
        <v>1</v>
      </c>
      <c r="M301" s="16">
        <f>VLOOKUP(I301,episodes!$A$1:$D$81,4,FALSE)</f>
        <v>18</v>
      </c>
      <c r="O301" s="14">
        <v>0</v>
      </c>
      <c r="P301" s="24">
        <f>LEN(E301)+LEN(K301)</f>
        <v>41</v>
      </c>
      <c r="Q301" s="24">
        <f>COUNTIFS(B:B,B300)</f>
        <v>84</v>
      </c>
      <c r="R301" s="24">
        <f>COUNTIFS(D:D,D301)</f>
        <v>20</v>
      </c>
    </row>
    <row r="302" spans="1:18" x14ac:dyDescent="0.3">
      <c r="A302" s="14">
        <v>356</v>
      </c>
      <c r="B302" s="21" t="s">
        <v>334</v>
      </c>
      <c r="C302" s="21" t="s">
        <v>68</v>
      </c>
      <c r="D302" s="1" t="s">
        <v>45</v>
      </c>
      <c r="E302" s="1" t="s">
        <v>2396</v>
      </c>
      <c r="F302" s="21" t="s">
        <v>2224</v>
      </c>
      <c r="G302" s="14">
        <v>0</v>
      </c>
      <c r="H302" s="14">
        <v>0</v>
      </c>
      <c r="I302" s="22">
        <v>204</v>
      </c>
      <c r="J302" s="23">
        <v>34</v>
      </c>
      <c r="K302" s="16" t="str">
        <f>VLOOKUP(I302,episodes!$A$1:$E$81,5,FALSE)</f>
        <v>Mirror, Mirror</v>
      </c>
      <c r="L302" s="16">
        <f>VLOOKUP(I302,episodes!$A$1:$D$81,3,FALSE)</f>
        <v>2</v>
      </c>
      <c r="M302" s="16">
        <f>VLOOKUP(I302,episodes!$A$1:$D$81,4,FALSE)</f>
        <v>4</v>
      </c>
      <c r="O302" s="14">
        <v>0</v>
      </c>
      <c r="P302" s="24">
        <f>LEN(E302)+LEN(K302)</f>
        <v>105</v>
      </c>
      <c r="Q302" s="24">
        <f>COUNTIFS(B:B,B300)</f>
        <v>84</v>
      </c>
      <c r="R302" s="24">
        <f>COUNTIFS(D:D,D302)</f>
        <v>20</v>
      </c>
    </row>
    <row r="303" spans="1:18" s="21" customFormat="1" x14ac:dyDescent="0.3">
      <c r="A303" s="14">
        <v>357</v>
      </c>
      <c r="B303" s="21" t="s">
        <v>334</v>
      </c>
      <c r="C303" s="21" t="s">
        <v>68</v>
      </c>
      <c r="D303" s="1" t="s">
        <v>45</v>
      </c>
      <c r="E303" s="1" t="s">
        <v>2397</v>
      </c>
      <c r="F303" s="21" t="s">
        <v>2224</v>
      </c>
      <c r="G303" s="14">
        <v>0</v>
      </c>
      <c r="H303" s="14">
        <v>0</v>
      </c>
      <c r="I303" s="22">
        <v>204</v>
      </c>
      <c r="J303" s="23">
        <v>34</v>
      </c>
      <c r="K303" s="16" t="str">
        <f>VLOOKUP(I303,episodes!$A$1:$E$81,5,FALSE)</f>
        <v>Mirror, Mirror</v>
      </c>
      <c r="L303" s="16">
        <f>VLOOKUP(I303,episodes!$A$1:$D$81,3,FALSE)</f>
        <v>2</v>
      </c>
      <c r="M303" s="16">
        <f>VLOOKUP(I303,episodes!$A$1:$D$81,4,FALSE)</f>
        <v>4</v>
      </c>
      <c r="N303" s="14"/>
      <c r="O303" s="14">
        <v>0</v>
      </c>
      <c r="P303" s="24">
        <f>LEN(E303)+LEN(K303)</f>
        <v>105</v>
      </c>
      <c r="Q303" s="24">
        <f>COUNTIFS(B:B,B302)</f>
        <v>84</v>
      </c>
      <c r="R303" s="24">
        <f>COUNTIFS(D:D,D303)</f>
        <v>20</v>
      </c>
    </row>
    <row r="304" spans="1:18" x14ac:dyDescent="0.3">
      <c r="A304" s="14">
        <v>358</v>
      </c>
      <c r="B304" s="21" t="s">
        <v>334</v>
      </c>
      <c r="C304" s="21" t="s">
        <v>68</v>
      </c>
      <c r="D304" s="1" t="s">
        <v>45</v>
      </c>
      <c r="E304" s="1" t="s">
        <v>2398</v>
      </c>
      <c r="F304" s="21" t="s">
        <v>2224</v>
      </c>
      <c r="G304" s="14">
        <v>0</v>
      </c>
      <c r="H304" s="14">
        <v>0</v>
      </c>
      <c r="I304" s="22">
        <v>204</v>
      </c>
      <c r="J304" s="23">
        <v>34</v>
      </c>
      <c r="K304" s="16" t="str">
        <f>VLOOKUP(I304,episodes!$A$1:$E$81,5,FALSE)</f>
        <v>Mirror, Mirror</v>
      </c>
      <c r="L304" s="16">
        <f>VLOOKUP(I304,episodes!$A$1:$D$81,3,FALSE)</f>
        <v>2</v>
      </c>
      <c r="M304" s="16">
        <f>VLOOKUP(I304,episodes!$A$1:$D$81,4,FALSE)</f>
        <v>4</v>
      </c>
      <c r="O304" s="14">
        <v>0</v>
      </c>
      <c r="P304" s="24">
        <f>LEN(E304)+LEN(K304)</f>
        <v>105</v>
      </c>
      <c r="Q304" s="24">
        <f>COUNTIFS(B:B,B303)</f>
        <v>84</v>
      </c>
      <c r="R304" s="24">
        <f>COUNTIFS(D:D,D304)</f>
        <v>20</v>
      </c>
    </row>
    <row r="305" spans="1:18" x14ac:dyDescent="0.3">
      <c r="A305" s="14">
        <v>2939</v>
      </c>
      <c r="B305" s="21" t="s">
        <v>334</v>
      </c>
      <c r="C305" s="21" t="s">
        <v>68</v>
      </c>
      <c r="D305" s="1" t="s">
        <v>45</v>
      </c>
      <c r="E305" s="4" t="s">
        <v>2767</v>
      </c>
      <c r="F305" s="21" t="s">
        <v>45</v>
      </c>
      <c r="G305" s="14">
        <v>0</v>
      </c>
      <c r="H305" s="14">
        <v>0</v>
      </c>
      <c r="I305" s="7">
        <v>211</v>
      </c>
      <c r="J305" s="23">
        <f>VLOOKUP(I305,episodes!$A$1:$B$81,2,FALSE)</f>
        <v>41</v>
      </c>
      <c r="K305" s="16" t="str">
        <f>VLOOKUP(I305,episodes!$A$1:$E$81,5,FALSE)</f>
        <v>Friday's Child</v>
      </c>
      <c r="L305" s="16">
        <f>VLOOKUP(I305,episodes!$A$1:$D$81,3,FALSE)</f>
        <v>2</v>
      </c>
      <c r="M305" s="16">
        <f>VLOOKUP(I305,episodes!$A$1:$D$81,4,FALSE)</f>
        <v>11</v>
      </c>
      <c r="O305" s="14">
        <v>0</v>
      </c>
      <c r="P305" s="24">
        <f>LEN(E305)+LEN(K305)</f>
        <v>112</v>
      </c>
      <c r="Q305" s="24"/>
      <c r="R305" s="24"/>
    </row>
    <row r="306" spans="1:18" x14ac:dyDescent="0.3">
      <c r="A306" s="14">
        <v>273</v>
      </c>
      <c r="B306" s="21" t="s">
        <v>334</v>
      </c>
      <c r="C306" s="21" t="s">
        <v>68</v>
      </c>
      <c r="D306" s="1" t="s">
        <v>45</v>
      </c>
      <c r="E306" s="1" t="s">
        <v>2261</v>
      </c>
      <c r="F306" s="21" t="s">
        <v>2224</v>
      </c>
      <c r="G306" s="14">
        <v>0</v>
      </c>
      <c r="H306" s="14">
        <v>0</v>
      </c>
      <c r="I306" s="9">
        <v>113</v>
      </c>
      <c r="J306" s="23">
        <v>14</v>
      </c>
      <c r="K306" s="16" t="str">
        <f>VLOOKUP(I306,episodes!$A$1:$E$81,5,FALSE)</f>
        <v>The Conscience of the King</v>
      </c>
      <c r="L306" s="16">
        <f>VLOOKUP(I306,episodes!$A$1:$D$81,3,FALSE)</f>
        <v>1</v>
      </c>
      <c r="M306" s="16">
        <f>VLOOKUP(I306,episodes!$A$1:$D$81,4,FALSE)</f>
        <v>13</v>
      </c>
      <c r="O306" s="14">
        <v>0</v>
      </c>
      <c r="P306" s="24">
        <f>LEN(E306)+LEN(K306)</f>
        <v>95</v>
      </c>
      <c r="Q306" s="24">
        <f>COUNTIFS(B:B,B305)</f>
        <v>84</v>
      </c>
      <c r="R306" s="24">
        <f>COUNTIFS(D:D,D306)</f>
        <v>20</v>
      </c>
    </row>
    <row r="307" spans="1:18" x14ac:dyDescent="0.3">
      <c r="A307" s="14">
        <v>327</v>
      </c>
      <c r="B307" s="21" t="s">
        <v>334</v>
      </c>
      <c r="C307" s="21" t="s">
        <v>68</v>
      </c>
      <c r="D307" s="1" t="s">
        <v>45</v>
      </c>
      <c r="E307" s="1" t="s">
        <v>2145</v>
      </c>
      <c r="F307" s="21" t="s">
        <v>2224</v>
      </c>
      <c r="G307" s="14">
        <v>0</v>
      </c>
      <c r="H307" s="14">
        <v>0</v>
      </c>
      <c r="I307" s="9">
        <v>125</v>
      </c>
      <c r="J307" s="23">
        <v>26</v>
      </c>
      <c r="K307" s="16" t="str">
        <f>VLOOKUP(I307,episodes!$A$1:$E$81,5,FALSE)</f>
        <v>The Devil in the Dark</v>
      </c>
      <c r="L307" s="16">
        <f>VLOOKUP(I307,episodes!$A$1:$D$81,3,FALSE)</f>
        <v>1</v>
      </c>
      <c r="M307" s="16">
        <f>VLOOKUP(I307,episodes!$A$1:$D$81,4,FALSE)</f>
        <v>25</v>
      </c>
      <c r="O307" s="14">
        <v>0</v>
      </c>
      <c r="P307" s="24">
        <f>LEN(E307)+LEN(K307)</f>
        <v>77</v>
      </c>
      <c r="Q307" s="24">
        <f>COUNTIFS(B:B,B306)</f>
        <v>84</v>
      </c>
      <c r="R307" s="24">
        <f>COUNTIFS(D:D,D307)</f>
        <v>20</v>
      </c>
    </row>
    <row r="308" spans="1:18" x14ac:dyDescent="0.3">
      <c r="A308" s="14">
        <v>351</v>
      </c>
      <c r="B308" s="21" t="s">
        <v>334</v>
      </c>
      <c r="C308" s="21" t="s">
        <v>68</v>
      </c>
      <c r="D308" s="1" t="s">
        <v>45</v>
      </c>
      <c r="E308" s="1" t="s">
        <v>2399</v>
      </c>
      <c r="F308" s="21" t="s">
        <v>2224</v>
      </c>
      <c r="G308" s="14">
        <v>0</v>
      </c>
      <c r="H308" s="14">
        <v>0</v>
      </c>
      <c r="I308" s="9">
        <v>203</v>
      </c>
      <c r="J308" s="23">
        <v>33</v>
      </c>
      <c r="K308" s="16" t="str">
        <f>VLOOKUP(I308,episodes!$A$1:$E$81,5,FALSE)</f>
        <v>The Changeling</v>
      </c>
      <c r="L308" s="16">
        <f>VLOOKUP(I308,episodes!$A$1:$D$81,3,FALSE)</f>
        <v>2</v>
      </c>
      <c r="M308" s="16">
        <f>VLOOKUP(I308,episodes!$A$1:$D$81,4,FALSE)</f>
        <v>3</v>
      </c>
      <c r="O308" s="14">
        <v>0</v>
      </c>
      <c r="P308" s="24">
        <f>LEN(E308)+LEN(K308)</f>
        <v>80</v>
      </c>
      <c r="Q308" s="24">
        <f>COUNTIFS(B:B,B307)</f>
        <v>84</v>
      </c>
      <c r="R308" s="24">
        <f>COUNTIFS(D:D,D308)</f>
        <v>20</v>
      </c>
    </row>
    <row r="309" spans="1:18" x14ac:dyDescent="0.3">
      <c r="A309" s="14">
        <v>352</v>
      </c>
      <c r="B309" s="21" t="s">
        <v>334</v>
      </c>
      <c r="C309" s="21" t="s">
        <v>68</v>
      </c>
      <c r="D309" s="1" t="s">
        <v>45</v>
      </c>
      <c r="E309" s="1" t="s">
        <v>2400</v>
      </c>
      <c r="F309" s="21" t="s">
        <v>2224</v>
      </c>
      <c r="G309" s="14">
        <v>0</v>
      </c>
      <c r="H309" s="14">
        <v>0</v>
      </c>
      <c r="I309" s="9">
        <v>203</v>
      </c>
      <c r="J309" s="23">
        <v>33</v>
      </c>
      <c r="K309" s="16" t="str">
        <f>VLOOKUP(I309,episodes!$A$1:$E$81,5,FALSE)</f>
        <v>The Changeling</v>
      </c>
      <c r="L309" s="16">
        <f>VLOOKUP(I309,episodes!$A$1:$D$81,3,FALSE)</f>
        <v>2</v>
      </c>
      <c r="M309" s="16">
        <f>VLOOKUP(I309,episodes!$A$1:$D$81,4,FALSE)</f>
        <v>3</v>
      </c>
      <c r="O309" s="14">
        <v>0</v>
      </c>
      <c r="P309" s="24">
        <f>LEN(E309)+LEN(K309)</f>
        <v>80</v>
      </c>
      <c r="Q309" s="24">
        <f>COUNTIFS(B:B,B308)</f>
        <v>84</v>
      </c>
      <c r="R309" s="24">
        <f>COUNTIFS(D:D,D309)</f>
        <v>20</v>
      </c>
    </row>
    <row r="310" spans="1:18" x14ac:dyDescent="0.3">
      <c r="A310" s="14">
        <v>353</v>
      </c>
      <c r="B310" s="21" t="s">
        <v>334</v>
      </c>
      <c r="C310" s="21" t="s">
        <v>68</v>
      </c>
      <c r="D310" s="1" t="s">
        <v>45</v>
      </c>
      <c r="E310" s="1" t="s">
        <v>2401</v>
      </c>
      <c r="F310" s="21" t="s">
        <v>2224</v>
      </c>
      <c r="G310" s="14">
        <v>0</v>
      </c>
      <c r="H310" s="14">
        <v>0</v>
      </c>
      <c r="I310" s="9">
        <v>203</v>
      </c>
      <c r="J310" s="23">
        <v>33</v>
      </c>
      <c r="K310" s="16" t="str">
        <f>VLOOKUP(I310,episodes!$A$1:$E$81,5,FALSE)</f>
        <v>The Changeling</v>
      </c>
      <c r="L310" s="16">
        <f>VLOOKUP(I310,episodes!$A$1:$D$81,3,FALSE)</f>
        <v>2</v>
      </c>
      <c r="M310" s="16">
        <f>VLOOKUP(I310,episodes!$A$1:$D$81,4,FALSE)</f>
        <v>3</v>
      </c>
      <c r="O310" s="14">
        <v>0</v>
      </c>
      <c r="P310" s="24">
        <f>LEN(E310)+LEN(K310)</f>
        <v>80</v>
      </c>
      <c r="Q310" s="24">
        <f>COUNTIFS(B:B,B309)</f>
        <v>84</v>
      </c>
      <c r="R310" s="24">
        <f>COUNTIFS(D:D,D310)</f>
        <v>20</v>
      </c>
    </row>
    <row r="311" spans="1:18" x14ac:dyDescent="0.3">
      <c r="A311" s="14">
        <v>354</v>
      </c>
      <c r="B311" s="21" t="s">
        <v>334</v>
      </c>
      <c r="C311" s="21" t="s">
        <v>68</v>
      </c>
      <c r="D311" s="1" t="s">
        <v>45</v>
      </c>
      <c r="E311" s="1" t="s">
        <v>2402</v>
      </c>
      <c r="F311" s="21" t="s">
        <v>2224</v>
      </c>
      <c r="G311" s="14">
        <v>0</v>
      </c>
      <c r="H311" s="14">
        <v>0</v>
      </c>
      <c r="I311" s="9">
        <v>203</v>
      </c>
      <c r="J311" s="23">
        <v>33</v>
      </c>
      <c r="K311" s="16" t="str">
        <f>VLOOKUP(I311,episodes!$A$1:$E$81,5,FALSE)</f>
        <v>The Changeling</v>
      </c>
      <c r="L311" s="16">
        <f>VLOOKUP(I311,episodes!$A$1:$D$81,3,FALSE)</f>
        <v>2</v>
      </c>
      <c r="M311" s="16">
        <f>VLOOKUP(I311,episodes!$A$1:$D$81,4,FALSE)</f>
        <v>3</v>
      </c>
      <c r="O311" s="14">
        <v>0</v>
      </c>
      <c r="P311" s="24">
        <f>LEN(E311)+LEN(K311)</f>
        <v>80</v>
      </c>
      <c r="Q311" s="24">
        <f>COUNTIFS(B:B,B310)</f>
        <v>84</v>
      </c>
      <c r="R311" s="24">
        <f>COUNTIFS(D:D,D311)</f>
        <v>20</v>
      </c>
    </row>
    <row r="312" spans="1:18" x14ac:dyDescent="0.3">
      <c r="A312" s="14">
        <v>264</v>
      </c>
      <c r="B312" s="21" t="s">
        <v>334</v>
      </c>
      <c r="C312" s="21" t="s">
        <v>68</v>
      </c>
      <c r="D312" s="1" t="s">
        <v>45</v>
      </c>
      <c r="E312" s="1" t="s">
        <v>773</v>
      </c>
      <c r="F312" s="21" t="s">
        <v>2224</v>
      </c>
      <c r="G312" s="14">
        <v>0</v>
      </c>
      <c r="H312" s="14">
        <v>0</v>
      </c>
      <c r="I312" s="9">
        <v>107</v>
      </c>
      <c r="J312" s="23">
        <v>8</v>
      </c>
      <c r="K312" s="16" t="str">
        <f>VLOOKUP(I312,episodes!$A$1:$E$81,5,FALSE)</f>
        <v>What Are Little Girls Made Of?</v>
      </c>
      <c r="L312" s="16">
        <f>VLOOKUP(I312,episodes!$A$1:$D$81,3,FALSE)</f>
        <v>1</v>
      </c>
      <c r="M312" s="16">
        <f>VLOOKUP(I312,episodes!$A$1:$D$81,4,FALSE)</f>
        <v>7</v>
      </c>
      <c r="O312" s="14">
        <v>0</v>
      </c>
      <c r="P312" s="24">
        <f>LEN(E312)+LEN(K312)</f>
        <v>79</v>
      </c>
      <c r="Q312" s="24">
        <f>COUNTIFS(B:B,B311)</f>
        <v>84</v>
      </c>
      <c r="R312" s="24">
        <f>COUNTIFS(D:D,D312)</f>
        <v>20</v>
      </c>
    </row>
    <row r="313" spans="1:18" x14ac:dyDescent="0.3">
      <c r="A313" s="14">
        <v>265</v>
      </c>
      <c r="B313" s="21" t="s">
        <v>334</v>
      </c>
      <c r="C313" s="21" t="s">
        <v>68</v>
      </c>
      <c r="D313" s="1" t="s">
        <v>45</v>
      </c>
      <c r="E313" s="1" t="s">
        <v>774</v>
      </c>
      <c r="F313" s="21" t="s">
        <v>2224</v>
      </c>
      <c r="G313" s="14">
        <v>0</v>
      </c>
      <c r="H313" s="14">
        <v>0</v>
      </c>
      <c r="I313" s="9">
        <v>107</v>
      </c>
      <c r="J313" s="23">
        <v>8</v>
      </c>
      <c r="K313" s="16" t="str">
        <f>VLOOKUP(I313,episodes!$A$1:$E$81,5,FALSE)</f>
        <v>What Are Little Girls Made Of?</v>
      </c>
      <c r="L313" s="16">
        <f>VLOOKUP(I313,episodes!$A$1:$D$81,3,FALSE)</f>
        <v>1</v>
      </c>
      <c r="M313" s="16">
        <f>VLOOKUP(I313,episodes!$A$1:$D$81,4,FALSE)</f>
        <v>7</v>
      </c>
      <c r="O313" s="14">
        <v>0</v>
      </c>
      <c r="P313" s="24">
        <f>LEN(E313)+LEN(K313)</f>
        <v>82</v>
      </c>
      <c r="Q313" s="24">
        <f>COUNTIFS(B:B,B312)</f>
        <v>84</v>
      </c>
      <c r="R313" s="24">
        <f>COUNTIFS(D:D,D313)</f>
        <v>20</v>
      </c>
    </row>
    <row r="314" spans="1:18" x14ac:dyDescent="0.3">
      <c r="A314" s="14">
        <v>1877</v>
      </c>
      <c r="B314" s="21" t="s">
        <v>334</v>
      </c>
      <c r="C314" s="21" t="s">
        <v>68</v>
      </c>
      <c r="D314" s="1" t="s">
        <v>146</v>
      </c>
      <c r="E314" s="1" t="s">
        <v>2866</v>
      </c>
      <c r="F314" s="21" t="s">
        <v>1862</v>
      </c>
      <c r="G314" s="14">
        <v>0</v>
      </c>
      <c r="H314" s="14">
        <v>2</v>
      </c>
      <c r="I314" s="27">
        <v>102</v>
      </c>
      <c r="J314" s="23">
        <v>3</v>
      </c>
      <c r="K314" s="16" t="str">
        <f>VLOOKUP(I314,episodes!$A$1:$E$81,5,FALSE)</f>
        <v>Charlie X</v>
      </c>
      <c r="L314" s="16">
        <f>VLOOKUP(I314,episodes!$A$1:$D$81,3,FALSE)</f>
        <v>1</v>
      </c>
      <c r="M314" s="16">
        <f>VLOOKUP(I314,episodes!$A$1:$D$81,4,FALSE)</f>
        <v>2</v>
      </c>
      <c r="O314" s="14">
        <v>0</v>
      </c>
      <c r="P314" s="24">
        <f>LEN(E314)+LEN(K314)</f>
        <v>115</v>
      </c>
      <c r="Q314" s="24">
        <f>COUNTIFS(B:B,#REF!)</f>
        <v>0</v>
      </c>
      <c r="R314" s="24">
        <f>COUNTIFS(D:D,D314)</f>
        <v>1</v>
      </c>
    </row>
    <row r="315" spans="1:18" x14ac:dyDescent="0.3">
      <c r="A315" s="14">
        <v>1918</v>
      </c>
      <c r="B315" s="21" t="s">
        <v>334</v>
      </c>
      <c r="C315" s="21" t="s">
        <v>68</v>
      </c>
      <c r="D315" s="1" t="s">
        <v>2228</v>
      </c>
      <c r="E315" s="1" t="s">
        <v>1703</v>
      </c>
      <c r="F315" s="21" t="s">
        <v>2228</v>
      </c>
      <c r="G315" s="14">
        <v>0</v>
      </c>
      <c r="H315" s="14">
        <v>0</v>
      </c>
      <c r="I315" s="27">
        <v>107</v>
      </c>
      <c r="J315" s="23">
        <v>8</v>
      </c>
      <c r="K315" s="16" t="str">
        <f>VLOOKUP(I315,episodes!$A$1:$E$81,5,FALSE)</f>
        <v>What Are Little Girls Made Of?</v>
      </c>
      <c r="L315" s="16">
        <f>VLOOKUP(I315,episodes!$A$1:$D$81,3,FALSE)</f>
        <v>1</v>
      </c>
      <c r="M315" s="16">
        <f>VLOOKUP(I315,episodes!$A$1:$D$81,4,FALSE)</f>
        <v>7</v>
      </c>
      <c r="O315" s="14">
        <v>0</v>
      </c>
      <c r="P315" s="24">
        <f>LEN(E315)+LEN(K315)</f>
        <v>133</v>
      </c>
      <c r="Q315" s="24">
        <f>COUNTIFS(B:B,B314)</f>
        <v>84</v>
      </c>
      <c r="R315" s="24">
        <f>COUNTIFS(D:D,D315)</f>
        <v>18</v>
      </c>
    </row>
    <row r="316" spans="1:18" x14ac:dyDescent="0.3">
      <c r="A316" s="14">
        <v>1941</v>
      </c>
      <c r="B316" s="21" t="s">
        <v>334</v>
      </c>
      <c r="C316" s="21" t="s">
        <v>68</v>
      </c>
      <c r="D316" s="1" t="s">
        <v>2228</v>
      </c>
      <c r="E316" s="1" t="s">
        <v>763</v>
      </c>
      <c r="F316" s="21" t="s">
        <v>2865</v>
      </c>
      <c r="G316" s="14">
        <v>0</v>
      </c>
      <c r="H316" s="14">
        <v>0</v>
      </c>
      <c r="I316" s="27">
        <v>107</v>
      </c>
      <c r="J316" s="23">
        <v>8</v>
      </c>
      <c r="K316" s="16" t="str">
        <f>VLOOKUP(I316,episodes!$A$1:$E$81,5,FALSE)</f>
        <v>What Are Little Girls Made Of?</v>
      </c>
      <c r="L316" s="16">
        <f>VLOOKUP(I316,episodes!$A$1:$D$81,3,FALSE)</f>
        <v>1</v>
      </c>
      <c r="M316" s="16">
        <f>VLOOKUP(I316,episodes!$A$1:$D$81,4,FALSE)</f>
        <v>7</v>
      </c>
      <c r="O316" s="14">
        <v>0</v>
      </c>
      <c r="P316" s="24">
        <f>LEN(E316)+LEN(K316)</f>
        <v>85</v>
      </c>
      <c r="Q316" s="24">
        <f>COUNTIFS(B:B,B315)</f>
        <v>84</v>
      </c>
      <c r="R316" s="24">
        <f>COUNTIFS(D:D,D316)</f>
        <v>18</v>
      </c>
    </row>
    <row r="317" spans="1:18" x14ac:dyDescent="0.3">
      <c r="A317" s="14">
        <v>1919</v>
      </c>
      <c r="B317" s="21" t="s">
        <v>334</v>
      </c>
      <c r="C317" s="21" t="s">
        <v>68</v>
      </c>
      <c r="D317" s="1" t="s">
        <v>2228</v>
      </c>
      <c r="E317" s="1" t="s">
        <v>1169</v>
      </c>
      <c r="F317" s="21" t="s">
        <v>2228</v>
      </c>
      <c r="G317" s="14">
        <v>0</v>
      </c>
      <c r="H317" s="14">
        <v>0</v>
      </c>
      <c r="I317" s="27">
        <v>107</v>
      </c>
      <c r="J317" s="23">
        <v>8</v>
      </c>
      <c r="K317" s="16" t="str">
        <f>VLOOKUP(I317,episodes!$A$1:$E$81,5,FALSE)</f>
        <v>What Are Little Girls Made Of?</v>
      </c>
      <c r="L317" s="16">
        <f>VLOOKUP(I317,episodes!$A$1:$D$81,3,FALSE)</f>
        <v>1</v>
      </c>
      <c r="M317" s="16">
        <f>VLOOKUP(I317,episodes!$A$1:$D$81,4,FALSE)</f>
        <v>7</v>
      </c>
      <c r="O317" s="14">
        <v>0</v>
      </c>
      <c r="P317" s="24">
        <f>LEN(E317)+LEN(K317)</f>
        <v>82</v>
      </c>
      <c r="Q317" s="24">
        <f>COUNTIFS(B:B,B316)</f>
        <v>84</v>
      </c>
      <c r="R317" s="24">
        <f>COUNTIFS(D:D,D317)</f>
        <v>18</v>
      </c>
    </row>
    <row r="318" spans="1:18" x14ac:dyDescent="0.3">
      <c r="A318" s="14">
        <v>2930</v>
      </c>
      <c r="B318" s="21" t="s">
        <v>334</v>
      </c>
      <c r="C318" s="21" t="s">
        <v>68</v>
      </c>
      <c r="D318" s="21" t="s">
        <v>2228</v>
      </c>
      <c r="E318" s="1" t="s">
        <v>2696</v>
      </c>
      <c r="F318" s="21" t="s">
        <v>4</v>
      </c>
      <c r="G318" s="14">
        <v>1</v>
      </c>
      <c r="H318" s="14">
        <v>0</v>
      </c>
      <c r="I318" s="22">
        <v>203</v>
      </c>
      <c r="J318" s="23">
        <f>VLOOKUP(I318,episodes!$A$1:$B$76,2,FALSE)</f>
        <v>33</v>
      </c>
      <c r="K318" s="16" t="str">
        <f>VLOOKUP(I318,episodes!$A$1:$E$81,5,FALSE)</f>
        <v>The Changeling</v>
      </c>
      <c r="L318" s="16">
        <f>VLOOKUP(I318,episodes!$A$1:$D$81,3,FALSE)</f>
        <v>2</v>
      </c>
      <c r="M318" s="16">
        <f>VLOOKUP(I318,episodes!$A$1:$D$81,4,FALSE)</f>
        <v>3</v>
      </c>
      <c r="O318" s="14">
        <v>0</v>
      </c>
      <c r="P318" s="24">
        <f>LEN(E318)+LEN(K318)</f>
        <v>85</v>
      </c>
      <c r="Q318" s="24"/>
      <c r="R318" s="24">
        <f>COUNTIFS(D:D,D318)</f>
        <v>18</v>
      </c>
    </row>
    <row r="319" spans="1:18" x14ac:dyDescent="0.3">
      <c r="A319" s="14">
        <v>1920</v>
      </c>
      <c r="B319" s="21" t="s">
        <v>334</v>
      </c>
      <c r="C319" s="21" t="s">
        <v>68</v>
      </c>
      <c r="D319" s="1" t="s">
        <v>2228</v>
      </c>
      <c r="E319" s="1" t="s">
        <v>1170</v>
      </c>
      <c r="F319" s="21" t="s">
        <v>2228</v>
      </c>
      <c r="G319" s="14">
        <v>0</v>
      </c>
      <c r="H319" s="14">
        <v>0</v>
      </c>
      <c r="I319" s="25">
        <v>107</v>
      </c>
      <c r="J319" s="23">
        <v>8</v>
      </c>
      <c r="K319" s="16" t="str">
        <f>VLOOKUP(I319,episodes!$A$1:$E$81,5,FALSE)</f>
        <v>What Are Little Girls Made Of?</v>
      </c>
      <c r="L319" s="16">
        <f>VLOOKUP(I319,episodes!$A$1:$D$81,3,FALSE)</f>
        <v>1</v>
      </c>
      <c r="M319" s="16">
        <f>VLOOKUP(I319,episodes!$A$1:$D$81,4,FALSE)</f>
        <v>7</v>
      </c>
      <c r="O319" s="14">
        <v>0</v>
      </c>
      <c r="P319" s="24">
        <f>LEN(E319)+LEN(K319)</f>
        <v>69</v>
      </c>
      <c r="Q319" s="24">
        <f>COUNTIFS(B:B,B318)</f>
        <v>84</v>
      </c>
      <c r="R319" s="24">
        <f>COUNTIFS(D:D,D319)</f>
        <v>18</v>
      </c>
    </row>
    <row r="320" spans="1:18" x14ac:dyDescent="0.3">
      <c r="A320" s="14">
        <v>1945</v>
      </c>
      <c r="B320" s="21" t="s">
        <v>334</v>
      </c>
      <c r="C320" s="21" t="s">
        <v>68</v>
      </c>
      <c r="D320" s="1" t="s">
        <v>1867</v>
      </c>
      <c r="E320" s="1" t="s">
        <v>1787</v>
      </c>
      <c r="F320" s="21" t="s">
        <v>1867</v>
      </c>
      <c r="G320" s="14">
        <v>0</v>
      </c>
      <c r="H320" s="14">
        <v>0</v>
      </c>
      <c r="I320" s="9">
        <v>114</v>
      </c>
      <c r="J320" s="23">
        <v>15</v>
      </c>
      <c r="K320" s="16" t="str">
        <f>VLOOKUP(I320,episodes!$A$1:$E$81,5,FALSE)</f>
        <v>Balance of Terror</v>
      </c>
      <c r="L320" s="16">
        <f>VLOOKUP(I320,episodes!$A$1:$D$81,3,FALSE)</f>
        <v>1</v>
      </c>
      <c r="M320" s="16">
        <f>VLOOKUP(I320,episodes!$A$1:$D$81,4,FALSE)</f>
        <v>14</v>
      </c>
      <c r="O320" s="14">
        <v>0</v>
      </c>
      <c r="P320" s="24">
        <f>LEN(E320)+LEN(K320)</f>
        <v>90</v>
      </c>
      <c r="Q320" s="24">
        <f>COUNTIFS(B:B,B319)</f>
        <v>84</v>
      </c>
      <c r="R320" s="24">
        <f>COUNTIFS(D:D,D320)</f>
        <v>4</v>
      </c>
    </row>
    <row r="321" spans="1:18" x14ac:dyDescent="0.3">
      <c r="A321" s="14">
        <v>1946</v>
      </c>
      <c r="B321" s="21" t="s">
        <v>334</v>
      </c>
      <c r="C321" s="21" t="s">
        <v>68</v>
      </c>
      <c r="D321" s="1" t="s">
        <v>1867</v>
      </c>
      <c r="E321" s="1" t="s">
        <v>1781</v>
      </c>
      <c r="F321" s="21" t="s">
        <v>1867</v>
      </c>
      <c r="G321" s="14">
        <v>0</v>
      </c>
      <c r="H321" s="14">
        <v>0</v>
      </c>
      <c r="I321" s="25">
        <v>114</v>
      </c>
      <c r="J321" s="23">
        <v>15</v>
      </c>
      <c r="K321" s="16" t="str">
        <f>VLOOKUP(I321,episodes!$A$1:$E$81,5,FALSE)</f>
        <v>Balance of Terror</v>
      </c>
      <c r="L321" s="16">
        <f>VLOOKUP(I321,episodes!$A$1:$D$81,3,FALSE)</f>
        <v>1</v>
      </c>
      <c r="M321" s="16">
        <f>VLOOKUP(I321,episodes!$A$1:$D$81,4,FALSE)</f>
        <v>14</v>
      </c>
      <c r="O321" s="14">
        <v>0</v>
      </c>
      <c r="P321" s="24">
        <f>LEN(E321)+LEN(K321)</f>
        <v>80</v>
      </c>
      <c r="Q321" s="24">
        <f>COUNTIFS(B:B,B320)</f>
        <v>84</v>
      </c>
      <c r="R321" s="24">
        <f>COUNTIFS(D:D,D321)</f>
        <v>4</v>
      </c>
    </row>
    <row r="322" spans="1:18" x14ac:dyDescent="0.3">
      <c r="A322" s="14">
        <v>1947</v>
      </c>
      <c r="B322" s="21" t="s">
        <v>334</v>
      </c>
      <c r="C322" s="21" t="s">
        <v>68</v>
      </c>
      <c r="D322" s="1" t="s">
        <v>1867</v>
      </c>
      <c r="E322" s="1" t="s">
        <v>597</v>
      </c>
      <c r="F322" s="21" t="s">
        <v>1867</v>
      </c>
      <c r="G322" s="14">
        <v>0</v>
      </c>
      <c r="H322" s="14">
        <v>0</v>
      </c>
      <c r="I322" s="25">
        <v>114</v>
      </c>
      <c r="J322" s="23">
        <v>15</v>
      </c>
      <c r="K322" s="16" t="str">
        <f>VLOOKUP(I322,episodes!$A$1:$E$81,5,FALSE)</f>
        <v>Balance of Terror</v>
      </c>
      <c r="L322" s="16">
        <f>VLOOKUP(I322,episodes!$A$1:$D$81,3,FALSE)</f>
        <v>1</v>
      </c>
      <c r="M322" s="16">
        <f>VLOOKUP(I322,episodes!$A$1:$D$81,4,FALSE)</f>
        <v>14</v>
      </c>
      <c r="O322" s="14">
        <v>0</v>
      </c>
      <c r="P322" s="24">
        <f>LEN(E322)+LEN(K322)</f>
        <v>89</v>
      </c>
      <c r="Q322" s="24">
        <f>COUNTIFS(B:B,B321)</f>
        <v>84</v>
      </c>
      <c r="R322" s="24">
        <f>COUNTIFS(D:D,D322)</f>
        <v>4</v>
      </c>
    </row>
    <row r="323" spans="1:18" x14ac:dyDescent="0.3">
      <c r="A323" s="14">
        <v>2859</v>
      </c>
      <c r="B323" s="21" t="s">
        <v>268</v>
      </c>
      <c r="C323" s="21" t="s">
        <v>153</v>
      </c>
      <c r="D323" s="21" t="s">
        <v>153</v>
      </c>
      <c r="E323" s="1" t="s">
        <v>883</v>
      </c>
      <c r="F323" s="21" t="s">
        <v>2225</v>
      </c>
      <c r="G323" s="14">
        <v>0</v>
      </c>
      <c r="H323" s="14">
        <v>0</v>
      </c>
      <c r="I323" s="14">
        <v>219</v>
      </c>
      <c r="J323" s="23">
        <f>VLOOKUP(I323,episodes!$A$1:$B$81,2,FALSE)</f>
        <v>49</v>
      </c>
      <c r="K323" s="16" t="str">
        <f>VLOOKUP(I323,episodes!$A$1:$E$81,5,FALSE)</f>
        <v>A Private Little War</v>
      </c>
      <c r="L323" s="16">
        <f>VLOOKUP(I323,episodes!$A$1:$D$81,3,FALSE)</f>
        <v>2</v>
      </c>
      <c r="M323" s="16">
        <f>VLOOKUP(I323,episodes!$A$1:$D$81,4,FALSE)</f>
        <v>19</v>
      </c>
      <c r="O323" s="14">
        <v>0</v>
      </c>
      <c r="P323" s="24">
        <f>LEN(E323)+LEN(K323)</f>
        <v>96</v>
      </c>
      <c r="Q323" s="24">
        <f>COUNTIFS(B:B,B325)</f>
        <v>8</v>
      </c>
      <c r="R323" s="24">
        <f>COUNTIFS(D:D,D326)</f>
        <v>7</v>
      </c>
    </row>
    <row r="324" spans="1:18" x14ac:dyDescent="0.3">
      <c r="A324" s="14">
        <v>2023</v>
      </c>
      <c r="B324" s="21" t="s">
        <v>273</v>
      </c>
      <c r="C324" s="21" t="s">
        <v>153</v>
      </c>
      <c r="D324" s="21" t="s">
        <v>153</v>
      </c>
      <c r="E324" s="1" t="s">
        <v>1580</v>
      </c>
      <c r="F324" s="21" t="s">
        <v>5</v>
      </c>
      <c r="G324" s="14">
        <v>1</v>
      </c>
      <c r="H324" s="14">
        <v>0</v>
      </c>
      <c r="I324" s="22">
        <v>115</v>
      </c>
      <c r="J324" s="23">
        <f>VLOOKUP(I324,episodes!$A$1:$B$76,2,FALSE)</f>
        <v>16</v>
      </c>
      <c r="K324" s="16" t="str">
        <f>VLOOKUP(I324,episodes!$A$1:$E$81,5,FALSE)</f>
        <v>Shore Leave</v>
      </c>
      <c r="L324" s="16">
        <f>VLOOKUP(I324,episodes!$A$1:$D$81,3,FALSE)</f>
        <v>1</v>
      </c>
      <c r="M324" s="16">
        <f>VLOOKUP(I324,episodes!$A$1:$D$81,4,FALSE)</f>
        <v>15</v>
      </c>
      <c r="O324" s="14">
        <v>0</v>
      </c>
      <c r="P324" s="24">
        <f>LEN(E324)+LEN(K324)</f>
        <v>113</v>
      </c>
      <c r="Q324" s="24">
        <f>COUNTIFS(B:B,B323)</f>
        <v>10</v>
      </c>
      <c r="R324" s="24">
        <f>COUNTIFS(D:D,D324)</f>
        <v>7</v>
      </c>
    </row>
    <row r="325" spans="1:18" x14ac:dyDescent="0.3">
      <c r="A325" s="14">
        <v>2024</v>
      </c>
      <c r="B325" s="21" t="s">
        <v>273</v>
      </c>
      <c r="C325" s="21" t="s">
        <v>153</v>
      </c>
      <c r="D325" s="21" t="s">
        <v>153</v>
      </c>
      <c r="E325" s="1" t="s">
        <v>1819</v>
      </c>
      <c r="F325" s="21" t="s">
        <v>5</v>
      </c>
      <c r="G325" s="14">
        <v>1</v>
      </c>
      <c r="H325" s="14">
        <v>0</v>
      </c>
      <c r="I325" s="22">
        <v>116</v>
      </c>
      <c r="J325" s="23">
        <f>VLOOKUP(I325,episodes!$A$1:$B$76,2,FALSE)</f>
        <v>17</v>
      </c>
      <c r="K325" s="16" t="str">
        <f>VLOOKUP(I325,episodes!$A$1:$E$81,5,FALSE)</f>
        <v>The Galileo Seven</v>
      </c>
      <c r="L325" s="16">
        <f>VLOOKUP(I325,episodes!$A$1:$D$81,3,FALSE)</f>
        <v>1</v>
      </c>
      <c r="M325" s="16">
        <f>VLOOKUP(I325,episodes!$A$1:$D$81,4,FALSE)</f>
        <v>16</v>
      </c>
      <c r="O325" s="14">
        <v>0</v>
      </c>
      <c r="P325" s="24">
        <f>LEN(E325)+LEN(K325)</f>
        <v>85</v>
      </c>
      <c r="Q325" s="24">
        <f>COUNTIFS(B:B,B324)</f>
        <v>8</v>
      </c>
      <c r="R325" s="24">
        <f>COUNTIFS(D:D,D325)</f>
        <v>7</v>
      </c>
    </row>
    <row r="326" spans="1:18" x14ac:dyDescent="0.3">
      <c r="A326" s="14">
        <v>423</v>
      </c>
      <c r="B326" s="21" t="s">
        <v>268</v>
      </c>
      <c r="C326" s="21" t="s">
        <v>153</v>
      </c>
      <c r="D326" s="21" t="s">
        <v>153</v>
      </c>
      <c r="E326" s="1" t="s">
        <v>404</v>
      </c>
      <c r="F326" s="21" t="s">
        <v>2283</v>
      </c>
      <c r="G326" s="14">
        <v>0</v>
      </c>
      <c r="H326" s="14">
        <v>0</v>
      </c>
      <c r="I326" s="25">
        <v>122</v>
      </c>
      <c r="J326" s="23">
        <f>VLOOKUP(I326,episodes!$A$1:$B$76,2,FALSE)</f>
        <v>23</v>
      </c>
      <c r="K326" s="16" t="str">
        <f>VLOOKUP(I326,episodes!$A$1:$E$81,5,FALSE)</f>
        <v>Space Seed</v>
      </c>
      <c r="L326" s="16">
        <f>VLOOKUP(I326,episodes!$A$1:$D$81,3,FALSE)</f>
        <v>1</v>
      </c>
      <c r="M326" s="16">
        <f>VLOOKUP(I326,episodes!$A$1:$D$81,4,FALSE)</f>
        <v>22</v>
      </c>
      <c r="O326" s="14">
        <v>0</v>
      </c>
      <c r="P326" s="24">
        <f>LEN(E326)+LEN(K326)</f>
        <v>49</v>
      </c>
      <c r="Q326" s="24">
        <f>COUNTIFS(B:B,B325)</f>
        <v>8</v>
      </c>
      <c r="R326" s="24">
        <f>COUNTIFS(D:D,D326)</f>
        <v>7</v>
      </c>
    </row>
    <row r="327" spans="1:18" x14ac:dyDescent="0.3">
      <c r="A327" s="14">
        <v>1217</v>
      </c>
      <c r="B327" s="21" t="s">
        <v>273</v>
      </c>
      <c r="C327" s="21" t="s">
        <v>153</v>
      </c>
      <c r="D327" s="21" t="s">
        <v>153</v>
      </c>
      <c r="E327" s="1" t="s">
        <v>2044</v>
      </c>
      <c r="F327" s="21" t="s">
        <v>4</v>
      </c>
      <c r="G327" s="14">
        <v>1</v>
      </c>
      <c r="H327" s="14">
        <v>0</v>
      </c>
      <c r="I327" s="22">
        <v>117</v>
      </c>
      <c r="J327" s="23">
        <f>VLOOKUP(I327,episodes!$A$1:$B$76,2,FALSE)</f>
        <v>18</v>
      </c>
      <c r="K327" s="16" t="str">
        <f>VLOOKUP(I327,episodes!$A$1:$E$81,5,FALSE)</f>
        <v>The Squire of Gothos</v>
      </c>
      <c r="L327" s="16">
        <f>VLOOKUP(I327,episodes!$A$1:$D$81,3,FALSE)</f>
        <v>1</v>
      </c>
      <c r="M327" s="16">
        <f>VLOOKUP(I327,episodes!$A$1:$D$81,4,FALSE)</f>
        <v>17</v>
      </c>
      <c r="O327" s="14">
        <v>0</v>
      </c>
      <c r="P327" s="24">
        <f>LEN(E327)+LEN(K327)</f>
        <v>440</v>
      </c>
      <c r="Q327" s="24">
        <f>COUNTIFS(B:B,B326)</f>
        <v>10</v>
      </c>
      <c r="R327" s="24">
        <f>COUNTIFS(D:D,D327)</f>
        <v>7</v>
      </c>
    </row>
    <row r="328" spans="1:18" x14ac:dyDescent="0.3">
      <c r="A328" s="14">
        <v>1473</v>
      </c>
      <c r="B328" s="21" t="s">
        <v>268</v>
      </c>
      <c r="C328" s="21" t="s">
        <v>153</v>
      </c>
      <c r="D328" s="21" t="s">
        <v>153</v>
      </c>
      <c r="E328" s="1" t="s">
        <v>391</v>
      </c>
      <c r="F328" s="21" t="s">
        <v>2282</v>
      </c>
      <c r="G328" s="14">
        <v>0</v>
      </c>
      <c r="H328" s="14">
        <v>0</v>
      </c>
      <c r="I328" s="25">
        <v>114</v>
      </c>
      <c r="J328" s="23">
        <f>VLOOKUP(I328,episodes!$A$1:$B$76,2,FALSE)</f>
        <v>15</v>
      </c>
      <c r="K328" s="16" t="str">
        <f>VLOOKUP(I328,episodes!$A$1:$E$81,5,FALSE)</f>
        <v>Balance of Terror</v>
      </c>
      <c r="L328" s="16">
        <f>VLOOKUP(I328,episodes!$A$1:$D$81,3,FALSE)</f>
        <v>1</v>
      </c>
      <c r="M328" s="16">
        <f>VLOOKUP(I328,episodes!$A$1:$D$81,4,FALSE)</f>
        <v>14</v>
      </c>
      <c r="O328" s="14">
        <v>0</v>
      </c>
      <c r="P328" s="24">
        <f>LEN(E328)+LEN(K328)</f>
        <v>75</v>
      </c>
      <c r="Q328" s="24">
        <f>COUNTIFS(B:B,B327)</f>
        <v>8</v>
      </c>
      <c r="R328" s="24">
        <f>COUNTIFS(D:D,D328)</f>
        <v>7</v>
      </c>
    </row>
    <row r="329" spans="1:18" x14ac:dyDescent="0.3">
      <c r="A329" s="14">
        <v>2025</v>
      </c>
      <c r="B329" s="21" t="s">
        <v>273</v>
      </c>
      <c r="C329" s="21" t="s">
        <v>153</v>
      </c>
      <c r="D329" s="21" t="s">
        <v>153</v>
      </c>
      <c r="E329" s="1" t="s">
        <v>1581</v>
      </c>
      <c r="F329" s="21" t="s">
        <v>5</v>
      </c>
      <c r="G329" s="14">
        <v>1</v>
      </c>
      <c r="H329" s="14">
        <v>0</v>
      </c>
      <c r="I329" s="22">
        <v>121</v>
      </c>
      <c r="J329" s="23">
        <f>VLOOKUP(I329,episodes!$A$1:$B$76,2,FALSE)</f>
        <v>22</v>
      </c>
      <c r="K329" s="16" t="str">
        <f>VLOOKUP(I329,episodes!$A$1:$E$81,5,FALSE)</f>
        <v>The Return of the Archons</v>
      </c>
      <c r="L329" s="16">
        <f>VLOOKUP(I329,episodes!$A$1:$D$81,3,FALSE)</f>
        <v>1</v>
      </c>
      <c r="M329" s="16">
        <f>VLOOKUP(I329,episodes!$A$1:$D$81,4,FALSE)</f>
        <v>21</v>
      </c>
      <c r="O329" s="14">
        <v>0</v>
      </c>
      <c r="P329" s="24">
        <f>LEN(E329)+LEN(K329)</f>
        <v>45</v>
      </c>
      <c r="Q329" s="24">
        <f>COUNTIFS(B:B,#REF!)</f>
        <v>0</v>
      </c>
      <c r="R329" s="24">
        <f>COUNTIFS(D:D,D329)</f>
        <v>7</v>
      </c>
    </row>
    <row r="330" spans="1:18" x14ac:dyDescent="0.3">
      <c r="A330" s="14">
        <v>37</v>
      </c>
      <c r="B330" s="21" t="s">
        <v>268</v>
      </c>
      <c r="C330" s="21" t="s">
        <v>153</v>
      </c>
      <c r="E330" s="1" t="s">
        <v>431</v>
      </c>
      <c r="F330" s="21" t="s">
        <v>2</v>
      </c>
      <c r="G330" s="14">
        <v>0</v>
      </c>
      <c r="H330" s="14">
        <v>0</v>
      </c>
      <c r="I330" s="14">
        <v>202</v>
      </c>
      <c r="J330" s="23">
        <f>VLOOKUP(I330,episodes!$A$1:$B$76,2,FALSE)</f>
        <v>32</v>
      </c>
      <c r="K330" s="16" t="str">
        <f>VLOOKUP(I330,episodes!$A$1:$E$81,5,FALSE)</f>
        <v>Who Mourns for Adonais?</v>
      </c>
      <c r="L330" s="16">
        <f>VLOOKUP(I330,episodes!$A$1:$D$81,3,FALSE)</f>
        <v>2</v>
      </c>
      <c r="M330" s="16">
        <f>VLOOKUP(I330,episodes!$A$1:$D$81,4,FALSE)</f>
        <v>2</v>
      </c>
      <c r="O330" s="14">
        <v>0</v>
      </c>
      <c r="P330" s="24">
        <f>LEN(E330)+LEN(K330)</f>
        <v>67</v>
      </c>
      <c r="Q330" s="24">
        <f>COUNTIFS(B:B,B329)</f>
        <v>8</v>
      </c>
      <c r="R330" s="24">
        <f>COUNTIFS(D:D,C330)</f>
        <v>7</v>
      </c>
    </row>
    <row r="331" spans="1:18" x14ac:dyDescent="0.3">
      <c r="A331" s="14">
        <v>71</v>
      </c>
      <c r="B331" s="21" t="s">
        <v>268</v>
      </c>
      <c r="C331" s="21" t="s">
        <v>153</v>
      </c>
      <c r="E331" s="1" t="s">
        <v>2041</v>
      </c>
      <c r="F331" s="21" t="s">
        <v>2</v>
      </c>
      <c r="G331" s="14">
        <v>0</v>
      </c>
      <c r="H331" s="14">
        <v>0</v>
      </c>
      <c r="I331" s="14">
        <v>315</v>
      </c>
      <c r="J331" s="23">
        <f>VLOOKUP(I331,episodes!$A$1:$B$81,2,FALSE)</f>
        <v>71</v>
      </c>
      <c r="K331" s="16" t="str">
        <f>VLOOKUP(I331,episodes!$A$1:$E$81,5,FALSE)</f>
        <v>Let That Be Your Last Battlefield</v>
      </c>
      <c r="L331" s="16">
        <f>VLOOKUP(I331,episodes!$A$1:$D$81,3,FALSE)</f>
        <v>3</v>
      </c>
      <c r="M331" s="16">
        <f>VLOOKUP(I331,episodes!$A$1:$D$81,4,FALSE)</f>
        <v>15</v>
      </c>
      <c r="O331" s="14">
        <v>0</v>
      </c>
      <c r="P331" s="24">
        <f>LEN(E331)+LEN(K331)</f>
        <v>89</v>
      </c>
      <c r="Q331" s="24">
        <f>COUNTIFS(B:B,B333)</f>
        <v>8</v>
      </c>
      <c r="R331" s="24">
        <f>COUNTIFS(D:D,D334)</f>
        <v>0</v>
      </c>
    </row>
    <row r="332" spans="1:18" x14ac:dyDescent="0.3">
      <c r="A332" s="14">
        <v>329</v>
      </c>
      <c r="B332" s="21" t="s">
        <v>268</v>
      </c>
      <c r="C332" s="21" t="s">
        <v>153</v>
      </c>
      <c r="E332" s="1" t="s">
        <v>415</v>
      </c>
      <c r="F332" s="21" t="s">
        <v>2224</v>
      </c>
      <c r="G332" s="14">
        <v>0</v>
      </c>
      <c r="H332" s="14">
        <v>0</v>
      </c>
      <c r="I332" s="22">
        <v>127</v>
      </c>
      <c r="J332" s="23">
        <f>VLOOKUP(I332,episodes!$A$1:$B$76,2,FALSE)</f>
        <v>28</v>
      </c>
      <c r="K332" s="16" t="str">
        <f>VLOOKUP(I332,episodes!$A$1:$E$81,5,FALSE)</f>
        <v>The Alternative Factor</v>
      </c>
      <c r="L332" s="16">
        <f>VLOOKUP(I332,episodes!$A$1:$D$81,3,FALSE)</f>
        <v>1</v>
      </c>
      <c r="M332" s="16">
        <f>VLOOKUP(I332,episodes!$A$1:$D$81,4,FALSE)</f>
        <v>27</v>
      </c>
      <c r="O332" s="14">
        <v>0</v>
      </c>
      <c r="P332" s="24">
        <f>LEN(E332)+LEN(K332)</f>
        <v>91</v>
      </c>
      <c r="Q332" s="24">
        <f>COUNTIFS(B:B,B331)</f>
        <v>10</v>
      </c>
      <c r="R332" s="24">
        <f>COUNTIFS(D:D,C332)</f>
        <v>7</v>
      </c>
    </row>
    <row r="333" spans="1:18" x14ac:dyDescent="0.3">
      <c r="A333" s="14">
        <v>1258</v>
      </c>
      <c r="B333" s="21" t="s">
        <v>273</v>
      </c>
      <c r="C333" s="21" t="s">
        <v>153</v>
      </c>
      <c r="E333" s="1" t="s">
        <v>2045</v>
      </c>
      <c r="F333" s="21" t="s">
        <v>4</v>
      </c>
      <c r="G333" s="14">
        <v>1</v>
      </c>
      <c r="H333" s="14">
        <v>0</v>
      </c>
      <c r="I333" s="22">
        <v>125</v>
      </c>
      <c r="J333" s="23">
        <f>VLOOKUP(I333,episodes!$A$1:$B$76,2,FALSE)</f>
        <v>26</v>
      </c>
      <c r="K333" s="16" t="str">
        <f>VLOOKUP(I333,episodes!$A$1:$E$81,5,FALSE)</f>
        <v>The Devil in the Dark</v>
      </c>
      <c r="L333" s="16">
        <f>VLOOKUP(I333,episodes!$A$1:$D$81,3,FALSE)</f>
        <v>1</v>
      </c>
      <c r="M333" s="16">
        <f>VLOOKUP(I333,episodes!$A$1:$D$81,4,FALSE)</f>
        <v>25</v>
      </c>
      <c r="O333" s="14">
        <v>0</v>
      </c>
      <c r="P333" s="24">
        <f>LEN(E333)+LEN(K333)</f>
        <v>79</v>
      </c>
      <c r="Q333" s="24">
        <f>COUNTIFS(B:B,B330)</f>
        <v>10</v>
      </c>
      <c r="R333" s="24">
        <f>COUNTIFS(D:D,C333)</f>
        <v>7</v>
      </c>
    </row>
    <row r="334" spans="1:18" x14ac:dyDescent="0.3">
      <c r="A334" s="14">
        <v>1175</v>
      </c>
      <c r="B334" s="21" t="s">
        <v>268</v>
      </c>
      <c r="C334" s="21" t="s">
        <v>153</v>
      </c>
      <c r="E334" s="1" t="s">
        <v>2042</v>
      </c>
      <c r="F334" s="21" t="s">
        <v>4</v>
      </c>
      <c r="G334" s="14">
        <v>1</v>
      </c>
      <c r="H334" s="14">
        <v>0</v>
      </c>
      <c r="I334" s="14">
        <v>319</v>
      </c>
      <c r="J334" s="23">
        <f>VLOOKUP(I334,episodes!$A$1:$B$81,2,FALSE)</f>
        <v>75</v>
      </c>
      <c r="K334" s="16" t="str">
        <f>VLOOKUP(I334,episodes!$A$1:$E$81,5,FALSE)</f>
        <v>Requiem for Methuselah</v>
      </c>
      <c r="L334" s="16">
        <f>VLOOKUP(I334,episodes!$A$1:$D$81,3,FALSE)</f>
        <v>3</v>
      </c>
      <c r="M334" s="16">
        <f>VLOOKUP(I334,episodes!$A$1:$D$81,4,FALSE)</f>
        <v>19</v>
      </c>
      <c r="O334" s="14">
        <v>0</v>
      </c>
      <c r="P334" s="24">
        <f>LEN(E334)+LEN(K334)</f>
        <v>93</v>
      </c>
      <c r="Q334" s="24">
        <f>COUNTIFS(B:B,B336)</f>
        <v>8</v>
      </c>
      <c r="R334" s="24">
        <f>COUNTIFS(D:D,D337)</f>
        <v>0</v>
      </c>
    </row>
    <row r="335" spans="1:18" x14ac:dyDescent="0.3">
      <c r="A335" s="14">
        <v>999</v>
      </c>
      <c r="B335" s="21" t="s">
        <v>268</v>
      </c>
      <c r="C335" s="21" t="s">
        <v>153</v>
      </c>
      <c r="E335" s="1" t="s">
        <v>417</v>
      </c>
      <c r="F335" s="21" t="s">
        <v>4</v>
      </c>
      <c r="G335" s="14">
        <v>1</v>
      </c>
      <c r="H335" s="14">
        <v>0</v>
      </c>
      <c r="I335" s="26">
        <v>128</v>
      </c>
      <c r="J335" s="23">
        <f>VLOOKUP(I335,episodes!$A$1:$B$76,2,FALSE)</f>
        <v>29</v>
      </c>
      <c r="K335" s="16" t="str">
        <f>VLOOKUP(I335,episodes!$A$1:$E$81,5,FALSE)</f>
        <v>The City on the Edge of Forever</v>
      </c>
      <c r="L335" s="16">
        <f>VLOOKUP(I335,episodes!$A$1:$D$81,3,FALSE)</f>
        <v>1</v>
      </c>
      <c r="M335" s="16">
        <f>VLOOKUP(I335,episodes!$A$1:$D$81,4,FALSE)</f>
        <v>28</v>
      </c>
      <c r="O335" s="14">
        <v>0</v>
      </c>
      <c r="P335" s="24">
        <f>LEN(E335)+LEN(K335)</f>
        <v>83</v>
      </c>
      <c r="Q335" s="24">
        <f>COUNTIFS(B:B,#REF!)</f>
        <v>0</v>
      </c>
      <c r="R335" s="24">
        <f>COUNTIFS(D:D,C335)</f>
        <v>7</v>
      </c>
    </row>
    <row r="336" spans="1:18" x14ac:dyDescent="0.3">
      <c r="A336" s="14">
        <v>531</v>
      </c>
      <c r="B336" s="21" t="s">
        <v>273</v>
      </c>
      <c r="C336" s="21" t="s">
        <v>153</v>
      </c>
      <c r="E336" s="1" t="s">
        <v>1395</v>
      </c>
      <c r="F336" s="21" t="s">
        <v>4</v>
      </c>
      <c r="G336" s="14">
        <v>1</v>
      </c>
      <c r="H336" s="14">
        <v>0</v>
      </c>
      <c r="I336" s="22">
        <v>203</v>
      </c>
      <c r="J336" s="23">
        <f>VLOOKUP(I336,episodes!$A$1:$B$76,2,FALSE)</f>
        <v>33</v>
      </c>
      <c r="K336" s="16" t="str">
        <f>VLOOKUP(I336,episodes!$A$1:$E$81,5,FALSE)</f>
        <v>The Changeling</v>
      </c>
      <c r="L336" s="16">
        <f>VLOOKUP(I336,episodes!$A$1:$D$81,3,FALSE)</f>
        <v>2</v>
      </c>
      <c r="M336" s="16">
        <f>VLOOKUP(I336,episodes!$A$1:$D$81,4,FALSE)</f>
        <v>3</v>
      </c>
      <c r="O336" s="14">
        <v>0</v>
      </c>
      <c r="P336" s="24">
        <f>LEN(E336)+LEN(K336)</f>
        <v>107</v>
      </c>
      <c r="Q336" s="24">
        <f>COUNTIFS(B:B,#REF!)</f>
        <v>0</v>
      </c>
      <c r="R336" s="24">
        <f>COUNTIFS(D:D,C336)</f>
        <v>7</v>
      </c>
    </row>
    <row r="337" spans="1:18" x14ac:dyDescent="0.3">
      <c r="A337" s="14">
        <v>1282</v>
      </c>
      <c r="B337" s="21" t="s">
        <v>273</v>
      </c>
      <c r="C337" s="21" t="s">
        <v>153</v>
      </c>
      <c r="E337" s="1" t="s">
        <v>1034</v>
      </c>
      <c r="F337" s="21" t="s">
        <v>4</v>
      </c>
      <c r="G337" s="14">
        <v>1</v>
      </c>
      <c r="H337" s="14">
        <v>0</v>
      </c>
      <c r="I337" s="22">
        <v>208</v>
      </c>
      <c r="J337" s="23">
        <f>VLOOKUP(I337,episodes!$A$1:$B$81,2,FALSE)</f>
        <v>38</v>
      </c>
      <c r="K337" s="16" t="str">
        <f>VLOOKUP(I337,episodes!$A$1:$E$81,5,FALSE)</f>
        <v>I, Mudd</v>
      </c>
      <c r="L337" s="16">
        <f>VLOOKUP(I337,episodes!$A$1:$D$81,3,FALSE)</f>
        <v>2</v>
      </c>
      <c r="M337" s="16">
        <f>VLOOKUP(I337,episodes!$A$1:$D$81,4,FALSE)</f>
        <v>8</v>
      </c>
      <c r="O337" s="14">
        <v>0</v>
      </c>
      <c r="P337" s="24">
        <f>LEN(E337)+LEN(K337)</f>
        <v>109</v>
      </c>
      <c r="Q337" s="24"/>
      <c r="R337" s="24"/>
    </row>
    <row r="338" spans="1:18" x14ac:dyDescent="0.3">
      <c r="A338" s="14">
        <v>1259</v>
      </c>
      <c r="B338" s="21" t="s">
        <v>273</v>
      </c>
      <c r="C338" s="21" t="s">
        <v>153</v>
      </c>
      <c r="E338" s="1" t="s">
        <v>2404</v>
      </c>
      <c r="F338" s="21" t="s">
        <v>5</v>
      </c>
      <c r="G338" s="14">
        <v>1</v>
      </c>
      <c r="H338" s="14">
        <v>0</v>
      </c>
      <c r="I338" s="22">
        <v>125</v>
      </c>
      <c r="J338" s="23">
        <f>VLOOKUP(I338,episodes!$A$1:$B$76,2,FALSE)</f>
        <v>26</v>
      </c>
      <c r="K338" s="16" t="str">
        <f>VLOOKUP(I338,episodes!$A$1:$E$81,5,FALSE)</f>
        <v>The Devil in the Dark</v>
      </c>
      <c r="L338" s="16">
        <f>VLOOKUP(I338,episodes!$A$1:$D$81,3,FALSE)</f>
        <v>1</v>
      </c>
      <c r="M338" s="16">
        <f>VLOOKUP(I338,episodes!$A$1:$D$81,4,FALSE)</f>
        <v>25</v>
      </c>
      <c r="O338" s="14">
        <v>0</v>
      </c>
      <c r="P338" s="24">
        <f>LEN(E338)+LEN(K338)</f>
        <v>113</v>
      </c>
      <c r="Q338" s="24"/>
      <c r="R338" s="24"/>
    </row>
    <row r="339" spans="1:18" x14ac:dyDescent="0.3">
      <c r="A339" s="14">
        <v>2251</v>
      </c>
      <c r="B339" s="21" t="s">
        <v>542</v>
      </c>
      <c r="C339" s="21" t="s">
        <v>153</v>
      </c>
      <c r="E339" s="1" t="s">
        <v>543</v>
      </c>
      <c r="F339" s="21" t="s">
        <v>5</v>
      </c>
      <c r="G339" s="14">
        <v>1</v>
      </c>
      <c r="H339" s="14">
        <v>0</v>
      </c>
      <c r="I339" s="25">
        <v>205</v>
      </c>
      <c r="J339" s="23">
        <f>VLOOKUP(I339,episodes!$A$1:$B$81,2,FALSE)</f>
        <v>35</v>
      </c>
      <c r="K339" s="16" t="str">
        <f>VLOOKUP(I339,episodes!$A$1:$E$81,5,FALSE)</f>
        <v>The Apple</v>
      </c>
      <c r="L339" s="16">
        <f>VLOOKUP(I339,episodes!$A$1:$D$81,3,FALSE)</f>
        <v>2</v>
      </c>
      <c r="M339" s="16">
        <f>VLOOKUP(I339,episodes!$A$1:$D$81,4,FALSE)</f>
        <v>5</v>
      </c>
      <c r="O339" s="14">
        <v>0</v>
      </c>
      <c r="P339" s="24">
        <f>LEN(E339)+LEN(K339)</f>
        <v>135</v>
      </c>
      <c r="Q339" s="24">
        <f>COUNTIFS(B:B,#REF!)</f>
        <v>0</v>
      </c>
      <c r="R339" s="24">
        <f>COUNTIFS(D:D,C339)</f>
        <v>7</v>
      </c>
    </row>
    <row r="340" spans="1:18" x14ac:dyDescent="0.3">
      <c r="A340" s="14">
        <v>2490</v>
      </c>
      <c r="B340" s="21" t="s">
        <v>268</v>
      </c>
      <c r="C340" s="21" t="s">
        <v>153</v>
      </c>
      <c r="E340" s="1" t="s">
        <v>1075</v>
      </c>
      <c r="F340" s="21" t="s">
        <v>2256</v>
      </c>
      <c r="G340" s="14">
        <v>0</v>
      </c>
      <c r="H340" s="14">
        <v>0</v>
      </c>
      <c r="I340" s="14">
        <v>102</v>
      </c>
      <c r="J340" s="23">
        <f>VLOOKUP(I340,episodes!$A$1:$B$76,2,FALSE)</f>
        <v>3</v>
      </c>
      <c r="K340" s="16" t="str">
        <f>VLOOKUP(I340,episodes!$A$1:$E$81,5,FALSE)</f>
        <v>Charlie X</v>
      </c>
      <c r="L340" s="16">
        <f>VLOOKUP(I340,episodes!$A$1:$D$81,3,FALSE)</f>
        <v>1</v>
      </c>
      <c r="M340" s="16">
        <f>VLOOKUP(I340,episodes!$A$1:$D$81,4,FALSE)</f>
        <v>2</v>
      </c>
      <c r="O340" s="14">
        <v>0</v>
      </c>
      <c r="P340" s="24">
        <f>LEN(E340)+LEN(K340)</f>
        <v>82</v>
      </c>
      <c r="Q340" s="24">
        <f>COUNTIFS(B:B,B339)</f>
        <v>1</v>
      </c>
      <c r="R340" s="24">
        <f>COUNTIFS(D:D,C340)</f>
        <v>7</v>
      </c>
    </row>
    <row r="341" spans="1:18" x14ac:dyDescent="0.3">
      <c r="A341" s="14">
        <v>3013</v>
      </c>
      <c r="B341" s="21" t="s">
        <v>2829</v>
      </c>
      <c r="C341" s="21" t="s">
        <v>2613</v>
      </c>
      <c r="D341" s="1" t="s">
        <v>2621</v>
      </c>
      <c r="E341" s="4" t="s">
        <v>2830</v>
      </c>
      <c r="F341" s="21" t="s">
        <v>4</v>
      </c>
      <c r="G341" s="14">
        <v>1</v>
      </c>
      <c r="H341" s="14">
        <v>0</v>
      </c>
      <c r="I341" s="7">
        <v>211</v>
      </c>
      <c r="J341" s="23">
        <f>VLOOKUP(I341,episodes!$A$1:$B$81,2,FALSE)</f>
        <v>41</v>
      </c>
      <c r="K341" s="16" t="str">
        <f>VLOOKUP(I341,episodes!$A$1:$E$81,5,FALSE)</f>
        <v>Friday's Child</v>
      </c>
      <c r="L341" s="16">
        <f>VLOOKUP(I341,episodes!$A$1:$D$81,3,FALSE)</f>
        <v>2</v>
      </c>
      <c r="M341" s="16">
        <f>VLOOKUP(I341,episodes!$A$1:$D$81,4,FALSE)</f>
        <v>11</v>
      </c>
      <c r="O341" s="14">
        <v>0</v>
      </c>
      <c r="P341" s="24">
        <f>LEN(E341)+LEN(K341)</f>
        <v>72</v>
      </c>
      <c r="Q341" s="24"/>
      <c r="R341" s="24"/>
    </row>
    <row r="342" spans="1:18" x14ac:dyDescent="0.3">
      <c r="A342" s="14">
        <v>502</v>
      </c>
      <c r="B342" s="21" t="s">
        <v>285</v>
      </c>
      <c r="C342" s="21" t="s">
        <v>2613</v>
      </c>
      <c r="D342" s="21" t="s">
        <v>2621</v>
      </c>
      <c r="E342" s="1" t="s">
        <v>1095</v>
      </c>
      <c r="F342" s="21" t="s">
        <v>2927</v>
      </c>
      <c r="G342" s="14">
        <v>1</v>
      </c>
      <c r="H342" s="14">
        <v>0</v>
      </c>
      <c r="I342" s="14">
        <v>104</v>
      </c>
      <c r="J342" s="23">
        <f>VLOOKUP(I342,episodes!$A$1:$B$76,2,FALSE)</f>
        <v>5</v>
      </c>
      <c r="K342" s="16" t="str">
        <f>VLOOKUP(I342,episodes!$A$1:$E$81,5,FALSE)</f>
        <v>The Naked Time</v>
      </c>
      <c r="L342" s="16">
        <f>VLOOKUP(I342,episodes!$A$1:$D$81,3,FALSE)</f>
        <v>1</v>
      </c>
      <c r="M342" s="16">
        <f>VLOOKUP(I342,episodes!$A$1:$D$81,4,FALSE)</f>
        <v>4</v>
      </c>
      <c r="O342" s="14">
        <v>0</v>
      </c>
      <c r="P342" s="24">
        <f>LEN(E342)+LEN(K342)</f>
        <v>93</v>
      </c>
      <c r="Q342" s="24">
        <f>COUNTIFS(B:B,B341)</f>
        <v>1</v>
      </c>
      <c r="R342" s="24">
        <f>COUNTIFS(D:D,D342)</f>
        <v>32</v>
      </c>
    </row>
    <row r="343" spans="1:18" x14ac:dyDescent="0.3">
      <c r="A343" s="14">
        <v>508</v>
      </c>
      <c r="B343" s="21" t="s">
        <v>285</v>
      </c>
      <c r="C343" s="21" t="s">
        <v>2613</v>
      </c>
      <c r="D343" s="21" t="s">
        <v>2621</v>
      </c>
      <c r="E343" s="1" t="s">
        <v>722</v>
      </c>
      <c r="F343" s="21" t="s">
        <v>2927</v>
      </c>
      <c r="G343" s="14">
        <v>1</v>
      </c>
      <c r="H343" s="14">
        <v>0</v>
      </c>
      <c r="I343" s="25">
        <v>108</v>
      </c>
      <c r="J343" s="23">
        <f>VLOOKUP(I343,episodes!$A$1:$B$76,2,FALSE)</f>
        <v>9</v>
      </c>
      <c r="K343" s="16" t="str">
        <f>VLOOKUP(I343,episodes!$A$1:$E$81,5,FALSE)</f>
        <v>Miri</v>
      </c>
      <c r="L343" s="16">
        <f>VLOOKUP(I343,episodes!$A$1:$D$81,3,FALSE)</f>
        <v>1</v>
      </c>
      <c r="M343" s="16">
        <f>VLOOKUP(I343,episodes!$A$1:$D$81,4,FALSE)</f>
        <v>8</v>
      </c>
      <c r="O343" s="14">
        <v>0</v>
      </c>
      <c r="P343" s="24">
        <f>LEN(E343)+LEN(K343)</f>
        <v>59</v>
      </c>
      <c r="Q343" s="24">
        <f>COUNTIFS(B:B,B342)</f>
        <v>30</v>
      </c>
      <c r="R343" s="24">
        <f>COUNTIFS(D:D,D343)</f>
        <v>32</v>
      </c>
    </row>
    <row r="344" spans="1:18" x14ac:dyDescent="0.3">
      <c r="A344" s="14">
        <v>510</v>
      </c>
      <c r="B344" s="21" t="s">
        <v>285</v>
      </c>
      <c r="C344" s="21" t="s">
        <v>2613</v>
      </c>
      <c r="D344" s="21" t="s">
        <v>2621</v>
      </c>
      <c r="E344" s="1" t="s">
        <v>723</v>
      </c>
      <c r="F344" s="21" t="s">
        <v>2927</v>
      </c>
      <c r="G344" s="14">
        <v>1</v>
      </c>
      <c r="H344" s="14">
        <v>0</v>
      </c>
      <c r="I344" s="25">
        <v>110</v>
      </c>
      <c r="J344" s="23">
        <f>VLOOKUP(I344,episodes!$A$1:$B$76,2,FALSE)</f>
        <v>11</v>
      </c>
      <c r="K344" s="16" t="str">
        <f>VLOOKUP(I344,episodes!$A$1:$E$81,5,FALSE)</f>
        <v>The Corbomite Maneuver</v>
      </c>
      <c r="L344" s="16">
        <f>VLOOKUP(I344,episodes!$A$1:$D$81,3,FALSE)</f>
        <v>1</v>
      </c>
      <c r="M344" s="16">
        <f>VLOOKUP(I344,episodes!$A$1:$D$81,4,FALSE)</f>
        <v>10</v>
      </c>
      <c r="O344" s="14">
        <v>0</v>
      </c>
      <c r="P344" s="24">
        <f>LEN(E344)+LEN(K344)</f>
        <v>99</v>
      </c>
      <c r="Q344" s="24">
        <f>COUNTIFS(B:B,B343)</f>
        <v>30</v>
      </c>
      <c r="R344" s="24">
        <f>COUNTIFS(D:D,D344)</f>
        <v>32</v>
      </c>
    </row>
    <row r="345" spans="1:18" x14ac:dyDescent="0.3">
      <c r="A345" s="14">
        <v>514</v>
      </c>
      <c r="B345" s="21" t="s">
        <v>285</v>
      </c>
      <c r="C345" s="21" t="s">
        <v>2613</v>
      </c>
      <c r="D345" s="21" t="s">
        <v>2621</v>
      </c>
      <c r="E345" s="1" t="s">
        <v>618</v>
      </c>
      <c r="F345" s="21" t="s">
        <v>2927</v>
      </c>
      <c r="G345" s="14">
        <v>1</v>
      </c>
      <c r="H345" s="14">
        <v>0</v>
      </c>
      <c r="I345" s="22">
        <v>119</v>
      </c>
      <c r="J345" s="23">
        <f>VLOOKUP(I345,episodes!$A$1:$B$76,2,FALSE)</f>
        <v>20</v>
      </c>
      <c r="K345" s="16" t="str">
        <f>VLOOKUP(I345,episodes!$A$1:$E$81,5,FALSE)</f>
        <v>Tomorrow Is Yesterday</v>
      </c>
      <c r="L345" s="16">
        <f>VLOOKUP(I345,episodes!$A$1:$D$81,3,FALSE)</f>
        <v>1</v>
      </c>
      <c r="M345" s="16">
        <f>VLOOKUP(I345,episodes!$A$1:$D$81,4,FALSE)</f>
        <v>19</v>
      </c>
      <c r="O345" s="14">
        <v>0</v>
      </c>
      <c r="P345" s="24">
        <f>LEN(E345)+LEN(K345)</f>
        <v>72</v>
      </c>
      <c r="Q345" s="24">
        <f>COUNTIFS(B:B,B344)</f>
        <v>30</v>
      </c>
      <c r="R345" s="24">
        <f>COUNTIFS(D:D,D345)</f>
        <v>32</v>
      </c>
    </row>
    <row r="346" spans="1:18" x14ac:dyDescent="0.3">
      <c r="A346" s="14">
        <v>518</v>
      </c>
      <c r="B346" s="21" t="s">
        <v>285</v>
      </c>
      <c r="C346" s="21" t="s">
        <v>2613</v>
      </c>
      <c r="D346" s="21" t="s">
        <v>2621</v>
      </c>
      <c r="E346" s="1" t="s">
        <v>698</v>
      </c>
      <c r="F346" s="21" t="s">
        <v>2927</v>
      </c>
      <c r="G346" s="14">
        <v>1</v>
      </c>
      <c r="H346" s="14">
        <v>0</v>
      </c>
      <c r="I346" s="22">
        <v>125</v>
      </c>
      <c r="J346" s="23">
        <f>VLOOKUP(I346,episodes!$A$1:$B$76,2,FALSE)</f>
        <v>26</v>
      </c>
      <c r="K346" s="16" t="str">
        <f>VLOOKUP(I346,episodes!$A$1:$E$81,5,FALSE)</f>
        <v>The Devil in the Dark</v>
      </c>
      <c r="L346" s="16">
        <f>VLOOKUP(I346,episodes!$A$1:$D$81,3,FALSE)</f>
        <v>1</v>
      </c>
      <c r="M346" s="16">
        <f>VLOOKUP(I346,episodes!$A$1:$D$81,4,FALSE)</f>
        <v>25</v>
      </c>
      <c r="O346" s="14">
        <v>0</v>
      </c>
      <c r="P346" s="24">
        <f>LEN(E346)+LEN(K346)</f>
        <v>71</v>
      </c>
      <c r="Q346" s="24">
        <f>COUNTIFS(B:B,B345)</f>
        <v>30</v>
      </c>
      <c r="R346" s="24">
        <f>COUNTIFS(D:D,D346)</f>
        <v>32</v>
      </c>
    </row>
    <row r="347" spans="1:18" x14ac:dyDescent="0.3">
      <c r="A347" s="14">
        <v>499</v>
      </c>
      <c r="B347" s="21" t="s">
        <v>285</v>
      </c>
      <c r="C347" s="21" t="s">
        <v>2613</v>
      </c>
      <c r="D347" s="21" t="s">
        <v>2621</v>
      </c>
      <c r="E347" s="1" t="s">
        <v>2085</v>
      </c>
      <c r="F347" s="21" t="s">
        <v>2927</v>
      </c>
      <c r="G347" s="14">
        <v>1</v>
      </c>
      <c r="H347" s="14">
        <v>0</v>
      </c>
      <c r="I347" s="25">
        <v>101</v>
      </c>
      <c r="J347" s="23">
        <f>VLOOKUP(I347,episodes!$A$1:$B$76,2,FALSE)</f>
        <v>2</v>
      </c>
      <c r="K347" s="16" t="str">
        <f>VLOOKUP(I347,episodes!$A$1:$E$81,5,FALSE)</f>
        <v>The Man Trap</v>
      </c>
      <c r="L347" s="16">
        <f>VLOOKUP(I347,episodes!$A$1:$D$81,3,FALSE)</f>
        <v>1</v>
      </c>
      <c r="M347" s="16">
        <f>VLOOKUP(I347,episodes!$A$1:$D$81,4,FALSE)</f>
        <v>1</v>
      </c>
      <c r="O347" s="14">
        <v>0</v>
      </c>
      <c r="P347" s="24">
        <f>LEN(E347)+LEN(K347)</f>
        <v>92</v>
      </c>
      <c r="Q347" s="24">
        <f>COUNTIFS(B:B,#REF!)</f>
        <v>0</v>
      </c>
      <c r="R347" s="24">
        <f>COUNTIFS(D:D,D347)</f>
        <v>32</v>
      </c>
    </row>
    <row r="348" spans="1:18" x14ac:dyDescent="0.3">
      <c r="A348" s="14">
        <v>503</v>
      </c>
      <c r="B348" s="21" t="s">
        <v>285</v>
      </c>
      <c r="C348" s="21" t="s">
        <v>2613</v>
      </c>
      <c r="D348" s="21" t="s">
        <v>2621</v>
      </c>
      <c r="E348" s="1" t="s">
        <v>1532</v>
      </c>
      <c r="F348" s="21" t="s">
        <v>2927</v>
      </c>
      <c r="G348" s="14">
        <v>1</v>
      </c>
      <c r="H348" s="14">
        <v>0</v>
      </c>
      <c r="I348" s="25">
        <v>105</v>
      </c>
      <c r="J348" s="23">
        <f>VLOOKUP(I348,episodes!$A$1:$B$76,2,FALSE)</f>
        <v>6</v>
      </c>
      <c r="K348" s="16" t="str">
        <f>VLOOKUP(I348,episodes!$A$1:$E$81,5,FALSE)</f>
        <v>The Enemy Within</v>
      </c>
      <c r="L348" s="16">
        <f>VLOOKUP(I348,episodes!$A$1:$D$81,3,FALSE)</f>
        <v>1</v>
      </c>
      <c r="M348" s="16">
        <f>VLOOKUP(I348,episodes!$A$1:$D$81,4,FALSE)</f>
        <v>5</v>
      </c>
      <c r="O348" s="14">
        <v>0</v>
      </c>
      <c r="P348" s="24">
        <f>LEN(E348)+LEN(K348)</f>
        <v>156</v>
      </c>
      <c r="Q348" s="24">
        <f>COUNTIFS(B:B,B347)</f>
        <v>30</v>
      </c>
      <c r="R348" s="24">
        <f>COUNTIFS(D:D,D348)</f>
        <v>32</v>
      </c>
    </row>
    <row r="349" spans="1:18" x14ac:dyDescent="0.3">
      <c r="A349" s="14">
        <v>524</v>
      </c>
      <c r="B349" s="21" t="s">
        <v>285</v>
      </c>
      <c r="C349" s="21" t="s">
        <v>2613</v>
      </c>
      <c r="D349" s="21" t="s">
        <v>2621</v>
      </c>
      <c r="E349" s="1" t="s">
        <v>802</v>
      </c>
      <c r="F349" s="21" t="s">
        <v>2927</v>
      </c>
      <c r="G349" s="14">
        <v>1</v>
      </c>
      <c r="H349" s="14">
        <v>0</v>
      </c>
      <c r="I349" s="22">
        <v>201</v>
      </c>
      <c r="J349" s="23">
        <f>VLOOKUP(I349,episodes!$A$1:$B$76,2,FALSE)</f>
        <v>31</v>
      </c>
      <c r="K349" s="16" t="str">
        <f>VLOOKUP(I349,episodes!$A$1:$E$81,5,FALSE)</f>
        <v>Amok Time</v>
      </c>
      <c r="L349" s="16">
        <f>VLOOKUP(I349,episodes!$A$1:$D$81,3,FALSE)</f>
        <v>2</v>
      </c>
      <c r="M349" s="16">
        <f>VLOOKUP(I349,episodes!$A$1:$D$81,4,FALSE)</f>
        <v>1</v>
      </c>
      <c r="O349" s="14">
        <v>0</v>
      </c>
      <c r="P349" s="24">
        <f>LEN(E349)+LEN(K349)</f>
        <v>72</v>
      </c>
      <c r="Q349" s="24">
        <f>COUNTIFS(B:B,B348)</f>
        <v>30</v>
      </c>
      <c r="R349" s="24">
        <f>COUNTIFS(D:D,D349)</f>
        <v>32</v>
      </c>
    </row>
    <row r="350" spans="1:18" x14ac:dyDescent="0.3">
      <c r="A350" s="14">
        <v>507</v>
      </c>
      <c r="B350" s="21" t="s">
        <v>285</v>
      </c>
      <c r="C350" s="21" t="s">
        <v>2613</v>
      </c>
      <c r="D350" s="21" t="s">
        <v>2621</v>
      </c>
      <c r="E350" s="1" t="s">
        <v>721</v>
      </c>
      <c r="F350" s="21" t="s">
        <v>2927</v>
      </c>
      <c r="G350" s="14">
        <v>1</v>
      </c>
      <c r="H350" s="14">
        <v>0</v>
      </c>
      <c r="I350" s="25">
        <v>106</v>
      </c>
      <c r="J350" s="23">
        <f>VLOOKUP(I350,episodes!$A$1:$B$76,2,FALSE)</f>
        <v>7</v>
      </c>
      <c r="K350" s="16" t="str">
        <f>VLOOKUP(I350,episodes!$A$1:$E$81,5,FALSE)</f>
        <v>Mudd's Women</v>
      </c>
      <c r="L350" s="16">
        <f>VLOOKUP(I350,episodes!$A$1:$D$81,3,FALSE)</f>
        <v>1</v>
      </c>
      <c r="M350" s="16">
        <f>VLOOKUP(I350,episodes!$A$1:$D$81,4,FALSE)</f>
        <v>6</v>
      </c>
      <c r="O350" s="14">
        <v>0</v>
      </c>
      <c r="P350" s="24">
        <f>LEN(E350)+LEN(K350)</f>
        <v>74</v>
      </c>
      <c r="Q350" s="24">
        <f>COUNTIFS(B:B,B349)</f>
        <v>30</v>
      </c>
      <c r="R350" s="24">
        <f>COUNTIFS(D:D,D350)</f>
        <v>32</v>
      </c>
    </row>
    <row r="351" spans="1:18" x14ac:dyDescent="0.3">
      <c r="A351" s="14">
        <v>515</v>
      </c>
      <c r="B351" s="21" t="s">
        <v>285</v>
      </c>
      <c r="C351" s="21" t="s">
        <v>2613</v>
      </c>
      <c r="D351" s="21" t="s">
        <v>2621</v>
      </c>
      <c r="E351" s="1" t="s">
        <v>628</v>
      </c>
      <c r="F351" s="21" t="s">
        <v>2927</v>
      </c>
      <c r="G351" s="14">
        <v>1</v>
      </c>
      <c r="H351" s="14">
        <v>0</v>
      </c>
      <c r="I351" s="22">
        <v>120</v>
      </c>
      <c r="J351" s="23">
        <f>VLOOKUP(I351,episodes!$A$1:$B$76,2,FALSE)</f>
        <v>21</v>
      </c>
      <c r="K351" s="16" t="str">
        <f>VLOOKUP(I351,episodes!$A$1:$E$81,5,FALSE)</f>
        <v>Court Martial</v>
      </c>
      <c r="L351" s="16">
        <f>VLOOKUP(I351,episodes!$A$1:$D$81,3,FALSE)</f>
        <v>1</v>
      </c>
      <c r="M351" s="16">
        <f>VLOOKUP(I351,episodes!$A$1:$D$81,4,FALSE)</f>
        <v>20</v>
      </c>
      <c r="O351" s="14">
        <v>0</v>
      </c>
      <c r="P351" s="24">
        <f>LEN(E351)+LEN(K351)</f>
        <v>67</v>
      </c>
      <c r="Q351" s="24">
        <f>COUNTIFS(B:B,B350)</f>
        <v>30</v>
      </c>
      <c r="R351" s="24">
        <f>COUNTIFS(D:D,D351)</f>
        <v>32</v>
      </c>
    </row>
    <row r="352" spans="1:18" x14ac:dyDescent="0.3">
      <c r="A352" s="14">
        <v>521</v>
      </c>
      <c r="B352" s="21" t="s">
        <v>285</v>
      </c>
      <c r="C352" s="21" t="s">
        <v>2613</v>
      </c>
      <c r="D352" s="21" t="s">
        <v>2621</v>
      </c>
      <c r="E352" s="1" t="s">
        <v>725</v>
      </c>
      <c r="F352" s="21" t="s">
        <v>2927</v>
      </c>
      <c r="G352" s="14">
        <v>1</v>
      </c>
      <c r="H352" s="14">
        <v>0</v>
      </c>
      <c r="I352" s="22">
        <v>129</v>
      </c>
      <c r="J352" s="23">
        <f>VLOOKUP(I352,episodes!$A$1:$B$76,2,FALSE)</f>
        <v>30</v>
      </c>
      <c r="K352" s="16" t="str">
        <f>VLOOKUP(I352,episodes!$A$1:$E$81,5,FALSE)</f>
        <v>Operation: Annihilate!</v>
      </c>
      <c r="L352" s="16">
        <f>VLOOKUP(I352,episodes!$A$1:$D$81,3,FALSE)</f>
        <v>1</v>
      </c>
      <c r="M352" s="16">
        <f>VLOOKUP(I352,episodes!$A$1:$D$81,4,FALSE)</f>
        <v>29</v>
      </c>
      <c r="O352" s="14">
        <v>0</v>
      </c>
      <c r="P352" s="24">
        <f>LEN(E352)+LEN(K352)</f>
        <v>90</v>
      </c>
      <c r="Q352" s="24">
        <f>COUNTIFS(B:B,B351)</f>
        <v>30</v>
      </c>
      <c r="R352" s="24">
        <f>COUNTIFS(D:D,D352)</f>
        <v>32</v>
      </c>
    </row>
    <row r="353" spans="1:18" x14ac:dyDescent="0.3">
      <c r="A353" s="14">
        <v>519</v>
      </c>
      <c r="B353" s="21" t="s">
        <v>285</v>
      </c>
      <c r="C353" s="21" t="s">
        <v>2613</v>
      </c>
      <c r="D353" s="21" t="s">
        <v>2621</v>
      </c>
      <c r="E353" s="1" t="s">
        <v>699</v>
      </c>
      <c r="F353" s="21" t="s">
        <v>2927</v>
      </c>
      <c r="G353" s="14">
        <v>1</v>
      </c>
      <c r="H353" s="14">
        <v>0</v>
      </c>
      <c r="I353" s="22">
        <v>125</v>
      </c>
      <c r="J353" s="23">
        <f>VLOOKUP(I353,episodes!$A$1:$B$76,2,FALSE)</f>
        <v>26</v>
      </c>
      <c r="K353" s="16" t="str">
        <f>VLOOKUP(I353,episodes!$A$1:$E$81,5,FALSE)</f>
        <v>The Devil in the Dark</v>
      </c>
      <c r="L353" s="16">
        <f>VLOOKUP(I353,episodes!$A$1:$D$81,3,FALSE)</f>
        <v>1</v>
      </c>
      <c r="M353" s="16">
        <f>VLOOKUP(I353,episodes!$A$1:$D$81,4,FALSE)</f>
        <v>25</v>
      </c>
      <c r="O353" s="14">
        <v>0</v>
      </c>
      <c r="P353" s="24">
        <f>LEN(E353)+LEN(K353)</f>
        <v>103</v>
      </c>
      <c r="Q353" s="24">
        <f>COUNTIFS(B:B,B352)</f>
        <v>30</v>
      </c>
      <c r="R353" s="24">
        <f>COUNTIFS(D:D,D353)</f>
        <v>32</v>
      </c>
    </row>
    <row r="354" spans="1:18" x14ac:dyDescent="0.3">
      <c r="A354" s="14">
        <v>516</v>
      </c>
      <c r="B354" s="21" t="s">
        <v>285</v>
      </c>
      <c r="C354" s="21" t="s">
        <v>2613</v>
      </c>
      <c r="D354" s="21" t="s">
        <v>2621</v>
      </c>
      <c r="E354" s="1" t="s">
        <v>643</v>
      </c>
      <c r="F354" s="21" t="s">
        <v>2927</v>
      </c>
      <c r="G354" s="14">
        <v>1</v>
      </c>
      <c r="H354" s="14">
        <v>0</v>
      </c>
      <c r="I354" s="22">
        <v>122</v>
      </c>
      <c r="J354" s="23">
        <f>VLOOKUP(I354,episodes!$A$1:$B$76,2,FALSE)</f>
        <v>23</v>
      </c>
      <c r="K354" s="16" t="str">
        <f>VLOOKUP(I354,episodes!$A$1:$E$81,5,FALSE)</f>
        <v>Space Seed</v>
      </c>
      <c r="L354" s="16">
        <f>VLOOKUP(I354,episodes!$A$1:$D$81,3,FALSE)</f>
        <v>1</v>
      </c>
      <c r="M354" s="16">
        <f>VLOOKUP(I354,episodes!$A$1:$D$81,4,FALSE)</f>
        <v>22</v>
      </c>
      <c r="O354" s="14">
        <v>0</v>
      </c>
      <c r="P354" s="24">
        <f>LEN(E354)+LEN(K354)</f>
        <v>46</v>
      </c>
      <c r="Q354" s="24">
        <f>COUNTIFS(B:B,B353)</f>
        <v>30</v>
      </c>
      <c r="R354" s="24">
        <f>COUNTIFS(D:D,D354)</f>
        <v>32</v>
      </c>
    </row>
    <row r="355" spans="1:18" x14ac:dyDescent="0.3">
      <c r="A355" s="14">
        <v>504</v>
      </c>
      <c r="B355" s="21" t="s">
        <v>285</v>
      </c>
      <c r="C355" s="21" t="s">
        <v>2613</v>
      </c>
      <c r="D355" s="21" t="s">
        <v>2621</v>
      </c>
      <c r="E355" s="1" t="s">
        <v>1550</v>
      </c>
      <c r="F355" s="21" t="s">
        <v>2927</v>
      </c>
      <c r="G355" s="14">
        <v>1</v>
      </c>
      <c r="H355" s="14">
        <v>0</v>
      </c>
      <c r="I355" s="25">
        <v>105</v>
      </c>
      <c r="J355" s="23">
        <f>VLOOKUP(I355,episodes!$A$1:$B$76,2,FALSE)</f>
        <v>6</v>
      </c>
      <c r="K355" s="16" t="str">
        <f>VLOOKUP(I355,episodes!$A$1:$E$81,5,FALSE)</f>
        <v>The Enemy Within</v>
      </c>
      <c r="L355" s="16">
        <f>VLOOKUP(I355,episodes!$A$1:$D$81,3,FALSE)</f>
        <v>1</v>
      </c>
      <c r="M355" s="16">
        <f>VLOOKUP(I355,episodes!$A$1:$D$81,4,FALSE)</f>
        <v>5</v>
      </c>
      <c r="O355" s="14">
        <v>0</v>
      </c>
      <c r="P355" s="24">
        <f>LEN(E355)+LEN(K355)</f>
        <v>354</v>
      </c>
      <c r="Q355" s="24">
        <f>COUNTIFS(B:B,B354)</f>
        <v>30</v>
      </c>
      <c r="R355" s="24">
        <f>COUNTIFS(D:D,D355)</f>
        <v>32</v>
      </c>
    </row>
    <row r="356" spans="1:18" x14ac:dyDescent="0.3">
      <c r="A356" s="14">
        <v>2943</v>
      </c>
      <c r="B356" s="21" t="s">
        <v>285</v>
      </c>
      <c r="C356" s="21" t="s">
        <v>2613</v>
      </c>
      <c r="D356" s="1" t="s">
        <v>2621</v>
      </c>
      <c r="E356" s="4" t="s">
        <v>2771</v>
      </c>
      <c r="F356" s="21" t="s">
        <v>4</v>
      </c>
      <c r="G356" s="14">
        <v>1</v>
      </c>
      <c r="H356" s="14">
        <v>0</v>
      </c>
      <c r="I356" s="7">
        <v>211</v>
      </c>
      <c r="J356" s="23">
        <f>VLOOKUP(I356,episodes!$A$1:$B$81,2,FALSE)</f>
        <v>41</v>
      </c>
      <c r="K356" s="16" t="str">
        <f>VLOOKUP(I356,episodes!$A$1:$E$81,5,FALSE)</f>
        <v>Friday's Child</v>
      </c>
      <c r="L356" s="16">
        <f>VLOOKUP(I356,episodes!$A$1:$D$81,3,FALSE)</f>
        <v>2</v>
      </c>
      <c r="M356" s="16">
        <f>VLOOKUP(I356,episodes!$A$1:$D$81,4,FALSE)</f>
        <v>11</v>
      </c>
      <c r="O356" s="14">
        <v>0</v>
      </c>
      <c r="P356" s="24">
        <f>LEN(E356)+LEN(K356)</f>
        <v>76</v>
      </c>
      <c r="Q356" s="24">
        <f>COUNTIFS(B:B,#REF!)</f>
        <v>0</v>
      </c>
      <c r="R356" s="24">
        <f>COUNTIFS(D:D,#REF!)</f>
        <v>0</v>
      </c>
    </row>
    <row r="357" spans="1:18" x14ac:dyDescent="0.3">
      <c r="A357" s="14">
        <v>2989</v>
      </c>
      <c r="B357" s="21" t="s">
        <v>285</v>
      </c>
      <c r="C357" s="21" t="s">
        <v>2613</v>
      </c>
      <c r="D357" s="1" t="s">
        <v>2621</v>
      </c>
      <c r="E357" s="4" t="s">
        <v>2813</v>
      </c>
      <c r="F357" s="21" t="s">
        <v>4</v>
      </c>
      <c r="G357" s="14">
        <v>1</v>
      </c>
      <c r="H357" s="14">
        <v>0</v>
      </c>
      <c r="I357" s="7">
        <v>211</v>
      </c>
      <c r="J357" s="23">
        <f>VLOOKUP(I357,episodes!$A$1:$B$81,2,FALSE)</f>
        <v>41</v>
      </c>
      <c r="K357" s="16" t="str">
        <f>VLOOKUP(I357,episodes!$A$1:$E$81,5,FALSE)</f>
        <v>Friday's Child</v>
      </c>
      <c r="L357" s="16">
        <f>VLOOKUP(I357,episodes!$A$1:$D$81,3,FALSE)</f>
        <v>2</v>
      </c>
      <c r="M357" s="16">
        <f>VLOOKUP(I357,episodes!$A$1:$D$81,4,FALSE)</f>
        <v>11</v>
      </c>
      <c r="O357" s="14">
        <v>0</v>
      </c>
      <c r="P357" s="24">
        <f>LEN(E357)+LEN(K357)</f>
        <v>67</v>
      </c>
      <c r="Q357" s="24"/>
      <c r="R357" s="24"/>
    </row>
    <row r="358" spans="1:18" x14ac:dyDescent="0.3">
      <c r="A358" s="14">
        <v>505</v>
      </c>
      <c r="B358" s="21" t="s">
        <v>285</v>
      </c>
      <c r="C358" s="21" t="s">
        <v>2613</v>
      </c>
      <c r="D358" s="21" t="s">
        <v>2621</v>
      </c>
      <c r="E358" s="1" t="s">
        <v>1551</v>
      </c>
      <c r="F358" s="21" t="s">
        <v>2927</v>
      </c>
      <c r="G358" s="14">
        <v>1</v>
      </c>
      <c r="H358" s="14">
        <v>0</v>
      </c>
      <c r="I358" s="25">
        <v>105</v>
      </c>
      <c r="J358" s="23">
        <f>VLOOKUP(I358,episodes!$A$1:$B$76,2,FALSE)</f>
        <v>6</v>
      </c>
      <c r="K358" s="16" t="str">
        <f>VLOOKUP(I358,episodes!$A$1:$E$81,5,FALSE)</f>
        <v>The Enemy Within</v>
      </c>
      <c r="L358" s="16">
        <f>VLOOKUP(I358,episodes!$A$1:$D$81,3,FALSE)</f>
        <v>1</v>
      </c>
      <c r="M358" s="16">
        <f>VLOOKUP(I358,episodes!$A$1:$D$81,4,FALSE)</f>
        <v>5</v>
      </c>
      <c r="O358" s="14">
        <v>0</v>
      </c>
      <c r="P358" s="24">
        <f>LEN(E358)+LEN(K358)</f>
        <v>182</v>
      </c>
      <c r="Q358" s="24">
        <f>COUNTIFS(B:B,B357)</f>
        <v>30</v>
      </c>
      <c r="R358" s="24">
        <f>COUNTIFS(D:D,D358)</f>
        <v>32</v>
      </c>
    </row>
    <row r="359" spans="1:18" x14ac:dyDescent="0.3">
      <c r="A359" s="14">
        <v>522</v>
      </c>
      <c r="B359" s="21" t="s">
        <v>285</v>
      </c>
      <c r="C359" s="21" t="s">
        <v>2613</v>
      </c>
      <c r="D359" s="21" t="s">
        <v>2621</v>
      </c>
      <c r="E359" s="1" t="s">
        <v>726</v>
      </c>
      <c r="F359" s="21" t="s">
        <v>2927</v>
      </c>
      <c r="G359" s="14">
        <v>1</v>
      </c>
      <c r="H359" s="14">
        <v>0</v>
      </c>
      <c r="I359" s="22">
        <v>129</v>
      </c>
      <c r="J359" s="23">
        <f>VLOOKUP(I359,episodes!$A$1:$B$76,2,FALSE)</f>
        <v>30</v>
      </c>
      <c r="K359" s="16" t="str">
        <f>VLOOKUP(I359,episodes!$A$1:$E$81,5,FALSE)</f>
        <v>Operation: Annihilate!</v>
      </c>
      <c r="L359" s="16">
        <f>VLOOKUP(I359,episodes!$A$1:$D$81,3,FALSE)</f>
        <v>1</v>
      </c>
      <c r="M359" s="16">
        <f>VLOOKUP(I359,episodes!$A$1:$D$81,4,FALSE)</f>
        <v>29</v>
      </c>
      <c r="O359" s="14">
        <v>0</v>
      </c>
      <c r="P359" s="24">
        <f>LEN(E359)+LEN(K359)</f>
        <v>90</v>
      </c>
      <c r="Q359" s="24">
        <f>COUNTIFS(B:B,B358)</f>
        <v>30</v>
      </c>
      <c r="R359" s="24">
        <f>COUNTIFS(D:D,D359)</f>
        <v>32</v>
      </c>
    </row>
    <row r="360" spans="1:18" x14ac:dyDescent="0.3">
      <c r="A360" s="14">
        <v>525</v>
      </c>
      <c r="B360" s="21" t="s">
        <v>285</v>
      </c>
      <c r="C360" s="21" t="s">
        <v>2613</v>
      </c>
      <c r="D360" s="21" t="s">
        <v>2621</v>
      </c>
      <c r="E360" s="1" t="s">
        <v>727</v>
      </c>
      <c r="F360" s="21" t="s">
        <v>2927</v>
      </c>
      <c r="G360" s="14">
        <v>1</v>
      </c>
      <c r="H360" s="14">
        <v>0</v>
      </c>
      <c r="I360" s="22">
        <v>201</v>
      </c>
      <c r="J360" s="23">
        <f>VLOOKUP(I360,episodes!$A$1:$B$76,2,FALSE)</f>
        <v>31</v>
      </c>
      <c r="K360" s="16" t="str">
        <f>VLOOKUP(I360,episodes!$A$1:$E$81,5,FALSE)</f>
        <v>Amok Time</v>
      </c>
      <c r="L360" s="16">
        <f>VLOOKUP(I360,episodes!$A$1:$D$81,3,FALSE)</f>
        <v>2</v>
      </c>
      <c r="M360" s="16">
        <f>VLOOKUP(I360,episodes!$A$1:$D$81,4,FALSE)</f>
        <v>1</v>
      </c>
      <c r="O360" s="14">
        <v>0</v>
      </c>
      <c r="P360" s="24">
        <f>LEN(E360)+LEN(K360)</f>
        <v>87</v>
      </c>
      <c r="Q360" s="24">
        <f>COUNTIFS(B:B,B359)</f>
        <v>30</v>
      </c>
      <c r="R360" s="24">
        <f>COUNTIFS(D:D,D360)</f>
        <v>32</v>
      </c>
    </row>
    <row r="361" spans="1:18" x14ac:dyDescent="0.3">
      <c r="A361" s="14">
        <v>523</v>
      </c>
      <c r="B361" s="21" t="s">
        <v>285</v>
      </c>
      <c r="C361" s="21" t="s">
        <v>2613</v>
      </c>
      <c r="D361" s="21" t="s">
        <v>2621</v>
      </c>
      <c r="E361" s="1" t="s">
        <v>2086</v>
      </c>
      <c r="F361" s="21" t="s">
        <v>2927</v>
      </c>
      <c r="G361" s="14">
        <v>1</v>
      </c>
      <c r="H361" s="14">
        <v>0</v>
      </c>
      <c r="I361" s="22">
        <v>129</v>
      </c>
      <c r="J361" s="23">
        <f>VLOOKUP(I361,episodes!$A$1:$B$76,2,FALSE)</f>
        <v>30</v>
      </c>
      <c r="K361" s="16" t="str">
        <f>VLOOKUP(I361,episodes!$A$1:$E$81,5,FALSE)</f>
        <v>Operation: Annihilate!</v>
      </c>
      <c r="L361" s="16">
        <f>VLOOKUP(I361,episodes!$A$1:$D$81,3,FALSE)</f>
        <v>1</v>
      </c>
      <c r="M361" s="16">
        <f>VLOOKUP(I361,episodes!$A$1:$D$81,4,FALSE)</f>
        <v>29</v>
      </c>
      <c r="O361" s="14">
        <v>0</v>
      </c>
      <c r="P361" s="24">
        <f>LEN(E361)+LEN(K361)</f>
        <v>69</v>
      </c>
      <c r="Q361" s="24">
        <f>COUNTIFS(B:B,B360)</f>
        <v>30</v>
      </c>
      <c r="R361" s="24">
        <f>COUNTIFS(D:D,D361)</f>
        <v>32</v>
      </c>
    </row>
    <row r="362" spans="1:18" x14ac:dyDescent="0.3">
      <c r="A362" s="14">
        <v>529</v>
      </c>
      <c r="B362" s="21" t="s">
        <v>285</v>
      </c>
      <c r="C362" s="21" t="s">
        <v>2613</v>
      </c>
      <c r="D362" s="21" t="s">
        <v>2621</v>
      </c>
      <c r="E362" s="1" t="s">
        <v>1076</v>
      </c>
      <c r="F362" s="21" t="s">
        <v>2927</v>
      </c>
      <c r="G362" s="14">
        <v>1</v>
      </c>
      <c r="H362" s="14">
        <v>0</v>
      </c>
      <c r="I362" s="14">
        <v>209</v>
      </c>
      <c r="J362" s="23">
        <f>VLOOKUP(I362,episodes!$A$1:$B$81,2,FALSE)</f>
        <v>39</v>
      </c>
      <c r="K362" s="16" t="str">
        <f>VLOOKUP(I362,episodes!$A$1:$E$81,5,FALSE)</f>
        <v>Metamorphosis</v>
      </c>
      <c r="L362" s="16">
        <f>VLOOKUP(I362,episodes!$A$1:$D$81,3,FALSE)</f>
        <v>2</v>
      </c>
      <c r="M362" s="16">
        <f>VLOOKUP(I362,episodes!$A$1:$D$81,4,FALSE)</f>
        <v>9</v>
      </c>
      <c r="O362" s="14">
        <v>0</v>
      </c>
      <c r="P362" s="24">
        <f>LEN(E362)+LEN(K362)</f>
        <v>58</v>
      </c>
      <c r="Q362" s="24">
        <f>COUNTIFS(B:B,B361)</f>
        <v>30</v>
      </c>
      <c r="R362" s="24">
        <f>COUNTIFS(D:D,D362)</f>
        <v>32</v>
      </c>
    </row>
    <row r="363" spans="1:18" x14ac:dyDescent="0.3">
      <c r="A363" s="14">
        <v>517</v>
      </c>
      <c r="B363" s="21" t="s">
        <v>285</v>
      </c>
      <c r="C363" s="21" t="s">
        <v>2613</v>
      </c>
      <c r="D363" s="21" t="s">
        <v>2621</v>
      </c>
      <c r="E363" s="1" t="s">
        <v>644</v>
      </c>
      <c r="F363" s="21" t="s">
        <v>2927</v>
      </c>
      <c r="G363" s="14">
        <v>1</v>
      </c>
      <c r="H363" s="14">
        <v>0</v>
      </c>
      <c r="I363" s="22">
        <v>122</v>
      </c>
      <c r="J363" s="23">
        <f>VLOOKUP(I363,episodes!$A$1:$B$76,2,FALSE)</f>
        <v>23</v>
      </c>
      <c r="K363" s="16" t="str">
        <f>VLOOKUP(I363,episodes!$A$1:$E$81,5,FALSE)</f>
        <v>Space Seed</v>
      </c>
      <c r="L363" s="16">
        <f>VLOOKUP(I363,episodes!$A$1:$D$81,3,FALSE)</f>
        <v>1</v>
      </c>
      <c r="M363" s="16">
        <f>VLOOKUP(I363,episodes!$A$1:$D$81,4,FALSE)</f>
        <v>22</v>
      </c>
      <c r="O363" s="14">
        <v>0</v>
      </c>
      <c r="P363" s="24">
        <f>LEN(E363)+LEN(K363)</f>
        <v>58</v>
      </c>
      <c r="Q363" s="24">
        <f>COUNTIFS(B:B,B362)</f>
        <v>30</v>
      </c>
      <c r="R363" s="24">
        <f>COUNTIFS(D:D,D363)</f>
        <v>32</v>
      </c>
    </row>
    <row r="364" spans="1:18" x14ac:dyDescent="0.3">
      <c r="A364" s="14">
        <v>513</v>
      </c>
      <c r="B364" s="21" t="s">
        <v>285</v>
      </c>
      <c r="C364" s="21" t="s">
        <v>2613</v>
      </c>
      <c r="D364" s="21" t="s">
        <v>2621</v>
      </c>
      <c r="E364" s="1" t="s">
        <v>724</v>
      </c>
      <c r="F364" s="21" t="s">
        <v>2927</v>
      </c>
      <c r="G364" s="14">
        <v>1</v>
      </c>
      <c r="H364" s="14">
        <v>0</v>
      </c>
      <c r="I364" s="25">
        <v>115</v>
      </c>
      <c r="J364" s="23">
        <f>VLOOKUP(I364,episodes!$A$1:$B$76,2,FALSE)</f>
        <v>16</v>
      </c>
      <c r="K364" s="16" t="str">
        <f>VLOOKUP(I364,episodes!$A$1:$E$81,5,FALSE)</f>
        <v>Shore Leave</v>
      </c>
      <c r="L364" s="16">
        <f>VLOOKUP(I364,episodes!$A$1:$D$81,3,FALSE)</f>
        <v>1</v>
      </c>
      <c r="M364" s="16">
        <f>VLOOKUP(I364,episodes!$A$1:$D$81,4,FALSE)</f>
        <v>15</v>
      </c>
      <c r="O364" s="14">
        <v>0</v>
      </c>
      <c r="P364" s="24">
        <f>LEN(E364)+LEN(K364)</f>
        <v>66</v>
      </c>
      <c r="Q364" s="24">
        <f>COUNTIFS(B:B,B363)</f>
        <v>30</v>
      </c>
      <c r="R364" s="24">
        <f>COUNTIFS(D:D,D364)</f>
        <v>32</v>
      </c>
    </row>
    <row r="365" spans="1:18" x14ac:dyDescent="0.3">
      <c r="A365" s="14">
        <v>512</v>
      </c>
      <c r="B365" s="21" t="s">
        <v>285</v>
      </c>
      <c r="C365" s="21" t="s">
        <v>2613</v>
      </c>
      <c r="D365" s="21" t="s">
        <v>2621</v>
      </c>
      <c r="E365" s="1" t="s">
        <v>1771</v>
      </c>
      <c r="F365" s="21" t="s">
        <v>2927</v>
      </c>
      <c r="G365" s="14">
        <v>1</v>
      </c>
      <c r="H365" s="14">
        <v>0</v>
      </c>
      <c r="I365" s="25">
        <v>113</v>
      </c>
      <c r="J365" s="23">
        <f>VLOOKUP(I365,episodes!$A$1:$B$76,2,FALSE)</f>
        <v>14</v>
      </c>
      <c r="K365" s="16" t="str">
        <f>VLOOKUP(I365,episodes!$A$1:$E$81,5,FALSE)</f>
        <v>The Conscience of the King</v>
      </c>
      <c r="L365" s="16">
        <f>VLOOKUP(I365,episodes!$A$1:$D$81,3,FALSE)</f>
        <v>1</v>
      </c>
      <c r="M365" s="16">
        <f>VLOOKUP(I365,episodes!$A$1:$D$81,4,FALSE)</f>
        <v>13</v>
      </c>
      <c r="O365" s="14">
        <v>0</v>
      </c>
      <c r="P365" s="24">
        <f>LEN(E365)+LEN(K365)</f>
        <v>112</v>
      </c>
      <c r="Q365" s="24">
        <f>COUNTIFS(B:B,B364)</f>
        <v>30</v>
      </c>
      <c r="R365" s="24">
        <f>COUNTIFS(D:D,D365)</f>
        <v>32</v>
      </c>
    </row>
    <row r="366" spans="1:18" x14ac:dyDescent="0.3">
      <c r="A366" s="14">
        <v>500</v>
      </c>
      <c r="B366" s="21" t="s">
        <v>285</v>
      </c>
      <c r="C366" s="21" t="s">
        <v>2613</v>
      </c>
      <c r="D366" s="21" t="s">
        <v>2621</v>
      </c>
      <c r="E366" s="1" t="s">
        <v>1197</v>
      </c>
      <c r="F366" s="21" t="s">
        <v>2927</v>
      </c>
      <c r="G366" s="14">
        <v>1</v>
      </c>
      <c r="H366" s="14">
        <v>0</v>
      </c>
      <c r="I366" s="25">
        <v>102</v>
      </c>
      <c r="J366" s="23">
        <f>VLOOKUP(I366,episodes!$A$1:$B$76,2,FALSE)</f>
        <v>3</v>
      </c>
      <c r="K366" s="16" t="str">
        <f>VLOOKUP(I366,episodes!$A$1:$E$81,5,FALSE)</f>
        <v>Charlie X</v>
      </c>
      <c r="L366" s="16">
        <f>VLOOKUP(I366,episodes!$A$1:$D$81,3,FALSE)</f>
        <v>1</v>
      </c>
      <c r="M366" s="16">
        <f>VLOOKUP(I366,episodes!$A$1:$D$81,4,FALSE)</f>
        <v>2</v>
      </c>
      <c r="O366" s="14">
        <v>0</v>
      </c>
      <c r="P366" s="24">
        <f>LEN(E366)+LEN(K366)</f>
        <v>80</v>
      </c>
      <c r="Q366" s="24">
        <f>COUNTIFS(B:B,B365)</f>
        <v>30</v>
      </c>
      <c r="R366" s="24">
        <f>COUNTIFS(D:D,D366)</f>
        <v>32</v>
      </c>
    </row>
    <row r="367" spans="1:18" x14ac:dyDescent="0.3">
      <c r="A367" s="14">
        <v>509</v>
      </c>
      <c r="B367" s="21" t="s">
        <v>285</v>
      </c>
      <c r="C367" s="21" t="s">
        <v>2613</v>
      </c>
      <c r="D367" s="21" t="s">
        <v>2621</v>
      </c>
      <c r="E367" s="1" t="s">
        <v>1731</v>
      </c>
      <c r="F367" s="21" t="s">
        <v>2927</v>
      </c>
      <c r="G367" s="14">
        <v>1</v>
      </c>
      <c r="H367" s="14">
        <v>0</v>
      </c>
      <c r="I367" s="25">
        <v>109</v>
      </c>
      <c r="J367" s="23">
        <f>VLOOKUP(I367,episodes!$A$1:$B$76,2,FALSE)</f>
        <v>10</v>
      </c>
      <c r="K367" s="16" t="str">
        <f>VLOOKUP(I367,episodes!$A$1:$E$81,5,FALSE)</f>
        <v>Dagger of the Mind</v>
      </c>
      <c r="L367" s="16">
        <f>VLOOKUP(I367,episodes!$A$1:$D$81,3,FALSE)</f>
        <v>1</v>
      </c>
      <c r="M367" s="16">
        <f>VLOOKUP(I367,episodes!$A$1:$D$81,4,FALSE)</f>
        <v>9</v>
      </c>
      <c r="O367" s="14">
        <v>0</v>
      </c>
      <c r="P367" s="24">
        <f>LEN(E367)+LEN(K367)</f>
        <v>75</v>
      </c>
      <c r="Q367" s="24">
        <f>COUNTIFS(B:B,B366)</f>
        <v>30</v>
      </c>
      <c r="R367" s="24">
        <f>COUNTIFS(D:D,D367)</f>
        <v>32</v>
      </c>
    </row>
    <row r="368" spans="1:18" x14ac:dyDescent="0.3">
      <c r="A368" s="14">
        <v>501</v>
      </c>
      <c r="B368" s="21" t="s">
        <v>285</v>
      </c>
      <c r="C368" s="21" t="s">
        <v>2613</v>
      </c>
      <c r="D368" s="21" t="s">
        <v>2621</v>
      </c>
      <c r="E368" s="1" t="s">
        <v>1191</v>
      </c>
      <c r="F368" s="21" t="s">
        <v>2927</v>
      </c>
      <c r="G368" s="14">
        <v>1</v>
      </c>
      <c r="H368" s="14">
        <v>0</v>
      </c>
      <c r="I368" s="25">
        <v>102</v>
      </c>
      <c r="J368" s="23">
        <f>VLOOKUP(I368,episodes!$A$1:$B$76,2,FALSE)</f>
        <v>3</v>
      </c>
      <c r="K368" s="16" t="str">
        <f>VLOOKUP(I368,episodes!$A$1:$E$81,5,FALSE)</f>
        <v>Charlie X</v>
      </c>
      <c r="L368" s="16">
        <f>VLOOKUP(I368,episodes!$A$1:$D$81,3,FALSE)</f>
        <v>1</v>
      </c>
      <c r="M368" s="16">
        <f>VLOOKUP(I368,episodes!$A$1:$D$81,4,FALSE)</f>
        <v>2</v>
      </c>
      <c r="O368" s="14">
        <v>0</v>
      </c>
      <c r="P368" s="24">
        <f>LEN(E368)+LEN(K368)</f>
        <v>95</v>
      </c>
      <c r="Q368" s="24">
        <f>COUNTIFS(B:B,B367)</f>
        <v>30</v>
      </c>
      <c r="R368" s="24">
        <f>COUNTIFS(D:D,D368)</f>
        <v>32</v>
      </c>
    </row>
    <row r="369" spans="1:18" x14ac:dyDescent="0.3">
      <c r="A369" s="14">
        <v>530</v>
      </c>
      <c r="B369" s="21" t="s">
        <v>268</v>
      </c>
      <c r="C369" s="21" t="s">
        <v>2613</v>
      </c>
      <c r="D369" s="21" t="s">
        <v>2621</v>
      </c>
      <c r="E369" s="1" t="s">
        <v>2403</v>
      </c>
      <c r="F369" s="21" t="s">
        <v>4</v>
      </c>
      <c r="G369" s="14">
        <v>1</v>
      </c>
      <c r="H369" s="14">
        <v>0</v>
      </c>
      <c r="I369" s="22">
        <v>122</v>
      </c>
      <c r="J369" s="23">
        <f>VLOOKUP(I369,episodes!$A$1:$B$76,2,FALSE)</f>
        <v>23</v>
      </c>
      <c r="K369" s="16" t="str">
        <f>VLOOKUP(I369,episodes!$A$1:$E$81,5,FALSE)</f>
        <v>Space Seed</v>
      </c>
      <c r="L369" s="16">
        <f>VLOOKUP(I369,episodes!$A$1:$D$81,3,FALSE)</f>
        <v>1</v>
      </c>
      <c r="M369" s="16">
        <f>VLOOKUP(I369,episodes!$A$1:$D$81,4,FALSE)</f>
        <v>22</v>
      </c>
      <c r="O369" s="14">
        <v>0</v>
      </c>
      <c r="P369" s="24">
        <f>LEN(E369)+LEN(K369)</f>
        <v>98</v>
      </c>
      <c r="Q369" s="24">
        <f>COUNTIFS(B:B,B368)</f>
        <v>30</v>
      </c>
      <c r="R369" s="24">
        <f>COUNTIFS(D:D,D369)</f>
        <v>32</v>
      </c>
    </row>
    <row r="370" spans="1:18" x14ac:dyDescent="0.3">
      <c r="A370" s="14">
        <v>2966</v>
      </c>
      <c r="B370" s="21" t="s">
        <v>285</v>
      </c>
      <c r="C370" s="21" t="s">
        <v>2613</v>
      </c>
      <c r="D370" s="1" t="s">
        <v>2621</v>
      </c>
      <c r="E370" s="4" t="s">
        <v>2805</v>
      </c>
      <c r="F370" s="21" t="s">
        <v>4</v>
      </c>
      <c r="G370" s="14">
        <v>1</v>
      </c>
      <c r="H370" s="14">
        <v>0</v>
      </c>
      <c r="I370" s="7">
        <v>211</v>
      </c>
      <c r="J370" s="23">
        <f>VLOOKUP(I370,episodes!$A$1:$B$81,2,FALSE)</f>
        <v>41</v>
      </c>
      <c r="K370" s="16" t="str">
        <f>VLOOKUP(I370,episodes!$A$1:$E$81,5,FALSE)</f>
        <v>Friday's Child</v>
      </c>
      <c r="L370" s="16">
        <f>VLOOKUP(I370,episodes!$A$1:$D$81,3,FALSE)</f>
        <v>2</v>
      </c>
      <c r="M370" s="16">
        <f>VLOOKUP(I370,episodes!$A$1:$D$81,4,FALSE)</f>
        <v>11</v>
      </c>
      <c r="O370" s="14">
        <v>0</v>
      </c>
      <c r="P370" s="24">
        <f>LEN(E370)+LEN(K370)</f>
        <v>81</v>
      </c>
      <c r="Q370" s="24">
        <f>COUNTIFS(B:B,B382)</f>
        <v>128</v>
      </c>
      <c r="R370" s="24">
        <f>COUNTIFS(D:D,D383)</f>
        <v>128</v>
      </c>
    </row>
    <row r="371" spans="1:18" x14ac:dyDescent="0.3">
      <c r="A371" s="14">
        <v>2958</v>
      </c>
      <c r="B371" s="21" t="s">
        <v>285</v>
      </c>
      <c r="C371" s="21" t="s">
        <v>2613</v>
      </c>
      <c r="D371" s="1" t="s">
        <v>2621</v>
      </c>
      <c r="E371" s="4" t="s">
        <v>2787</v>
      </c>
      <c r="F371" s="21" t="s">
        <v>4</v>
      </c>
      <c r="G371" s="14">
        <v>1</v>
      </c>
      <c r="H371" s="14">
        <v>0</v>
      </c>
      <c r="I371" s="7">
        <v>211</v>
      </c>
      <c r="J371" s="23">
        <f>VLOOKUP(I371,episodes!$A$1:$B$81,2,FALSE)</f>
        <v>41</v>
      </c>
      <c r="K371" s="16" t="str">
        <f>VLOOKUP(I371,episodes!$A$1:$E$81,5,FALSE)</f>
        <v>Friday's Child</v>
      </c>
      <c r="L371" s="16">
        <f>VLOOKUP(I371,episodes!$A$1:$D$81,3,FALSE)</f>
        <v>2</v>
      </c>
      <c r="M371" s="16">
        <f>VLOOKUP(I371,episodes!$A$1:$D$81,4,FALSE)</f>
        <v>11</v>
      </c>
      <c r="O371" s="14">
        <v>0</v>
      </c>
      <c r="P371" s="24">
        <f>LEN(E371)+LEN(K371)</f>
        <v>112</v>
      </c>
      <c r="Q371" s="24"/>
      <c r="R371" s="24"/>
    </row>
    <row r="372" spans="1:18" x14ac:dyDescent="0.3">
      <c r="A372" s="14">
        <v>506</v>
      </c>
      <c r="B372" s="21" t="s">
        <v>285</v>
      </c>
      <c r="C372" s="21" t="s">
        <v>2613</v>
      </c>
      <c r="D372" s="21" t="s">
        <v>2621</v>
      </c>
      <c r="E372" s="1" t="s">
        <v>720</v>
      </c>
      <c r="F372" s="21" t="s">
        <v>2927</v>
      </c>
      <c r="G372" s="14">
        <v>1</v>
      </c>
      <c r="H372" s="14">
        <v>0</v>
      </c>
      <c r="I372" s="25">
        <v>105</v>
      </c>
      <c r="J372" s="23">
        <f>VLOOKUP(I372,episodes!$A$1:$B$76,2,FALSE)</f>
        <v>6</v>
      </c>
      <c r="K372" s="16" t="str">
        <f>VLOOKUP(I372,episodes!$A$1:$E$81,5,FALSE)</f>
        <v>The Enemy Within</v>
      </c>
      <c r="L372" s="16">
        <f>VLOOKUP(I372,episodes!$A$1:$D$81,3,FALSE)</f>
        <v>1</v>
      </c>
      <c r="M372" s="16">
        <f>VLOOKUP(I372,episodes!$A$1:$D$81,4,FALSE)</f>
        <v>5</v>
      </c>
      <c r="O372" s="14">
        <v>0</v>
      </c>
      <c r="P372" s="24">
        <f>LEN(E372)+LEN(K372)</f>
        <v>81</v>
      </c>
      <c r="Q372" s="24">
        <f>COUNTIFS(B:B,B371)</f>
        <v>30</v>
      </c>
      <c r="R372" s="24">
        <f>COUNTIFS(D:D,D372)</f>
        <v>32</v>
      </c>
    </row>
    <row r="373" spans="1:18" x14ac:dyDescent="0.3">
      <c r="A373" s="14">
        <v>227</v>
      </c>
      <c r="B373" s="21" t="s">
        <v>373</v>
      </c>
      <c r="C373" s="21" t="s">
        <v>2613</v>
      </c>
      <c r="D373" s="1" t="s">
        <v>2660</v>
      </c>
      <c r="E373" s="1" t="s">
        <v>1012</v>
      </c>
      <c r="F373" s="21" t="s">
        <v>56</v>
      </c>
      <c r="G373" s="14">
        <v>0</v>
      </c>
      <c r="H373" s="14">
        <v>0</v>
      </c>
      <c r="I373" s="25">
        <v>206</v>
      </c>
      <c r="J373" s="23">
        <f>VLOOKUP(I373,episodes!$A$1:$B$81,2,FALSE)</f>
        <v>36</v>
      </c>
      <c r="K373" s="16" t="str">
        <f>VLOOKUP(I373,episodes!$A$1:$E$81,5,FALSE)</f>
        <v>The Doomsday Machine</v>
      </c>
      <c r="L373" s="16">
        <f>VLOOKUP(I373,episodes!$A$1:$D$81,3,FALSE)</f>
        <v>2</v>
      </c>
      <c r="M373" s="16">
        <f>VLOOKUP(I373,episodes!$A$1:$D$81,4,FALSE)</f>
        <v>6</v>
      </c>
      <c r="O373" s="14">
        <v>0</v>
      </c>
      <c r="P373" s="24">
        <f>LEN(E373)+LEN(K373)</f>
        <v>345</v>
      </c>
      <c r="Q373" s="24">
        <f>COUNTIFS(B:B,B372)</f>
        <v>30</v>
      </c>
      <c r="R373" s="24">
        <f>COUNTIFS(D:D,D373)</f>
        <v>128</v>
      </c>
    </row>
    <row r="374" spans="1:18" x14ac:dyDescent="0.3">
      <c r="A374" s="14">
        <v>2940</v>
      </c>
      <c r="B374" s="21" t="s">
        <v>373</v>
      </c>
      <c r="C374" s="21" t="s">
        <v>2613</v>
      </c>
      <c r="D374" s="1" t="s">
        <v>2660</v>
      </c>
      <c r="E374" s="4" t="s">
        <v>2768</v>
      </c>
      <c r="F374" s="21" t="s">
        <v>4</v>
      </c>
      <c r="G374" s="14">
        <v>1</v>
      </c>
      <c r="H374" s="14">
        <v>0</v>
      </c>
      <c r="I374" s="7">
        <v>211</v>
      </c>
      <c r="J374" s="23">
        <f>VLOOKUP(I374,episodes!$A$1:$B$81,2,FALSE)</f>
        <v>41</v>
      </c>
      <c r="K374" s="16" t="str">
        <f>VLOOKUP(I374,episodes!$A$1:$E$81,5,FALSE)</f>
        <v>Friday's Child</v>
      </c>
      <c r="L374" s="16">
        <f>VLOOKUP(I374,episodes!$A$1:$D$81,3,FALSE)</f>
        <v>2</v>
      </c>
      <c r="M374" s="16">
        <f>VLOOKUP(I374,episodes!$A$1:$D$81,4,FALSE)</f>
        <v>11</v>
      </c>
      <c r="O374" s="14">
        <v>0</v>
      </c>
      <c r="P374" s="24">
        <f>LEN(E374)+LEN(K374)</f>
        <v>34</v>
      </c>
      <c r="Q374" s="24"/>
      <c r="R374" s="24"/>
    </row>
    <row r="375" spans="1:18" x14ac:dyDescent="0.3">
      <c r="A375" s="14">
        <v>576</v>
      </c>
      <c r="B375" s="21" t="s">
        <v>373</v>
      </c>
      <c r="C375" s="21" t="s">
        <v>2613</v>
      </c>
      <c r="D375" s="1" t="s">
        <v>2660</v>
      </c>
      <c r="E375" s="1" t="s">
        <v>942</v>
      </c>
      <c r="F375" s="21" t="s">
        <v>4</v>
      </c>
      <c r="G375" s="14">
        <v>1</v>
      </c>
      <c r="H375" s="14">
        <v>0</v>
      </c>
      <c r="I375" s="25">
        <v>104</v>
      </c>
      <c r="J375" s="23">
        <f>VLOOKUP(I375,episodes!$A$1:$B$76,2,FALSE)</f>
        <v>5</v>
      </c>
      <c r="K375" s="16" t="str">
        <f>VLOOKUP(I375,episodes!$A$1:$E$81,5,FALSE)</f>
        <v>The Naked Time</v>
      </c>
      <c r="L375" s="16">
        <f>VLOOKUP(I375,episodes!$A$1:$D$81,3,FALSE)</f>
        <v>1</v>
      </c>
      <c r="M375" s="16">
        <f>VLOOKUP(I375,episodes!$A$1:$D$81,4,FALSE)</f>
        <v>4</v>
      </c>
      <c r="O375" s="14">
        <v>0</v>
      </c>
      <c r="P375" s="24">
        <f>LEN(E375)+LEN(K375)</f>
        <v>238</v>
      </c>
      <c r="Q375" s="24">
        <f>COUNTIFS(B:B,B374)</f>
        <v>128</v>
      </c>
      <c r="R375" s="24">
        <f>COUNTIFS(D:D,D375)</f>
        <v>128</v>
      </c>
    </row>
    <row r="376" spans="1:18" x14ac:dyDescent="0.3">
      <c r="A376" s="14">
        <v>567</v>
      </c>
      <c r="B376" s="21" t="s">
        <v>373</v>
      </c>
      <c r="C376" s="21" t="s">
        <v>2613</v>
      </c>
      <c r="D376" s="1" t="s">
        <v>2660</v>
      </c>
      <c r="E376" s="1" t="s">
        <v>1514</v>
      </c>
      <c r="F376" s="21" t="s">
        <v>4</v>
      </c>
      <c r="G376" s="14">
        <v>1</v>
      </c>
      <c r="H376" s="14">
        <v>0</v>
      </c>
      <c r="I376" s="25">
        <v>103</v>
      </c>
      <c r="J376" s="23">
        <f>VLOOKUP(I376,episodes!$A$1:$B$76,2,FALSE)</f>
        <v>4</v>
      </c>
      <c r="K376" s="16" t="str">
        <f>VLOOKUP(I376,episodes!$A$1:$E$81,5,FALSE)</f>
        <v>Where No Man Has Gone Before</v>
      </c>
      <c r="L376" s="16">
        <f>VLOOKUP(I376,episodes!$A$1:$D$81,3,FALSE)</f>
        <v>1</v>
      </c>
      <c r="M376" s="16">
        <f>VLOOKUP(I376,episodes!$A$1:$D$81,4,FALSE)</f>
        <v>3</v>
      </c>
      <c r="O376" s="14">
        <v>0</v>
      </c>
      <c r="P376" s="24">
        <f>LEN(E376)+LEN(K376)</f>
        <v>381</v>
      </c>
      <c r="Q376" s="24">
        <f>COUNTIFS(B:B,B375)</f>
        <v>128</v>
      </c>
      <c r="R376" s="24">
        <f>COUNTIFS(D:D,D376)</f>
        <v>128</v>
      </c>
    </row>
    <row r="377" spans="1:18" x14ac:dyDescent="0.3">
      <c r="A377" s="14">
        <v>600</v>
      </c>
      <c r="B377" s="21" t="s">
        <v>373</v>
      </c>
      <c r="C377" s="21" t="s">
        <v>2613</v>
      </c>
      <c r="D377" s="1" t="s">
        <v>2660</v>
      </c>
      <c r="E377" s="1" t="s">
        <v>945</v>
      </c>
      <c r="F377" s="21" t="s">
        <v>4</v>
      </c>
      <c r="G377" s="14">
        <v>1</v>
      </c>
      <c r="H377" s="14">
        <v>0</v>
      </c>
      <c r="I377" s="25">
        <v>106</v>
      </c>
      <c r="J377" s="23">
        <f>VLOOKUP(I377,episodes!$A$1:$B$76,2,FALSE)</f>
        <v>7</v>
      </c>
      <c r="K377" s="16" t="str">
        <f>VLOOKUP(I377,episodes!$A$1:$E$81,5,FALSE)</f>
        <v>Mudd's Women</v>
      </c>
      <c r="L377" s="16">
        <f>VLOOKUP(I377,episodes!$A$1:$D$81,3,FALSE)</f>
        <v>1</v>
      </c>
      <c r="M377" s="16">
        <f>VLOOKUP(I377,episodes!$A$1:$D$81,4,FALSE)</f>
        <v>6</v>
      </c>
      <c r="O377" s="14">
        <v>0</v>
      </c>
      <c r="P377" s="24">
        <f>LEN(E377)+LEN(K377)</f>
        <v>109</v>
      </c>
      <c r="Q377" s="24">
        <f>COUNTIFS(B:B,B376)</f>
        <v>128</v>
      </c>
      <c r="R377" s="24">
        <f>COUNTIFS(D:D,D377)</f>
        <v>128</v>
      </c>
    </row>
    <row r="378" spans="1:18" x14ac:dyDescent="0.3">
      <c r="A378" s="14">
        <v>658</v>
      </c>
      <c r="B378" s="21" t="s">
        <v>373</v>
      </c>
      <c r="C378" s="21" t="s">
        <v>2613</v>
      </c>
      <c r="D378" s="1" t="s">
        <v>2660</v>
      </c>
      <c r="E378" s="1" t="s">
        <v>964</v>
      </c>
      <c r="F378" s="21" t="s">
        <v>4</v>
      </c>
      <c r="G378" s="14">
        <v>1</v>
      </c>
      <c r="H378" s="14">
        <v>0</v>
      </c>
      <c r="I378" s="25">
        <v>110</v>
      </c>
      <c r="J378" s="23">
        <f>VLOOKUP(I378,episodes!$A$1:$B$76,2,FALSE)</f>
        <v>11</v>
      </c>
      <c r="K378" s="16" t="str">
        <f>VLOOKUP(I378,episodes!$A$1:$E$81,5,FALSE)</f>
        <v>The Corbomite Maneuver</v>
      </c>
      <c r="L378" s="16">
        <f>VLOOKUP(I378,episodes!$A$1:$D$81,3,FALSE)</f>
        <v>1</v>
      </c>
      <c r="M378" s="16">
        <f>VLOOKUP(I378,episodes!$A$1:$D$81,4,FALSE)</f>
        <v>10</v>
      </c>
      <c r="O378" s="14">
        <v>0</v>
      </c>
      <c r="P378" s="24">
        <f>LEN(E378)+LEN(K378)</f>
        <v>261</v>
      </c>
      <c r="Q378" s="24">
        <f>COUNTIFS(B:B,B377)</f>
        <v>128</v>
      </c>
      <c r="R378" s="24">
        <f>COUNTIFS(D:D,D378)</f>
        <v>128</v>
      </c>
    </row>
    <row r="379" spans="1:18" x14ac:dyDescent="0.3">
      <c r="A379" s="14">
        <v>543</v>
      </c>
      <c r="B379" s="21" t="s">
        <v>373</v>
      </c>
      <c r="C379" s="21" t="s">
        <v>2613</v>
      </c>
      <c r="D379" s="1" t="s">
        <v>2660</v>
      </c>
      <c r="E379" s="1" t="s">
        <v>1985</v>
      </c>
      <c r="F379" s="21" t="s">
        <v>4</v>
      </c>
      <c r="G379" s="14">
        <v>1</v>
      </c>
      <c r="H379" s="14">
        <v>0</v>
      </c>
      <c r="I379" s="25">
        <v>101</v>
      </c>
      <c r="J379" s="23">
        <f>VLOOKUP(I379,episodes!$A$1:$B$76,2,FALSE)</f>
        <v>2</v>
      </c>
      <c r="K379" s="16" t="str">
        <f>VLOOKUP(I379,episodes!$A$1:$E$81,5,FALSE)</f>
        <v>The Man Trap</v>
      </c>
      <c r="L379" s="16">
        <f>VLOOKUP(I379,episodes!$A$1:$D$81,3,FALSE)</f>
        <v>1</v>
      </c>
      <c r="M379" s="16">
        <f>VLOOKUP(I379,episodes!$A$1:$D$81,4,FALSE)</f>
        <v>1</v>
      </c>
      <c r="O379" s="14">
        <v>0</v>
      </c>
      <c r="P379" s="24">
        <f>LEN(E379)+LEN(K379)</f>
        <v>467</v>
      </c>
      <c r="Q379" s="24">
        <f>COUNTIFS(B:B,B378)</f>
        <v>128</v>
      </c>
      <c r="R379" s="24">
        <f>COUNTIFS(D:D,D379)</f>
        <v>128</v>
      </c>
    </row>
    <row r="380" spans="1:18" x14ac:dyDescent="0.3">
      <c r="A380" s="14">
        <v>560</v>
      </c>
      <c r="B380" s="21" t="s">
        <v>373</v>
      </c>
      <c r="C380" s="21" t="s">
        <v>2613</v>
      </c>
      <c r="D380" s="1" t="s">
        <v>2660</v>
      </c>
      <c r="E380" s="1" t="s">
        <v>1513</v>
      </c>
      <c r="F380" s="21" t="s">
        <v>4</v>
      </c>
      <c r="G380" s="14">
        <v>1</v>
      </c>
      <c r="H380" s="14">
        <v>0</v>
      </c>
      <c r="I380" s="25">
        <v>102</v>
      </c>
      <c r="J380" s="23">
        <f>VLOOKUP(I380,episodes!$A$1:$B$76,2,FALSE)</f>
        <v>3</v>
      </c>
      <c r="K380" s="16" t="str">
        <f>VLOOKUP(I380,episodes!$A$1:$E$81,5,FALSE)</f>
        <v>Charlie X</v>
      </c>
      <c r="L380" s="16">
        <f>VLOOKUP(I380,episodes!$A$1:$D$81,3,FALSE)</f>
        <v>1</v>
      </c>
      <c r="M380" s="16">
        <f>VLOOKUP(I380,episodes!$A$1:$D$81,4,FALSE)</f>
        <v>2</v>
      </c>
      <c r="O380" s="14">
        <v>0</v>
      </c>
      <c r="P380" s="24">
        <f>LEN(E380)+LEN(K380)</f>
        <v>182</v>
      </c>
      <c r="Q380" s="24">
        <f>COUNTIFS(B:B,B379)</f>
        <v>128</v>
      </c>
      <c r="R380" s="24">
        <f>COUNTIFS(D:D,D380)</f>
        <v>128</v>
      </c>
    </row>
    <row r="381" spans="1:18" x14ac:dyDescent="0.3">
      <c r="A381" s="14">
        <v>590</v>
      </c>
      <c r="B381" s="21" t="s">
        <v>373</v>
      </c>
      <c r="C381" s="21" t="s">
        <v>2613</v>
      </c>
      <c r="D381" s="1" t="s">
        <v>2660</v>
      </c>
      <c r="E381" s="1" t="s">
        <v>969</v>
      </c>
      <c r="F381" s="21" t="s">
        <v>4</v>
      </c>
      <c r="G381" s="14">
        <v>1</v>
      </c>
      <c r="H381" s="14">
        <v>0</v>
      </c>
      <c r="I381" s="25">
        <v>105</v>
      </c>
      <c r="J381" s="23">
        <f>VLOOKUP(I381,episodes!$A$1:$B$76,2,FALSE)</f>
        <v>6</v>
      </c>
      <c r="K381" s="16" t="str">
        <f>VLOOKUP(I381,episodes!$A$1:$E$81,5,FALSE)</f>
        <v>The Enemy Within</v>
      </c>
      <c r="L381" s="16">
        <f>VLOOKUP(I381,episodes!$A$1:$D$81,3,FALSE)</f>
        <v>1</v>
      </c>
      <c r="M381" s="16">
        <f>VLOOKUP(I381,episodes!$A$1:$D$81,4,FALSE)</f>
        <v>5</v>
      </c>
      <c r="O381" s="14">
        <v>0</v>
      </c>
      <c r="P381" s="24">
        <f>LEN(E381)+LEN(K381)</f>
        <v>232</v>
      </c>
      <c r="Q381" s="24">
        <f>COUNTIFS(B:B,B380)</f>
        <v>128</v>
      </c>
      <c r="R381" s="24">
        <f>COUNTIFS(D:D,D381)</f>
        <v>128</v>
      </c>
    </row>
    <row r="382" spans="1:18" x14ac:dyDescent="0.3">
      <c r="A382" s="14">
        <v>696</v>
      </c>
      <c r="B382" s="21" t="s">
        <v>373</v>
      </c>
      <c r="C382" s="21" t="s">
        <v>2613</v>
      </c>
      <c r="D382" s="1" t="s">
        <v>2660</v>
      </c>
      <c r="E382" s="1" t="s">
        <v>980</v>
      </c>
      <c r="F382" s="21" t="s">
        <v>4</v>
      </c>
      <c r="G382" s="14">
        <v>1</v>
      </c>
      <c r="H382" s="14">
        <v>0</v>
      </c>
      <c r="I382" s="25">
        <v>114</v>
      </c>
      <c r="J382" s="23">
        <f>VLOOKUP(I382,episodes!$A$1:$B$76,2,FALSE)</f>
        <v>15</v>
      </c>
      <c r="K382" s="16" t="str">
        <f>VLOOKUP(I382,episodes!$A$1:$E$81,5,FALSE)</f>
        <v>Balance of Terror</v>
      </c>
      <c r="L382" s="16">
        <f>VLOOKUP(I382,episodes!$A$1:$D$81,3,FALSE)</f>
        <v>1</v>
      </c>
      <c r="M382" s="16">
        <f>VLOOKUP(I382,episodes!$A$1:$D$81,4,FALSE)</f>
        <v>14</v>
      </c>
      <c r="O382" s="14">
        <v>0</v>
      </c>
      <c r="P382" s="24">
        <f>LEN(E382)+LEN(K382)</f>
        <v>261</v>
      </c>
      <c r="Q382" s="24">
        <f>COUNTIFS(B:B,B381)</f>
        <v>128</v>
      </c>
      <c r="R382" s="24">
        <f>COUNTIFS(D:D,D382)</f>
        <v>128</v>
      </c>
    </row>
    <row r="383" spans="1:18" x14ac:dyDescent="0.3">
      <c r="A383" s="14">
        <v>616</v>
      </c>
      <c r="B383" s="21" t="s">
        <v>373</v>
      </c>
      <c r="C383" s="21" t="s">
        <v>2613</v>
      </c>
      <c r="D383" s="1" t="s">
        <v>2660</v>
      </c>
      <c r="E383" s="1" t="s">
        <v>1705</v>
      </c>
      <c r="F383" s="21" t="s">
        <v>4</v>
      </c>
      <c r="G383" s="14">
        <v>1</v>
      </c>
      <c r="H383" s="14">
        <v>0</v>
      </c>
      <c r="I383" s="25">
        <v>107</v>
      </c>
      <c r="J383" s="23">
        <f>VLOOKUP(I383,episodes!$A$1:$B$76,2,FALSE)</f>
        <v>8</v>
      </c>
      <c r="K383" s="16" t="str">
        <f>VLOOKUP(I383,episodes!$A$1:$E$81,5,FALSE)</f>
        <v>What Are Little Girls Made Of?</v>
      </c>
      <c r="L383" s="16">
        <f>VLOOKUP(I383,episodes!$A$1:$D$81,3,FALSE)</f>
        <v>1</v>
      </c>
      <c r="M383" s="16">
        <f>VLOOKUP(I383,episodes!$A$1:$D$81,4,FALSE)</f>
        <v>7</v>
      </c>
      <c r="O383" s="14">
        <v>0</v>
      </c>
      <c r="P383" s="24">
        <f>LEN(E383)+LEN(K383)</f>
        <v>266</v>
      </c>
      <c r="Q383" s="24">
        <f>COUNTIFS(B:B,B382)</f>
        <v>128</v>
      </c>
      <c r="R383" s="24">
        <f>COUNTIFS(D:D,D383)</f>
        <v>128</v>
      </c>
    </row>
    <row r="384" spans="1:18" x14ac:dyDescent="0.3">
      <c r="A384" s="14">
        <v>634</v>
      </c>
      <c r="B384" s="21" t="s">
        <v>373</v>
      </c>
      <c r="C384" s="21" t="s">
        <v>2613</v>
      </c>
      <c r="D384" s="1" t="s">
        <v>2660</v>
      </c>
      <c r="E384" s="1" t="s">
        <v>972</v>
      </c>
      <c r="F384" s="21" t="s">
        <v>4</v>
      </c>
      <c r="G384" s="14">
        <v>1</v>
      </c>
      <c r="H384" s="14">
        <v>0</v>
      </c>
      <c r="I384" s="25">
        <v>108</v>
      </c>
      <c r="J384" s="23">
        <f>VLOOKUP(I384,episodes!$A$1:$B$76,2,FALSE)</f>
        <v>9</v>
      </c>
      <c r="K384" s="16" t="str">
        <f>VLOOKUP(I384,episodes!$A$1:$E$81,5,FALSE)</f>
        <v>Miri</v>
      </c>
      <c r="L384" s="16">
        <f>VLOOKUP(I384,episodes!$A$1:$D$81,3,FALSE)</f>
        <v>1</v>
      </c>
      <c r="M384" s="16">
        <f>VLOOKUP(I384,episodes!$A$1:$D$81,4,FALSE)</f>
        <v>8</v>
      </c>
      <c r="O384" s="14">
        <v>0</v>
      </c>
      <c r="P384" s="24">
        <f>LEN(E384)+LEN(K384)</f>
        <v>255</v>
      </c>
      <c r="Q384" s="24">
        <f>COUNTIFS(B:B,B383)</f>
        <v>128</v>
      </c>
      <c r="R384" s="24">
        <f>COUNTIFS(D:D,D384)</f>
        <v>128</v>
      </c>
    </row>
    <row r="385" spans="1:18" x14ac:dyDescent="0.3">
      <c r="A385" s="14">
        <v>648</v>
      </c>
      <c r="B385" s="21" t="s">
        <v>373</v>
      </c>
      <c r="C385" s="21" t="s">
        <v>2613</v>
      </c>
      <c r="D385" s="1" t="s">
        <v>2660</v>
      </c>
      <c r="E385" s="1" t="s">
        <v>974</v>
      </c>
      <c r="F385" s="21" t="s">
        <v>4</v>
      </c>
      <c r="G385" s="14">
        <v>1</v>
      </c>
      <c r="H385" s="14">
        <v>0</v>
      </c>
      <c r="I385" s="25">
        <v>109</v>
      </c>
      <c r="J385" s="23">
        <f>VLOOKUP(I385,episodes!$A$1:$B$76,2,FALSE)</f>
        <v>10</v>
      </c>
      <c r="K385" s="16" t="str">
        <f>VLOOKUP(I385,episodes!$A$1:$E$81,5,FALSE)</f>
        <v>Dagger of the Mind</v>
      </c>
      <c r="L385" s="16">
        <f>VLOOKUP(I385,episodes!$A$1:$D$81,3,FALSE)</f>
        <v>1</v>
      </c>
      <c r="M385" s="16">
        <f>VLOOKUP(I385,episodes!$A$1:$D$81,4,FALSE)</f>
        <v>9</v>
      </c>
      <c r="O385" s="14">
        <v>0</v>
      </c>
      <c r="P385" s="24">
        <f>LEN(E385)+LEN(K385)</f>
        <v>140</v>
      </c>
      <c r="Q385" s="24">
        <f>COUNTIFS(B:B,B384)</f>
        <v>128</v>
      </c>
      <c r="R385" s="24">
        <f>COUNTIFS(D:D,D385)</f>
        <v>128</v>
      </c>
    </row>
    <row r="386" spans="1:18" x14ac:dyDescent="0.3">
      <c r="A386" s="14">
        <v>685</v>
      </c>
      <c r="B386" s="21" t="s">
        <v>373</v>
      </c>
      <c r="C386" s="21" t="s">
        <v>2613</v>
      </c>
      <c r="D386" s="1" t="s">
        <v>2660</v>
      </c>
      <c r="E386" s="1" t="s">
        <v>967</v>
      </c>
      <c r="F386" s="21" t="s">
        <v>4</v>
      </c>
      <c r="G386" s="14">
        <v>1</v>
      </c>
      <c r="H386" s="14">
        <v>0</v>
      </c>
      <c r="I386" s="25">
        <v>113</v>
      </c>
      <c r="J386" s="23">
        <f>VLOOKUP(I386,episodes!$A$1:$B$76,2,FALSE)</f>
        <v>14</v>
      </c>
      <c r="K386" s="16" t="str">
        <f>VLOOKUP(I386,episodes!$A$1:$E$81,5,FALSE)</f>
        <v>The Conscience of the King</v>
      </c>
      <c r="L386" s="16">
        <f>VLOOKUP(I386,episodes!$A$1:$D$81,3,FALSE)</f>
        <v>1</v>
      </c>
      <c r="M386" s="16">
        <f>VLOOKUP(I386,episodes!$A$1:$D$81,4,FALSE)</f>
        <v>13</v>
      </c>
      <c r="O386" s="14">
        <v>0</v>
      </c>
      <c r="P386" s="24">
        <f>LEN(E386)+LEN(K386)</f>
        <v>294</v>
      </c>
      <c r="Q386" s="24">
        <f>COUNTIFS(B:B,B385)</f>
        <v>128</v>
      </c>
      <c r="R386" s="24">
        <f>COUNTIFS(D:D,D386)</f>
        <v>128</v>
      </c>
    </row>
    <row r="387" spans="1:18" x14ac:dyDescent="0.3">
      <c r="A387" s="14">
        <v>721</v>
      </c>
      <c r="B387" s="21" t="s">
        <v>373</v>
      </c>
      <c r="C387" s="21" t="s">
        <v>2613</v>
      </c>
      <c r="D387" s="1" t="s">
        <v>2660</v>
      </c>
      <c r="E387" s="1" t="s">
        <v>981</v>
      </c>
      <c r="F387" s="21" t="s">
        <v>4</v>
      </c>
      <c r="G387" s="14">
        <v>1</v>
      </c>
      <c r="H387" s="14">
        <v>0</v>
      </c>
      <c r="I387" s="22">
        <v>116</v>
      </c>
      <c r="J387" s="23">
        <f>VLOOKUP(I387,episodes!$A$1:$B$76,2,FALSE)</f>
        <v>17</v>
      </c>
      <c r="K387" s="16" t="str">
        <f>VLOOKUP(I387,episodes!$A$1:$E$81,5,FALSE)</f>
        <v>The Galileo Seven</v>
      </c>
      <c r="L387" s="16">
        <f>VLOOKUP(I387,episodes!$A$1:$D$81,3,FALSE)</f>
        <v>1</v>
      </c>
      <c r="M387" s="16">
        <f>VLOOKUP(I387,episodes!$A$1:$D$81,4,FALSE)</f>
        <v>16</v>
      </c>
      <c r="O387" s="14">
        <v>0</v>
      </c>
      <c r="P387" s="24">
        <f>LEN(E387)+LEN(K387)</f>
        <v>351</v>
      </c>
      <c r="Q387" s="24">
        <f>COUNTIFS(B:B,B386)</f>
        <v>128</v>
      </c>
      <c r="R387" s="24">
        <f>COUNTIFS(D:D,D387)</f>
        <v>128</v>
      </c>
    </row>
    <row r="388" spans="1:18" x14ac:dyDescent="0.3">
      <c r="A388" s="14">
        <v>770</v>
      </c>
      <c r="B388" s="21" t="s">
        <v>373</v>
      </c>
      <c r="C388" s="21" t="s">
        <v>2613</v>
      </c>
      <c r="D388" s="1" t="s">
        <v>2660</v>
      </c>
      <c r="E388" s="1" t="s">
        <v>1523</v>
      </c>
      <c r="F388" s="21" t="s">
        <v>4</v>
      </c>
      <c r="G388" s="14">
        <v>1</v>
      </c>
      <c r="H388" s="14">
        <v>0</v>
      </c>
      <c r="I388" s="22">
        <v>120</v>
      </c>
      <c r="J388" s="23">
        <f>VLOOKUP(I388,episodes!$A$1:$B$76,2,FALSE)</f>
        <v>21</v>
      </c>
      <c r="K388" s="16" t="str">
        <f>VLOOKUP(I388,episodes!$A$1:$E$81,5,FALSE)</f>
        <v>Court Martial</v>
      </c>
      <c r="L388" s="16">
        <f>VLOOKUP(I388,episodes!$A$1:$D$81,3,FALSE)</f>
        <v>1</v>
      </c>
      <c r="M388" s="16">
        <f>VLOOKUP(I388,episodes!$A$1:$D$81,4,FALSE)</f>
        <v>20</v>
      </c>
      <c r="O388" s="14">
        <v>0</v>
      </c>
      <c r="P388" s="24">
        <f>LEN(E388)+LEN(K388)</f>
        <v>310</v>
      </c>
      <c r="Q388" s="24">
        <f>COUNTIFS(B:B,B387)</f>
        <v>128</v>
      </c>
      <c r="R388" s="24">
        <f>COUNTIFS(D:D,D388)</f>
        <v>128</v>
      </c>
    </row>
    <row r="389" spans="1:18" x14ac:dyDescent="0.3">
      <c r="A389" s="14">
        <v>676</v>
      </c>
      <c r="B389" s="21" t="s">
        <v>373</v>
      </c>
      <c r="C389" s="21" t="s">
        <v>2613</v>
      </c>
      <c r="D389" s="1" t="s">
        <v>2660</v>
      </c>
      <c r="E389" s="1" t="s">
        <v>976</v>
      </c>
      <c r="F389" s="21" t="s">
        <v>4</v>
      </c>
      <c r="G389" s="14">
        <v>1</v>
      </c>
      <c r="H389" s="14">
        <v>0</v>
      </c>
      <c r="I389" s="25">
        <v>111</v>
      </c>
      <c r="J389" s="23">
        <f>VLOOKUP(I389,episodes!$A$1:$B$76,2,FALSE)</f>
        <v>12</v>
      </c>
      <c r="K389" s="16" t="str">
        <f>VLOOKUP(I389,episodes!$A$1:$E$81,5,FALSE)</f>
        <v>The Menagerie, Part I</v>
      </c>
      <c r="L389" s="16">
        <f>VLOOKUP(I389,episodes!$A$1:$D$81,3,FALSE)</f>
        <v>1</v>
      </c>
      <c r="M389" s="16">
        <f>VLOOKUP(I389,episodes!$A$1:$D$81,4,FALSE)</f>
        <v>11</v>
      </c>
      <c r="O389" s="14">
        <v>0</v>
      </c>
      <c r="P389" s="24">
        <f>LEN(E389)+LEN(K389)</f>
        <v>397</v>
      </c>
      <c r="Q389" s="24">
        <f>COUNTIFS(B:B,B388)</f>
        <v>128</v>
      </c>
      <c r="R389" s="24">
        <f>COUNTIFS(D:D,D389)</f>
        <v>128</v>
      </c>
    </row>
    <row r="390" spans="1:18" x14ac:dyDescent="0.3">
      <c r="A390" s="14">
        <v>954</v>
      </c>
      <c r="B390" s="21" t="s">
        <v>373</v>
      </c>
      <c r="C390" s="21" t="s">
        <v>2613</v>
      </c>
      <c r="D390" s="1" t="s">
        <v>2660</v>
      </c>
      <c r="E390" s="1" t="s">
        <v>1528</v>
      </c>
      <c r="F390" s="21" t="s">
        <v>4</v>
      </c>
      <c r="G390" s="14">
        <v>1</v>
      </c>
      <c r="H390" s="14">
        <v>0</v>
      </c>
      <c r="I390" s="22">
        <v>207</v>
      </c>
      <c r="J390" s="23">
        <f>VLOOKUP(I390,episodes!$A$1:$B$81,2,FALSE)</f>
        <v>37</v>
      </c>
      <c r="K390" s="16" t="str">
        <f>VLOOKUP(I390,episodes!$A$1:$E$81,5,FALSE)</f>
        <v>Catspaw</v>
      </c>
      <c r="L390" s="16">
        <f>VLOOKUP(I390,episodes!$A$1:$D$81,3,FALSE)</f>
        <v>2</v>
      </c>
      <c r="M390" s="16">
        <f>VLOOKUP(I390,episodes!$A$1:$D$81,4,FALSE)</f>
        <v>7</v>
      </c>
      <c r="O390" s="14">
        <v>0</v>
      </c>
      <c r="P390" s="24">
        <f>LEN(E390)+LEN(K390)</f>
        <v>360</v>
      </c>
      <c r="Q390" s="24">
        <f>COUNTIFS(B:B,B389)</f>
        <v>128</v>
      </c>
      <c r="R390" s="24">
        <f>COUNTIFS(D:D,D390)</f>
        <v>128</v>
      </c>
    </row>
    <row r="391" spans="1:18" x14ac:dyDescent="0.3">
      <c r="A391" s="14">
        <v>706</v>
      </c>
      <c r="B391" s="21" t="s">
        <v>373</v>
      </c>
      <c r="C391" s="21" t="s">
        <v>2613</v>
      </c>
      <c r="D391" s="1" t="s">
        <v>2660</v>
      </c>
      <c r="E391" s="1" t="s">
        <v>953</v>
      </c>
      <c r="F391" s="21" t="s">
        <v>4</v>
      </c>
      <c r="G391" s="14">
        <v>1</v>
      </c>
      <c r="H391" s="14">
        <v>0</v>
      </c>
      <c r="I391" s="22">
        <v>115</v>
      </c>
      <c r="J391" s="23">
        <f>VLOOKUP(I391,episodes!$A$1:$B$76,2,FALSE)</f>
        <v>16</v>
      </c>
      <c r="K391" s="16" t="str">
        <f>VLOOKUP(I391,episodes!$A$1:$E$81,5,FALSE)</f>
        <v>Shore Leave</v>
      </c>
      <c r="L391" s="16">
        <f>VLOOKUP(I391,episodes!$A$1:$D$81,3,FALSE)</f>
        <v>1</v>
      </c>
      <c r="M391" s="16">
        <f>VLOOKUP(I391,episodes!$A$1:$D$81,4,FALSE)</f>
        <v>15</v>
      </c>
      <c r="O391" s="14">
        <v>0</v>
      </c>
      <c r="P391" s="24">
        <f>LEN(E391)+LEN(K391)</f>
        <v>293</v>
      </c>
      <c r="Q391" s="24">
        <f>COUNTIFS(B:B,B390)</f>
        <v>128</v>
      </c>
      <c r="R391" s="24">
        <f>COUNTIFS(D:D,D391)</f>
        <v>128</v>
      </c>
    </row>
    <row r="392" spans="1:18" x14ac:dyDescent="0.3">
      <c r="A392" s="14">
        <v>742</v>
      </c>
      <c r="B392" s="21" t="s">
        <v>373</v>
      </c>
      <c r="C392" s="21" t="s">
        <v>2613</v>
      </c>
      <c r="D392" s="1" t="s">
        <v>2660</v>
      </c>
      <c r="E392" s="1" t="s">
        <v>958</v>
      </c>
      <c r="F392" s="21" t="s">
        <v>4</v>
      </c>
      <c r="G392" s="14">
        <v>1</v>
      </c>
      <c r="H392" s="14">
        <v>0</v>
      </c>
      <c r="I392" s="22">
        <v>118</v>
      </c>
      <c r="J392" s="23">
        <f>VLOOKUP(I392,episodes!$A$1:$B$76,2,FALSE)</f>
        <v>19</v>
      </c>
      <c r="K392" s="16" t="str">
        <f>VLOOKUP(I392,episodes!$A$1:$E$81,5,FALSE)</f>
        <v>Arena</v>
      </c>
      <c r="L392" s="16">
        <f>VLOOKUP(I392,episodes!$A$1:$D$81,3,FALSE)</f>
        <v>1</v>
      </c>
      <c r="M392" s="16">
        <f>VLOOKUP(I392,episodes!$A$1:$D$81,4,FALSE)</f>
        <v>18</v>
      </c>
      <c r="O392" s="14">
        <v>0</v>
      </c>
      <c r="P392" s="24">
        <f>LEN(E392)+LEN(K392)</f>
        <v>196</v>
      </c>
      <c r="Q392" s="24">
        <f>COUNTIFS(B:B,B391)</f>
        <v>128</v>
      </c>
      <c r="R392" s="24">
        <f>COUNTIFS(D:D,D392)</f>
        <v>128</v>
      </c>
    </row>
    <row r="393" spans="1:18" x14ac:dyDescent="0.3">
      <c r="A393" s="14">
        <v>863</v>
      </c>
      <c r="B393" s="21" t="s">
        <v>373</v>
      </c>
      <c r="C393" s="21" t="s">
        <v>2613</v>
      </c>
      <c r="D393" s="1" t="s">
        <v>2660</v>
      </c>
      <c r="E393" s="1" t="s">
        <v>1002</v>
      </c>
      <c r="F393" s="21" t="s">
        <v>4</v>
      </c>
      <c r="G393" s="14">
        <v>1</v>
      </c>
      <c r="H393" s="14">
        <v>0</v>
      </c>
      <c r="I393" s="22">
        <v>127</v>
      </c>
      <c r="J393" s="23">
        <f>VLOOKUP(I393,episodes!$A$1:$B$76,2,FALSE)</f>
        <v>28</v>
      </c>
      <c r="K393" s="16" t="str">
        <f>VLOOKUP(I393,episodes!$A$1:$E$81,5,FALSE)</f>
        <v>The Alternative Factor</v>
      </c>
      <c r="L393" s="16">
        <f>VLOOKUP(I393,episodes!$A$1:$D$81,3,FALSE)</f>
        <v>1</v>
      </c>
      <c r="M393" s="16">
        <f>VLOOKUP(I393,episodes!$A$1:$D$81,4,FALSE)</f>
        <v>27</v>
      </c>
      <c r="O393" s="14">
        <v>0</v>
      </c>
      <c r="P393" s="24">
        <f>LEN(E393)+LEN(K393)</f>
        <v>412</v>
      </c>
      <c r="Q393" s="24">
        <f>COUNTIFS(B:B,B392)</f>
        <v>128</v>
      </c>
      <c r="R393" s="24">
        <f>COUNTIFS(D:D,D393)</f>
        <v>128</v>
      </c>
    </row>
    <row r="394" spans="1:18" x14ac:dyDescent="0.3">
      <c r="A394" s="14">
        <v>758</v>
      </c>
      <c r="B394" s="21" t="s">
        <v>373</v>
      </c>
      <c r="C394" s="21" t="s">
        <v>2613</v>
      </c>
      <c r="D394" s="1" t="s">
        <v>2660</v>
      </c>
      <c r="E394" s="1" t="s">
        <v>984</v>
      </c>
      <c r="F394" s="21" t="s">
        <v>4</v>
      </c>
      <c r="G394" s="14">
        <v>1</v>
      </c>
      <c r="H394" s="14">
        <v>0</v>
      </c>
      <c r="I394" s="22">
        <v>119</v>
      </c>
      <c r="J394" s="23">
        <f>VLOOKUP(I394,episodes!$A$1:$B$76,2,FALSE)</f>
        <v>20</v>
      </c>
      <c r="K394" s="16" t="str">
        <f>VLOOKUP(I394,episodes!$A$1:$E$81,5,FALSE)</f>
        <v>Tomorrow Is Yesterday</v>
      </c>
      <c r="L394" s="16">
        <f>VLOOKUP(I394,episodes!$A$1:$D$81,3,FALSE)</f>
        <v>1</v>
      </c>
      <c r="M394" s="16">
        <f>VLOOKUP(I394,episodes!$A$1:$D$81,4,FALSE)</f>
        <v>19</v>
      </c>
      <c r="O394" s="14">
        <v>0</v>
      </c>
      <c r="P394" s="24">
        <f>LEN(E394)+LEN(K394)</f>
        <v>377</v>
      </c>
      <c r="Q394" s="24">
        <f>COUNTIFS(B:B,B393)</f>
        <v>128</v>
      </c>
      <c r="R394" s="24">
        <f>COUNTIFS(D:D,D394)</f>
        <v>128</v>
      </c>
    </row>
    <row r="395" spans="1:18" x14ac:dyDescent="0.3">
      <c r="A395" s="14">
        <v>796</v>
      </c>
      <c r="B395" s="21" t="s">
        <v>373</v>
      </c>
      <c r="C395" s="21" t="s">
        <v>2613</v>
      </c>
      <c r="D395" s="1" t="s">
        <v>2660</v>
      </c>
      <c r="E395" s="1" t="s">
        <v>995</v>
      </c>
      <c r="F395" s="21" t="s">
        <v>4</v>
      </c>
      <c r="G395" s="14">
        <v>1</v>
      </c>
      <c r="H395" s="14">
        <v>0</v>
      </c>
      <c r="I395" s="22">
        <v>122</v>
      </c>
      <c r="J395" s="23">
        <f>VLOOKUP(I395,episodes!$A$1:$B$76,2,FALSE)</f>
        <v>23</v>
      </c>
      <c r="K395" s="16" t="str">
        <f>VLOOKUP(I395,episodes!$A$1:$E$81,5,FALSE)</f>
        <v>Space Seed</v>
      </c>
      <c r="L395" s="16">
        <f>VLOOKUP(I395,episodes!$A$1:$D$81,3,FALSE)</f>
        <v>1</v>
      </c>
      <c r="M395" s="16">
        <f>VLOOKUP(I395,episodes!$A$1:$D$81,4,FALSE)</f>
        <v>22</v>
      </c>
      <c r="O395" s="14">
        <v>0</v>
      </c>
      <c r="P395" s="24">
        <f>LEN(E395)+LEN(K395)</f>
        <v>291</v>
      </c>
      <c r="Q395" s="24">
        <f>COUNTIFS(B:B,B394)</f>
        <v>128</v>
      </c>
      <c r="R395" s="24">
        <f>COUNTIFS(D:D,D395)</f>
        <v>128</v>
      </c>
    </row>
    <row r="396" spans="1:18" x14ac:dyDescent="0.3">
      <c r="A396" s="14">
        <v>780</v>
      </c>
      <c r="B396" s="21" t="s">
        <v>373</v>
      </c>
      <c r="C396" s="21" t="s">
        <v>2613</v>
      </c>
      <c r="D396" s="1" t="s">
        <v>2660</v>
      </c>
      <c r="E396" s="1" t="s">
        <v>992</v>
      </c>
      <c r="F396" s="21" t="s">
        <v>4</v>
      </c>
      <c r="G396" s="14">
        <v>1</v>
      </c>
      <c r="H396" s="14">
        <v>0</v>
      </c>
      <c r="I396" s="22">
        <v>121</v>
      </c>
      <c r="J396" s="23">
        <f>VLOOKUP(I396,episodes!$A$1:$B$76,2,FALSE)</f>
        <v>22</v>
      </c>
      <c r="K396" s="16" t="str">
        <f>VLOOKUP(I396,episodes!$A$1:$E$81,5,FALSE)</f>
        <v>The Return of the Archons</v>
      </c>
      <c r="L396" s="16">
        <f>VLOOKUP(I396,episodes!$A$1:$D$81,3,FALSE)</f>
        <v>1</v>
      </c>
      <c r="M396" s="16">
        <f>VLOOKUP(I396,episodes!$A$1:$D$81,4,FALSE)</f>
        <v>21</v>
      </c>
      <c r="O396" s="14">
        <v>0</v>
      </c>
      <c r="P396" s="24">
        <f>LEN(E396)+LEN(K396)</f>
        <v>405</v>
      </c>
      <c r="Q396" s="24">
        <f>COUNTIFS(B:B,B395)</f>
        <v>128</v>
      </c>
      <c r="R396" s="24">
        <f>COUNTIFS(D:D,D396)</f>
        <v>128</v>
      </c>
    </row>
    <row r="397" spans="1:18" x14ac:dyDescent="0.3">
      <c r="A397" s="14">
        <v>804</v>
      </c>
      <c r="B397" s="21" t="s">
        <v>373</v>
      </c>
      <c r="C397" s="21" t="s">
        <v>2613</v>
      </c>
      <c r="D397" s="1" t="s">
        <v>2660</v>
      </c>
      <c r="E397" s="1" t="s">
        <v>1990</v>
      </c>
      <c r="F397" s="21" t="s">
        <v>4</v>
      </c>
      <c r="G397" s="14">
        <v>1</v>
      </c>
      <c r="H397" s="14">
        <v>0</v>
      </c>
      <c r="I397" s="22">
        <v>123</v>
      </c>
      <c r="J397" s="23">
        <f>VLOOKUP(I397,episodes!$A$1:$B$76,2,FALSE)</f>
        <v>24</v>
      </c>
      <c r="K397" s="16" t="str">
        <f>VLOOKUP(I397,episodes!$A$1:$E$81,5,FALSE)</f>
        <v>A Taste of Armageddon</v>
      </c>
      <c r="L397" s="16">
        <f>VLOOKUP(I397,episodes!$A$1:$D$81,3,FALSE)</f>
        <v>1</v>
      </c>
      <c r="M397" s="16">
        <f>VLOOKUP(I397,episodes!$A$1:$D$81,4,FALSE)</f>
        <v>23</v>
      </c>
      <c r="O397" s="14">
        <v>0</v>
      </c>
      <c r="P397" s="24">
        <f>LEN(E397)+LEN(K397)</f>
        <v>341</v>
      </c>
      <c r="Q397" s="24">
        <f>COUNTIFS(B:B,B396)</f>
        <v>128</v>
      </c>
      <c r="R397" s="24">
        <f>COUNTIFS(D:D,D397)</f>
        <v>128</v>
      </c>
    </row>
    <row r="398" spans="1:18" x14ac:dyDescent="0.3">
      <c r="A398" s="14">
        <v>834</v>
      </c>
      <c r="B398" s="21" t="s">
        <v>373</v>
      </c>
      <c r="C398" s="21" t="s">
        <v>2613</v>
      </c>
      <c r="D398" s="1" t="s">
        <v>2660</v>
      </c>
      <c r="E398" s="1" t="s">
        <v>2170</v>
      </c>
      <c r="F398" s="21" t="s">
        <v>4</v>
      </c>
      <c r="G398" s="14">
        <v>1</v>
      </c>
      <c r="H398" s="14">
        <v>0</v>
      </c>
      <c r="I398" s="22">
        <v>125</v>
      </c>
      <c r="J398" s="23">
        <f>VLOOKUP(I398,episodes!$A$1:$B$76,2,FALSE)</f>
        <v>26</v>
      </c>
      <c r="K398" s="16" t="str">
        <f>VLOOKUP(I398,episodes!$A$1:$E$81,5,FALSE)</f>
        <v>The Devil in the Dark</v>
      </c>
      <c r="L398" s="16">
        <f>VLOOKUP(I398,episodes!$A$1:$D$81,3,FALSE)</f>
        <v>1</v>
      </c>
      <c r="M398" s="16">
        <f>VLOOKUP(I398,episodes!$A$1:$D$81,4,FALSE)</f>
        <v>25</v>
      </c>
      <c r="O398" s="14">
        <v>0</v>
      </c>
      <c r="P398" s="24">
        <f>LEN(E398)+LEN(K398)</f>
        <v>308</v>
      </c>
      <c r="Q398" s="24">
        <f>COUNTIFS(B:B,B397)</f>
        <v>128</v>
      </c>
      <c r="R398" s="24">
        <f>COUNTIFS(D:D,D398)</f>
        <v>128</v>
      </c>
    </row>
    <row r="399" spans="1:18" x14ac:dyDescent="0.3">
      <c r="A399" s="14">
        <v>849</v>
      </c>
      <c r="B399" s="21" t="s">
        <v>373</v>
      </c>
      <c r="C399" s="21" t="s">
        <v>2613</v>
      </c>
      <c r="D399" s="1" t="s">
        <v>2660</v>
      </c>
      <c r="E399" s="1" t="s">
        <v>1000</v>
      </c>
      <c r="F399" s="21" t="s">
        <v>4</v>
      </c>
      <c r="G399" s="14">
        <v>1</v>
      </c>
      <c r="H399" s="14">
        <v>0</v>
      </c>
      <c r="I399" s="26">
        <v>126</v>
      </c>
      <c r="J399" s="23">
        <f>VLOOKUP(I399,episodes!$A$1:$B$76,2,FALSE)</f>
        <v>27</v>
      </c>
      <c r="K399" s="16" t="str">
        <f>VLOOKUP(I399,episodes!$A$1:$E$81,5,FALSE)</f>
        <v>Errand of Mercy</v>
      </c>
      <c r="L399" s="16">
        <f>VLOOKUP(I399,episodes!$A$1:$D$81,3,FALSE)</f>
        <v>1</v>
      </c>
      <c r="M399" s="16">
        <f>VLOOKUP(I399,episodes!$A$1:$D$81,4,FALSE)</f>
        <v>26</v>
      </c>
      <c r="O399" s="14">
        <v>0</v>
      </c>
      <c r="P399" s="24">
        <f>LEN(E399)+LEN(K399)</f>
        <v>153</v>
      </c>
      <c r="Q399" s="24">
        <f>COUNTIFS(B:B,B398)</f>
        <v>128</v>
      </c>
      <c r="R399" s="24">
        <f>COUNTIFS(D:D,D399)</f>
        <v>128</v>
      </c>
    </row>
    <row r="400" spans="1:18" x14ac:dyDescent="0.3">
      <c r="A400" s="14">
        <v>875</v>
      </c>
      <c r="B400" s="21" t="s">
        <v>373</v>
      </c>
      <c r="C400" s="21" t="s">
        <v>2613</v>
      </c>
      <c r="D400" s="1" t="s">
        <v>2660</v>
      </c>
      <c r="E400" s="1" t="s">
        <v>1996</v>
      </c>
      <c r="F400" s="21" t="s">
        <v>4</v>
      </c>
      <c r="G400" s="14">
        <v>1</v>
      </c>
      <c r="H400" s="14">
        <v>0</v>
      </c>
      <c r="I400" s="22">
        <v>129</v>
      </c>
      <c r="J400" s="23">
        <f>VLOOKUP(I400,episodes!$A$1:$B$76,2,FALSE)</f>
        <v>30</v>
      </c>
      <c r="K400" s="16" t="str">
        <f>VLOOKUP(I400,episodes!$A$1:$E$81,5,FALSE)</f>
        <v>Operation: Annihilate!</v>
      </c>
      <c r="L400" s="16">
        <f>VLOOKUP(I400,episodes!$A$1:$D$81,3,FALSE)</f>
        <v>1</v>
      </c>
      <c r="M400" s="16">
        <f>VLOOKUP(I400,episodes!$A$1:$D$81,4,FALSE)</f>
        <v>29</v>
      </c>
      <c r="O400" s="14">
        <v>0</v>
      </c>
      <c r="P400" s="24">
        <f>LEN(E400)+LEN(K400)</f>
        <v>252</v>
      </c>
      <c r="Q400" s="24">
        <f>COUNTIFS(B:B,B399)</f>
        <v>128</v>
      </c>
      <c r="R400" s="24">
        <f>COUNTIFS(D:D,D400)</f>
        <v>128</v>
      </c>
    </row>
    <row r="401" spans="1:18" x14ac:dyDescent="0.3">
      <c r="A401" s="14">
        <v>886</v>
      </c>
      <c r="B401" s="21" t="s">
        <v>373</v>
      </c>
      <c r="C401" s="21" t="s">
        <v>2613</v>
      </c>
      <c r="D401" s="1" t="s">
        <v>2660</v>
      </c>
      <c r="E401" s="1" t="s">
        <v>1006</v>
      </c>
      <c r="F401" s="21" t="s">
        <v>4</v>
      </c>
      <c r="G401" s="14">
        <v>1</v>
      </c>
      <c r="H401" s="14">
        <v>0</v>
      </c>
      <c r="I401" s="22">
        <v>201</v>
      </c>
      <c r="J401" s="23">
        <f>VLOOKUP(I401,episodes!$A$1:$B$76,2,FALSE)</f>
        <v>31</v>
      </c>
      <c r="K401" s="16" t="str">
        <f>VLOOKUP(I401,episodes!$A$1:$E$81,5,FALSE)</f>
        <v>Amok Time</v>
      </c>
      <c r="L401" s="16">
        <f>VLOOKUP(I401,episodes!$A$1:$D$81,3,FALSE)</f>
        <v>2</v>
      </c>
      <c r="M401" s="16">
        <f>VLOOKUP(I401,episodes!$A$1:$D$81,4,FALSE)</f>
        <v>1</v>
      </c>
      <c r="O401" s="14">
        <v>0</v>
      </c>
      <c r="P401" s="24">
        <f>LEN(E401)+LEN(K401)</f>
        <v>251</v>
      </c>
      <c r="Q401" s="24">
        <f>COUNTIFS(B:B,B400)</f>
        <v>128</v>
      </c>
      <c r="R401" s="24">
        <f>COUNTIFS(D:D,D401)</f>
        <v>128</v>
      </c>
    </row>
    <row r="402" spans="1:18" x14ac:dyDescent="0.3">
      <c r="A402" s="14">
        <v>819</v>
      </c>
      <c r="B402" s="21" t="s">
        <v>373</v>
      </c>
      <c r="C402" s="21" t="s">
        <v>2613</v>
      </c>
      <c r="D402" s="1" t="s">
        <v>2660</v>
      </c>
      <c r="E402" s="1" t="s">
        <v>999</v>
      </c>
      <c r="F402" s="21" t="s">
        <v>4</v>
      </c>
      <c r="G402" s="14">
        <v>1</v>
      </c>
      <c r="H402" s="14">
        <v>0</v>
      </c>
      <c r="I402" s="22">
        <v>124</v>
      </c>
      <c r="J402" s="23">
        <f>VLOOKUP(I402,episodes!$A$1:$B$76,2,FALSE)</f>
        <v>25</v>
      </c>
      <c r="K402" s="16" t="str">
        <f>VLOOKUP(I402,episodes!$A$1:$E$81,5,FALSE)</f>
        <v>This Side of Paradise</v>
      </c>
      <c r="L402" s="16">
        <f>VLOOKUP(I402,episodes!$A$1:$D$81,3,FALSE)</f>
        <v>1</v>
      </c>
      <c r="M402" s="16">
        <f>VLOOKUP(I402,episodes!$A$1:$D$81,4,FALSE)</f>
        <v>24</v>
      </c>
      <c r="O402" s="14">
        <v>0</v>
      </c>
      <c r="P402" s="24">
        <f>LEN(E402)+LEN(K402)</f>
        <v>242</v>
      </c>
      <c r="Q402" s="24">
        <f>COUNTIFS(B:B,B401)</f>
        <v>128</v>
      </c>
      <c r="R402" s="24">
        <f>COUNTIFS(D:D,D402)</f>
        <v>128</v>
      </c>
    </row>
    <row r="403" spans="1:18" x14ac:dyDescent="0.3">
      <c r="A403" s="14">
        <v>893</v>
      </c>
      <c r="B403" s="21" t="s">
        <v>373</v>
      </c>
      <c r="C403" s="21" t="s">
        <v>2613</v>
      </c>
      <c r="D403" s="1" t="s">
        <v>2660</v>
      </c>
      <c r="E403" s="1" t="s">
        <v>1007</v>
      </c>
      <c r="F403" s="21" t="s">
        <v>4</v>
      </c>
      <c r="G403" s="14">
        <v>1</v>
      </c>
      <c r="H403" s="14">
        <v>0</v>
      </c>
      <c r="I403" s="22">
        <v>202</v>
      </c>
      <c r="J403" s="23">
        <f>VLOOKUP(I403,episodes!$A$1:$B$76,2,FALSE)</f>
        <v>32</v>
      </c>
      <c r="K403" s="16" t="str">
        <f>VLOOKUP(I403,episodes!$A$1:$E$81,5,FALSE)</f>
        <v>Who Mourns for Adonais?</v>
      </c>
      <c r="L403" s="16">
        <f>VLOOKUP(I403,episodes!$A$1:$D$81,3,FALSE)</f>
        <v>2</v>
      </c>
      <c r="M403" s="16">
        <f>VLOOKUP(I403,episodes!$A$1:$D$81,4,FALSE)</f>
        <v>2</v>
      </c>
      <c r="O403" s="14">
        <v>0</v>
      </c>
      <c r="P403" s="24">
        <f>LEN(E403)+LEN(K403)</f>
        <v>205</v>
      </c>
      <c r="Q403" s="24">
        <f>COUNTIFS(B:B,B402)</f>
        <v>128</v>
      </c>
      <c r="R403" s="24">
        <f>COUNTIFS(D:D,D403)</f>
        <v>128</v>
      </c>
    </row>
    <row r="404" spans="1:18" x14ac:dyDescent="0.3">
      <c r="A404" s="14">
        <v>900</v>
      </c>
      <c r="B404" s="21" t="s">
        <v>373</v>
      </c>
      <c r="C404" s="21" t="s">
        <v>2613</v>
      </c>
      <c r="D404" s="1" t="s">
        <v>2660</v>
      </c>
      <c r="E404" s="1" t="s">
        <v>1008</v>
      </c>
      <c r="F404" s="21" t="s">
        <v>4</v>
      </c>
      <c r="G404" s="14">
        <v>1</v>
      </c>
      <c r="H404" s="14">
        <v>0</v>
      </c>
      <c r="I404" s="25">
        <v>203</v>
      </c>
      <c r="J404" s="23">
        <f>VLOOKUP(I404,episodes!$A$1:$B$76,2,FALSE)</f>
        <v>33</v>
      </c>
      <c r="K404" s="16" t="str">
        <f>VLOOKUP(I404,episodes!$A$1:$E$81,5,FALSE)</f>
        <v>The Changeling</v>
      </c>
      <c r="L404" s="16">
        <f>VLOOKUP(I404,episodes!$A$1:$D$81,3,FALSE)</f>
        <v>2</v>
      </c>
      <c r="M404" s="16">
        <f>VLOOKUP(I404,episodes!$A$1:$D$81,4,FALSE)</f>
        <v>3</v>
      </c>
      <c r="O404" s="14">
        <v>0</v>
      </c>
      <c r="P404" s="24">
        <f>LEN(E404)+LEN(K404)</f>
        <v>209</v>
      </c>
      <c r="Q404" s="24">
        <f>COUNTIFS(B:B,B403)</f>
        <v>128</v>
      </c>
      <c r="R404" s="24">
        <f>COUNTIFS(D:D,D404)</f>
        <v>128</v>
      </c>
    </row>
    <row r="405" spans="1:18" x14ac:dyDescent="0.3">
      <c r="A405" s="14">
        <v>913</v>
      </c>
      <c r="B405" s="21" t="s">
        <v>373</v>
      </c>
      <c r="C405" s="21" t="s">
        <v>2613</v>
      </c>
      <c r="D405" s="1" t="s">
        <v>2660</v>
      </c>
      <c r="E405" s="1" t="s">
        <v>1010</v>
      </c>
      <c r="F405" s="21" t="s">
        <v>4</v>
      </c>
      <c r="G405" s="14">
        <v>1</v>
      </c>
      <c r="H405" s="14">
        <v>0</v>
      </c>
      <c r="I405" s="25">
        <v>205</v>
      </c>
      <c r="J405" s="23">
        <f>VLOOKUP(I405,episodes!$A$1:$B$81,2,FALSE)</f>
        <v>35</v>
      </c>
      <c r="K405" s="16" t="str">
        <f>VLOOKUP(I405,episodes!$A$1:$E$81,5,FALSE)</f>
        <v>The Apple</v>
      </c>
      <c r="L405" s="16">
        <f>VLOOKUP(I405,episodes!$A$1:$D$81,3,FALSE)</f>
        <v>2</v>
      </c>
      <c r="M405" s="16">
        <f>VLOOKUP(I405,episodes!$A$1:$D$81,4,FALSE)</f>
        <v>5</v>
      </c>
      <c r="O405" s="14">
        <v>0</v>
      </c>
      <c r="P405" s="24">
        <f>LEN(E405)+LEN(K405)</f>
        <v>172</v>
      </c>
      <c r="Q405" s="24">
        <f>COUNTIFS(B:B,B404)</f>
        <v>128</v>
      </c>
      <c r="R405" s="24">
        <f>COUNTIFS(D:D,D405)</f>
        <v>128</v>
      </c>
    </row>
    <row r="406" spans="1:18" x14ac:dyDescent="0.3">
      <c r="A406" s="14">
        <v>966</v>
      </c>
      <c r="B406" s="21" t="s">
        <v>373</v>
      </c>
      <c r="C406" s="21" t="s">
        <v>2613</v>
      </c>
      <c r="D406" s="1" t="s">
        <v>2660</v>
      </c>
      <c r="E406" s="1" t="s">
        <v>2218</v>
      </c>
      <c r="F406" s="21" t="s">
        <v>4</v>
      </c>
      <c r="G406" s="14">
        <v>1</v>
      </c>
      <c r="H406" s="14">
        <v>0</v>
      </c>
      <c r="I406" s="22">
        <v>210</v>
      </c>
      <c r="J406" s="23">
        <f>VLOOKUP(I406,episodes!$A$1:$B$81,2,FALSE)</f>
        <v>40</v>
      </c>
      <c r="K406" s="16" t="str">
        <f>VLOOKUP(I406,episodes!$A$1:$E$81,5,FALSE)</f>
        <v>Journey to Babel</v>
      </c>
      <c r="L406" s="16">
        <f>VLOOKUP(I406,episodes!$A$1:$D$81,3,FALSE)</f>
        <v>2</v>
      </c>
      <c r="M406" s="16">
        <f>VLOOKUP(I406,episodes!$A$1:$D$81,4,FALSE)</f>
        <v>10</v>
      </c>
      <c r="O406" s="14">
        <v>0</v>
      </c>
      <c r="P406" s="24">
        <f>LEN(E406)+LEN(K406)</f>
        <v>340</v>
      </c>
      <c r="Q406" s="24">
        <f>COUNTIFS(B:B,B404)</f>
        <v>128</v>
      </c>
      <c r="R406" s="24">
        <f>COUNTIFS(D:D,D406)</f>
        <v>128</v>
      </c>
    </row>
    <row r="407" spans="1:18" x14ac:dyDescent="0.3">
      <c r="A407" s="14">
        <v>960</v>
      </c>
      <c r="B407" s="21" t="s">
        <v>373</v>
      </c>
      <c r="C407" s="21" t="s">
        <v>2613</v>
      </c>
      <c r="D407" s="1" t="s">
        <v>2660</v>
      </c>
      <c r="E407" s="1" t="s">
        <v>1529</v>
      </c>
      <c r="F407" s="21" t="s">
        <v>4</v>
      </c>
      <c r="G407" s="14">
        <v>1</v>
      </c>
      <c r="H407" s="14">
        <v>0</v>
      </c>
      <c r="I407" s="22">
        <v>208</v>
      </c>
      <c r="J407" s="23">
        <f>VLOOKUP(I407,episodes!$A$1:$B$81,2,FALSE)</f>
        <v>38</v>
      </c>
      <c r="K407" s="16" t="str">
        <f>VLOOKUP(I407,episodes!$A$1:$E$81,5,FALSE)</f>
        <v>I, Mudd</v>
      </c>
      <c r="L407" s="16">
        <f>VLOOKUP(I407,episodes!$A$1:$D$81,3,FALSE)</f>
        <v>2</v>
      </c>
      <c r="M407" s="16">
        <f>VLOOKUP(I407,episodes!$A$1:$D$81,4,FALSE)</f>
        <v>8</v>
      </c>
      <c r="O407" s="14">
        <v>0</v>
      </c>
      <c r="P407" s="24">
        <f>LEN(E407)+LEN(K407)</f>
        <v>223</v>
      </c>
      <c r="Q407" s="24">
        <f>COUNTIFS(B:B,B406)</f>
        <v>128</v>
      </c>
      <c r="R407" s="24">
        <f>COUNTIFS(D:D,D407)</f>
        <v>128</v>
      </c>
    </row>
    <row r="408" spans="1:18" x14ac:dyDescent="0.3">
      <c r="A408" s="14">
        <v>903</v>
      </c>
      <c r="B408" s="21" t="s">
        <v>373</v>
      </c>
      <c r="C408" s="21" t="s">
        <v>2613</v>
      </c>
      <c r="D408" s="1" t="s">
        <v>2660</v>
      </c>
      <c r="E408" s="1" t="s">
        <v>1998</v>
      </c>
      <c r="F408" s="21" t="s">
        <v>4</v>
      </c>
      <c r="G408" s="14">
        <v>1</v>
      </c>
      <c r="H408" s="14">
        <v>0</v>
      </c>
      <c r="I408" s="25">
        <v>204</v>
      </c>
      <c r="J408" s="23">
        <f>VLOOKUP(I408,episodes!$A$1:$B$81,2,FALSE)</f>
        <v>34</v>
      </c>
      <c r="K408" s="16" t="str">
        <f>VLOOKUP(I408,episodes!$A$1:$E$81,5,FALSE)</f>
        <v>Mirror, Mirror</v>
      </c>
      <c r="L408" s="16">
        <f>VLOOKUP(I408,episodes!$A$1:$D$81,3,FALSE)</f>
        <v>2</v>
      </c>
      <c r="M408" s="16">
        <f>VLOOKUP(I408,episodes!$A$1:$D$81,4,FALSE)</f>
        <v>4</v>
      </c>
      <c r="O408" s="14">
        <v>0</v>
      </c>
      <c r="P408" s="24">
        <f>LEN(E408)+LEN(K408)</f>
        <v>261</v>
      </c>
      <c r="Q408" s="24">
        <f>COUNTIFS(B:B,B407)</f>
        <v>128</v>
      </c>
      <c r="R408" s="24">
        <f>COUNTIFS(D:D,D408)</f>
        <v>128</v>
      </c>
    </row>
    <row r="409" spans="1:18" x14ac:dyDescent="0.3">
      <c r="A409" s="14">
        <v>871</v>
      </c>
      <c r="B409" s="21" t="s">
        <v>373</v>
      </c>
      <c r="C409" s="21" t="s">
        <v>2613</v>
      </c>
      <c r="D409" s="1" t="s">
        <v>2660</v>
      </c>
      <c r="E409" s="1" t="s">
        <v>1995</v>
      </c>
      <c r="F409" s="21" t="s">
        <v>4</v>
      </c>
      <c r="G409" s="14">
        <v>1</v>
      </c>
      <c r="H409" s="14">
        <v>0</v>
      </c>
      <c r="I409" s="22">
        <v>128</v>
      </c>
      <c r="J409" s="23">
        <f>VLOOKUP(I409,episodes!$A$1:$B$76,2,FALSE)</f>
        <v>29</v>
      </c>
      <c r="K409" s="16" t="str">
        <f>VLOOKUP(I409,episodes!$A$1:$E$81,5,FALSE)</f>
        <v>The City on the Edge of Forever</v>
      </c>
      <c r="L409" s="16">
        <f>VLOOKUP(I409,episodes!$A$1:$D$81,3,FALSE)</f>
        <v>1</v>
      </c>
      <c r="M409" s="16">
        <f>VLOOKUP(I409,episodes!$A$1:$D$81,4,FALSE)</f>
        <v>28</v>
      </c>
      <c r="O409" s="14">
        <v>0</v>
      </c>
      <c r="P409" s="24">
        <f>LEN(E409)+LEN(K409)</f>
        <v>420</v>
      </c>
      <c r="Q409" s="24">
        <f>COUNTIFS(B:B,B408)</f>
        <v>128</v>
      </c>
      <c r="R409" s="24">
        <f>COUNTIFS(D:D,D409)</f>
        <v>128</v>
      </c>
    </row>
    <row r="410" spans="1:18" x14ac:dyDescent="0.3">
      <c r="A410" s="14">
        <v>682</v>
      </c>
      <c r="B410" s="21" t="s">
        <v>373</v>
      </c>
      <c r="C410" s="21" t="s">
        <v>2613</v>
      </c>
      <c r="D410" s="1" t="s">
        <v>2660</v>
      </c>
      <c r="E410" s="1" t="s">
        <v>1763</v>
      </c>
      <c r="F410" s="21" t="s">
        <v>4</v>
      </c>
      <c r="G410" s="14">
        <v>1</v>
      </c>
      <c r="H410" s="14">
        <v>0</v>
      </c>
      <c r="I410" s="25">
        <v>112</v>
      </c>
      <c r="J410" s="23">
        <f>VLOOKUP(I410,episodes!$A$1:$B$76,2,FALSE)</f>
        <v>13</v>
      </c>
      <c r="K410" s="16" t="str">
        <f>VLOOKUP(I410,episodes!$A$1:$E$81,5,FALSE)</f>
        <v>The Menagerie, Part II</v>
      </c>
      <c r="L410" s="16">
        <f>VLOOKUP(I410,episodes!$A$1:$D$81,3,FALSE)</f>
        <v>1</v>
      </c>
      <c r="M410" s="16">
        <f>VLOOKUP(I410,episodes!$A$1:$D$81,4,FALSE)</f>
        <v>12</v>
      </c>
      <c r="O410" s="14">
        <v>0</v>
      </c>
      <c r="P410" s="24">
        <f>LEN(E410)+LEN(K410)</f>
        <v>195</v>
      </c>
      <c r="Q410" s="24">
        <f>COUNTIFS(B:B,B409)</f>
        <v>128</v>
      </c>
      <c r="R410" s="24">
        <f>COUNTIFS(D:D,D410)</f>
        <v>128</v>
      </c>
    </row>
    <row r="411" spans="1:18" x14ac:dyDescent="0.3">
      <c r="A411" s="14">
        <v>1998</v>
      </c>
      <c r="B411" s="21" t="s">
        <v>373</v>
      </c>
      <c r="C411" s="21" t="s">
        <v>2613</v>
      </c>
      <c r="D411" s="1" t="s">
        <v>2660</v>
      </c>
      <c r="E411" s="1" t="s">
        <v>1530</v>
      </c>
      <c r="F411" s="21" t="s">
        <v>6</v>
      </c>
      <c r="G411" s="14">
        <v>0</v>
      </c>
      <c r="H411" s="14">
        <v>1</v>
      </c>
      <c r="I411" s="14">
        <v>209</v>
      </c>
      <c r="J411" s="23">
        <f>VLOOKUP(I411,episodes!$A$1:$B$81,2,FALSE)</f>
        <v>39</v>
      </c>
      <c r="K411" s="16" t="str">
        <f>VLOOKUP(I411,episodes!$A$1:$E$81,5,FALSE)</f>
        <v>Metamorphosis</v>
      </c>
      <c r="L411" s="16">
        <f>VLOOKUP(I411,episodes!$A$1:$D$81,3,FALSE)</f>
        <v>2</v>
      </c>
      <c r="M411" s="16">
        <f>VLOOKUP(I411,episodes!$A$1:$D$81,4,FALSE)</f>
        <v>9</v>
      </c>
      <c r="O411" s="14">
        <v>0</v>
      </c>
      <c r="P411" s="24">
        <f>LEN(E411)+LEN(K411)</f>
        <v>342</v>
      </c>
      <c r="Q411" s="24">
        <f>COUNTIFS(B:B,B410)</f>
        <v>128</v>
      </c>
      <c r="R411" s="24">
        <f>COUNTIFS(D:D,D411)</f>
        <v>128</v>
      </c>
    </row>
    <row r="412" spans="1:18" x14ac:dyDescent="0.3">
      <c r="A412" s="14">
        <v>2099</v>
      </c>
      <c r="B412" s="21" t="s">
        <v>373</v>
      </c>
      <c r="C412" s="21" t="s">
        <v>2613</v>
      </c>
      <c r="D412" s="1" t="s">
        <v>2660</v>
      </c>
      <c r="E412" s="1" t="s">
        <v>1822</v>
      </c>
      <c r="F412" s="21" t="s">
        <v>5</v>
      </c>
      <c r="G412" s="14">
        <v>1</v>
      </c>
      <c r="H412" s="14">
        <v>0</v>
      </c>
      <c r="I412" s="22">
        <v>117</v>
      </c>
      <c r="J412" s="23">
        <f>VLOOKUP(I412,episodes!$A$1:$B$76,2,FALSE)</f>
        <v>18</v>
      </c>
      <c r="K412" s="16" t="str">
        <f>VLOOKUP(I412,episodes!$A$1:$E$81,5,FALSE)</f>
        <v>The Squire of Gothos</v>
      </c>
      <c r="L412" s="16">
        <f>VLOOKUP(I412,episodes!$A$1:$D$81,3,FALSE)</f>
        <v>1</v>
      </c>
      <c r="M412" s="16">
        <f>VLOOKUP(I412,episodes!$A$1:$D$81,4,FALSE)</f>
        <v>17</v>
      </c>
      <c r="O412" s="14">
        <v>0</v>
      </c>
      <c r="P412" s="24">
        <f>LEN(E412)+LEN(K412)</f>
        <v>333</v>
      </c>
      <c r="Q412" s="24">
        <f>COUNTIFS(B:B,B411)</f>
        <v>128</v>
      </c>
      <c r="R412" s="24">
        <f>COUNTIFS(D:D,D412)</f>
        <v>128</v>
      </c>
    </row>
    <row r="413" spans="1:18" x14ac:dyDescent="0.3">
      <c r="A413" s="14">
        <v>544</v>
      </c>
      <c r="B413" s="21" t="s">
        <v>373</v>
      </c>
      <c r="C413" s="21" t="s">
        <v>2613</v>
      </c>
      <c r="D413" s="1" t="s">
        <v>2660</v>
      </c>
      <c r="E413" s="1" t="s">
        <v>940</v>
      </c>
      <c r="F413" s="21" t="s">
        <v>4</v>
      </c>
      <c r="G413" s="14">
        <v>1</v>
      </c>
      <c r="H413" s="14">
        <v>0</v>
      </c>
      <c r="I413" s="25">
        <v>101</v>
      </c>
      <c r="J413" s="23">
        <f>VLOOKUP(I413,episodes!$A$1:$B$76,2,FALSE)</f>
        <v>2</v>
      </c>
      <c r="K413" s="16" t="str">
        <f>VLOOKUP(I413,episodes!$A$1:$E$81,5,FALSE)</f>
        <v>The Man Trap</v>
      </c>
      <c r="L413" s="16">
        <f>VLOOKUP(I413,episodes!$A$1:$D$81,3,FALSE)</f>
        <v>1</v>
      </c>
      <c r="M413" s="16">
        <f>VLOOKUP(I413,episodes!$A$1:$D$81,4,FALSE)</f>
        <v>1</v>
      </c>
      <c r="O413" s="14">
        <v>0</v>
      </c>
      <c r="P413" s="24">
        <f>LEN(E413)+LEN(K413)</f>
        <v>238</v>
      </c>
      <c r="Q413" s="24">
        <f>COUNTIFS(B:B,B412)</f>
        <v>128</v>
      </c>
      <c r="R413" s="24">
        <f>COUNTIFS(D:D,D413)</f>
        <v>128</v>
      </c>
    </row>
    <row r="414" spans="1:18" x14ac:dyDescent="0.3">
      <c r="A414" s="14">
        <v>872</v>
      </c>
      <c r="B414" s="21" t="s">
        <v>373</v>
      </c>
      <c r="C414" s="21" t="s">
        <v>2613</v>
      </c>
      <c r="D414" s="1" t="s">
        <v>2660</v>
      </c>
      <c r="E414" s="1" t="s">
        <v>1526</v>
      </c>
      <c r="F414" s="21" t="s">
        <v>4</v>
      </c>
      <c r="G414" s="14">
        <v>1</v>
      </c>
      <c r="H414" s="14">
        <v>0</v>
      </c>
      <c r="I414" s="22">
        <v>128</v>
      </c>
      <c r="J414" s="23">
        <f>VLOOKUP(I414,episodes!$A$1:$B$76,2,FALSE)</f>
        <v>29</v>
      </c>
      <c r="K414" s="16" t="str">
        <f>VLOOKUP(I414,episodes!$A$1:$E$81,5,FALSE)</f>
        <v>The City on the Edge of Forever</v>
      </c>
      <c r="L414" s="16">
        <f>VLOOKUP(I414,episodes!$A$1:$D$81,3,FALSE)</f>
        <v>1</v>
      </c>
      <c r="M414" s="16">
        <f>VLOOKUP(I414,episodes!$A$1:$D$81,4,FALSE)</f>
        <v>28</v>
      </c>
      <c r="O414" s="14">
        <v>0</v>
      </c>
      <c r="P414" s="24">
        <f>LEN(E414)+LEN(K414)</f>
        <v>434</v>
      </c>
      <c r="Q414" s="24">
        <f>COUNTIFS(B:B,B413)</f>
        <v>128</v>
      </c>
      <c r="R414" s="24">
        <f>COUNTIFS(D:D,D414)</f>
        <v>128</v>
      </c>
    </row>
    <row r="415" spans="1:18" x14ac:dyDescent="0.3">
      <c r="A415" s="14">
        <v>568</v>
      </c>
      <c r="B415" s="21" t="s">
        <v>373</v>
      </c>
      <c r="C415" s="21" t="s">
        <v>2613</v>
      </c>
      <c r="D415" s="1" t="s">
        <v>2660</v>
      </c>
      <c r="E415" s="1" t="s">
        <v>1515</v>
      </c>
      <c r="F415" s="21" t="s">
        <v>4</v>
      </c>
      <c r="G415" s="14">
        <v>1</v>
      </c>
      <c r="H415" s="14">
        <v>0</v>
      </c>
      <c r="I415" s="25">
        <v>103</v>
      </c>
      <c r="J415" s="23">
        <f>VLOOKUP(I415,episodes!$A$1:$B$76,2,FALSE)</f>
        <v>4</v>
      </c>
      <c r="K415" s="16" t="str">
        <f>VLOOKUP(I415,episodes!$A$1:$E$81,5,FALSE)</f>
        <v>Where No Man Has Gone Before</v>
      </c>
      <c r="L415" s="16">
        <f>VLOOKUP(I415,episodes!$A$1:$D$81,3,FALSE)</f>
        <v>1</v>
      </c>
      <c r="M415" s="16">
        <f>VLOOKUP(I415,episodes!$A$1:$D$81,4,FALSE)</f>
        <v>3</v>
      </c>
      <c r="O415" s="14">
        <v>0</v>
      </c>
      <c r="P415" s="24">
        <f>LEN(E415)+LEN(K415)</f>
        <v>390</v>
      </c>
      <c r="Q415" s="24">
        <f>COUNTIFS(B:B,B414)</f>
        <v>128</v>
      </c>
      <c r="R415" s="24">
        <f>COUNTIFS(D:D,D415)</f>
        <v>128</v>
      </c>
    </row>
    <row r="416" spans="1:18" x14ac:dyDescent="0.3">
      <c r="A416" s="14">
        <v>601</v>
      </c>
      <c r="B416" s="21" t="s">
        <v>373</v>
      </c>
      <c r="C416" s="21" t="s">
        <v>2613</v>
      </c>
      <c r="D416" s="1" t="s">
        <v>2660</v>
      </c>
      <c r="E416" s="1" t="s">
        <v>1556</v>
      </c>
      <c r="F416" s="21" t="s">
        <v>4</v>
      </c>
      <c r="G416" s="14">
        <v>1</v>
      </c>
      <c r="H416" s="14">
        <v>0</v>
      </c>
      <c r="I416" s="25">
        <v>106</v>
      </c>
      <c r="J416" s="23">
        <f>VLOOKUP(I416,episodes!$A$1:$B$76,2,FALSE)</f>
        <v>7</v>
      </c>
      <c r="K416" s="16" t="str">
        <f>VLOOKUP(I416,episodes!$A$1:$E$81,5,FALSE)</f>
        <v>Mudd's Women</v>
      </c>
      <c r="L416" s="16">
        <f>VLOOKUP(I416,episodes!$A$1:$D$81,3,FALSE)</f>
        <v>1</v>
      </c>
      <c r="M416" s="16">
        <f>VLOOKUP(I416,episodes!$A$1:$D$81,4,FALSE)</f>
        <v>6</v>
      </c>
      <c r="O416" s="14">
        <v>0</v>
      </c>
      <c r="P416" s="24">
        <f>LEN(E416)+LEN(K416)</f>
        <v>278</v>
      </c>
      <c r="Q416" s="24">
        <f>COUNTIFS(B:B,B415)</f>
        <v>128</v>
      </c>
      <c r="R416" s="24">
        <f>COUNTIFS(D:D,D416)</f>
        <v>128</v>
      </c>
    </row>
    <row r="417" spans="1:18" x14ac:dyDescent="0.3">
      <c r="A417" s="14">
        <v>659</v>
      </c>
      <c r="B417" s="21" t="s">
        <v>373</v>
      </c>
      <c r="C417" s="21" t="s">
        <v>2613</v>
      </c>
      <c r="D417" s="1" t="s">
        <v>2660</v>
      </c>
      <c r="E417" s="1" t="s">
        <v>965</v>
      </c>
      <c r="F417" s="21" t="s">
        <v>4</v>
      </c>
      <c r="G417" s="14">
        <v>1</v>
      </c>
      <c r="H417" s="14">
        <v>0</v>
      </c>
      <c r="I417" s="25">
        <v>110</v>
      </c>
      <c r="J417" s="23">
        <f>VLOOKUP(I417,episodes!$A$1:$B$76,2,FALSE)</f>
        <v>11</v>
      </c>
      <c r="K417" s="16" t="str">
        <f>VLOOKUP(I417,episodes!$A$1:$E$81,5,FALSE)</f>
        <v>The Corbomite Maneuver</v>
      </c>
      <c r="L417" s="16">
        <f>VLOOKUP(I417,episodes!$A$1:$D$81,3,FALSE)</f>
        <v>1</v>
      </c>
      <c r="M417" s="16">
        <f>VLOOKUP(I417,episodes!$A$1:$D$81,4,FALSE)</f>
        <v>10</v>
      </c>
      <c r="O417" s="14">
        <v>0</v>
      </c>
      <c r="P417" s="24">
        <f>LEN(E417)+LEN(K417)</f>
        <v>219</v>
      </c>
      <c r="Q417" s="24">
        <f>COUNTIFS(B:B,B416)</f>
        <v>128</v>
      </c>
      <c r="R417" s="24">
        <f>COUNTIFS(D:D,D417)</f>
        <v>128</v>
      </c>
    </row>
    <row r="418" spans="1:18" x14ac:dyDescent="0.3">
      <c r="A418" s="14">
        <v>561</v>
      </c>
      <c r="B418" s="21" t="s">
        <v>373</v>
      </c>
      <c r="C418" s="21" t="s">
        <v>2613</v>
      </c>
      <c r="D418" s="1" t="s">
        <v>2660</v>
      </c>
      <c r="E418" s="1" t="s">
        <v>961</v>
      </c>
      <c r="F418" s="21" t="s">
        <v>4</v>
      </c>
      <c r="G418" s="14">
        <v>1</v>
      </c>
      <c r="H418" s="14">
        <v>0</v>
      </c>
      <c r="I418" s="25">
        <v>102</v>
      </c>
      <c r="J418" s="23">
        <f>VLOOKUP(I418,episodes!$A$1:$B$76,2,FALSE)</f>
        <v>3</v>
      </c>
      <c r="K418" s="16" t="str">
        <f>VLOOKUP(I418,episodes!$A$1:$E$81,5,FALSE)</f>
        <v>Charlie X</v>
      </c>
      <c r="L418" s="16">
        <f>VLOOKUP(I418,episodes!$A$1:$D$81,3,FALSE)</f>
        <v>1</v>
      </c>
      <c r="M418" s="16">
        <f>VLOOKUP(I418,episodes!$A$1:$D$81,4,FALSE)</f>
        <v>2</v>
      </c>
      <c r="O418" s="14">
        <v>0</v>
      </c>
      <c r="P418" s="24">
        <f>LEN(E418)+LEN(K418)</f>
        <v>305</v>
      </c>
      <c r="Q418" s="24">
        <f>COUNTIFS(B:B,B417)</f>
        <v>128</v>
      </c>
      <c r="R418" s="24">
        <f>COUNTIFS(D:D,D418)</f>
        <v>128</v>
      </c>
    </row>
    <row r="419" spans="1:18" x14ac:dyDescent="0.3">
      <c r="A419" s="14">
        <v>591</v>
      </c>
      <c r="B419" s="21" t="s">
        <v>373</v>
      </c>
      <c r="C419" s="21" t="s">
        <v>2613</v>
      </c>
      <c r="D419" s="1" t="s">
        <v>2660</v>
      </c>
      <c r="E419" s="1" t="s">
        <v>1518</v>
      </c>
      <c r="F419" s="21" t="s">
        <v>4</v>
      </c>
      <c r="G419" s="14">
        <v>1</v>
      </c>
      <c r="H419" s="14">
        <v>0</v>
      </c>
      <c r="I419" s="25">
        <v>105</v>
      </c>
      <c r="J419" s="23">
        <f>VLOOKUP(I419,episodes!$A$1:$B$76,2,FALSE)</f>
        <v>6</v>
      </c>
      <c r="K419" s="16" t="str">
        <f>VLOOKUP(I419,episodes!$A$1:$E$81,5,FALSE)</f>
        <v>The Enemy Within</v>
      </c>
      <c r="L419" s="16">
        <f>VLOOKUP(I419,episodes!$A$1:$D$81,3,FALSE)</f>
        <v>1</v>
      </c>
      <c r="M419" s="16">
        <f>VLOOKUP(I419,episodes!$A$1:$D$81,4,FALSE)</f>
        <v>5</v>
      </c>
      <c r="O419" s="14">
        <v>0</v>
      </c>
      <c r="P419" s="24">
        <f>LEN(E419)+LEN(K419)</f>
        <v>261</v>
      </c>
      <c r="Q419" s="24">
        <f>COUNTIFS(B:B,B418)</f>
        <v>128</v>
      </c>
      <c r="R419" s="24">
        <f>COUNTIFS(D:D,D419)</f>
        <v>128</v>
      </c>
    </row>
    <row r="420" spans="1:18" x14ac:dyDescent="0.3">
      <c r="A420" s="14">
        <v>577</v>
      </c>
      <c r="B420" s="21" t="s">
        <v>373</v>
      </c>
      <c r="C420" s="21" t="s">
        <v>2613</v>
      </c>
      <c r="D420" s="1" t="s">
        <v>2660</v>
      </c>
      <c r="E420" s="1" t="s">
        <v>943</v>
      </c>
      <c r="F420" s="21" t="s">
        <v>4</v>
      </c>
      <c r="G420" s="14">
        <v>1</v>
      </c>
      <c r="H420" s="14">
        <v>0</v>
      </c>
      <c r="I420" s="25">
        <v>104</v>
      </c>
      <c r="J420" s="23">
        <f>VLOOKUP(I420,episodes!$A$1:$B$76,2,FALSE)</f>
        <v>5</v>
      </c>
      <c r="K420" s="16" t="str">
        <f>VLOOKUP(I420,episodes!$A$1:$E$81,5,FALSE)</f>
        <v>The Naked Time</v>
      </c>
      <c r="L420" s="16">
        <f>VLOOKUP(I420,episodes!$A$1:$D$81,3,FALSE)</f>
        <v>1</v>
      </c>
      <c r="M420" s="16">
        <f>VLOOKUP(I420,episodes!$A$1:$D$81,4,FALSE)</f>
        <v>4</v>
      </c>
      <c r="O420" s="14">
        <v>0</v>
      </c>
      <c r="P420" s="24">
        <f>LEN(E420)+LEN(K420)</f>
        <v>337</v>
      </c>
      <c r="Q420" s="24">
        <f>COUNTIFS(B:B,B419)</f>
        <v>128</v>
      </c>
      <c r="R420" s="24">
        <f>COUNTIFS(D:D,D420)</f>
        <v>128</v>
      </c>
    </row>
    <row r="421" spans="1:18" x14ac:dyDescent="0.3">
      <c r="A421" s="14">
        <v>697</v>
      </c>
      <c r="B421" s="21" t="s">
        <v>373</v>
      </c>
      <c r="C421" s="21" t="s">
        <v>2613</v>
      </c>
      <c r="D421" s="1" t="s">
        <v>2660</v>
      </c>
      <c r="E421" s="1" t="s">
        <v>951</v>
      </c>
      <c r="F421" s="21" t="s">
        <v>4</v>
      </c>
      <c r="G421" s="14">
        <v>1</v>
      </c>
      <c r="H421" s="14">
        <v>0</v>
      </c>
      <c r="I421" s="25">
        <v>114</v>
      </c>
      <c r="J421" s="23">
        <f>VLOOKUP(I421,episodes!$A$1:$B$76,2,FALSE)</f>
        <v>15</v>
      </c>
      <c r="K421" s="16" t="str">
        <f>VLOOKUP(I421,episodes!$A$1:$E$81,5,FALSE)</f>
        <v>Balance of Terror</v>
      </c>
      <c r="L421" s="16">
        <f>VLOOKUP(I421,episodes!$A$1:$D$81,3,FALSE)</f>
        <v>1</v>
      </c>
      <c r="M421" s="16">
        <f>VLOOKUP(I421,episodes!$A$1:$D$81,4,FALSE)</f>
        <v>14</v>
      </c>
      <c r="O421" s="14">
        <v>0</v>
      </c>
      <c r="P421" s="24">
        <f>LEN(E421)+LEN(K421)</f>
        <v>335</v>
      </c>
      <c r="Q421" s="24">
        <f>COUNTIFS(B:B,B420)</f>
        <v>128</v>
      </c>
      <c r="R421" s="24">
        <f>COUNTIFS(D:D,D421)</f>
        <v>128</v>
      </c>
    </row>
    <row r="422" spans="1:18" x14ac:dyDescent="0.3">
      <c r="A422" s="14">
        <v>730</v>
      </c>
      <c r="B422" s="21" t="s">
        <v>373</v>
      </c>
      <c r="C422" s="21" t="s">
        <v>2613</v>
      </c>
      <c r="D422" s="1" t="s">
        <v>2660</v>
      </c>
      <c r="E422" s="1" t="s">
        <v>1987</v>
      </c>
      <c r="F422" s="21" t="s">
        <v>4</v>
      </c>
      <c r="G422" s="14">
        <v>1</v>
      </c>
      <c r="H422" s="14">
        <v>0</v>
      </c>
      <c r="I422" s="22">
        <v>117</v>
      </c>
      <c r="J422" s="23">
        <f>VLOOKUP(I422,episodes!$A$1:$B$76,2,FALSE)</f>
        <v>18</v>
      </c>
      <c r="K422" s="16" t="str">
        <f>VLOOKUP(I422,episodes!$A$1:$E$81,5,FALSE)</f>
        <v>The Squire of Gothos</v>
      </c>
      <c r="L422" s="16">
        <f>VLOOKUP(I422,episodes!$A$1:$D$81,3,FALSE)</f>
        <v>1</v>
      </c>
      <c r="M422" s="16">
        <f>VLOOKUP(I422,episodes!$A$1:$D$81,4,FALSE)</f>
        <v>17</v>
      </c>
      <c r="O422" s="14">
        <v>0</v>
      </c>
      <c r="P422" s="24">
        <f>LEN(E422)+LEN(K422)</f>
        <v>400</v>
      </c>
      <c r="Q422" s="24">
        <f>COUNTIFS(B:B,B421)</f>
        <v>128</v>
      </c>
      <c r="R422" s="24">
        <f>COUNTIFS(D:D,D422)</f>
        <v>128</v>
      </c>
    </row>
    <row r="423" spans="1:18" x14ac:dyDescent="0.3">
      <c r="A423" s="14">
        <v>635</v>
      </c>
      <c r="B423" s="21" t="s">
        <v>373</v>
      </c>
      <c r="C423" s="21" t="s">
        <v>2613</v>
      </c>
      <c r="D423" s="1" t="s">
        <v>2660</v>
      </c>
      <c r="E423" s="1" t="s">
        <v>973</v>
      </c>
      <c r="F423" s="21" t="s">
        <v>4</v>
      </c>
      <c r="G423" s="14">
        <v>1</v>
      </c>
      <c r="H423" s="14">
        <v>0</v>
      </c>
      <c r="I423" s="25">
        <v>108</v>
      </c>
      <c r="J423" s="23">
        <f>VLOOKUP(I423,episodes!$A$1:$B$76,2,FALSE)</f>
        <v>9</v>
      </c>
      <c r="K423" s="16" t="str">
        <f>VLOOKUP(I423,episodes!$A$1:$E$81,5,FALSE)</f>
        <v>Miri</v>
      </c>
      <c r="L423" s="16">
        <f>VLOOKUP(I423,episodes!$A$1:$D$81,3,FALSE)</f>
        <v>1</v>
      </c>
      <c r="M423" s="16">
        <f>VLOOKUP(I423,episodes!$A$1:$D$81,4,FALSE)</f>
        <v>8</v>
      </c>
      <c r="O423" s="14">
        <v>0</v>
      </c>
      <c r="P423" s="24">
        <f>LEN(E423)+LEN(K423)</f>
        <v>485</v>
      </c>
      <c r="Q423" s="24">
        <f>COUNTIFS(B:B,B422)</f>
        <v>128</v>
      </c>
      <c r="R423" s="24">
        <f>COUNTIFS(D:D,D423)</f>
        <v>128</v>
      </c>
    </row>
    <row r="424" spans="1:18" x14ac:dyDescent="0.3">
      <c r="A424" s="14">
        <v>686</v>
      </c>
      <c r="B424" s="21" t="s">
        <v>373</v>
      </c>
      <c r="C424" s="21" t="s">
        <v>2613</v>
      </c>
      <c r="D424" s="1" t="s">
        <v>2660</v>
      </c>
      <c r="E424" s="1" t="s">
        <v>978</v>
      </c>
      <c r="F424" s="21" t="s">
        <v>4</v>
      </c>
      <c r="G424" s="14">
        <v>1</v>
      </c>
      <c r="H424" s="14">
        <v>0</v>
      </c>
      <c r="I424" s="25">
        <v>113</v>
      </c>
      <c r="J424" s="23">
        <f>VLOOKUP(I424,episodes!$A$1:$B$76,2,FALSE)</f>
        <v>14</v>
      </c>
      <c r="K424" s="16" t="str">
        <f>VLOOKUP(I424,episodes!$A$1:$E$81,5,FALSE)</f>
        <v>The Conscience of the King</v>
      </c>
      <c r="L424" s="16">
        <f>VLOOKUP(I424,episodes!$A$1:$D$81,3,FALSE)</f>
        <v>1</v>
      </c>
      <c r="M424" s="16">
        <f>VLOOKUP(I424,episodes!$A$1:$D$81,4,FALSE)</f>
        <v>13</v>
      </c>
      <c r="O424" s="14">
        <v>0</v>
      </c>
      <c r="P424" s="24">
        <f>LEN(E424)+LEN(K424)</f>
        <v>224</v>
      </c>
      <c r="Q424" s="24">
        <f>COUNTIFS(B:B,B423)</f>
        <v>128</v>
      </c>
      <c r="R424" s="24">
        <f>COUNTIFS(D:D,D424)</f>
        <v>128</v>
      </c>
    </row>
    <row r="425" spans="1:18" x14ac:dyDescent="0.3">
      <c r="A425" s="14">
        <v>722</v>
      </c>
      <c r="B425" s="21" t="s">
        <v>373</v>
      </c>
      <c r="C425" s="21" t="s">
        <v>2613</v>
      </c>
      <c r="D425" s="1" t="s">
        <v>2660</v>
      </c>
      <c r="E425" s="1" t="s">
        <v>955</v>
      </c>
      <c r="F425" s="21" t="s">
        <v>4</v>
      </c>
      <c r="G425" s="14">
        <v>1</v>
      </c>
      <c r="H425" s="14">
        <v>0</v>
      </c>
      <c r="I425" s="22">
        <v>116</v>
      </c>
      <c r="J425" s="23">
        <f>VLOOKUP(I425,episodes!$A$1:$B$76,2,FALSE)</f>
        <v>17</v>
      </c>
      <c r="K425" s="16" t="str">
        <f>VLOOKUP(I425,episodes!$A$1:$E$81,5,FALSE)</f>
        <v>The Galileo Seven</v>
      </c>
      <c r="L425" s="16">
        <f>VLOOKUP(I425,episodes!$A$1:$D$81,3,FALSE)</f>
        <v>1</v>
      </c>
      <c r="M425" s="16">
        <f>VLOOKUP(I425,episodes!$A$1:$D$81,4,FALSE)</f>
        <v>16</v>
      </c>
      <c r="O425" s="14">
        <v>0</v>
      </c>
      <c r="P425" s="24">
        <f>LEN(E425)+LEN(K425)</f>
        <v>354</v>
      </c>
      <c r="Q425" s="24">
        <f>COUNTIFS(B:B,B424)</f>
        <v>128</v>
      </c>
      <c r="R425" s="24">
        <f>COUNTIFS(D:D,D425)</f>
        <v>128</v>
      </c>
    </row>
    <row r="426" spans="1:18" x14ac:dyDescent="0.3">
      <c r="A426" s="14">
        <v>771</v>
      </c>
      <c r="B426" s="21" t="s">
        <v>373</v>
      </c>
      <c r="C426" s="21" t="s">
        <v>2613</v>
      </c>
      <c r="D426" s="1" t="s">
        <v>2660</v>
      </c>
      <c r="E426" s="1" t="s">
        <v>988</v>
      </c>
      <c r="F426" s="21" t="s">
        <v>4</v>
      </c>
      <c r="G426" s="14">
        <v>1</v>
      </c>
      <c r="H426" s="14">
        <v>0</v>
      </c>
      <c r="I426" s="22">
        <v>120</v>
      </c>
      <c r="J426" s="23">
        <f>VLOOKUP(I426,episodes!$A$1:$B$76,2,FALSE)</f>
        <v>21</v>
      </c>
      <c r="K426" s="16" t="str">
        <f>VLOOKUP(I426,episodes!$A$1:$E$81,5,FALSE)</f>
        <v>Court Martial</v>
      </c>
      <c r="L426" s="16">
        <f>VLOOKUP(I426,episodes!$A$1:$D$81,3,FALSE)</f>
        <v>1</v>
      </c>
      <c r="M426" s="16">
        <f>VLOOKUP(I426,episodes!$A$1:$D$81,4,FALSE)</f>
        <v>20</v>
      </c>
      <c r="O426" s="14">
        <v>0</v>
      </c>
      <c r="P426" s="24">
        <f>LEN(E426)+LEN(K426)</f>
        <v>298</v>
      </c>
      <c r="Q426" s="24">
        <f>COUNTIFS(B:B,B425)</f>
        <v>128</v>
      </c>
      <c r="R426" s="24">
        <f>COUNTIFS(D:D,D426)</f>
        <v>128</v>
      </c>
    </row>
    <row r="427" spans="1:18" x14ac:dyDescent="0.3">
      <c r="A427" s="14">
        <v>677</v>
      </c>
      <c r="B427" s="21" t="s">
        <v>373</v>
      </c>
      <c r="C427" s="21" t="s">
        <v>2613</v>
      </c>
      <c r="D427" s="1" t="s">
        <v>2660</v>
      </c>
      <c r="E427" s="1" t="s">
        <v>977</v>
      </c>
      <c r="F427" s="21" t="s">
        <v>4</v>
      </c>
      <c r="G427" s="14">
        <v>1</v>
      </c>
      <c r="H427" s="14">
        <v>0</v>
      </c>
      <c r="I427" s="25">
        <v>111</v>
      </c>
      <c r="J427" s="23">
        <f>VLOOKUP(I427,episodes!$A$1:$B$76,2,FALSE)</f>
        <v>12</v>
      </c>
      <c r="K427" s="16" t="str">
        <f>VLOOKUP(I427,episodes!$A$1:$E$81,5,FALSE)</f>
        <v>The Menagerie, Part I</v>
      </c>
      <c r="L427" s="16">
        <f>VLOOKUP(I427,episodes!$A$1:$D$81,3,FALSE)</f>
        <v>1</v>
      </c>
      <c r="M427" s="16">
        <f>VLOOKUP(I427,episodes!$A$1:$D$81,4,FALSE)</f>
        <v>11</v>
      </c>
      <c r="O427" s="14">
        <v>0</v>
      </c>
      <c r="P427" s="24">
        <f>LEN(E427)+LEN(K427)</f>
        <v>162</v>
      </c>
      <c r="Q427" s="24">
        <f>COUNTIFS(B:B,B426)</f>
        <v>128</v>
      </c>
      <c r="R427" s="24">
        <f>COUNTIFS(D:D,D427)</f>
        <v>128</v>
      </c>
    </row>
    <row r="428" spans="1:18" x14ac:dyDescent="0.3">
      <c r="A428" s="14">
        <v>707</v>
      </c>
      <c r="B428" s="21" t="s">
        <v>373</v>
      </c>
      <c r="C428" s="21" t="s">
        <v>2613</v>
      </c>
      <c r="D428" s="1" t="s">
        <v>2660</v>
      </c>
      <c r="E428" s="1" t="s">
        <v>954</v>
      </c>
      <c r="F428" s="21" t="s">
        <v>4</v>
      </c>
      <c r="G428" s="14">
        <v>1</v>
      </c>
      <c r="H428" s="14">
        <v>0</v>
      </c>
      <c r="I428" s="22">
        <v>115</v>
      </c>
      <c r="J428" s="23">
        <f>VLOOKUP(I428,episodes!$A$1:$B$76,2,FALSE)</f>
        <v>16</v>
      </c>
      <c r="K428" s="16" t="str">
        <f>VLOOKUP(I428,episodes!$A$1:$E$81,5,FALSE)</f>
        <v>Shore Leave</v>
      </c>
      <c r="L428" s="16">
        <f>VLOOKUP(I428,episodes!$A$1:$D$81,3,FALSE)</f>
        <v>1</v>
      </c>
      <c r="M428" s="16">
        <f>VLOOKUP(I428,episodes!$A$1:$D$81,4,FALSE)</f>
        <v>15</v>
      </c>
      <c r="O428" s="14">
        <v>0</v>
      </c>
      <c r="P428" s="24">
        <f>LEN(E428)+LEN(K428)</f>
        <v>192</v>
      </c>
      <c r="Q428" s="24">
        <f>COUNTIFS(B:B,B427)</f>
        <v>128</v>
      </c>
      <c r="R428" s="24">
        <f>COUNTIFS(D:D,D428)</f>
        <v>128</v>
      </c>
    </row>
    <row r="429" spans="1:18" x14ac:dyDescent="0.3">
      <c r="A429" s="14">
        <v>864</v>
      </c>
      <c r="B429" s="21" t="s">
        <v>373</v>
      </c>
      <c r="C429" s="21" t="s">
        <v>2613</v>
      </c>
      <c r="D429" s="1" t="s">
        <v>2660</v>
      </c>
      <c r="E429" s="1" t="s">
        <v>1003</v>
      </c>
      <c r="F429" s="21" t="s">
        <v>4</v>
      </c>
      <c r="G429" s="14">
        <v>1</v>
      </c>
      <c r="H429" s="14">
        <v>0</v>
      </c>
      <c r="I429" s="22">
        <v>127</v>
      </c>
      <c r="J429" s="23">
        <f>VLOOKUP(I429,episodes!$A$1:$B$76,2,FALSE)</f>
        <v>28</v>
      </c>
      <c r="K429" s="16" t="str">
        <f>VLOOKUP(I429,episodes!$A$1:$E$81,5,FALSE)</f>
        <v>The Alternative Factor</v>
      </c>
      <c r="L429" s="16">
        <f>VLOOKUP(I429,episodes!$A$1:$D$81,3,FALSE)</f>
        <v>1</v>
      </c>
      <c r="M429" s="16">
        <f>VLOOKUP(I429,episodes!$A$1:$D$81,4,FALSE)</f>
        <v>27</v>
      </c>
      <c r="O429" s="14">
        <v>0</v>
      </c>
      <c r="P429" s="24">
        <f>LEN(E429)+LEN(K429)</f>
        <v>301</v>
      </c>
      <c r="Q429" s="24">
        <f>COUNTIFS(B:B,B428)</f>
        <v>128</v>
      </c>
      <c r="R429" s="24">
        <f>COUNTIFS(D:D,D429)</f>
        <v>128</v>
      </c>
    </row>
    <row r="430" spans="1:18" x14ac:dyDescent="0.3">
      <c r="A430" s="14">
        <v>781</v>
      </c>
      <c r="B430" s="21" t="s">
        <v>373</v>
      </c>
      <c r="C430" s="21" t="s">
        <v>2613</v>
      </c>
      <c r="D430" s="1" t="s">
        <v>2660</v>
      </c>
      <c r="E430" s="1" t="s">
        <v>993</v>
      </c>
      <c r="F430" s="21" t="s">
        <v>4</v>
      </c>
      <c r="G430" s="14">
        <v>1</v>
      </c>
      <c r="H430" s="14">
        <v>0</v>
      </c>
      <c r="I430" s="22">
        <v>121</v>
      </c>
      <c r="J430" s="23">
        <f>VLOOKUP(I430,episodes!$A$1:$B$76,2,FALSE)</f>
        <v>22</v>
      </c>
      <c r="K430" s="16" t="str">
        <f>VLOOKUP(I430,episodes!$A$1:$E$81,5,FALSE)</f>
        <v>The Return of the Archons</v>
      </c>
      <c r="L430" s="16">
        <f>VLOOKUP(I430,episodes!$A$1:$D$81,3,FALSE)</f>
        <v>1</v>
      </c>
      <c r="M430" s="16">
        <f>VLOOKUP(I430,episodes!$A$1:$D$81,4,FALSE)</f>
        <v>21</v>
      </c>
      <c r="O430" s="14">
        <v>0</v>
      </c>
      <c r="P430" s="24">
        <f>LEN(E430)+LEN(K430)</f>
        <v>270</v>
      </c>
      <c r="Q430" s="24">
        <f>COUNTIFS(B:B,B429)</f>
        <v>128</v>
      </c>
      <c r="R430" s="24">
        <f>COUNTIFS(D:D,D430)</f>
        <v>128</v>
      </c>
    </row>
    <row r="431" spans="1:18" x14ac:dyDescent="0.3">
      <c r="A431" s="14">
        <v>805</v>
      </c>
      <c r="B431" s="21" t="s">
        <v>373</v>
      </c>
      <c r="C431" s="21" t="s">
        <v>2613</v>
      </c>
      <c r="D431" s="1" t="s">
        <v>2660</v>
      </c>
      <c r="E431" s="1" t="s">
        <v>997</v>
      </c>
      <c r="F431" s="21" t="s">
        <v>4</v>
      </c>
      <c r="G431" s="14">
        <v>1</v>
      </c>
      <c r="H431" s="14">
        <v>0</v>
      </c>
      <c r="I431" s="22">
        <v>123</v>
      </c>
      <c r="J431" s="23">
        <f>VLOOKUP(I431,episodes!$A$1:$B$76,2,FALSE)</f>
        <v>24</v>
      </c>
      <c r="K431" s="16" t="str">
        <f>VLOOKUP(I431,episodes!$A$1:$E$81,5,FALSE)</f>
        <v>A Taste of Armageddon</v>
      </c>
      <c r="L431" s="16">
        <f>VLOOKUP(I431,episodes!$A$1:$D$81,3,FALSE)</f>
        <v>1</v>
      </c>
      <c r="M431" s="16">
        <f>VLOOKUP(I431,episodes!$A$1:$D$81,4,FALSE)</f>
        <v>23</v>
      </c>
      <c r="O431" s="14">
        <v>0</v>
      </c>
      <c r="P431" s="24">
        <f>LEN(E431)+LEN(K431)</f>
        <v>224</v>
      </c>
      <c r="Q431" s="24">
        <f>COUNTIFS(B:B,B430)</f>
        <v>128</v>
      </c>
      <c r="R431" s="24">
        <f>COUNTIFS(D:D,D431)</f>
        <v>128</v>
      </c>
    </row>
    <row r="432" spans="1:18" x14ac:dyDescent="0.3">
      <c r="A432" s="14">
        <v>850</v>
      </c>
      <c r="B432" s="21" t="s">
        <v>373</v>
      </c>
      <c r="C432" s="21" t="s">
        <v>2613</v>
      </c>
      <c r="D432" s="1" t="s">
        <v>2660</v>
      </c>
      <c r="E432" s="1" t="s">
        <v>1001</v>
      </c>
      <c r="F432" s="21" t="s">
        <v>4</v>
      </c>
      <c r="G432" s="14">
        <v>1</v>
      </c>
      <c r="H432" s="14">
        <v>0</v>
      </c>
      <c r="I432" s="22">
        <v>126</v>
      </c>
      <c r="J432" s="23">
        <f>VLOOKUP(I432,episodes!$A$1:$B$76,2,FALSE)</f>
        <v>27</v>
      </c>
      <c r="K432" s="16" t="str">
        <f>VLOOKUP(I432,episodes!$A$1:$E$81,5,FALSE)</f>
        <v>Errand of Mercy</v>
      </c>
      <c r="L432" s="16">
        <f>VLOOKUP(I432,episodes!$A$1:$D$81,3,FALSE)</f>
        <v>1</v>
      </c>
      <c r="M432" s="16">
        <f>VLOOKUP(I432,episodes!$A$1:$D$81,4,FALSE)</f>
        <v>26</v>
      </c>
      <c r="O432" s="14">
        <v>0</v>
      </c>
      <c r="P432" s="24">
        <f>LEN(E432)+LEN(K432)</f>
        <v>281</v>
      </c>
      <c r="Q432" s="24">
        <f>COUNTIFS(B:B,B431)</f>
        <v>128</v>
      </c>
      <c r="R432" s="24">
        <f>COUNTIFS(D:D,D432)</f>
        <v>128</v>
      </c>
    </row>
    <row r="433" spans="1:18" x14ac:dyDescent="0.3">
      <c r="A433" s="14">
        <v>967</v>
      </c>
      <c r="B433" s="21" t="s">
        <v>373</v>
      </c>
      <c r="C433" s="21" t="s">
        <v>2613</v>
      </c>
      <c r="D433" s="1" t="s">
        <v>2660</v>
      </c>
      <c r="E433" s="1" t="s">
        <v>2220</v>
      </c>
      <c r="F433" s="21" t="s">
        <v>4</v>
      </c>
      <c r="G433" s="14">
        <v>1</v>
      </c>
      <c r="H433" s="14">
        <v>0</v>
      </c>
      <c r="I433" s="22">
        <v>210</v>
      </c>
      <c r="J433" s="23">
        <f>VLOOKUP(I433,episodes!$A$1:$B$81,2,FALSE)</f>
        <v>40</v>
      </c>
      <c r="K433" s="16" t="str">
        <f>VLOOKUP(I433,episodes!$A$1:$E$81,5,FALSE)</f>
        <v>Journey to Babel</v>
      </c>
      <c r="L433" s="16">
        <f>VLOOKUP(I433,episodes!$A$1:$D$81,3,FALSE)</f>
        <v>2</v>
      </c>
      <c r="M433" s="16">
        <f>VLOOKUP(I433,episodes!$A$1:$D$81,4,FALSE)</f>
        <v>10</v>
      </c>
      <c r="O433" s="14">
        <v>0</v>
      </c>
      <c r="P433" s="24">
        <f>LEN(E433)+LEN(K433)</f>
        <v>485</v>
      </c>
      <c r="Q433" s="24"/>
      <c r="R433" s="24"/>
    </row>
    <row r="434" spans="1:18" x14ac:dyDescent="0.3">
      <c r="A434" s="14">
        <v>743</v>
      </c>
      <c r="B434" s="21" t="s">
        <v>373</v>
      </c>
      <c r="C434" s="21" t="s">
        <v>2613</v>
      </c>
      <c r="D434" s="1" t="s">
        <v>2660</v>
      </c>
      <c r="E434" s="1" t="s">
        <v>959</v>
      </c>
      <c r="F434" s="21" t="s">
        <v>4</v>
      </c>
      <c r="G434" s="14">
        <v>1</v>
      </c>
      <c r="H434" s="14">
        <v>0</v>
      </c>
      <c r="I434" s="22">
        <v>118</v>
      </c>
      <c r="J434" s="23">
        <f>VLOOKUP(I434,episodes!$A$1:$B$76,2,FALSE)</f>
        <v>19</v>
      </c>
      <c r="K434" s="16" t="str">
        <f>VLOOKUP(I434,episodes!$A$1:$E$81,5,FALSE)</f>
        <v>Arena</v>
      </c>
      <c r="L434" s="16">
        <f>VLOOKUP(I434,episodes!$A$1:$D$81,3,FALSE)</f>
        <v>1</v>
      </c>
      <c r="M434" s="16">
        <f>VLOOKUP(I434,episodes!$A$1:$D$81,4,FALSE)</f>
        <v>18</v>
      </c>
      <c r="O434" s="14">
        <v>0</v>
      </c>
      <c r="P434" s="24">
        <f>LEN(E434)+LEN(K434)</f>
        <v>206</v>
      </c>
      <c r="Q434" s="24">
        <f>COUNTIFS(B:B,B433)</f>
        <v>128</v>
      </c>
      <c r="R434" s="24">
        <f>COUNTIFS(D:D,D434)</f>
        <v>128</v>
      </c>
    </row>
    <row r="435" spans="1:18" x14ac:dyDescent="0.3">
      <c r="A435" s="14">
        <v>797</v>
      </c>
      <c r="B435" s="21" t="s">
        <v>373</v>
      </c>
      <c r="C435" s="21" t="s">
        <v>2613</v>
      </c>
      <c r="D435" s="1" t="s">
        <v>2660</v>
      </c>
      <c r="E435" s="1" t="s">
        <v>996</v>
      </c>
      <c r="F435" s="21" t="s">
        <v>4</v>
      </c>
      <c r="G435" s="14">
        <v>1</v>
      </c>
      <c r="H435" s="14">
        <v>0</v>
      </c>
      <c r="I435" s="22">
        <v>122</v>
      </c>
      <c r="J435" s="23">
        <f>VLOOKUP(I435,episodes!$A$1:$B$76,2,FALSE)</f>
        <v>23</v>
      </c>
      <c r="K435" s="16" t="str">
        <f>VLOOKUP(I435,episodes!$A$1:$E$81,5,FALSE)</f>
        <v>Space Seed</v>
      </c>
      <c r="L435" s="16">
        <f>VLOOKUP(I435,episodes!$A$1:$D$81,3,FALSE)</f>
        <v>1</v>
      </c>
      <c r="M435" s="16">
        <f>VLOOKUP(I435,episodes!$A$1:$D$81,4,FALSE)</f>
        <v>22</v>
      </c>
      <c r="O435" s="14">
        <v>0</v>
      </c>
      <c r="P435" s="24">
        <f>LEN(E435)+LEN(K435)</f>
        <v>383</v>
      </c>
      <c r="Q435" s="24">
        <f>COUNTIFS(B:B,B434)</f>
        <v>128</v>
      </c>
      <c r="R435" s="24">
        <f>COUNTIFS(D:D,D435)</f>
        <v>128</v>
      </c>
    </row>
    <row r="436" spans="1:18" x14ac:dyDescent="0.3">
      <c r="A436" s="14">
        <v>759</v>
      </c>
      <c r="B436" s="21" t="s">
        <v>373</v>
      </c>
      <c r="C436" s="21" t="s">
        <v>2613</v>
      </c>
      <c r="D436" s="1" t="s">
        <v>2660</v>
      </c>
      <c r="E436" s="1" t="s">
        <v>1988</v>
      </c>
      <c r="F436" s="21" t="s">
        <v>4</v>
      </c>
      <c r="G436" s="14">
        <v>1</v>
      </c>
      <c r="H436" s="14">
        <v>0</v>
      </c>
      <c r="I436" s="22">
        <v>119</v>
      </c>
      <c r="J436" s="23">
        <f>VLOOKUP(I436,episodes!$A$1:$B$76,2,FALSE)</f>
        <v>20</v>
      </c>
      <c r="K436" s="16" t="str">
        <f>VLOOKUP(I436,episodes!$A$1:$E$81,5,FALSE)</f>
        <v>Tomorrow Is Yesterday</v>
      </c>
      <c r="L436" s="16">
        <f>VLOOKUP(I436,episodes!$A$1:$D$81,3,FALSE)</f>
        <v>1</v>
      </c>
      <c r="M436" s="16">
        <f>VLOOKUP(I436,episodes!$A$1:$D$81,4,FALSE)</f>
        <v>19</v>
      </c>
      <c r="O436" s="14">
        <v>0</v>
      </c>
      <c r="P436" s="24">
        <f>LEN(E436)+LEN(K436)</f>
        <v>156</v>
      </c>
      <c r="Q436" s="24">
        <f>COUNTIFS(B:B,B435)</f>
        <v>128</v>
      </c>
      <c r="R436" s="24">
        <f>COUNTIFS(D:D,D436)</f>
        <v>128</v>
      </c>
    </row>
    <row r="437" spans="1:18" x14ac:dyDescent="0.3">
      <c r="A437" s="14">
        <v>904</v>
      </c>
      <c r="B437" s="21" t="s">
        <v>373</v>
      </c>
      <c r="C437" s="21" t="s">
        <v>2613</v>
      </c>
      <c r="D437" s="1" t="s">
        <v>2660</v>
      </c>
      <c r="E437" s="1" t="s">
        <v>1009</v>
      </c>
      <c r="F437" s="21" t="s">
        <v>4</v>
      </c>
      <c r="G437" s="14">
        <v>1</v>
      </c>
      <c r="H437" s="14">
        <v>0</v>
      </c>
      <c r="I437" s="25">
        <v>204</v>
      </c>
      <c r="J437" s="23">
        <f>VLOOKUP(I437,episodes!$A$1:$B$81,2,FALSE)</f>
        <v>34</v>
      </c>
      <c r="K437" s="16" t="str">
        <f>VLOOKUP(I437,episodes!$A$1:$E$81,5,FALSE)</f>
        <v>Mirror, Mirror</v>
      </c>
      <c r="L437" s="16">
        <f>VLOOKUP(I437,episodes!$A$1:$D$81,3,FALSE)</f>
        <v>2</v>
      </c>
      <c r="M437" s="16">
        <f>VLOOKUP(I437,episodes!$A$1:$D$81,4,FALSE)</f>
        <v>4</v>
      </c>
      <c r="O437" s="14">
        <v>0</v>
      </c>
      <c r="P437" s="24">
        <f>LEN(E437)+LEN(K437)</f>
        <v>211</v>
      </c>
      <c r="Q437" s="24">
        <f>COUNTIFS(B:B,B436)</f>
        <v>128</v>
      </c>
      <c r="R437" s="24">
        <f>COUNTIFS(D:D,D437)</f>
        <v>128</v>
      </c>
    </row>
    <row r="438" spans="1:18" s="21" customFormat="1" x14ac:dyDescent="0.3">
      <c r="A438" s="14">
        <v>820</v>
      </c>
      <c r="B438" s="21" t="s">
        <v>373</v>
      </c>
      <c r="C438" s="21" t="s">
        <v>2613</v>
      </c>
      <c r="D438" s="1" t="s">
        <v>2660</v>
      </c>
      <c r="E438" s="1" t="s">
        <v>1991</v>
      </c>
      <c r="F438" s="21" t="s">
        <v>4</v>
      </c>
      <c r="G438" s="14">
        <v>1</v>
      </c>
      <c r="H438" s="14">
        <v>0</v>
      </c>
      <c r="I438" s="22">
        <v>124</v>
      </c>
      <c r="J438" s="23">
        <f>VLOOKUP(I438,episodes!$A$1:$B$76,2,FALSE)</f>
        <v>25</v>
      </c>
      <c r="K438" s="16" t="str">
        <f>VLOOKUP(I438,episodes!$A$1:$E$81,5,FALSE)</f>
        <v>This Side of Paradise</v>
      </c>
      <c r="L438" s="16">
        <f>VLOOKUP(I438,episodes!$A$1:$D$81,3,FALSE)</f>
        <v>1</v>
      </c>
      <c r="M438" s="16">
        <f>VLOOKUP(I438,episodes!$A$1:$D$81,4,FALSE)</f>
        <v>24</v>
      </c>
      <c r="N438" s="14"/>
      <c r="O438" s="14">
        <v>0</v>
      </c>
      <c r="P438" s="24">
        <f>LEN(E438)+LEN(K438)</f>
        <v>249</v>
      </c>
      <c r="Q438" s="24">
        <f>COUNTIFS(B:B,B437)</f>
        <v>128</v>
      </c>
      <c r="R438" s="24">
        <f>COUNTIFS(D:D,D438)</f>
        <v>128</v>
      </c>
    </row>
    <row r="439" spans="1:18" x14ac:dyDescent="0.3">
      <c r="A439" s="14">
        <v>876</v>
      </c>
      <c r="B439" s="21" t="s">
        <v>373</v>
      </c>
      <c r="C439" s="21" t="s">
        <v>2613</v>
      </c>
      <c r="D439" s="1" t="s">
        <v>2660</v>
      </c>
      <c r="E439" s="1" t="s">
        <v>1997</v>
      </c>
      <c r="F439" s="21" t="s">
        <v>4</v>
      </c>
      <c r="G439" s="14">
        <v>1</v>
      </c>
      <c r="H439" s="14">
        <v>0</v>
      </c>
      <c r="I439" s="22">
        <v>129</v>
      </c>
      <c r="J439" s="23">
        <f>VLOOKUP(I439,episodes!$A$1:$B$76,2,FALSE)</f>
        <v>30</v>
      </c>
      <c r="K439" s="16" t="str">
        <f>VLOOKUP(I439,episodes!$A$1:$E$81,5,FALSE)</f>
        <v>Operation: Annihilate!</v>
      </c>
      <c r="L439" s="16">
        <f>VLOOKUP(I439,episodes!$A$1:$D$81,3,FALSE)</f>
        <v>1</v>
      </c>
      <c r="M439" s="16">
        <f>VLOOKUP(I439,episodes!$A$1:$D$81,4,FALSE)</f>
        <v>29</v>
      </c>
      <c r="O439" s="14">
        <v>0</v>
      </c>
      <c r="P439" s="24">
        <f>LEN(E439)+LEN(K439)</f>
        <v>276</v>
      </c>
      <c r="Q439" s="24">
        <f>COUNTIFS(B:B,B438)</f>
        <v>128</v>
      </c>
      <c r="R439" s="24">
        <f>COUNTIFS(D:D,D439)</f>
        <v>128</v>
      </c>
    </row>
    <row r="440" spans="1:18" x14ac:dyDescent="0.3">
      <c r="A440" s="14">
        <v>914</v>
      </c>
      <c r="B440" s="21" t="s">
        <v>373</v>
      </c>
      <c r="C440" s="21" t="s">
        <v>2613</v>
      </c>
      <c r="D440" s="1" t="s">
        <v>2660</v>
      </c>
      <c r="E440" s="1" t="s">
        <v>1011</v>
      </c>
      <c r="F440" s="21" t="s">
        <v>4</v>
      </c>
      <c r="G440" s="14">
        <v>1</v>
      </c>
      <c r="H440" s="14">
        <v>0</v>
      </c>
      <c r="I440" s="25">
        <v>205</v>
      </c>
      <c r="J440" s="23">
        <f>VLOOKUP(I440,episodes!$A$1:$B$81,2,FALSE)</f>
        <v>35</v>
      </c>
      <c r="K440" s="16" t="str">
        <f>VLOOKUP(I440,episodes!$A$1:$E$81,5,FALSE)</f>
        <v>The Apple</v>
      </c>
      <c r="L440" s="16">
        <f>VLOOKUP(I440,episodes!$A$1:$D$81,3,FALSE)</f>
        <v>2</v>
      </c>
      <c r="M440" s="16">
        <f>VLOOKUP(I440,episodes!$A$1:$D$81,4,FALSE)</f>
        <v>5</v>
      </c>
      <c r="O440" s="14">
        <v>0</v>
      </c>
      <c r="P440" s="24">
        <f>LEN(E440)+LEN(K440)</f>
        <v>241</v>
      </c>
      <c r="Q440" s="24">
        <f>COUNTIFS(B:B,B439)</f>
        <v>128</v>
      </c>
      <c r="R440" s="24">
        <f>COUNTIFS(D:D,D440)</f>
        <v>128</v>
      </c>
    </row>
    <row r="441" spans="1:18" x14ac:dyDescent="0.3">
      <c r="A441" s="14">
        <v>683</v>
      </c>
      <c r="B441" s="21" t="s">
        <v>373</v>
      </c>
      <c r="C441" s="21" t="s">
        <v>2613</v>
      </c>
      <c r="D441" s="1" t="s">
        <v>2660</v>
      </c>
      <c r="E441" s="1" t="s">
        <v>1764</v>
      </c>
      <c r="F441" s="21" t="s">
        <v>4</v>
      </c>
      <c r="G441" s="14">
        <v>1</v>
      </c>
      <c r="H441" s="14">
        <v>0</v>
      </c>
      <c r="I441" s="25">
        <v>112</v>
      </c>
      <c r="J441" s="23">
        <f>VLOOKUP(I441,episodes!$A$1:$B$76,2,FALSE)</f>
        <v>13</v>
      </c>
      <c r="K441" s="16" t="str">
        <f>VLOOKUP(I441,episodes!$A$1:$E$81,5,FALSE)</f>
        <v>The Menagerie, Part II</v>
      </c>
      <c r="L441" s="16">
        <f>VLOOKUP(I441,episodes!$A$1:$D$81,3,FALSE)</f>
        <v>1</v>
      </c>
      <c r="M441" s="16">
        <f>VLOOKUP(I441,episodes!$A$1:$D$81,4,FALSE)</f>
        <v>12</v>
      </c>
      <c r="O441" s="14">
        <v>0</v>
      </c>
      <c r="P441" s="24">
        <f>LEN(E441)+LEN(K441)</f>
        <v>278</v>
      </c>
      <c r="Q441" s="24">
        <f>COUNTIFS(B:B,B440)</f>
        <v>128</v>
      </c>
      <c r="R441" s="24">
        <f>COUNTIFS(D:D,D441)</f>
        <v>128</v>
      </c>
    </row>
    <row r="442" spans="1:18" x14ac:dyDescent="0.3">
      <c r="A442" s="14">
        <v>1556</v>
      </c>
      <c r="B442" s="21" t="s">
        <v>373</v>
      </c>
      <c r="C442" s="21" t="s">
        <v>2613</v>
      </c>
      <c r="D442" s="1" t="s">
        <v>2660</v>
      </c>
      <c r="E442" s="1" t="s">
        <v>1726</v>
      </c>
      <c r="F442" s="21" t="s">
        <v>8</v>
      </c>
      <c r="G442" s="14">
        <v>0</v>
      </c>
      <c r="H442" s="14">
        <v>1</v>
      </c>
      <c r="I442" s="25">
        <v>109</v>
      </c>
      <c r="J442" s="23">
        <f>VLOOKUP(I442,episodes!$A$1:$B$76,2,FALSE)</f>
        <v>10</v>
      </c>
      <c r="K442" s="16" t="str">
        <f>VLOOKUP(I442,episodes!$A$1:$E$81,5,FALSE)</f>
        <v>Dagger of the Mind</v>
      </c>
      <c r="L442" s="16">
        <f>VLOOKUP(I442,episodes!$A$1:$D$81,3,FALSE)</f>
        <v>1</v>
      </c>
      <c r="M442" s="16">
        <f>VLOOKUP(I442,episodes!$A$1:$D$81,4,FALSE)</f>
        <v>9</v>
      </c>
      <c r="O442" s="14">
        <v>0</v>
      </c>
      <c r="P442" s="24">
        <f>LEN(E442)+LEN(K442)</f>
        <v>190</v>
      </c>
      <c r="Q442" s="24">
        <f>COUNTIFS(B:B,B441)</f>
        <v>128</v>
      </c>
      <c r="R442" s="24">
        <f>COUNTIFS(D:D,D442)</f>
        <v>128</v>
      </c>
    </row>
    <row r="443" spans="1:18" x14ac:dyDescent="0.3">
      <c r="A443" s="14">
        <v>2956</v>
      </c>
      <c r="B443" s="21" t="s">
        <v>373</v>
      </c>
      <c r="C443" s="21" t="s">
        <v>2613</v>
      </c>
      <c r="D443" s="1" t="s">
        <v>2660</v>
      </c>
      <c r="E443" s="4" t="s">
        <v>2785</v>
      </c>
      <c r="F443" s="21" t="s">
        <v>6</v>
      </c>
      <c r="G443" s="14">
        <v>0</v>
      </c>
      <c r="H443" s="14">
        <v>1</v>
      </c>
      <c r="I443" s="7">
        <v>211</v>
      </c>
      <c r="J443" s="23">
        <f>VLOOKUP(I443,episodes!$A$1:$B$81,2,FALSE)</f>
        <v>41</v>
      </c>
      <c r="K443" s="16" t="str">
        <f>VLOOKUP(I443,episodes!$A$1:$E$81,5,FALSE)</f>
        <v>Friday's Child</v>
      </c>
      <c r="L443" s="16">
        <f>VLOOKUP(I443,episodes!$A$1:$D$81,3,FALSE)</f>
        <v>2</v>
      </c>
      <c r="M443" s="16">
        <f>VLOOKUP(I443,episodes!$A$1:$D$81,4,FALSE)</f>
        <v>11</v>
      </c>
      <c r="O443" s="14">
        <v>0</v>
      </c>
      <c r="P443" s="24">
        <f>LEN(E443)+LEN(K443)</f>
        <v>36</v>
      </c>
      <c r="Q443" s="24"/>
      <c r="R443" s="24"/>
    </row>
    <row r="444" spans="1:18" x14ac:dyDescent="0.3">
      <c r="A444" s="14">
        <v>1999</v>
      </c>
      <c r="B444" s="21" t="s">
        <v>373</v>
      </c>
      <c r="C444" s="21" t="s">
        <v>2613</v>
      </c>
      <c r="D444" s="1" t="s">
        <v>2660</v>
      </c>
      <c r="E444" s="1" t="s">
        <v>1531</v>
      </c>
      <c r="F444" s="21" t="s">
        <v>6</v>
      </c>
      <c r="G444" s="14">
        <v>0</v>
      </c>
      <c r="H444" s="14">
        <v>1</v>
      </c>
      <c r="I444" s="14">
        <v>209</v>
      </c>
      <c r="J444" s="23">
        <f>VLOOKUP(I444,episodes!$A$1:$B$81,2,FALSE)</f>
        <v>39</v>
      </c>
      <c r="K444" s="16" t="str">
        <f>VLOOKUP(I444,episodes!$A$1:$E$81,5,FALSE)</f>
        <v>Metamorphosis</v>
      </c>
      <c r="L444" s="16">
        <f>VLOOKUP(I444,episodes!$A$1:$D$81,3,FALSE)</f>
        <v>2</v>
      </c>
      <c r="M444" s="16">
        <f>VLOOKUP(I444,episodes!$A$1:$D$81,4,FALSE)</f>
        <v>9</v>
      </c>
      <c r="O444" s="14">
        <v>0</v>
      </c>
      <c r="P444" s="24">
        <f>LEN(E444)+LEN(K444)</f>
        <v>194</v>
      </c>
      <c r="Q444" s="24">
        <f>COUNTIFS(B:B,B443)</f>
        <v>128</v>
      </c>
      <c r="R444" s="24">
        <f>COUNTIFS(D:D,D444)</f>
        <v>128</v>
      </c>
    </row>
    <row r="445" spans="1:18" x14ac:dyDescent="0.3">
      <c r="A445" s="14">
        <v>2100</v>
      </c>
      <c r="B445" s="21" t="s">
        <v>373</v>
      </c>
      <c r="C445" s="21" t="s">
        <v>2613</v>
      </c>
      <c r="D445" s="1" t="s">
        <v>2660</v>
      </c>
      <c r="E445" s="1" t="s">
        <v>1823</v>
      </c>
      <c r="F445" s="21" t="s">
        <v>5</v>
      </c>
      <c r="G445" s="14">
        <v>1</v>
      </c>
      <c r="H445" s="14">
        <v>0</v>
      </c>
      <c r="I445" s="22">
        <v>117</v>
      </c>
      <c r="J445" s="23">
        <f>VLOOKUP(I445,episodes!$A$1:$B$76,2,FALSE)</f>
        <v>18</v>
      </c>
      <c r="K445" s="16" t="str">
        <f>VLOOKUP(I445,episodes!$A$1:$E$81,5,FALSE)</f>
        <v>The Squire of Gothos</v>
      </c>
      <c r="L445" s="16">
        <f>VLOOKUP(I445,episodes!$A$1:$D$81,3,FALSE)</f>
        <v>1</v>
      </c>
      <c r="M445" s="16">
        <f>VLOOKUP(I445,episodes!$A$1:$D$81,4,FALSE)</f>
        <v>17</v>
      </c>
      <c r="O445" s="14">
        <v>0</v>
      </c>
      <c r="P445" s="24">
        <f>LEN(E445)+LEN(K445)</f>
        <v>449</v>
      </c>
      <c r="Q445" s="24">
        <f>COUNTIFS(B:B,B444)</f>
        <v>128</v>
      </c>
      <c r="R445" s="24">
        <f>COUNTIFS(D:D,D445)</f>
        <v>128</v>
      </c>
    </row>
    <row r="446" spans="1:18" x14ac:dyDescent="0.3">
      <c r="A446" s="14">
        <v>2964</v>
      </c>
      <c r="B446" s="21" t="s">
        <v>373</v>
      </c>
      <c r="C446" s="21" t="s">
        <v>2613</v>
      </c>
      <c r="D446" s="1" t="s">
        <v>2660</v>
      </c>
      <c r="E446" s="4" t="s">
        <v>2791</v>
      </c>
      <c r="F446" s="21" t="s">
        <v>4</v>
      </c>
      <c r="G446" s="14">
        <v>1</v>
      </c>
      <c r="H446" s="14">
        <v>0</v>
      </c>
      <c r="I446" s="7">
        <v>211</v>
      </c>
      <c r="J446" s="23">
        <f>VLOOKUP(I446,episodes!$A$1:$B$81,2,FALSE)</f>
        <v>41</v>
      </c>
      <c r="K446" s="16" t="str">
        <f>VLOOKUP(I446,episodes!$A$1:$E$81,5,FALSE)</f>
        <v>Friday's Child</v>
      </c>
      <c r="L446" s="16">
        <f>VLOOKUP(I446,episodes!$A$1:$D$81,3,FALSE)</f>
        <v>2</v>
      </c>
      <c r="M446" s="16">
        <f>VLOOKUP(I446,episodes!$A$1:$D$81,4,FALSE)</f>
        <v>11</v>
      </c>
      <c r="O446" s="14">
        <v>0</v>
      </c>
      <c r="P446" s="24">
        <f>LEN(E446)+LEN(K446)</f>
        <v>34</v>
      </c>
      <c r="Q446" s="24"/>
      <c r="R446" s="24"/>
    </row>
    <row r="447" spans="1:18" x14ac:dyDescent="0.3">
      <c r="A447" s="14">
        <v>806</v>
      </c>
      <c r="B447" s="21" t="s">
        <v>373</v>
      </c>
      <c r="C447" s="21" t="s">
        <v>2613</v>
      </c>
      <c r="D447" s="1" t="s">
        <v>2660</v>
      </c>
      <c r="E447" s="1" t="s">
        <v>1525</v>
      </c>
      <c r="F447" s="21" t="s">
        <v>4</v>
      </c>
      <c r="G447" s="14">
        <v>1</v>
      </c>
      <c r="H447" s="14">
        <v>0</v>
      </c>
      <c r="I447" s="22">
        <v>123</v>
      </c>
      <c r="J447" s="23">
        <f>VLOOKUP(I447,episodes!$A$1:$B$76,2,FALSE)</f>
        <v>24</v>
      </c>
      <c r="K447" s="16" t="str">
        <f>VLOOKUP(I447,episodes!$A$1:$E$81,5,FALSE)</f>
        <v>A Taste of Armageddon</v>
      </c>
      <c r="L447" s="16">
        <f>VLOOKUP(I447,episodes!$A$1:$D$81,3,FALSE)</f>
        <v>1</v>
      </c>
      <c r="M447" s="16">
        <f>VLOOKUP(I447,episodes!$A$1:$D$81,4,FALSE)</f>
        <v>23</v>
      </c>
      <c r="O447" s="14">
        <v>0</v>
      </c>
      <c r="P447" s="24">
        <f>LEN(E447)+LEN(K447)</f>
        <v>311</v>
      </c>
      <c r="Q447" s="24">
        <f>COUNTIFS(B:B,B446)</f>
        <v>128</v>
      </c>
      <c r="R447" s="24">
        <f>COUNTIFS(D:D,D447)</f>
        <v>128</v>
      </c>
    </row>
    <row r="448" spans="1:18" x14ac:dyDescent="0.3">
      <c r="A448" s="14">
        <v>636</v>
      </c>
      <c r="B448" s="21" t="s">
        <v>373</v>
      </c>
      <c r="C448" s="21" t="s">
        <v>2613</v>
      </c>
      <c r="D448" s="1" t="s">
        <v>2660</v>
      </c>
      <c r="E448" s="1" t="s">
        <v>1718</v>
      </c>
      <c r="F448" s="21" t="s">
        <v>4</v>
      </c>
      <c r="G448" s="14">
        <v>1</v>
      </c>
      <c r="H448" s="14">
        <v>0</v>
      </c>
      <c r="I448" s="25">
        <v>108</v>
      </c>
      <c r="J448" s="23">
        <f>VLOOKUP(I448,episodes!$A$1:$B$76,2,FALSE)</f>
        <v>9</v>
      </c>
      <c r="K448" s="16" t="str">
        <f>VLOOKUP(I448,episodes!$A$1:$E$81,5,FALSE)</f>
        <v>Miri</v>
      </c>
      <c r="L448" s="16">
        <f>VLOOKUP(I448,episodes!$A$1:$D$81,3,FALSE)</f>
        <v>1</v>
      </c>
      <c r="M448" s="16">
        <f>VLOOKUP(I448,episodes!$A$1:$D$81,4,FALSE)</f>
        <v>8</v>
      </c>
      <c r="O448" s="14">
        <v>0</v>
      </c>
      <c r="P448" s="24">
        <f>LEN(E448)+LEN(K448)</f>
        <v>200</v>
      </c>
      <c r="Q448" s="24">
        <f>COUNTIFS(B:B,B447)</f>
        <v>128</v>
      </c>
      <c r="R448" s="24">
        <f>COUNTIFS(D:D,D448)</f>
        <v>128</v>
      </c>
    </row>
    <row r="449" spans="1:18" x14ac:dyDescent="0.3">
      <c r="A449" s="14">
        <v>569</v>
      </c>
      <c r="B449" s="21" t="s">
        <v>373</v>
      </c>
      <c r="C449" s="21" t="s">
        <v>2613</v>
      </c>
      <c r="D449" s="1" t="s">
        <v>2660</v>
      </c>
      <c r="E449" s="1" t="s">
        <v>963</v>
      </c>
      <c r="F449" s="21" t="s">
        <v>4</v>
      </c>
      <c r="G449" s="14">
        <v>1</v>
      </c>
      <c r="H449" s="14">
        <v>0</v>
      </c>
      <c r="I449" s="25">
        <v>103</v>
      </c>
      <c r="J449" s="23">
        <f>VLOOKUP(I449,episodes!$A$1:$B$76,2,FALSE)</f>
        <v>4</v>
      </c>
      <c r="K449" s="16" t="str">
        <f>VLOOKUP(I449,episodes!$A$1:$E$81,5,FALSE)</f>
        <v>Where No Man Has Gone Before</v>
      </c>
      <c r="L449" s="16">
        <f>VLOOKUP(I449,episodes!$A$1:$D$81,3,FALSE)</f>
        <v>1</v>
      </c>
      <c r="M449" s="16">
        <f>VLOOKUP(I449,episodes!$A$1:$D$81,4,FALSE)</f>
        <v>3</v>
      </c>
      <c r="O449" s="14">
        <v>0</v>
      </c>
      <c r="P449" s="24">
        <f>LEN(E449)+LEN(K449)</f>
        <v>349</v>
      </c>
      <c r="Q449" s="24">
        <f>COUNTIFS(B:B,B448)</f>
        <v>128</v>
      </c>
      <c r="R449" s="24">
        <f>COUNTIFS(D:D,D449)</f>
        <v>128</v>
      </c>
    </row>
    <row r="450" spans="1:18" x14ac:dyDescent="0.3">
      <c r="A450" s="14">
        <v>602</v>
      </c>
      <c r="B450" s="21" t="s">
        <v>373</v>
      </c>
      <c r="C450" s="21" t="s">
        <v>2613</v>
      </c>
      <c r="D450" s="1" t="s">
        <v>2660</v>
      </c>
      <c r="E450" s="1" t="s">
        <v>1519</v>
      </c>
      <c r="F450" s="21" t="s">
        <v>4</v>
      </c>
      <c r="G450" s="14">
        <v>1</v>
      </c>
      <c r="H450" s="14">
        <v>0</v>
      </c>
      <c r="I450" s="25">
        <v>106</v>
      </c>
      <c r="J450" s="23">
        <f>VLOOKUP(I450,episodes!$A$1:$B$76,2,FALSE)</f>
        <v>7</v>
      </c>
      <c r="K450" s="16" t="str">
        <f>VLOOKUP(I450,episodes!$A$1:$E$81,5,FALSE)</f>
        <v>Mudd's Women</v>
      </c>
      <c r="L450" s="16">
        <f>VLOOKUP(I450,episodes!$A$1:$D$81,3,FALSE)</f>
        <v>1</v>
      </c>
      <c r="M450" s="16">
        <f>VLOOKUP(I450,episodes!$A$1:$D$81,4,FALSE)</f>
        <v>6</v>
      </c>
      <c r="O450" s="14">
        <v>0</v>
      </c>
      <c r="P450" s="24">
        <f>LEN(E450)+LEN(K450)</f>
        <v>233</v>
      </c>
      <c r="Q450" s="24">
        <f>COUNTIFS(B:B,B449)</f>
        <v>128</v>
      </c>
      <c r="R450" s="24">
        <f>COUNTIFS(D:D,D450)</f>
        <v>128</v>
      </c>
    </row>
    <row r="451" spans="1:18" x14ac:dyDescent="0.3">
      <c r="A451" s="14">
        <v>545</v>
      </c>
      <c r="B451" s="21" t="s">
        <v>373</v>
      </c>
      <c r="C451" s="21" t="s">
        <v>2613</v>
      </c>
      <c r="D451" s="1" t="s">
        <v>2660</v>
      </c>
      <c r="E451" s="1" t="s">
        <v>1511</v>
      </c>
      <c r="F451" s="21" t="s">
        <v>4</v>
      </c>
      <c r="G451" s="14">
        <v>1</v>
      </c>
      <c r="H451" s="14">
        <v>0</v>
      </c>
      <c r="I451" s="25">
        <v>101</v>
      </c>
      <c r="J451" s="23">
        <f>VLOOKUP(I451,episodes!$A$1:$B$76,2,FALSE)</f>
        <v>2</v>
      </c>
      <c r="K451" s="16" t="str">
        <f>VLOOKUP(I451,episodes!$A$1:$E$81,5,FALSE)</f>
        <v>The Man Trap</v>
      </c>
      <c r="L451" s="16">
        <f>VLOOKUP(I451,episodes!$A$1:$D$81,3,FALSE)</f>
        <v>1</v>
      </c>
      <c r="M451" s="16">
        <f>VLOOKUP(I451,episodes!$A$1:$D$81,4,FALSE)</f>
        <v>1</v>
      </c>
      <c r="O451" s="14">
        <v>0</v>
      </c>
      <c r="P451" s="24">
        <f>LEN(E451)+LEN(K451)</f>
        <v>208</v>
      </c>
      <c r="Q451" s="24">
        <f>COUNTIFS(B:B,B450)</f>
        <v>128</v>
      </c>
      <c r="R451" s="24">
        <f>COUNTIFS(D:D,D451)</f>
        <v>128</v>
      </c>
    </row>
    <row r="452" spans="1:18" x14ac:dyDescent="0.3">
      <c r="A452" s="14">
        <v>660</v>
      </c>
      <c r="B452" s="21" t="s">
        <v>373</v>
      </c>
      <c r="C452" s="21" t="s">
        <v>2613</v>
      </c>
      <c r="D452" s="1" t="s">
        <v>2660</v>
      </c>
      <c r="E452" s="1" t="s">
        <v>1522</v>
      </c>
      <c r="F452" s="21" t="s">
        <v>4</v>
      </c>
      <c r="G452" s="14">
        <v>1</v>
      </c>
      <c r="H452" s="14">
        <v>0</v>
      </c>
      <c r="I452" s="25">
        <v>110</v>
      </c>
      <c r="J452" s="23">
        <f>VLOOKUP(I452,episodes!$A$1:$B$76,2,FALSE)</f>
        <v>11</v>
      </c>
      <c r="K452" s="16" t="str">
        <f>VLOOKUP(I452,episodes!$A$1:$E$81,5,FALSE)</f>
        <v>The Corbomite Maneuver</v>
      </c>
      <c r="L452" s="16">
        <f>VLOOKUP(I452,episodes!$A$1:$D$81,3,FALSE)</f>
        <v>1</v>
      </c>
      <c r="M452" s="16">
        <f>VLOOKUP(I452,episodes!$A$1:$D$81,4,FALSE)</f>
        <v>10</v>
      </c>
      <c r="O452" s="14">
        <v>0</v>
      </c>
      <c r="P452" s="24">
        <f>LEN(E452)+LEN(K452)</f>
        <v>165</v>
      </c>
      <c r="Q452" s="24">
        <f>COUNTIFS(B:B,B451)</f>
        <v>128</v>
      </c>
      <c r="R452" s="24">
        <f>COUNTIFS(D:D,D452)</f>
        <v>128</v>
      </c>
    </row>
    <row r="453" spans="1:18" x14ac:dyDescent="0.3">
      <c r="A453" s="14">
        <v>562</v>
      </c>
      <c r="B453" s="21" t="s">
        <v>373</v>
      </c>
      <c r="C453" s="21" t="s">
        <v>2613</v>
      </c>
      <c r="D453" s="1" t="s">
        <v>2660</v>
      </c>
      <c r="E453" s="1" t="s">
        <v>962</v>
      </c>
      <c r="F453" s="21" t="s">
        <v>4</v>
      </c>
      <c r="G453" s="14">
        <v>1</v>
      </c>
      <c r="H453" s="14">
        <v>0</v>
      </c>
      <c r="I453" s="25">
        <v>102</v>
      </c>
      <c r="J453" s="23">
        <f>VLOOKUP(I453,episodes!$A$1:$B$76,2,FALSE)</f>
        <v>3</v>
      </c>
      <c r="K453" s="16" t="str">
        <f>VLOOKUP(I453,episodes!$A$1:$E$81,5,FALSE)</f>
        <v>Charlie X</v>
      </c>
      <c r="L453" s="16">
        <f>VLOOKUP(I453,episodes!$A$1:$D$81,3,FALSE)</f>
        <v>1</v>
      </c>
      <c r="M453" s="16">
        <f>VLOOKUP(I453,episodes!$A$1:$D$81,4,FALSE)</f>
        <v>2</v>
      </c>
      <c r="O453" s="14">
        <v>0</v>
      </c>
      <c r="P453" s="24">
        <f>LEN(E453)+LEN(K453)</f>
        <v>130</v>
      </c>
      <c r="Q453" s="24">
        <f>COUNTIFS(B:B,B452)</f>
        <v>128</v>
      </c>
      <c r="R453" s="24">
        <f>COUNTIFS(D:D,D453)</f>
        <v>128</v>
      </c>
    </row>
    <row r="454" spans="1:18" x14ac:dyDescent="0.3">
      <c r="A454" s="14">
        <v>592</v>
      </c>
      <c r="B454" s="21" t="s">
        <v>373</v>
      </c>
      <c r="C454" s="21" t="s">
        <v>2613</v>
      </c>
      <c r="D454" s="1" t="s">
        <v>2660</v>
      </c>
      <c r="E454" s="1" t="s">
        <v>970</v>
      </c>
      <c r="F454" s="21" t="s">
        <v>4</v>
      </c>
      <c r="G454" s="14">
        <v>1</v>
      </c>
      <c r="H454" s="14">
        <v>0</v>
      </c>
      <c r="I454" s="25">
        <v>105</v>
      </c>
      <c r="J454" s="23">
        <f>VLOOKUP(I454,episodes!$A$1:$B$76,2,FALSE)</f>
        <v>6</v>
      </c>
      <c r="K454" s="16" t="str">
        <f>VLOOKUP(I454,episodes!$A$1:$E$81,5,FALSE)</f>
        <v>The Enemy Within</v>
      </c>
      <c r="L454" s="16">
        <f>VLOOKUP(I454,episodes!$A$1:$D$81,3,FALSE)</f>
        <v>1</v>
      </c>
      <c r="M454" s="16">
        <f>VLOOKUP(I454,episodes!$A$1:$D$81,4,FALSE)</f>
        <v>5</v>
      </c>
      <c r="O454" s="14">
        <v>0</v>
      </c>
      <c r="P454" s="24">
        <f>LEN(E454)+LEN(K454)</f>
        <v>194</v>
      </c>
      <c r="Q454" s="24">
        <f>COUNTIFS(B:B,B453)</f>
        <v>128</v>
      </c>
      <c r="R454" s="24">
        <f>COUNTIFS(D:D,D454)</f>
        <v>128</v>
      </c>
    </row>
    <row r="455" spans="1:18" x14ac:dyDescent="0.3">
      <c r="A455" s="14">
        <v>649</v>
      </c>
      <c r="B455" s="21" t="s">
        <v>373</v>
      </c>
      <c r="C455" s="21" t="s">
        <v>2613</v>
      </c>
      <c r="D455" s="1" t="s">
        <v>2660</v>
      </c>
      <c r="E455" s="1" t="s">
        <v>975</v>
      </c>
      <c r="F455" s="21" t="s">
        <v>4</v>
      </c>
      <c r="G455" s="14">
        <v>1</v>
      </c>
      <c r="H455" s="14">
        <v>0</v>
      </c>
      <c r="I455" s="25">
        <v>109</v>
      </c>
      <c r="J455" s="23">
        <f>VLOOKUP(I455,episodes!$A$1:$B$76,2,FALSE)</f>
        <v>10</v>
      </c>
      <c r="K455" s="16" t="str">
        <f>VLOOKUP(I455,episodes!$A$1:$E$81,5,FALSE)</f>
        <v>Dagger of the Mind</v>
      </c>
      <c r="L455" s="16">
        <f>VLOOKUP(I455,episodes!$A$1:$D$81,3,FALSE)</f>
        <v>1</v>
      </c>
      <c r="M455" s="16">
        <f>VLOOKUP(I455,episodes!$A$1:$D$81,4,FALSE)</f>
        <v>9</v>
      </c>
      <c r="O455" s="14">
        <v>0</v>
      </c>
      <c r="P455" s="24">
        <f>LEN(E455)+LEN(K455)</f>
        <v>90</v>
      </c>
      <c r="Q455" s="24">
        <f>COUNTIFS(B:B,B454)</f>
        <v>128</v>
      </c>
      <c r="R455" s="24">
        <f>COUNTIFS(D:D,D455)</f>
        <v>128</v>
      </c>
    </row>
    <row r="456" spans="1:18" x14ac:dyDescent="0.3">
      <c r="A456" s="14">
        <v>687</v>
      </c>
      <c r="B456" s="21" t="s">
        <v>373</v>
      </c>
      <c r="C456" s="21" t="s">
        <v>2613</v>
      </c>
      <c r="D456" s="1" t="s">
        <v>2660</v>
      </c>
      <c r="E456" s="1" t="s">
        <v>1767</v>
      </c>
      <c r="F456" s="21" t="s">
        <v>4</v>
      </c>
      <c r="G456" s="14">
        <v>1</v>
      </c>
      <c r="H456" s="14">
        <v>0</v>
      </c>
      <c r="I456" s="25">
        <v>113</v>
      </c>
      <c r="J456" s="23">
        <f>VLOOKUP(I456,episodes!$A$1:$B$76,2,FALSE)</f>
        <v>14</v>
      </c>
      <c r="K456" s="16" t="str">
        <f>VLOOKUP(I456,episodes!$A$1:$E$81,5,FALSE)</f>
        <v>The Conscience of the King</v>
      </c>
      <c r="L456" s="16">
        <f>VLOOKUP(I456,episodes!$A$1:$D$81,3,FALSE)</f>
        <v>1</v>
      </c>
      <c r="M456" s="16">
        <f>VLOOKUP(I456,episodes!$A$1:$D$81,4,FALSE)</f>
        <v>13</v>
      </c>
      <c r="O456" s="14">
        <v>0</v>
      </c>
      <c r="P456" s="24">
        <f>LEN(E456)+LEN(K456)</f>
        <v>202</v>
      </c>
      <c r="Q456" s="24">
        <f>COUNTIFS(B:B,B455)</f>
        <v>128</v>
      </c>
      <c r="R456" s="24">
        <f>COUNTIFS(D:D,D456)</f>
        <v>128</v>
      </c>
    </row>
    <row r="457" spans="1:18" x14ac:dyDescent="0.3">
      <c r="A457" s="14">
        <v>723</v>
      </c>
      <c r="B457" s="21" t="s">
        <v>373</v>
      </c>
      <c r="C457" s="21" t="s">
        <v>2613</v>
      </c>
      <c r="D457" s="1" t="s">
        <v>2660</v>
      </c>
      <c r="E457" s="1" t="s">
        <v>982</v>
      </c>
      <c r="F457" s="21" t="s">
        <v>4</v>
      </c>
      <c r="G457" s="14">
        <v>1</v>
      </c>
      <c r="H457" s="14">
        <v>0</v>
      </c>
      <c r="I457" s="22">
        <v>116</v>
      </c>
      <c r="J457" s="23">
        <f>VLOOKUP(I457,episodes!$A$1:$B$76,2,FALSE)</f>
        <v>17</v>
      </c>
      <c r="K457" s="16" t="str">
        <f>VLOOKUP(I457,episodes!$A$1:$E$81,5,FALSE)</f>
        <v>The Galileo Seven</v>
      </c>
      <c r="L457" s="16">
        <f>VLOOKUP(I457,episodes!$A$1:$D$81,3,FALSE)</f>
        <v>1</v>
      </c>
      <c r="M457" s="16">
        <f>VLOOKUP(I457,episodes!$A$1:$D$81,4,FALSE)</f>
        <v>16</v>
      </c>
      <c r="O457" s="14">
        <v>0</v>
      </c>
      <c r="P457" s="24">
        <f>LEN(E457)+LEN(K457)</f>
        <v>172</v>
      </c>
      <c r="Q457" s="24">
        <f>COUNTIFS(B:B,B456)</f>
        <v>128</v>
      </c>
      <c r="R457" s="24">
        <f>COUNTIFS(D:D,D457)</f>
        <v>128</v>
      </c>
    </row>
    <row r="458" spans="1:18" x14ac:dyDescent="0.3">
      <c r="A458" s="14">
        <v>772</v>
      </c>
      <c r="B458" s="21" t="s">
        <v>373</v>
      </c>
      <c r="C458" s="21" t="s">
        <v>2613</v>
      </c>
      <c r="D458" s="1" t="s">
        <v>2660</v>
      </c>
      <c r="E458" s="1" t="s">
        <v>989</v>
      </c>
      <c r="F458" s="21" t="s">
        <v>4</v>
      </c>
      <c r="G458" s="14">
        <v>1</v>
      </c>
      <c r="H458" s="14">
        <v>0</v>
      </c>
      <c r="I458" s="22">
        <v>120</v>
      </c>
      <c r="J458" s="23">
        <f>VLOOKUP(I458,episodes!$A$1:$B$76,2,FALSE)</f>
        <v>21</v>
      </c>
      <c r="K458" s="16" t="str">
        <f>VLOOKUP(I458,episodes!$A$1:$E$81,5,FALSE)</f>
        <v>Court Martial</v>
      </c>
      <c r="L458" s="16">
        <f>VLOOKUP(I458,episodes!$A$1:$D$81,3,FALSE)</f>
        <v>1</v>
      </c>
      <c r="M458" s="16">
        <f>VLOOKUP(I458,episodes!$A$1:$D$81,4,FALSE)</f>
        <v>20</v>
      </c>
      <c r="O458" s="14">
        <v>0</v>
      </c>
      <c r="P458" s="24">
        <f>LEN(E458)+LEN(K458)</f>
        <v>197</v>
      </c>
      <c r="Q458" s="24">
        <f>COUNTIFS(B:B,B457)</f>
        <v>128</v>
      </c>
      <c r="R458" s="24">
        <f>COUNTIFS(D:D,D458)</f>
        <v>128</v>
      </c>
    </row>
    <row r="459" spans="1:18" x14ac:dyDescent="0.3">
      <c r="A459" s="14">
        <v>744</v>
      </c>
      <c r="B459" s="21" t="s">
        <v>373</v>
      </c>
      <c r="C459" s="21" t="s">
        <v>2613</v>
      </c>
      <c r="D459" s="1" t="s">
        <v>2660</v>
      </c>
      <c r="E459" s="1" t="s">
        <v>960</v>
      </c>
      <c r="F459" s="21" t="s">
        <v>4</v>
      </c>
      <c r="G459" s="14">
        <v>1</v>
      </c>
      <c r="H459" s="14">
        <v>0</v>
      </c>
      <c r="I459" s="22">
        <v>118</v>
      </c>
      <c r="J459" s="23">
        <f>VLOOKUP(I459,episodes!$A$1:$B$76,2,FALSE)</f>
        <v>19</v>
      </c>
      <c r="K459" s="16" t="str">
        <f>VLOOKUP(I459,episodes!$A$1:$E$81,5,FALSE)</f>
        <v>Arena</v>
      </c>
      <c r="L459" s="16">
        <f>VLOOKUP(I459,episodes!$A$1:$D$81,3,FALSE)</f>
        <v>1</v>
      </c>
      <c r="M459" s="16">
        <f>VLOOKUP(I459,episodes!$A$1:$D$81,4,FALSE)</f>
        <v>18</v>
      </c>
      <c r="O459" s="14">
        <v>0</v>
      </c>
      <c r="P459" s="24">
        <f>LEN(E459)+LEN(K459)</f>
        <v>135</v>
      </c>
      <c r="Q459" s="24">
        <f>COUNTIFS(B:B,B458)</f>
        <v>128</v>
      </c>
      <c r="R459" s="24">
        <f>COUNTIFS(D:D,D459)</f>
        <v>128</v>
      </c>
    </row>
    <row r="460" spans="1:18" x14ac:dyDescent="0.3">
      <c r="A460" s="14">
        <v>865</v>
      </c>
      <c r="B460" s="21" t="s">
        <v>373</v>
      </c>
      <c r="C460" s="21" t="s">
        <v>2613</v>
      </c>
      <c r="D460" s="1" t="s">
        <v>2660</v>
      </c>
      <c r="E460" s="1" t="s">
        <v>1004</v>
      </c>
      <c r="F460" s="21" t="s">
        <v>4</v>
      </c>
      <c r="G460" s="14">
        <v>1</v>
      </c>
      <c r="H460" s="14">
        <v>0</v>
      </c>
      <c r="I460" s="22">
        <v>127</v>
      </c>
      <c r="J460" s="23">
        <f>VLOOKUP(I460,episodes!$A$1:$B$76,2,FALSE)</f>
        <v>28</v>
      </c>
      <c r="K460" s="16" t="str">
        <f>VLOOKUP(I460,episodes!$A$1:$E$81,5,FALSE)</f>
        <v>The Alternative Factor</v>
      </c>
      <c r="L460" s="16">
        <f>VLOOKUP(I460,episodes!$A$1:$D$81,3,FALSE)</f>
        <v>1</v>
      </c>
      <c r="M460" s="16">
        <f>VLOOKUP(I460,episodes!$A$1:$D$81,4,FALSE)</f>
        <v>27</v>
      </c>
      <c r="O460" s="14">
        <v>0</v>
      </c>
      <c r="P460" s="24">
        <f>LEN(E460)+LEN(K460)</f>
        <v>326</v>
      </c>
      <c r="Q460" s="24">
        <f>COUNTIFS(B:B,B459)</f>
        <v>128</v>
      </c>
      <c r="R460" s="24">
        <f>COUNTIFS(D:D,D460)</f>
        <v>128</v>
      </c>
    </row>
    <row r="461" spans="1:18" x14ac:dyDescent="0.3">
      <c r="A461" s="14">
        <v>760</v>
      </c>
      <c r="B461" s="21" t="s">
        <v>373</v>
      </c>
      <c r="C461" s="21" t="s">
        <v>2613</v>
      </c>
      <c r="D461" s="1" t="s">
        <v>2660</v>
      </c>
      <c r="E461" s="1" t="s">
        <v>985</v>
      </c>
      <c r="F461" s="21" t="s">
        <v>4</v>
      </c>
      <c r="G461" s="14">
        <v>1</v>
      </c>
      <c r="H461" s="14">
        <v>0</v>
      </c>
      <c r="I461" s="22">
        <v>119</v>
      </c>
      <c r="J461" s="23">
        <f>VLOOKUP(I461,episodes!$A$1:$B$76,2,FALSE)</f>
        <v>20</v>
      </c>
      <c r="K461" s="16" t="str">
        <f>VLOOKUP(I461,episodes!$A$1:$E$81,5,FALSE)</f>
        <v>Tomorrow Is Yesterday</v>
      </c>
      <c r="L461" s="16">
        <f>VLOOKUP(I461,episodes!$A$1:$D$81,3,FALSE)</f>
        <v>1</v>
      </c>
      <c r="M461" s="16">
        <f>VLOOKUP(I461,episodes!$A$1:$D$81,4,FALSE)</f>
        <v>19</v>
      </c>
      <c r="O461" s="14">
        <v>0</v>
      </c>
      <c r="P461" s="24">
        <f>LEN(E461)+LEN(K461)</f>
        <v>197</v>
      </c>
      <c r="Q461" s="24">
        <f>COUNTIFS(B:B,B460)</f>
        <v>128</v>
      </c>
      <c r="R461" s="24">
        <f>COUNTIFS(D:D,D461)</f>
        <v>128</v>
      </c>
    </row>
    <row r="462" spans="1:18" x14ac:dyDescent="0.3">
      <c r="A462" s="14">
        <v>798</v>
      </c>
      <c r="B462" s="21" t="s">
        <v>373</v>
      </c>
      <c r="C462" s="21" t="s">
        <v>2613</v>
      </c>
      <c r="D462" s="1" t="s">
        <v>2660</v>
      </c>
      <c r="E462" s="1" t="s">
        <v>1989</v>
      </c>
      <c r="F462" s="21" t="s">
        <v>4</v>
      </c>
      <c r="G462" s="14">
        <v>1</v>
      </c>
      <c r="H462" s="14">
        <v>0</v>
      </c>
      <c r="I462" s="22">
        <v>122</v>
      </c>
      <c r="J462" s="23">
        <f>VLOOKUP(I462,episodes!$A$1:$B$76,2,FALSE)</f>
        <v>23</v>
      </c>
      <c r="K462" s="16" t="str">
        <f>VLOOKUP(I462,episodes!$A$1:$E$81,5,FALSE)</f>
        <v>Space Seed</v>
      </c>
      <c r="L462" s="16">
        <f>VLOOKUP(I462,episodes!$A$1:$D$81,3,FALSE)</f>
        <v>1</v>
      </c>
      <c r="M462" s="16">
        <f>VLOOKUP(I462,episodes!$A$1:$D$81,4,FALSE)</f>
        <v>22</v>
      </c>
      <c r="O462" s="14">
        <v>0</v>
      </c>
      <c r="P462" s="24">
        <f>LEN(E462)+LEN(K462)</f>
        <v>247</v>
      </c>
      <c r="Q462" s="24">
        <f>COUNTIFS(B:B,B461)</f>
        <v>128</v>
      </c>
      <c r="R462" s="24">
        <f>COUNTIFS(D:D,D462)</f>
        <v>128</v>
      </c>
    </row>
    <row r="463" spans="1:18" x14ac:dyDescent="0.3">
      <c r="A463" s="14">
        <v>782</v>
      </c>
      <c r="B463" s="21" t="s">
        <v>373</v>
      </c>
      <c r="C463" s="21" t="s">
        <v>2613</v>
      </c>
      <c r="D463" s="1" t="s">
        <v>2660</v>
      </c>
      <c r="E463" s="1" t="s">
        <v>1524</v>
      </c>
      <c r="F463" s="21" t="s">
        <v>4</v>
      </c>
      <c r="G463" s="14">
        <v>1</v>
      </c>
      <c r="H463" s="14">
        <v>0</v>
      </c>
      <c r="I463" s="22">
        <v>121</v>
      </c>
      <c r="J463" s="23">
        <f>VLOOKUP(I463,episodes!$A$1:$B$76,2,FALSE)</f>
        <v>22</v>
      </c>
      <c r="K463" s="16" t="str">
        <f>VLOOKUP(I463,episodes!$A$1:$E$81,5,FALSE)</f>
        <v>The Return of the Archons</v>
      </c>
      <c r="L463" s="16">
        <f>VLOOKUP(I463,episodes!$A$1:$D$81,3,FALSE)</f>
        <v>1</v>
      </c>
      <c r="M463" s="16">
        <f>VLOOKUP(I463,episodes!$A$1:$D$81,4,FALSE)</f>
        <v>21</v>
      </c>
      <c r="O463" s="14">
        <v>0</v>
      </c>
      <c r="P463" s="24">
        <f>LEN(E463)+LEN(K463)</f>
        <v>263</v>
      </c>
      <c r="Q463" s="24">
        <f>COUNTIFS(B:B,B462)</f>
        <v>128</v>
      </c>
      <c r="R463" s="24">
        <f>COUNTIFS(D:D,D463)</f>
        <v>128</v>
      </c>
    </row>
    <row r="464" spans="1:18" x14ac:dyDescent="0.3">
      <c r="A464" s="14">
        <v>877</v>
      </c>
      <c r="B464" s="21" t="s">
        <v>373</v>
      </c>
      <c r="C464" s="21" t="s">
        <v>2613</v>
      </c>
      <c r="D464" s="1" t="s">
        <v>2660</v>
      </c>
      <c r="E464" s="1" t="s">
        <v>1005</v>
      </c>
      <c r="F464" s="21" t="s">
        <v>4</v>
      </c>
      <c r="G464" s="14">
        <v>1</v>
      </c>
      <c r="H464" s="14">
        <v>0</v>
      </c>
      <c r="I464" s="22">
        <v>129</v>
      </c>
      <c r="J464" s="23">
        <f>VLOOKUP(I464,episodes!$A$1:$B$76,2,FALSE)</f>
        <v>30</v>
      </c>
      <c r="K464" s="16" t="str">
        <f>VLOOKUP(I464,episodes!$A$1:$E$81,5,FALSE)</f>
        <v>Operation: Annihilate!</v>
      </c>
      <c r="L464" s="16">
        <f>VLOOKUP(I464,episodes!$A$1:$D$81,3,FALSE)</f>
        <v>1</v>
      </c>
      <c r="M464" s="16">
        <f>VLOOKUP(I464,episodes!$A$1:$D$81,4,FALSE)</f>
        <v>29</v>
      </c>
      <c r="O464" s="14">
        <v>0</v>
      </c>
      <c r="P464" s="24">
        <f>LEN(E464)+LEN(K464)</f>
        <v>269</v>
      </c>
      <c r="Q464" s="24">
        <f>COUNTIFS(B:B,B463)</f>
        <v>128</v>
      </c>
      <c r="R464" s="24">
        <f>COUNTIFS(D:D,D464)</f>
        <v>128</v>
      </c>
    </row>
    <row r="465" spans="1:18" s="21" customFormat="1" x14ac:dyDescent="0.3">
      <c r="A465" s="14">
        <v>821</v>
      </c>
      <c r="B465" s="21" t="s">
        <v>373</v>
      </c>
      <c r="C465" s="21" t="s">
        <v>2613</v>
      </c>
      <c r="D465" s="1" t="s">
        <v>2660</v>
      </c>
      <c r="E465" s="1" t="s">
        <v>1992</v>
      </c>
      <c r="F465" s="21" t="s">
        <v>4</v>
      </c>
      <c r="G465" s="14">
        <v>1</v>
      </c>
      <c r="H465" s="14">
        <v>0</v>
      </c>
      <c r="I465" s="22">
        <v>124</v>
      </c>
      <c r="J465" s="23">
        <f>VLOOKUP(I465,episodes!$A$1:$B$76,2,FALSE)</f>
        <v>25</v>
      </c>
      <c r="K465" s="16" t="str">
        <f>VLOOKUP(I465,episodes!$A$1:$E$81,5,FALSE)</f>
        <v>This Side of Paradise</v>
      </c>
      <c r="L465" s="16">
        <f>VLOOKUP(I465,episodes!$A$1:$D$81,3,FALSE)</f>
        <v>1</v>
      </c>
      <c r="M465" s="16">
        <f>VLOOKUP(I465,episodes!$A$1:$D$81,4,FALSE)</f>
        <v>24</v>
      </c>
      <c r="N465" s="14"/>
      <c r="O465" s="14">
        <v>0</v>
      </c>
      <c r="P465" s="24">
        <f>LEN(E465)+LEN(K465)</f>
        <v>377</v>
      </c>
      <c r="Q465" s="24">
        <f>COUNTIFS(B:B,B464)</f>
        <v>128</v>
      </c>
      <c r="R465" s="24">
        <f>COUNTIFS(D:D,D465)</f>
        <v>128</v>
      </c>
    </row>
    <row r="466" spans="1:18" x14ac:dyDescent="0.3">
      <c r="A466" s="14">
        <v>915</v>
      </c>
      <c r="B466" s="21" t="s">
        <v>373</v>
      </c>
      <c r="C466" s="21" t="s">
        <v>2613</v>
      </c>
      <c r="D466" s="1" t="s">
        <v>2660</v>
      </c>
      <c r="E466" s="1" t="s">
        <v>1527</v>
      </c>
      <c r="F466" s="21" t="s">
        <v>4</v>
      </c>
      <c r="G466" s="14">
        <v>1</v>
      </c>
      <c r="H466" s="14">
        <v>0</v>
      </c>
      <c r="I466" s="25">
        <v>205</v>
      </c>
      <c r="J466" s="23">
        <f>VLOOKUP(I466,episodes!$A$1:$B$81,2,FALSE)</f>
        <v>35</v>
      </c>
      <c r="K466" s="16" t="str">
        <f>VLOOKUP(I466,episodes!$A$1:$E$81,5,FALSE)</f>
        <v>The Apple</v>
      </c>
      <c r="L466" s="16">
        <f>VLOOKUP(I466,episodes!$A$1:$D$81,3,FALSE)</f>
        <v>2</v>
      </c>
      <c r="M466" s="16">
        <f>VLOOKUP(I466,episodes!$A$1:$D$81,4,FALSE)</f>
        <v>5</v>
      </c>
      <c r="O466" s="14">
        <v>0</v>
      </c>
      <c r="P466" s="24">
        <f>LEN(E466)+LEN(K466)</f>
        <v>192</v>
      </c>
      <c r="Q466" s="24">
        <f>COUNTIFS(B:B,B465)</f>
        <v>128</v>
      </c>
      <c r="R466" s="24">
        <f>COUNTIFS(D:D,D466)</f>
        <v>128</v>
      </c>
    </row>
    <row r="467" spans="1:18" x14ac:dyDescent="0.3">
      <c r="A467" s="14">
        <v>905</v>
      </c>
      <c r="B467" s="21" t="s">
        <v>373</v>
      </c>
      <c r="C467" s="21" t="s">
        <v>2613</v>
      </c>
      <c r="D467" s="1" t="s">
        <v>2660</v>
      </c>
      <c r="E467" s="1" t="s">
        <v>1999</v>
      </c>
      <c r="F467" s="21" t="s">
        <v>4</v>
      </c>
      <c r="G467" s="14">
        <v>1</v>
      </c>
      <c r="H467" s="14">
        <v>0</v>
      </c>
      <c r="I467" s="25">
        <v>204</v>
      </c>
      <c r="J467" s="23">
        <f>VLOOKUP(I467,episodes!$A$1:$B$81,2,FALSE)</f>
        <v>34</v>
      </c>
      <c r="K467" s="16" t="str">
        <f>VLOOKUP(I467,episodes!$A$1:$E$81,5,FALSE)</f>
        <v>Mirror, Mirror</v>
      </c>
      <c r="L467" s="16">
        <f>VLOOKUP(I467,episodes!$A$1:$D$81,3,FALSE)</f>
        <v>2</v>
      </c>
      <c r="M467" s="16">
        <f>VLOOKUP(I467,episodes!$A$1:$D$81,4,FALSE)</f>
        <v>4</v>
      </c>
      <c r="O467" s="14">
        <v>0</v>
      </c>
      <c r="P467" s="24">
        <f>LEN(E467)+LEN(K467)</f>
        <v>200</v>
      </c>
      <c r="Q467" s="24">
        <f>COUNTIFS(B:B,B466)</f>
        <v>128</v>
      </c>
      <c r="R467" s="24">
        <f>COUNTIFS(D:D,D467)</f>
        <v>128</v>
      </c>
    </row>
    <row r="468" spans="1:18" x14ac:dyDescent="0.3">
      <c r="A468" s="14">
        <v>708</v>
      </c>
      <c r="B468" s="21" t="s">
        <v>373</v>
      </c>
      <c r="C468" s="21" t="s">
        <v>2613</v>
      </c>
      <c r="D468" s="1" t="s">
        <v>2660</v>
      </c>
      <c r="E468" s="1" t="s">
        <v>1791</v>
      </c>
      <c r="F468" s="21" t="s">
        <v>4</v>
      </c>
      <c r="G468" s="14">
        <v>1</v>
      </c>
      <c r="H468" s="14">
        <v>0</v>
      </c>
      <c r="I468" s="22">
        <v>115</v>
      </c>
      <c r="J468" s="23">
        <f>VLOOKUP(I468,episodes!$A$1:$B$76,2,FALSE)</f>
        <v>16</v>
      </c>
      <c r="K468" s="16" t="str">
        <f>VLOOKUP(I468,episodes!$A$1:$E$81,5,FALSE)</f>
        <v>Shore Leave</v>
      </c>
      <c r="L468" s="16">
        <f>VLOOKUP(I468,episodes!$A$1:$D$81,3,FALSE)</f>
        <v>1</v>
      </c>
      <c r="M468" s="16">
        <f>VLOOKUP(I468,episodes!$A$1:$D$81,4,FALSE)</f>
        <v>15</v>
      </c>
      <c r="O468" s="14">
        <v>0</v>
      </c>
      <c r="P468" s="24">
        <f>LEN(E468)+LEN(K468)</f>
        <v>222</v>
      </c>
      <c r="Q468" s="24">
        <f>COUNTIFS(B:B,B467)</f>
        <v>128</v>
      </c>
      <c r="R468" s="24">
        <f>COUNTIFS(D:D,D468)</f>
        <v>128</v>
      </c>
    </row>
    <row r="469" spans="1:18" x14ac:dyDescent="0.3">
      <c r="A469" s="14">
        <v>678</v>
      </c>
      <c r="B469" s="21" t="s">
        <v>373</v>
      </c>
      <c r="C469" s="21" t="s">
        <v>2613</v>
      </c>
      <c r="D469" s="1" t="s">
        <v>2660</v>
      </c>
      <c r="E469" s="1" t="s">
        <v>950</v>
      </c>
      <c r="F469" s="21" t="s">
        <v>4</v>
      </c>
      <c r="G469" s="14">
        <v>1</v>
      </c>
      <c r="H469" s="14">
        <v>0</v>
      </c>
      <c r="I469" s="25">
        <v>111</v>
      </c>
      <c r="J469" s="23">
        <f>VLOOKUP(I469,episodes!$A$1:$B$76,2,FALSE)</f>
        <v>12</v>
      </c>
      <c r="K469" s="16" t="str">
        <f>VLOOKUP(I469,episodes!$A$1:$E$81,5,FALSE)</f>
        <v>The Menagerie, Part I</v>
      </c>
      <c r="L469" s="16">
        <f>VLOOKUP(I469,episodes!$A$1:$D$81,3,FALSE)</f>
        <v>1</v>
      </c>
      <c r="M469" s="16">
        <f>VLOOKUP(I469,episodes!$A$1:$D$81,4,FALSE)</f>
        <v>11</v>
      </c>
      <c r="O469" s="14">
        <v>0</v>
      </c>
      <c r="P469" s="24">
        <f>LEN(E469)+LEN(K469)</f>
        <v>254</v>
      </c>
      <c r="Q469" s="24">
        <f>COUNTIFS(B:B,B468)</f>
        <v>128</v>
      </c>
      <c r="R469" s="24">
        <f>COUNTIFS(D:D,D469)</f>
        <v>128</v>
      </c>
    </row>
    <row r="470" spans="1:18" x14ac:dyDescent="0.3">
      <c r="A470" s="14">
        <v>698</v>
      </c>
      <c r="B470" s="21" t="s">
        <v>373</v>
      </c>
      <c r="C470" s="21" t="s">
        <v>2613</v>
      </c>
      <c r="D470" s="1" t="s">
        <v>2660</v>
      </c>
      <c r="E470" s="1" t="s">
        <v>952</v>
      </c>
      <c r="F470" s="21" t="s">
        <v>4</v>
      </c>
      <c r="G470" s="14">
        <v>1</v>
      </c>
      <c r="H470" s="14">
        <v>0</v>
      </c>
      <c r="I470" s="22">
        <v>114</v>
      </c>
      <c r="J470" s="23">
        <f>VLOOKUP(I470,episodes!$A$1:$B$76,2,FALSE)</f>
        <v>15</v>
      </c>
      <c r="K470" s="16" t="str">
        <f>VLOOKUP(I470,episodes!$A$1:$E$81,5,FALSE)</f>
        <v>Balance of Terror</v>
      </c>
      <c r="L470" s="16">
        <f>VLOOKUP(I470,episodes!$A$1:$D$81,3,FALSE)</f>
        <v>1</v>
      </c>
      <c r="M470" s="16">
        <f>VLOOKUP(I470,episodes!$A$1:$D$81,4,FALSE)</f>
        <v>14</v>
      </c>
      <c r="O470" s="14">
        <v>0</v>
      </c>
      <c r="P470" s="24">
        <f>LEN(E470)+LEN(K470)</f>
        <v>103</v>
      </c>
      <c r="Q470" s="24">
        <f>COUNTIFS(B:B,B469)</f>
        <v>128</v>
      </c>
      <c r="R470" s="24">
        <f>COUNTIFS(D:D,D470)</f>
        <v>128</v>
      </c>
    </row>
    <row r="471" spans="1:18" x14ac:dyDescent="0.3">
      <c r="A471" s="14">
        <v>578</v>
      </c>
      <c r="B471" s="21" t="s">
        <v>373</v>
      </c>
      <c r="C471" s="21" t="s">
        <v>2613</v>
      </c>
      <c r="D471" s="1" t="s">
        <v>2660</v>
      </c>
      <c r="E471" s="1" t="s">
        <v>944</v>
      </c>
      <c r="F471" s="21" t="s">
        <v>4</v>
      </c>
      <c r="G471" s="14">
        <v>1</v>
      </c>
      <c r="H471" s="14">
        <v>0</v>
      </c>
      <c r="I471" s="25">
        <v>104</v>
      </c>
      <c r="J471" s="23">
        <f>VLOOKUP(I471,episodes!$A$1:$B$76,2,FALSE)</f>
        <v>5</v>
      </c>
      <c r="K471" s="16" t="str">
        <f>VLOOKUP(I471,episodes!$A$1:$E$81,5,FALSE)</f>
        <v>The Naked Time</v>
      </c>
      <c r="L471" s="16">
        <f>VLOOKUP(I471,episodes!$A$1:$D$81,3,FALSE)</f>
        <v>1</v>
      </c>
      <c r="M471" s="16">
        <f>VLOOKUP(I471,episodes!$A$1:$D$81,4,FALSE)</f>
        <v>4</v>
      </c>
      <c r="O471" s="14">
        <v>0</v>
      </c>
      <c r="P471" s="24">
        <f>LEN(E471)+LEN(K471)</f>
        <v>183</v>
      </c>
      <c r="Q471" s="24">
        <f>COUNTIFS(B:B,B470)</f>
        <v>128</v>
      </c>
      <c r="R471" s="24">
        <f>COUNTIFS(D:D,D471)</f>
        <v>128</v>
      </c>
    </row>
    <row r="472" spans="1:18" x14ac:dyDescent="0.3">
      <c r="A472" s="14">
        <v>2101</v>
      </c>
      <c r="B472" s="21" t="s">
        <v>373</v>
      </c>
      <c r="C472" s="21" t="s">
        <v>2613</v>
      </c>
      <c r="D472" s="1" t="s">
        <v>2660</v>
      </c>
      <c r="E472" s="1" t="s">
        <v>957</v>
      </c>
      <c r="F472" s="21" t="s">
        <v>5</v>
      </c>
      <c r="G472" s="14">
        <v>1</v>
      </c>
      <c r="H472" s="14">
        <v>0</v>
      </c>
      <c r="I472" s="22">
        <v>117</v>
      </c>
      <c r="J472" s="23">
        <f>VLOOKUP(I472,episodes!$A$1:$B$76,2,FALSE)</f>
        <v>18</v>
      </c>
      <c r="K472" s="16" t="str">
        <f>VLOOKUP(I472,episodes!$A$1:$E$81,5,FALSE)</f>
        <v>The Squire of Gothos</v>
      </c>
      <c r="L472" s="16">
        <f>VLOOKUP(I472,episodes!$A$1:$D$81,3,FALSE)</f>
        <v>1</v>
      </c>
      <c r="M472" s="16">
        <f>VLOOKUP(I472,episodes!$A$1:$D$81,4,FALSE)</f>
        <v>17</v>
      </c>
      <c r="O472" s="14">
        <v>0</v>
      </c>
      <c r="P472" s="24">
        <f>LEN(E472)+LEN(K472)</f>
        <v>237</v>
      </c>
      <c r="Q472" s="24">
        <f>COUNTIFS(B:B,B471)</f>
        <v>128</v>
      </c>
      <c r="R472" s="24">
        <f>COUNTIFS(D:D,D472)</f>
        <v>128</v>
      </c>
    </row>
    <row r="473" spans="1:18" x14ac:dyDescent="0.3">
      <c r="A473" s="14">
        <v>2282</v>
      </c>
      <c r="B473" s="21" t="s">
        <v>373</v>
      </c>
      <c r="C473" s="21" t="s">
        <v>2613</v>
      </c>
      <c r="D473" s="1" t="s">
        <v>2660</v>
      </c>
      <c r="E473" s="1" t="s">
        <v>2219</v>
      </c>
      <c r="F473" s="21" t="s">
        <v>5</v>
      </c>
      <c r="G473" s="14">
        <v>1</v>
      </c>
      <c r="H473" s="14">
        <v>0</v>
      </c>
      <c r="I473" s="22">
        <v>210</v>
      </c>
      <c r="J473" s="23">
        <f>VLOOKUP(I473,episodes!$A$1:$B$81,2,FALSE)</f>
        <v>40</v>
      </c>
      <c r="K473" s="16" t="str">
        <f>VLOOKUP(I473,episodes!$A$1:$E$81,5,FALSE)</f>
        <v>Journey to Babel</v>
      </c>
      <c r="L473" s="16">
        <f>VLOOKUP(I473,episodes!$A$1:$D$81,3,FALSE)</f>
        <v>2</v>
      </c>
      <c r="M473" s="16">
        <f>VLOOKUP(I473,episodes!$A$1:$D$81,4,FALSE)</f>
        <v>10</v>
      </c>
      <c r="O473" s="14">
        <v>0</v>
      </c>
      <c r="P473" s="24">
        <f>LEN(E473)+LEN(K473)</f>
        <v>266</v>
      </c>
      <c r="Q473" s="24">
        <f>COUNTIFS(B:B,B472)</f>
        <v>128</v>
      </c>
      <c r="R473" s="24">
        <f>COUNTIFS(D:D,D473)</f>
        <v>128</v>
      </c>
    </row>
    <row r="474" spans="1:18" x14ac:dyDescent="0.3">
      <c r="A474" s="14">
        <v>570</v>
      </c>
      <c r="B474" s="21" t="s">
        <v>373</v>
      </c>
      <c r="C474" s="21" t="s">
        <v>2613</v>
      </c>
      <c r="D474" s="1" t="s">
        <v>2660</v>
      </c>
      <c r="E474" s="1" t="s">
        <v>1516</v>
      </c>
      <c r="F474" s="21" t="s">
        <v>4</v>
      </c>
      <c r="G474" s="14">
        <v>1</v>
      </c>
      <c r="H474" s="14">
        <v>0</v>
      </c>
      <c r="I474" s="25">
        <v>103</v>
      </c>
      <c r="J474" s="23">
        <f>VLOOKUP(I474,episodes!$A$1:$B$76,2,FALSE)</f>
        <v>4</v>
      </c>
      <c r="K474" s="16" t="str">
        <f>VLOOKUP(I474,episodes!$A$1:$E$81,5,FALSE)</f>
        <v>Where No Man Has Gone Before</v>
      </c>
      <c r="L474" s="16">
        <f>VLOOKUP(I474,episodes!$A$1:$D$81,3,FALSE)</f>
        <v>1</v>
      </c>
      <c r="M474" s="16">
        <f>VLOOKUP(I474,episodes!$A$1:$D$81,4,FALSE)</f>
        <v>3</v>
      </c>
      <c r="O474" s="14">
        <v>0</v>
      </c>
      <c r="P474" s="24">
        <f>LEN(E474)+LEN(K474)</f>
        <v>316</v>
      </c>
      <c r="Q474" s="24">
        <f>COUNTIFS(B:B,B473)</f>
        <v>128</v>
      </c>
      <c r="R474" s="24">
        <f>COUNTIFS(D:D,D474)</f>
        <v>128</v>
      </c>
    </row>
    <row r="475" spans="1:18" x14ac:dyDescent="0.3">
      <c r="A475" s="14">
        <v>603</v>
      </c>
      <c r="B475" s="21" t="s">
        <v>373</v>
      </c>
      <c r="C475" s="21" t="s">
        <v>2613</v>
      </c>
      <c r="D475" s="1" t="s">
        <v>2660</v>
      </c>
      <c r="E475" s="1" t="s">
        <v>946</v>
      </c>
      <c r="F475" s="21" t="s">
        <v>4</v>
      </c>
      <c r="G475" s="14">
        <v>1</v>
      </c>
      <c r="H475" s="14">
        <v>0</v>
      </c>
      <c r="I475" s="25">
        <v>106</v>
      </c>
      <c r="J475" s="23">
        <f>VLOOKUP(I475,episodes!$A$1:$B$76,2,FALSE)</f>
        <v>7</v>
      </c>
      <c r="K475" s="16" t="str">
        <f>VLOOKUP(I475,episodes!$A$1:$E$81,5,FALSE)</f>
        <v>Mudd's Women</v>
      </c>
      <c r="L475" s="16">
        <f>VLOOKUP(I475,episodes!$A$1:$D$81,3,FALSE)</f>
        <v>1</v>
      </c>
      <c r="M475" s="16">
        <f>VLOOKUP(I475,episodes!$A$1:$D$81,4,FALSE)</f>
        <v>6</v>
      </c>
      <c r="O475" s="14">
        <v>0</v>
      </c>
      <c r="P475" s="24">
        <f>LEN(E475)+LEN(K475)</f>
        <v>366</v>
      </c>
      <c r="Q475" s="24">
        <f>COUNTIFS(B:B,B474)</f>
        <v>128</v>
      </c>
      <c r="R475" s="24">
        <f>COUNTIFS(D:D,D475)</f>
        <v>128</v>
      </c>
    </row>
    <row r="476" spans="1:18" x14ac:dyDescent="0.3">
      <c r="A476" s="14">
        <v>546</v>
      </c>
      <c r="B476" s="21" t="s">
        <v>373</v>
      </c>
      <c r="C476" s="21" t="s">
        <v>2613</v>
      </c>
      <c r="D476" s="1" t="s">
        <v>2660</v>
      </c>
      <c r="E476" s="1" t="s">
        <v>941</v>
      </c>
      <c r="F476" s="21" t="s">
        <v>4</v>
      </c>
      <c r="G476" s="14">
        <v>1</v>
      </c>
      <c r="H476" s="14">
        <v>0</v>
      </c>
      <c r="I476" s="25">
        <v>101</v>
      </c>
      <c r="J476" s="23">
        <f>VLOOKUP(I476,episodes!$A$1:$B$76,2,FALSE)</f>
        <v>2</v>
      </c>
      <c r="K476" s="16" t="str">
        <f>VLOOKUP(I476,episodes!$A$1:$E$81,5,FALSE)</f>
        <v>The Man Trap</v>
      </c>
      <c r="L476" s="16">
        <f>VLOOKUP(I476,episodes!$A$1:$D$81,3,FALSE)</f>
        <v>1</v>
      </c>
      <c r="M476" s="16">
        <f>VLOOKUP(I476,episodes!$A$1:$D$81,4,FALSE)</f>
        <v>1</v>
      </c>
      <c r="O476" s="14">
        <v>0</v>
      </c>
      <c r="P476" s="24">
        <f>LEN(E476)+LEN(K476)</f>
        <v>141</v>
      </c>
      <c r="Q476" s="24">
        <f>COUNTIFS(B:B,B475)</f>
        <v>128</v>
      </c>
      <c r="R476" s="24">
        <f>COUNTIFS(D:D,D476)</f>
        <v>128</v>
      </c>
    </row>
    <row r="477" spans="1:18" x14ac:dyDescent="0.3">
      <c r="A477" s="14">
        <v>661</v>
      </c>
      <c r="B477" s="21" t="s">
        <v>373</v>
      </c>
      <c r="C477" s="21" t="s">
        <v>2613</v>
      </c>
      <c r="D477" s="1" t="s">
        <v>2660</v>
      </c>
      <c r="E477" s="1" t="s">
        <v>966</v>
      </c>
      <c r="F477" s="21" t="s">
        <v>4</v>
      </c>
      <c r="G477" s="14">
        <v>1</v>
      </c>
      <c r="H477" s="14">
        <v>0</v>
      </c>
      <c r="I477" s="25">
        <v>110</v>
      </c>
      <c r="J477" s="23">
        <f>VLOOKUP(I477,episodes!$A$1:$B$76,2,FALSE)</f>
        <v>11</v>
      </c>
      <c r="K477" s="16" t="str">
        <f>VLOOKUP(I477,episodes!$A$1:$E$81,5,FALSE)</f>
        <v>The Corbomite Maneuver</v>
      </c>
      <c r="L477" s="16">
        <f>VLOOKUP(I477,episodes!$A$1:$D$81,3,FALSE)</f>
        <v>1</v>
      </c>
      <c r="M477" s="16">
        <f>VLOOKUP(I477,episodes!$A$1:$D$81,4,FALSE)</f>
        <v>10</v>
      </c>
      <c r="O477" s="14">
        <v>0</v>
      </c>
      <c r="P477" s="24">
        <f>LEN(E477)+LEN(K477)</f>
        <v>270</v>
      </c>
      <c r="Q477" s="24">
        <f>COUNTIFS(B:B,B476)</f>
        <v>128</v>
      </c>
      <c r="R477" s="24">
        <f>COUNTIFS(D:D,D477)</f>
        <v>128</v>
      </c>
    </row>
    <row r="478" spans="1:18" x14ac:dyDescent="0.3">
      <c r="A478" s="14">
        <v>593</v>
      </c>
      <c r="B478" s="21" t="s">
        <v>373</v>
      </c>
      <c r="C478" s="21" t="s">
        <v>2613</v>
      </c>
      <c r="D478" s="1" t="s">
        <v>2660</v>
      </c>
      <c r="E478" s="1" t="s">
        <v>971</v>
      </c>
      <c r="F478" s="21" t="s">
        <v>4</v>
      </c>
      <c r="G478" s="14">
        <v>1</v>
      </c>
      <c r="H478" s="14">
        <v>0</v>
      </c>
      <c r="I478" s="25">
        <v>105</v>
      </c>
      <c r="J478" s="23">
        <f>VLOOKUP(I478,episodes!$A$1:$B$76,2,FALSE)</f>
        <v>6</v>
      </c>
      <c r="K478" s="16" t="str">
        <f>VLOOKUP(I478,episodes!$A$1:$E$81,5,FALSE)</f>
        <v>The Enemy Within</v>
      </c>
      <c r="L478" s="16">
        <f>VLOOKUP(I478,episodes!$A$1:$D$81,3,FALSE)</f>
        <v>1</v>
      </c>
      <c r="M478" s="16">
        <f>VLOOKUP(I478,episodes!$A$1:$D$81,4,FALSE)</f>
        <v>5</v>
      </c>
      <c r="O478" s="14">
        <v>0</v>
      </c>
      <c r="P478" s="24">
        <f>LEN(E478)+LEN(K478)</f>
        <v>306</v>
      </c>
      <c r="Q478" s="24">
        <f>COUNTIFS(B:B,B477)</f>
        <v>128</v>
      </c>
      <c r="R478" s="24">
        <f>COUNTIFS(D:D,D478)</f>
        <v>128</v>
      </c>
    </row>
    <row r="479" spans="1:18" x14ac:dyDescent="0.3">
      <c r="A479" s="14">
        <v>579</v>
      </c>
      <c r="B479" s="21" t="s">
        <v>373</v>
      </c>
      <c r="C479" s="21" t="s">
        <v>2613</v>
      </c>
      <c r="D479" s="1" t="s">
        <v>2660</v>
      </c>
      <c r="E479" s="1" t="s">
        <v>968</v>
      </c>
      <c r="F479" s="21" t="s">
        <v>4</v>
      </c>
      <c r="G479" s="14">
        <v>1</v>
      </c>
      <c r="H479" s="14">
        <v>0</v>
      </c>
      <c r="I479" s="25">
        <v>104</v>
      </c>
      <c r="J479" s="23">
        <f>VLOOKUP(I479,episodes!$A$1:$B$76,2,FALSE)</f>
        <v>5</v>
      </c>
      <c r="K479" s="16" t="str">
        <f>VLOOKUP(I479,episodes!$A$1:$E$81,5,FALSE)</f>
        <v>The Naked Time</v>
      </c>
      <c r="L479" s="16">
        <f>VLOOKUP(I479,episodes!$A$1:$D$81,3,FALSE)</f>
        <v>1</v>
      </c>
      <c r="M479" s="16">
        <f>VLOOKUP(I479,episodes!$A$1:$D$81,4,FALSE)</f>
        <v>4</v>
      </c>
      <c r="O479" s="14">
        <v>0</v>
      </c>
      <c r="P479" s="24">
        <f>LEN(E479)+LEN(K479)</f>
        <v>188</v>
      </c>
      <c r="Q479" s="24">
        <f>COUNTIFS(B:B,B478)</f>
        <v>128</v>
      </c>
      <c r="R479" s="24">
        <f>COUNTIFS(D:D,D479)</f>
        <v>128</v>
      </c>
    </row>
    <row r="480" spans="1:18" x14ac:dyDescent="0.3">
      <c r="A480" s="14">
        <v>724</v>
      </c>
      <c r="B480" s="21" t="s">
        <v>373</v>
      </c>
      <c r="C480" s="21" t="s">
        <v>2613</v>
      </c>
      <c r="D480" s="1" t="s">
        <v>2660</v>
      </c>
      <c r="E480" s="1" t="s">
        <v>983</v>
      </c>
      <c r="F480" s="21" t="s">
        <v>4</v>
      </c>
      <c r="G480" s="14">
        <v>1</v>
      </c>
      <c r="H480" s="14">
        <v>0</v>
      </c>
      <c r="I480" s="22">
        <v>116</v>
      </c>
      <c r="J480" s="23">
        <f>VLOOKUP(I480,episodes!$A$1:$B$76,2,FALSE)</f>
        <v>17</v>
      </c>
      <c r="K480" s="16" t="str">
        <f>VLOOKUP(I480,episodes!$A$1:$E$81,5,FALSE)</f>
        <v>The Galileo Seven</v>
      </c>
      <c r="L480" s="16">
        <f>VLOOKUP(I480,episodes!$A$1:$D$81,3,FALSE)</f>
        <v>1</v>
      </c>
      <c r="M480" s="16">
        <f>VLOOKUP(I480,episodes!$A$1:$D$81,4,FALSE)</f>
        <v>16</v>
      </c>
      <c r="O480" s="14">
        <v>0</v>
      </c>
      <c r="P480" s="24">
        <f>LEN(E480)+LEN(K480)</f>
        <v>264</v>
      </c>
      <c r="Q480" s="24">
        <f>COUNTIFS(B:B,B479)</f>
        <v>128</v>
      </c>
      <c r="R480" s="24">
        <f>COUNTIFS(D:D,D480)</f>
        <v>128</v>
      </c>
    </row>
    <row r="481" spans="1:18" x14ac:dyDescent="0.3">
      <c r="A481" s="14">
        <v>822</v>
      </c>
      <c r="B481" s="21" t="s">
        <v>373</v>
      </c>
      <c r="C481" s="21" t="s">
        <v>2613</v>
      </c>
      <c r="D481" s="1" t="s">
        <v>2660</v>
      </c>
      <c r="E481" s="1" t="s">
        <v>1993</v>
      </c>
      <c r="F481" s="21" t="s">
        <v>4</v>
      </c>
      <c r="G481" s="14">
        <v>1</v>
      </c>
      <c r="H481" s="14">
        <v>0</v>
      </c>
      <c r="I481" s="22">
        <v>124</v>
      </c>
      <c r="J481" s="23">
        <f>VLOOKUP(I481,episodes!$A$1:$B$76,2,FALSE)</f>
        <v>25</v>
      </c>
      <c r="K481" s="16" t="str">
        <f>VLOOKUP(I481,episodes!$A$1:$E$81,5,FALSE)</f>
        <v>This Side of Paradise</v>
      </c>
      <c r="L481" s="16">
        <f>VLOOKUP(I481,episodes!$A$1:$D$81,3,FALSE)</f>
        <v>1</v>
      </c>
      <c r="M481" s="16">
        <f>VLOOKUP(I481,episodes!$A$1:$D$81,4,FALSE)</f>
        <v>24</v>
      </c>
      <c r="O481" s="14">
        <v>0</v>
      </c>
      <c r="P481" s="24">
        <f>LEN(E481)+LEN(K481)</f>
        <v>617</v>
      </c>
      <c r="Q481" s="24">
        <f>COUNTIFS(B:B,B480)</f>
        <v>128</v>
      </c>
      <c r="R481" s="24">
        <f>COUNTIFS(D:D,D481)</f>
        <v>128</v>
      </c>
    </row>
    <row r="482" spans="1:18" x14ac:dyDescent="0.3">
      <c r="A482" s="14">
        <v>637</v>
      </c>
      <c r="B482" s="21" t="s">
        <v>373</v>
      </c>
      <c r="C482" s="21" t="s">
        <v>2613</v>
      </c>
      <c r="D482" s="1" t="s">
        <v>2660</v>
      </c>
      <c r="E482" s="1" t="s">
        <v>948</v>
      </c>
      <c r="F482" s="21" t="s">
        <v>4</v>
      </c>
      <c r="G482" s="14">
        <v>1</v>
      </c>
      <c r="H482" s="14">
        <v>0</v>
      </c>
      <c r="I482" s="25">
        <v>108</v>
      </c>
      <c r="J482" s="23">
        <f>VLOOKUP(I482,episodes!$A$1:$B$76,2,FALSE)</f>
        <v>9</v>
      </c>
      <c r="K482" s="16" t="str">
        <f>VLOOKUP(I482,episodes!$A$1:$E$81,5,FALSE)</f>
        <v>Miri</v>
      </c>
      <c r="L482" s="16">
        <f>VLOOKUP(I482,episodes!$A$1:$D$81,3,FALSE)</f>
        <v>1</v>
      </c>
      <c r="M482" s="16">
        <f>VLOOKUP(I482,episodes!$A$1:$D$81,4,FALSE)</f>
        <v>8</v>
      </c>
      <c r="O482" s="14">
        <v>0</v>
      </c>
      <c r="P482" s="24">
        <f>LEN(E482)+LEN(K482)</f>
        <v>175</v>
      </c>
      <c r="Q482" s="24">
        <f>COUNTIFS(B:B,B481)</f>
        <v>128</v>
      </c>
      <c r="R482" s="24">
        <f>COUNTIFS(D:D,D482)</f>
        <v>128</v>
      </c>
    </row>
    <row r="483" spans="1:18" x14ac:dyDescent="0.3">
      <c r="A483" s="14">
        <v>1561</v>
      </c>
      <c r="B483" s="21" t="s">
        <v>373</v>
      </c>
      <c r="C483" s="21" t="s">
        <v>2613</v>
      </c>
      <c r="D483" s="1" t="s">
        <v>2660</v>
      </c>
      <c r="E483" s="1" t="s">
        <v>1768</v>
      </c>
      <c r="F483" s="21" t="s">
        <v>8</v>
      </c>
      <c r="G483" s="14">
        <v>0</v>
      </c>
      <c r="H483" s="14">
        <v>1</v>
      </c>
      <c r="I483" s="25">
        <v>113</v>
      </c>
      <c r="J483" s="23">
        <f>VLOOKUP(I483,episodes!$A$1:$B$76,2,FALSE)</f>
        <v>14</v>
      </c>
      <c r="K483" s="16" t="str">
        <f>VLOOKUP(I483,episodes!$A$1:$E$81,5,FALSE)</f>
        <v>The Conscience of the King</v>
      </c>
      <c r="L483" s="16">
        <f>VLOOKUP(I483,episodes!$A$1:$D$81,3,FALSE)</f>
        <v>1</v>
      </c>
      <c r="M483" s="16">
        <f>VLOOKUP(I483,episodes!$A$1:$D$81,4,FALSE)</f>
        <v>13</v>
      </c>
      <c r="O483" s="14">
        <v>0</v>
      </c>
      <c r="P483" s="24">
        <f>LEN(E483)+LEN(K483)</f>
        <v>324</v>
      </c>
      <c r="Q483" s="24">
        <f>COUNTIFS(B:B,B482)</f>
        <v>128</v>
      </c>
      <c r="R483" s="24">
        <f>COUNTIFS(D:D,D483)</f>
        <v>128</v>
      </c>
    </row>
    <row r="484" spans="1:18" x14ac:dyDescent="0.3">
      <c r="A484" s="14">
        <v>1970</v>
      </c>
      <c r="B484" s="21" t="s">
        <v>373</v>
      </c>
      <c r="C484" s="21" t="s">
        <v>2613</v>
      </c>
      <c r="D484" s="1" t="s">
        <v>2660</v>
      </c>
      <c r="E484" s="1" t="s">
        <v>998</v>
      </c>
      <c r="F484" s="21" t="s">
        <v>6</v>
      </c>
      <c r="G484" s="14">
        <v>0</v>
      </c>
      <c r="H484" s="14">
        <v>1</v>
      </c>
      <c r="I484" s="22">
        <v>123</v>
      </c>
      <c r="J484" s="23">
        <f>VLOOKUP(I484,episodes!$A$1:$B$76,2,FALSE)</f>
        <v>24</v>
      </c>
      <c r="K484" s="16" t="str">
        <f>VLOOKUP(I484,episodes!$A$1:$E$81,5,FALSE)</f>
        <v>A Taste of Armageddon</v>
      </c>
      <c r="L484" s="16">
        <f>VLOOKUP(I484,episodes!$A$1:$D$81,3,FALSE)</f>
        <v>1</v>
      </c>
      <c r="M484" s="16">
        <f>VLOOKUP(I484,episodes!$A$1:$D$81,4,FALSE)</f>
        <v>23</v>
      </c>
      <c r="O484" s="14">
        <v>0</v>
      </c>
      <c r="P484" s="24">
        <f>LEN(E484)+LEN(K484)</f>
        <v>271</v>
      </c>
      <c r="Q484" s="24">
        <f>COUNTIFS(B:B,B483)</f>
        <v>128</v>
      </c>
      <c r="R484" s="24">
        <f>COUNTIFS(D:D,D484)</f>
        <v>128</v>
      </c>
    </row>
    <row r="485" spans="1:18" x14ac:dyDescent="0.3">
      <c r="A485" s="14">
        <v>2073</v>
      </c>
      <c r="B485" s="21" t="s">
        <v>373</v>
      </c>
      <c r="C485" s="21" t="s">
        <v>2613</v>
      </c>
      <c r="D485" s="1" t="s">
        <v>2660</v>
      </c>
      <c r="E485" s="1" t="s">
        <v>949</v>
      </c>
      <c r="F485" s="21" t="s">
        <v>5</v>
      </c>
      <c r="G485" s="14">
        <v>1</v>
      </c>
      <c r="H485" s="14">
        <v>0</v>
      </c>
      <c r="I485" s="25">
        <v>109</v>
      </c>
      <c r="J485" s="23">
        <f>VLOOKUP(I485,episodes!$A$1:$B$76,2,FALSE)</f>
        <v>10</v>
      </c>
      <c r="K485" s="16" t="str">
        <f>VLOOKUP(I485,episodes!$A$1:$E$81,5,FALSE)</f>
        <v>Dagger of the Mind</v>
      </c>
      <c r="L485" s="16">
        <f>VLOOKUP(I485,episodes!$A$1:$D$81,3,FALSE)</f>
        <v>1</v>
      </c>
      <c r="M485" s="16">
        <f>VLOOKUP(I485,episodes!$A$1:$D$81,4,FALSE)</f>
        <v>9</v>
      </c>
      <c r="O485" s="14">
        <v>0</v>
      </c>
      <c r="P485" s="24">
        <f>LEN(E485)+LEN(K485)</f>
        <v>161</v>
      </c>
      <c r="Q485" s="24">
        <f>COUNTIFS(B:B,B484)</f>
        <v>128</v>
      </c>
      <c r="R485" s="24">
        <f>COUNTIFS(D:D,D485)</f>
        <v>128</v>
      </c>
    </row>
    <row r="486" spans="1:18" s="21" customFormat="1" x14ac:dyDescent="0.3">
      <c r="A486" s="14">
        <v>2116</v>
      </c>
      <c r="B486" s="21" t="s">
        <v>373</v>
      </c>
      <c r="C486" s="21" t="s">
        <v>2613</v>
      </c>
      <c r="D486" s="1" t="s">
        <v>2660</v>
      </c>
      <c r="E486" s="1" t="s">
        <v>990</v>
      </c>
      <c r="F486" s="21" t="s">
        <v>5</v>
      </c>
      <c r="G486" s="14">
        <v>1</v>
      </c>
      <c r="H486" s="14">
        <v>0</v>
      </c>
      <c r="I486" s="22">
        <v>120</v>
      </c>
      <c r="J486" s="23">
        <f>VLOOKUP(I486,episodes!$A$1:$B$76,2,FALSE)</f>
        <v>21</v>
      </c>
      <c r="K486" s="16" t="str">
        <f>VLOOKUP(I486,episodes!$A$1:$E$81,5,FALSE)</f>
        <v>Court Martial</v>
      </c>
      <c r="L486" s="16">
        <f>VLOOKUP(I486,episodes!$A$1:$D$81,3,FALSE)</f>
        <v>1</v>
      </c>
      <c r="M486" s="16">
        <f>VLOOKUP(I486,episodes!$A$1:$D$81,4,FALSE)</f>
        <v>20</v>
      </c>
      <c r="N486" s="14"/>
      <c r="O486" s="14">
        <v>0</v>
      </c>
      <c r="P486" s="24">
        <f>LEN(E486)+LEN(K486)</f>
        <v>188</v>
      </c>
      <c r="Q486" s="24">
        <f>COUNTIFS(B:B,B485)</f>
        <v>128</v>
      </c>
      <c r="R486" s="24">
        <f>COUNTIFS(D:D,D486)</f>
        <v>128</v>
      </c>
    </row>
    <row r="487" spans="1:18" x14ac:dyDescent="0.3">
      <c r="A487" s="14">
        <v>2111</v>
      </c>
      <c r="B487" s="21" t="s">
        <v>373</v>
      </c>
      <c r="C487" s="21" t="s">
        <v>2613</v>
      </c>
      <c r="D487" s="1" t="s">
        <v>2660</v>
      </c>
      <c r="E487" s="1" t="s">
        <v>986</v>
      </c>
      <c r="F487" s="21" t="s">
        <v>5</v>
      </c>
      <c r="G487" s="14">
        <v>1</v>
      </c>
      <c r="H487" s="14">
        <v>0</v>
      </c>
      <c r="I487" s="22">
        <v>119</v>
      </c>
      <c r="J487" s="23">
        <f>VLOOKUP(I487,episodes!$A$1:$B$76,2,FALSE)</f>
        <v>20</v>
      </c>
      <c r="K487" s="16" t="str">
        <f>VLOOKUP(I487,episodes!$A$1:$E$81,5,FALSE)</f>
        <v>Tomorrow Is Yesterday</v>
      </c>
      <c r="L487" s="16">
        <f>VLOOKUP(I487,episodes!$A$1:$D$81,3,FALSE)</f>
        <v>1</v>
      </c>
      <c r="M487" s="16">
        <f>VLOOKUP(I487,episodes!$A$1:$D$81,4,FALSE)</f>
        <v>19</v>
      </c>
      <c r="O487" s="14">
        <v>0</v>
      </c>
      <c r="P487" s="24">
        <f>LEN(E487)+LEN(K487)</f>
        <v>171</v>
      </c>
      <c r="Q487" s="24">
        <f>COUNTIFS(B:B,B486)</f>
        <v>128</v>
      </c>
      <c r="R487" s="24">
        <f>COUNTIFS(D:D,D487)</f>
        <v>128</v>
      </c>
    </row>
    <row r="488" spans="1:18" x14ac:dyDescent="0.3">
      <c r="A488" s="14">
        <v>547</v>
      </c>
      <c r="B488" s="21" t="s">
        <v>373</v>
      </c>
      <c r="C488" s="21" t="s">
        <v>2613</v>
      </c>
      <c r="D488" s="1" t="s">
        <v>2660</v>
      </c>
      <c r="E488" s="1" t="s">
        <v>1986</v>
      </c>
      <c r="F488" s="21" t="s">
        <v>4</v>
      </c>
      <c r="G488" s="14">
        <v>1</v>
      </c>
      <c r="H488" s="14">
        <v>0</v>
      </c>
      <c r="I488" s="25">
        <v>101</v>
      </c>
      <c r="J488" s="23">
        <f>VLOOKUP(I488,episodes!$A$1:$B$76,2,FALSE)</f>
        <v>2</v>
      </c>
      <c r="K488" s="16" t="str">
        <f>VLOOKUP(I488,episodes!$A$1:$E$81,5,FALSE)</f>
        <v>The Man Trap</v>
      </c>
      <c r="L488" s="16">
        <f>VLOOKUP(I488,episodes!$A$1:$D$81,3,FALSE)</f>
        <v>1</v>
      </c>
      <c r="M488" s="16">
        <f>VLOOKUP(I488,episodes!$A$1:$D$81,4,FALSE)</f>
        <v>1</v>
      </c>
      <c r="O488" s="14">
        <v>0</v>
      </c>
      <c r="P488" s="24">
        <f>LEN(E488)+LEN(K488)</f>
        <v>267</v>
      </c>
      <c r="Q488" s="24">
        <f>COUNTIFS(B:B,B487)</f>
        <v>128</v>
      </c>
      <c r="R488" s="24">
        <f>COUNTIFS(D:D,D488)</f>
        <v>128</v>
      </c>
    </row>
    <row r="489" spans="1:18" x14ac:dyDescent="0.3">
      <c r="A489" s="14">
        <v>638</v>
      </c>
      <c r="B489" s="21" t="s">
        <v>373</v>
      </c>
      <c r="C489" s="21" t="s">
        <v>2613</v>
      </c>
      <c r="D489" s="1" t="s">
        <v>2660</v>
      </c>
      <c r="E489" s="1" t="s">
        <v>1719</v>
      </c>
      <c r="F489" s="21" t="s">
        <v>4</v>
      </c>
      <c r="G489" s="14">
        <v>1</v>
      </c>
      <c r="H489" s="14">
        <v>0</v>
      </c>
      <c r="I489" s="25">
        <v>108</v>
      </c>
      <c r="J489" s="23">
        <f>VLOOKUP(I489,episodes!$A$1:$B$76,2,FALSE)</f>
        <v>9</v>
      </c>
      <c r="K489" s="16" t="str">
        <f>VLOOKUP(I489,episodes!$A$1:$E$81,5,FALSE)</f>
        <v>Miri</v>
      </c>
      <c r="L489" s="16">
        <f>VLOOKUP(I489,episodes!$A$1:$D$81,3,FALSE)</f>
        <v>1</v>
      </c>
      <c r="M489" s="16">
        <f>VLOOKUP(I489,episodes!$A$1:$D$81,4,FALSE)</f>
        <v>8</v>
      </c>
      <c r="O489" s="14">
        <v>0</v>
      </c>
      <c r="P489" s="24">
        <f>LEN(E489)+LEN(K489)</f>
        <v>392</v>
      </c>
      <c r="Q489" s="24">
        <f>COUNTIFS(B:B,B488)</f>
        <v>128</v>
      </c>
      <c r="R489" s="24">
        <f>COUNTIFS(D:D,D489)</f>
        <v>128</v>
      </c>
    </row>
    <row r="490" spans="1:18" x14ac:dyDescent="0.3">
      <c r="A490" s="14">
        <v>688</v>
      </c>
      <c r="B490" s="21" t="s">
        <v>373</v>
      </c>
      <c r="C490" s="21" t="s">
        <v>2613</v>
      </c>
      <c r="D490" s="1" t="s">
        <v>2660</v>
      </c>
      <c r="E490" s="1" t="s">
        <v>979</v>
      </c>
      <c r="F490" s="21" t="s">
        <v>4</v>
      </c>
      <c r="G490" s="14">
        <v>1</v>
      </c>
      <c r="H490" s="14">
        <v>0</v>
      </c>
      <c r="I490" s="25">
        <v>113</v>
      </c>
      <c r="J490" s="23">
        <f>VLOOKUP(I490,episodes!$A$1:$B$76,2,FALSE)</f>
        <v>14</v>
      </c>
      <c r="K490" s="16" t="str">
        <f>VLOOKUP(I490,episodes!$A$1:$E$81,5,FALSE)</f>
        <v>The Conscience of the King</v>
      </c>
      <c r="L490" s="16">
        <f>VLOOKUP(I490,episodes!$A$1:$D$81,3,FALSE)</f>
        <v>1</v>
      </c>
      <c r="M490" s="16">
        <f>VLOOKUP(I490,episodes!$A$1:$D$81,4,FALSE)</f>
        <v>13</v>
      </c>
      <c r="O490" s="14">
        <v>0</v>
      </c>
      <c r="P490" s="24">
        <f>LEN(E490)+LEN(K490)</f>
        <v>190</v>
      </c>
      <c r="Q490" s="24">
        <f>COUNTIFS(B:B,B489)</f>
        <v>128</v>
      </c>
      <c r="R490" s="24">
        <f>COUNTIFS(D:D,D490)</f>
        <v>128</v>
      </c>
    </row>
    <row r="491" spans="1:18" x14ac:dyDescent="0.3">
      <c r="A491" s="14">
        <v>773</v>
      </c>
      <c r="B491" s="21" t="s">
        <v>373</v>
      </c>
      <c r="C491" s="21" t="s">
        <v>2613</v>
      </c>
      <c r="D491" s="1" t="s">
        <v>2660</v>
      </c>
      <c r="E491" s="1" t="s">
        <v>991</v>
      </c>
      <c r="F491" s="21" t="s">
        <v>4</v>
      </c>
      <c r="G491" s="14">
        <v>1</v>
      </c>
      <c r="H491" s="14">
        <v>0</v>
      </c>
      <c r="I491" s="22">
        <v>120</v>
      </c>
      <c r="J491" s="23">
        <f>VLOOKUP(I491,episodes!$A$1:$B$76,2,FALSE)</f>
        <v>21</v>
      </c>
      <c r="K491" s="16" t="str">
        <f>VLOOKUP(I491,episodes!$A$1:$E$81,5,FALSE)</f>
        <v>Court Martial</v>
      </c>
      <c r="L491" s="16">
        <f>VLOOKUP(I491,episodes!$A$1:$D$81,3,FALSE)</f>
        <v>1</v>
      </c>
      <c r="M491" s="16">
        <f>VLOOKUP(I491,episodes!$A$1:$D$81,4,FALSE)</f>
        <v>20</v>
      </c>
      <c r="O491" s="14">
        <v>0</v>
      </c>
      <c r="P491" s="24">
        <f>LEN(E491)+LEN(K491)</f>
        <v>141</v>
      </c>
      <c r="Q491" s="24">
        <f>COUNTIFS(B:B,B490)</f>
        <v>128</v>
      </c>
      <c r="R491" s="24">
        <f>COUNTIFS(D:D,D491)</f>
        <v>128</v>
      </c>
    </row>
    <row r="492" spans="1:18" x14ac:dyDescent="0.3">
      <c r="A492" s="14">
        <v>761</v>
      </c>
      <c r="B492" s="21" t="s">
        <v>373</v>
      </c>
      <c r="C492" s="21" t="s">
        <v>2613</v>
      </c>
      <c r="D492" s="1" t="s">
        <v>2660</v>
      </c>
      <c r="E492" s="1" t="s">
        <v>987</v>
      </c>
      <c r="F492" s="21" t="s">
        <v>4</v>
      </c>
      <c r="G492" s="14">
        <v>1</v>
      </c>
      <c r="H492" s="14">
        <v>0</v>
      </c>
      <c r="I492" s="22">
        <v>119</v>
      </c>
      <c r="J492" s="23">
        <f>VLOOKUP(I492,episodes!$A$1:$B$76,2,FALSE)</f>
        <v>20</v>
      </c>
      <c r="K492" s="16" t="str">
        <f>VLOOKUP(I492,episodes!$A$1:$E$81,5,FALSE)</f>
        <v>Tomorrow Is Yesterday</v>
      </c>
      <c r="L492" s="16">
        <f>VLOOKUP(I492,episodes!$A$1:$D$81,3,FALSE)</f>
        <v>1</v>
      </c>
      <c r="M492" s="16">
        <f>VLOOKUP(I492,episodes!$A$1:$D$81,4,FALSE)</f>
        <v>19</v>
      </c>
      <c r="O492" s="14">
        <v>0</v>
      </c>
      <c r="P492" s="24">
        <f>LEN(E492)+LEN(K492)</f>
        <v>213</v>
      </c>
      <c r="Q492" s="24">
        <f>COUNTIFS(B:B,B491)</f>
        <v>128</v>
      </c>
      <c r="R492" s="24">
        <f>COUNTIFS(D:D,D492)</f>
        <v>128</v>
      </c>
    </row>
    <row r="493" spans="1:18" x14ac:dyDescent="0.3">
      <c r="A493" s="14">
        <v>725</v>
      </c>
      <c r="B493" s="21" t="s">
        <v>373</v>
      </c>
      <c r="C493" s="21" t="s">
        <v>2613</v>
      </c>
      <c r="D493" s="1" t="s">
        <v>2660</v>
      </c>
      <c r="E493" s="1" t="s">
        <v>956</v>
      </c>
      <c r="F493" s="21" t="s">
        <v>4</v>
      </c>
      <c r="G493" s="14">
        <v>1</v>
      </c>
      <c r="H493" s="14">
        <v>0</v>
      </c>
      <c r="I493" s="22">
        <v>116</v>
      </c>
      <c r="J493" s="23">
        <f>VLOOKUP(I493,episodes!$A$1:$B$76,2,FALSE)</f>
        <v>17</v>
      </c>
      <c r="K493" s="16" t="str">
        <f>VLOOKUP(I493,episodes!$A$1:$E$81,5,FALSE)</f>
        <v>The Galileo Seven</v>
      </c>
      <c r="L493" s="16">
        <f>VLOOKUP(I493,episodes!$A$1:$D$81,3,FALSE)</f>
        <v>1</v>
      </c>
      <c r="M493" s="16">
        <f>VLOOKUP(I493,episodes!$A$1:$D$81,4,FALSE)</f>
        <v>16</v>
      </c>
      <c r="O493" s="14">
        <v>0</v>
      </c>
      <c r="P493" s="24">
        <f>LEN(E493)+LEN(K493)</f>
        <v>177</v>
      </c>
      <c r="Q493" s="24">
        <f>COUNTIFS(B:B,B492)</f>
        <v>128</v>
      </c>
      <c r="R493" s="24">
        <f>COUNTIFS(D:D,D493)</f>
        <v>128</v>
      </c>
    </row>
    <row r="494" spans="1:18" x14ac:dyDescent="0.3">
      <c r="A494" s="14">
        <v>823</v>
      </c>
      <c r="B494" s="21" t="s">
        <v>373</v>
      </c>
      <c r="C494" s="21" t="s">
        <v>2613</v>
      </c>
      <c r="D494" s="1" t="s">
        <v>2660</v>
      </c>
      <c r="E494" s="1" t="s">
        <v>1994</v>
      </c>
      <c r="F494" s="21" t="s">
        <v>4</v>
      </c>
      <c r="G494" s="14">
        <v>1</v>
      </c>
      <c r="H494" s="14">
        <v>0</v>
      </c>
      <c r="I494" s="22">
        <v>124</v>
      </c>
      <c r="J494" s="23">
        <f>VLOOKUP(I494,episodes!$A$1:$B$76,2,FALSE)</f>
        <v>25</v>
      </c>
      <c r="K494" s="16" t="str">
        <f>VLOOKUP(I494,episodes!$A$1:$E$81,5,FALSE)</f>
        <v>This Side of Paradise</v>
      </c>
      <c r="L494" s="16">
        <f>VLOOKUP(I494,episodes!$A$1:$D$81,3,FALSE)</f>
        <v>1</v>
      </c>
      <c r="M494" s="16">
        <f>VLOOKUP(I494,episodes!$A$1:$D$81,4,FALSE)</f>
        <v>24</v>
      </c>
      <c r="O494" s="14">
        <v>0</v>
      </c>
      <c r="P494" s="24">
        <f>LEN(E494)+LEN(K494)</f>
        <v>286</v>
      </c>
      <c r="Q494" s="24">
        <f>COUNTIFS(B:B,B493)</f>
        <v>128</v>
      </c>
      <c r="R494" s="24">
        <f>COUNTIFS(D:D,D494)</f>
        <v>128</v>
      </c>
    </row>
    <row r="495" spans="1:18" x14ac:dyDescent="0.3">
      <c r="A495" s="14">
        <v>580</v>
      </c>
      <c r="B495" s="21" t="s">
        <v>373</v>
      </c>
      <c r="C495" s="21" t="s">
        <v>2613</v>
      </c>
      <c r="D495" s="1" t="s">
        <v>2660</v>
      </c>
      <c r="E495" s="1" t="s">
        <v>1517</v>
      </c>
      <c r="F495" s="21" t="s">
        <v>4</v>
      </c>
      <c r="G495" s="14">
        <v>1</v>
      </c>
      <c r="H495" s="14">
        <v>0</v>
      </c>
      <c r="I495" s="25">
        <v>104</v>
      </c>
      <c r="J495" s="23">
        <f>VLOOKUP(I495,episodes!$A$1:$B$76,2,FALSE)</f>
        <v>5</v>
      </c>
      <c r="K495" s="16" t="str">
        <f>VLOOKUP(I495,episodes!$A$1:$E$81,5,FALSE)</f>
        <v>The Naked Time</v>
      </c>
      <c r="L495" s="16">
        <f>VLOOKUP(I495,episodes!$A$1:$D$81,3,FALSE)</f>
        <v>1</v>
      </c>
      <c r="M495" s="16">
        <f>VLOOKUP(I495,episodes!$A$1:$D$81,4,FALSE)</f>
        <v>4</v>
      </c>
      <c r="O495" s="14">
        <v>0</v>
      </c>
      <c r="P495" s="24">
        <f>LEN(E495)+LEN(K495)</f>
        <v>168</v>
      </c>
      <c r="Q495" s="24">
        <f>COUNTIFS(B:B,B494)</f>
        <v>128</v>
      </c>
      <c r="R495" s="24">
        <f>COUNTIFS(D:D,D495)</f>
        <v>128</v>
      </c>
    </row>
    <row r="496" spans="1:18" x14ac:dyDescent="0.3">
      <c r="A496" s="14">
        <v>604</v>
      </c>
      <c r="B496" s="21" t="s">
        <v>373</v>
      </c>
      <c r="C496" s="21" t="s">
        <v>2613</v>
      </c>
      <c r="D496" s="1" t="s">
        <v>2660</v>
      </c>
      <c r="E496" s="1" t="s">
        <v>947</v>
      </c>
      <c r="F496" s="21" t="s">
        <v>4</v>
      </c>
      <c r="G496" s="14">
        <v>1</v>
      </c>
      <c r="H496" s="14">
        <v>0</v>
      </c>
      <c r="I496" s="25">
        <v>106</v>
      </c>
      <c r="J496" s="23">
        <f>VLOOKUP(I496,episodes!$A$1:$B$76,2,FALSE)</f>
        <v>7</v>
      </c>
      <c r="K496" s="16" t="str">
        <f>VLOOKUP(I496,episodes!$A$1:$E$81,5,FALSE)</f>
        <v>Mudd's Women</v>
      </c>
      <c r="L496" s="16">
        <f>VLOOKUP(I496,episodes!$A$1:$D$81,3,FALSE)</f>
        <v>1</v>
      </c>
      <c r="M496" s="16">
        <f>VLOOKUP(I496,episodes!$A$1:$D$81,4,FALSE)</f>
        <v>6</v>
      </c>
      <c r="O496" s="14">
        <v>0</v>
      </c>
      <c r="P496" s="24">
        <f>LEN(E496)+LEN(K496)</f>
        <v>160</v>
      </c>
      <c r="Q496" s="24">
        <f>COUNTIFS(B:B,B495)</f>
        <v>128</v>
      </c>
      <c r="R496" s="24">
        <f>COUNTIFS(D:D,D496)</f>
        <v>128</v>
      </c>
    </row>
    <row r="497" spans="1:18" x14ac:dyDescent="0.3">
      <c r="A497" s="14">
        <v>2059</v>
      </c>
      <c r="B497" s="21" t="s">
        <v>373</v>
      </c>
      <c r="C497" s="21" t="s">
        <v>2613</v>
      </c>
      <c r="D497" s="1" t="s">
        <v>2660</v>
      </c>
      <c r="E497" s="1" t="s">
        <v>994</v>
      </c>
      <c r="F497" s="21" t="s">
        <v>5</v>
      </c>
      <c r="G497" s="14">
        <v>1</v>
      </c>
      <c r="H497" s="14">
        <v>0</v>
      </c>
      <c r="I497" s="25">
        <v>105</v>
      </c>
      <c r="J497" s="23">
        <f>VLOOKUP(I497,episodes!$A$1:$B$76,2,FALSE)</f>
        <v>6</v>
      </c>
      <c r="K497" s="16" t="str">
        <f>VLOOKUP(I497,episodes!$A$1:$E$81,5,FALSE)</f>
        <v>The Enemy Within</v>
      </c>
      <c r="L497" s="16">
        <f>VLOOKUP(I497,episodes!$A$1:$D$81,3,FALSE)</f>
        <v>1</v>
      </c>
      <c r="M497" s="16">
        <f>VLOOKUP(I497,episodes!$A$1:$D$81,4,FALSE)</f>
        <v>5</v>
      </c>
      <c r="O497" s="14">
        <v>0</v>
      </c>
      <c r="P497" s="24">
        <f>LEN(E497)+LEN(K497)</f>
        <v>246</v>
      </c>
      <c r="Q497" s="24">
        <f>COUNTIFS(B:B,B496)</f>
        <v>128</v>
      </c>
      <c r="R497" s="24">
        <f>COUNTIFS(D:D,D497)</f>
        <v>128</v>
      </c>
    </row>
    <row r="498" spans="1:18" x14ac:dyDescent="0.3">
      <c r="A498" s="14">
        <v>548</v>
      </c>
      <c r="B498" s="21" t="s">
        <v>373</v>
      </c>
      <c r="C498" s="21" t="s">
        <v>2613</v>
      </c>
      <c r="D498" s="1" t="s">
        <v>2660</v>
      </c>
      <c r="E498" s="1" t="s">
        <v>1512</v>
      </c>
      <c r="F498" s="21" t="s">
        <v>4</v>
      </c>
      <c r="G498" s="14">
        <v>1</v>
      </c>
      <c r="H498" s="14">
        <v>0</v>
      </c>
      <c r="I498" s="25">
        <v>101</v>
      </c>
      <c r="J498" s="23">
        <f>VLOOKUP(I498,episodes!$A$1:$B$76,2,FALSE)</f>
        <v>2</v>
      </c>
      <c r="K498" s="16" t="str">
        <f>VLOOKUP(I498,episodes!$A$1:$E$81,5,FALSE)</f>
        <v>The Man Trap</v>
      </c>
      <c r="L498" s="16">
        <f>VLOOKUP(I498,episodes!$A$1:$D$81,3,FALSE)</f>
        <v>1</v>
      </c>
      <c r="M498" s="16">
        <f>VLOOKUP(I498,episodes!$A$1:$D$81,4,FALSE)</f>
        <v>1</v>
      </c>
      <c r="O498" s="14">
        <v>0</v>
      </c>
      <c r="P498" s="24">
        <f>LEN(E498)+LEN(K498)</f>
        <v>192</v>
      </c>
      <c r="Q498" s="24">
        <f>COUNTIFS(B:B,B497)</f>
        <v>128</v>
      </c>
      <c r="R498" s="24">
        <f>COUNTIFS(D:D,D498)</f>
        <v>128</v>
      </c>
    </row>
    <row r="499" spans="1:18" x14ac:dyDescent="0.3">
      <c r="A499" s="14">
        <v>605</v>
      </c>
      <c r="B499" s="21" t="s">
        <v>373</v>
      </c>
      <c r="C499" s="21" t="s">
        <v>2613</v>
      </c>
      <c r="D499" s="1" t="s">
        <v>2660</v>
      </c>
      <c r="E499" s="1" t="s">
        <v>1520</v>
      </c>
      <c r="F499" s="21" t="s">
        <v>4</v>
      </c>
      <c r="G499" s="14">
        <v>1</v>
      </c>
      <c r="H499" s="14">
        <v>0</v>
      </c>
      <c r="I499" s="25">
        <v>106</v>
      </c>
      <c r="J499" s="23">
        <f>VLOOKUP(I499,episodes!$A$1:$B$76,2,FALSE)</f>
        <v>7</v>
      </c>
      <c r="K499" s="16" t="str">
        <f>VLOOKUP(I499,episodes!$A$1:$E$81,5,FALSE)</f>
        <v>Mudd's Women</v>
      </c>
      <c r="L499" s="16">
        <f>VLOOKUP(I499,episodes!$A$1:$D$81,3,FALSE)</f>
        <v>1</v>
      </c>
      <c r="M499" s="16">
        <f>VLOOKUP(I499,episodes!$A$1:$D$81,4,FALSE)</f>
        <v>6</v>
      </c>
      <c r="O499" s="14">
        <v>0</v>
      </c>
      <c r="P499" s="24">
        <f>LEN(E499)+LEN(K499)</f>
        <v>287</v>
      </c>
      <c r="Q499" s="24">
        <f>COUNTIFS(B:B,B498)</f>
        <v>128</v>
      </c>
      <c r="R499" s="24">
        <f>COUNTIFS(D:D,D499)</f>
        <v>128</v>
      </c>
    </row>
    <row r="500" spans="1:18" x14ac:dyDescent="0.3">
      <c r="A500" s="14">
        <v>606</v>
      </c>
      <c r="B500" s="21" t="s">
        <v>373</v>
      </c>
      <c r="C500" s="21" t="s">
        <v>2613</v>
      </c>
      <c r="D500" s="1" t="s">
        <v>2660</v>
      </c>
      <c r="E500" s="1" t="s">
        <v>1521</v>
      </c>
      <c r="F500" s="21" t="s">
        <v>4</v>
      </c>
      <c r="G500" s="14">
        <v>1</v>
      </c>
      <c r="H500" s="14">
        <v>0</v>
      </c>
      <c r="I500" s="25">
        <v>106</v>
      </c>
      <c r="J500" s="23">
        <f>VLOOKUP(I500,episodes!$A$1:$B$76,2,FALSE)</f>
        <v>7</v>
      </c>
      <c r="K500" s="16" t="str">
        <f>VLOOKUP(I500,episodes!$A$1:$E$81,5,FALSE)</f>
        <v>Mudd's Women</v>
      </c>
      <c r="L500" s="16">
        <f>VLOOKUP(I500,episodes!$A$1:$D$81,3,FALSE)</f>
        <v>1</v>
      </c>
      <c r="M500" s="16">
        <f>VLOOKUP(I500,episodes!$A$1:$D$81,4,FALSE)</f>
        <v>6</v>
      </c>
      <c r="O500" s="14">
        <v>0</v>
      </c>
      <c r="P500" s="24">
        <f>LEN(E500)+LEN(K500)</f>
        <v>195</v>
      </c>
      <c r="Q500" s="24">
        <f>COUNTIFS(B:B,B499)</f>
        <v>128</v>
      </c>
      <c r="R500" s="24">
        <f>COUNTIFS(D:D,D500)</f>
        <v>128</v>
      </c>
    </row>
    <row r="501" spans="1:18" x14ac:dyDescent="0.3">
      <c r="A501" s="14">
        <v>2424</v>
      </c>
      <c r="B501" s="21" t="s">
        <v>300</v>
      </c>
      <c r="C501" s="21" t="s">
        <v>2613</v>
      </c>
      <c r="D501" s="1" t="s">
        <v>2626</v>
      </c>
      <c r="E501" s="1" t="s">
        <v>2880</v>
      </c>
      <c r="F501" s="21" t="s">
        <v>2903</v>
      </c>
      <c r="G501" s="14">
        <v>0</v>
      </c>
      <c r="H501" s="14">
        <v>1</v>
      </c>
      <c r="I501" s="25">
        <v>103</v>
      </c>
      <c r="J501" s="23">
        <f>VLOOKUP(I501,episodes!$A$1:$B$76,2,FALSE)</f>
        <v>4</v>
      </c>
      <c r="K501" s="16" t="str">
        <f>VLOOKUP(I501,episodes!$A$1:$E$81,5,FALSE)</f>
        <v>Where No Man Has Gone Before</v>
      </c>
      <c r="L501" s="16">
        <f>VLOOKUP(I501,episodes!$A$1:$D$81,3,FALSE)</f>
        <v>1</v>
      </c>
      <c r="M501" s="16">
        <f>VLOOKUP(I501,episodes!$A$1:$D$81,4,FALSE)</f>
        <v>3</v>
      </c>
      <c r="O501" s="14">
        <v>0</v>
      </c>
      <c r="P501" s="24">
        <f>LEN(E501)+LEN(K501)</f>
        <v>152</v>
      </c>
      <c r="Q501" s="24"/>
      <c r="R501" s="24"/>
    </row>
    <row r="502" spans="1:18" x14ac:dyDescent="0.3">
      <c r="A502" s="14">
        <v>898</v>
      </c>
      <c r="B502" s="21" t="s">
        <v>300</v>
      </c>
      <c r="C502" s="21" t="s">
        <v>2613</v>
      </c>
      <c r="D502" s="1" t="s">
        <v>2626</v>
      </c>
      <c r="E502" s="1" t="s">
        <v>171</v>
      </c>
      <c r="F502" s="21" t="s">
        <v>4</v>
      </c>
      <c r="G502" s="14">
        <v>1</v>
      </c>
      <c r="H502" s="14">
        <v>0</v>
      </c>
      <c r="I502" s="25">
        <v>202</v>
      </c>
      <c r="J502" s="23">
        <f>VLOOKUP(I502,episodes!$A$1:$B$76,2,FALSE)</f>
        <v>32</v>
      </c>
      <c r="K502" s="16" t="str">
        <f>VLOOKUP(I502,episodes!$A$1:$E$81,5,FALSE)</f>
        <v>Who Mourns for Adonais?</v>
      </c>
      <c r="L502" s="16">
        <f>VLOOKUP(I502,episodes!$A$1:$D$81,3,FALSE)</f>
        <v>2</v>
      </c>
      <c r="M502" s="16">
        <f>VLOOKUP(I502,episodes!$A$1:$D$81,4,FALSE)</f>
        <v>2</v>
      </c>
      <c r="O502" s="14">
        <v>0</v>
      </c>
      <c r="P502" s="24">
        <f>LEN(E502)+LEN(K502)</f>
        <v>132</v>
      </c>
      <c r="Q502" s="24">
        <f>COUNTIFS(B:B,B501)</f>
        <v>5</v>
      </c>
      <c r="R502" s="24">
        <f>COUNTIFS(D:D,D502)</f>
        <v>5</v>
      </c>
    </row>
    <row r="503" spans="1:18" x14ac:dyDescent="0.3">
      <c r="A503" s="14">
        <v>814</v>
      </c>
      <c r="B503" s="21" t="s">
        <v>300</v>
      </c>
      <c r="C503" s="21" t="s">
        <v>2613</v>
      </c>
      <c r="D503" s="1" t="s">
        <v>2626</v>
      </c>
      <c r="E503" s="1" t="s">
        <v>659</v>
      </c>
      <c r="F503" s="21" t="s">
        <v>4</v>
      </c>
      <c r="G503" s="14">
        <v>1</v>
      </c>
      <c r="H503" s="14">
        <v>0</v>
      </c>
      <c r="I503" s="22">
        <v>123</v>
      </c>
      <c r="J503" s="23">
        <f>VLOOKUP(I503,episodes!$A$1:$B$76,2,FALSE)</f>
        <v>24</v>
      </c>
      <c r="K503" s="16" t="str">
        <f>VLOOKUP(I503,episodes!$A$1:$E$81,5,FALSE)</f>
        <v>A Taste of Armageddon</v>
      </c>
      <c r="L503" s="16">
        <f>VLOOKUP(I503,episodes!$A$1:$D$81,3,FALSE)</f>
        <v>1</v>
      </c>
      <c r="M503" s="16">
        <f>VLOOKUP(I503,episodes!$A$1:$D$81,4,FALSE)</f>
        <v>23</v>
      </c>
      <c r="O503" s="14">
        <v>0</v>
      </c>
      <c r="P503" s="24">
        <f>LEN(E503)+LEN(K503)</f>
        <v>91</v>
      </c>
      <c r="Q503" s="24">
        <f>COUNTIFS(B:B,B502)</f>
        <v>5</v>
      </c>
      <c r="R503" s="24">
        <f>COUNTIFS(D:D,D503)</f>
        <v>5</v>
      </c>
    </row>
    <row r="504" spans="1:18" x14ac:dyDescent="0.3">
      <c r="A504" s="14">
        <v>949</v>
      </c>
      <c r="B504" s="21" t="s">
        <v>300</v>
      </c>
      <c r="C504" s="21" t="s">
        <v>2613</v>
      </c>
      <c r="D504" s="1" t="s">
        <v>2626</v>
      </c>
      <c r="E504" s="1" t="s">
        <v>2102</v>
      </c>
      <c r="F504" s="21" t="s">
        <v>4</v>
      </c>
      <c r="G504" s="14">
        <v>1</v>
      </c>
      <c r="H504" s="14">
        <v>0</v>
      </c>
      <c r="I504" s="25">
        <v>206</v>
      </c>
      <c r="J504" s="23">
        <f>VLOOKUP(I504,episodes!$A$1:$B$81,2,FALSE)</f>
        <v>36</v>
      </c>
      <c r="K504" s="16" t="str">
        <f>VLOOKUP(I504,episodes!$A$1:$E$81,5,FALSE)</f>
        <v>The Doomsday Machine</v>
      </c>
      <c r="L504" s="16">
        <f>VLOOKUP(I504,episodes!$A$1:$D$81,3,FALSE)</f>
        <v>2</v>
      </c>
      <c r="M504" s="16">
        <f>VLOOKUP(I504,episodes!$A$1:$D$81,4,FALSE)</f>
        <v>6</v>
      </c>
      <c r="O504" s="14">
        <v>0</v>
      </c>
      <c r="P504" s="24">
        <f>LEN(E504)+LEN(K504)</f>
        <v>276</v>
      </c>
      <c r="Q504" s="24">
        <f>COUNTIFS(B:B,B503)</f>
        <v>5</v>
      </c>
      <c r="R504" s="24">
        <f>COUNTIFS(D:D,D504)</f>
        <v>5</v>
      </c>
    </row>
    <row r="505" spans="1:18" x14ac:dyDescent="0.3">
      <c r="A505" s="14">
        <v>831</v>
      </c>
      <c r="B505" s="21" t="s">
        <v>300</v>
      </c>
      <c r="C505" s="21" t="s">
        <v>2613</v>
      </c>
      <c r="D505" s="1" t="s">
        <v>2626</v>
      </c>
      <c r="E505" s="1" t="s">
        <v>1331</v>
      </c>
      <c r="F505" s="21" t="s">
        <v>4</v>
      </c>
      <c r="G505" s="14">
        <v>1</v>
      </c>
      <c r="H505" s="14">
        <v>0</v>
      </c>
      <c r="I505" s="22">
        <v>124</v>
      </c>
      <c r="J505" s="23">
        <f>VLOOKUP(I505,episodes!$A$1:$B$76,2,FALSE)</f>
        <v>25</v>
      </c>
      <c r="K505" s="16" t="str">
        <f>VLOOKUP(I505,episodes!$A$1:$E$81,5,FALSE)</f>
        <v>This Side of Paradise</v>
      </c>
      <c r="L505" s="16">
        <f>VLOOKUP(I505,episodes!$A$1:$D$81,3,FALSE)</f>
        <v>1</v>
      </c>
      <c r="M505" s="16">
        <f>VLOOKUP(I505,episodes!$A$1:$D$81,4,FALSE)</f>
        <v>24</v>
      </c>
      <c r="O505" s="14">
        <v>0</v>
      </c>
      <c r="P505" s="24">
        <f>LEN(E505)+LEN(K505)</f>
        <v>96</v>
      </c>
      <c r="Q505" s="24">
        <f>COUNTIFS(B:B,B504)</f>
        <v>5</v>
      </c>
      <c r="R505" s="24">
        <f>COUNTIFS(D:D,D505)</f>
        <v>5</v>
      </c>
    </row>
    <row r="506" spans="1:18" x14ac:dyDescent="0.3">
      <c r="A506" s="14">
        <v>740</v>
      </c>
      <c r="B506" s="21" t="s">
        <v>743</v>
      </c>
      <c r="C506" s="21" t="s">
        <v>2613</v>
      </c>
      <c r="D506" s="21" t="s">
        <v>2761</v>
      </c>
      <c r="E506" s="1" t="s">
        <v>1689</v>
      </c>
      <c r="F506" s="21" t="s">
        <v>4</v>
      </c>
      <c r="G506" s="14">
        <v>1</v>
      </c>
      <c r="H506" s="14">
        <v>0</v>
      </c>
      <c r="I506" s="22">
        <v>117</v>
      </c>
      <c r="J506" s="23">
        <f>VLOOKUP(I506,episodes!$A$1:$B$76,2,FALSE)</f>
        <v>18</v>
      </c>
      <c r="K506" s="16" t="str">
        <f>VLOOKUP(I506,episodes!$A$1:$E$81,5,FALSE)</f>
        <v>The Squire of Gothos</v>
      </c>
      <c r="L506" s="16">
        <f>VLOOKUP(I506,episodes!$A$1:$D$81,3,FALSE)</f>
        <v>1</v>
      </c>
      <c r="M506" s="16">
        <f>VLOOKUP(I506,episodes!$A$1:$D$81,4,FALSE)</f>
        <v>17</v>
      </c>
      <c r="O506" s="14">
        <v>0</v>
      </c>
      <c r="P506" s="24">
        <f>LEN(E506)+LEN(K506)</f>
        <v>101</v>
      </c>
      <c r="Q506" s="24">
        <f>COUNTIFS(B:B,B505)</f>
        <v>5</v>
      </c>
      <c r="R506" s="24">
        <f>COUNTIFS(D:D,D506)</f>
        <v>3</v>
      </c>
    </row>
    <row r="507" spans="1:18" x14ac:dyDescent="0.3">
      <c r="A507" s="14">
        <v>833</v>
      </c>
      <c r="B507" s="21" t="s">
        <v>743</v>
      </c>
      <c r="C507" s="21" t="s">
        <v>2613</v>
      </c>
      <c r="D507" s="21" t="s">
        <v>2761</v>
      </c>
      <c r="E507" s="1" t="s">
        <v>1649</v>
      </c>
      <c r="F507" s="21" t="s">
        <v>4</v>
      </c>
      <c r="G507" s="14">
        <v>1</v>
      </c>
      <c r="H507" s="14">
        <v>0</v>
      </c>
      <c r="I507" s="22">
        <v>124</v>
      </c>
      <c r="J507" s="23">
        <f>VLOOKUP(I507,episodes!$A$1:$B$76,2,FALSE)</f>
        <v>25</v>
      </c>
      <c r="K507" s="16" t="str">
        <f>VLOOKUP(I507,episodes!$A$1:$E$81,5,FALSE)</f>
        <v>This Side of Paradise</v>
      </c>
      <c r="L507" s="16">
        <f>VLOOKUP(I507,episodes!$A$1:$D$81,3,FALSE)</f>
        <v>1</v>
      </c>
      <c r="M507" s="16">
        <f>VLOOKUP(I507,episodes!$A$1:$D$81,4,FALSE)</f>
        <v>24</v>
      </c>
      <c r="O507" s="14">
        <v>0</v>
      </c>
      <c r="P507" s="24">
        <f>LEN(E507)+LEN(K507)</f>
        <v>181</v>
      </c>
      <c r="Q507" s="24">
        <f>COUNTIFS(B:B,B506)</f>
        <v>3</v>
      </c>
      <c r="R507" s="24">
        <f>COUNTIFS(D:D,#REF!)</f>
        <v>0</v>
      </c>
    </row>
    <row r="508" spans="1:18" x14ac:dyDescent="0.3">
      <c r="A508" s="14">
        <v>385</v>
      </c>
      <c r="B508" s="21" t="s">
        <v>1663</v>
      </c>
      <c r="C508" s="1" t="s">
        <v>1</v>
      </c>
      <c r="D508" s="1" t="s">
        <v>2729</v>
      </c>
      <c r="E508" s="1" t="s">
        <v>752</v>
      </c>
      <c r="F508" s="21" t="s">
        <v>2224</v>
      </c>
      <c r="G508" s="14">
        <v>0</v>
      </c>
      <c r="H508" s="14">
        <v>0</v>
      </c>
      <c r="I508" s="22">
        <v>121</v>
      </c>
      <c r="J508" s="23">
        <f>VLOOKUP(I508,episodes!$A$1:$B$76,2,FALSE)</f>
        <v>22</v>
      </c>
      <c r="K508" s="16" t="str">
        <f>VLOOKUP(I508,episodes!$A$1:$E$81,5,FALSE)</f>
        <v>The Return of the Archons</v>
      </c>
      <c r="L508" s="16">
        <f>VLOOKUP(I508,episodes!$A$1:$D$81,3,FALSE)</f>
        <v>1</v>
      </c>
      <c r="M508" s="16">
        <f>VLOOKUP(I508,episodes!$A$1:$D$81,4,FALSE)</f>
        <v>21</v>
      </c>
      <c r="O508" s="14">
        <v>0</v>
      </c>
      <c r="P508" s="24">
        <f>LEN(E508)+LEN(K508)</f>
        <v>118</v>
      </c>
      <c r="Q508" s="24">
        <f>COUNTIFS(B:B,B507)</f>
        <v>3</v>
      </c>
      <c r="R508" s="24">
        <f>COUNTIFS(D:D,D508)</f>
        <v>1</v>
      </c>
    </row>
    <row r="509" spans="1:18" x14ac:dyDescent="0.3">
      <c r="A509" s="14">
        <v>1849</v>
      </c>
      <c r="B509" s="21" t="s">
        <v>749</v>
      </c>
      <c r="C509" s="21" t="s">
        <v>1</v>
      </c>
      <c r="D509" s="21" t="s">
        <v>2762</v>
      </c>
      <c r="E509" s="1" t="s">
        <v>1036</v>
      </c>
      <c r="F509" s="21" t="s">
        <v>2231</v>
      </c>
      <c r="G509" s="14">
        <v>0</v>
      </c>
      <c r="H509" s="14">
        <v>0</v>
      </c>
      <c r="I509" s="25">
        <v>100</v>
      </c>
      <c r="J509" s="23">
        <f>VLOOKUP(I509,episodes!$A$1:$B$76,2,FALSE)</f>
        <v>1</v>
      </c>
      <c r="K509" s="16" t="str">
        <f>VLOOKUP(I509,episodes!$A$1:$E$81,5,FALSE)</f>
        <v>The Cage</v>
      </c>
      <c r="L509" s="16">
        <f>VLOOKUP(I509,episodes!$A$1:$D$81,3,FALSE)</f>
        <v>1</v>
      </c>
      <c r="M509" s="16">
        <f>VLOOKUP(I509,episodes!$A$1:$D$81,4,FALSE)</f>
        <v>0</v>
      </c>
      <c r="O509" s="14">
        <v>0</v>
      </c>
      <c r="P509" s="24">
        <f>LEN(E509)+LEN(K509)</f>
        <v>76</v>
      </c>
      <c r="Q509" s="24">
        <f>COUNTIFS(B:B,#REF!)</f>
        <v>0</v>
      </c>
      <c r="R509" s="24">
        <f>COUNTIFS(D:D,D509)</f>
        <v>1</v>
      </c>
    </row>
    <row r="510" spans="1:18" x14ac:dyDescent="0.3">
      <c r="A510" s="14">
        <v>1115</v>
      </c>
      <c r="B510" s="21" t="s">
        <v>755</v>
      </c>
      <c r="C510" s="21" t="s">
        <v>1</v>
      </c>
      <c r="D510" s="1" t="s">
        <v>2898</v>
      </c>
      <c r="E510" s="1" t="s">
        <v>1487</v>
      </c>
      <c r="F510" s="21" t="s">
        <v>4</v>
      </c>
      <c r="G510" s="14">
        <v>1</v>
      </c>
      <c r="H510" s="14">
        <v>0</v>
      </c>
      <c r="I510" s="25">
        <v>103</v>
      </c>
      <c r="J510" s="23">
        <f>VLOOKUP(I510,episodes!$A$1:$B$76,2,FALSE)</f>
        <v>4</v>
      </c>
      <c r="K510" s="16" t="str">
        <f>VLOOKUP(I510,episodes!$A$1:$E$81,5,FALSE)</f>
        <v>Where No Man Has Gone Before</v>
      </c>
      <c r="L510" s="16">
        <f>VLOOKUP(I510,episodes!$A$1:$D$81,3,FALSE)</f>
        <v>1</v>
      </c>
      <c r="M510" s="16">
        <f>VLOOKUP(I510,episodes!$A$1:$D$81,4,FALSE)</f>
        <v>3</v>
      </c>
      <c r="O510" s="14">
        <v>0</v>
      </c>
      <c r="P510" s="24">
        <f>LEN(E510)+LEN(K510)</f>
        <v>124</v>
      </c>
      <c r="Q510" s="24">
        <f>COUNTIFS(B:B,#REF!)</f>
        <v>0</v>
      </c>
      <c r="R510" s="24">
        <f>COUNTIFS(D:D,D510)</f>
        <v>1</v>
      </c>
    </row>
    <row r="511" spans="1:18" x14ac:dyDescent="0.3">
      <c r="A511" s="14">
        <v>800</v>
      </c>
      <c r="B511" s="21" t="s">
        <v>1661</v>
      </c>
      <c r="C511" s="1" t="s">
        <v>1</v>
      </c>
      <c r="D511" s="1" t="s">
        <v>2730</v>
      </c>
      <c r="E511" s="1" t="s">
        <v>2138</v>
      </c>
      <c r="F511" s="21" t="s">
        <v>4</v>
      </c>
      <c r="G511" s="14">
        <v>1</v>
      </c>
      <c r="H511" s="14">
        <v>0</v>
      </c>
      <c r="I511" s="22">
        <v>122</v>
      </c>
      <c r="J511" s="23">
        <f>VLOOKUP(I511,episodes!$A$1:$B$76,2,FALSE)</f>
        <v>23</v>
      </c>
      <c r="K511" s="16" t="str">
        <f>VLOOKUP(I511,episodes!$A$1:$E$81,5,FALSE)</f>
        <v>Space Seed</v>
      </c>
      <c r="L511" s="16">
        <f>VLOOKUP(I511,episodes!$A$1:$D$81,3,FALSE)</f>
        <v>1</v>
      </c>
      <c r="M511" s="16">
        <f>VLOOKUP(I511,episodes!$A$1:$D$81,4,FALSE)</f>
        <v>22</v>
      </c>
      <c r="O511" s="14">
        <v>0</v>
      </c>
      <c r="P511" s="24">
        <f>LEN(E511)+LEN(K511)</f>
        <v>99</v>
      </c>
      <c r="Q511" s="24">
        <f>COUNTIFS(B:B,B510)</f>
        <v>1</v>
      </c>
      <c r="R511" s="24">
        <f>COUNTIFS(D:D,D511)</f>
        <v>2</v>
      </c>
    </row>
    <row r="512" spans="1:18" x14ac:dyDescent="0.3">
      <c r="A512" s="14">
        <v>757</v>
      </c>
      <c r="B512" s="21" t="s">
        <v>1661</v>
      </c>
      <c r="C512" s="1" t="s">
        <v>1</v>
      </c>
      <c r="D512" s="1" t="s">
        <v>2730</v>
      </c>
      <c r="E512" s="1" t="s">
        <v>1660</v>
      </c>
      <c r="F512" s="21" t="s">
        <v>4</v>
      </c>
      <c r="G512" s="14">
        <v>1</v>
      </c>
      <c r="H512" s="14">
        <v>0</v>
      </c>
      <c r="I512" s="22">
        <v>118</v>
      </c>
      <c r="J512" s="23">
        <f>VLOOKUP(I512,episodes!$A$1:$B$76,2,FALSE)</f>
        <v>19</v>
      </c>
      <c r="K512" s="16" t="str">
        <f>VLOOKUP(I512,episodes!$A$1:$E$81,5,FALSE)</f>
        <v>Arena</v>
      </c>
      <c r="L512" s="16">
        <f>VLOOKUP(I512,episodes!$A$1:$D$81,3,FALSE)</f>
        <v>1</v>
      </c>
      <c r="M512" s="16">
        <f>VLOOKUP(I512,episodes!$A$1:$D$81,4,FALSE)</f>
        <v>18</v>
      </c>
      <c r="O512" s="14">
        <v>0</v>
      </c>
      <c r="P512" s="24">
        <f>LEN(E512)+LEN(K512)</f>
        <v>61</v>
      </c>
      <c r="Q512" s="24">
        <f>COUNTIFS(B:B,B511)</f>
        <v>2</v>
      </c>
      <c r="R512" s="24">
        <f>COUNTIFS(D:D,D512)</f>
        <v>2</v>
      </c>
    </row>
    <row r="513" spans="1:18" x14ac:dyDescent="0.3">
      <c r="A513" s="14">
        <v>2455</v>
      </c>
      <c r="B513" s="21" t="s">
        <v>1666</v>
      </c>
      <c r="C513" s="1" t="s">
        <v>1</v>
      </c>
      <c r="D513" s="21" t="s">
        <v>2731</v>
      </c>
      <c r="E513" s="1" t="s">
        <v>2159</v>
      </c>
      <c r="F513" s="21" t="s">
        <v>1861</v>
      </c>
      <c r="G513" s="14">
        <v>0</v>
      </c>
      <c r="H513" s="14">
        <v>1</v>
      </c>
      <c r="I513" s="25">
        <v>204</v>
      </c>
      <c r="J513" s="23">
        <f>VLOOKUP(I513,episodes!$A$1:$B$81,2,FALSE)</f>
        <v>34</v>
      </c>
      <c r="K513" s="16" t="str">
        <f>VLOOKUP(I513,episodes!$A$1:$E$81,5,FALSE)</f>
        <v>Mirror, Mirror</v>
      </c>
      <c r="L513" s="16">
        <f>VLOOKUP(I513,episodes!$A$1:$D$81,3,FALSE)</f>
        <v>2</v>
      </c>
      <c r="M513" s="16">
        <f>VLOOKUP(I513,episodes!$A$1:$D$81,4,FALSE)</f>
        <v>4</v>
      </c>
      <c r="O513" s="14">
        <v>0</v>
      </c>
      <c r="P513" s="24">
        <f>LEN(E513)+LEN(K513)</f>
        <v>108</v>
      </c>
      <c r="Q513" s="24">
        <f>COUNTIFS(B:B,B512)</f>
        <v>2</v>
      </c>
      <c r="R513" s="24">
        <f>COUNTIFS(D:D,D513)</f>
        <v>1</v>
      </c>
    </row>
    <row r="514" spans="1:18" x14ac:dyDescent="0.3">
      <c r="A514" s="14">
        <v>336</v>
      </c>
      <c r="B514" s="21" t="s">
        <v>2359</v>
      </c>
      <c r="C514" s="1" t="s">
        <v>1</v>
      </c>
      <c r="D514" s="21" t="s">
        <v>2899</v>
      </c>
      <c r="E514" s="1" t="s">
        <v>2416</v>
      </c>
      <c r="F514" s="21" t="s">
        <v>2224</v>
      </c>
      <c r="G514" s="14">
        <v>0</v>
      </c>
      <c r="H514" s="14">
        <v>0</v>
      </c>
      <c r="I514" s="22">
        <v>127</v>
      </c>
      <c r="J514" s="23">
        <f>VLOOKUP(I514,episodes!$A$1:$B$76,2,FALSE)</f>
        <v>28</v>
      </c>
      <c r="K514" s="16" t="str">
        <f>VLOOKUP(I514,episodes!$A$1:$E$81,5,FALSE)</f>
        <v>The Alternative Factor</v>
      </c>
      <c r="L514" s="16">
        <f>VLOOKUP(I514,episodes!$A$1:$D$81,3,FALSE)</f>
        <v>1</v>
      </c>
      <c r="M514" s="16">
        <f>VLOOKUP(I514,episodes!$A$1:$D$81,4,FALSE)</f>
        <v>27</v>
      </c>
      <c r="O514" s="14">
        <v>0</v>
      </c>
      <c r="P514" s="24">
        <f>LEN(E514)+LEN(K514)</f>
        <v>63</v>
      </c>
      <c r="Q514" s="24">
        <f>COUNTIFS(B:B,B513)</f>
        <v>1</v>
      </c>
      <c r="R514" s="24">
        <f>COUNTIFS(D:D,D514)</f>
        <v>10</v>
      </c>
    </row>
    <row r="515" spans="1:18" x14ac:dyDescent="0.3">
      <c r="A515" s="14">
        <v>337</v>
      </c>
      <c r="B515" s="21" t="s">
        <v>2359</v>
      </c>
      <c r="C515" s="21" t="s">
        <v>1</v>
      </c>
      <c r="D515" s="21" t="s">
        <v>2899</v>
      </c>
      <c r="E515" s="1" t="s">
        <v>2417</v>
      </c>
      <c r="F515" s="21" t="s">
        <v>2224</v>
      </c>
      <c r="G515" s="14">
        <v>0</v>
      </c>
      <c r="H515" s="14">
        <v>0</v>
      </c>
      <c r="I515" s="22">
        <v>127</v>
      </c>
      <c r="J515" s="23">
        <f>VLOOKUP(I515,episodes!$A$1:$B$76,2,FALSE)</f>
        <v>28</v>
      </c>
      <c r="K515" s="16" t="str">
        <f>VLOOKUP(I515,episodes!$A$1:$E$81,5,FALSE)</f>
        <v>The Alternative Factor</v>
      </c>
      <c r="L515" s="16">
        <f>VLOOKUP(I515,episodes!$A$1:$D$81,3,FALSE)</f>
        <v>1</v>
      </c>
      <c r="M515" s="16">
        <f>VLOOKUP(I515,episodes!$A$1:$D$81,4,FALSE)</f>
        <v>27</v>
      </c>
      <c r="O515" s="14">
        <v>0</v>
      </c>
      <c r="P515" s="24">
        <f>LEN(E515)+LEN(K515)</f>
        <v>63</v>
      </c>
      <c r="Q515" s="24">
        <f>COUNTIFS(B:B,B514)</f>
        <v>6</v>
      </c>
      <c r="R515" s="24">
        <f>COUNTIFS(D:D,D515)</f>
        <v>10</v>
      </c>
    </row>
    <row r="516" spans="1:18" x14ac:dyDescent="0.3">
      <c r="A516" s="14">
        <v>338</v>
      </c>
      <c r="B516" s="21" t="s">
        <v>2359</v>
      </c>
      <c r="C516" s="21" t="s">
        <v>1</v>
      </c>
      <c r="D516" s="21" t="s">
        <v>2899</v>
      </c>
      <c r="E516" s="1" t="s">
        <v>2418</v>
      </c>
      <c r="F516" s="21" t="s">
        <v>2224</v>
      </c>
      <c r="G516" s="14">
        <v>0</v>
      </c>
      <c r="H516" s="14">
        <v>0</v>
      </c>
      <c r="I516" s="22">
        <v>127</v>
      </c>
      <c r="J516" s="23">
        <f>VLOOKUP(I516,episodes!$A$1:$B$76,2,FALSE)</f>
        <v>28</v>
      </c>
      <c r="K516" s="16" t="str">
        <f>VLOOKUP(I516,episodes!$A$1:$E$81,5,FALSE)</f>
        <v>The Alternative Factor</v>
      </c>
      <c r="L516" s="16">
        <f>VLOOKUP(I516,episodes!$A$1:$D$81,3,FALSE)</f>
        <v>1</v>
      </c>
      <c r="M516" s="16">
        <f>VLOOKUP(I516,episodes!$A$1:$D$81,4,FALSE)</f>
        <v>27</v>
      </c>
      <c r="O516" s="14">
        <v>0</v>
      </c>
      <c r="P516" s="24">
        <f>LEN(E516)+LEN(K516)</f>
        <v>63</v>
      </c>
      <c r="Q516" s="24">
        <f>COUNTIFS(B:B,B515)</f>
        <v>6</v>
      </c>
      <c r="R516" s="24">
        <f>COUNTIFS(D:D,D516)</f>
        <v>10</v>
      </c>
    </row>
    <row r="517" spans="1:18" x14ac:dyDescent="0.3">
      <c r="A517" s="14">
        <v>339</v>
      </c>
      <c r="B517" s="21" t="s">
        <v>2359</v>
      </c>
      <c r="C517" s="21" t="s">
        <v>1</v>
      </c>
      <c r="D517" s="21" t="s">
        <v>2899</v>
      </c>
      <c r="E517" s="1" t="s">
        <v>2419</v>
      </c>
      <c r="F517" s="21" t="s">
        <v>2224</v>
      </c>
      <c r="G517" s="14">
        <v>0</v>
      </c>
      <c r="H517" s="14">
        <v>0</v>
      </c>
      <c r="I517" s="22">
        <v>127</v>
      </c>
      <c r="J517" s="23">
        <f>VLOOKUP(I517,episodes!$A$1:$B$76,2,FALSE)</f>
        <v>28</v>
      </c>
      <c r="K517" s="16" t="str">
        <f>VLOOKUP(I517,episodes!$A$1:$E$81,5,FALSE)</f>
        <v>The Alternative Factor</v>
      </c>
      <c r="L517" s="16">
        <f>VLOOKUP(I517,episodes!$A$1:$D$81,3,FALSE)</f>
        <v>1</v>
      </c>
      <c r="M517" s="16">
        <f>VLOOKUP(I517,episodes!$A$1:$D$81,4,FALSE)</f>
        <v>27</v>
      </c>
      <c r="O517" s="14">
        <v>0</v>
      </c>
      <c r="P517" s="24">
        <f>LEN(E517)+LEN(K517)</f>
        <v>63</v>
      </c>
      <c r="Q517" s="24">
        <f>COUNTIFS(B:B,B516)</f>
        <v>6</v>
      </c>
      <c r="R517" s="24">
        <f>COUNTIFS(D:D,D517)</f>
        <v>10</v>
      </c>
    </row>
    <row r="518" spans="1:18" x14ac:dyDescent="0.3">
      <c r="A518" s="14">
        <v>340</v>
      </c>
      <c r="B518" s="21" t="s">
        <v>2359</v>
      </c>
      <c r="C518" s="21" t="s">
        <v>1</v>
      </c>
      <c r="D518" s="21" t="s">
        <v>2899</v>
      </c>
      <c r="E518" s="1" t="s">
        <v>1353</v>
      </c>
      <c r="F518" s="21" t="s">
        <v>2224</v>
      </c>
      <c r="G518" s="14">
        <v>0</v>
      </c>
      <c r="H518" s="14">
        <v>0</v>
      </c>
      <c r="I518" s="22">
        <v>127</v>
      </c>
      <c r="J518" s="23">
        <f>VLOOKUP(I518,episodes!$A$1:$B$76,2,FALSE)</f>
        <v>28</v>
      </c>
      <c r="K518" s="16" t="str">
        <f>VLOOKUP(I518,episodes!$A$1:$E$81,5,FALSE)</f>
        <v>The Alternative Factor</v>
      </c>
      <c r="L518" s="16">
        <f>VLOOKUP(I518,episodes!$A$1:$D$81,3,FALSE)</f>
        <v>1</v>
      </c>
      <c r="M518" s="16">
        <f>VLOOKUP(I518,episodes!$A$1:$D$81,4,FALSE)</f>
        <v>27</v>
      </c>
      <c r="O518" s="14">
        <v>0</v>
      </c>
      <c r="P518" s="24">
        <f>LEN(E518)+LEN(K518)</f>
        <v>74</v>
      </c>
      <c r="Q518" s="24">
        <f>COUNTIFS(B:B,B517)</f>
        <v>6</v>
      </c>
      <c r="R518" s="24">
        <f>COUNTIFS(D:D,D518)</f>
        <v>10</v>
      </c>
    </row>
    <row r="519" spans="1:18" x14ac:dyDescent="0.3">
      <c r="A519" s="14">
        <v>1021</v>
      </c>
      <c r="B519" s="21" t="s">
        <v>2359</v>
      </c>
      <c r="C519" s="1" t="s">
        <v>1</v>
      </c>
      <c r="D519" s="21" t="s">
        <v>2899</v>
      </c>
      <c r="E519" s="1" t="s">
        <v>2867</v>
      </c>
      <c r="F519" s="21" t="s">
        <v>4</v>
      </c>
      <c r="G519" s="14">
        <v>1</v>
      </c>
      <c r="H519" s="14">
        <v>0</v>
      </c>
      <c r="I519" s="25">
        <v>105</v>
      </c>
      <c r="J519" s="23">
        <f>VLOOKUP(I519,episodes!$A$1:$B$76,2,FALSE)</f>
        <v>6</v>
      </c>
      <c r="K519" s="16" t="str">
        <f>VLOOKUP(I519,episodes!$A$1:$E$81,5,FALSE)</f>
        <v>The Enemy Within</v>
      </c>
      <c r="L519" s="16">
        <f>VLOOKUP(I519,episodes!$A$1:$D$81,3,FALSE)</f>
        <v>1</v>
      </c>
      <c r="M519" s="16">
        <f>VLOOKUP(I519,episodes!$A$1:$D$81,4,FALSE)</f>
        <v>5</v>
      </c>
      <c r="O519" s="14">
        <v>0</v>
      </c>
      <c r="P519" s="24">
        <f>LEN(E519)+LEN(K519)</f>
        <v>52</v>
      </c>
      <c r="Q519" s="24">
        <f>COUNTIFS(B:B,B518)</f>
        <v>6</v>
      </c>
      <c r="R519" s="24">
        <f>COUNTIFS(D:D,D519)</f>
        <v>10</v>
      </c>
    </row>
    <row r="520" spans="1:18" x14ac:dyDescent="0.3">
      <c r="A520" s="14">
        <v>1343</v>
      </c>
      <c r="B520" s="21" t="s">
        <v>1664</v>
      </c>
      <c r="C520" s="21" t="s">
        <v>1</v>
      </c>
      <c r="D520" s="21" t="s">
        <v>2899</v>
      </c>
      <c r="E520" s="1" t="s">
        <v>1405</v>
      </c>
      <c r="F520" s="21" t="s">
        <v>1861</v>
      </c>
      <c r="G520" s="14">
        <v>0</v>
      </c>
      <c r="H520" s="14">
        <v>1</v>
      </c>
      <c r="I520" s="25">
        <v>204</v>
      </c>
      <c r="J520" s="23">
        <f>VLOOKUP(I520,episodes!$A$1:$B$81,2,FALSE)</f>
        <v>34</v>
      </c>
      <c r="K520" s="16" t="str">
        <f>VLOOKUP(I520,episodes!$A$1:$E$81,5,FALSE)</f>
        <v>Mirror, Mirror</v>
      </c>
      <c r="L520" s="16">
        <f>VLOOKUP(I520,episodes!$A$1:$D$81,3,FALSE)</f>
        <v>2</v>
      </c>
      <c r="M520" s="16">
        <f>VLOOKUP(I520,episodes!$A$1:$D$81,4,FALSE)</f>
        <v>4</v>
      </c>
      <c r="O520" s="14">
        <v>0</v>
      </c>
      <c r="P520" s="24">
        <f>LEN(E520)+LEN(K520)</f>
        <v>82</v>
      </c>
      <c r="Q520" s="24"/>
      <c r="R520" s="24"/>
    </row>
    <row r="521" spans="1:18" x14ac:dyDescent="0.3">
      <c r="A521" s="14">
        <v>1077</v>
      </c>
      <c r="B521" s="21" t="s">
        <v>1664</v>
      </c>
      <c r="C521" s="21" t="s">
        <v>1</v>
      </c>
      <c r="D521" s="21" t="s">
        <v>2899</v>
      </c>
      <c r="E521" s="1" t="s">
        <v>761</v>
      </c>
      <c r="F521" s="21" t="s">
        <v>4</v>
      </c>
      <c r="G521" s="14">
        <v>1</v>
      </c>
      <c r="H521" s="14">
        <v>0</v>
      </c>
      <c r="I521" s="25">
        <v>204</v>
      </c>
      <c r="J521" s="23">
        <f>VLOOKUP(I521,episodes!$A$1:$B$81,2,FALSE)</f>
        <v>34</v>
      </c>
      <c r="K521" s="16" t="str">
        <f>VLOOKUP(I521,episodes!$A$1:$E$81,5,FALSE)</f>
        <v>Mirror, Mirror</v>
      </c>
      <c r="L521" s="16">
        <f>VLOOKUP(I521,episodes!$A$1:$D$81,3,FALSE)</f>
        <v>2</v>
      </c>
      <c r="M521" s="16">
        <f>VLOOKUP(I521,episodes!$A$1:$D$81,4,FALSE)</f>
        <v>4</v>
      </c>
      <c r="O521" s="14">
        <v>0</v>
      </c>
      <c r="P521" s="24">
        <f>LEN(E521)+LEN(K521)</f>
        <v>76</v>
      </c>
      <c r="Q521" s="24"/>
      <c r="R521" s="24"/>
    </row>
    <row r="522" spans="1:18" x14ac:dyDescent="0.3">
      <c r="A522" s="14">
        <v>139</v>
      </c>
      <c r="B522" s="21" t="s">
        <v>749</v>
      </c>
      <c r="C522" s="21" t="s">
        <v>1</v>
      </c>
      <c r="D522" s="21" t="s">
        <v>2899</v>
      </c>
      <c r="E522" s="1" t="s">
        <v>2178</v>
      </c>
      <c r="F522" s="21" t="s">
        <v>7</v>
      </c>
      <c r="G522" s="14">
        <v>0</v>
      </c>
      <c r="H522" s="14">
        <v>2</v>
      </c>
      <c r="I522" s="25">
        <v>204</v>
      </c>
      <c r="J522" s="23">
        <f>VLOOKUP(I522,episodes!$A$1:$B$81,2,FALSE)</f>
        <v>34</v>
      </c>
      <c r="K522" s="16" t="str">
        <f>VLOOKUP(I522,episodes!$A$1:$E$81,5,FALSE)</f>
        <v>Mirror, Mirror</v>
      </c>
      <c r="L522" s="16">
        <f>VLOOKUP(I522,episodes!$A$1:$D$81,3,FALSE)</f>
        <v>2</v>
      </c>
      <c r="M522" s="16">
        <f>VLOOKUP(I522,episodes!$A$1:$D$81,4,FALSE)</f>
        <v>4</v>
      </c>
      <c r="O522" s="14">
        <v>0</v>
      </c>
      <c r="P522" s="24">
        <f>LEN(E522)+LEN(K522)</f>
        <v>108</v>
      </c>
      <c r="Q522" s="24">
        <f>COUNTIFS(B:B,B521)</f>
        <v>3</v>
      </c>
      <c r="R522" s="24">
        <f>COUNTIFS(D:D,D522)</f>
        <v>10</v>
      </c>
    </row>
    <row r="523" spans="1:18" x14ac:dyDescent="0.3">
      <c r="A523" s="14">
        <v>1342</v>
      </c>
      <c r="B523" s="21" t="s">
        <v>1664</v>
      </c>
      <c r="C523" s="21" t="s">
        <v>1</v>
      </c>
      <c r="D523" s="21" t="s">
        <v>2899</v>
      </c>
      <c r="E523" s="1" t="s">
        <v>2420</v>
      </c>
      <c r="F523" s="21" t="s">
        <v>4</v>
      </c>
      <c r="G523" s="14">
        <v>1</v>
      </c>
      <c r="H523" s="14">
        <v>0</v>
      </c>
      <c r="I523" s="25">
        <v>204</v>
      </c>
      <c r="J523" s="23">
        <f>VLOOKUP(I523,episodes!$A$1:$B$81,2,FALSE)</f>
        <v>34</v>
      </c>
      <c r="K523" s="16" t="str">
        <f>VLOOKUP(I523,episodes!$A$1:$E$81,5,FALSE)</f>
        <v>Mirror, Mirror</v>
      </c>
      <c r="L523" s="16">
        <f>VLOOKUP(I523,episodes!$A$1:$D$81,3,FALSE)</f>
        <v>2</v>
      </c>
      <c r="M523" s="16">
        <f>VLOOKUP(I523,episodes!$A$1:$D$81,4,FALSE)</f>
        <v>4</v>
      </c>
      <c r="O523" s="14">
        <v>0</v>
      </c>
      <c r="P523" s="24">
        <f>LEN(E523)+LEN(K523)</f>
        <v>84</v>
      </c>
      <c r="Q523" s="24">
        <f>COUNTIFS(B:B,B522)</f>
        <v>38</v>
      </c>
      <c r="R523" s="24">
        <f>COUNTIFS(D:D,D523)</f>
        <v>10</v>
      </c>
    </row>
    <row r="524" spans="1:18" x14ac:dyDescent="0.3">
      <c r="A524" s="14">
        <v>199</v>
      </c>
      <c r="B524" s="21" t="s">
        <v>749</v>
      </c>
      <c r="C524" s="21" t="s">
        <v>1</v>
      </c>
      <c r="D524" s="1" t="s">
        <v>2704</v>
      </c>
      <c r="E524" s="1" t="s">
        <v>1098</v>
      </c>
      <c r="F524" s="21" t="s">
        <v>1873</v>
      </c>
      <c r="G524" s="14">
        <v>0</v>
      </c>
      <c r="H524" s="14">
        <v>0</v>
      </c>
      <c r="I524" s="25">
        <v>105</v>
      </c>
      <c r="J524" s="23">
        <f>VLOOKUP(I524,episodes!$A$1:$B$76,2,FALSE)</f>
        <v>6</v>
      </c>
      <c r="K524" s="16" t="str">
        <f>VLOOKUP(I524,episodes!$A$1:$E$81,5,FALSE)</f>
        <v>The Enemy Within</v>
      </c>
      <c r="L524" s="16">
        <f>VLOOKUP(I524,episodes!$A$1:$D$81,3,FALSE)</f>
        <v>1</v>
      </c>
      <c r="M524" s="16">
        <f>VLOOKUP(I524,episodes!$A$1:$D$81,4,FALSE)</f>
        <v>5</v>
      </c>
      <c r="O524" s="14">
        <v>0</v>
      </c>
      <c r="P524" s="24">
        <f>LEN(E524)+LEN(K524)</f>
        <v>74</v>
      </c>
      <c r="Q524" s="24">
        <f>COUNTIFS(B:B,#REF!)</f>
        <v>0</v>
      </c>
      <c r="R524" s="24">
        <f>COUNTIFS(D:D,C524)</f>
        <v>1</v>
      </c>
    </row>
    <row r="525" spans="1:18" x14ac:dyDescent="0.3">
      <c r="A525" s="14">
        <v>201</v>
      </c>
      <c r="B525" s="21" t="s">
        <v>749</v>
      </c>
      <c r="C525" s="21" t="s">
        <v>1</v>
      </c>
      <c r="D525" s="1" t="s">
        <v>2704</v>
      </c>
      <c r="E525" s="1" t="s">
        <v>1549</v>
      </c>
      <c r="F525" s="21" t="s">
        <v>1873</v>
      </c>
      <c r="G525" s="14">
        <v>0</v>
      </c>
      <c r="H525" s="14">
        <v>0</v>
      </c>
      <c r="I525" s="25">
        <v>105</v>
      </c>
      <c r="J525" s="23">
        <f>VLOOKUP(I525,episodes!$A$1:$B$76,2,FALSE)</f>
        <v>6</v>
      </c>
      <c r="K525" s="16" t="str">
        <f>VLOOKUP(I525,episodes!$A$1:$E$81,5,FALSE)</f>
        <v>The Enemy Within</v>
      </c>
      <c r="L525" s="16">
        <f>VLOOKUP(I525,episodes!$A$1:$D$81,3,FALSE)</f>
        <v>1</v>
      </c>
      <c r="M525" s="16">
        <f>VLOOKUP(I525,episodes!$A$1:$D$81,4,FALSE)</f>
        <v>5</v>
      </c>
      <c r="O525" s="14">
        <v>0</v>
      </c>
      <c r="P525" s="24">
        <f>LEN(E525)+LEN(K525)</f>
        <v>65</v>
      </c>
      <c r="Q525" s="24">
        <f>COUNTIFS(B:B,#REF!)</f>
        <v>0</v>
      </c>
      <c r="R525" s="24">
        <f>COUNTIFS(D:D,C525)</f>
        <v>1</v>
      </c>
    </row>
    <row r="526" spans="1:18" x14ac:dyDescent="0.3">
      <c r="A526" s="14">
        <v>1669</v>
      </c>
      <c r="B526" s="21" t="s">
        <v>751</v>
      </c>
      <c r="C526" s="1" t="s">
        <v>1</v>
      </c>
      <c r="D526" s="1" t="s">
        <v>1</v>
      </c>
      <c r="E526" s="1" t="s">
        <v>753</v>
      </c>
      <c r="F526" s="21" t="s">
        <v>8</v>
      </c>
      <c r="G526" s="14">
        <v>0</v>
      </c>
      <c r="H526" s="14">
        <v>1</v>
      </c>
      <c r="I526" s="22">
        <v>211</v>
      </c>
      <c r="J526" s="23">
        <f>VLOOKUP(I526,episodes!$A$1:$B$76,2,FALSE)</f>
        <v>41</v>
      </c>
      <c r="K526" s="16" t="str">
        <f>VLOOKUP(I526,episodes!$A$1:$E$81,5,FALSE)</f>
        <v>Friday's Child</v>
      </c>
      <c r="L526" s="16">
        <f>VLOOKUP(I526,episodes!$A$1:$D$81,3,FALSE)</f>
        <v>2</v>
      </c>
      <c r="M526" s="16">
        <f>VLOOKUP(I526,episodes!$A$1:$D$81,4,FALSE)</f>
        <v>11</v>
      </c>
      <c r="O526" s="14">
        <v>0</v>
      </c>
      <c r="P526" s="24">
        <f>LEN(E526)+LEN(K526)</f>
        <v>112</v>
      </c>
      <c r="Q526" s="24">
        <f>COUNTIFS(B:B,B518)</f>
        <v>6</v>
      </c>
      <c r="R526" s="24">
        <f>COUNTIFS(D:D,D526)</f>
        <v>1</v>
      </c>
    </row>
    <row r="527" spans="1:18" x14ac:dyDescent="0.3">
      <c r="A527" s="14">
        <v>21</v>
      </c>
      <c r="B527" s="21" t="s">
        <v>284</v>
      </c>
      <c r="C527" s="21" t="s">
        <v>1</v>
      </c>
      <c r="D527" s="1" t="s">
        <v>2763</v>
      </c>
      <c r="E527" s="1" t="s">
        <v>506</v>
      </c>
      <c r="F527" s="21" t="s">
        <v>2</v>
      </c>
      <c r="G527" s="14">
        <v>0</v>
      </c>
      <c r="H527" s="14">
        <v>0</v>
      </c>
      <c r="I527" s="22">
        <v>118</v>
      </c>
      <c r="J527" s="23">
        <f>VLOOKUP(I527,episodes!$A$1:$B$76,2,FALSE)</f>
        <v>19</v>
      </c>
      <c r="K527" s="16" t="str">
        <f>VLOOKUP(I527,episodes!$A$1:$E$81,5,FALSE)</f>
        <v>Arena</v>
      </c>
      <c r="L527" s="16">
        <f>VLOOKUP(I527,episodes!$A$1:$D$81,3,FALSE)</f>
        <v>1</v>
      </c>
      <c r="M527" s="16">
        <f>VLOOKUP(I527,episodes!$A$1:$D$81,4,FALSE)</f>
        <v>18</v>
      </c>
      <c r="O527" s="14">
        <v>0</v>
      </c>
      <c r="P527" s="24">
        <f>LEN(E527)+LEN(K527)</f>
        <v>67</v>
      </c>
      <c r="Q527" s="24">
        <f>COUNTIFS(B:B,B526)</f>
        <v>3</v>
      </c>
      <c r="R527" s="24">
        <f>COUNTIFS(D:D,D527)</f>
        <v>1</v>
      </c>
    </row>
    <row r="528" spans="1:18" x14ac:dyDescent="0.3">
      <c r="A528" s="14">
        <v>1117</v>
      </c>
      <c r="B528" s="21" t="s">
        <v>748</v>
      </c>
      <c r="C528" s="1" t="s">
        <v>1</v>
      </c>
      <c r="D528" s="1" t="s">
        <v>2697</v>
      </c>
      <c r="E528" s="1" t="s">
        <v>1477</v>
      </c>
      <c r="F528" s="21" t="s">
        <v>4</v>
      </c>
      <c r="G528" s="14">
        <v>1</v>
      </c>
      <c r="H528" s="14">
        <v>0</v>
      </c>
      <c r="I528" s="25">
        <v>103</v>
      </c>
      <c r="J528" s="23">
        <f>VLOOKUP(I528,episodes!$A$1:$B$76,2,FALSE)</f>
        <v>4</v>
      </c>
      <c r="K528" s="16" t="str">
        <f>VLOOKUP(I528,episodes!$A$1:$E$81,5,FALSE)</f>
        <v>Where No Man Has Gone Before</v>
      </c>
      <c r="L528" s="16">
        <f>VLOOKUP(I528,episodes!$A$1:$D$81,3,FALSE)</f>
        <v>1</v>
      </c>
      <c r="M528" s="16">
        <f>VLOOKUP(I528,episodes!$A$1:$D$81,4,FALSE)</f>
        <v>3</v>
      </c>
      <c r="O528" s="14">
        <v>0</v>
      </c>
      <c r="P528" s="24">
        <f>LEN(E528)+LEN(K528)</f>
        <v>92</v>
      </c>
      <c r="Q528" s="24">
        <f>COUNTIFS(B:B,B526)</f>
        <v>3</v>
      </c>
      <c r="R528" s="24">
        <f>COUNTIFS(D:D,D528)</f>
        <v>18</v>
      </c>
    </row>
    <row r="529" spans="1:18" x14ac:dyDescent="0.3">
      <c r="A529" s="14">
        <v>778</v>
      </c>
      <c r="B529" s="21" t="s">
        <v>748</v>
      </c>
      <c r="C529" s="21" t="s">
        <v>1</v>
      </c>
      <c r="D529" s="1" t="s">
        <v>2697</v>
      </c>
      <c r="E529" s="1" t="s">
        <v>402</v>
      </c>
      <c r="F529" s="21" t="s">
        <v>4</v>
      </c>
      <c r="G529" s="14">
        <v>1</v>
      </c>
      <c r="H529" s="14">
        <v>0</v>
      </c>
      <c r="I529" s="22">
        <v>120</v>
      </c>
      <c r="J529" s="23">
        <f>VLOOKUP(I529,episodes!$A$1:$B$76,2,FALSE)</f>
        <v>21</v>
      </c>
      <c r="K529" s="16" t="str">
        <f>VLOOKUP(I529,episodes!$A$1:$E$81,5,FALSE)</f>
        <v>Court Martial</v>
      </c>
      <c r="L529" s="16">
        <f>VLOOKUP(I529,episodes!$A$1:$D$81,3,FALSE)</f>
        <v>1</v>
      </c>
      <c r="M529" s="16">
        <f>VLOOKUP(I529,episodes!$A$1:$D$81,4,FALSE)</f>
        <v>20</v>
      </c>
      <c r="O529" s="14">
        <v>0</v>
      </c>
      <c r="P529" s="24">
        <f>LEN(E529)+LEN(K529)</f>
        <v>51</v>
      </c>
      <c r="Q529" s="24">
        <f>COUNTIFS(B:B,B528)</f>
        <v>18</v>
      </c>
      <c r="R529" s="24">
        <f>COUNTIFS(D:D,D529)</f>
        <v>18</v>
      </c>
    </row>
    <row r="530" spans="1:18" x14ac:dyDescent="0.3">
      <c r="A530" s="14">
        <v>1255</v>
      </c>
      <c r="B530" s="21" t="s">
        <v>748</v>
      </c>
      <c r="C530" s="21" t="s">
        <v>1</v>
      </c>
      <c r="D530" s="1" t="s">
        <v>2697</v>
      </c>
      <c r="E530" s="1" t="s">
        <v>2409</v>
      </c>
      <c r="F530" s="21" t="s">
        <v>4</v>
      </c>
      <c r="G530" s="14">
        <v>1</v>
      </c>
      <c r="H530" s="14">
        <v>0</v>
      </c>
      <c r="I530" s="25">
        <v>103</v>
      </c>
      <c r="J530" s="23">
        <f>VLOOKUP(I530,episodes!$A$1:$B$76,2,FALSE)</f>
        <v>4</v>
      </c>
      <c r="K530" s="16" t="str">
        <f>VLOOKUP(I530,episodes!$A$1:$E$81,5,FALSE)</f>
        <v>Where No Man Has Gone Before</v>
      </c>
      <c r="L530" s="16">
        <f>VLOOKUP(I530,episodes!$A$1:$D$81,3,FALSE)</f>
        <v>1</v>
      </c>
      <c r="M530" s="16">
        <f>VLOOKUP(I530,episodes!$A$1:$D$81,4,FALSE)</f>
        <v>3</v>
      </c>
      <c r="O530" s="14">
        <v>0</v>
      </c>
      <c r="P530" s="24">
        <f>LEN(E530)+LEN(K530)</f>
        <v>107</v>
      </c>
      <c r="Q530" s="24">
        <f>COUNTIFS(B:B,B527)</f>
        <v>1</v>
      </c>
      <c r="R530" s="24">
        <f>COUNTIFS(D:D,D530)</f>
        <v>18</v>
      </c>
    </row>
    <row r="531" spans="1:18" x14ac:dyDescent="0.3">
      <c r="A531" s="14">
        <v>1054</v>
      </c>
      <c r="B531" s="21" t="s">
        <v>748</v>
      </c>
      <c r="C531" s="21" t="s">
        <v>1</v>
      </c>
      <c r="D531" s="1" t="s">
        <v>2697</v>
      </c>
      <c r="E531" s="1" t="s">
        <v>2868</v>
      </c>
      <c r="F531" s="21" t="s">
        <v>4</v>
      </c>
      <c r="G531" s="14">
        <v>1</v>
      </c>
      <c r="H531" s="14">
        <v>0</v>
      </c>
      <c r="I531" s="22">
        <v>207</v>
      </c>
      <c r="J531" s="23">
        <f>VLOOKUP(I531,episodes!$A$1:$B$81,2,FALSE)</f>
        <v>37</v>
      </c>
      <c r="K531" s="16" t="str">
        <f>VLOOKUP(I531,episodes!$A$1:$E$81,5,FALSE)</f>
        <v>Catspaw</v>
      </c>
      <c r="L531" s="16">
        <f>VLOOKUP(I531,episodes!$A$1:$D$81,3,FALSE)</f>
        <v>2</v>
      </c>
      <c r="M531" s="16">
        <f>VLOOKUP(I531,episodes!$A$1:$D$81,4,FALSE)</f>
        <v>7</v>
      </c>
      <c r="O531" s="14">
        <v>0</v>
      </c>
      <c r="P531" s="24">
        <f>LEN(E531)+LEN(K531)</f>
        <v>108</v>
      </c>
      <c r="Q531" s="24">
        <f>COUNTIFS(B:B,#REF!)</f>
        <v>0</v>
      </c>
      <c r="R531" s="24">
        <f>COUNTIFS(D:D,D531)</f>
        <v>18</v>
      </c>
    </row>
    <row r="532" spans="1:18" x14ac:dyDescent="0.3">
      <c r="A532" s="14">
        <v>1231</v>
      </c>
      <c r="B532" s="21" t="s">
        <v>748</v>
      </c>
      <c r="C532" s="21" t="s">
        <v>1</v>
      </c>
      <c r="D532" s="1" t="s">
        <v>2697</v>
      </c>
      <c r="E532" s="1" t="s">
        <v>379</v>
      </c>
      <c r="F532" s="21" t="s">
        <v>4</v>
      </c>
      <c r="G532" s="14">
        <v>1</v>
      </c>
      <c r="H532" s="14">
        <v>0</v>
      </c>
      <c r="I532" s="25">
        <v>124</v>
      </c>
      <c r="J532" s="23">
        <f>VLOOKUP(I532,episodes!$A$1:$B$76,2,FALSE)</f>
        <v>25</v>
      </c>
      <c r="K532" s="16" t="str">
        <f>VLOOKUP(I532,episodes!$A$1:$E$81,5,FALSE)</f>
        <v>This Side of Paradise</v>
      </c>
      <c r="L532" s="16">
        <f>VLOOKUP(I532,episodes!$A$1:$D$81,3,FALSE)</f>
        <v>1</v>
      </c>
      <c r="M532" s="16">
        <f>VLOOKUP(I532,episodes!$A$1:$D$81,4,FALSE)</f>
        <v>24</v>
      </c>
      <c r="O532" s="14">
        <v>0</v>
      </c>
      <c r="P532" s="24">
        <f>LEN(E532)+LEN(K532)</f>
        <v>114</v>
      </c>
      <c r="Q532" s="24">
        <f>COUNTIFS(B:B,#REF!)</f>
        <v>0</v>
      </c>
      <c r="R532" s="24">
        <f>COUNTIFS(D:D,D532)</f>
        <v>18</v>
      </c>
    </row>
    <row r="533" spans="1:18" x14ac:dyDescent="0.3">
      <c r="A533" s="14">
        <v>1051</v>
      </c>
      <c r="B533" s="21" t="s">
        <v>748</v>
      </c>
      <c r="C533" s="21" t="s">
        <v>1</v>
      </c>
      <c r="D533" s="1" t="s">
        <v>2697</v>
      </c>
      <c r="E533" s="1" t="s">
        <v>638</v>
      </c>
      <c r="F533" s="21" t="s">
        <v>4</v>
      </c>
      <c r="G533" s="14">
        <v>1</v>
      </c>
      <c r="H533" s="14">
        <v>0</v>
      </c>
      <c r="I533" s="22">
        <v>121</v>
      </c>
      <c r="J533" s="23">
        <f>VLOOKUP(I533,episodes!$A$1:$B$76,2,FALSE)</f>
        <v>22</v>
      </c>
      <c r="K533" s="16" t="str">
        <f>VLOOKUP(I533,episodes!$A$1:$E$81,5,FALSE)</f>
        <v>The Return of the Archons</v>
      </c>
      <c r="L533" s="16">
        <f>VLOOKUP(I533,episodes!$A$1:$D$81,3,FALSE)</f>
        <v>1</v>
      </c>
      <c r="M533" s="16">
        <f>VLOOKUP(I533,episodes!$A$1:$D$81,4,FALSE)</f>
        <v>21</v>
      </c>
      <c r="O533" s="14">
        <v>0</v>
      </c>
      <c r="P533" s="24">
        <f>LEN(E533)+LEN(K533)</f>
        <v>111</v>
      </c>
      <c r="Q533" s="24">
        <f>COUNTIFS(B:B,#REF!)</f>
        <v>0</v>
      </c>
      <c r="R533" s="24">
        <f>COUNTIFS(D:D,D533)</f>
        <v>18</v>
      </c>
    </row>
    <row r="534" spans="1:18" x14ac:dyDescent="0.3">
      <c r="A534" s="14">
        <v>1257</v>
      </c>
      <c r="B534" s="21" t="s">
        <v>748</v>
      </c>
      <c r="C534" s="21" t="s">
        <v>1</v>
      </c>
      <c r="D534" s="1" t="s">
        <v>2697</v>
      </c>
      <c r="E534" s="1" t="s">
        <v>1476</v>
      </c>
      <c r="F534" s="21" t="s">
        <v>2298</v>
      </c>
      <c r="G534" s="14">
        <v>0</v>
      </c>
      <c r="H534" s="14">
        <v>0</v>
      </c>
      <c r="I534" s="25">
        <v>103</v>
      </c>
      <c r="J534" s="23">
        <f>VLOOKUP(I534,episodes!$A$1:$B$76,2,FALSE)</f>
        <v>4</v>
      </c>
      <c r="K534" s="16" t="str">
        <f>VLOOKUP(I534,episodes!$A$1:$E$81,5,FALSE)</f>
        <v>Where No Man Has Gone Before</v>
      </c>
      <c r="L534" s="16">
        <f>VLOOKUP(I534,episodes!$A$1:$D$81,3,FALSE)</f>
        <v>1</v>
      </c>
      <c r="M534" s="16">
        <f>VLOOKUP(I534,episodes!$A$1:$D$81,4,FALSE)</f>
        <v>3</v>
      </c>
      <c r="O534" s="14">
        <v>0</v>
      </c>
      <c r="P534" s="24">
        <f>LEN(E534)+LEN(K534)</f>
        <v>131</v>
      </c>
      <c r="Q534" s="24"/>
      <c r="R534" s="24"/>
    </row>
    <row r="535" spans="1:18" x14ac:dyDescent="0.3">
      <c r="A535" s="14">
        <v>2496</v>
      </c>
      <c r="B535" s="21" t="s">
        <v>748</v>
      </c>
      <c r="C535" s="21" t="s">
        <v>1</v>
      </c>
      <c r="D535" s="1" t="s">
        <v>2697</v>
      </c>
      <c r="E535" s="1" t="s">
        <v>2259</v>
      </c>
      <c r="F535" s="21" t="s">
        <v>46</v>
      </c>
      <c r="G535" s="14">
        <v>0</v>
      </c>
      <c r="H535" s="14">
        <v>0</v>
      </c>
      <c r="I535" s="25">
        <v>104</v>
      </c>
      <c r="J535" s="23">
        <f>VLOOKUP(I535,episodes!$A$1:$B$76,2,FALSE)</f>
        <v>5</v>
      </c>
      <c r="K535" s="16" t="str">
        <f>VLOOKUP(I535,episodes!$A$1:$E$81,5,FALSE)</f>
        <v>The Naked Time</v>
      </c>
      <c r="L535" s="16">
        <f>VLOOKUP(I535,episodes!$A$1:$D$81,3,FALSE)</f>
        <v>1</v>
      </c>
      <c r="M535" s="16">
        <f>VLOOKUP(I535,episodes!$A$1:$D$81,4,FALSE)</f>
        <v>4</v>
      </c>
      <c r="O535" s="14">
        <v>0</v>
      </c>
      <c r="P535" s="24">
        <f>LEN(E535)+LEN(K535)</f>
        <v>134</v>
      </c>
      <c r="Q535" s="24"/>
      <c r="R535" s="24"/>
    </row>
    <row r="536" spans="1:18" x14ac:dyDescent="0.3">
      <c r="A536" s="14">
        <v>1613</v>
      </c>
      <c r="B536" s="21" t="s">
        <v>748</v>
      </c>
      <c r="C536" s="21" t="s">
        <v>1</v>
      </c>
      <c r="D536" s="1" t="s">
        <v>2697</v>
      </c>
      <c r="E536" s="1" t="s">
        <v>421</v>
      </c>
      <c r="F536" s="21" t="s">
        <v>8</v>
      </c>
      <c r="G536" s="14">
        <v>0</v>
      </c>
      <c r="H536" s="14">
        <v>1</v>
      </c>
      <c r="I536" s="22">
        <v>128</v>
      </c>
      <c r="J536" s="23">
        <f>VLOOKUP(I536,episodes!$A$1:$B$76,2,FALSE)</f>
        <v>29</v>
      </c>
      <c r="K536" s="16" t="str">
        <f>VLOOKUP(I536,episodes!$A$1:$E$81,5,FALSE)</f>
        <v>The City on the Edge of Forever</v>
      </c>
      <c r="L536" s="16">
        <f>VLOOKUP(I536,episodes!$A$1:$D$81,3,FALSE)</f>
        <v>1</v>
      </c>
      <c r="M536" s="16">
        <f>VLOOKUP(I536,episodes!$A$1:$D$81,4,FALSE)</f>
        <v>28</v>
      </c>
      <c r="O536" s="14">
        <v>0</v>
      </c>
      <c r="P536" s="24">
        <f>LEN(E536)+LEN(K536)</f>
        <v>83</v>
      </c>
      <c r="Q536" s="24">
        <f>COUNTIFS(B:B,#REF!)</f>
        <v>0</v>
      </c>
      <c r="R536" s="24">
        <f>COUNTIFS(D:D,D536)</f>
        <v>18</v>
      </c>
    </row>
    <row r="537" spans="1:18" x14ac:dyDescent="0.3">
      <c r="A537" s="14">
        <v>2495</v>
      </c>
      <c r="B537" s="21" t="s">
        <v>748</v>
      </c>
      <c r="C537" s="21" t="s">
        <v>1</v>
      </c>
      <c r="D537" s="1" t="s">
        <v>2697</v>
      </c>
      <c r="E537" s="1" t="s">
        <v>2412</v>
      </c>
      <c r="F537" s="21" t="s">
        <v>1861</v>
      </c>
      <c r="G537" s="14">
        <v>0</v>
      </c>
      <c r="H537" s="14">
        <v>1</v>
      </c>
      <c r="I537" s="25">
        <v>104</v>
      </c>
      <c r="J537" s="23">
        <f>VLOOKUP(I537,episodes!$A$1:$B$76,2,FALSE)</f>
        <v>5</v>
      </c>
      <c r="K537" s="16" t="str">
        <f>VLOOKUP(I537,episodes!$A$1:$E$81,5,FALSE)</f>
        <v>The Naked Time</v>
      </c>
      <c r="L537" s="16">
        <f>VLOOKUP(I537,episodes!$A$1:$D$81,3,FALSE)</f>
        <v>1</v>
      </c>
      <c r="M537" s="16">
        <f>VLOOKUP(I537,episodes!$A$1:$D$81,4,FALSE)</f>
        <v>4</v>
      </c>
      <c r="O537" s="14">
        <v>0</v>
      </c>
      <c r="P537" s="24">
        <f>LEN(E537)+LEN(K537)</f>
        <v>75</v>
      </c>
      <c r="Q537" s="24">
        <f>COUNTIFS(B:B,B536)</f>
        <v>18</v>
      </c>
      <c r="R537" s="24">
        <f>COUNTIFS(D:D,D537)</f>
        <v>18</v>
      </c>
    </row>
    <row r="538" spans="1:18" x14ac:dyDescent="0.3">
      <c r="A538" s="14">
        <v>1232</v>
      </c>
      <c r="B538" s="21" t="s">
        <v>748</v>
      </c>
      <c r="C538" s="21" t="s">
        <v>1</v>
      </c>
      <c r="D538" s="1" t="s">
        <v>2697</v>
      </c>
      <c r="E538" s="1" t="s">
        <v>2408</v>
      </c>
      <c r="F538" s="21" t="s">
        <v>5</v>
      </c>
      <c r="G538" s="14">
        <v>1</v>
      </c>
      <c r="H538" s="14">
        <v>0</v>
      </c>
      <c r="I538" s="25">
        <v>124</v>
      </c>
      <c r="J538" s="23">
        <f>VLOOKUP(I538,episodes!$A$1:$B$76,2,FALSE)</f>
        <v>25</v>
      </c>
      <c r="K538" s="16" t="str">
        <f>VLOOKUP(I538,episodes!$A$1:$E$81,5,FALSE)</f>
        <v>This Side of Paradise</v>
      </c>
      <c r="L538" s="16">
        <f>VLOOKUP(I538,episodes!$A$1:$D$81,3,FALSE)</f>
        <v>1</v>
      </c>
      <c r="M538" s="16">
        <f>VLOOKUP(I538,episodes!$A$1:$D$81,4,FALSE)</f>
        <v>24</v>
      </c>
      <c r="O538" s="14">
        <v>0</v>
      </c>
      <c r="P538" s="24">
        <f>LEN(E538)+LEN(K538)</f>
        <v>106</v>
      </c>
      <c r="Q538" s="24"/>
      <c r="R538" s="24"/>
    </row>
    <row r="539" spans="1:18" x14ac:dyDescent="0.3">
      <c r="A539" s="14">
        <v>2125</v>
      </c>
      <c r="B539" s="21" t="s">
        <v>748</v>
      </c>
      <c r="C539" s="21" t="s">
        <v>1</v>
      </c>
      <c r="D539" s="1" t="s">
        <v>2697</v>
      </c>
      <c r="E539" s="1" t="s">
        <v>636</v>
      </c>
      <c r="F539" s="21" t="s">
        <v>5</v>
      </c>
      <c r="G539" s="14">
        <v>1</v>
      </c>
      <c r="H539" s="14">
        <v>0</v>
      </c>
      <c r="I539" s="22">
        <v>121</v>
      </c>
      <c r="J539" s="23">
        <f>VLOOKUP(I539,episodes!$A$1:$B$76,2,FALSE)</f>
        <v>22</v>
      </c>
      <c r="K539" s="16" t="str">
        <f>VLOOKUP(I539,episodes!$A$1:$E$81,5,FALSE)</f>
        <v>The Return of the Archons</v>
      </c>
      <c r="L539" s="16">
        <f>VLOOKUP(I539,episodes!$A$1:$D$81,3,FALSE)</f>
        <v>1</v>
      </c>
      <c r="M539" s="16">
        <f>VLOOKUP(I539,episodes!$A$1:$D$81,4,FALSE)</f>
        <v>21</v>
      </c>
      <c r="O539" s="14">
        <v>0</v>
      </c>
      <c r="P539" s="24">
        <f>LEN(E539)+LEN(K539)</f>
        <v>74</v>
      </c>
      <c r="Q539" s="24">
        <f>COUNTIFS(B:B,#REF!)</f>
        <v>0</v>
      </c>
      <c r="R539" s="24">
        <f>COUNTIFS(D:D,D539)</f>
        <v>18</v>
      </c>
    </row>
    <row r="540" spans="1:18" x14ac:dyDescent="0.3">
      <c r="A540" s="14">
        <v>2205</v>
      </c>
      <c r="B540" s="21" t="s">
        <v>748</v>
      </c>
      <c r="C540" s="21" t="s">
        <v>1</v>
      </c>
      <c r="D540" s="1" t="s">
        <v>2697</v>
      </c>
      <c r="E540" s="1" t="s">
        <v>2084</v>
      </c>
      <c r="F540" s="21" t="s">
        <v>5</v>
      </c>
      <c r="G540" s="14">
        <v>1</v>
      </c>
      <c r="H540" s="14">
        <v>0</v>
      </c>
      <c r="I540" s="22">
        <v>129</v>
      </c>
      <c r="J540" s="23">
        <f>VLOOKUP(I540,episodes!$A$1:$B$76,2,FALSE)</f>
        <v>30</v>
      </c>
      <c r="K540" s="16" t="str">
        <f>VLOOKUP(I540,episodes!$A$1:$E$81,5,FALSE)</f>
        <v>Operation: Annihilate!</v>
      </c>
      <c r="L540" s="16">
        <f>VLOOKUP(I540,episodes!$A$1:$D$81,3,FALSE)</f>
        <v>1</v>
      </c>
      <c r="M540" s="16">
        <f>VLOOKUP(I540,episodes!$A$1:$D$81,4,FALSE)</f>
        <v>29</v>
      </c>
      <c r="O540" s="14">
        <v>0</v>
      </c>
      <c r="P540" s="24">
        <f>LEN(E540)+LEN(K540)</f>
        <v>115</v>
      </c>
      <c r="Q540" s="24">
        <f>COUNTIFS(B:B,B539)</f>
        <v>18</v>
      </c>
      <c r="R540" s="24">
        <f>COUNTIFS(D:D,D540)</f>
        <v>18</v>
      </c>
    </row>
    <row r="541" spans="1:18" x14ac:dyDescent="0.3">
      <c r="A541" s="14">
        <v>2206</v>
      </c>
      <c r="B541" s="21" t="s">
        <v>748</v>
      </c>
      <c r="C541" s="21" t="s">
        <v>1</v>
      </c>
      <c r="D541" s="1" t="s">
        <v>2697</v>
      </c>
      <c r="E541" s="1" t="s">
        <v>1601</v>
      </c>
      <c r="F541" s="21" t="s">
        <v>5</v>
      </c>
      <c r="G541" s="14">
        <v>1</v>
      </c>
      <c r="H541" s="14">
        <v>0</v>
      </c>
      <c r="I541" s="22">
        <v>129</v>
      </c>
      <c r="J541" s="23">
        <f>VLOOKUP(I541,episodes!$A$1:$B$76,2,FALSE)</f>
        <v>30</v>
      </c>
      <c r="K541" s="16" t="str">
        <f>VLOOKUP(I541,episodes!$A$1:$E$81,5,FALSE)</f>
        <v>Operation: Annihilate!</v>
      </c>
      <c r="L541" s="16">
        <f>VLOOKUP(I541,episodes!$A$1:$D$81,3,FALSE)</f>
        <v>1</v>
      </c>
      <c r="M541" s="16">
        <f>VLOOKUP(I541,episodes!$A$1:$D$81,4,FALSE)</f>
        <v>29</v>
      </c>
      <c r="O541" s="14">
        <v>0</v>
      </c>
      <c r="P541" s="24">
        <f>LEN(E541)+LEN(K541)</f>
        <v>103</v>
      </c>
      <c r="Q541" s="24">
        <f>COUNTIFS(B:B,B540)</f>
        <v>18</v>
      </c>
      <c r="R541" s="24">
        <f>COUNTIFS(D:D,D541)</f>
        <v>18</v>
      </c>
    </row>
    <row r="542" spans="1:18" x14ac:dyDescent="0.3">
      <c r="A542" s="14">
        <v>1256</v>
      </c>
      <c r="B542" s="21" t="s">
        <v>748</v>
      </c>
      <c r="C542" s="21" t="s">
        <v>1</v>
      </c>
      <c r="D542" s="1" t="s">
        <v>2697</v>
      </c>
      <c r="E542" s="1" t="s">
        <v>2410</v>
      </c>
      <c r="F542" s="21" t="s">
        <v>5</v>
      </c>
      <c r="G542" s="14">
        <v>1</v>
      </c>
      <c r="H542" s="14">
        <v>0</v>
      </c>
      <c r="I542" s="25">
        <v>103</v>
      </c>
      <c r="J542" s="23">
        <f>VLOOKUP(I542,episodes!$A$1:$B$76,2,FALSE)</f>
        <v>4</v>
      </c>
      <c r="K542" s="16" t="str">
        <f>VLOOKUP(I542,episodes!$A$1:$E$81,5,FALSE)</f>
        <v>Where No Man Has Gone Before</v>
      </c>
      <c r="L542" s="16">
        <f>VLOOKUP(I542,episodes!$A$1:$D$81,3,FALSE)</f>
        <v>1</v>
      </c>
      <c r="M542" s="16">
        <f>VLOOKUP(I542,episodes!$A$1:$D$81,4,FALSE)</f>
        <v>3</v>
      </c>
      <c r="O542" s="14">
        <v>0</v>
      </c>
      <c r="P542" s="24">
        <f>LEN(E542)+LEN(K542)</f>
        <v>108</v>
      </c>
      <c r="Q542" s="24"/>
      <c r="R542" s="24"/>
    </row>
    <row r="543" spans="1:18" x14ac:dyDescent="0.3">
      <c r="A543" s="14">
        <v>2018</v>
      </c>
      <c r="B543" s="21" t="s">
        <v>748</v>
      </c>
      <c r="C543" s="21" t="s">
        <v>1</v>
      </c>
      <c r="D543" s="1" t="s">
        <v>2697</v>
      </c>
      <c r="E543" s="1" t="s">
        <v>2869</v>
      </c>
      <c r="F543" s="21" t="s">
        <v>6</v>
      </c>
      <c r="G543" s="14">
        <v>0</v>
      </c>
      <c r="H543" s="14">
        <v>1</v>
      </c>
      <c r="I543" s="22">
        <v>207</v>
      </c>
      <c r="J543" s="23">
        <f>VLOOKUP(I543,episodes!$A$1:$B$81,2,FALSE)</f>
        <v>37</v>
      </c>
      <c r="K543" s="16" t="str">
        <f>VLOOKUP(I543,episodes!$A$1:$E$81,5,FALSE)</f>
        <v>Catspaw</v>
      </c>
      <c r="L543" s="16">
        <f>VLOOKUP(I543,episodes!$A$1:$D$81,3,FALSE)</f>
        <v>2</v>
      </c>
      <c r="M543" s="16">
        <f>VLOOKUP(I543,episodes!$A$1:$D$81,4,FALSE)</f>
        <v>7</v>
      </c>
      <c r="O543" s="14">
        <v>0</v>
      </c>
      <c r="P543" s="24">
        <f>LEN(E543)+LEN(K543)</f>
        <v>59</v>
      </c>
      <c r="Q543" s="24">
        <f>COUNTIFS(B:B,#REF!)</f>
        <v>0</v>
      </c>
      <c r="R543" s="24">
        <f>COUNTIFS(D:D,D543)</f>
        <v>18</v>
      </c>
    </row>
    <row r="544" spans="1:18" x14ac:dyDescent="0.3">
      <c r="A544" s="14">
        <v>2497</v>
      </c>
      <c r="B544" s="21" t="s">
        <v>748</v>
      </c>
      <c r="C544" s="21" t="s">
        <v>1</v>
      </c>
      <c r="D544" s="1" t="s">
        <v>2697</v>
      </c>
      <c r="E544" s="1" t="s">
        <v>2411</v>
      </c>
      <c r="F544" s="21" t="s">
        <v>45</v>
      </c>
      <c r="G544" s="14">
        <v>0</v>
      </c>
      <c r="H544" s="14">
        <v>0</v>
      </c>
      <c r="I544" s="25">
        <v>104</v>
      </c>
      <c r="J544" s="23">
        <f>VLOOKUP(I544,episodes!$A$1:$B$76,2,FALSE)</f>
        <v>5</v>
      </c>
      <c r="K544" s="16" t="str">
        <f>VLOOKUP(I544,episodes!$A$1:$E$81,5,FALSE)</f>
        <v>The Naked Time</v>
      </c>
      <c r="L544" s="16">
        <f>VLOOKUP(I544,episodes!$A$1:$D$81,3,FALSE)</f>
        <v>1</v>
      </c>
      <c r="M544" s="16">
        <f>VLOOKUP(I544,episodes!$A$1:$D$81,4,FALSE)</f>
        <v>4</v>
      </c>
      <c r="O544" s="14">
        <v>0</v>
      </c>
      <c r="P544" s="24">
        <f>LEN(E544)+LEN(K544)</f>
        <v>75</v>
      </c>
      <c r="Q544" s="24"/>
      <c r="R544" s="24"/>
    </row>
    <row r="545" spans="1:18" x14ac:dyDescent="0.3">
      <c r="A545" s="14">
        <v>2456</v>
      </c>
      <c r="B545" s="21" t="s">
        <v>748</v>
      </c>
      <c r="C545" s="21" t="s">
        <v>1</v>
      </c>
      <c r="D545" s="1" t="s">
        <v>2697</v>
      </c>
      <c r="E545" s="1" t="s">
        <v>1641</v>
      </c>
      <c r="F545" s="21" t="s">
        <v>1861</v>
      </c>
      <c r="G545" s="14">
        <v>0</v>
      </c>
      <c r="H545" s="14">
        <v>1</v>
      </c>
      <c r="I545" s="22">
        <v>207</v>
      </c>
      <c r="J545" s="23">
        <f>VLOOKUP(I545,episodes!$A$1:$B$81,2,FALSE)</f>
        <v>37</v>
      </c>
      <c r="K545" s="16" t="str">
        <f>VLOOKUP(I545,episodes!$A$1:$E$81,5,FALSE)</f>
        <v>Catspaw</v>
      </c>
      <c r="L545" s="16">
        <f>VLOOKUP(I545,episodes!$A$1:$D$81,3,FALSE)</f>
        <v>2</v>
      </c>
      <c r="M545" s="16">
        <f>VLOOKUP(I545,episodes!$A$1:$D$81,4,FALSE)</f>
        <v>7</v>
      </c>
      <c r="O545" s="14">
        <v>0</v>
      </c>
      <c r="P545" s="24">
        <f>LEN(E545)+LEN(K545)</f>
        <v>80</v>
      </c>
      <c r="Q545" s="24">
        <f>COUNTIFS(B:B,B544)</f>
        <v>18</v>
      </c>
      <c r="R545" s="24">
        <f>COUNTIFS(D:D,D545)</f>
        <v>18</v>
      </c>
    </row>
    <row r="546" spans="1:18" x14ac:dyDescent="0.3">
      <c r="A546" s="14">
        <v>2546</v>
      </c>
      <c r="B546" s="21" t="s">
        <v>156</v>
      </c>
      <c r="C546" s="21" t="s">
        <v>1</v>
      </c>
      <c r="D546" s="21" t="s">
        <v>2705</v>
      </c>
      <c r="E546" s="1" t="s">
        <v>172</v>
      </c>
      <c r="F546" s="21" t="s">
        <v>1863</v>
      </c>
      <c r="G546" s="14">
        <v>1</v>
      </c>
      <c r="H546" s="14">
        <v>0</v>
      </c>
      <c r="I546" s="25">
        <v>216</v>
      </c>
      <c r="J546" s="23">
        <f>VLOOKUP(I546,episodes!$A$1:$B$81,2,FALSE)</f>
        <v>46</v>
      </c>
      <c r="K546" s="16" t="str">
        <f>VLOOKUP(I546,episodes!$A$1:$E$81,5,FALSE)</f>
        <v>The Gamesters of Triskelion</v>
      </c>
      <c r="L546" s="16">
        <f>VLOOKUP(I546,episodes!$A$1:$D$81,3,FALSE)</f>
        <v>2</v>
      </c>
      <c r="M546" s="16">
        <f>VLOOKUP(I546,episodes!$A$1:$D$81,4,FALSE)</f>
        <v>16</v>
      </c>
      <c r="O546" s="14">
        <v>0</v>
      </c>
      <c r="P546" s="24">
        <f>LEN(E546)+LEN(K546)</f>
        <v>164</v>
      </c>
      <c r="Q546" s="24"/>
      <c r="R546" s="24"/>
    </row>
    <row r="547" spans="1:18" x14ac:dyDescent="0.3">
      <c r="A547" s="14">
        <v>2688</v>
      </c>
      <c r="B547" s="21" t="s">
        <v>156</v>
      </c>
      <c r="C547" s="21" t="s">
        <v>1</v>
      </c>
      <c r="D547" s="21" t="s">
        <v>2705</v>
      </c>
      <c r="E547" s="1" t="s">
        <v>2421</v>
      </c>
      <c r="F547" s="21" t="s">
        <v>1863</v>
      </c>
      <c r="G547" s="14">
        <v>1</v>
      </c>
      <c r="H547" s="14">
        <v>0</v>
      </c>
      <c r="I547" s="25">
        <v>204</v>
      </c>
      <c r="J547" s="23">
        <f>VLOOKUP(I547,episodes!$A$1:$B$81,2,FALSE)</f>
        <v>34</v>
      </c>
      <c r="K547" s="16" t="str">
        <f>VLOOKUP(I547,episodes!$A$1:$E$81,5,FALSE)</f>
        <v>Mirror, Mirror</v>
      </c>
      <c r="L547" s="16">
        <f>VLOOKUP(I547,episodes!$A$1:$D$81,3,FALSE)</f>
        <v>2</v>
      </c>
      <c r="M547" s="16">
        <f>VLOOKUP(I547,episodes!$A$1:$D$81,4,FALSE)</f>
        <v>4</v>
      </c>
      <c r="O547" s="14">
        <v>0</v>
      </c>
      <c r="P547" s="24">
        <f>LEN(E547)+LEN(K547)</f>
        <v>126</v>
      </c>
      <c r="Q547" s="24">
        <f>COUNTIFS(B:B,B545)</f>
        <v>18</v>
      </c>
      <c r="R547" s="24">
        <f>COUNTIFS(D:D,D547)</f>
        <v>2</v>
      </c>
    </row>
    <row r="548" spans="1:18" x14ac:dyDescent="0.3">
      <c r="A548" s="14">
        <v>930</v>
      </c>
      <c r="B548" s="21" t="s">
        <v>1663</v>
      </c>
      <c r="C548" s="21" t="s">
        <v>1</v>
      </c>
      <c r="D548" s="21" t="s">
        <v>2732</v>
      </c>
      <c r="E548" s="1" t="s">
        <v>1665</v>
      </c>
      <c r="F548" s="21" t="s">
        <v>4</v>
      </c>
      <c r="G548" s="14">
        <v>1</v>
      </c>
      <c r="H548" s="14">
        <v>0</v>
      </c>
      <c r="I548" s="25">
        <v>205</v>
      </c>
      <c r="J548" s="23">
        <f>VLOOKUP(I548,episodes!$A$1:$B$81,2,FALSE)</f>
        <v>35</v>
      </c>
      <c r="K548" s="16" t="str">
        <f>VLOOKUP(I548,episodes!$A$1:$E$81,5,FALSE)</f>
        <v>The Apple</v>
      </c>
      <c r="L548" s="16">
        <f>VLOOKUP(I548,episodes!$A$1:$D$81,3,FALSE)</f>
        <v>2</v>
      </c>
      <c r="M548" s="16">
        <f>VLOOKUP(I548,episodes!$A$1:$D$81,4,FALSE)</f>
        <v>5</v>
      </c>
      <c r="O548" s="14">
        <v>0</v>
      </c>
      <c r="P548" s="24">
        <f>LEN(E548)+LEN(K548)</f>
        <v>96</v>
      </c>
      <c r="Q548" s="24">
        <f>COUNTIFS(B:B,B547)</f>
        <v>2</v>
      </c>
      <c r="R548" s="24">
        <f>COUNTIFS(D:D,D548)</f>
        <v>1</v>
      </c>
    </row>
    <row r="549" spans="1:18" x14ac:dyDescent="0.3">
      <c r="A549" s="14">
        <v>269</v>
      </c>
      <c r="B549" s="21" t="s">
        <v>2706</v>
      </c>
      <c r="C549" s="21" t="s">
        <v>1</v>
      </c>
      <c r="D549" s="1" t="s">
        <v>2906</v>
      </c>
      <c r="E549" s="1" t="s">
        <v>1730</v>
      </c>
      <c r="F549" s="21" t="s">
        <v>2224</v>
      </c>
      <c r="G549" s="14">
        <v>0</v>
      </c>
      <c r="H549" s="14">
        <v>0</v>
      </c>
      <c r="I549" s="25">
        <v>109</v>
      </c>
      <c r="J549" s="23">
        <f>VLOOKUP(I549,episodes!$A$1:$B$76,2,FALSE)</f>
        <v>10</v>
      </c>
      <c r="K549" s="16" t="str">
        <f>VLOOKUP(I549,episodes!$A$1:$E$81,5,FALSE)</f>
        <v>Dagger of the Mind</v>
      </c>
      <c r="L549" s="16">
        <f>VLOOKUP(I549,episodes!$A$1:$D$81,3,FALSE)</f>
        <v>1</v>
      </c>
      <c r="M549" s="16">
        <f>VLOOKUP(I549,episodes!$A$1:$D$81,4,FALSE)</f>
        <v>9</v>
      </c>
      <c r="O549" s="14">
        <v>0</v>
      </c>
      <c r="P549" s="24">
        <f>LEN(E549)+LEN(K549)</f>
        <v>74</v>
      </c>
      <c r="Q549" s="24">
        <f>COUNTIFS(B:B,B548)</f>
        <v>3</v>
      </c>
      <c r="R549" s="24">
        <f>COUNTIFS(D:D,C549)</f>
        <v>1</v>
      </c>
    </row>
    <row r="550" spans="1:18" x14ac:dyDescent="0.3">
      <c r="A550" s="14">
        <v>655</v>
      </c>
      <c r="B550" s="21" t="s">
        <v>2706</v>
      </c>
      <c r="C550" s="21" t="s">
        <v>1</v>
      </c>
      <c r="D550" s="21" t="s">
        <v>2906</v>
      </c>
      <c r="E550" s="1" t="s">
        <v>385</v>
      </c>
      <c r="F550" s="21" t="s">
        <v>4</v>
      </c>
      <c r="G550" s="14">
        <v>1</v>
      </c>
      <c r="H550" s="14">
        <v>0</v>
      </c>
      <c r="I550" s="25">
        <v>109</v>
      </c>
      <c r="J550" s="23">
        <f>VLOOKUP(I550,episodes!$A$1:$B$76,2,FALSE)</f>
        <v>10</v>
      </c>
      <c r="K550" s="16" t="str">
        <f>VLOOKUP(I550,episodes!$A$1:$E$81,5,FALSE)</f>
        <v>Dagger of the Mind</v>
      </c>
      <c r="L550" s="16">
        <f>VLOOKUP(I550,episodes!$A$1:$D$81,3,FALSE)</f>
        <v>1</v>
      </c>
      <c r="M550" s="16">
        <f>VLOOKUP(I550,episodes!$A$1:$D$81,4,FALSE)</f>
        <v>9</v>
      </c>
      <c r="O550" s="14">
        <v>0</v>
      </c>
      <c r="P550" s="24">
        <f>LEN(E550)+LEN(K550)</f>
        <v>58</v>
      </c>
      <c r="Q550" s="24">
        <f>COUNTIFS(B:B,B549)</f>
        <v>2</v>
      </c>
      <c r="R550" s="24">
        <f>COUNTIFS(D:D,C550)</f>
        <v>1</v>
      </c>
    </row>
    <row r="551" spans="1:18" x14ac:dyDescent="0.3">
      <c r="A551" s="14">
        <v>422</v>
      </c>
      <c r="B551" s="21" t="s">
        <v>1640</v>
      </c>
      <c r="C551" s="21" t="s">
        <v>1</v>
      </c>
      <c r="D551" s="1" t="s">
        <v>2698</v>
      </c>
      <c r="E551" s="1" t="s">
        <v>512</v>
      </c>
      <c r="F551" s="21" t="s">
        <v>2283</v>
      </c>
      <c r="G551" s="14">
        <v>0</v>
      </c>
      <c r="H551" s="14">
        <v>0</v>
      </c>
      <c r="I551" s="22">
        <v>122</v>
      </c>
      <c r="J551" s="23">
        <f>VLOOKUP(I551,episodes!$A$1:$B$76,2,FALSE)</f>
        <v>23</v>
      </c>
      <c r="K551" s="16" t="str">
        <f>VLOOKUP(I551,episodes!$A$1:$E$81,5,FALSE)</f>
        <v>Space Seed</v>
      </c>
      <c r="L551" s="16">
        <f>VLOOKUP(I551,episodes!$A$1:$D$81,3,FALSE)</f>
        <v>1</v>
      </c>
      <c r="M551" s="16">
        <f>VLOOKUP(I551,episodes!$A$1:$D$81,4,FALSE)</f>
        <v>22</v>
      </c>
      <c r="O551" s="14">
        <v>0</v>
      </c>
      <c r="P551" s="24">
        <f>LEN(E551)+LEN(K551)</f>
        <v>52</v>
      </c>
      <c r="Q551" s="24">
        <f>COUNTIFS(B:B,#REF!)</f>
        <v>0</v>
      </c>
      <c r="R551" s="24">
        <f>COUNTIFS(D:D,D551)</f>
        <v>27</v>
      </c>
    </row>
    <row r="552" spans="1:18" x14ac:dyDescent="0.3">
      <c r="A552" s="14">
        <v>753</v>
      </c>
      <c r="B552" s="21" t="s">
        <v>1659</v>
      </c>
      <c r="C552" s="1" t="s">
        <v>1</v>
      </c>
      <c r="D552" s="1" t="s">
        <v>2698</v>
      </c>
      <c r="E552" s="1" t="s">
        <v>612</v>
      </c>
      <c r="F552" s="21" t="s">
        <v>4</v>
      </c>
      <c r="G552" s="14">
        <v>1</v>
      </c>
      <c r="H552" s="14">
        <v>0</v>
      </c>
      <c r="I552" s="22">
        <v>118</v>
      </c>
      <c r="J552" s="23">
        <f>VLOOKUP(I552,episodes!$A$1:$B$76,2,FALSE)</f>
        <v>19</v>
      </c>
      <c r="K552" s="16" t="str">
        <f>VLOOKUP(I552,episodes!$A$1:$E$81,5,FALSE)</f>
        <v>Arena</v>
      </c>
      <c r="L552" s="16">
        <f>VLOOKUP(I552,episodes!$A$1:$D$81,3,FALSE)</f>
        <v>1</v>
      </c>
      <c r="M552" s="16">
        <f>VLOOKUP(I552,episodes!$A$1:$D$81,4,FALSE)</f>
        <v>18</v>
      </c>
      <c r="O552" s="14">
        <v>0</v>
      </c>
      <c r="P552" s="24">
        <f>LEN(E552)+LEN(K552)</f>
        <v>77</v>
      </c>
      <c r="Q552" s="24">
        <f>COUNTIFS(B:B,B551)</f>
        <v>12</v>
      </c>
      <c r="R552" s="24">
        <f>COUNTIFS(D:D,D552)</f>
        <v>27</v>
      </c>
    </row>
    <row r="553" spans="1:18" x14ac:dyDescent="0.3">
      <c r="A553" s="14">
        <v>1032</v>
      </c>
      <c r="B553" s="21" t="s">
        <v>1659</v>
      </c>
      <c r="C553" s="21" t="s">
        <v>1</v>
      </c>
      <c r="D553" s="1" t="s">
        <v>2698</v>
      </c>
      <c r="E553" s="1" t="s">
        <v>406</v>
      </c>
      <c r="F553" s="21" t="s">
        <v>2283</v>
      </c>
      <c r="G553" s="14">
        <v>0</v>
      </c>
      <c r="H553" s="14">
        <v>0</v>
      </c>
      <c r="I553" s="22">
        <v>122</v>
      </c>
      <c r="J553" s="23">
        <f>VLOOKUP(I553,episodes!$A$1:$B$76,2,FALSE)</f>
        <v>23</v>
      </c>
      <c r="K553" s="16" t="str">
        <f>VLOOKUP(I553,episodes!$A$1:$E$81,5,FALSE)</f>
        <v>Space Seed</v>
      </c>
      <c r="L553" s="16">
        <f>VLOOKUP(I553,episodes!$A$1:$D$81,3,FALSE)</f>
        <v>1</v>
      </c>
      <c r="M553" s="16">
        <f>VLOOKUP(I553,episodes!$A$1:$D$81,4,FALSE)</f>
        <v>22</v>
      </c>
      <c r="O553" s="14">
        <v>0</v>
      </c>
      <c r="P553" s="24">
        <f>LEN(E553)+LEN(K553)</f>
        <v>45</v>
      </c>
      <c r="Q553" s="24"/>
      <c r="R553" s="24"/>
    </row>
    <row r="554" spans="1:18" x14ac:dyDescent="0.3">
      <c r="A554" s="14">
        <v>738</v>
      </c>
      <c r="B554" s="21" t="s">
        <v>1108</v>
      </c>
      <c r="C554" s="21" t="s">
        <v>1</v>
      </c>
      <c r="D554" s="1" t="s">
        <v>2698</v>
      </c>
      <c r="E554" s="1" t="s">
        <v>604</v>
      </c>
      <c r="F554" s="21" t="s">
        <v>4</v>
      </c>
      <c r="G554" s="14">
        <v>1</v>
      </c>
      <c r="H554" s="14">
        <v>0</v>
      </c>
      <c r="I554" s="22">
        <v>117</v>
      </c>
      <c r="J554" s="23">
        <f>VLOOKUP(I554,episodes!$A$1:$B$76,2,FALSE)</f>
        <v>18</v>
      </c>
      <c r="K554" s="16" t="str">
        <f>VLOOKUP(I554,episodes!$A$1:$E$81,5,FALSE)</f>
        <v>The Squire of Gothos</v>
      </c>
      <c r="L554" s="16">
        <f>VLOOKUP(I554,episodes!$A$1:$D$81,3,FALSE)</f>
        <v>1</v>
      </c>
      <c r="M554" s="16">
        <f>VLOOKUP(I554,episodes!$A$1:$D$81,4,FALSE)</f>
        <v>17</v>
      </c>
      <c r="O554" s="14">
        <v>0</v>
      </c>
      <c r="P554" s="24">
        <f>LEN(E554)+LEN(K554)</f>
        <v>99</v>
      </c>
      <c r="Q554" s="24">
        <f>COUNTIFS(B:B,B553)</f>
        <v>6</v>
      </c>
      <c r="R554" s="24">
        <f>COUNTIFS(D:D,D554)</f>
        <v>27</v>
      </c>
    </row>
    <row r="555" spans="1:18" x14ac:dyDescent="0.3">
      <c r="A555" s="14">
        <v>768</v>
      </c>
      <c r="B555" s="21" t="s">
        <v>1891</v>
      </c>
      <c r="C555" s="1" t="s">
        <v>1</v>
      </c>
      <c r="D555" s="1" t="s">
        <v>2698</v>
      </c>
      <c r="E555" s="1" t="s">
        <v>617</v>
      </c>
      <c r="F555" s="21" t="s">
        <v>4</v>
      </c>
      <c r="G555" s="14">
        <v>1</v>
      </c>
      <c r="H555" s="14">
        <v>0</v>
      </c>
      <c r="I555" s="22">
        <v>119</v>
      </c>
      <c r="J555" s="23">
        <f>VLOOKUP(I555,episodes!$A$1:$B$76,2,FALSE)</f>
        <v>20</v>
      </c>
      <c r="K555" s="16" t="str">
        <f>VLOOKUP(I555,episodes!$A$1:$E$81,5,FALSE)</f>
        <v>Tomorrow Is Yesterday</v>
      </c>
      <c r="L555" s="16">
        <f>VLOOKUP(I555,episodes!$A$1:$D$81,3,FALSE)</f>
        <v>1</v>
      </c>
      <c r="M555" s="16">
        <f>VLOOKUP(I555,episodes!$A$1:$D$81,4,FALSE)</f>
        <v>19</v>
      </c>
      <c r="O555" s="14">
        <v>0</v>
      </c>
      <c r="P555" s="24">
        <f>LEN(E555)+LEN(K555)</f>
        <v>100</v>
      </c>
      <c r="Q555" s="24">
        <f>COUNTIFS(B:B,#REF!)</f>
        <v>0</v>
      </c>
      <c r="R555" s="24">
        <f>COUNTIFS(D:D,D555)</f>
        <v>27</v>
      </c>
    </row>
    <row r="556" spans="1:18" x14ac:dyDescent="0.3">
      <c r="A556" s="14">
        <v>626</v>
      </c>
      <c r="B556" s="21" t="s">
        <v>1109</v>
      </c>
      <c r="C556" s="21" t="s">
        <v>1</v>
      </c>
      <c r="D556" s="1" t="s">
        <v>2698</v>
      </c>
      <c r="E556" s="1" t="s">
        <v>1164</v>
      </c>
      <c r="F556" s="21" t="s">
        <v>4</v>
      </c>
      <c r="G556" s="14">
        <v>1</v>
      </c>
      <c r="H556" s="14">
        <v>0</v>
      </c>
      <c r="I556" s="25">
        <v>107</v>
      </c>
      <c r="J556" s="23">
        <f>VLOOKUP(I556,episodes!$A$1:$B$76,2,FALSE)</f>
        <v>8</v>
      </c>
      <c r="K556" s="16" t="str">
        <f>VLOOKUP(I556,episodes!$A$1:$E$81,5,FALSE)</f>
        <v>What Are Little Girls Made Of?</v>
      </c>
      <c r="L556" s="16">
        <f>VLOOKUP(I556,episodes!$A$1:$D$81,3,FALSE)</f>
        <v>1</v>
      </c>
      <c r="M556" s="16">
        <f>VLOOKUP(I556,episodes!$A$1:$D$81,4,FALSE)</f>
        <v>7</v>
      </c>
      <c r="O556" s="14">
        <v>0</v>
      </c>
      <c r="P556" s="24">
        <f>LEN(E556)+LEN(K556)</f>
        <v>62</v>
      </c>
      <c r="Q556" s="24">
        <f>COUNTIFS(B:B,B555)</f>
        <v>3</v>
      </c>
      <c r="R556" s="24">
        <f>COUNTIFS(D:D,D556)</f>
        <v>27</v>
      </c>
    </row>
    <row r="557" spans="1:18" x14ac:dyDescent="0.3">
      <c r="A557" s="14">
        <v>644</v>
      </c>
      <c r="B557" s="21" t="s">
        <v>749</v>
      </c>
      <c r="C557" s="21" t="s">
        <v>1</v>
      </c>
      <c r="D557" s="21" t="s">
        <v>2698</v>
      </c>
      <c r="E557" s="1" t="s">
        <v>474</v>
      </c>
      <c r="F557" s="21" t="s">
        <v>4</v>
      </c>
      <c r="G557" s="14">
        <v>1</v>
      </c>
      <c r="H557" s="14">
        <v>0</v>
      </c>
      <c r="I557" s="25">
        <v>108</v>
      </c>
      <c r="J557" s="23">
        <f>VLOOKUP(I557,episodes!$A$1:$B$76,2,FALSE)</f>
        <v>9</v>
      </c>
      <c r="K557" s="16" t="str">
        <f>VLOOKUP(I557,episodes!$A$1:$E$81,5,FALSE)</f>
        <v>Miri</v>
      </c>
      <c r="L557" s="16">
        <f>VLOOKUP(I557,episodes!$A$1:$D$81,3,FALSE)</f>
        <v>1</v>
      </c>
      <c r="M557" s="16">
        <f>VLOOKUP(I557,episodes!$A$1:$D$81,4,FALSE)</f>
        <v>8</v>
      </c>
      <c r="O557" s="14">
        <v>0</v>
      </c>
      <c r="P557" s="24">
        <f>LEN(E557)+LEN(K557)</f>
        <v>51</v>
      </c>
      <c r="Q557" s="24">
        <f>COUNTIFS(B:B,B556)</f>
        <v>2</v>
      </c>
      <c r="R557" s="24">
        <f>COUNTIFS(D:D,C557)</f>
        <v>1</v>
      </c>
    </row>
    <row r="558" spans="1:18" x14ac:dyDescent="0.3">
      <c r="A558" s="14">
        <v>627</v>
      </c>
      <c r="B558" s="21" t="s">
        <v>1109</v>
      </c>
      <c r="C558" s="21" t="s">
        <v>1</v>
      </c>
      <c r="D558" s="1" t="s">
        <v>2698</v>
      </c>
      <c r="E558" s="1" t="s">
        <v>1165</v>
      </c>
      <c r="F558" s="21" t="s">
        <v>4</v>
      </c>
      <c r="G558" s="14">
        <v>1</v>
      </c>
      <c r="H558" s="14">
        <v>0</v>
      </c>
      <c r="I558" s="25">
        <v>107</v>
      </c>
      <c r="J558" s="23">
        <f>VLOOKUP(I558,episodes!$A$1:$B$76,2,FALSE)</f>
        <v>8</v>
      </c>
      <c r="K558" s="16" t="str">
        <f>VLOOKUP(I558,episodes!$A$1:$E$81,5,FALSE)</f>
        <v>What Are Little Girls Made Of?</v>
      </c>
      <c r="L558" s="16">
        <f>VLOOKUP(I558,episodes!$A$1:$D$81,3,FALSE)</f>
        <v>1</v>
      </c>
      <c r="M558" s="16">
        <f>VLOOKUP(I558,episodes!$A$1:$D$81,4,FALSE)</f>
        <v>7</v>
      </c>
      <c r="O558" s="14">
        <v>0</v>
      </c>
      <c r="P558" s="24">
        <f>LEN(E558)+LEN(K558)</f>
        <v>52</v>
      </c>
      <c r="Q558" s="24">
        <f>COUNTIFS(B:B,B557)</f>
        <v>38</v>
      </c>
      <c r="R558" s="24">
        <f>COUNTIFS(D:D,D558)</f>
        <v>27</v>
      </c>
    </row>
    <row r="559" spans="1:18" x14ac:dyDescent="0.3">
      <c r="A559" s="14">
        <v>812</v>
      </c>
      <c r="B559" s="21" t="s">
        <v>1891</v>
      </c>
      <c r="C559" s="1" t="s">
        <v>1</v>
      </c>
      <c r="D559" s="1" t="s">
        <v>2698</v>
      </c>
      <c r="E559" s="1" t="s">
        <v>654</v>
      </c>
      <c r="F559" s="21" t="s">
        <v>4</v>
      </c>
      <c r="G559" s="14">
        <v>1</v>
      </c>
      <c r="H559" s="14">
        <v>0</v>
      </c>
      <c r="I559" s="22">
        <v>123</v>
      </c>
      <c r="J559" s="23">
        <f>VLOOKUP(I559,episodes!$A$1:$B$76,2,FALSE)</f>
        <v>24</v>
      </c>
      <c r="K559" s="16" t="str">
        <f>VLOOKUP(I559,episodes!$A$1:$E$81,5,FALSE)</f>
        <v>A Taste of Armageddon</v>
      </c>
      <c r="L559" s="16">
        <f>VLOOKUP(I559,episodes!$A$1:$D$81,3,FALSE)</f>
        <v>1</v>
      </c>
      <c r="M559" s="16">
        <f>VLOOKUP(I559,episodes!$A$1:$D$81,4,FALSE)</f>
        <v>23</v>
      </c>
      <c r="O559" s="14">
        <v>0</v>
      </c>
      <c r="P559" s="24">
        <f>LEN(E559)+LEN(K559)</f>
        <v>88</v>
      </c>
      <c r="Q559" s="24">
        <f>COUNTIFS(B:B,B558)</f>
        <v>2</v>
      </c>
      <c r="R559" s="24">
        <f>COUNTIFS(D:D,D559)</f>
        <v>27</v>
      </c>
    </row>
    <row r="560" spans="1:18" x14ac:dyDescent="0.3">
      <c r="A560" s="14">
        <v>620</v>
      </c>
      <c r="B560" s="21" t="s">
        <v>1640</v>
      </c>
      <c r="C560" s="21" t="s">
        <v>1</v>
      </c>
      <c r="D560" s="1" t="s">
        <v>2698</v>
      </c>
      <c r="E560" s="1" t="s">
        <v>2422</v>
      </c>
      <c r="F560" s="21" t="s">
        <v>4</v>
      </c>
      <c r="G560" s="14">
        <v>1</v>
      </c>
      <c r="H560" s="14">
        <v>0</v>
      </c>
      <c r="I560" s="25">
        <v>107</v>
      </c>
      <c r="J560" s="23">
        <f>VLOOKUP(I560,episodes!$A$1:$B$76,2,FALSE)</f>
        <v>8</v>
      </c>
      <c r="K560" s="16" t="str">
        <f>VLOOKUP(I560,episodes!$A$1:$E$81,5,FALSE)</f>
        <v>What Are Little Girls Made Of?</v>
      </c>
      <c r="L560" s="16">
        <f>VLOOKUP(I560,episodes!$A$1:$D$81,3,FALSE)</f>
        <v>1</v>
      </c>
      <c r="M560" s="16">
        <f>VLOOKUP(I560,episodes!$A$1:$D$81,4,FALSE)</f>
        <v>7</v>
      </c>
      <c r="O560" s="14">
        <v>0</v>
      </c>
      <c r="P560" s="24">
        <f>LEN(E560)+LEN(K560)</f>
        <v>62</v>
      </c>
      <c r="Q560" s="24">
        <f>COUNTIFS(B:B,B559)</f>
        <v>3</v>
      </c>
      <c r="R560" s="24">
        <f>COUNTIFS(D:D,D560)</f>
        <v>27</v>
      </c>
    </row>
    <row r="561" spans="1:18" x14ac:dyDescent="0.3">
      <c r="A561" s="14">
        <v>621</v>
      </c>
      <c r="B561" s="21" t="s">
        <v>1640</v>
      </c>
      <c r="C561" s="21" t="s">
        <v>1</v>
      </c>
      <c r="D561" s="1" t="s">
        <v>2698</v>
      </c>
      <c r="E561" s="1" t="s">
        <v>2423</v>
      </c>
      <c r="F561" s="21" t="s">
        <v>4</v>
      </c>
      <c r="G561" s="14">
        <v>1</v>
      </c>
      <c r="H561" s="14">
        <v>0</v>
      </c>
      <c r="I561" s="25">
        <v>107</v>
      </c>
      <c r="J561" s="23">
        <f>VLOOKUP(I561,episodes!$A$1:$B$76,2,FALSE)</f>
        <v>8</v>
      </c>
      <c r="K561" s="16" t="str">
        <f>VLOOKUP(I561,episodes!$A$1:$E$81,5,FALSE)</f>
        <v>What Are Little Girls Made Of?</v>
      </c>
      <c r="L561" s="16">
        <f>VLOOKUP(I561,episodes!$A$1:$D$81,3,FALSE)</f>
        <v>1</v>
      </c>
      <c r="M561" s="16">
        <f>VLOOKUP(I561,episodes!$A$1:$D$81,4,FALSE)</f>
        <v>7</v>
      </c>
      <c r="O561" s="14">
        <v>0</v>
      </c>
      <c r="P561" s="24">
        <f>LEN(E561)+LEN(K561)</f>
        <v>62</v>
      </c>
      <c r="Q561" s="24">
        <f>COUNTIFS(B:B,B560)</f>
        <v>12</v>
      </c>
      <c r="R561" s="24">
        <f>COUNTIFS(D:D,D561)</f>
        <v>27</v>
      </c>
    </row>
    <row r="562" spans="1:18" x14ac:dyDescent="0.3">
      <c r="A562" s="14">
        <v>622</v>
      </c>
      <c r="B562" s="21" t="s">
        <v>1640</v>
      </c>
      <c r="C562" s="21" t="s">
        <v>1</v>
      </c>
      <c r="D562" s="1" t="s">
        <v>2698</v>
      </c>
      <c r="E562" s="1" t="s">
        <v>2424</v>
      </c>
      <c r="F562" s="21" t="s">
        <v>4</v>
      </c>
      <c r="G562" s="14">
        <v>1</v>
      </c>
      <c r="H562" s="14">
        <v>0</v>
      </c>
      <c r="I562" s="25">
        <v>107</v>
      </c>
      <c r="J562" s="23">
        <f>VLOOKUP(I562,episodes!$A$1:$B$76,2,FALSE)</f>
        <v>8</v>
      </c>
      <c r="K562" s="16" t="str">
        <f>VLOOKUP(I562,episodes!$A$1:$E$81,5,FALSE)</f>
        <v>What Are Little Girls Made Of?</v>
      </c>
      <c r="L562" s="16">
        <f>VLOOKUP(I562,episodes!$A$1:$D$81,3,FALSE)</f>
        <v>1</v>
      </c>
      <c r="M562" s="16">
        <f>VLOOKUP(I562,episodes!$A$1:$D$81,4,FALSE)</f>
        <v>7</v>
      </c>
      <c r="O562" s="14">
        <v>0</v>
      </c>
      <c r="P562" s="24">
        <f>LEN(E562)+LEN(K562)</f>
        <v>62</v>
      </c>
      <c r="Q562" s="24">
        <f>COUNTIFS(B:B,B561)</f>
        <v>12</v>
      </c>
      <c r="R562" s="24">
        <f>COUNTIFS(D:D,D562)</f>
        <v>27</v>
      </c>
    </row>
    <row r="563" spans="1:18" x14ac:dyDescent="0.3">
      <c r="A563" s="14">
        <v>813</v>
      </c>
      <c r="B563" s="21" t="s">
        <v>1891</v>
      </c>
      <c r="C563" s="1" t="s">
        <v>1</v>
      </c>
      <c r="D563" s="1" t="s">
        <v>2698</v>
      </c>
      <c r="E563" s="1" t="s">
        <v>410</v>
      </c>
      <c r="F563" s="21" t="s">
        <v>4</v>
      </c>
      <c r="G563" s="14">
        <v>1</v>
      </c>
      <c r="H563" s="14">
        <v>0</v>
      </c>
      <c r="I563" s="22">
        <v>123</v>
      </c>
      <c r="J563" s="23">
        <f>VLOOKUP(I563,episodes!$A$1:$B$76,2,FALSE)</f>
        <v>24</v>
      </c>
      <c r="K563" s="16" t="str">
        <f>VLOOKUP(I563,episodes!$A$1:$E$81,5,FALSE)</f>
        <v>A Taste of Armageddon</v>
      </c>
      <c r="L563" s="16">
        <f>VLOOKUP(I563,episodes!$A$1:$D$81,3,FALSE)</f>
        <v>1</v>
      </c>
      <c r="M563" s="16">
        <f>VLOOKUP(I563,episodes!$A$1:$D$81,4,FALSE)</f>
        <v>23</v>
      </c>
      <c r="O563" s="14">
        <v>0</v>
      </c>
      <c r="P563" s="24">
        <f>LEN(E563)+LEN(K563)</f>
        <v>75</v>
      </c>
      <c r="Q563" s="24">
        <f>COUNTIFS(B:B,B562)</f>
        <v>12</v>
      </c>
      <c r="R563" s="24">
        <f>COUNTIFS(D:D,D563)</f>
        <v>27</v>
      </c>
    </row>
    <row r="564" spans="1:18" x14ac:dyDescent="0.3">
      <c r="A564" s="14">
        <v>976</v>
      </c>
      <c r="B564" s="21" t="s">
        <v>1108</v>
      </c>
      <c r="C564" s="21" t="s">
        <v>1</v>
      </c>
      <c r="D564" s="1" t="s">
        <v>2698</v>
      </c>
      <c r="E564" s="1" t="s">
        <v>2415</v>
      </c>
      <c r="F564" s="21" t="s">
        <v>4</v>
      </c>
      <c r="G564" s="14">
        <v>1</v>
      </c>
      <c r="H564" s="14">
        <v>0</v>
      </c>
      <c r="I564" s="22">
        <v>117</v>
      </c>
      <c r="J564" s="23">
        <f>VLOOKUP(I564,episodes!$A$1:$B$76,2,FALSE)</f>
        <v>18</v>
      </c>
      <c r="K564" s="16" t="str">
        <f>VLOOKUP(I564,episodes!$A$1:$E$81,5,FALSE)</f>
        <v>The Squire of Gothos</v>
      </c>
      <c r="L564" s="16">
        <f>VLOOKUP(I564,episodes!$A$1:$D$81,3,FALSE)</f>
        <v>1</v>
      </c>
      <c r="M564" s="16">
        <f>VLOOKUP(I564,episodes!$A$1:$D$81,4,FALSE)</f>
        <v>17</v>
      </c>
      <c r="O564" s="14">
        <v>0</v>
      </c>
      <c r="P564" s="24">
        <f>LEN(E564)+LEN(K564)</f>
        <v>56</v>
      </c>
      <c r="Q564" s="24">
        <f>COUNTIFS(B:B,B563)</f>
        <v>3</v>
      </c>
      <c r="R564" s="24">
        <f>COUNTIFS(D:D,D564)</f>
        <v>27</v>
      </c>
    </row>
    <row r="565" spans="1:18" x14ac:dyDescent="0.3">
      <c r="A565" s="14">
        <v>641</v>
      </c>
      <c r="B565" s="21" t="s">
        <v>1640</v>
      </c>
      <c r="C565" s="21" t="s">
        <v>1</v>
      </c>
      <c r="D565" s="1" t="s">
        <v>2698</v>
      </c>
      <c r="E565" s="1" t="s">
        <v>1720</v>
      </c>
      <c r="F565" s="21" t="s">
        <v>4</v>
      </c>
      <c r="G565" s="14">
        <v>1</v>
      </c>
      <c r="H565" s="14">
        <v>0</v>
      </c>
      <c r="I565" s="25">
        <v>108</v>
      </c>
      <c r="J565" s="23">
        <f>VLOOKUP(I565,episodes!$A$1:$B$76,2,FALSE)</f>
        <v>9</v>
      </c>
      <c r="K565" s="16" t="str">
        <f>VLOOKUP(I565,episodes!$A$1:$E$81,5,FALSE)</f>
        <v>Miri</v>
      </c>
      <c r="L565" s="16">
        <f>VLOOKUP(I565,episodes!$A$1:$D$81,3,FALSE)</f>
        <v>1</v>
      </c>
      <c r="M565" s="16">
        <f>VLOOKUP(I565,episodes!$A$1:$D$81,4,FALSE)</f>
        <v>8</v>
      </c>
      <c r="O565" s="14">
        <v>0</v>
      </c>
      <c r="P565" s="24">
        <f>LEN(E565)+LEN(K565)</f>
        <v>125</v>
      </c>
      <c r="Q565" s="24">
        <f>COUNTIFS(B:B,B564)</f>
        <v>4</v>
      </c>
      <c r="R565" s="24">
        <f>COUNTIFS(D:D,D565)</f>
        <v>27</v>
      </c>
    </row>
    <row r="566" spans="1:18" x14ac:dyDescent="0.3">
      <c r="A566" s="14">
        <v>1932</v>
      </c>
      <c r="B566" s="21" t="s">
        <v>1640</v>
      </c>
      <c r="C566" s="21" t="s">
        <v>1</v>
      </c>
      <c r="D566" s="1" t="s">
        <v>2698</v>
      </c>
      <c r="E566" s="1" t="s">
        <v>1026</v>
      </c>
      <c r="F566" s="21" t="s">
        <v>2228</v>
      </c>
      <c r="G566" s="14">
        <v>0</v>
      </c>
      <c r="H566" s="14">
        <v>0</v>
      </c>
      <c r="I566" s="22">
        <v>208</v>
      </c>
      <c r="J566" s="23">
        <f>VLOOKUP(I566,episodes!$A$1:$B$81,2,FALSE)</f>
        <v>38</v>
      </c>
      <c r="K566" s="16" t="str">
        <f>VLOOKUP(I566,episodes!$A$1:$E$81,5,FALSE)</f>
        <v>I, Mudd</v>
      </c>
      <c r="L566" s="16">
        <f>VLOOKUP(I566,episodes!$A$1:$D$81,3,FALSE)</f>
        <v>2</v>
      </c>
      <c r="M566" s="16">
        <f>VLOOKUP(I566,episodes!$A$1:$D$81,4,FALSE)</f>
        <v>8</v>
      </c>
      <c r="O566" s="14">
        <v>0</v>
      </c>
      <c r="P566" s="24">
        <f>LEN(E566)+LEN(K566)</f>
        <v>64</v>
      </c>
      <c r="Q566" s="24">
        <f>COUNTIFS(B:B,B565)</f>
        <v>12</v>
      </c>
      <c r="R566" s="24">
        <f>COUNTIFS(D:D,D566)</f>
        <v>27</v>
      </c>
    </row>
    <row r="567" spans="1:18" x14ac:dyDescent="0.3">
      <c r="A567" s="14">
        <v>1933</v>
      </c>
      <c r="B567" s="21" t="s">
        <v>1640</v>
      </c>
      <c r="C567" s="21" t="s">
        <v>1</v>
      </c>
      <c r="D567" s="1" t="s">
        <v>2698</v>
      </c>
      <c r="E567" s="1" t="s">
        <v>2028</v>
      </c>
      <c r="F567" s="21" t="s">
        <v>2228</v>
      </c>
      <c r="G567" s="14">
        <v>0</v>
      </c>
      <c r="H567" s="14">
        <v>0</v>
      </c>
      <c r="I567" s="22">
        <v>208</v>
      </c>
      <c r="J567" s="23">
        <f>VLOOKUP(I567,episodes!$A$1:$B$81,2,FALSE)</f>
        <v>38</v>
      </c>
      <c r="K567" s="16" t="str">
        <f>VLOOKUP(I567,episodes!$A$1:$E$81,5,FALSE)</f>
        <v>I, Mudd</v>
      </c>
      <c r="L567" s="16">
        <f>VLOOKUP(I567,episodes!$A$1:$D$81,3,FALSE)</f>
        <v>2</v>
      </c>
      <c r="M567" s="16">
        <f>VLOOKUP(I567,episodes!$A$1:$D$81,4,FALSE)</f>
        <v>8</v>
      </c>
      <c r="O567" s="14">
        <v>0</v>
      </c>
      <c r="P567" s="24">
        <f>LEN(E567)+LEN(K567)</f>
        <v>69</v>
      </c>
      <c r="Q567" s="24">
        <f>COUNTIFS(B:B,B566)</f>
        <v>12</v>
      </c>
      <c r="R567" s="24">
        <f>COUNTIFS(D:D,D567)</f>
        <v>27</v>
      </c>
    </row>
    <row r="568" spans="1:18" x14ac:dyDescent="0.3">
      <c r="A568" s="14">
        <v>1934</v>
      </c>
      <c r="B568" s="21" t="s">
        <v>1640</v>
      </c>
      <c r="C568" s="21" t="s">
        <v>1</v>
      </c>
      <c r="D568" s="1" t="s">
        <v>2698</v>
      </c>
      <c r="E568" s="1" t="s">
        <v>2029</v>
      </c>
      <c r="F568" s="21" t="s">
        <v>2228</v>
      </c>
      <c r="G568" s="14">
        <v>0</v>
      </c>
      <c r="H568" s="14">
        <v>0</v>
      </c>
      <c r="I568" s="22">
        <v>208</v>
      </c>
      <c r="J568" s="23">
        <f>VLOOKUP(I568,episodes!$A$1:$B$81,2,FALSE)</f>
        <v>38</v>
      </c>
      <c r="K568" s="16" t="str">
        <f>VLOOKUP(I568,episodes!$A$1:$E$81,5,FALSE)</f>
        <v>I, Mudd</v>
      </c>
      <c r="L568" s="16">
        <f>VLOOKUP(I568,episodes!$A$1:$D$81,3,FALSE)</f>
        <v>2</v>
      </c>
      <c r="M568" s="16">
        <f>VLOOKUP(I568,episodes!$A$1:$D$81,4,FALSE)</f>
        <v>8</v>
      </c>
      <c r="O568" s="14">
        <v>0</v>
      </c>
      <c r="P568" s="24">
        <f>LEN(E568)+LEN(K568)</f>
        <v>79</v>
      </c>
      <c r="Q568" s="24">
        <f>COUNTIFS(B:B,B567)</f>
        <v>12</v>
      </c>
      <c r="R568" s="24">
        <f>COUNTIFS(D:D,D568)</f>
        <v>27</v>
      </c>
    </row>
    <row r="569" spans="1:18" x14ac:dyDescent="0.3">
      <c r="A569" s="14">
        <v>200</v>
      </c>
      <c r="B569" s="21" t="s">
        <v>749</v>
      </c>
      <c r="C569" s="21" t="s">
        <v>1</v>
      </c>
      <c r="D569" s="21" t="s">
        <v>2698</v>
      </c>
      <c r="E569" s="1" t="s">
        <v>2406</v>
      </c>
      <c r="F569" s="21" t="s">
        <v>45</v>
      </c>
      <c r="G569" s="14">
        <v>0</v>
      </c>
      <c r="H569" s="14">
        <v>0</v>
      </c>
      <c r="I569" s="25">
        <v>105</v>
      </c>
      <c r="J569" s="23">
        <f>VLOOKUP(I569,episodes!$A$1:$B$76,2,FALSE)</f>
        <v>6</v>
      </c>
      <c r="K569" s="16" t="str">
        <f>VLOOKUP(I569,episodes!$A$1:$E$81,5,FALSE)</f>
        <v>The Enemy Within</v>
      </c>
      <c r="L569" s="16">
        <f>VLOOKUP(I569,episodes!$A$1:$D$81,3,FALSE)</f>
        <v>1</v>
      </c>
      <c r="M569" s="16">
        <f>VLOOKUP(I569,episodes!$A$1:$D$81,4,FALSE)</f>
        <v>5</v>
      </c>
      <c r="O569" s="14">
        <v>0</v>
      </c>
      <c r="P569" s="24">
        <f>LEN(E569)+LEN(K569)</f>
        <v>61</v>
      </c>
      <c r="Q569" s="24"/>
      <c r="R569" s="24">
        <f>COUNTIFS(D:D,D569)</f>
        <v>27</v>
      </c>
    </row>
    <row r="570" spans="1:18" x14ac:dyDescent="0.3">
      <c r="A570" s="14">
        <v>2438</v>
      </c>
      <c r="B570" s="21" t="s">
        <v>1659</v>
      </c>
      <c r="C570" s="21" t="s">
        <v>1</v>
      </c>
      <c r="D570" s="21" t="s">
        <v>2698</v>
      </c>
      <c r="E570" s="1" t="s">
        <v>397</v>
      </c>
      <c r="F570" s="21" t="s">
        <v>1861</v>
      </c>
      <c r="G570" s="14">
        <v>0</v>
      </c>
      <c r="H570" s="14">
        <v>1</v>
      </c>
      <c r="I570" s="22">
        <v>115</v>
      </c>
      <c r="J570" s="23">
        <f>VLOOKUP(I570,episodes!$A$1:$B$76,2,FALSE)</f>
        <v>16</v>
      </c>
      <c r="K570" s="16" t="str">
        <f>VLOOKUP(I570,episodes!$A$1:$E$81,5,FALSE)</f>
        <v>Shore Leave</v>
      </c>
      <c r="L570" s="16">
        <f>VLOOKUP(I570,episodes!$A$1:$D$81,3,FALSE)</f>
        <v>1</v>
      </c>
      <c r="M570" s="16">
        <f>VLOOKUP(I570,episodes!$A$1:$D$81,4,FALSE)</f>
        <v>15</v>
      </c>
      <c r="O570" s="14">
        <v>0</v>
      </c>
      <c r="P570" s="24">
        <f>LEN(E570)+LEN(K570)</f>
        <v>32</v>
      </c>
      <c r="Q570" s="24">
        <f>COUNTIFS(B:B,#REF!)</f>
        <v>0</v>
      </c>
      <c r="R570" s="24">
        <f>COUNTIFS(D:D,D570)</f>
        <v>27</v>
      </c>
    </row>
    <row r="571" spans="1:18" x14ac:dyDescent="0.3">
      <c r="A571" s="14">
        <v>1981</v>
      </c>
      <c r="B571" s="21" t="s">
        <v>1108</v>
      </c>
      <c r="C571" s="21" t="s">
        <v>1</v>
      </c>
      <c r="D571" s="1" t="s">
        <v>2698</v>
      </c>
      <c r="E571" s="1" t="s">
        <v>432</v>
      </c>
      <c r="F571" s="21" t="s">
        <v>6</v>
      </c>
      <c r="G571" s="14">
        <v>0</v>
      </c>
      <c r="H571" s="14">
        <v>1</v>
      </c>
      <c r="I571" s="25">
        <v>202</v>
      </c>
      <c r="J571" s="23">
        <f>VLOOKUP(I571,episodes!$A$1:$B$76,2,FALSE)</f>
        <v>32</v>
      </c>
      <c r="K571" s="16" t="str">
        <f>VLOOKUP(I571,episodes!$A$1:$E$81,5,FALSE)</f>
        <v>Who Mourns for Adonais?</v>
      </c>
      <c r="L571" s="16">
        <f>VLOOKUP(I571,episodes!$A$1:$D$81,3,FALSE)</f>
        <v>2</v>
      </c>
      <c r="M571" s="16">
        <f>VLOOKUP(I571,episodes!$A$1:$D$81,4,FALSE)</f>
        <v>2</v>
      </c>
      <c r="O571" s="14">
        <v>0</v>
      </c>
      <c r="P571" s="24">
        <f>LEN(E571)+LEN(K571)</f>
        <v>76</v>
      </c>
      <c r="Q571" s="24">
        <f>COUNTIFS(B:B,B570)</f>
        <v>6</v>
      </c>
      <c r="R571" s="24">
        <f>COUNTIFS(D:D,D571)</f>
        <v>27</v>
      </c>
    </row>
    <row r="572" spans="1:18" x14ac:dyDescent="0.3">
      <c r="A572" s="14">
        <v>2002</v>
      </c>
      <c r="B572" s="21" t="s">
        <v>1640</v>
      </c>
      <c r="C572" s="21" t="s">
        <v>1</v>
      </c>
      <c r="D572" s="1" t="s">
        <v>2698</v>
      </c>
      <c r="E572" s="1" t="s">
        <v>2405</v>
      </c>
      <c r="F572" s="21" t="s">
        <v>6</v>
      </c>
      <c r="G572" s="14">
        <v>0</v>
      </c>
      <c r="H572" s="14">
        <v>1</v>
      </c>
      <c r="I572" s="25">
        <v>202</v>
      </c>
      <c r="J572" s="23">
        <f>VLOOKUP(I572,episodes!$A$1:$B$76,2,FALSE)</f>
        <v>32</v>
      </c>
      <c r="K572" s="16" t="str">
        <f>VLOOKUP(I572,episodes!$A$1:$E$81,5,FALSE)</f>
        <v>Who Mourns for Adonais?</v>
      </c>
      <c r="L572" s="16">
        <f>VLOOKUP(I572,episodes!$A$1:$D$81,3,FALSE)</f>
        <v>2</v>
      </c>
      <c r="M572" s="16">
        <f>VLOOKUP(I572,episodes!$A$1:$D$81,4,FALSE)</f>
        <v>2</v>
      </c>
      <c r="O572" s="14">
        <v>0</v>
      </c>
      <c r="P572" s="24">
        <f>LEN(E572)+LEN(K572)</f>
        <v>122</v>
      </c>
      <c r="Q572" s="24">
        <f>COUNTIFS(B:B,B571)</f>
        <v>4</v>
      </c>
      <c r="R572" s="24">
        <f>COUNTIFS(D:D,D572)</f>
        <v>27</v>
      </c>
    </row>
    <row r="573" spans="1:18" x14ac:dyDescent="0.3">
      <c r="A573" s="14">
        <v>2279</v>
      </c>
      <c r="B573" s="21" t="s">
        <v>1659</v>
      </c>
      <c r="C573" s="1" t="s">
        <v>1</v>
      </c>
      <c r="D573" s="1" t="s">
        <v>2698</v>
      </c>
      <c r="E573" s="1" t="s">
        <v>1662</v>
      </c>
      <c r="F573" s="21" t="s">
        <v>5</v>
      </c>
      <c r="G573" s="14">
        <v>1</v>
      </c>
      <c r="H573" s="14">
        <v>0</v>
      </c>
      <c r="I573" s="14">
        <v>209</v>
      </c>
      <c r="J573" s="23">
        <f>VLOOKUP(I573,episodes!$A$1:$B$81,2,FALSE)</f>
        <v>39</v>
      </c>
      <c r="K573" s="16" t="str">
        <f>VLOOKUP(I573,episodes!$A$1:$E$81,5,FALSE)</f>
        <v>Metamorphosis</v>
      </c>
      <c r="L573" s="16">
        <f>VLOOKUP(I573,episodes!$A$1:$D$81,3,FALSE)</f>
        <v>2</v>
      </c>
      <c r="M573" s="16">
        <f>VLOOKUP(I573,episodes!$A$1:$D$81,4,FALSE)</f>
        <v>9</v>
      </c>
      <c r="O573" s="14">
        <v>0</v>
      </c>
      <c r="P573" s="24">
        <f>LEN(E573)+LEN(K573)</f>
        <v>79</v>
      </c>
      <c r="Q573" s="24">
        <f>COUNTIFS(B:B,B572)</f>
        <v>12</v>
      </c>
      <c r="R573" s="24">
        <f>COUNTIFS(D:D,D573)</f>
        <v>27</v>
      </c>
    </row>
    <row r="574" spans="1:18" x14ac:dyDescent="0.3">
      <c r="A574" s="14">
        <v>2280</v>
      </c>
      <c r="B574" s="21" t="s">
        <v>1659</v>
      </c>
      <c r="C574" s="1" t="s">
        <v>1</v>
      </c>
      <c r="D574" s="1" t="s">
        <v>2698</v>
      </c>
      <c r="E574" s="1" t="s">
        <v>1045</v>
      </c>
      <c r="F574" s="21" t="s">
        <v>5</v>
      </c>
      <c r="G574" s="14">
        <v>1</v>
      </c>
      <c r="H574" s="14">
        <v>0</v>
      </c>
      <c r="I574" s="14">
        <v>209</v>
      </c>
      <c r="J574" s="23">
        <f>VLOOKUP(I574,episodes!$A$1:$B$81,2,FALSE)</f>
        <v>39</v>
      </c>
      <c r="K574" s="16" t="str">
        <f>VLOOKUP(I574,episodes!$A$1:$E$81,5,FALSE)</f>
        <v>Metamorphosis</v>
      </c>
      <c r="L574" s="16">
        <f>VLOOKUP(I574,episodes!$A$1:$D$81,3,FALSE)</f>
        <v>2</v>
      </c>
      <c r="M574" s="16">
        <f>VLOOKUP(I574,episodes!$A$1:$D$81,4,FALSE)</f>
        <v>9</v>
      </c>
      <c r="O574" s="14">
        <v>0</v>
      </c>
      <c r="P574" s="24">
        <f>LEN(E574)+LEN(K574)</f>
        <v>141</v>
      </c>
      <c r="Q574" s="24">
        <f>COUNTIFS(B:B,B573)</f>
        <v>6</v>
      </c>
      <c r="R574" s="24">
        <f>COUNTIFS(D:D,D574)</f>
        <v>27</v>
      </c>
    </row>
    <row r="575" spans="1:18" x14ac:dyDescent="0.3">
      <c r="A575" s="14">
        <v>202</v>
      </c>
      <c r="B575" s="21" t="s">
        <v>749</v>
      </c>
      <c r="C575" s="21" t="s">
        <v>1</v>
      </c>
      <c r="D575" s="21" t="s">
        <v>2698</v>
      </c>
      <c r="E575" s="1" t="s">
        <v>2407</v>
      </c>
      <c r="F575" s="21" t="s">
        <v>2286</v>
      </c>
      <c r="G575" s="14">
        <v>0</v>
      </c>
      <c r="H575" s="14">
        <v>0</v>
      </c>
      <c r="I575" s="25">
        <v>105</v>
      </c>
      <c r="J575" s="23">
        <f>VLOOKUP(I575,episodes!$A$1:$B$76,2,FALSE)</f>
        <v>6</v>
      </c>
      <c r="K575" s="16" t="str">
        <f>VLOOKUP(I575,episodes!$A$1:$E$81,5,FALSE)</f>
        <v>The Enemy Within</v>
      </c>
      <c r="L575" s="16">
        <f>VLOOKUP(I575,episodes!$A$1:$D$81,3,FALSE)</f>
        <v>1</v>
      </c>
      <c r="M575" s="16">
        <f>VLOOKUP(I575,episodes!$A$1:$D$81,4,FALSE)</f>
        <v>5</v>
      </c>
      <c r="O575" s="14">
        <v>0</v>
      </c>
      <c r="P575" s="24">
        <f>LEN(E575)+LEN(K575)</f>
        <v>64</v>
      </c>
      <c r="Q575" s="24"/>
      <c r="R575" s="24"/>
    </row>
    <row r="576" spans="1:18" x14ac:dyDescent="0.3">
      <c r="A576" s="14">
        <v>1482</v>
      </c>
      <c r="B576" s="21" t="s">
        <v>1659</v>
      </c>
      <c r="C576" s="21" t="s">
        <v>1</v>
      </c>
      <c r="D576" s="21" t="s">
        <v>2698</v>
      </c>
      <c r="E576" s="1" t="s">
        <v>2097</v>
      </c>
      <c r="F576" s="21" t="s">
        <v>8</v>
      </c>
      <c r="G576" s="14">
        <v>0</v>
      </c>
      <c r="H576" s="14">
        <v>1</v>
      </c>
      <c r="I576" s="22">
        <v>210</v>
      </c>
      <c r="J576" s="23">
        <f>VLOOKUP(I576,episodes!$A$1:$B$81,2,FALSE)</f>
        <v>40</v>
      </c>
      <c r="K576" s="16" t="str">
        <f>VLOOKUP(I576,episodes!$A$1:$E$81,5,FALSE)</f>
        <v>Journey to Babel</v>
      </c>
      <c r="L576" s="16">
        <f>VLOOKUP(I576,episodes!$A$1:$D$81,3,FALSE)</f>
        <v>2</v>
      </c>
      <c r="M576" s="16">
        <f>VLOOKUP(I576,episodes!$A$1:$D$81,4,FALSE)</f>
        <v>10</v>
      </c>
      <c r="O576" s="14">
        <v>0</v>
      </c>
      <c r="P576" s="24">
        <f>LEN(E576)+LEN(K576)</f>
        <v>72</v>
      </c>
      <c r="Q576" s="24">
        <f>COUNTIFS(B:B,B575)</f>
        <v>38</v>
      </c>
      <c r="R576" s="24">
        <f>COUNTIFS(D:D,D576)</f>
        <v>27</v>
      </c>
    </row>
    <row r="577" spans="1:18" x14ac:dyDescent="0.3">
      <c r="A577" s="14">
        <v>979</v>
      </c>
      <c r="B577" s="21" t="s">
        <v>1108</v>
      </c>
      <c r="C577" s="21" t="s">
        <v>1</v>
      </c>
      <c r="D577" s="1" t="s">
        <v>2698</v>
      </c>
      <c r="E577" s="1" t="s">
        <v>502</v>
      </c>
      <c r="F577" s="21" t="s">
        <v>2</v>
      </c>
      <c r="G577" s="14">
        <v>0</v>
      </c>
      <c r="H577" s="14">
        <v>0</v>
      </c>
      <c r="I577" s="22">
        <v>117</v>
      </c>
      <c r="J577" s="23">
        <f>VLOOKUP(I577,episodes!$A$1:$B$76,2,FALSE)</f>
        <v>18</v>
      </c>
      <c r="K577" s="16" t="str">
        <f>VLOOKUP(I577,episodes!$A$1:$E$81,5,FALSE)</f>
        <v>The Squire of Gothos</v>
      </c>
      <c r="L577" s="16">
        <f>VLOOKUP(I577,episodes!$A$1:$D$81,3,FALSE)</f>
        <v>1</v>
      </c>
      <c r="M577" s="16">
        <f>VLOOKUP(I577,episodes!$A$1:$D$81,4,FALSE)</f>
        <v>17</v>
      </c>
      <c r="O577" s="14">
        <v>0</v>
      </c>
      <c r="P577" s="24">
        <f>LEN(E577)+LEN(K577)</f>
        <v>56</v>
      </c>
      <c r="Q577" s="24"/>
      <c r="R577" s="24"/>
    </row>
    <row r="578" spans="1:18" x14ac:dyDescent="0.3">
      <c r="A578" s="14">
        <v>417</v>
      </c>
      <c r="B578" s="21" t="s">
        <v>2837</v>
      </c>
      <c r="C578" s="21" t="s">
        <v>1</v>
      </c>
      <c r="D578" s="21" t="s">
        <v>2764</v>
      </c>
      <c r="E578" s="1" t="s">
        <v>874</v>
      </c>
      <c r="F578" s="21" t="s">
        <v>2227</v>
      </c>
      <c r="G578" s="14">
        <v>0</v>
      </c>
      <c r="H578" s="14">
        <v>0</v>
      </c>
      <c r="I578" s="25">
        <v>205</v>
      </c>
      <c r="J578" s="23">
        <f>VLOOKUP(I578,episodes!$A$1:$B$81,2,FALSE)</f>
        <v>35</v>
      </c>
      <c r="K578" s="16" t="str">
        <f>VLOOKUP(I578,episodes!$A$1:$E$81,5,FALSE)</f>
        <v>The Apple</v>
      </c>
      <c r="L578" s="16">
        <f>VLOOKUP(I578,episodes!$A$1:$D$81,3,FALSE)</f>
        <v>2</v>
      </c>
      <c r="M578" s="16">
        <f>VLOOKUP(I578,episodes!$A$1:$D$81,4,FALSE)</f>
        <v>5</v>
      </c>
      <c r="O578" s="14">
        <v>0</v>
      </c>
      <c r="P578" s="24">
        <f>LEN(E578)+LEN(K578)</f>
        <v>38</v>
      </c>
      <c r="Q578" s="24">
        <f>COUNTIFS(B:B,B577)</f>
        <v>4</v>
      </c>
      <c r="R578" s="24">
        <f>COUNTIFS(D:D,D578)</f>
        <v>1</v>
      </c>
    </row>
    <row r="579" spans="1:18" x14ac:dyDescent="0.3">
      <c r="A579" s="14">
        <v>2017</v>
      </c>
      <c r="B579" s="21" t="s">
        <v>1640</v>
      </c>
      <c r="C579" s="21" t="s">
        <v>1</v>
      </c>
      <c r="D579" s="1" t="s">
        <v>2228</v>
      </c>
      <c r="E579" s="1" t="s">
        <v>2425</v>
      </c>
      <c r="F579" s="21" t="s">
        <v>2228</v>
      </c>
      <c r="G579" s="14">
        <v>0</v>
      </c>
      <c r="H579" s="14">
        <v>0</v>
      </c>
      <c r="I579" s="25">
        <v>203</v>
      </c>
      <c r="J579" s="23">
        <f>VLOOKUP(I579,episodes!$A$1:$B$76,2,FALSE)</f>
        <v>33</v>
      </c>
      <c r="K579" s="16" t="str">
        <f>VLOOKUP(I579,episodes!$A$1:$E$81,5,FALSE)</f>
        <v>The Changeling</v>
      </c>
      <c r="L579" s="16">
        <f>VLOOKUP(I579,episodes!$A$1:$D$81,3,FALSE)</f>
        <v>2</v>
      </c>
      <c r="M579" s="16">
        <f>VLOOKUP(I579,episodes!$A$1:$D$81,4,FALSE)</f>
        <v>3</v>
      </c>
      <c r="O579" s="14">
        <v>0</v>
      </c>
      <c r="P579" s="24">
        <f>LEN(E579)+LEN(K579)</f>
        <v>86</v>
      </c>
      <c r="Q579" s="24"/>
      <c r="R579" s="24"/>
    </row>
    <row r="580" spans="1:18" x14ac:dyDescent="0.3">
      <c r="A580" s="14">
        <v>2016</v>
      </c>
      <c r="B580" s="21" t="s">
        <v>1640</v>
      </c>
      <c r="C580" s="21" t="s">
        <v>1</v>
      </c>
      <c r="D580" s="1" t="s">
        <v>2228</v>
      </c>
      <c r="E580" s="1" t="s">
        <v>436</v>
      </c>
      <c r="F580" s="21" t="s">
        <v>6</v>
      </c>
      <c r="G580" s="14">
        <v>0</v>
      </c>
      <c r="H580" s="14">
        <v>1</v>
      </c>
      <c r="I580" s="25">
        <v>203</v>
      </c>
      <c r="J580" s="23">
        <f>VLOOKUP(I580,episodes!$A$1:$B$76,2,FALSE)</f>
        <v>33</v>
      </c>
      <c r="K580" s="16" t="str">
        <f>VLOOKUP(I580,episodes!$A$1:$E$81,5,FALSE)</f>
        <v>The Changeling</v>
      </c>
      <c r="L580" s="16">
        <f>VLOOKUP(I580,episodes!$A$1:$D$81,3,FALSE)</f>
        <v>2</v>
      </c>
      <c r="M580" s="16">
        <f>VLOOKUP(I580,episodes!$A$1:$D$81,4,FALSE)</f>
        <v>3</v>
      </c>
      <c r="O580" s="14">
        <v>0</v>
      </c>
      <c r="P580" s="24">
        <f>LEN(E580)+LEN(K580)</f>
        <v>68</v>
      </c>
      <c r="Q580" s="24">
        <f>COUNTIFS(B:B,B578)</f>
        <v>1</v>
      </c>
      <c r="R580" s="24">
        <f>COUNTIFS(D:D,D580)</f>
        <v>18</v>
      </c>
    </row>
    <row r="581" spans="1:18" x14ac:dyDescent="0.3">
      <c r="A581" s="14">
        <v>383</v>
      </c>
      <c r="B581" s="21" t="s">
        <v>1674</v>
      </c>
      <c r="C581" s="21" t="s">
        <v>1</v>
      </c>
      <c r="D581" s="21" t="s">
        <v>2733</v>
      </c>
      <c r="E581" s="1" t="s">
        <v>1810</v>
      </c>
      <c r="F581" s="21" t="s">
        <v>2224</v>
      </c>
      <c r="G581" s="14">
        <v>0</v>
      </c>
      <c r="H581" s="14">
        <v>0</v>
      </c>
      <c r="I581" s="22">
        <v>115</v>
      </c>
      <c r="J581" s="23">
        <f>VLOOKUP(I581,episodes!$A$1:$B$76,2,FALSE)</f>
        <v>16</v>
      </c>
      <c r="K581" s="16" t="str">
        <f>VLOOKUP(I581,episodes!$A$1:$E$81,5,FALSE)</f>
        <v>Shore Leave</v>
      </c>
      <c r="L581" s="16">
        <f>VLOOKUP(I581,episodes!$A$1:$D$81,3,FALSE)</f>
        <v>1</v>
      </c>
      <c r="M581" s="16">
        <f>VLOOKUP(I581,episodes!$A$1:$D$81,4,FALSE)</f>
        <v>15</v>
      </c>
      <c r="O581" s="14">
        <v>0</v>
      </c>
      <c r="P581" s="24">
        <f>LEN(E581)+LEN(K581)</f>
        <v>97</v>
      </c>
      <c r="Q581" s="24">
        <f>COUNTIFS(B:B,B580)</f>
        <v>12</v>
      </c>
      <c r="R581" s="24">
        <f>COUNTIFS(D:D,D581)</f>
        <v>1</v>
      </c>
    </row>
    <row r="582" spans="1:18" x14ac:dyDescent="0.3">
      <c r="A582" s="14">
        <v>2959</v>
      </c>
      <c r="B582" s="21" t="s">
        <v>328</v>
      </c>
      <c r="C582" s="21" t="s">
        <v>1</v>
      </c>
      <c r="D582" s="1" t="s">
        <v>2839</v>
      </c>
      <c r="E582" s="4" t="s">
        <v>2788</v>
      </c>
      <c r="F582" s="21" t="s">
        <v>5</v>
      </c>
      <c r="G582" s="14">
        <v>1</v>
      </c>
      <c r="H582" s="14">
        <v>0</v>
      </c>
      <c r="I582" s="7">
        <v>211</v>
      </c>
      <c r="J582" s="23">
        <f>VLOOKUP(I582,episodes!$A$1:$B$81,2,FALSE)</f>
        <v>41</v>
      </c>
      <c r="K582" s="16" t="str">
        <f>VLOOKUP(I582,episodes!$A$1:$E$81,5,FALSE)</f>
        <v>Friday's Child</v>
      </c>
      <c r="L582" s="16">
        <f>VLOOKUP(I582,episodes!$A$1:$D$81,3,FALSE)</f>
        <v>2</v>
      </c>
      <c r="M582" s="16">
        <f>VLOOKUP(I582,episodes!$A$1:$D$81,4,FALSE)</f>
        <v>11</v>
      </c>
      <c r="O582" s="14">
        <v>0</v>
      </c>
      <c r="P582" s="24">
        <f>LEN(E582)+LEN(K582)</f>
        <v>62</v>
      </c>
      <c r="Q582" s="24"/>
      <c r="R582" s="24">
        <f>COUNTIFS(D:D,D582)</f>
        <v>18</v>
      </c>
    </row>
    <row r="583" spans="1:18" x14ac:dyDescent="0.3">
      <c r="A583" s="14">
        <v>2272</v>
      </c>
      <c r="B583" s="21" t="s">
        <v>328</v>
      </c>
      <c r="C583" s="21" t="s">
        <v>1</v>
      </c>
      <c r="D583" s="1" t="s">
        <v>2839</v>
      </c>
      <c r="E583" s="1" t="s">
        <v>1032</v>
      </c>
      <c r="F583" s="21" t="s">
        <v>5</v>
      </c>
      <c r="G583" s="14">
        <v>1</v>
      </c>
      <c r="H583" s="14">
        <v>0</v>
      </c>
      <c r="I583" s="22">
        <v>208</v>
      </c>
      <c r="J583" s="23">
        <f>VLOOKUP(I583,episodes!$A$1:$B$81,2,FALSE)</f>
        <v>38</v>
      </c>
      <c r="K583" s="16" t="str">
        <f>VLOOKUP(I583,episodes!$A$1:$E$81,5,FALSE)</f>
        <v>I, Mudd</v>
      </c>
      <c r="L583" s="16">
        <f>VLOOKUP(I583,episodes!$A$1:$D$81,3,FALSE)</f>
        <v>2</v>
      </c>
      <c r="M583" s="16">
        <f>VLOOKUP(I583,episodes!$A$1:$D$81,4,FALSE)</f>
        <v>8</v>
      </c>
      <c r="O583" s="14">
        <v>0</v>
      </c>
      <c r="P583" s="24">
        <f>LEN(E583)+LEN(K583)</f>
        <v>54</v>
      </c>
      <c r="Q583" s="24">
        <f>COUNTIFS(B:B,B582)</f>
        <v>19</v>
      </c>
      <c r="R583" s="24">
        <f>COUNTIFS(D:D,D583)</f>
        <v>18</v>
      </c>
    </row>
    <row r="584" spans="1:18" x14ac:dyDescent="0.3">
      <c r="A584" s="14">
        <v>2084</v>
      </c>
      <c r="B584" s="21" t="s">
        <v>328</v>
      </c>
      <c r="C584" s="21" t="s">
        <v>1</v>
      </c>
      <c r="D584" s="1" t="s">
        <v>2839</v>
      </c>
      <c r="E584" s="1" t="s">
        <v>621</v>
      </c>
      <c r="F584" s="21" t="s">
        <v>5</v>
      </c>
      <c r="G584" s="14">
        <v>1</v>
      </c>
      <c r="H584" s="14">
        <v>0</v>
      </c>
      <c r="I584" s="25">
        <v>111</v>
      </c>
      <c r="J584" s="23">
        <f>VLOOKUP(I584,episodes!$A$1:$B$76,2,FALSE)</f>
        <v>12</v>
      </c>
      <c r="K584" s="16" t="str">
        <f>VLOOKUP(I584,episodes!$A$1:$E$81,5,FALSE)</f>
        <v>The Menagerie, Part I</v>
      </c>
      <c r="L584" s="16">
        <f>VLOOKUP(I584,episodes!$A$1:$D$81,3,FALSE)</f>
        <v>1</v>
      </c>
      <c r="M584" s="16">
        <f>VLOOKUP(I584,episodes!$A$1:$D$81,4,FALSE)</f>
        <v>11</v>
      </c>
      <c r="O584" s="14">
        <v>0</v>
      </c>
      <c r="P584" s="24">
        <f>LEN(E584)+LEN(K584)</f>
        <v>74</v>
      </c>
      <c r="Q584" s="24">
        <f>COUNTIFS(B:B,B583)</f>
        <v>19</v>
      </c>
      <c r="R584" s="24">
        <f>COUNTIFS(D:D,D584)</f>
        <v>18</v>
      </c>
    </row>
    <row r="585" spans="1:18" x14ac:dyDescent="0.3">
      <c r="A585" s="14">
        <v>2254</v>
      </c>
      <c r="B585" s="21" t="s">
        <v>328</v>
      </c>
      <c r="C585" s="21" t="s">
        <v>1</v>
      </c>
      <c r="D585" s="1" t="s">
        <v>2839</v>
      </c>
      <c r="E585" s="1" t="s">
        <v>877</v>
      </c>
      <c r="F585" s="21" t="s">
        <v>5</v>
      </c>
      <c r="G585" s="14">
        <v>1</v>
      </c>
      <c r="H585" s="14">
        <v>0</v>
      </c>
      <c r="I585" s="25">
        <v>205</v>
      </c>
      <c r="J585" s="23">
        <f>VLOOKUP(I585,episodes!$A$1:$B$81,2,FALSE)</f>
        <v>35</v>
      </c>
      <c r="K585" s="16" t="str">
        <f>VLOOKUP(I585,episodes!$A$1:$E$81,5,FALSE)</f>
        <v>The Apple</v>
      </c>
      <c r="L585" s="16">
        <f>VLOOKUP(I585,episodes!$A$1:$D$81,3,FALSE)</f>
        <v>2</v>
      </c>
      <c r="M585" s="16">
        <f>VLOOKUP(I585,episodes!$A$1:$D$81,4,FALSE)</f>
        <v>5</v>
      </c>
      <c r="O585" s="14">
        <v>0</v>
      </c>
      <c r="P585" s="24">
        <f>LEN(E585)+LEN(K585)</f>
        <v>53</v>
      </c>
      <c r="Q585" s="24">
        <f>COUNTIFS(B:B,B584)</f>
        <v>19</v>
      </c>
      <c r="R585" s="24">
        <f>COUNTIFS(D:D,D585)</f>
        <v>18</v>
      </c>
    </row>
    <row r="586" spans="1:18" x14ac:dyDescent="0.3">
      <c r="A586" s="14">
        <v>2112</v>
      </c>
      <c r="B586" s="21" t="s">
        <v>328</v>
      </c>
      <c r="C586" s="21" t="s">
        <v>1</v>
      </c>
      <c r="D586" s="1" t="s">
        <v>2839</v>
      </c>
      <c r="E586" s="1" t="s">
        <v>619</v>
      </c>
      <c r="F586" s="21" t="s">
        <v>5</v>
      </c>
      <c r="G586" s="14">
        <v>1</v>
      </c>
      <c r="H586" s="14">
        <v>0</v>
      </c>
      <c r="I586" s="22">
        <v>119</v>
      </c>
      <c r="J586" s="23">
        <f>VLOOKUP(I586,episodes!$A$1:$B$76,2,FALSE)</f>
        <v>20</v>
      </c>
      <c r="K586" s="16" t="str">
        <f>VLOOKUP(I586,episodes!$A$1:$E$81,5,FALSE)</f>
        <v>Tomorrow Is Yesterday</v>
      </c>
      <c r="L586" s="16">
        <f>VLOOKUP(I586,episodes!$A$1:$D$81,3,FALSE)</f>
        <v>1</v>
      </c>
      <c r="M586" s="16">
        <f>VLOOKUP(I586,episodes!$A$1:$D$81,4,FALSE)</f>
        <v>19</v>
      </c>
      <c r="O586" s="14">
        <v>0</v>
      </c>
      <c r="P586" s="24">
        <f>LEN(E586)+LEN(K586)</f>
        <v>66</v>
      </c>
      <c r="Q586" s="24">
        <f>COUNTIFS(B:B,B585)</f>
        <v>19</v>
      </c>
      <c r="R586" s="24">
        <f>COUNTIFS(D:D,D586)</f>
        <v>18</v>
      </c>
    </row>
    <row r="587" spans="1:18" x14ac:dyDescent="0.3">
      <c r="A587" s="14">
        <v>2085</v>
      </c>
      <c r="B587" s="21" t="s">
        <v>328</v>
      </c>
      <c r="C587" s="21" t="s">
        <v>1</v>
      </c>
      <c r="D587" s="1" t="s">
        <v>2839</v>
      </c>
      <c r="E587" s="1" t="s">
        <v>622</v>
      </c>
      <c r="F587" s="21" t="s">
        <v>5</v>
      </c>
      <c r="G587" s="14">
        <v>1</v>
      </c>
      <c r="H587" s="14">
        <v>0</v>
      </c>
      <c r="I587" s="25">
        <v>111</v>
      </c>
      <c r="J587" s="23">
        <f>VLOOKUP(I587,episodes!$A$1:$B$76,2,FALSE)</f>
        <v>12</v>
      </c>
      <c r="K587" s="16" t="str">
        <f>VLOOKUP(I587,episodes!$A$1:$E$81,5,FALSE)</f>
        <v>The Menagerie, Part I</v>
      </c>
      <c r="L587" s="16">
        <f>VLOOKUP(I587,episodes!$A$1:$D$81,3,FALSE)</f>
        <v>1</v>
      </c>
      <c r="M587" s="16">
        <f>VLOOKUP(I587,episodes!$A$1:$D$81,4,FALSE)</f>
        <v>11</v>
      </c>
      <c r="O587" s="14">
        <v>0</v>
      </c>
      <c r="P587" s="24">
        <f>LEN(E587)+LEN(K587)</f>
        <v>66</v>
      </c>
      <c r="Q587" s="24">
        <f>COUNTIFS(B:B,B586)</f>
        <v>19</v>
      </c>
      <c r="R587" s="24">
        <f>COUNTIFS(D:D,D587)</f>
        <v>18</v>
      </c>
    </row>
    <row r="588" spans="1:18" x14ac:dyDescent="0.3">
      <c r="A588" s="14">
        <v>2208</v>
      </c>
      <c r="B588" s="21" t="s">
        <v>328</v>
      </c>
      <c r="C588" s="21" t="s">
        <v>1</v>
      </c>
      <c r="D588" s="1" t="s">
        <v>2839</v>
      </c>
      <c r="E588" s="1" t="s">
        <v>860</v>
      </c>
      <c r="F588" s="21" t="s">
        <v>5</v>
      </c>
      <c r="G588" s="14">
        <v>1</v>
      </c>
      <c r="H588" s="14">
        <v>0</v>
      </c>
      <c r="I588" s="22">
        <v>129</v>
      </c>
      <c r="J588" s="23">
        <f>VLOOKUP(I588,episodes!$A$1:$B$76,2,FALSE)</f>
        <v>30</v>
      </c>
      <c r="K588" s="16" t="str">
        <f>VLOOKUP(I588,episodes!$A$1:$E$81,5,FALSE)</f>
        <v>Operation: Annihilate!</v>
      </c>
      <c r="L588" s="16">
        <f>VLOOKUP(I588,episodes!$A$1:$D$81,3,FALSE)</f>
        <v>1</v>
      </c>
      <c r="M588" s="16">
        <f>VLOOKUP(I588,episodes!$A$1:$D$81,4,FALSE)</f>
        <v>29</v>
      </c>
      <c r="O588" s="14">
        <v>0</v>
      </c>
      <c r="P588" s="24">
        <f>LEN(E588)+LEN(K588)</f>
        <v>56</v>
      </c>
      <c r="Q588" s="24">
        <f>COUNTIFS(B:B,B587)</f>
        <v>19</v>
      </c>
      <c r="R588" s="24">
        <f>COUNTIFS(D:D,D588)</f>
        <v>18</v>
      </c>
    </row>
    <row r="589" spans="1:18" x14ac:dyDescent="0.3">
      <c r="A589" s="14">
        <v>2371</v>
      </c>
      <c r="B589" s="21" t="s">
        <v>328</v>
      </c>
      <c r="C589" s="21" t="s">
        <v>1</v>
      </c>
      <c r="D589" s="1" t="s">
        <v>2839</v>
      </c>
      <c r="E589" s="1" t="s">
        <v>730</v>
      </c>
      <c r="F589" s="21" t="s">
        <v>5</v>
      </c>
      <c r="G589" s="14">
        <v>1</v>
      </c>
      <c r="H589" s="14">
        <v>0</v>
      </c>
      <c r="I589" s="22">
        <v>128</v>
      </c>
      <c r="J589" s="23">
        <f>VLOOKUP(I589,episodes!$A$1:$B$76,2,FALSE)</f>
        <v>29</v>
      </c>
      <c r="K589" s="16" t="str">
        <f>VLOOKUP(I589,episodes!$A$1:$E$81,5,FALSE)</f>
        <v>The City on the Edge of Forever</v>
      </c>
      <c r="L589" s="16">
        <f>VLOOKUP(I589,episodes!$A$1:$D$81,3,FALSE)</f>
        <v>1</v>
      </c>
      <c r="M589" s="16">
        <f>VLOOKUP(I589,episodes!$A$1:$D$81,4,FALSE)</f>
        <v>28</v>
      </c>
      <c r="O589" s="14">
        <v>0</v>
      </c>
      <c r="P589" s="24">
        <f>LEN(E589)+LEN(K589)</f>
        <v>73</v>
      </c>
      <c r="Q589" s="24">
        <f>COUNTIFS(B:B,B588)</f>
        <v>19</v>
      </c>
      <c r="R589" s="24">
        <f>COUNTIFS(D:D,D589)</f>
        <v>18</v>
      </c>
    </row>
    <row r="590" spans="1:18" x14ac:dyDescent="0.3">
      <c r="A590" s="14">
        <v>2140</v>
      </c>
      <c r="B590" s="21" t="s">
        <v>328</v>
      </c>
      <c r="C590" s="21" t="s">
        <v>1</v>
      </c>
      <c r="D590" s="1" t="s">
        <v>2839</v>
      </c>
      <c r="E590" s="1" t="s">
        <v>655</v>
      </c>
      <c r="F590" s="21" t="s">
        <v>5</v>
      </c>
      <c r="G590" s="14">
        <v>1</v>
      </c>
      <c r="H590" s="14">
        <v>0</v>
      </c>
      <c r="I590" s="22">
        <v>123</v>
      </c>
      <c r="J590" s="23">
        <f>VLOOKUP(I590,episodes!$A$1:$B$76,2,FALSE)</f>
        <v>24</v>
      </c>
      <c r="K590" s="16" t="str">
        <f>VLOOKUP(I590,episodes!$A$1:$E$81,5,FALSE)</f>
        <v>A Taste of Armageddon</v>
      </c>
      <c r="L590" s="16">
        <f>VLOOKUP(I590,episodes!$A$1:$D$81,3,FALSE)</f>
        <v>1</v>
      </c>
      <c r="M590" s="16">
        <f>VLOOKUP(I590,episodes!$A$1:$D$81,4,FALSE)</f>
        <v>23</v>
      </c>
      <c r="O590" s="14">
        <v>0</v>
      </c>
      <c r="P590" s="24">
        <f>LEN(E590)+LEN(K590)</f>
        <v>60</v>
      </c>
      <c r="Q590" s="24">
        <f>COUNTIFS(B:B,B589)</f>
        <v>19</v>
      </c>
      <c r="R590" s="24">
        <f>COUNTIFS(D:D,D590)</f>
        <v>18</v>
      </c>
    </row>
    <row r="591" spans="1:18" x14ac:dyDescent="0.3">
      <c r="A591" s="14">
        <v>2339</v>
      </c>
      <c r="B591" s="21" t="s">
        <v>328</v>
      </c>
      <c r="C591" s="21" t="s">
        <v>1</v>
      </c>
      <c r="D591" s="1" t="s">
        <v>2839</v>
      </c>
      <c r="E591" s="1" t="s">
        <v>1099</v>
      </c>
      <c r="F591" s="21" t="s">
        <v>5</v>
      </c>
      <c r="G591" s="14">
        <v>1</v>
      </c>
      <c r="H591" s="14">
        <v>0</v>
      </c>
      <c r="I591" s="25">
        <v>105</v>
      </c>
      <c r="J591" s="23">
        <f>VLOOKUP(I591,episodes!$A$1:$B$76,2,FALSE)</f>
        <v>6</v>
      </c>
      <c r="K591" s="16" t="str">
        <f>VLOOKUP(I591,episodes!$A$1:$E$81,5,FALSE)</f>
        <v>The Enemy Within</v>
      </c>
      <c r="L591" s="16">
        <f>VLOOKUP(I591,episodes!$A$1:$D$81,3,FALSE)</f>
        <v>1</v>
      </c>
      <c r="M591" s="16">
        <f>VLOOKUP(I591,episodes!$A$1:$D$81,4,FALSE)</f>
        <v>5</v>
      </c>
      <c r="O591" s="14">
        <v>0</v>
      </c>
      <c r="P591" s="24">
        <f>LEN(E591)+LEN(K591)</f>
        <v>169</v>
      </c>
      <c r="Q591" s="24">
        <f>COUNTIFS(B:B,B590)</f>
        <v>19</v>
      </c>
      <c r="R591" s="24">
        <f>COUNTIFS(D:D,D591)</f>
        <v>18</v>
      </c>
    </row>
    <row r="592" spans="1:18" x14ac:dyDescent="0.3">
      <c r="A592" s="14">
        <v>2135</v>
      </c>
      <c r="B592" s="21" t="s">
        <v>328</v>
      </c>
      <c r="C592" s="21" t="s">
        <v>1</v>
      </c>
      <c r="D592" s="1" t="s">
        <v>2839</v>
      </c>
      <c r="E592" s="1" t="s">
        <v>1319</v>
      </c>
      <c r="F592" s="21" t="s">
        <v>5</v>
      </c>
      <c r="G592" s="14">
        <v>1</v>
      </c>
      <c r="H592" s="14">
        <v>0</v>
      </c>
      <c r="I592" s="22">
        <v>122</v>
      </c>
      <c r="J592" s="23">
        <f>VLOOKUP(I592,episodes!$A$1:$B$76,2,FALSE)</f>
        <v>23</v>
      </c>
      <c r="K592" s="16" t="str">
        <f>VLOOKUP(I592,episodes!$A$1:$E$81,5,FALSE)</f>
        <v>Space Seed</v>
      </c>
      <c r="L592" s="16">
        <f>VLOOKUP(I592,episodes!$A$1:$D$81,3,FALSE)</f>
        <v>1</v>
      </c>
      <c r="M592" s="16">
        <f>VLOOKUP(I592,episodes!$A$1:$D$81,4,FALSE)</f>
        <v>22</v>
      </c>
      <c r="O592" s="14">
        <v>0</v>
      </c>
      <c r="P592" s="24">
        <f>LEN(E592)+LEN(K592)</f>
        <v>45</v>
      </c>
      <c r="Q592" s="24">
        <f>COUNTIFS(B:B,B591)</f>
        <v>19</v>
      </c>
      <c r="R592" s="24">
        <f>COUNTIFS(D:D,D592)</f>
        <v>18</v>
      </c>
    </row>
    <row r="593" spans="1:18" x14ac:dyDescent="0.3">
      <c r="A593" s="14">
        <v>2172</v>
      </c>
      <c r="B593" s="21" t="s">
        <v>328</v>
      </c>
      <c r="C593" s="21" t="s">
        <v>1</v>
      </c>
      <c r="D593" s="1" t="s">
        <v>2839</v>
      </c>
      <c r="E593" s="1" t="s">
        <v>853</v>
      </c>
      <c r="F593" s="21" t="s">
        <v>5</v>
      </c>
      <c r="G593" s="14">
        <v>1</v>
      </c>
      <c r="H593" s="14">
        <v>0</v>
      </c>
      <c r="I593" s="22">
        <v>126</v>
      </c>
      <c r="J593" s="23">
        <f>VLOOKUP(I593,episodes!$A$1:$B$76,2,FALSE)</f>
        <v>27</v>
      </c>
      <c r="K593" s="16" t="str">
        <f>VLOOKUP(I593,episodes!$A$1:$E$81,5,FALSE)</f>
        <v>Errand of Mercy</v>
      </c>
      <c r="L593" s="16">
        <f>VLOOKUP(I593,episodes!$A$1:$D$81,3,FALSE)</f>
        <v>1</v>
      </c>
      <c r="M593" s="16">
        <f>VLOOKUP(I593,episodes!$A$1:$D$81,4,FALSE)</f>
        <v>26</v>
      </c>
      <c r="O593" s="14">
        <v>0</v>
      </c>
      <c r="P593" s="24">
        <f>LEN(E593)+LEN(K593)</f>
        <v>48</v>
      </c>
      <c r="Q593" s="24">
        <f>COUNTIFS(B:B,B592)</f>
        <v>19</v>
      </c>
      <c r="R593" s="24">
        <f>COUNTIFS(D:D,D593)</f>
        <v>18</v>
      </c>
    </row>
    <row r="594" spans="1:18" x14ac:dyDescent="0.3">
      <c r="A594" s="14">
        <v>2194</v>
      </c>
      <c r="B594" s="21" t="s">
        <v>328</v>
      </c>
      <c r="C594" s="21" t="s">
        <v>1</v>
      </c>
      <c r="D594" s="1" t="s">
        <v>2839</v>
      </c>
      <c r="E594" s="1" t="s">
        <v>731</v>
      </c>
      <c r="F594" s="21" t="s">
        <v>5</v>
      </c>
      <c r="G594" s="14">
        <v>1</v>
      </c>
      <c r="H594" s="14">
        <v>0</v>
      </c>
      <c r="I594" s="22">
        <v>128</v>
      </c>
      <c r="J594" s="23">
        <f>VLOOKUP(I594,episodes!$A$1:$B$76,2,FALSE)</f>
        <v>29</v>
      </c>
      <c r="K594" s="16" t="str">
        <f>VLOOKUP(I594,episodes!$A$1:$E$81,5,FALSE)</f>
        <v>The City on the Edge of Forever</v>
      </c>
      <c r="L594" s="16">
        <f>VLOOKUP(I594,episodes!$A$1:$D$81,3,FALSE)</f>
        <v>1</v>
      </c>
      <c r="M594" s="16">
        <f>VLOOKUP(I594,episodes!$A$1:$D$81,4,FALSE)</f>
        <v>28</v>
      </c>
      <c r="O594" s="14">
        <v>0</v>
      </c>
      <c r="P594" s="24">
        <f>LEN(E594)+LEN(K594)</f>
        <v>71</v>
      </c>
      <c r="Q594" s="24">
        <f>COUNTIFS(B:B,B593)</f>
        <v>19</v>
      </c>
      <c r="R594" s="24">
        <f>COUNTIFS(D:D,D594)</f>
        <v>18</v>
      </c>
    </row>
    <row r="595" spans="1:18" x14ac:dyDescent="0.3">
      <c r="A595" s="14">
        <v>2129</v>
      </c>
      <c r="B595" s="21" t="s">
        <v>328</v>
      </c>
      <c r="C595" s="21" t="s">
        <v>1</v>
      </c>
      <c r="D595" s="1" t="s">
        <v>2839</v>
      </c>
      <c r="E595" s="1" t="s">
        <v>623</v>
      </c>
      <c r="F595" s="21" t="s">
        <v>5</v>
      </c>
      <c r="G595" s="14">
        <v>1</v>
      </c>
      <c r="H595" s="14">
        <v>0</v>
      </c>
      <c r="I595" s="22">
        <v>121</v>
      </c>
      <c r="J595" s="23">
        <f>VLOOKUP(I595,episodes!$A$1:$B$76,2,FALSE)</f>
        <v>22</v>
      </c>
      <c r="K595" s="16" t="str">
        <f>VLOOKUP(I595,episodes!$A$1:$E$81,5,FALSE)</f>
        <v>The Return of the Archons</v>
      </c>
      <c r="L595" s="16">
        <f>VLOOKUP(I595,episodes!$A$1:$D$81,3,FALSE)</f>
        <v>1</v>
      </c>
      <c r="M595" s="16">
        <f>VLOOKUP(I595,episodes!$A$1:$D$81,4,FALSE)</f>
        <v>21</v>
      </c>
      <c r="O595" s="14">
        <v>0</v>
      </c>
      <c r="P595" s="24">
        <f>LEN(E595)+LEN(K595)</f>
        <v>56</v>
      </c>
      <c r="Q595" s="24">
        <f>COUNTIFS(B:B,B594)</f>
        <v>19</v>
      </c>
      <c r="R595" s="24">
        <f>COUNTIFS(D:D,D595)</f>
        <v>18</v>
      </c>
    </row>
    <row r="596" spans="1:18" x14ac:dyDescent="0.3">
      <c r="A596" s="14">
        <v>2394</v>
      </c>
      <c r="B596" s="21" t="s">
        <v>328</v>
      </c>
      <c r="C596" s="21" t="s">
        <v>1</v>
      </c>
      <c r="D596" s="1" t="s">
        <v>2839</v>
      </c>
      <c r="E596" s="1" t="s">
        <v>1024</v>
      </c>
      <c r="F596" s="21" t="s">
        <v>5</v>
      </c>
      <c r="G596" s="14">
        <v>1</v>
      </c>
      <c r="H596" s="14">
        <v>0</v>
      </c>
      <c r="I596" s="22">
        <v>207</v>
      </c>
      <c r="J596" s="23">
        <f>VLOOKUP(I596,episodes!$A$1:$B$81,2,FALSE)</f>
        <v>37</v>
      </c>
      <c r="K596" s="16" t="str">
        <f>VLOOKUP(I596,episodes!$A$1:$E$81,5,FALSE)</f>
        <v>Catspaw</v>
      </c>
      <c r="L596" s="16">
        <f>VLOOKUP(I596,episodes!$A$1:$D$81,3,FALSE)</f>
        <v>2</v>
      </c>
      <c r="M596" s="16">
        <f>VLOOKUP(I596,episodes!$A$1:$D$81,4,FALSE)</f>
        <v>7</v>
      </c>
      <c r="O596" s="14">
        <v>0</v>
      </c>
      <c r="P596" s="24">
        <f>LEN(E596)+LEN(K596)</f>
        <v>39</v>
      </c>
      <c r="Q596" s="24">
        <f>COUNTIFS(B:B,B595)</f>
        <v>19</v>
      </c>
      <c r="R596" s="24">
        <f>COUNTIFS(D:D,D596)</f>
        <v>18</v>
      </c>
    </row>
    <row r="597" spans="1:18" x14ac:dyDescent="0.3">
      <c r="A597" s="14">
        <v>2209</v>
      </c>
      <c r="B597" s="21" t="s">
        <v>328</v>
      </c>
      <c r="C597" s="21" t="s">
        <v>1</v>
      </c>
      <c r="D597" s="1" t="s">
        <v>2839</v>
      </c>
      <c r="E597" s="1" t="s">
        <v>861</v>
      </c>
      <c r="F597" s="21" t="s">
        <v>5</v>
      </c>
      <c r="G597" s="14">
        <v>1</v>
      </c>
      <c r="H597" s="14">
        <v>0</v>
      </c>
      <c r="I597" s="22">
        <v>129</v>
      </c>
      <c r="J597" s="23">
        <f>VLOOKUP(I597,episodes!$A$1:$B$76,2,FALSE)</f>
        <v>30</v>
      </c>
      <c r="K597" s="16" t="str">
        <f>VLOOKUP(I597,episodes!$A$1:$E$81,5,FALSE)</f>
        <v>Operation: Annihilate!</v>
      </c>
      <c r="L597" s="16">
        <f>VLOOKUP(I597,episodes!$A$1:$D$81,3,FALSE)</f>
        <v>1</v>
      </c>
      <c r="M597" s="16">
        <f>VLOOKUP(I597,episodes!$A$1:$D$81,4,FALSE)</f>
        <v>29</v>
      </c>
      <c r="O597" s="14">
        <v>0</v>
      </c>
      <c r="P597" s="24">
        <f>LEN(E597)+LEN(K597)</f>
        <v>67</v>
      </c>
      <c r="Q597" s="24">
        <f>COUNTIFS(B:B,B596)</f>
        <v>19</v>
      </c>
      <c r="R597" s="24">
        <f>COUNTIFS(D:D,D597)</f>
        <v>18</v>
      </c>
    </row>
    <row r="598" spans="1:18" x14ac:dyDescent="0.3">
      <c r="A598" s="14">
        <v>2113</v>
      </c>
      <c r="B598" s="21" t="s">
        <v>328</v>
      </c>
      <c r="C598" s="21" t="s">
        <v>1</v>
      </c>
      <c r="D598" s="1" t="s">
        <v>2839</v>
      </c>
      <c r="E598" s="1" t="s">
        <v>620</v>
      </c>
      <c r="F598" s="21" t="s">
        <v>5</v>
      </c>
      <c r="G598" s="14">
        <v>1</v>
      </c>
      <c r="H598" s="14">
        <v>0</v>
      </c>
      <c r="I598" s="22">
        <v>119</v>
      </c>
      <c r="J598" s="23">
        <f>VLOOKUP(I598,episodes!$A$1:$B$76,2,FALSE)</f>
        <v>20</v>
      </c>
      <c r="K598" s="16" t="str">
        <f>VLOOKUP(I598,episodes!$A$1:$E$81,5,FALSE)</f>
        <v>Tomorrow Is Yesterday</v>
      </c>
      <c r="L598" s="16">
        <f>VLOOKUP(I598,episodes!$A$1:$D$81,3,FALSE)</f>
        <v>1</v>
      </c>
      <c r="M598" s="16">
        <f>VLOOKUP(I598,episodes!$A$1:$D$81,4,FALSE)</f>
        <v>19</v>
      </c>
      <c r="O598" s="14">
        <v>0</v>
      </c>
      <c r="P598" s="24">
        <f>LEN(E598)+LEN(K598)</f>
        <v>57</v>
      </c>
      <c r="Q598" s="24">
        <f>COUNTIFS(B:B,B597)</f>
        <v>19</v>
      </c>
      <c r="R598" s="24">
        <f>COUNTIFS(D:D,D598)</f>
        <v>18</v>
      </c>
    </row>
    <row r="599" spans="1:18" x14ac:dyDescent="0.3">
      <c r="A599" s="14">
        <v>2077</v>
      </c>
      <c r="B599" s="21" t="s">
        <v>328</v>
      </c>
      <c r="C599" s="21" t="s">
        <v>1</v>
      </c>
      <c r="D599" s="1" t="s">
        <v>2839</v>
      </c>
      <c r="E599" s="1" t="s">
        <v>1734</v>
      </c>
      <c r="F599" s="21" t="s">
        <v>5</v>
      </c>
      <c r="G599" s="14">
        <v>1</v>
      </c>
      <c r="H599" s="14">
        <v>0</v>
      </c>
      <c r="I599" s="25">
        <v>109</v>
      </c>
      <c r="J599" s="23">
        <f>VLOOKUP(I599,episodes!$A$1:$B$76,2,FALSE)</f>
        <v>10</v>
      </c>
      <c r="K599" s="16" t="str">
        <f>VLOOKUP(I599,episodes!$A$1:$E$81,5,FALSE)</f>
        <v>Dagger of the Mind</v>
      </c>
      <c r="L599" s="16">
        <f>VLOOKUP(I599,episodes!$A$1:$D$81,3,FALSE)</f>
        <v>1</v>
      </c>
      <c r="M599" s="16">
        <f>VLOOKUP(I599,episodes!$A$1:$D$81,4,FALSE)</f>
        <v>9</v>
      </c>
      <c r="O599" s="14">
        <v>0</v>
      </c>
      <c r="P599" s="24">
        <f>LEN(E599)+LEN(K599)</f>
        <v>109</v>
      </c>
      <c r="Q599" s="24">
        <f>COUNTIFS(B:B,B598)</f>
        <v>19</v>
      </c>
      <c r="R599" s="24">
        <f>COUNTIFS(D:D,D599)</f>
        <v>18</v>
      </c>
    </row>
    <row r="600" spans="1:18" x14ac:dyDescent="0.3">
      <c r="A600" s="14">
        <v>2953</v>
      </c>
      <c r="B600" s="1" t="s">
        <v>1</v>
      </c>
      <c r="C600" s="1" t="s">
        <v>1</v>
      </c>
      <c r="E600" s="1" t="s">
        <v>2776</v>
      </c>
      <c r="F600" s="21"/>
      <c r="G600" s="14">
        <v>0</v>
      </c>
      <c r="H600" s="14">
        <v>0</v>
      </c>
      <c r="I600" s="22">
        <v>211</v>
      </c>
      <c r="J600" s="23">
        <f>VLOOKUP(I600,episodes!$A$1:$B$76,2,FALSE)</f>
        <v>41</v>
      </c>
      <c r="K600" s="16" t="str">
        <f>VLOOKUP(I600,episodes!$A$1:$E$81,5,FALSE)</f>
        <v>Friday's Child</v>
      </c>
      <c r="L600" s="16">
        <f>VLOOKUP(I600,episodes!$A$1:$D$81,3,FALSE)</f>
        <v>2</v>
      </c>
      <c r="M600" s="16">
        <f>VLOOKUP(I600,episodes!$A$1:$D$81,4,FALSE)</f>
        <v>11</v>
      </c>
      <c r="O600" s="14">
        <v>0</v>
      </c>
      <c r="P600" s="24">
        <f>LEN(E600)+LEN(K600)</f>
        <v>66</v>
      </c>
      <c r="Q600" s="24"/>
      <c r="R600" s="24"/>
    </row>
    <row r="601" spans="1:18" x14ac:dyDescent="0.3">
      <c r="A601" s="14">
        <v>2291</v>
      </c>
      <c r="B601" s="21" t="s">
        <v>749</v>
      </c>
      <c r="C601" s="21" t="s">
        <v>1</v>
      </c>
      <c r="D601" s="21"/>
      <c r="E601" s="1" t="s">
        <v>2082</v>
      </c>
      <c r="F601" s="21" t="s">
        <v>5</v>
      </c>
      <c r="G601" s="14">
        <v>1</v>
      </c>
      <c r="H601" s="14">
        <v>0</v>
      </c>
      <c r="I601" s="22">
        <v>210</v>
      </c>
      <c r="J601" s="23">
        <f>VLOOKUP(I601,episodes!$A$1:$B$81,2,FALSE)</f>
        <v>40</v>
      </c>
      <c r="K601" s="16" t="str">
        <f>VLOOKUP(I601,episodes!$A$1:$E$81,5,FALSE)</f>
        <v>Journey to Babel</v>
      </c>
      <c r="L601" s="16">
        <f>VLOOKUP(I601,episodes!$A$1:$D$81,3,FALSE)</f>
        <v>2</v>
      </c>
      <c r="M601" s="16">
        <f>VLOOKUP(I601,episodes!$A$1:$D$81,4,FALSE)</f>
        <v>10</v>
      </c>
      <c r="O601" s="14">
        <v>0</v>
      </c>
      <c r="P601" s="24">
        <f>LEN(E601)+LEN(K601)</f>
        <v>105</v>
      </c>
      <c r="Q601" s="24">
        <f>COUNTIFS(B:B,B600)</f>
        <v>38</v>
      </c>
      <c r="R601" s="24">
        <f>COUNTIFS(D:D,C601)</f>
        <v>1</v>
      </c>
    </row>
    <row r="602" spans="1:18" x14ac:dyDescent="0.3">
      <c r="A602" s="14">
        <v>79</v>
      </c>
      <c r="B602" s="21" t="s">
        <v>749</v>
      </c>
      <c r="C602" s="21" t="s">
        <v>1</v>
      </c>
      <c r="E602" s="1" t="s">
        <v>1916</v>
      </c>
      <c r="F602" s="21" t="s">
        <v>2274</v>
      </c>
      <c r="G602" s="14">
        <v>0</v>
      </c>
      <c r="H602" s="14">
        <v>0</v>
      </c>
      <c r="I602" s="22">
        <v>210</v>
      </c>
      <c r="J602" s="23">
        <f>VLOOKUP(I602,episodes!$A$1:$B$81,2,FALSE)</f>
        <v>40</v>
      </c>
      <c r="K602" s="16" t="str">
        <f>VLOOKUP(I602,episodes!$A$1:$E$81,5,FALSE)</f>
        <v>Journey to Babel</v>
      </c>
      <c r="L602" s="16">
        <f>VLOOKUP(I602,episodes!$A$1:$D$81,3,FALSE)</f>
        <v>2</v>
      </c>
      <c r="M602" s="16">
        <f>VLOOKUP(I602,episodes!$A$1:$D$81,4,FALSE)</f>
        <v>10</v>
      </c>
      <c r="O602" s="14">
        <v>0</v>
      </c>
      <c r="P602" s="24">
        <f>LEN(E602)+LEN(K602)</f>
        <v>73</v>
      </c>
      <c r="Q602" s="24">
        <f>COUNTIFS(B:B,B601)</f>
        <v>38</v>
      </c>
      <c r="R602" s="24">
        <f>COUNTIFS(D:D,C602)</f>
        <v>1</v>
      </c>
    </row>
    <row r="603" spans="1:18" x14ac:dyDescent="0.3">
      <c r="A603" s="14">
        <v>2170</v>
      </c>
      <c r="B603" s="21" t="s">
        <v>749</v>
      </c>
      <c r="C603" s="21" t="s">
        <v>1</v>
      </c>
      <c r="D603" s="21"/>
      <c r="E603" s="1" t="s">
        <v>708</v>
      </c>
      <c r="F603" s="21" t="s">
        <v>5</v>
      </c>
      <c r="G603" s="14">
        <v>1</v>
      </c>
      <c r="H603" s="14">
        <v>0</v>
      </c>
      <c r="I603" s="22">
        <v>126</v>
      </c>
      <c r="J603" s="23">
        <f>VLOOKUP(I603,episodes!$A$1:$B$76,2,FALSE)</f>
        <v>27</v>
      </c>
      <c r="K603" s="16" t="str">
        <f>VLOOKUP(I603,episodes!$A$1:$E$81,5,FALSE)</f>
        <v>Errand of Mercy</v>
      </c>
      <c r="L603" s="16">
        <f>VLOOKUP(I603,episodes!$A$1:$D$81,3,FALSE)</f>
        <v>1</v>
      </c>
      <c r="M603" s="16">
        <f>VLOOKUP(I603,episodes!$A$1:$D$81,4,FALSE)</f>
        <v>26</v>
      </c>
      <c r="O603" s="14">
        <v>0</v>
      </c>
      <c r="P603" s="24">
        <f>LEN(E603)+LEN(K603)</f>
        <v>75</v>
      </c>
      <c r="Q603" s="24">
        <f>COUNTIFS(B:B,B602)</f>
        <v>38</v>
      </c>
      <c r="R603" s="24">
        <f>COUNTIFS(D:D,C603)</f>
        <v>1</v>
      </c>
    </row>
    <row r="604" spans="1:18" x14ac:dyDescent="0.3">
      <c r="A604" s="14">
        <v>229</v>
      </c>
      <c r="B604" s="21" t="s">
        <v>749</v>
      </c>
      <c r="C604" s="21" t="s">
        <v>1</v>
      </c>
      <c r="E604" s="1" t="s">
        <v>1621</v>
      </c>
      <c r="F604" s="21" t="s">
        <v>56</v>
      </c>
      <c r="G604" s="14">
        <v>0</v>
      </c>
      <c r="H604" s="14">
        <v>0</v>
      </c>
      <c r="I604" s="25">
        <v>206</v>
      </c>
      <c r="J604" s="23">
        <f>VLOOKUP(I604,episodes!$A$1:$B$81,2,FALSE)</f>
        <v>36</v>
      </c>
      <c r="K604" s="16" t="str">
        <f>VLOOKUP(I604,episodes!$A$1:$E$81,5,FALSE)</f>
        <v>The Doomsday Machine</v>
      </c>
      <c r="L604" s="16">
        <f>VLOOKUP(I604,episodes!$A$1:$D$81,3,FALSE)</f>
        <v>2</v>
      </c>
      <c r="M604" s="16">
        <f>VLOOKUP(I604,episodes!$A$1:$D$81,4,FALSE)</f>
        <v>6</v>
      </c>
      <c r="O604" s="14">
        <v>0</v>
      </c>
      <c r="P604" s="24">
        <f>LEN(E604)+LEN(K604)</f>
        <v>71</v>
      </c>
      <c r="Q604" s="24">
        <f>COUNTIFS(B:B,B603)</f>
        <v>38</v>
      </c>
      <c r="R604" s="24">
        <f>COUNTIFS(D:D,C604)</f>
        <v>1</v>
      </c>
    </row>
    <row r="605" spans="1:18" x14ac:dyDescent="0.3">
      <c r="A605" s="14">
        <v>2987</v>
      </c>
      <c r="B605" s="21" t="s">
        <v>2838</v>
      </c>
      <c r="C605" s="1" t="s">
        <v>1</v>
      </c>
      <c r="E605" s="1" t="s">
        <v>2810</v>
      </c>
      <c r="F605" s="21" t="s">
        <v>2811</v>
      </c>
      <c r="G605" s="14">
        <v>0</v>
      </c>
      <c r="H605" s="14">
        <v>0</v>
      </c>
      <c r="I605" s="22">
        <v>211</v>
      </c>
      <c r="J605" s="23">
        <f>VLOOKUP(I605,episodes!$A$1:$B$76,2,FALSE)</f>
        <v>41</v>
      </c>
      <c r="K605" s="16" t="str">
        <f>VLOOKUP(I605,episodes!$A$1:$E$81,5,FALSE)</f>
        <v>Friday's Child</v>
      </c>
      <c r="L605" s="16">
        <f>VLOOKUP(I605,episodes!$A$1:$D$81,3,FALSE)</f>
        <v>2</v>
      </c>
      <c r="M605" s="16">
        <f>VLOOKUP(I605,episodes!$A$1:$D$81,4,FALSE)</f>
        <v>11</v>
      </c>
      <c r="O605" s="14">
        <v>0</v>
      </c>
      <c r="P605" s="24">
        <f>LEN(E605)+LEN(K605)</f>
        <v>84</v>
      </c>
      <c r="Q605" s="24"/>
      <c r="R605" s="24"/>
    </row>
    <row r="606" spans="1:18" x14ac:dyDescent="0.3">
      <c r="A606" s="14">
        <v>382</v>
      </c>
      <c r="B606" s="21" t="s">
        <v>749</v>
      </c>
      <c r="C606" s="21" t="s">
        <v>1</v>
      </c>
      <c r="E606" s="1" t="s">
        <v>1314</v>
      </c>
      <c r="F606" s="21" t="s">
        <v>2224</v>
      </c>
      <c r="G606" s="14">
        <v>0</v>
      </c>
      <c r="H606" s="14">
        <v>0</v>
      </c>
      <c r="I606" s="22">
        <v>122</v>
      </c>
      <c r="J606" s="23">
        <f>VLOOKUP(I606,episodes!$A$1:$B$76,2,FALSE)</f>
        <v>23</v>
      </c>
      <c r="K606" s="16" t="str">
        <f>VLOOKUP(I606,episodes!$A$1:$E$81,5,FALSE)</f>
        <v>Space Seed</v>
      </c>
      <c r="L606" s="16">
        <f>VLOOKUP(I606,episodes!$A$1:$D$81,3,FALSE)</f>
        <v>1</v>
      </c>
      <c r="M606" s="16">
        <f>VLOOKUP(I606,episodes!$A$1:$D$81,4,FALSE)</f>
        <v>22</v>
      </c>
      <c r="O606" s="14">
        <v>0</v>
      </c>
      <c r="P606" s="24">
        <f>LEN(E606)+LEN(K606)</f>
        <v>57</v>
      </c>
      <c r="Q606" s="24">
        <f>COUNTIFS(B:B,B605)</f>
        <v>1</v>
      </c>
      <c r="R606" s="24">
        <f>COUNTIFS(D:D,C606)</f>
        <v>1</v>
      </c>
    </row>
    <row r="607" spans="1:18" x14ac:dyDescent="0.3">
      <c r="A607" s="14">
        <v>2949</v>
      </c>
      <c r="B607" s="1" t="s">
        <v>1</v>
      </c>
      <c r="C607" s="1" t="s">
        <v>1</v>
      </c>
      <c r="E607" s="1" t="s">
        <v>2779</v>
      </c>
      <c r="F607" s="21" t="s">
        <v>4</v>
      </c>
      <c r="G607" s="14">
        <v>1</v>
      </c>
      <c r="H607" s="14">
        <v>0</v>
      </c>
      <c r="I607" s="22">
        <v>211</v>
      </c>
      <c r="J607" s="23">
        <f>VLOOKUP(I607,episodes!$A$1:$B$76,2,FALSE)</f>
        <v>41</v>
      </c>
      <c r="K607" s="16" t="str">
        <f>VLOOKUP(I607,episodes!$A$1:$E$81,5,FALSE)</f>
        <v>Friday's Child</v>
      </c>
      <c r="L607" s="16">
        <f>VLOOKUP(I607,episodes!$A$1:$D$81,3,FALSE)</f>
        <v>2</v>
      </c>
      <c r="M607" s="16">
        <f>VLOOKUP(I607,episodes!$A$1:$D$81,4,FALSE)</f>
        <v>11</v>
      </c>
      <c r="O607" s="14">
        <v>0</v>
      </c>
      <c r="P607" s="24">
        <f>LEN(E607)+LEN(K607)</f>
        <v>93</v>
      </c>
      <c r="Q607" s="24"/>
      <c r="R607" s="24"/>
    </row>
    <row r="608" spans="1:18" x14ac:dyDescent="0.3">
      <c r="A608" s="14">
        <v>2952</v>
      </c>
      <c r="B608" s="1" t="s">
        <v>1</v>
      </c>
      <c r="C608" s="1" t="s">
        <v>1</v>
      </c>
      <c r="E608" s="1" t="s">
        <v>2775</v>
      </c>
      <c r="F608" s="21" t="s">
        <v>4</v>
      </c>
      <c r="G608" s="14">
        <v>1</v>
      </c>
      <c r="H608" s="14">
        <v>0</v>
      </c>
      <c r="I608" s="22">
        <v>211</v>
      </c>
      <c r="J608" s="23">
        <f>VLOOKUP(I608,episodes!$A$1:$B$76,2,FALSE)</f>
        <v>41</v>
      </c>
      <c r="K608" s="16" t="str">
        <f>VLOOKUP(I608,episodes!$A$1:$E$81,5,FALSE)</f>
        <v>Friday's Child</v>
      </c>
      <c r="L608" s="16">
        <f>VLOOKUP(I608,episodes!$A$1:$D$81,3,FALSE)</f>
        <v>2</v>
      </c>
      <c r="M608" s="16">
        <f>VLOOKUP(I608,episodes!$A$1:$D$81,4,FALSE)</f>
        <v>11</v>
      </c>
      <c r="O608" s="14">
        <v>0</v>
      </c>
      <c r="P608" s="24">
        <f>LEN(E608)+LEN(K608)</f>
        <v>86</v>
      </c>
      <c r="Q608" s="24"/>
      <c r="R608" s="24"/>
    </row>
    <row r="609" spans="1:18" x14ac:dyDescent="0.3">
      <c r="A609" s="14">
        <v>2342</v>
      </c>
      <c r="B609" s="21" t="s">
        <v>737</v>
      </c>
      <c r="C609" s="1" t="s">
        <v>1</v>
      </c>
      <c r="D609" s="21"/>
      <c r="E609" s="1" t="s">
        <v>2413</v>
      </c>
      <c r="F609" s="21" t="s">
        <v>4</v>
      </c>
      <c r="G609" s="14">
        <v>1</v>
      </c>
      <c r="H609" s="14">
        <v>0</v>
      </c>
      <c r="I609" s="22">
        <v>201</v>
      </c>
      <c r="J609" s="23">
        <f>VLOOKUP(I609,episodes!$A$1:$B$76,2,FALSE)</f>
        <v>31</v>
      </c>
      <c r="K609" s="16" t="str">
        <f>VLOOKUP(I609,episodes!$A$1:$E$81,5,FALSE)</f>
        <v>Amok Time</v>
      </c>
      <c r="L609" s="16">
        <f>VLOOKUP(I609,episodes!$A$1:$D$81,3,FALSE)</f>
        <v>2</v>
      </c>
      <c r="M609" s="16">
        <f>VLOOKUP(I609,episodes!$A$1:$D$81,4,FALSE)</f>
        <v>1</v>
      </c>
      <c r="O609" s="14">
        <v>0</v>
      </c>
      <c r="P609" s="24">
        <f>LEN(E609)+LEN(K609)</f>
        <v>90</v>
      </c>
      <c r="Q609" s="24"/>
      <c r="R609" s="24"/>
    </row>
    <row r="610" spans="1:18" x14ac:dyDescent="0.3">
      <c r="A610" s="14">
        <v>80</v>
      </c>
      <c r="B610" s="21" t="s">
        <v>749</v>
      </c>
      <c r="C610" s="21" t="s">
        <v>1</v>
      </c>
      <c r="E610" s="1" t="s">
        <v>1909</v>
      </c>
      <c r="F610" s="21" t="s">
        <v>2274</v>
      </c>
      <c r="G610" s="14">
        <v>0</v>
      </c>
      <c r="H610" s="14">
        <v>0</v>
      </c>
      <c r="I610" s="22">
        <v>210</v>
      </c>
      <c r="J610" s="23">
        <f>VLOOKUP(I610,episodes!$A$1:$B$81,2,FALSE)</f>
        <v>40</v>
      </c>
      <c r="K610" s="16" t="str">
        <f>VLOOKUP(I610,episodes!$A$1:$E$81,5,FALSE)</f>
        <v>Journey to Babel</v>
      </c>
      <c r="L610" s="16">
        <f>VLOOKUP(I610,episodes!$A$1:$D$81,3,FALSE)</f>
        <v>2</v>
      </c>
      <c r="M610" s="16">
        <f>VLOOKUP(I610,episodes!$A$1:$D$81,4,FALSE)</f>
        <v>10</v>
      </c>
      <c r="O610" s="14">
        <v>0</v>
      </c>
      <c r="P610" s="24">
        <f>LEN(E610)+LEN(K610)</f>
        <v>142</v>
      </c>
      <c r="Q610" s="24">
        <f>COUNTIFS(B:B,B609)</f>
        <v>2</v>
      </c>
      <c r="R610" s="24">
        <f>COUNTIFS(D:D,C610)</f>
        <v>1</v>
      </c>
    </row>
    <row r="611" spans="1:18" x14ac:dyDescent="0.3">
      <c r="A611" s="14">
        <v>766</v>
      </c>
      <c r="B611" s="21" t="s">
        <v>749</v>
      </c>
      <c r="C611" s="21" t="s">
        <v>1</v>
      </c>
      <c r="D611" s="21"/>
      <c r="E611" s="1" t="s">
        <v>616</v>
      </c>
      <c r="F611" s="21" t="s">
        <v>4</v>
      </c>
      <c r="G611" s="14">
        <v>1</v>
      </c>
      <c r="H611" s="14">
        <v>0</v>
      </c>
      <c r="I611" s="22">
        <v>119</v>
      </c>
      <c r="J611" s="23">
        <f>VLOOKUP(I611,episodes!$A$1:$B$76,2,FALSE)</f>
        <v>20</v>
      </c>
      <c r="K611" s="16" t="str">
        <f>VLOOKUP(I611,episodes!$A$1:$E$81,5,FALSE)</f>
        <v>Tomorrow Is Yesterday</v>
      </c>
      <c r="L611" s="16">
        <f>VLOOKUP(I611,episodes!$A$1:$D$81,3,FALSE)</f>
        <v>1</v>
      </c>
      <c r="M611" s="16">
        <f>VLOOKUP(I611,episodes!$A$1:$D$81,4,FALSE)</f>
        <v>19</v>
      </c>
      <c r="O611" s="14">
        <v>0</v>
      </c>
      <c r="P611" s="24">
        <f>LEN(E611)+LEN(K611)</f>
        <v>60</v>
      </c>
      <c r="Q611" s="24">
        <f>COUNTIFS(B:B,B610)</f>
        <v>38</v>
      </c>
      <c r="R611" s="24">
        <f>COUNTIFS(D:D,C611)</f>
        <v>1</v>
      </c>
    </row>
    <row r="612" spans="1:18" x14ac:dyDescent="0.3">
      <c r="A612" s="14">
        <v>2999</v>
      </c>
      <c r="B612" s="1" t="s">
        <v>1</v>
      </c>
      <c r="C612" s="1" t="s">
        <v>1</v>
      </c>
      <c r="E612" s="1" t="s">
        <v>2821</v>
      </c>
      <c r="F612" s="21" t="s">
        <v>4</v>
      </c>
      <c r="G612" s="14">
        <v>1</v>
      </c>
      <c r="H612" s="14">
        <v>0</v>
      </c>
      <c r="I612" s="22">
        <v>211</v>
      </c>
      <c r="J612" s="23">
        <f>VLOOKUP(I612,episodes!$A$1:$B$76,2,FALSE)</f>
        <v>41</v>
      </c>
      <c r="K612" s="16" t="str">
        <f>VLOOKUP(I612,episodes!$A$1:$E$81,5,FALSE)</f>
        <v>Friday's Child</v>
      </c>
      <c r="L612" s="16">
        <f>VLOOKUP(I612,episodes!$A$1:$D$81,3,FALSE)</f>
        <v>2</v>
      </c>
      <c r="M612" s="16">
        <f>VLOOKUP(I612,episodes!$A$1:$D$81,4,FALSE)</f>
        <v>11</v>
      </c>
      <c r="O612" s="14">
        <v>0</v>
      </c>
      <c r="P612" s="24">
        <f>LEN(E612)+LEN(K612)</f>
        <v>62</v>
      </c>
      <c r="Q612" s="24"/>
      <c r="R612" s="24"/>
    </row>
    <row r="613" spans="1:18" x14ac:dyDescent="0.3">
      <c r="A613" s="14">
        <v>2998</v>
      </c>
      <c r="B613" s="1" t="s">
        <v>1</v>
      </c>
      <c r="C613" s="1" t="s">
        <v>1</v>
      </c>
      <c r="E613" s="1" t="s">
        <v>2819</v>
      </c>
      <c r="F613" s="21" t="s">
        <v>4</v>
      </c>
      <c r="G613" s="14">
        <v>1</v>
      </c>
      <c r="H613" s="14">
        <v>0</v>
      </c>
      <c r="I613" s="22">
        <v>211</v>
      </c>
      <c r="J613" s="23">
        <f>VLOOKUP(I613,episodes!$A$1:$B$76,2,FALSE)</f>
        <v>41</v>
      </c>
      <c r="K613" s="16" t="str">
        <f>VLOOKUP(I613,episodes!$A$1:$E$81,5,FALSE)</f>
        <v>Friday's Child</v>
      </c>
      <c r="L613" s="16">
        <f>VLOOKUP(I613,episodes!$A$1:$D$81,3,FALSE)</f>
        <v>2</v>
      </c>
      <c r="M613" s="16">
        <f>VLOOKUP(I613,episodes!$A$1:$D$81,4,FALSE)</f>
        <v>11</v>
      </c>
      <c r="O613" s="14">
        <v>0</v>
      </c>
      <c r="P613" s="24">
        <f>LEN(E613)+LEN(K613)</f>
        <v>50</v>
      </c>
      <c r="Q613" s="24"/>
      <c r="R613" s="24"/>
    </row>
    <row r="614" spans="1:18" x14ac:dyDescent="0.3">
      <c r="A614" s="14">
        <v>855</v>
      </c>
      <c r="B614" s="21" t="s">
        <v>749</v>
      </c>
      <c r="C614" s="21" t="s">
        <v>1</v>
      </c>
      <c r="D614" s="21"/>
      <c r="E614" s="1" t="s">
        <v>707</v>
      </c>
      <c r="F614" s="21" t="s">
        <v>4</v>
      </c>
      <c r="G614" s="14">
        <v>1</v>
      </c>
      <c r="H614" s="14">
        <v>0</v>
      </c>
      <c r="I614" s="22">
        <v>126</v>
      </c>
      <c r="J614" s="23">
        <f>VLOOKUP(I614,episodes!$A$1:$B$76,2,FALSE)</f>
        <v>27</v>
      </c>
      <c r="K614" s="16" t="str">
        <f>VLOOKUP(I614,episodes!$A$1:$E$81,5,FALSE)</f>
        <v>Errand of Mercy</v>
      </c>
      <c r="L614" s="16">
        <f>VLOOKUP(I614,episodes!$A$1:$D$81,3,FALSE)</f>
        <v>1</v>
      </c>
      <c r="M614" s="16">
        <f>VLOOKUP(I614,episodes!$A$1:$D$81,4,FALSE)</f>
        <v>26</v>
      </c>
      <c r="O614" s="14">
        <v>0</v>
      </c>
      <c r="P614" s="24">
        <f>LEN(E614)+LEN(K614)</f>
        <v>63</v>
      </c>
      <c r="Q614" s="24">
        <f>COUNTIFS(B:B,B613)</f>
        <v>38</v>
      </c>
      <c r="R614" s="24">
        <f>COUNTIFS(D:D,C614)</f>
        <v>1</v>
      </c>
    </row>
    <row r="615" spans="1:18" x14ac:dyDescent="0.3">
      <c r="A615" s="14">
        <v>2962</v>
      </c>
      <c r="B615" s="1" t="s">
        <v>1</v>
      </c>
      <c r="C615" s="1" t="s">
        <v>1</v>
      </c>
      <c r="E615" s="1" t="s">
        <v>2789</v>
      </c>
      <c r="F615" s="21"/>
      <c r="G615" s="14">
        <v>1</v>
      </c>
      <c r="H615" s="14">
        <v>0</v>
      </c>
      <c r="I615" s="22">
        <v>211</v>
      </c>
      <c r="J615" s="23">
        <f>VLOOKUP(I615,episodes!$A$1:$B$76,2,FALSE)</f>
        <v>41</v>
      </c>
      <c r="K615" s="16" t="str">
        <f>VLOOKUP(I615,episodes!$A$1:$E$81,5,FALSE)</f>
        <v>Friday's Child</v>
      </c>
      <c r="L615" s="16">
        <f>VLOOKUP(I615,episodes!$A$1:$D$81,3,FALSE)</f>
        <v>2</v>
      </c>
      <c r="M615" s="16">
        <f>VLOOKUP(I615,episodes!$A$1:$D$81,4,FALSE)</f>
        <v>11</v>
      </c>
      <c r="O615" s="14">
        <v>0</v>
      </c>
      <c r="P615" s="24">
        <f>LEN(E615)+LEN(K615)</f>
        <v>75</v>
      </c>
      <c r="Q615" s="24"/>
      <c r="R615" s="24"/>
    </row>
    <row r="616" spans="1:18" x14ac:dyDescent="0.3">
      <c r="A616" s="14">
        <v>767</v>
      </c>
      <c r="B616" s="21" t="s">
        <v>749</v>
      </c>
      <c r="C616" s="21" t="s">
        <v>1</v>
      </c>
      <c r="D616" s="21"/>
      <c r="E616" s="1" t="s">
        <v>508</v>
      </c>
      <c r="F616" s="21" t="s">
        <v>4</v>
      </c>
      <c r="G616" s="14">
        <v>1</v>
      </c>
      <c r="H616" s="14">
        <v>0</v>
      </c>
      <c r="I616" s="22">
        <v>119</v>
      </c>
      <c r="J616" s="23">
        <f>VLOOKUP(I616,episodes!$A$1:$B$76,2,FALSE)</f>
        <v>20</v>
      </c>
      <c r="K616" s="16" t="str">
        <f>VLOOKUP(I616,episodes!$A$1:$E$81,5,FALSE)</f>
        <v>Tomorrow Is Yesterday</v>
      </c>
      <c r="L616" s="16">
        <f>VLOOKUP(I616,episodes!$A$1:$D$81,3,FALSE)</f>
        <v>1</v>
      </c>
      <c r="M616" s="16">
        <f>VLOOKUP(I616,episodes!$A$1:$D$81,4,FALSE)</f>
        <v>19</v>
      </c>
      <c r="O616" s="14">
        <v>0</v>
      </c>
      <c r="P616" s="24">
        <f>LEN(E616)+LEN(K616)</f>
        <v>57</v>
      </c>
      <c r="Q616" s="24">
        <f>COUNTIFS(B:B,B615)</f>
        <v>38</v>
      </c>
      <c r="R616" s="24">
        <f>COUNTIFS(D:D,C616)</f>
        <v>1</v>
      </c>
    </row>
    <row r="617" spans="1:18" x14ac:dyDescent="0.3">
      <c r="A617" s="14">
        <v>811</v>
      </c>
      <c r="B617" s="21" t="s">
        <v>749</v>
      </c>
      <c r="C617" s="21" t="s">
        <v>1</v>
      </c>
      <c r="D617" s="21"/>
      <c r="E617" s="1" t="s">
        <v>653</v>
      </c>
      <c r="F617" s="21" t="s">
        <v>4</v>
      </c>
      <c r="G617" s="14">
        <v>1</v>
      </c>
      <c r="H617" s="14">
        <v>0</v>
      </c>
      <c r="I617" s="22">
        <v>123</v>
      </c>
      <c r="J617" s="23">
        <f>VLOOKUP(I617,episodes!$A$1:$B$76,2,FALSE)</f>
        <v>24</v>
      </c>
      <c r="K617" s="16" t="str">
        <f>VLOOKUP(I617,episodes!$A$1:$E$81,5,FALSE)</f>
        <v>A Taste of Armageddon</v>
      </c>
      <c r="L617" s="16">
        <f>VLOOKUP(I617,episodes!$A$1:$D$81,3,FALSE)</f>
        <v>1</v>
      </c>
      <c r="M617" s="16">
        <f>VLOOKUP(I617,episodes!$A$1:$D$81,4,FALSE)</f>
        <v>23</v>
      </c>
      <c r="O617" s="14">
        <v>0</v>
      </c>
      <c r="P617" s="24">
        <f>LEN(E617)+LEN(K617)</f>
        <v>51</v>
      </c>
      <c r="Q617" s="24">
        <f>COUNTIFS(B:B,B616)</f>
        <v>38</v>
      </c>
      <c r="R617" s="24">
        <f>COUNTIFS(D:D,C617)</f>
        <v>1</v>
      </c>
    </row>
    <row r="618" spans="1:18" x14ac:dyDescent="0.3">
      <c r="A618" s="14">
        <v>856</v>
      </c>
      <c r="B618" s="21" t="s">
        <v>749</v>
      </c>
      <c r="C618" s="21" t="s">
        <v>1</v>
      </c>
      <c r="D618" s="21"/>
      <c r="E618" s="1" t="s">
        <v>709</v>
      </c>
      <c r="F618" s="21" t="s">
        <v>4</v>
      </c>
      <c r="G618" s="14">
        <v>1</v>
      </c>
      <c r="H618" s="14">
        <v>0</v>
      </c>
      <c r="I618" s="22">
        <v>126</v>
      </c>
      <c r="J618" s="23">
        <f>VLOOKUP(I618,episodes!$A$1:$B$76,2,FALSE)</f>
        <v>27</v>
      </c>
      <c r="K618" s="16" t="str">
        <f>VLOOKUP(I618,episodes!$A$1:$E$81,5,FALSE)</f>
        <v>Errand of Mercy</v>
      </c>
      <c r="L618" s="16">
        <f>VLOOKUP(I618,episodes!$A$1:$D$81,3,FALSE)</f>
        <v>1</v>
      </c>
      <c r="M618" s="16">
        <f>VLOOKUP(I618,episodes!$A$1:$D$81,4,FALSE)</f>
        <v>26</v>
      </c>
      <c r="O618" s="14">
        <v>0</v>
      </c>
      <c r="P618" s="24">
        <f>LEN(E618)+LEN(K618)</f>
        <v>62</v>
      </c>
      <c r="Q618" s="24">
        <f>COUNTIFS(B:B,B617)</f>
        <v>38</v>
      </c>
      <c r="R618" s="24">
        <f>COUNTIFS(D:D,C618)</f>
        <v>1</v>
      </c>
    </row>
    <row r="619" spans="1:18" x14ac:dyDescent="0.3">
      <c r="A619" s="14">
        <v>787</v>
      </c>
      <c r="B619" s="21" t="s">
        <v>749</v>
      </c>
      <c r="C619" s="21" t="s">
        <v>1</v>
      </c>
      <c r="D619" s="21"/>
      <c r="E619" s="1" t="s">
        <v>637</v>
      </c>
      <c r="F619" s="21" t="s">
        <v>4</v>
      </c>
      <c r="G619" s="14">
        <v>1</v>
      </c>
      <c r="H619" s="14">
        <v>0</v>
      </c>
      <c r="I619" s="22">
        <v>121</v>
      </c>
      <c r="J619" s="23">
        <f>VLOOKUP(I619,episodes!$A$1:$B$76,2,FALSE)</f>
        <v>22</v>
      </c>
      <c r="K619" s="16" t="str">
        <f>VLOOKUP(I619,episodes!$A$1:$E$81,5,FALSE)</f>
        <v>The Return of the Archons</v>
      </c>
      <c r="L619" s="16">
        <f>VLOOKUP(I619,episodes!$A$1:$D$81,3,FALSE)</f>
        <v>1</v>
      </c>
      <c r="M619" s="16">
        <f>VLOOKUP(I619,episodes!$A$1:$D$81,4,FALSE)</f>
        <v>21</v>
      </c>
      <c r="O619" s="14">
        <v>0</v>
      </c>
      <c r="P619" s="24">
        <f>LEN(E619)+LEN(K619)</f>
        <v>48</v>
      </c>
      <c r="Q619" s="24">
        <f>COUNTIFS(B:B,B618)</f>
        <v>38</v>
      </c>
      <c r="R619" s="24">
        <f>COUNTIFS(D:D,C619)</f>
        <v>1</v>
      </c>
    </row>
    <row r="620" spans="1:18" x14ac:dyDescent="0.3">
      <c r="A620" s="14">
        <v>910</v>
      </c>
      <c r="B620" s="21" t="s">
        <v>749</v>
      </c>
      <c r="C620" s="21" t="s">
        <v>1</v>
      </c>
      <c r="D620" s="21"/>
      <c r="E620" s="1" t="s">
        <v>906</v>
      </c>
      <c r="F620" s="21" t="s">
        <v>4</v>
      </c>
      <c r="G620" s="14">
        <v>1</v>
      </c>
      <c r="H620" s="14">
        <v>0</v>
      </c>
      <c r="I620" s="25">
        <v>204</v>
      </c>
      <c r="J620" s="23">
        <f>VLOOKUP(I620,episodes!$A$1:$B$81,2,FALSE)</f>
        <v>34</v>
      </c>
      <c r="K620" s="16" t="str">
        <f>VLOOKUP(I620,episodes!$A$1:$E$81,5,FALSE)</f>
        <v>Mirror, Mirror</v>
      </c>
      <c r="L620" s="16">
        <f>VLOOKUP(I620,episodes!$A$1:$D$81,3,FALSE)</f>
        <v>2</v>
      </c>
      <c r="M620" s="16">
        <f>VLOOKUP(I620,episodes!$A$1:$D$81,4,FALSE)</f>
        <v>4</v>
      </c>
      <c r="O620" s="14">
        <v>0</v>
      </c>
      <c r="P620" s="24">
        <f>LEN(E620)+LEN(K620)</f>
        <v>75</v>
      </c>
      <c r="Q620" s="24">
        <f>COUNTIFS(B:B,B619)</f>
        <v>38</v>
      </c>
      <c r="R620" s="24">
        <f>COUNTIFS(D:D,C620)</f>
        <v>1</v>
      </c>
    </row>
    <row r="621" spans="1:18" x14ac:dyDescent="0.3">
      <c r="A621" s="14">
        <v>2050</v>
      </c>
      <c r="B621" s="1" t="s">
        <v>1</v>
      </c>
      <c r="C621" s="1" t="s">
        <v>1</v>
      </c>
      <c r="E621" s="1" t="s">
        <v>2782</v>
      </c>
      <c r="F621" s="21"/>
      <c r="G621" s="14">
        <v>1</v>
      </c>
      <c r="H621" s="14">
        <v>0</v>
      </c>
      <c r="I621" s="22">
        <v>211</v>
      </c>
      <c r="J621" s="23">
        <f>VLOOKUP(I621,episodes!$A$1:$B$76,2,FALSE)</f>
        <v>41</v>
      </c>
      <c r="K621" s="16" t="str">
        <f>VLOOKUP(I621,episodes!$A$1:$E$81,5,FALSE)</f>
        <v>Friday's Child</v>
      </c>
      <c r="L621" s="16">
        <f>VLOOKUP(I621,episodes!$A$1:$D$81,3,FALSE)</f>
        <v>2</v>
      </c>
      <c r="M621" s="16">
        <f>VLOOKUP(I621,episodes!$A$1:$D$81,4,FALSE)</f>
        <v>11</v>
      </c>
      <c r="O621" s="14">
        <v>0</v>
      </c>
      <c r="P621" s="24">
        <f>LEN(E621)+LEN(K621)</f>
        <v>105</v>
      </c>
      <c r="Q621" s="24"/>
      <c r="R621" s="24"/>
    </row>
    <row r="622" spans="1:18" x14ac:dyDescent="0.3">
      <c r="A622" s="14">
        <v>867</v>
      </c>
      <c r="B622" s="21" t="s">
        <v>749</v>
      </c>
      <c r="C622" s="21" t="s">
        <v>1</v>
      </c>
      <c r="D622" s="21"/>
      <c r="E622" s="1" t="s">
        <v>715</v>
      </c>
      <c r="F622" s="21" t="s">
        <v>4</v>
      </c>
      <c r="G622" s="14">
        <v>1</v>
      </c>
      <c r="H622" s="14">
        <v>0</v>
      </c>
      <c r="I622" s="22">
        <v>127</v>
      </c>
      <c r="J622" s="23">
        <f>VLOOKUP(I622,episodes!$A$1:$B$76,2,FALSE)</f>
        <v>28</v>
      </c>
      <c r="K622" s="16" t="str">
        <f>VLOOKUP(I622,episodes!$A$1:$E$81,5,FALSE)</f>
        <v>The Alternative Factor</v>
      </c>
      <c r="L622" s="16">
        <f>VLOOKUP(I622,episodes!$A$1:$D$81,3,FALSE)</f>
        <v>1</v>
      </c>
      <c r="M622" s="16">
        <f>VLOOKUP(I622,episodes!$A$1:$D$81,4,FALSE)</f>
        <v>27</v>
      </c>
      <c r="O622" s="14">
        <v>0</v>
      </c>
      <c r="P622" s="24">
        <f>LEN(E622)+LEN(K622)</f>
        <v>110</v>
      </c>
      <c r="Q622" s="24">
        <f>COUNTIFS(B:B,B621)</f>
        <v>38</v>
      </c>
      <c r="R622" s="24">
        <f>COUNTIFS(D:D,C622)</f>
        <v>1</v>
      </c>
    </row>
    <row r="623" spans="1:18" x14ac:dyDescent="0.3">
      <c r="A623" s="14">
        <v>330</v>
      </c>
      <c r="B623" s="21" t="s">
        <v>749</v>
      </c>
      <c r="C623" s="21" t="s">
        <v>1</v>
      </c>
      <c r="E623" s="1" t="s">
        <v>416</v>
      </c>
      <c r="F623" s="21" t="s">
        <v>2224</v>
      </c>
      <c r="G623" s="14">
        <v>0</v>
      </c>
      <c r="H623" s="14">
        <v>0</v>
      </c>
      <c r="I623" s="22">
        <v>127</v>
      </c>
      <c r="J623" s="23">
        <f>VLOOKUP(I623,episodes!$A$1:$B$76,2,FALSE)</f>
        <v>28</v>
      </c>
      <c r="K623" s="16" t="str">
        <f>VLOOKUP(I623,episodes!$A$1:$E$81,5,FALSE)</f>
        <v>The Alternative Factor</v>
      </c>
      <c r="L623" s="16">
        <f>VLOOKUP(I623,episodes!$A$1:$D$81,3,FALSE)</f>
        <v>1</v>
      </c>
      <c r="M623" s="16">
        <f>VLOOKUP(I623,episodes!$A$1:$D$81,4,FALSE)</f>
        <v>27</v>
      </c>
      <c r="O623" s="14">
        <v>0</v>
      </c>
      <c r="P623" s="24">
        <f>LEN(E623)+LEN(K623)</f>
        <v>58</v>
      </c>
      <c r="Q623" s="24">
        <f>COUNTIFS(B:B,B622)</f>
        <v>38</v>
      </c>
      <c r="R623" s="24">
        <f>COUNTIFS(D:D,C623)</f>
        <v>1</v>
      </c>
    </row>
    <row r="624" spans="1:18" x14ac:dyDescent="0.3">
      <c r="A624" s="14">
        <v>331</v>
      </c>
      <c r="B624" s="21" t="s">
        <v>749</v>
      </c>
      <c r="C624" s="21" t="s">
        <v>1</v>
      </c>
      <c r="E624" s="1" t="s">
        <v>714</v>
      </c>
      <c r="F624" s="21" t="s">
        <v>2224</v>
      </c>
      <c r="G624" s="14">
        <v>0</v>
      </c>
      <c r="H624" s="14">
        <v>0</v>
      </c>
      <c r="I624" s="22">
        <v>127</v>
      </c>
      <c r="J624" s="23">
        <f>VLOOKUP(I624,episodes!$A$1:$B$76,2,FALSE)</f>
        <v>28</v>
      </c>
      <c r="K624" s="16" t="str">
        <f>VLOOKUP(I624,episodes!$A$1:$E$81,5,FALSE)</f>
        <v>The Alternative Factor</v>
      </c>
      <c r="L624" s="16">
        <f>VLOOKUP(I624,episodes!$A$1:$D$81,3,FALSE)</f>
        <v>1</v>
      </c>
      <c r="M624" s="16">
        <f>VLOOKUP(I624,episodes!$A$1:$D$81,4,FALSE)</f>
        <v>27</v>
      </c>
      <c r="O624" s="14">
        <v>0</v>
      </c>
      <c r="P624" s="24">
        <f>LEN(E624)+LEN(K624)</f>
        <v>140</v>
      </c>
      <c r="Q624" s="24">
        <f>COUNTIFS(B:B,B623)</f>
        <v>38</v>
      </c>
      <c r="R624" s="24">
        <f>COUNTIFS(D:D,C624)</f>
        <v>1</v>
      </c>
    </row>
    <row r="625" spans="1:18" x14ac:dyDescent="0.3">
      <c r="A625" s="14">
        <v>2951</v>
      </c>
      <c r="B625" s="21" t="s">
        <v>2836</v>
      </c>
      <c r="C625" s="1" t="s">
        <v>1</v>
      </c>
      <c r="E625" s="1" t="s">
        <v>2774</v>
      </c>
      <c r="F625" s="21"/>
      <c r="G625" s="14">
        <v>0</v>
      </c>
      <c r="H625" s="14">
        <v>0</v>
      </c>
      <c r="I625" s="22">
        <v>211</v>
      </c>
      <c r="J625" s="23">
        <f>VLOOKUP(I625,episodes!$A$1:$B$76,2,FALSE)</f>
        <v>41</v>
      </c>
      <c r="K625" s="16" t="str">
        <f>VLOOKUP(I625,episodes!$A$1:$E$81,5,FALSE)</f>
        <v>Friday's Child</v>
      </c>
      <c r="L625" s="16">
        <f>VLOOKUP(I625,episodes!$A$1:$D$81,3,FALSE)</f>
        <v>2</v>
      </c>
      <c r="M625" s="16">
        <f>VLOOKUP(I625,episodes!$A$1:$D$81,4,FALSE)</f>
        <v>11</v>
      </c>
      <c r="O625" s="14">
        <v>0</v>
      </c>
      <c r="P625" s="24">
        <f>LEN(E625)+LEN(K625)</f>
        <v>103</v>
      </c>
      <c r="Q625" s="24"/>
      <c r="R625" s="24"/>
    </row>
    <row r="626" spans="1:18" x14ac:dyDescent="0.3">
      <c r="A626" s="14">
        <v>2944</v>
      </c>
      <c r="B626" s="1" t="s">
        <v>1</v>
      </c>
      <c r="C626" s="1" t="s">
        <v>1</v>
      </c>
      <c r="E626" s="1" t="s">
        <v>2831</v>
      </c>
      <c r="F626" s="21"/>
      <c r="G626" s="14">
        <v>0</v>
      </c>
      <c r="H626" s="14">
        <v>0</v>
      </c>
      <c r="I626" s="22">
        <v>211</v>
      </c>
      <c r="J626" s="23">
        <f>VLOOKUP(I626,episodes!$A$1:$B$76,2,FALSE)</f>
        <v>41</v>
      </c>
      <c r="K626" s="16" t="str">
        <f>VLOOKUP(I626,episodes!$A$1:$E$81,5,FALSE)</f>
        <v>Friday's Child</v>
      </c>
      <c r="L626" s="16">
        <f>VLOOKUP(I626,episodes!$A$1:$D$81,3,FALSE)</f>
        <v>2</v>
      </c>
      <c r="M626" s="16">
        <f>VLOOKUP(I626,episodes!$A$1:$D$81,4,FALSE)</f>
        <v>11</v>
      </c>
      <c r="O626" s="14">
        <v>0</v>
      </c>
      <c r="P626" s="24">
        <f>LEN(E626)+LEN(K626)</f>
        <v>30</v>
      </c>
      <c r="Q626" s="24"/>
      <c r="R626" s="24"/>
    </row>
    <row r="627" spans="1:18" x14ac:dyDescent="0.3">
      <c r="A627" s="14">
        <v>2950</v>
      </c>
      <c r="B627" s="1" t="s">
        <v>1</v>
      </c>
      <c r="C627" s="1" t="s">
        <v>1</v>
      </c>
      <c r="E627" s="1" t="s">
        <v>2777</v>
      </c>
      <c r="F627" s="21"/>
      <c r="G627" s="14">
        <v>0</v>
      </c>
      <c r="H627" s="14">
        <v>0</v>
      </c>
      <c r="I627" s="22">
        <v>211</v>
      </c>
      <c r="J627" s="23">
        <f>VLOOKUP(I627,episodes!$A$1:$B$76,2,FALSE)</f>
        <v>41</v>
      </c>
      <c r="K627" s="16" t="str">
        <f>VLOOKUP(I627,episodes!$A$1:$E$81,5,FALSE)</f>
        <v>Friday's Child</v>
      </c>
      <c r="L627" s="16">
        <f>VLOOKUP(I627,episodes!$A$1:$D$81,3,FALSE)</f>
        <v>2</v>
      </c>
      <c r="M627" s="16">
        <f>VLOOKUP(I627,episodes!$A$1:$D$81,4,FALSE)</f>
        <v>11</v>
      </c>
      <c r="O627" s="14">
        <v>0</v>
      </c>
      <c r="P627" s="24">
        <f>LEN(E627)+LEN(K627)</f>
        <v>41</v>
      </c>
      <c r="Q627" s="24"/>
      <c r="R627" s="24"/>
    </row>
    <row r="628" spans="1:18" x14ac:dyDescent="0.3">
      <c r="A628" s="14">
        <v>2948</v>
      </c>
      <c r="B628" s="1" t="s">
        <v>1</v>
      </c>
      <c r="C628" s="1" t="s">
        <v>1</v>
      </c>
      <c r="E628" s="1" t="s">
        <v>2778</v>
      </c>
      <c r="F628" s="21"/>
      <c r="G628" s="14">
        <v>0</v>
      </c>
      <c r="H628" s="14">
        <v>0</v>
      </c>
      <c r="I628" s="22">
        <v>211</v>
      </c>
      <c r="J628" s="23">
        <f>VLOOKUP(I628,episodes!$A$1:$B$76,2,FALSE)</f>
        <v>41</v>
      </c>
      <c r="K628" s="16" t="str">
        <f>VLOOKUP(I628,episodes!$A$1:$E$81,5,FALSE)</f>
        <v>Friday's Child</v>
      </c>
      <c r="L628" s="16">
        <f>VLOOKUP(I628,episodes!$A$1:$D$81,3,FALSE)</f>
        <v>2</v>
      </c>
      <c r="M628" s="16">
        <f>VLOOKUP(I628,episodes!$A$1:$D$81,4,FALSE)</f>
        <v>11</v>
      </c>
      <c r="O628" s="14">
        <v>0</v>
      </c>
      <c r="P628" s="24">
        <f>LEN(E628)+LEN(K628)</f>
        <v>50</v>
      </c>
      <c r="Q628" s="24"/>
      <c r="R628" s="24"/>
    </row>
    <row r="629" spans="1:18" x14ac:dyDescent="0.3">
      <c r="A629" s="14">
        <v>3005</v>
      </c>
      <c r="B629" s="1" t="s">
        <v>1</v>
      </c>
      <c r="C629" s="1" t="s">
        <v>1</v>
      </c>
      <c r="E629" s="1" t="s">
        <v>2826</v>
      </c>
      <c r="F629" s="21" t="s">
        <v>2225</v>
      </c>
      <c r="G629" s="14">
        <v>0</v>
      </c>
      <c r="H629" s="14">
        <v>0</v>
      </c>
      <c r="I629" s="22">
        <v>211</v>
      </c>
      <c r="J629" s="23">
        <f>VLOOKUP(I629,episodes!$A$1:$B$76,2,FALSE)</f>
        <v>41</v>
      </c>
      <c r="K629" s="16" t="str">
        <f>VLOOKUP(I629,episodes!$A$1:$E$81,5,FALSE)</f>
        <v>Friday's Child</v>
      </c>
      <c r="L629" s="16">
        <f>VLOOKUP(I629,episodes!$A$1:$D$81,3,FALSE)</f>
        <v>2</v>
      </c>
      <c r="M629" s="16">
        <f>VLOOKUP(I629,episodes!$A$1:$D$81,4,FALSE)</f>
        <v>11</v>
      </c>
      <c r="O629" s="14">
        <v>0</v>
      </c>
      <c r="P629" s="24">
        <f>LEN(E629)+LEN(K629)</f>
        <v>92</v>
      </c>
      <c r="Q629" s="24"/>
      <c r="R629" s="24"/>
    </row>
    <row r="630" spans="1:18" x14ac:dyDescent="0.3">
      <c r="A630" s="14">
        <v>322</v>
      </c>
      <c r="B630" s="21" t="s">
        <v>749</v>
      </c>
      <c r="C630" s="21" t="s">
        <v>1</v>
      </c>
      <c r="E630" s="1" t="s">
        <v>697</v>
      </c>
      <c r="F630" s="21" t="s">
        <v>2224</v>
      </c>
      <c r="G630" s="14">
        <v>0</v>
      </c>
      <c r="H630" s="14">
        <v>0</v>
      </c>
      <c r="I630" s="22">
        <v>125</v>
      </c>
      <c r="J630" s="23">
        <f>VLOOKUP(I630,episodes!$A$1:$B$76,2,FALSE)</f>
        <v>26</v>
      </c>
      <c r="K630" s="16" t="str">
        <f>VLOOKUP(I630,episodes!$A$1:$E$81,5,FALSE)</f>
        <v>The Devil in the Dark</v>
      </c>
      <c r="L630" s="16">
        <f>VLOOKUP(I630,episodes!$A$1:$D$81,3,FALSE)</f>
        <v>1</v>
      </c>
      <c r="M630" s="16">
        <f>VLOOKUP(I630,episodes!$A$1:$D$81,4,FALSE)</f>
        <v>25</v>
      </c>
      <c r="O630" s="14">
        <v>0</v>
      </c>
      <c r="P630" s="24">
        <f>LEN(E630)+LEN(K630)</f>
        <v>80</v>
      </c>
      <c r="Q630" s="24">
        <f>COUNTIFS(B:B,B629)</f>
        <v>38</v>
      </c>
      <c r="R630" s="24">
        <f>COUNTIFS(D:D,C630)</f>
        <v>1</v>
      </c>
    </row>
    <row r="631" spans="1:18" x14ac:dyDescent="0.3">
      <c r="A631" s="14">
        <v>2045</v>
      </c>
      <c r="B631" s="21" t="s">
        <v>1640</v>
      </c>
      <c r="C631" s="21" t="s">
        <v>1</v>
      </c>
      <c r="E631" s="1" t="s">
        <v>1206</v>
      </c>
      <c r="F631" s="21" t="s">
        <v>5</v>
      </c>
      <c r="G631" s="14">
        <v>1</v>
      </c>
      <c r="H631" s="14">
        <v>0</v>
      </c>
      <c r="I631" s="25">
        <v>101</v>
      </c>
      <c r="J631" s="23">
        <f>VLOOKUP(I631,episodes!$A$1:$B$76,2,FALSE)</f>
        <v>2</v>
      </c>
      <c r="K631" s="16" t="str">
        <f>VLOOKUP(I631,episodes!$A$1:$E$81,5,FALSE)</f>
        <v>The Man Trap</v>
      </c>
      <c r="L631" s="16">
        <f>VLOOKUP(I631,episodes!$A$1:$D$81,3,FALSE)</f>
        <v>1</v>
      </c>
      <c r="M631" s="16">
        <f>VLOOKUP(I631,episodes!$A$1:$D$81,4,FALSE)</f>
        <v>1</v>
      </c>
      <c r="O631" s="14">
        <v>0</v>
      </c>
      <c r="P631" s="24">
        <f>LEN(E631)+LEN(K631)</f>
        <v>130</v>
      </c>
      <c r="Q631" s="24">
        <f>COUNTIFS(B:B,#REF!)</f>
        <v>0</v>
      </c>
      <c r="R631" s="24">
        <f>COUNTIFS(D:D,D631)</f>
        <v>0</v>
      </c>
    </row>
    <row r="632" spans="1:18" x14ac:dyDescent="0.3">
      <c r="A632" s="14">
        <v>2204</v>
      </c>
      <c r="B632" s="21" t="s">
        <v>749</v>
      </c>
      <c r="C632" s="21" t="s">
        <v>1</v>
      </c>
      <c r="D632" s="21"/>
      <c r="E632" s="1" t="s">
        <v>1598</v>
      </c>
      <c r="F632" s="21" t="s">
        <v>5</v>
      </c>
      <c r="G632" s="14">
        <v>1</v>
      </c>
      <c r="H632" s="14">
        <v>0</v>
      </c>
      <c r="I632" s="22">
        <v>129</v>
      </c>
      <c r="J632" s="23">
        <f>VLOOKUP(I632,episodes!$A$1:$B$76,2,FALSE)</f>
        <v>30</v>
      </c>
      <c r="K632" s="16" t="str">
        <f>VLOOKUP(I632,episodes!$A$1:$E$81,5,FALSE)</f>
        <v>Operation: Annihilate!</v>
      </c>
      <c r="L632" s="16">
        <f>VLOOKUP(I632,episodes!$A$1:$D$81,3,FALSE)</f>
        <v>1</v>
      </c>
      <c r="M632" s="16">
        <f>VLOOKUP(I632,episodes!$A$1:$D$81,4,FALSE)</f>
        <v>29</v>
      </c>
      <c r="O632" s="14">
        <v>0</v>
      </c>
      <c r="P632" s="24">
        <f>LEN(E632)+LEN(K632)</f>
        <v>70</v>
      </c>
      <c r="Q632" s="24">
        <f>COUNTIFS(B:B,B631)</f>
        <v>12</v>
      </c>
      <c r="R632" s="24">
        <f>COUNTIFS(D:D,C632)</f>
        <v>1</v>
      </c>
    </row>
    <row r="633" spans="1:18" x14ac:dyDescent="0.3">
      <c r="A633" s="14">
        <v>2341</v>
      </c>
      <c r="B633" s="21" t="s">
        <v>737</v>
      </c>
      <c r="C633" s="1" t="s">
        <v>1</v>
      </c>
      <c r="D633" s="21"/>
      <c r="E633" s="1" t="s">
        <v>2414</v>
      </c>
      <c r="F633" s="21" t="s">
        <v>5</v>
      </c>
      <c r="G633" s="14">
        <v>1</v>
      </c>
      <c r="H633" s="14">
        <v>0</v>
      </c>
      <c r="I633" s="22">
        <v>201</v>
      </c>
      <c r="J633" s="23">
        <f>VLOOKUP(I633,episodes!$A$1:$B$76,2,FALSE)</f>
        <v>31</v>
      </c>
      <c r="K633" s="16" t="str">
        <f>VLOOKUP(I633,episodes!$A$1:$E$81,5,FALSE)</f>
        <v>Amok Time</v>
      </c>
      <c r="L633" s="16">
        <f>VLOOKUP(I633,episodes!$A$1:$D$81,3,FALSE)</f>
        <v>2</v>
      </c>
      <c r="M633" s="16">
        <f>VLOOKUP(I633,episodes!$A$1:$D$81,4,FALSE)</f>
        <v>1</v>
      </c>
      <c r="O633" s="14">
        <v>0</v>
      </c>
      <c r="P633" s="24">
        <f>LEN(E633)+LEN(K633)</f>
        <v>90</v>
      </c>
      <c r="Q633" s="24">
        <f>COUNTIFS(B:B,B631)</f>
        <v>12</v>
      </c>
      <c r="R633" s="24">
        <f>COUNTIFS(D:D,C633)</f>
        <v>1</v>
      </c>
    </row>
    <row r="634" spans="1:18" x14ac:dyDescent="0.3">
      <c r="A634" s="14">
        <v>3000</v>
      </c>
      <c r="B634" s="1" t="s">
        <v>1</v>
      </c>
      <c r="C634" s="1" t="s">
        <v>1</v>
      </c>
      <c r="E634" s="1" t="s">
        <v>2820</v>
      </c>
      <c r="F634" s="21" t="s">
        <v>5</v>
      </c>
      <c r="G634" s="14">
        <v>1</v>
      </c>
      <c r="H634" s="14">
        <v>0</v>
      </c>
      <c r="I634" s="22">
        <v>211</v>
      </c>
      <c r="J634" s="23">
        <f>VLOOKUP(I634,episodes!$A$1:$B$76,2,FALSE)</f>
        <v>41</v>
      </c>
      <c r="K634" s="16" t="str">
        <f>VLOOKUP(I634,episodes!$A$1:$E$81,5,FALSE)</f>
        <v>Friday's Child</v>
      </c>
      <c r="L634" s="16">
        <f>VLOOKUP(I634,episodes!$A$1:$D$81,3,FALSE)</f>
        <v>2</v>
      </c>
      <c r="M634" s="16">
        <f>VLOOKUP(I634,episodes!$A$1:$D$81,4,FALSE)</f>
        <v>11</v>
      </c>
      <c r="O634" s="14">
        <v>0</v>
      </c>
      <c r="P634" s="24">
        <f>LEN(E634)+LEN(K634)</f>
        <v>67</v>
      </c>
      <c r="Q634" s="24"/>
      <c r="R634" s="24"/>
    </row>
    <row r="635" spans="1:18" x14ac:dyDescent="0.3">
      <c r="A635" s="14">
        <v>2128</v>
      </c>
      <c r="B635" s="21" t="s">
        <v>1663</v>
      </c>
      <c r="C635" s="1" t="s">
        <v>1</v>
      </c>
      <c r="E635" s="1" t="s">
        <v>1604</v>
      </c>
      <c r="F635" s="21" t="s">
        <v>5</v>
      </c>
      <c r="G635" s="14">
        <v>1</v>
      </c>
      <c r="H635" s="14">
        <v>0</v>
      </c>
      <c r="I635" s="22">
        <v>121</v>
      </c>
      <c r="J635" s="23">
        <f>VLOOKUP(I635,episodes!$A$1:$B$76,2,FALSE)</f>
        <v>22</v>
      </c>
      <c r="K635" s="16" t="str">
        <f>VLOOKUP(I635,episodes!$A$1:$E$81,5,FALSE)</f>
        <v>The Return of the Archons</v>
      </c>
      <c r="L635" s="16">
        <f>VLOOKUP(I635,episodes!$A$1:$D$81,3,FALSE)</f>
        <v>1</v>
      </c>
      <c r="M635" s="16">
        <f>VLOOKUP(I635,episodes!$A$1:$D$81,4,FALSE)</f>
        <v>21</v>
      </c>
      <c r="O635" s="14">
        <v>0</v>
      </c>
      <c r="P635" s="24">
        <f>LEN(E635)+LEN(K635)</f>
        <v>56</v>
      </c>
      <c r="Q635" s="24">
        <f>COUNTIFS(B:B,B634)</f>
        <v>38</v>
      </c>
      <c r="R635" s="24">
        <f>COUNTIFS(D:D,D635)</f>
        <v>0</v>
      </c>
    </row>
    <row r="636" spans="1:18" x14ac:dyDescent="0.3">
      <c r="A636" s="14">
        <v>2885</v>
      </c>
      <c r="B636" s="21" t="s">
        <v>2360</v>
      </c>
      <c r="C636" s="21" t="s">
        <v>1</v>
      </c>
      <c r="E636" s="1" t="s">
        <v>2383</v>
      </c>
      <c r="F636" s="21" t="s">
        <v>2225</v>
      </c>
      <c r="G636" s="14">
        <v>0</v>
      </c>
      <c r="H636" s="14">
        <v>0</v>
      </c>
      <c r="I636" s="22">
        <v>126</v>
      </c>
      <c r="J636" s="23">
        <f>VLOOKUP(I636,episodes!$A$1:$B$76,2,FALSE)</f>
        <v>27</v>
      </c>
      <c r="K636" s="16" t="str">
        <f>VLOOKUP(I636,episodes!$A$1:$E$81,5,FALSE)</f>
        <v>Errand of Mercy</v>
      </c>
      <c r="L636" s="16">
        <f>VLOOKUP(I636,episodes!$A$1:$D$81,3,FALSE)</f>
        <v>1</v>
      </c>
      <c r="M636" s="16">
        <f>VLOOKUP(I636,episodes!$A$1:$D$81,4,FALSE)</f>
        <v>26</v>
      </c>
      <c r="O636" s="14">
        <v>0</v>
      </c>
      <c r="P636" s="24">
        <f>LEN(E636)+LEN(K636)</f>
        <v>111</v>
      </c>
      <c r="Q636" s="24">
        <f>COUNTIFS(B:B,B635)</f>
        <v>3</v>
      </c>
      <c r="R636" s="24">
        <f>COUNTIFS(D:D,C636)</f>
        <v>1</v>
      </c>
    </row>
    <row r="637" spans="1:18" x14ac:dyDescent="0.3">
      <c r="A637" s="14">
        <v>2447</v>
      </c>
      <c r="B637" s="21" t="s">
        <v>749</v>
      </c>
      <c r="C637" s="21" t="s">
        <v>1</v>
      </c>
      <c r="E637" s="1" t="s">
        <v>2083</v>
      </c>
      <c r="F637" s="21" t="s">
        <v>1861</v>
      </c>
      <c r="G637" s="14">
        <v>0</v>
      </c>
      <c r="H637" s="14">
        <v>1</v>
      </c>
      <c r="I637" s="22">
        <v>119</v>
      </c>
      <c r="J637" s="23">
        <f>VLOOKUP(I637,episodes!$A$1:$B$76,2,FALSE)</f>
        <v>20</v>
      </c>
      <c r="K637" s="16" t="str">
        <f>VLOOKUP(I637,episodes!$A$1:$E$81,5,FALSE)</f>
        <v>Tomorrow Is Yesterday</v>
      </c>
      <c r="L637" s="16">
        <f>VLOOKUP(I637,episodes!$A$1:$D$81,3,FALSE)</f>
        <v>1</v>
      </c>
      <c r="M637" s="16">
        <f>VLOOKUP(I637,episodes!$A$1:$D$81,4,FALSE)</f>
        <v>19</v>
      </c>
      <c r="O637" s="14">
        <v>0</v>
      </c>
      <c r="P637" s="24">
        <f>LEN(E637)+LEN(K637)</f>
        <v>75</v>
      </c>
      <c r="Q637" s="24">
        <f>COUNTIFS(B:B,B636)</f>
        <v>1</v>
      </c>
      <c r="R637" s="24">
        <f>COUNTIFS(D:D,D637)</f>
        <v>0</v>
      </c>
    </row>
    <row r="638" spans="1:18" x14ac:dyDescent="0.3">
      <c r="A638" s="14">
        <v>308</v>
      </c>
      <c r="B638" s="21" t="s">
        <v>259</v>
      </c>
      <c r="C638" s="1" t="s">
        <v>1018</v>
      </c>
      <c r="D638" s="1" t="s">
        <v>2224</v>
      </c>
      <c r="E638" s="1" t="s">
        <v>409</v>
      </c>
      <c r="G638" s="14">
        <v>0</v>
      </c>
      <c r="H638" s="14">
        <v>0</v>
      </c>
      <c r="I638" s="22">
        <v>123</v>
      </c>
      <c r="J638" s="23">
        <f>VLOOKUP(I638,episodes!$A$1:$B$76,2,FALSE)</f>
        <v>24</v>
      </c>
      <c r="K638" s="16" t="str">
        <f>VLOOKUP(I638,episodes!$A$1:$E$81,5,FALSE)</f>
        <v>A Taste of Armageddon</v>
      </c>
      <c r="L638" s="16">
        <f>VLOOKUP(I638,episodes!$A$1:$D$81,3,FALSE)</f>
        <v>1</v>
      </c>
      <c r="M638" s="16">
        <f>VLOOKUP(I638,episodes!$A$1:$D$81,4,FALSE)</f>
        <v>23</v>
      </c>
      <c r="O638" s="14">
        <v>0</v>
      </c>
      <c r="P638" s="24">
        <f>LEN(E638)+LEN(K638)</f>
        <v>45</v>
      </c>
      <c r="Q638" s="24">
        <f>COUNTIFS(B:B,B637)</f>
        <v>38</v>
      </c>
      <c r="R638" s="24">
        <f>COUNTIFS(D:D,#REF!)</f>
        <v>0</v>
      </c>
    </row>
    <row r="639" spans="1:18" x14ac:dyDescent="0.3">
      <c r="A639" s="14">
        <v>295</v>
      </c>
      <c r="B639" s="21" t="s">
        <v>259</v>
      </c>
      <c r="C639" s="1" t="s">
        <v>1018</v>
      </c>
      <c r="D639" s="1" t="s">
        <v>2224</v>
      </c>
      <c r="E639" s="1" t="s">
        <v>614</v>
      </c>
      <c r="G639" s="14">
        <v>0</v>
      </c>
      <c r="H639" s="14">
        <v>0</v>
      </c>
      <c r="I639" s="22">
        <v>119</v>
      </c>
      <c r="J639" s="23">
        <f>VLOOKUP(I639,episodes!$A$1:$B$76,2,FALSE)</f>
        <v>20</v>
      </c>
      <c r="K639" s="16" t="str">
        <f>VLOOKUP(I639,episodes!$A$1:$E$81,5,FALSE)</f>
        <v>Tomorrow Is Yesterday</v>
      </c>
      <c r="L639" s="16">
        <f>VLOOKUP(I639,episodes!$A$1:$D$81,3,FALSE)</f>
        <v>1</v>
      </c>
      <c r="M639" s="16">
        <f>VLOOKUP(I639,episodes!$A$1:$D$81,4,FALSE)</f>
        <v>19</v>
      </c>
      <c r="O639" s="14">
        <v>0</v>
      </c>
      <c r="P639" s="24">
        <f>LEN(E639)+LEN(K639)</f>
        <v>71</v>
      </c>
      <c r="Q639" s="24">
        <f>COUNTIFS(B:B,B638)</f>
        <v>163</v>
      </c>
      <c r="R639" s="24">
        <f>COUNTIFS(D:D,#REF!)</f>
        <v>0</v>
      </c>
    </row>
    <row r="640" spans="1:18" x14ac:dyDescent="0.3">
      <c r="A640" s="14">
        <v>824</v>
      </c>
      <c r="B640" s="21" t="s">
        <v>259</v>
      </c>
      <c r="C640" s="1" t="s">
        <v>1018</v>
      </c>
      <c r="D640" s="21" t="s">
        <v>4</v>
      </c>
      <c r="E640" s="1" t="s">
        <v>850</v>
      </c>
      <c r="G640" s="14">
        <v>1</v>
      </c>
      <c r="H640" s="14">
        <v>0</v>
      </c>
      <c r="I640" s="22">
        <v>124</v>
      </c>
      <c r="J640" s="23">
        <f>VLOOKUP(I640,episodes!$A$1:$B$76,2,FALSE)</f>
        <v>25</v>
      </c>
      <c r="K640" s="16" t="str">
        <f>VLOOKUP(I640,episodes!$A$1:$E$81,5,FALSE)</f>
        <v>This Side of Paradise</v>
      </c>
      <c r="L640" s="16">
        <f>VLOOKUP(I640,episodes!$A$1:$D$81,3,FALSE)</f>
        <v>1</v>
      </c>
      <c r="M640" s="16">
        <f>VLOOKUP(I640,episodes!$A$1:$D$81,4,FALSE)</f>
        <v>24</v>
      </c>
      <c r="O640" s="14">
        <v>0</v>
      </c>
      <c r="P640" s="24">
        <f>LEN(E640)+LEN(K640)</f>
        <v>40</v>
      </c>
      <c r="Q640" s="24">
        <f>COUNTIFS(B:B,B639)</f>
        <v>163</v>
      </c>
      <c r="R640" s="24">
        <f>COUNTIFS(D:D,#REF!)</f>
        <v>0</v>
      </c>
    </row>
    <row r="641" spans="1:19" x14ac:dyDescent="0.3">
      <c r="A641" s="14">
        <v>916</v>
      </c>
      <c r="B641" s="21" t="s">
        <v>259</v>
      </c>
      <c r="C641" s="1" t="s">
        <v>1018</v>
      </c>
      <c r="D641" s="21" t="s">
        <v>4</v>
      </c>
      <c r="E641" s="1" t="s">
        <v>870</v>
      </c>
      <c r="G641" s="14">
        <v>1</v>
      </c>
      <c r="H641" s="14">
        <v>0</v>
      </c>
      <c r="I641" s="25">
        <v>205</v>
      </c>
      <c r="J641" s="23">
        <f>VLOOKUP(I641,episodes!$A$1:$B$81,2,FALSE)</f>
        <v>35</v>
      </c>
      <c r="K641" s="16" t="str">
        <f>VLOOKUP(I641,episodes!$A$1:$E$81,5,FALSE)</f>
        <v>The Apple</v>
      </c>
      <c r="L641" s="16">
        <f>VLOOKUP(I641,episodes!$A$1:$D$81,3,FALSE)</f>
        <v>2</v>
      </c>
      <c r="M641" s="16">
        <f>VLOOKUP(I641,episodes!$A$1:$D$81,4,FALSE)</f>
        <v>5</v>
      </c>
      <c r="O641" s="14">
        <v>0</v>
      </c>
      <c r="P641" s="24">
        <f>LEN(E641)+LEN(K641)</f>
        <v>27</v>
      </c>
      <c r="Q641" s="24">
        <f>COUNTIFS(B:B,B640)</f>
        <v>163</v>
      </c>
      <c r="R641" s="24">
        <f>COUNTIFS(D:D,#REF!)</f>
        <v>0</v>
      </c>
    </row>
    <row r="642" spans="1:19" x14ac:dyDescent="0.3">
      <c r="A642" s="14">
        <v>571</v>
      </c>
      <c r="B642" s="21" t="s">
        <v>259</v>
      </c>
      <c r="C642" s="1" t="s">
        <v>1018</v>
      </c>
      <c r="D642" s="21" t="s">
        <v>4</v>
      </c>
      <c r="E642" s="1" t="s">
        <v>176</v>
      </c>
      <c r="G642" s="14">
        <v>1</v>
      </c>
      <c r="H642" s="14">
        <v>0</v>
      </c>
      <c r="I642" s="25">
        <v>103</v>
      </c>
      <c r="J642" s="23">
        <f>VLOOKUP(I642,episodes!$A$1:$B$76,2,FALSE)</f>
        <v>4</v>
      </c>
      <c r="K642" s="16" t="str">
        <f>VLOOKUP(I642,episodes!$A$1:$E$81,5,FALSE)</f>
        <v>Where No Man Has Gone Before</v>
      </c>
      <c r="L642" s="16">
        <f>VLOOKUP(I642,episodes!$A$1:$D$81,3,FALSE)</f>
        <v>1</v>
      </c>
      <c r="M642" s="16">
        <f>VLOOKUP(I642,episodes!$A$1:$D$81,4,FALSE)</f>
        <v>3</v>
      </c>
      <c r="O642" s="14">
        <v>0</v>
      </c>
      <c r="P642" s="24">
        <f>LEN(E642)+LEN(K642)</f>
        <v>49</v>
      </c>
      <c r="Q642" s="24">
        <f>COUNTIFS(B:B,B641)</f>
        <v>163</v>
      </c>
      <c r="R642" s="24">
        <f>COUNTIFS(D:D,#REF!)</f>
        <v>0</v>
      </c>
    </row>
    <row r="643" spans="1:19" x14ac:dyDescent="0.3">
      <c r="A643" s="14">
        <v>640</v>
      </c>
      <c r="B643" s="21" t="s">
        <v>259</v>
      </c>
      <c r="C643" s="1" t="s">
        <v>1018</v>
      </c>
      <c r="D643" s="21" t="s">
        <v>4</v>
      </c>
      <c r="E643" s="1" t="s">
        <v>176</v>
      </c>
      <c r="G643" s="14">
        <v>1</v>
      </c>
      <c r="H643" s="14">
        <v>0</v>
      </c>
      <c r="I643" s="25">
        <v>108</v>
      </c>
      <c r="J643" s="23">
        <f>VLOOKUP(I643,episodes!$A$1:$B$76,2,FALSE)</f>
        <v>9</v>
      </c>
      <c r="K643" s="16" t="str">
        <f>VLOOKUP(I643,episodes!$A$1:$E$81,5,FALSE)</f>
        <v>Miri</v>
      </c>
      <c r="L643" s="16">
        <f>VLOOKUP(I643,episodes!$A$1:$D$81,3,FALSE)</f>
        <v>1</v>
      </c>
      <c r="M643" s="16">
        <f>VLOOKUP(I643,episodes!$A$1:$D$81,4,FALSE)</f>
        <v>8</v>
      </c>
      <c r="O643" s="14">
        <v>0</v>
      </c>
      <c r="P643" s="24">
        <f>LEN(E643)+LEN(K643)</f>
        <v>25</v>
      </c>
      <c r="Q643" s="24">
        <f>COUNTIFS(B:B,B642)</f>
        <v>163</v>
      </c>
      <c r="R643" s="24">
        <f>COUNTIFS(D:D,#REF!)</f>
        <v>0</v>
      </c>
    </row>
    <row r="644" spans="1:19" x14ac:dyDescent="0.3">
      <c r="A644" s="14">
        <v>710</v>
      </c>
      <c r="B644" s="21" t="s">
        <v>259</v>
      </c>
      <c r="C644" s="1" t="s">
        <v>1018</v>
      </c>
      <c r="D644" s="21" t="s">
        <v>4</v>
      </c>
      <c r="E644" s="1" t="s">
        <v>176</v>
      </c>
      <c r="G644" s="14">
        <v>1</v>
      </c>
      <c r="H644" s="14">
        <v>0</v>
      </c>
      <c r="I644" s="22">
        <v>115</v>
      </c>
      <c r="J644" s="23">
        <f>VLOOKUP(I644,episodes!$A$1:$B$76,2,FALSE)</f>
        <v>16</v>
      </c>
      <c r="K644" s="16" t="str">
        <f>VLOOKUP(I644,episodes!$A$1:$E$81,5,FALSE)</f>
        <v>Shore Leave</v>
      </c>
      <c r="L644" s="16">
        <f>VLOOKUP(I644,episodes!$A$1:$D$81,3,FALSE)</f>
        <v>1</v>
      </c>
      <c r="M644" s="16">
        <f>VLOOKUP(I644,episodes!$A$1:$D$81,4,FALSE)</f>
        <v>15</v>
      </c>
      <c r="O644" s="14">
        <v>0</v>
      </c>
      <c r="P644" s="24">
        <f>LEN(E644)+LEN(K644)</f>
        <v>32</v>
      </c>
      <c r="Q644" s="24">
        <f>COUNTIFS(B:B,B643)</f>
        <v>163</v>
      </c>
      <c r="R644" s="24">
        <f>COUNTIFS(D:D,#REF!)</f>
        <v>0</v>
      </c>
    </row>
    <row r="645" spans="1:19" x14ac:dyDescent="0.3">
      <c r="A645" s="14">
        <v>799</v>
      </c>
      <c r="B645" s="21" t="s">
        <v>259</v>
      </c>
      <c r="C645" s="1" t="s">
        <v>1018</v>
      </c>
      <c r="D645" s="21" t="s">
        <v>4</v>
      </c>
      <c r="E645" s="1" t="s">
        <v>176</v>
      </c>
      <c r="G645" s="14">
        <v>1</v>
      </c>
      <c r="H645" s="14">
        <v>0</v>
      </c>
      <c r="I645" s="22">
        <v>122</v>
      </c>
      <c r="J645" s="23">
        <f>VLOOKUP(I645,episodes!$A$1:$B$76,2,FALSE)</f>
        <v>23</v>
      </c>
      <c r="K645" s="16" t="str">
        <f>VLOOKUP(I645,episodes!$A$1:$E$81,5,FALSE)</f>
        <v>Space Seed</v>
      </c>
      <c r="L645" s="16">
        <f>VLOOKUP(I645,episodes!$A$1:$D$81,3,FALSE)</f>
        <v>1</v>
      </c>
      <c r="M645" s="16">
        <f>VLOOKUP(I645,episodes!$A$1:$D$81,4,FALSE)</f>
        <v>22</v>
      </c>
      <c r="O645" s="14">
        <v>0</v>
      </c>
      <c r="P645" s="24">
        <f>LEN(E645)+LEN(K645)</f>
        <v>31</v>
      </c>
      <c r="Q645" s="24">
        <f>COUNTIFS(B:B,B644)</f>
        <v>163</v>
      </c>
      <c r="R645" s="24">
        <f>COUNTIFS(D:D,#REF!)</f>
        <v>0</v>
      </c>
    </row>
    <row r="646" spans="1:19" x14ac:dyDescent="0.3">
      <c r="A646" s="14">
        <v>810</v>
      </c>
      <c r="B646" s="21" t="s">
        <v>259</v>
      </c>
      <c r="C646" s="1" t="s">
        <v>1018</v>
      </c>
      <c r="D646" s="21" t="s">
        <v>4</v>
      </c>
      <c r="E646" s="1" t="s">
        <v>176</v>
      </c>
      <c r="G646" s="14">
        <v>1</v>
      </c>
      <c r="H646" s="14">
        <v>0</v>
      </c>
      <c r="I646" s="22">
        <v>123</v>
      </c>
      <c r="J646" s="23">
        <f>VLOOKUP(I646,episodes!$A$1:$B$76,2,FALSE)</f>
        <v>24</v>
      </c>
      <c r="K646" s="16" t="str">
        <f>VLOOKUP(I646,episodes!$A$1:$E$81,5,FALSE)</f>
        <v>A Taste of Armageddon</v>
      </c>
      <c r="L646" s="16">
        <f>VLOOKUP(I646,episodes!$A$1:$D$81,3,FALSE)</f>
        <v>1</v>
      </c>
      <c r="M646" s="16">
        <f>VLOOKUP(I646,episodes!$A$1:$D$81,4,FALSE)</f>
        <v>23</v>
      </c>
      <c r="O646" s="14">
        <v>0</v>
      </c>
      <c r="P646" s="24">
        <f>LEN(E646)+LEN(K646)</f>
        <v>42</v>
      </c>
      <c r="Q646" s="24">
        <f>COUNTIFS(B:B,B645)</f>
        <v>163</v>
      </c>
      <c r="R646" s="24">
        <f>COUNTIFS(D:D,#REF!)</f>
        <v>0</v>
      </c>
    </row>
    <row r="647" spans="1:19" x14ac:dyDescent="0.3">
      <c r="A647" s="14">
        <v>961</v>
      </c>
      <c r="B647" s="21" t="s">
        <v>259</v>
      </c>
      <c r="C647" s="1" t="s">
        <v>1018</v>
      </c>
      <c r="D647" s="21" t="s">
        <v>4</v>
      </c>
      <c r="E647" s="1" t="s">
        <v>176</v>
      </c>
      <c r="F647" s="21"/>
      <c r="G647" s="14">
        <v>1</v>
      </c>
      <c r="H647" s="14">
        <v>0</v>
      </c>
      <c r="I647" s="22">
        <v>208</v>
      </c>
      <c r="J647" s="23">
        <f>VLOOKUP(I647,episodes!$A$1:$B$81,2,FALSE)</f>
        <v>38</v>
      </c>
      <c r="K647" s="16" t="str">
        <f>VLOOKUP(I647,episodes!$A$1:$E$81,5,FALSE)</f>
        <v>I, Mudd</v>
      </c>
      <c r="L647" s="16">
        <f>VLOOKUP(I647,episodes!$A$1:$D$81,3,FALSE)</f>
        <v>2</v>
      </c>
      <c r="M647" s="16">
        <f>VLOOKUP(I647,episodes!$A$1:$D$81,4,FALSE)</f>
        <v>8</v>
      </c>
      <c r="O647" s="14">
        <v>0</v>
      </c>
      <c r="P647" s="24">
        <f>LEN(E647)+LEN(K647)</f>
        <v>28</v>
      </c>
      <c r="Q647" s="24">
        <f>COUNTIFS(B:B,B646)</f>
        <v>163</v>
      </c>
      <c r="R647" s="24">
        <f>COUNTIFS(D:D,#REF!)</f>
        <v>0</v>
      </c>
    </row>
    <row r="648" spans="1:19" x14ac:dyDescent="0.3">
      <c r="A648" s="14">
        <v>931</v>
      </c>
      <c r="B648" s="21" t="s">
        <v>259</v>
      </c>
      <c r="C648" s="1" t="s">
        <v>1018</v>
      </c>
      <c r="D648" s="21" t="s">
        <v>4</v>
      </c>
      <c r="E648" s="1" t="s">
        <v>935</v>
      </c>
      <c r="G648" s="14">
        <v>1</v>
      </c>
      <c r="H648" s="14">
        <v>0</v>
      </c>
      <c r="I648" s="25">
        <v>206</v>
      </c>
      <c r="J648" s="23">
        <f>VLOOKUP(I648,episodes!$A$1:$B$81,2,FALSE)</f>
        <v>36</v>
      </c>
      <c r="K648" s="16" t="str">
        <f>VLOOKUP(I648,episodes!$A$1:$E$81,5,FALSE)</f>
        <v>The Doomsday Machine</v>
      </c>
      <c r="L648" s="16">
        <f>VLOOKUP(I648,episodes!$A$1:$D$81,3,FALSE)</f>
        <v>2</v>
      </c>
      <c r="M648" s="16">
        <f>VLOOKUP(I648,episodes!$A$1:$D$81,4,FALSE)</f>
        <v>6</v>
      </c>
      <c r="O648" s="14">
        <v>0</v>
      </c>
      <c r="P648" s="24">
        <f>LEN(E648)+LEN(K648)</f>
        <v>53</v>
      </c>
      <c r="Q648" s="24">
        <f>COUNTIFS(B:B,B647)</f>
        <v>163</v>
      </c>
      <c r="R648" s="24">
        <f>COUNTIFS(D:D,#REF!)</f>
        <v>0</v>
      </c>
    </row>
    <row r="649" spans="1:19" s="21" customFormat="1" x14ac:dyDescent="0.3">
      <c r="A649" s="14">
        <v>894</v>
      </c>
      <c r="B649" s="21" t="s">
        <v>259</v>
      </c>
      <c r="C649" s="1" t="s">
        <v>1018</v>
      </c>
      <c r="D649" s="21" t="s">
        <v>4</v>
      </c>
      <c r="E649" s="1" t="s">
        <v>2011</v>
      </c>
      <c r="F649" s="1"/>
      <c r="G649" s="14">
        <v>1</v>
      </c>
      <c r="H649" s="14">
        <v>0</v>
      </c>
      <c r="I649" s="22">
        <v>202</v>
      </c>
      <c r="J649" s="23">
        <f>VLOOKUP(I649,episodes!$A$1:$B$76,2,FALSE)</f>
        <v>32</v>
      </c>
      <c r="K649" s="16" t="str">
        <f>VLOOKUP(I649,episodes!$A$1:$E$81,5,FALSE)</f>
        <v>Who Mourns for Adonais?</v>
      </c>
      <c r="L649" s="16">
        <f>VLOOKUP(I649,episodes!$A$1:$D$81,3,FALSE)</f>
        <v>2</v>
      </c>
      <c r="M649" s="16">
        <f>VLOOKUP(I649,episodes!$A$1:$D$81,4,FALSE)</f>
        <v>2</v>
      </c>
      <c r="N649" s="14"/>
      <c r="O649" s="14">
        <v>0</v>
      </c>
      <c r="P649" s="24">
        <f>LEN(E649)+LEN(K649)</f>
        <v>59</v>
      </c>
      <c r="Q649" s="24">
        <f>COUNTIFS(B:B,B648)</f>
        <v>163</v>
      </c>
      <c r="R649" s="24">
        <f>COUNTIFS(D:D,#REF!)</f>
        <v>0</v>
      </c>
      <c r="S649" s="1"/>
    </row>
    <row r="650" spans="1:19" x14ac:dyDescent="0.3">
      <c r="A650" s="14">
        <v>549</v>
      </c>
      <c r="B650" s="21" t="s">
        <v>259</v>
      </c>
      <c r="C650" s="1" t="s">
        <v>1018</v>
      </c>
      <c r="D650" s="21" t="s">
        <v>4</v>
      </c>
      <c r="E650" s="1" t="s">
        <v>2446</v>
      </c>
      <c r="G650" s="14">
        <v>1</v>
      </c>
      <c r="H650" s="14">
        <v>0</v>
      </c>
      <c r="I650" s="22">
        <v>101</v>
      </c>
      <c r="J650" s="23">
        <f>VLOOKUP(I650,episodes!$A$1:$B$76,2,FALSE)</f>
        <v>2</v>
      </c>
      <c r="K650" s="16" t="str">
        <f>VLOOKUP(I650,episodes!$A$1:$E$81,5,FALSE)</f>
        <v>The Man Trap</v>
      </c>
      <c r="L650" s="16">
        <f>VLOOKUP(I650,episodes!$A$1:$D$81,3,FALSE)</f>
        <v>1</v>
      </c>
      <c r="M650" s="16">
        <f>VLOOKUP(I650,episodes!$A$1:$D$81,4,FALSE)</f>
        <v>1</v>
      </c>
      <c r="O650" s="14">
        <v>0</v>
      </c>
      <c r="P650" s="24">
        <f>LEN(E650)+LEN(K650)</f>
        <v>37</v>
      </c>
      <c r="Q650" s="24">
        <f>COUNTIFS(B:B,B649)</f>
        <v>163</v>
      </c>
      <c r="R650" s="24">
        <f>COUNTIFS(D:D,#REF!)</f>
        <v>0</v>
      </c>
    </row>
    <row r="651" spans="1:19" x14ac:dyDescent="0.3">
      <c r="A651" s="14">
        <v>617</v>
      </c>
      <c r="B651" s="21" t="s">
        <v>259</v>
      </c>
      <c r="C651" s="1" t="s">
        <v>1018</v>
      </c>
      <c r="D651" s="21" t="s">
        <v>4</v>
      </c>
      <c r="E651" s="1" t="s">
        <v>2446</v>
      </c>
      <c r="G651" s="14">
        <v>1</v>
      </c>
      <c r="H651" s="14">
        <v>0</v>
      </c>
      <c r="I651" s="25">
        <v>107</v>
      </c>
      <c r="J651" s="23">
        <f>VLOOKUP(I651,episodes!$A$1:$B$76,2,FALSE)</f>
        <v>8</v>
      </c>
      <c r="K651" s="16" t="str">
        <f>VLOOKUP(I651,episodes!$A$1:$E$81,5,FALSE)</f>
        <v>What Are Little Girls Made Of?</v>
      </c>
      <c r="L651" s="16">
        <f>VLOOKUP(I651,episodes!$A$1:$D$81,3,FALSE)</f>
        <v>1</v>
      </c>
      <c r="M651" s="16">
        <f>VLOOKUP(I651,episodes!$A$1:$D$81,4,FALSE)</f>
        <v>7</v>
      </c>
      <c r="O651" s="14">
        <v>0</v>
      </c>
      <c r="P651" s="24">
        <f>LEN(E651)+LEN(K651)</f>
        <v>55</v>
      </c>
      <c r="Q651" s="24">
        <f>COUNTIFS(B:B,B650)</f>
        <v>163</v>
      </c>
      <c r="R651" s="24">
        <f>COUNTIFS(D:D,#REF!)</f>
        <v>0</v>
      </c>
    </row>
    <row r="652" spans="1:19" x14ac:dyDescent="0.3">
      <c r="A652" s="14">
        <v>650</v>
      </c>
      <c r="B652" s="21" t="s">
        <v>259</v>
      </c>
      <c r="C652" s="1" t="s">
        <v>1018</v>
      </c>
      <c r="D652" s="21" t="s">
        <v>4</v>
      </c>
      <c r="E652" s="1" t="s">
        <v>2446</v>
      </c>
      <c r="G652" s="14">
        <v>1</v>
      </c>
      <c r="H652" s="14">
        <v>0</v>
      </c>
      <c r="I652" s="25">
        <v>109</v>
      </c>
      <c r="J652" s="23">
        <f>VLOOKUP(I652,episodes!$A$1:$B$76,2,FALSE)</f>
        <v>10</v>
      </c>
      <c r="K652" s="16" t="str">
        <f>VLOOKUP(I652,episodes!$A$1:$E$81,5,FALSE)</f>
        <v>Dagger of the Mind</v>
      </c>
      <c r="L652" s="16">
        <f>VLOOKUP(I652,episodes!$A$1:$D$81,3,FALSE)</f>
        <v>1</v>
      </c>
      <c r="M652" s="16">
        <f>VLOOKUP(I652,episodes!$A$1:$D$81,4,FALSE)</f>
        <v>9</v>
      </c>
      <c r="O652" s="14">
        <v>0</v>
      </c>
      <c r="P652" s="24">
        <f>LEN(E652)+LEN(K652)</f>
        <v>43</v>
      </c>
      <c r="Q652" s="24">
        <f>COUNTIFS(B:B,B651)</f>
        <v>163</v>
      </c>
      <c r="R652" s="24">
        <f>COUNTIFS(D:D,#REF!)</f>
        <v>0</v>
      </c>
    </row>
    <row r="653" spans="1:19" x14ac:dyDescent="0.3">
      <c r="A653" s="14">
        <v>733</v>
      </c>
      <c r="B653" s="21" t="s">
        <v>259</v>
      </c>
      <c r="C653" s="1" t="s">
        <v>1018</v>
      </c>
      <c r="D653" s="21" t="s">
        <v>4</v>
      </c>
      <c r="E653" s="1" t="s">
        <v>2446</v>
      </c>
      <c r="G653" s="14">
        <v>1</v>
      </c>
      <c r="H653" s="14">
        <v>0</v>
      </c>
      <c r="I653" s="22">
        <v>117</v>
      </c>
      <c r="J653" s="23">
        <f>VLOOKUP(I653,episodes!$A$1:$B$76,2,FALSE)</f>
        <v>18</v>
      </c>
      <c r="K653" s="16" t="str">
        <f>VLOOKUP(I653,episodes!$A$1:$E$81,5,FALSE)</f>
        <v>The Squire of Gothos</v>
      </c>
      <c r="L653" s="16">
        <f>VLOOKUP(I653,episodes!$A$1:$D$81,3,FALSE)</f>
        <v>1</v>
      </c>
      <c r="M653" s="16">
        <f>VLOOKUP(I653,episodes!$A$1:$D$81,4,FALSE)</f>
        <v>17</v>
      </c>
      <c r="O653" s="14">
        <v>0</v>
      </c>
      <c r="P653" s="24">
        <f>LEN(E653)+LEN(K653)</f>
        <v>45</v>
      </c>
      <c r="Q653" s="24">
        <f>COUNTIFS(B:B,B652)</f>
        <v>163</v>
      </c>
      <c r="R653" s="24">
        <f>COUNTIFS(D:D,#REF!)</f>
        <v>0</v>
      </c>
    </row>
    <row r="654" spans="1:19" x14ac:dyDescent="0.3">
      <c r="A654" s="14">
        <v>783</v>
      </c>
      <c r="B654" s="21" t="s">
        <v>259</v>
      </c>
      <c r="C654" s="1" t="s">
        <v>1018</v>
      </c>
      <c r="D654" s="21" t="s">
        <v>4</v>
      </c>
      <c r="E654" s="1" t="s">
        <v>2446</v>
      </c>
      <c r="G654" s="14">
        <v>1</v>
      </c>
      <c r="H654" s="14">
        <v>0</v>
      </c>
      <c r="I654" s="22">
        <v>121</v>
      </c>
      <c r="J654" s="23">
        <f>VLOOKUP(I654,episodes!$A$1:$B$76,2,FALSE)</f>
        <v>22</v>
      </c>
      <c r="K654" s="16" t="str">
        <f>VLOOKUP(I654,episodes!$A$1:$E$81,5,FALSE)</f>
        <v>The Return of the Archons</v>
      </c>
      <c r="L654" s="16">
        <f>VLOOKUP(I654,episodes!$A$1:$D$81,3,FALSE)</f>
        <v>1</v>
      </c>
      <c r="M654" s="16">
        <f>VLOOKUP(I654,episodes!$A$1:$D$81,4,FALSE)</f>
        <v>21</v>
      </c>
      <c r="O654" s="14">
        <v>0</v>
      </c>
      <c r="P654" s="24">
        <f>LEN(E654)+LEN(K654)</f>
        <v>50</v>
      </c>
      <c r="Q654" s="24">
        <f>COUNTIFS(B:B,B653)</f>
        <v>163</v>
      </c>
      <c r="R654" s="24">
        <f>COUNTIFS(D:D,#REF!)</f>
        <v>0</v>
      </c>
    </row>
    <row r="655" spans="1:19" x14ac:dyDescent="0.3">
      <c r="A655" s="14">
        <v>836</v>
      </c>
      <c r="B655" s="21" t="s">
        <v>259</v>
      </c>
      <c r="C655" s="1" t="s">
        <v>1018</v>
      </c>
      <c r="D655" s="21" t="s">
        <v>4</v>
      </c>
      <c r="E655" s="1" t="s">
        <v>2446</v>
      </c>
      <c r="G655" s="14">
        <v>1</v>
      </c>
      <c r="H655" s="14">
        <v>0</v>
      </c>
      <c r="I655" s="22">
        <v>125</v>
      </c>
      <c r="J655" s="23">
        <f>VLOOKUP(I655,episodes!$A$1:$B$76,2,FALSE)</f>
        <v>26</v>
      </c>
      <c r="K655" s="16" t="str">
        <f>VLOOKUP(I655,episodes!$A$1:$E$81,5,FALSE)</f>
        <v>The Devil in the Dark</v>
      </c>
      <c r="L655" s="16">
        <f>VLOOKUP(I655,episodes!$A$1:$D$81,3,FALSE)</f>
        <v>1</v>
      </c>
      <c r="M655" s="16">
        <f>VLOOKUP(I655,episodes!$A$1:$D$81,4,FALSE)</f>
        <v>25</v>
      </c>
      <c r="O655" s="14">
        <v>0</v>
      </c>
      <c r="P655" s="24">
        <f>LEN(E655)+LEN(K655)</f>
        <v>46</v>
      </c>
      <c r="Q655" s="24">
        <f>COUNTIFS(B:B,B654)</f>
        <v>163</v>
      </c>
      <c r="R655" s="24">
        <f>COUNTIFS(D:D,#REF!)</f>
        <v>0</v>
      </c>
    </row>
    <row r="656" spans="1:19" x14ac:dyDescent="0.3">
      <c r="A656" s="14">
        <v>936</v>
      </c>
      <c r="B656" s="21" t="s">
        <v>259</v>
      </c>
      <c r="C656" s="1" t="s">
        <v>1018</v>
      </c>
      <c r="D656" s="21" t="s">
        <v>4</v>
      </c>
      <c r="E656" s="1" t="s">
        <v>2446</v>
      </c>
      <c r="G656" s="14">
        <v>1</v>
      </c>
      <c r="H656" s="14">
        <v>0</v>
      </c>
      <c r="I656" s="25">
        <v>206</v>
      </c>
      <c r="J656" s="23">
        <f>VLOOKUP(I656,episodes!$A$1:$B$81,2,FALSE)</f>
        <v>36</v>
      </c>
      <c r="K656" s="16" t="str">
        <f>VLOOKUP(I656,episodes!$A$1:$E$81,5,FALSE)</f>
        <v>The Doomsday Machine</v>
      </c>
      <c r="L656" s="16">
        <f>VLOOKUP(I656,episodes!$A$1:$D$81,3,FALSE)</f>
        <v>2</v>
      </c>
      <c r="M656" s="16">
        <f>VLOOKUP(I656,episodes!$A$1:$D$81,4,FALSE)</f>
        <v>6</v>
      </c>
      <c r="O656" s="14">
        <v>0</v>
      </c>
      <c r="P656" s="24">
        <f>LEN(E656)+LEN(K656)</f>
        <v>45</v>
      </c>
      <c r="Q656" s="24">
        <f>COUNTIFS(B:B,B655)</f>
        <v>163</v>
      </c>
      <c r="R656" s="24">
        <f>COUNTIFS(D:D,#REF!)</f>
        <v>0</v>
      </c>
    </row>
    <row r="657" spans="1:19" x14ac:dyDescent="0.3">
      <c r="A657" s="14">
        <v>550</v>
      </c>
      <c r="B657" s="21" t="s">
        <v>259</v>
      </c>
      <c r="C657" s="1" t="s">
        <v>1018</v>
      </c>
      <c r="D657" s="21" t="s">
        <v>4</v>
      </c>
      <c r="E657" s="1" t="s">
        <v>2447</v>
      </c>
      <c r="G657" s="14">
        <v>1</v>
      </c>
      <c r="H657" s="14">
        <v>0</v>
      </c>
      <c r="I657" s="22">
        <v>101</v>
      </c>
      <c r="J657" s="23">
        <f>VLOOKUP(I657,episodes!$A$1:$B$76,2,FALSE)</f>
        <v>2</v>
      </c>
      <c r="K657" s="16" t="str">
        <f>VLOOKUP(I657,episodes!$A$1:$E$81,5,FALSE)</f>
        <v>The Man Trap</v>
      </c>
      <c r="L657" s="16">
        <f>VLOOKUP(I657,episodes!$A$1:$D$81,3,FALSE)</f>
        <v>1</v>
      </c>
      <c r="M657" s="16">
        <f>VLOOKUP(I657,episodes!$A$1:$D$81,4,FALSE)</f>
        <v>1</v>
      </c>
      <c r="O657" s="14">
        <v>0</v>
      </c>
      <c r="P657" s="24">
        <f>LEN(E657)+LEN(K657)</f>
        <v>37</v>
      </c>
      <c r="Q657" s="24">
        <f>COUNTIFS(B:B,B656)</f>
        <v>163</v>
      </c>
      <c r="R657" s="24">
        <f>COUNTIFS(D:D,#REF!)</f>
        <v>0</v>
      </c>
    </row>
    <row r="658" spans="1:19" x14ac:dyDescent="0.3">
      <c r="A658" s="14">
        <v>618</v>
      </c>
      <c r="B658" s="21" t="s">
        <v>259</v>
      </c>
      <c r="C658" s="1" t="s">
        <v>1018</v>
      </c>
      <c r="D658" s="21" t="s">
        <v>4</v>
      </c>
      <c r="E658" s="1" t="s">
        <v>2447</v>
      </c>
      <c r="G658" s="14">
        <v>1</v>
      </c>
      <c r="H658" s="14">
        <v>0</v>
      </c>
      <c r="I658" s="25">
        <v>107</v>
      </c>
      <c r="J658" s="23">
        <f>VLOOKUP(I658,episodes!$A$1:$B$76,2,FALSE)</f>
        <v>8</v>
      </c>
      <c r="K658" s="16" t="str">
        <f>VLOOKUP(I658,episodes!$A$1:$E$81,5,FALSE)</f>
        <v>What Are Little Girls Made Of?</v>
      </c>
      <c r="L658" s="16">
        <f>VLOOKUP(I658,episodes!$A$1:$D$81,3,FALSE)</f>
        <v>1</v>
      </c>
      <c r="M658" s="16">
        <f>VLOOKUP(I658,episodes!$A$1:$D$81,4,FALSE)</f>
        <v>7</v>
      </c>
      <c r="O658" s="14">
        <v>0</v>
      </c>
      <c r="P658" s="24">
        <f>LEN(E658)+LEN(K658)</f>
        <v>55</v>
      </c>
      <c r="Q658" s="24">
        <f>COUNTIFS(B:B,B657)</f>
        <v>163</v>
      </c>
      <c r="R658" s="24">
        <f>COUNTIFS(D:D,#REF!)</f>
        <v>0</v>
      </c>
      <c r="S658" s="21"/>
    </row>
    <row r="659" spans="1:19" x14ac:dyDescent="0.3">
      <c r="A659" s="14">
        <v>651</v>
      </c>
      <c r="B659" s="21" t="s">
        <v>259</v>
      </c>
      <c r="C659" s="1" t="s">
        <v>1018</v>
      </c>
      <c r="D659" s="21" t="s">
        <v>4</v>
      </c>
      <c r="E659" s="1" t="s">
        <v>2447</v>
      </c>
      <c r="G659" s="14">
        <v>1</v>
      </c>
      <c r="H659" s="14">
        <v>0</v>
      </c>
      <c r="I659" s="25">
        <v>109</v>
      </c>
      <c r="J659" s="23">
        <f>VLOOKUP(I659,episodes!$A$1:$B$76,2,FALSE)</f>
        <v>10</v>
      </c>
      <c r="K659" s="16" t="str">
        <f>VLOOKUP(I659,episodes!$A$1:$E$81,5,FALSE)</f>
        <v>Dagger of the Mind</v>
      </c>
      <c r="L659" s="16">
        <f>VLOOKUP(I659,episodes!$A$1:$D$81,3,FALSE)</f>
        <v>1</v>
      </c>
      <c r="M659" s="16">
        <f>VLOOKUP(I659,episodes!$A$1:$D$81,4,FALSE)</f>
        <v>9</v>
      </c>
      <c r="O659" s="14">
        <v>0</v>
      </c>
      <c r="P659" s="24">
        <f>LEN(E659)+LEN(K659)</f>
        <v>43</v>
      </c>
      <c r="Q659" s="24">
        <f>COUNTIFS(B:B,B658)</f>
        <v>163</v>
      </c>
      <c r="R659" s="24">
        <f>COUNTIFS(D:D,#REF!)</f>
        <v>0</v>
      </c>
    </row>
    <row r="660" spans="1:19" x14ac:dyDescent="0.3">
      <c r="A660" s="14">
        <v>734</v>
      </c>
      <c r="B660" s="21" t="s">
        <v>259</v>
      </c>
      <c r="C660" s="1" t="s">
        <v>1018</v>
      </c>
      <c r="D660" s="21" t="s">
        <v>4</v>
      </c>
      <c r="E660" s="1" t="s">
        <v>2447</v>
      </c>
      <c r="G660" s="14">
        <v>1</v>
      </c>
      <c r="H660" s="14">
        <v>0</v>
      </c>
      <c r="I660" s="22">
        <v>117</v>
      </c>
      <c r="J660" s="23">
        <f>VLOOKUP(I660,episodes!$A$1:$B$76,2,FALSE)</f>
        <v>18</v>
      </c>
      <c r="K660" s="16" t="str">
        <f>VLOOKUP(I660,episodes!$A$1:$E$81,5,FALSE)</f>
        <v>The Squire of Gothos</v>
      </c>
      <c r="L660" s="16">
        <f>VLOOKUP(I660,episodes!$A$1:$D$81,3,FALSE)</f>
        <v>1</v>
      </c>
      <c r="M660" s="16">
        <f>VLOOKUP(I660,episodes!$A$1:$D$81,4,FALSE)</f>
        <v>17</v>
      </c>
      <c r="O660" s="14">
        <v>0</v>
      </c>
      <c r="P660" s="24">
        <f>LEN(E660)+LEN(K660)</f>
        <v>45</v>
      </c>
      <c r="Q660" s="24">
        <f>COUNTIFS(B:B,B659)</f>
        <v>163</v>
      </c>
      <c r="R660" s="24">
        <f>COUNTIFS(D:D,#REF!)</f>
        <v>0</v>
      </c>
    </row>
    <row r="661" spans="1:19" x14ac:dyDescent="0.3">
      <c r="A661" s="14">
        <v>784</v>
      </c>
      <c r="B661" s="21" t="s">
        <v>259</v>
      </c>
      <c r="C661" s="1" t="s">
        <v>1018</v>
      </c>
      <c r="D661" s="21" t="s">
        <v>4</v>
      </c>
      <c r="E661" s="1" t="s">
        <v>2447</v>
      </c>
      <c r="G661" s="14">
        <v>1</v>
      </c>
      <c r="H661" s="14">
        <v>0</v>
      </c>
      <c r="I661" s="22">
        <v>121</v>
      </c>
      <c r="J661" s="23">
        <f>VLOOKUP(I661,episodes!$A$1:$B$76,2,FALSE)</f>
        <v>22</v>
      </c>
      <c r="K661" s="16" t="str">
        <f>VLOOKUP(I661,episodes!$A$1:$E$81,5,FALSE)</f>
        <v>The Return of the Archons</v>
      </c>
      <c r="L661" s="16">
        <f>VLOOKUP(I661,episodes!$A$1:$D$81,3,FALSE)</f>
        <v>1</v>
      </c>
      <c r="M661" s="16">
        <f>VLOOKUP(I661,episodes!$A$1:$D$81,4,FALSE)</f>
        <v>21</v>
      </c>
      <c r="O661" s="14">
        <v>0</v>
      </c>
      <c r="P661" s="24">
        <f>LEN(E661)+LEN(K661)</f>
        <v>50</v>
      </c>
      <c r="Q661" s="24">
        <f>COUNTIFS(B:B,B660)</f>
        <v>163</v>
      </c>
      <c r="R661" s="24">
        <f>COUNTIFS(D:D,#REF!)</f>
        <v>0</v>
      </c>
    </row>
    <row r="662" spans="1:19" x14ac:dyDescent="0.3">
      <c r="A662" s="14">
        <v>837</v>
      </c>
      <c r="B662" s="21" t="s">
        <v>259</v>
      </c>
      <c r="C662" s="1" t="s">
        <v>1018</v>
      </c>
      <c r="D662" s="21" t="s">
        <v>4</v>
      </c>
      <c r="E662" s="1" t="s">
        <v>2447</v>
      </c>
      <c r="G662" s="14">
        <v>1</v>
      </c>
      <c r="H662" s="14">
        <v>0</v>
      </c>
      <c r="I662" s="22">
        <v>125</v>
      </c>
      <c r="J662" s="23">
        <f>VLOOKUP(I662,episodes!$A$1:$B$76,2,FALSE)</f>
        <v>26</v>
      </c>
      <c r="K662" s="16" t="str">
        <f>VLOOKUP(I662,episodes!$A$1:$E$81,5,FALSE)</f>
        <v>The Devil in the Dark</v>
      </c>
      <c r="L662" s="16">
        <f>VLOOKUP(I662,episodes!$A$1:$D$81,3,FALSE)</f>
        <v>1</v>
      </c>
      <c r="M662" s="16">
        <f>VLOOKUP(I662,episodes!$A$1:$D$81,4,FALSE)</f>
        <v>25</v>
      </c>
      <c r="O662" s="14">
        <v>0</v>
      </c>
      <c r="P662" s="24">
        <f>LEN(E662)+LEN(K662)</f>
        <v>46</v>
      </c>
      <c r="Q662" s="24">
        <f>COUNTIFS(B:B,B661)</f>
        <v>163</v>
      </c>
      <c r="R662" s="24">
        <f>COUNTIFS(D:D,#REF!)</f>
        <v>0</v>
      </c>
    </row>
    <row r="663" spans="1:19" x14ac:dyDescent="0.3">
      <c r="A663" s="14">
        <v>937</v>
      </c>
      <c r="B663" s="21" t="s">
        <v>259</v>
      </c>
      <c r="C663" s="1" t="s">
        <v>1018</v>
      </c>
      <c r="D663" s="21" t="s">
        <v>4</v>
      </c>
      <c r="E663" s="1" t="s">
        <v>2451</v>
      </c>
      <c r="G663" s="14">
        <v>1</v>
      </c>
      <c r="H663" s="14">
        <v>0</v>
      </c>
      <c r="I663" s="25">
        <v>206</v>
      </c>
      <c r="J663" s="23">
        <f>VLOOKUP(I663,episodes!$A$1:$B$81,2,FALSE)</f>
        <v>36</v>
      </c>
      <c r="K663" s="16" t="str">
        <f>VLOOKUP(I663,episodes!$A$1:$E$81,5,FALSE)</f>
        <v>The Doomsday Machine</v>
      </c>
      <c r="L663" s="16">
        <f>VLOOKUP(I663,episodes!$A$1:$D$81,3,FALSE)</f>
        <v>2</v>
      </c>
      <c r="M663" s="16">
        <f>VLOOKUP(I663,episodes!$A$1:$D$81,4,FALSE)</f>
        <v>6</v>
      </c>
      <c r="O663" s="14">
        <v>0</v>
      </c>
      <c r="P663" s="24">
        <f>LEN(E663)+LEN(K663)</f>
        <v>79</v>
      </c>
      <c r="Q663" s="24">
        <f>COUNTIFS(B:B,B662)</f>
        <v>163</v>
      </c>
      <c r="R663" s="24">
        <f>COUNTIFS(D:D,#REF!)</f>
        <v>0</v>
      </c>
    </row>
    <row r="664" spans="1:19" x14ac:dyDescent="0.3">
      <c r="A664" s="14">
        <v>551</v>
      </c>
      <c r="B664" s="21" t="s">
        <v>259</v>
      </c>
      <c r="C664" s="1" t="s">
        <v>1018</v>
      </c>
      <c r="D664" s="21" t="s">
        <v>4</v>
      </c>
      <c r="E664" s="1" t="s">
        <v>2448</v>
      </c>
      <c r="G664" s="14">
        <v>1</v>
      </c>
      <c r="H664" s="14">
        <v>0</v>
      </c>
      <c r="I664" s="22">
        <v>101</v>
      </c>
      <c r="J664" s="23">
        <f>VLOOKUP(I664,episodes!$A$1:$B$76,2,FALSE)</f>
        <v>2</v>
      </c>
      <c r="K664" s="16" t="str">
        <f>VLOOKUP(I664,episodes!$A$1:$E$81,5,FALSE)</f>
        <v>The Man Trap</v>
      </c>
      <c r="L664" s="16">
        <f>VLOOKUP(I664,episodes!$A$1:$D$81,3,FALSE)</f>
        <v>1</v>
      </c>
      <c r="M664" s="16">
        <f>VLOOKUP(I664,episodes!$A$1:$D$81,4,FALSE)</f>
        <v>1</v>
      </c>
      <c r="O664" s="14">
        <v>0</v>
      </c>
      <c r="P664" s="24">
        <f>LEN(E664)+LEN(K664)</f>
        <v>37</v>
      </c>
      <c r="Q664" s="24">
        <f>COUNTIFS(B:B,B663)</f>
        <v>163</v>
      </c>
      <c r="R664" s="24">
        <f>COUNTIFS(D:D,#REF!)</f>
        <v>0</v>
      </c>
    </row>
    <row r="665" spans="1:19" x14ac:dyDescent="0.3">
      <c r="A665" s="14">
        <v>785</v>
      </c>
      <c r="B665" s="21" t="s">
        <v>259</v>
      </c>
      <c r="C665" s="1" t="s">
        <v>1018</v>
      </c>
      <c r="D665" s="21" t="s">
        <v>4</v>
      </c>
      <c r="E665" s="1" t="s">
        <v>2448</v>
      </c>
      <c r="G665" s="14">
        <v>1</v>
      </c>
      <c r="H665" s="14">
        <v>0</v>
      </c>
      <c r="I665" s="22">
        <v>121</v>
      </c>
      <c r="J665" s="23">
        <f>VLOOKUP(I665,episodes!$A$1:$B$76,2,FALSE)</f>
        <v>22</v>
      </c>
      <c r="K665" s="16" t="str">
        <f>VLOOKUP(I665,episodes!$A$1:$E$81,5,FALSE)</f>
        <v>The Return of the Archons</v>
      </c>
      <c r="L665" s="16">
        <f>VLOOKUP(I665,episodes!$A$1:$D$81,3,FALSE)</f>
        <v>1</v>
      </c>
      <c r="M665" s="16">
        <f>VLOOKUP(I665,episodes!$A$1:$D$81,4,FALSE)</f>
        <v>21</v>
      </c>
      <c r="O665" s="14">
        <v>0</v>
      </c>
      <c r="P665" s="24">
        <f>LEN(E665)+LEN(K665)</f>
        <v>50</v>
      </c>
      <c r="Q665" s="24">
        <f>COUNTIFS(B:B,B664)</f>
        <v>163</v>
      </c>
      <c r="R665" s="24">
        <f>COUNTIFS(D:D,#REF!)</f>
        <v>0</v>
      </c>
    </row>
    <row r="666" spans="1:19" x14ac:dyDescent="0.3">
      <c r="A666" s="14">
        <v>552</v>
      </c>
      <c r="B666" s="21" t="s">
        <v>259</v>
      </c>
      <c r="C666" s="1" t="s">
        <v>1018</v>
      </c>
      <c r="D666" s="21" t="s">
        <v>4</v>
      </c>
      <c r="E666" s="1" t="s">
        <v>2449</v>
      </c>
      <c r="G666" s="14">
        <v>1</v>
      </c>
      <c r="H666" s="14">
        <v>0</v>
      </c>
      <c r="I666" s="25">
        <v>101</v>
      </c>
      <c r="J666" s="23">
        <f>VLOOKUP(I666,episodes!$A$1:$B$76,2,FALSE)</f>
        <v>2</v>
      </c>
      <c r="K666" s="16" t="str">
        <f>VLOOKUP(I666,episodes!$A$1:$E$81,5,FALSE)</f>
        <v>The Man Trap</v>
      </c>
      <c r="L666" s="16">
        <f>VLOOKUP(I666,episodes!$A$1:$D$81,3,FALSE)</f>
        <v>1</v>
      </c>
      <c r="M666" s="16">
        <f>VLOOKUP(I666,episodes!$A$1:$D$81,4,FALSE)</f>
        <v>1</v>
      </c>
      <c r="O666" s="14">
        <v>0</v>
      </c>
      <c r="P666" s="24">
        <f>LEN(E666)+LEN(K666)</f>
        <v>37</v>
      </c>
      <c r="Q666" s="24">
        <f>COUNTIFS(B:B,B665)</f>
        <v>163</v>
      </c>
      <c r="R666" s="24">
        <f>COUNTIFS(D:D,#REF!)</f>
        <v>0</v>
      </c>
    </row>
    <row r="667" spans="1:19" x14ac:dyDescent="0.3">
      <c r="A667" s="14">
        <v>786</v>
      </c>
      <c r="B667" s="21" t="s">
        <v>259</v>
      </c>
      <c r="C667" s="1" t="s">
        <v>1018</v>
      </c>
      <c r="D667" s="21" t="s">
        <v>4</v>
      </c>
      <c r="E667" s="1" t="s">
        <v>2449</v>
      </c>
      <c r="G667" s="14">
        <v>1</v>
      </c>
      <c r="H667" s="14">
        <v>0</v>
      </c>
      <c r="I667" s="22">
        <v>121</v>
      </c>
      <c r="J667" s="23">
        <f>VLOOKUP(I667,episodes!$A$1:$B$76,2,FALSE)</f>
        <v>22</v>
      </c>
      <c r="K667" s="16" t="str">
        <f>VLOOKUP(I667,episodes!$A$1:$E$81,5,FALSE)</f>
        <v>The Return of the Archons</v>
      </c>
      <c r="L667" s="16">
        <f>VLOOKUP(I667,episodes!$A$1:$D$81,3,FALSE)</f>
        <v>1</v>
      </c>
      <c r="M667" s="16">
        <f>VLOOKUP(I667,episodes!$A$1:$D$81,4,FALSE)</f>
        <v>21</v>
      </c>
      <c r="O667" s="14">
        <v>0</v>
      </c>
      <c r="P667" s="24">
        <f>LEN(E667)+LEN(K667)</f>
        <v>50</v>
      </c>
      <c r="Q667" s="24">
        <f>COUNTIFS(B:B,B666)</f>
        <v>163</v>
      </c>
      <c r="R667" s="24">
        <f>COUNTIFS(D:D,#REF!)</f>
        <v>0</v>
      </c>
    </row>
    <row r="668" spans="1:19" x14ac:dyDescent="0.3">
      <c r="A668" s="14">
        <v>553</v>
      </c>
      <c r="B668" s="21" t="s">
        <v>259</v>
      </c>
      <c r="C668" s="1" t="s">
        <v>1018</v>
      </c>
      <c r="D668" s="21" t="s">
        <v>4</v>
      </c>
      <c r="E668" s="1" t="s">
        <v>2450</v>
      </c>
      <c r="G668" s="14">
        <v>1</v>
      </c>
      <c r="H668" s="14">
        <v>0</v>
      </c>
      <c r="I668" s="25">
        <v>101</v>
      </c>
      <c r="J668" s="23">
        <f>VLOOKUP(I668,episodes!$A$1:$B$76,2,FALSE)</f>
        <v>2</v>
      </c>
      <c r="K668" s="16" t="str">
        <f>VLOOKUP(I668,episodes!$A$1:$E$81,5,FALSE)</f>
        <v>The Man Trap</v>
      </c>
      <c r="L668" s="16">
        <f>VLOOKUP(I668,episodes!$A$1:$D$81,3,FALSE)</f>
        <v>1</v>
      </c>
      <c r="M668" s="16">
        <f>VLOOKUP(I668,episodes!$A$1:$D$81,4,FALSE)</f>
        <v>1</v>
      </c>
      <c r="O668" s="14">
        <v>0</v>
      </c>
      <c r="P668" s="24">
        <f>LEN(E668)+LEN(K668)</f>
        <v>37</v>
      </c>
      <c r="Q668" s="24">
        <f>COUNTIFS(B:B,B667)</f>
        <v>163</v>
      </c>
      <c r="R668" s="24">
        <f>COUNTIFS(D:D,#REF!)</f>
        <v>0</v>
      </c>
    </row>
    <row r="669" spans="1:19" x14ac:dyDescent="0.3">
      <c r="A669" s="14">
        <v>745</v>
      </c>
      <c r="B669" s="21" t="s">
        <v>259</v>
      </c>
      <c r="C669" s="1" t="s">
        <v>1018</v>
      </c>
      <c r="D669" s="21" t="s">
        <v>4</v>
      </c>
      <c r="E669" s="1" t="s">
        <v>2431</v>
      </c>
      <c r="G669" s="14">
        <v>1</v>
      </c>
      <c r="H669" s="14">
        <v>0</v>
      </c>
      <c r="I669" s="22">
        <v>118</v>
      </c>
      <c r="J669" s="23">
        <f>VLOOKUP(I669,episodes!$A$1:$B$76,2,FALSE)</f>
        <v>19</v>
      </c>
      <c r="K669" s="16" t="str">
        <f>VLOOKUP(I669,episodes!$A$1:$E$81,5,FALSE)</f>
        <v>Arena</v>
      </c>
      <c r="L669" s="16">
        <f>VLOOKUP(I669,episodes!$A$1:$D$81,3,FALSE)</f>
        <v>1</v>
      </c>
      <c r="M669" s="16">
        <f>VLOOKUP(I669,episodes!$A$1:$D$81,4,FALSE)</f>
        <v>18</v>
      </c>
      <c r="O669" s="14">
        <v>0</v>
      </c>
      <c r="P669" s="24">
        <f>LEN(E669)+LEN(K669)</f>
        <v>35</v>
      </c>
      <c r="Q669" s="24">
        <f>COUNTIFS(B:B,B668)</f>
        <v>163</v>
      </c>
      <c r="R669" s="24">
        <f>COUNTIFS(D:D,#REF!)</f>
        <v>0</v>
      </c>
    </row>
    <row r="670" spans="1:19" x14ac:dyDescent="0.3">
      <c r="A670" s="14">
        <v>809</v>
      </c>
      <c r="B670" s="21" t="s">
        <v>259</v>
      </c>
      <c r="C670" s="1" t="s">
        <v>1018</v>
      </c>
      <c r="D670" s="21" t="s">
        <v>4</v>
      </c>
      <c r="E670" s="1" t="s">
        <v>2431</v>
      </c>
      <c r="G670" s="14">
        <v>1</v>
      </c>
      <c r="H670" s="14">
        <v>0</v>
      </c>
      <c r="I670" s="22">
        <v>123</v>
      </c>
      <c r="J670" s="23">
        <f>VLOOKUP(I670,episodes!$A$1:$B$76,2,FALSE)</f>
        <v>24</v>
      </c>
      <c r="K670" s="16" t="str">
        <f>VLOOKUP(I670,episodes!$A$1:$E$81,5,FALSE)</f>
        <v>A Taste of Armageddon</v>
      </c>
      <c r="L670" s="16">
        <f>VLOOKUP(I670,episodes!$A$1:$D$81,3,FALSE)</f>
        <v>1</v>
      </c>
      <c r="M670" s="16">
        <f>VLOOKUP(I670,episodes!$A$1:$D$81,4,FALSE)</f>
        <v>23</v>
      </c>
      <c r="O670" s="14">
        <v>0</v>
      </c>
      <c r="P670" s="24">
        <f>LEN(E670)+LEN(K670)</f>
        <v>51</v>
      </c>
      <c r="Q670" s="24">
        <f>COUNTIFS(B:B,B669)</f>
        <v>163</v>
      </c>
      <c r="R670" s="24">
        <f>COUNTIFS(D:D,#REF!)</f>
        <v>0</v>
      </c>
    </row>
    <row r="671" spans="1:19" x14ac:dyDescent="0.3">
      <c r="A671" s="14">
        <v>835</v>
      </c>
      <c r="B671" s="21" t="s">
        <v>259</v>
      </c>
      <c r="C671" s="1" t="s">
        <v>1018</v>
      </c>
      <c r="D671" s="21" t="s">
        <v>4</v>
      </c>
      <c r="E671" s="1" t="s">
        <v>2431</v>
      </c>
      <c r="G671" s="14">
        <v>1</v>
      </c>
      <c r="H671" s="14">
        <v>0</v>
      </c>
      <c r="I671" s="22">
        <v>125</v>
      </c>
      <c r="J671" s="23">
        <f>VLOOKUP(I671,episodes!$A$1:$B$76,2,FALSE)</f>
        <v>26</v>
      </c>
      <c r="K671" s="16" t="str">
        <f>VLOOKUP(I671,episodes!$A$1:$E$81,5,FALSE)</f>
        <v>The Devil in the Dark</v>
      </c>
      <c r="L671" s="16">
        <f>VLOOKUP(I671,episodes!$A$1:$D$81,3,FALSE)</f>
        <v>1</v>
      </c>
      <c r="M671" s="16">
        <f>VLOOKUP(I671,episodes!$A$1:$D$81,4,FALSE)</f>
        <v>25</v>
      </c>
      <c r="O671" s="14">
        <v>0</v>
      </c>
      <c r="P671" s="24">
        <f>LEN(E671)+LEN(K671)</f>
        <v>51</v>
      </c>
      <c r="Q671" s="24">
        <f>COUNTIFS(B:B,B670)</f>
        <v>163</v>
      </c>
      <c r="R671" s="24">
        <f>COUNTIFS(D:D,#REF!)</f>
        <v>0</v>
      </c>
    </row>
    <row r="672" spans="1:19" x14ac:dyDescent="0.3">
      <c r="A672" s="14">
        <v>917</v>
      </c>
      <c r="B672" s="21" t="s">
        <v>259</v>
      </c>
      <c r="C672" s="1" t="s">
        <v>1018</v>
      </c>
      <c r="D672" s="21" t="s">
        <v>4</v>
      </c>
      <c r="E672" s="1" t="s">
        <v>2432</v>
      </c>
      <c r="G672" s="14">
        <v>1</v>
      </c>
      <c r="H672" s="14">
        <v>0</v>
      </c>
      <c r="I672" s="25">
        <v>205</v>
      </c>
      <c r="J672" s="23">
        <f>VLOOKUP(I672,episodes!$A$1:$B$81,2,FALSE)</f>
        <v>35</v>
      </c>
      <c r="K672" s="16" t="str">
        <f>VLOOKUP(I672,episodes!$A$1:$E$81,5,FALSE)</f>
        <v>The Apple</v>
      </c>
      <c r="L672" s="16">
        <f>VLOOKUP(I672,episodes!$A$1:$D$81,3,FALSE)</f>
        <v>2</v>
      </c>
      <c r="M672" s="16">
        <f>VLOOKUP(I672,episodes!$A$1:$D$81,4,FALSE)</f>
        <v>5</v>
      </c>
      <c r="O672" s="14">
        <v>0</v>
      </c>
      <c r="P672" s="24">
        <f>LEN(E672)+LEN(K672)</f>
        <v>43</v>
      </c>
      <c r="Q672" s="24">
        <f>COUNTIFS(B:B,B671)</f>
        <v>163</v>
      </c>
      <c r="R672" s="24">
        <f>COUNTIFS(D:D,#REF!)</f>
        <v>0</v>
      </c>
    </row>
    <row r="673" spans="1:18" x14ac:dyDescent="0.3">
      <c r="A673" s="14">
        <v>918</v>
      </c>
      <c r="B673" s="21" t="s">
        <v>259</v>
      </c>
      <c r="C673" s="1" t="s">
        <v>1018</v>
      </c>
      <c r="D673" s="21" t="s">
        <v>4</v>
      </c>
      <c r="E673" s="1" t="s">
        <v>2433</v>
      </c>
      <c r="G673" s="14">
        <v>1</v>
      </c>
      <c r="H673" s="14">
        <v>0</v>
      </c>
      <c r="I673" s="25">
        <v>205</v>
      </c>
      <c r="J673" s="23">
        <f>VLOOKUP(I673,episodes!$A$1:$B$81,2,FALSE)</f>
        <v>35</v>
      </c>
      <c r="K673" s="16" t="str">
        <f>VLOOKUP(I673,episodes!$A$1:$E$81,5,FALSE)</f>
        <v>The Apple</v>
      </c>
      <c r="L673" s="16">
        <f>VLOOKUP(I673,episodes!$A$1:$D$81,3,FALSE)</f>
        <v>2</v>
      </c>
      <c r="M673" s="16">
        <f>VLOOKUP(I673,episodes!$A$1:$D$81,4,FALSE)</f>
        <v>5</v>
      </c>
      <c r="O673" s="14">
        <v>0</v>
      </c>
      <c r="P673" s="24">
        <f>LEN(E673)+LEN(K673)</f>
        <v>43</v>
      </c>
      <c r="Q673" s="24">
        <f>COUNTIFS(B:B,B672)</f>
        <v>163</v>
      </c>
      <c r="R673" s="24">
        <f>COUNTIFS(D:D,#REF!)</f>
        <v>0</v>
      </c>
    </row>
    <row r="674" spans="1:18" x14ac:dyDescent="0.3">
      <c r="A674" s="14">
        <v>919</v>
      </c>
      <c r="B674" s="21" t="s">
        <v>259</v>
      </c>
      <c r="C674" s="1" t="s">
        <v>1018</v>
      </c>
      <c r="D674" s="21" t="s">
        <v>4</v>
      </c>
      <c r="E674" s="1" t="s">
        <v>2434</v>
      </c>
      <c r="G674" s="14">
        <v>1</v>
      </c>
      <c r="H674" s="14">
        <v>0</v>
      </c>
      <c r="I674" s="25">
        <v>205</v>
      </c>
      <c r="J674" s="23">
        <f>VLOOKUP(I674,episodes!$A$1:$B$81,2,FALSE)</f>
        <v>35</v>
      </c>
      <c r="K674" s="16" t="str">
        <f>VLOOKUP(I674,episodes!$A$1:$E$81,5,FALSE)</f>
        <v>The Apple</v>
      </c>
      <c r="L674" s="16">
        <f>VLOOKUP(I674,episodes!$A$1:$D$81,3,FALSE)</f>
        <v>2</v>
      </c>
      <c r="M674" s="16">
        <f>VLOOKUP(I674,episodes!$A$1:$D$81,4,FALSE)</f>
        <v>5</v>
      </c>
      <c r="O674" s="14">
        <v>0</v>
      </c>
      <c r="P674" s="24">
        <f>LEN(E674)+LEN(K674)</f>
        <v>43</v>
      </c>
      <c r="Q674" s="24">
        <f>COUNTIFS(B:B,B673)</f>
        <v>163</v>
      </c>
      <c r="R674" s="24">
        <f>COUNTIFS(D:D,#REF!)</f>
        <v>0</v>
      </c>
    </row>
    <row r="675" spans="1:18" x14ac:dyDescent="0.3">
      <c r="A675" s="14">
        <v>920</v>
      </c>
      <c r="B675" s="21" t="s">
        <v>259</v>
      </c>
      <c r="C675" s="1" t="s">
        <v>1018</v>
      </c>
      <c r="D675" s="21" t="s">
        <v>4</v>
      </c>
      <c r="E675" s="1" t="s">
        <v>2435</v>
      </c>
      <c r="G675" s="14">
        <v>1</v>
      </c>
      <c r="H675" s="14">
        <v>0</v>
      </c>
      <c r="I675" s="25">
        <v>205</v>
      </c>
      <c r="J675" s="23">
        <f>VLOOKUP(I675,episodes!$A$1:$B$81,2,FALSE)</f>
        <v>35</v>
      </c>
      <c r="K675" s="16" t="str">
        <f>VLOOKUP(I675,episodes!$A$1:$E$81,5,FALSE)</f>
        <v>The Apple</v>
      </c>
      <c r="L675" s="16">
        <f>VLOOKUP(I675,episodes!$A$1:$D$81,3,FALSE)</f>
        <v>2</v>
      </c>
      <c r="M675" s="16">
        <f>VLOOKUP(I675,episodes!$A$1:$D$81,4,FALSE)</f>
        <v>5</v>
      </c>
      <c r="O675" s="14">
        <v>0</v>
      </c>
      <c r="P675" s="24">
        <f>LEN(E675)+LEN(K675)</f>
        <v>43</v>
      </c>
      <c r="Q675" s="24">
        <f>COUNTIFS(B:B,B674)</f>
        <v>163</v>
      </c>
      <c r="R675" s="24">
        <f>COUNTIFS(D:D,#REF!)</f>
        <v>0</v>
      </c>
    </row>
    <row r="676" spans="1:18" x14ac:dyDescent="0.3">
      <c r="A676" s="14">
        <v>921</v>
      </c>
      <c r="B676" s="21" t="s">
        <v>259</v>
      </c>
      <c r="C676" s="1" t="s">
        <v>1018</v>
      </c>
      <c r="D676" s="21" t="s">
        <v>4</v>
      </c>
      <c r="E676" s="1" t="s">
        <v>2436</v>
      </c>
      <c r="G676" s="14">
        <v>1</v>
      </c>
      <c r="H676" s="14">
        <v>0</v>
      </c>
      <c r="I676" s="25">
        <v>205</v>
      </c>
      <c r="J676" s="23">
        <f>VLOOKUP(I676,episodes!$A$1:$B$81,2,FALSE)</f>
        <v>35</v>
      </c>
      <c r="K676" s="16" t="str">
        <f>VLOOKUP(I676,episodes!$A$1:$E$81,5,FALSE)</f>
        <v>The Apple</v>
      </c>
      <c r="L676" s="16">
        <f>VLOOKUP(I676,episodes!$A$1:$D$81,3,FALSE)</f>
        <v>2</v>
      </c>
      <c r="M676" s="16">
        <f>VLOOKUP(I676,episodes!$A$1:$D$81,4,FALSE)</f>
        <v>5</v>
      </c>
      <c r="O676" s="14">
        <v>0</v>
      </c>
      <c r="P676" s="24">
        <f>LEN(E676)+LEN(K676)</f>
        <v>43</v>
      </c>
      <c r="Q676" s="24">
        <f>COUNTIFS(B:B,B675)</f>
        <v>163</v>
      </c>
      <c r="R676" s="24">
        <f>COUNTIFS(D:D,#REF!)</f>
        <v>0</v>
      </c>
    </row>
    <row r="677" spans="1:18" x14ac:dyDescent="0.3">
      <c r="A677" s="14">
        <v>922</v>
      </c>
      <c r="B677" s="21" t="s">
        <v>259</v>
      </c>
      <c r="C677" s="1" t="s">
        <v>1018</v>
      </c>
      <c r="D677" s="21" t="s">
        <v>4</v>
      </c>
      <c r="E677" s="1" t="s">
        <v>2437</v>
      </c>
      <c r="G677" s="14">
        <v>1</v>
      </c>
      <c r="H677" s="14">
        <v>0</v>
      </c>
      <c r="I677" s="25">
        <v>205</v>
      </c>
      <c r="J677" s="23">
        <f>VLOOKUP(I677,episodes!$A$1:$B$81,2,FALSE)</f>
        <v>35</v>
      </c>
      <c r="K677" s="16" t="str">
        <f>VLOOKUP(I677,episodes!$A$1:$E$81,5,FALSE)</f>
        <v>The Apple</v>
      </c>
      <c r="L677" s="16">
        <f>VLOOKUP(I677,episodes!$A$1:$D$81,3,FALSE)</f>
        <v>2</v>
      </c>
      <c r="M677" s="16">
        <f>VLOOKUP(I677,episodes!$A$1:$D$81,4,FALSE)</f>
        <v>5</v>
      </c>
      <c r="O677" s="14">
        <v>0</v>
      </c>
      <c r="P677" s="24">
        <f>LEN(E677)+LEN(K677)</f>
        <v>43</v>
      </c>
      <c r="Q677" s="24">
        <f>COUNTIFS(B:B,B676)</f>
        <v>163</v>
      </c>
      <c r="R677" s="24">
        <f>COUNTIFS(D:D,#REF!)</f>
        <v>0</v>
      </c>
    </row>
    <row r="678" spans="1:18" x14ac:dyDescent="0.3">
      <c r="A678" s="14">
        <v>807</v>
      </c>
      <c r="B678" s="21" t="s">
        <v>259</v>
      </c>
      <c r="C678" s="1" t="s">
        <v>1018</v>
      </c>
      <c r="D678" s="21" t="s">
        <v>4</v>
      </c>
      <c r="E678" s="1" t="s">
        <v>2426</v>
      </c>
      <c r="G678" s="14">
        <v>1</v>
      </c>
      <c r="H678" s="14">
        <v>0</v>
      </c>
      <c r="I678" s="22">
        <v>123</v>
      </c>
      <c r="J678" s="23">
        <f>VLOOKUP(I678,episodes!$A$1:$B$76,2,FALSE)</f>
        <v>24</v>
      </c>
      <c r="K678" s="16" t="str">
        <f>VLOOKUP(I678,episodes!$A$1:$E$81,5,FALSE)</f>
        <v>A Taste of Armageddon</v>
      </c>
      <c r="L678" s="16">
        <f>VLOOKUP(I678,episodes!$A$1:$D$81,3,FALSE)</f>
        <v>1</v>
      </c>
      <c r="M678" s="16">
        <f>VLOOKUP(I678,episodes!$A$1:$D$81,4,FALSE)</f>
        <v>23</v>
      </c>
      <c r="O678" s="14">
        <v>0</v>
      </c>
      <c r="P678" s="24">
        <f>LEN(E678)+LEN(K678)</f>
        <v>80</v>
      </c>
      <c r="Q678" s="24">
        <f>COUNTIFS(B:B,B677)</f>
        <v>163</v>
      </c>
      <c r="R678" s="24">
        <f>COUNTIFS(D:D,#REF!)</f>
        <v>0</v>
      </c>
    </row>
    <row r="679" spans="1:18" x14ac:dyDescent="0.3">
      <c r="A679" s="14">
        <v>808</v>
      </c>
      <c r="B679" s="21" t="s">
        <v>259</v>
      </c>
      <c r="C679" s="1" t="s">
        <v>1018</v>
      </c>
      <c r="D679" s="21" t="s">
        <v>4</v>
      </c>
      <c r="E679" s="1" t="s">
        <v>2427</v>
      </c>
      <c r="G679" s="14">
        <v>1</v>
      </c>
      <c r="H679" s="14">
        <v>0</v>
      </c>
      <c r="I679" s="22">
        <v>123</v>
      </c>
      <c r="J679" s="23">
        <f>VLOOKUP(I679,episodes!$A$1:$B$76,2,FALSE)</f>
        <v>24</v>
      </c>
      <c r="K679" s="16" t="str">
        <f>VLOOKUP(I679,episodes!$A$1:$E$81,5,FALSE)</f>
        <v>A Taste of Armageddon</v>
      </c>
      <c r="L679" s="16">
        <f>VLOOKUP(I679,episodes!$A$1:$D$81,3,FALSE)</f>
        <v>1</v>
      </c>
      <c r="M679" s="16">
        <f>VLOOKUP(I679,episodes!$A$1:$D$81,4,FALSE)</f>
        <v>23</v>
      </c>
      <c r="O679" s="14">
        <v>0</v>
      </c>
      <c r="P679" s="24">
        <f>LEN(E679)+LEN(K679)</f>
        <v>80</v>
      </c>
      <c r="Q679" s="24">
        <f>COUNTIFS(B:B,B678)</f>
        <v>163</v>
      </c>
      <c r="R679" s="24">
        <f>COUNTIFS(D:D,#REF!)</f>
        <v>0</v>
      </c>
    </row>
    <row r="680" spans="1:18" x14ac:dyDescent="0.3">
      <c r="A680" s="14">
        <v>895</v>
      </c>
      <c r="B680" s="21" t="s">
        <v>259</v>
      </c>
      <c r="C680" s="1" t="s">
        <v>1018</v>
      </c>
      <c r="D680" s="21" t="s">
        <v>4</v>
      </c>
      <c r="E680" s="1" t="s">
        <v>2229</v>
      </c>
      <c r="G680" s="14">
        <v>1</v>
      </c>
      <c r="H680" s="14">
        <v>0</v>
      </c>
      <c r="I680" s="22">
        <v>202</v>
      </c>
      <c r="J680" s="23">
        <f>VLOOKUP(I680,episodes!$A$1:$B$76,2,FALSE)</f>
        <v>32</v>
      </c>
      <c r="K680" s="16" t="str">
        <f>VLOOKUP(I680,episodes!$A$1:$E$81,5,FALSE)</f>
        <v>Who Mourns for Adonais?</v>
      </c>
      <c r="L680" s="16">
        <f>VLOOKUP(I680,episodes!$A$1:$D$81,3,FALSE)</f>
        <v>2</v>
      </c>
      <c r="M680" s="16">
        <f>VLOOKUP(I680,episodes!$A$1:$D$81,4,FALSE)</f>
        <v>2</v>
      </c>
      <c r="O680" s="14">
        <v>0</v>
      </c>
      <c r="P680" s="24">
        <f>LEN(E680)+LEN(K680)</f>
        <v>52</v>
      </c>
      <c r="Q680" s="24">
        <f>COUNTIFS(B:B,B679)</f>
        <v>163</v>
      </c>
      <c r="R680" s="24">
        <f>COUNTIFS(D:D,#REF!)</f>
        <v>0</v>
      </c>
    </row>
    <row r="681" spans="1:18" x14ac:dyDescent="0.3">
      <c r="A681" s="14">
        <v>935</v>
      </c>
      <c r="B681" s="21" t="s">
        <v>259</v>
      </c>
      <c r="C681" s="1" t="s">
        <v>1018</v>
      </c>
      <c r="D681" s="21" t="s">
        <v>4</v>
      </c>
      <c r="E681" s="1" t="s">
        <v>2229</v>
      </c>
      <c r="G681" s="14">
        <v>1</v>
      </c>
      <c r="H681" s="14">
        <v>0</v>
      </c>
      <c r="I681" s="25">
        <v>206</v>
      </c>
      <c r="J681" s="23">
        <f>VLOOKUP(I681,episodes!$A$1:$B$81,2,FALSE)</f>
        <v>36</v>
      </c>
      <c r="K681" s="16" t="str">
        <f>VLOOKUP(I681,episodes!$A$1:$E$81,5,FALSE)</f>
        <v>The Doomsday Machine</v>
      </c>
      <c r="L681" s="16">
        <f>VLOOKUP(I681,episodes!$A$1:$D$81,3,FALSE)</f>
        <v>2</v>
      </c>
      <c r="M681" s="16">
        <f>VLOOKUP(I681,episodes!$A$1:$D$81,4,FALSE)</f>
        <v>6</v>
      </c>
      <c r="O681" s="14">
        <v>0</v>
      </c>
      <c r="P681" s="24">
        <f>LEN(E681)+LEN(K681)</f>
        <v>49</v>
      </c>
      <c r="Q681" s="24">
        <f>COUNTIFS(B:B,B680)</f>
        <v>163</v>
      </c>
      <c r="R681" s="24">
        <f>COUNTIFS(D:D,#REF!)</f>
        <v>0</v>
      </c>
    </row>
    <row r="682" spans="1:18" x14ac:dyDescent="0.3">
      <c r="A682" s="14">
        <v>932</v>
      </c>
      <c r="B682" s="21" t="s">
        <v>259</v>
      </c>
      <c r="C682" s="1" t="s">
        <v>1018</v>
      </c>
      <c r="D682" s="21" t="s">
        <v>4</v>
      </c>
      <c r="E682" s="1" t="s">
        <v>2428</v>
      </c>
      <c r="G682" s="14">
        <v>1</v>
      </c>
      <c r="H682" s="14">
        <v>0</v>
      </c>
      <c r="I682" s="25">
        <v>206</v>
      </c>
      <c r="J682" s="23">
        <f>VLOOKUP(I682,episodes!$A$1:$B$81,2,FALSE)</f>
        <v>36</v>
      </c>
      <c r="K682" s="16" t="str">
        <f>VLOOKUP(I682,episodes!$A$1:$E$81,5,FALSE)</f>
        <v>The Doomsday Machine</v>
      </c>
      <c r="L682" s="16">
        <f>VLOOKUP(I682,episodes!$A$1:$D$81,3,FALSE)</f>
        <v>2</v>
      </c>
      <c r="M682" s="16">
        <f>VLOOKUP(I682,episodes!$A$1:$D$81,4,FALSE)</f>
        <v>6</v>
      </c>
      <c r="O682" s="14">
        <v>0</v>
      </c>
      <c r="P682" s="24">
        <f>LEN(E682)+LEN(K682)</f>
        <v>53</v>
      </c>
      <c r="Q682" s="24">
        <f>COUNTIFS(B:B,B681)</f>
        <v>163</v>
      </c>
      <c r="R682" s="24">
        <f>COUNTIFS(D:D,#REF!)</f>
        <v>0</v>
      </c>
    </row>
    <row r="683" spans="1:18" x14ac:dyDescent="0.3">
      <c r="A683" s="14">
        <v>933</v>
      </c>
      <c r="B683" s="21" t="s">
        <v>259</v>
      </c>
      <c r="C683" s="1" t="s">
        <v>1018</v>
      </c>
      <c r="D683" s="21" t="s">
        <v>4</v>
      </c>
      <c r="E683" s="1" t="s">
        <v>2429</v>
      </c>
      <c r="G683" s="14">
        <v>1</v>
      </c>
      <c r="H683" s="14">
        <v>0</v>
      </c>
      <c r="I683" s="25">
        <v>206</v>
      </c>
      <c r="J683" s="23">
        <f>VLOOKUP(I683,episodes!$A$1:$B$81,2,FALSE)</f>
        <v>36</v>
      </c>
      <c r="K683" s="16" t="str">
        <f>VLOOKUP(I683,episodes!$A$1:$E$81,5,FALSE)</f>
        <v>The Doomsday Machine</v>
      </c>
      <c r="L683" s="16">
        <f>VLOOKUP(I683,episodes!$A$1:$D$81,3,FALSE)</f>
        <v>2</v>
      </c>
      <c r="M683" s="16">
        <f>VLOOKUP(I683,episodes!$A$1:$D$81,4,FALSE)</f>
        <v>6</v>
      </c>
      <c r="O683" s="14">
        <v>0</v>
      </c>
      <c r="P683" s="24">
        <f>LEN(E683)+LEN(K683)</f>
        <v>53</v>
      </c>
      <c r="Q683" s="24">
        <f>COUNTIFS(B:B,B682)</f>
        <v>163</v>
      </c>
      <c r="R683" s="24">
        <f>COUNTIFS(D:D,#REF!)</f>
        <v>0</v>
      </c>
    </row>
    <row r="684" spans="1:18" x14ac:dyDescent="0.3">
      <c r="A684" s="14">
        <v>934</v>
      </c>
      <c r="B684" s="21" t="s">
        <v>259</v>
      </c>
      <c r="C684" s="1" t="s">
        <v>1018</v>
      </c>
      <c r="D684" s="21" t="s">
        <v>4</v>
      </c>
      <c r="E684" s="1" t="s">
        <v>2430</v>
      </c>
      <c r="G684" s="14">
        <v>1</v>
      </c>
      <c r="H684" s="14">
        <v>0</v>
      </c>
      <c r="I684" s="25">
        <v>206</v>
      </c>
      <c r="J684" s="23">
        <f>VLOOKUP(I684,episodes!$A$1:$B$81,2,FALSE)</f>
        <v>36</v>
      </c>
      <c r="K684" s="16" t="str">
        <f>VLOOKUP(I684,episodes!$A$1:$E$81,5,FALSE)</f>
        <v>The Doomsday Machine</v>
      </c>
      <c r="L684" s="16">
        <f>VLOOKUP(I684,episodes!$A$1:$D$81,3,FALSE)</f>
        <v>2</v>
      </c>
      <c r="M684" s="16">
        <f>VLOOKUP(I684,episodes!$A$1:$D$81,4,FALSE)</f>
        <v>6</v>
      </c>
      <c r="O684" s="14">
        <v>0</v>
      </c>
      <c r="P684" s="24">
        <f>LEN(E684)+LEN(K684)</f>
        <v>53</v>
      </c>
      <c r="Q684" s="24">
        <f>COUNTIFS(B:B,B683)</f>
        <v>163</v>
      </c>
      <c r="R684" s="24">
        <f>COUNTIFS(D:D,#REF!)</f>
        <v>0</v>
      </c>
    </row>
    <row r="685" spans="1:18" s="21" customFormat="1" x14ac:dyDescent="0.3">
      <c r="A685" s="14">
        <v>746</v>
      </c>
      <c r="B685" s="21" t="s">
        <v>259</v>
      </c>
      <c r="C685" s="1" t="s">
        <v>1018</v>
      </c>
      <c r="D685" s="21" t="s">
        <v>4</v>
      </c>
      <c r="E685" s="1" t="s">
        <v>2438</v>
      </c>
      <c r="F685" s="1"/>
      <c r="G685" s="14">
        <v>1</v>
      </c>
      <c r="H685" s="14">
        <v>0</v>
      </c>
      <c r="I685" s="22">
        <v>118</v>
      </c>
      <c r="J685" s="23">
        <f>VLOOKUP(I685,episodes!$A$1:$B$76,2,FALSE)</f>
        <v>19</v>
      </c>
      <c r="K685" s="16" t="str">
        <f>VLOOKUP(I685,episodes!$A$1:$E$81,5,FALSE)</f>
        <v>Arena</v>
      </c>
      <c r="L685" s="16">
        <f>VLOOKUP(I685,episodes!$A$1:$D$81,3,FALSE)</f>
        <v>1</v>
      </c>
      <c r="M685" s="16">
        <f>VLOOKUP(I685,episodes!$A$1:$D$81,4,FALSE)</f>
        <v>18</v>
      </c>
      <c r="N685" s="14"/>
      <c r="O685" s="14">
        <v>0</v>
      </c>
      <c r="P685" s="24">
        <f>LEN(E685)+LEN(K685)</f>
        <v>37</v>
      </c>
      <c r="Q685" s="24">
        <f>COUNTIFS(B:B,B684)</f>
        <v>163</v>
      </c>
      <c r="R685" s="24">
        <f>COUNTIFS(D:D,#REF!)</f>
        <v>0</v>
      </c>
    </row>
    <row r="686" spans="1:18" s="21" customFormat="1" x14ac:dyDescent="0.3">
      <c r="A686" s="14">
        <v>852</v>
      </c>
      <c r="B686" s="21" t="s">
        <v>259</v>
      </c>
      <c r="C686" s="1" t="s">
        <v>1018</v>
      </c>
      <c r="D686" s="21" t="s">
        <v>4</v>
      </c>
      <c r="E686" s="1" t="s">
        <v>2438</v>
      </c>
      <c r="F686" s="1"/>
      <c r="G686" s="14">
        <v>1</v>
      </c>
      <c r="H686" s="14">
        <v>0</v>
      </c>
      <c r="I686" s="22">
        <v>126</v>
      </c>
      <c r="J686" s="23">
        <f>VLOOKUP(I686,episodes!$A$1:$B$76,2,FALSE)</f>
        <v>27</v>
      </c>
      <c r="K686" s="16" t="str">
        <f>VLOOKUP(I686,episodes!$A$1:$E$81,5,FALSE)</f>
        <v>Errand of Mercy</v>
      </c>
      <c r="L686" s="16">
        <f>VLOOKUP(I686,episodes!$A$1:$D$81,3,FALSE)</f>
        <v>1</v>
      </c>
      <c r="M686" s="16">
        <f>VLOOKUP(I686,episodes!$A$1:$D$81,4,FALSE)</f>
        <v>26</v>
      </c>
      <c r="N686" s="14"/>
      <c r="O686" s="14">
        <v>0</v>
      </c>
      <c r="P686" s="24">
        <f>LEN(E686)+LEN(K686)</f>
        <v>47</v>
      </c>
      <c r="Q686" s="24">
        <f>COUNTIFS(B:B,B685)</f>
        <v>163</v>
      </c>
      <c r="R686" s="24">
        <f>COUNTIFS(D:D,#REF!)</f>
        <v>0</v>
      </c>
    </row>
    <row r="687" spans="1:18" s="21" customFormat="1" x14ac:dyDescent="0.3">
      <c r="A687" s="14">
        <v>747</v>
      </c>
      <c r="B687" s="21" t="s">
        <v>259</v>
      </c>
      <c r="C687" s="1" t="s">
        <v>1018</v>
      </c>
      <c r="D687" s="21" t="s">
        <v>4</v>
      </c>
      <c r="E687" s="1" t="s">
        <v>2439</v>
      </c>
      <c r="F687" s="1"/>
      <c r="G687" s="14">
        <v>1</v>
      </c>
      <c r="H687" s="14">
        <v>0</v>
      </c>
      <c r="I687" s="22">
        <v>118</v>
      </c>
      <c r="J687" s="23">
        <f>VLOOKUP(I687,episodes!$A$1:$B$76,2,FALSE)</f>
        <v>19</v>
      </c>
      <c r="K687" s="16" t="str">
        <f>VLOOKUP(I687,episodes!$A$1:$E$81,5,FALSE)</f>
        <v>Arena</v>
      </c>
      <c r="L687" s="16">
        <f>VLOOKUP(I687,episodes!$A$1:$D$81,3,FALSE)</f>
        <v>1</v>
      </c>
      <c r="M687" s="16">
        <f>VLOOKUP(I687,episodes!$A$1:$D$81,4,FALSE)</f>
        <v>18</v>
      </c>
      <c r="N687" s="14"/>
      <c r="O687" s="14">
        <v>0</v>
      </c>
      <c r="P687" s="24">
        <f>LEN(E687)+LEN(K687)</f>
        <v>37</v>
      </c>
      <c r="Q687" s="24">
        <f>COUNTIFS(B:B,B686)</f>
        <v>163</v>
      </c>
      <c r="R687" s="24">
        <f>COUNTIFS(D:D,#REF!)</f>
        <v>0</v>
      </c>
    </row>
    <row r="688" spans="1:18" s="21" customFormat="1" x14ac:dyDescent="0.3">
      <c r="A688" s="14">
        <v>853</v>
      </c>
      <c r="B688" s="21" t="s">
        <v>259</v>
      </c>
      <c r="C688" s="1" t="s">
        <v>1018</v>
      </c>
      <c r="D688" s="21" t="s">
        <v>4</v>
      </c>
      <c r="E688" s="1" t="s">
        <v>2439</v>
      </c>
      <c r="F688" s="1"/>
      <c r="G688" s="14">
        <v>1</v>
      </c>
      <c r="H688" s="14">
        <v>0</v>
      </c>
      <c r="I688" s="22">
        <v>126</v>
      </c>
      <c r="J688" s="23">
        <f>VLOOKUP(I688,episodes!$A$1:$B$76,2,FALSE)</f>
        <v>27</v>
      </c>
      <c r="K688" s="16" t="str">
        <f>VLOOKUP(I688,episodes!$A$1:$E$81,5,FALSE)</f>
        <v>Errand of Mercy</v>
      </c>
      <c r="L688" s="16">
        <f>VLOOKUP(I688,episodes!$A$1:$D$81,3,FALSE)</f>
        <v>1</v>
      </c>
      <c r="M688" s="16">
        <f>VLOOKUP(I688,episodes!$A$1:$D$81,4,FALSE)</f>
        <v>26</v>
      </c>
      <c r="N688" s="14"/>
      <c r="O688" s="14">
        <v>0</v>
      </c>
      <c r="P688" s="24">
        <f>LEN(E688)+LEN(K688)</f>
        <v>47</v>
      </c>
      <c r="Q688" s="24">
        <f>COUNTIFS(B:B,B687)</f>
        <v>163</v>
      </c>
      <c r="R688" s="24">
        <f>COUNTIFS(D:D,#REF!)</f>
        <v>0</v>
      </c>
    </row>
    <row r="689" spans="1:18" s="21" customFormat="1" x14ac:dyDescent="0.3">
      <c r="A689" s="14">
        <v>748</v>
      </c>
      <c r="B689" s="21" t="s">
        <v>259</v>
      </c>
      <c r="C689" s="1" t="s">
        <v>1018</v>
      </c>
      <c r="D689" s="21" t="s">
        <v>4</v>
      </c>
      <c r="E689" s="1" t="s">
        <v>2440</v>
      </c>
      <c r="F689" s="1"/>
      <c r="G689" s="14">
        <v>1</v>
      </c>
      <c r="H689" s="14">
        <v>0</v>
      </c>
      <c r="I689" s="22">
        <v>118</v>
      </c>
      <c r="J689" s="23">
        <f>VLOOKUP(I689,episodes!$A$1:$B$76,2,FALSE)</f>
        <v>19</v>
      </c>
      <c r="K689" s="16" t="str">
        <f>VLOOKUP(I689,episodes!$A$1:$E$81,5,FALSE)</f>
        <v>Arena</v>
      </c>
      <c r="L689" s="16">
        <f>VLOOKUP(I689,episodes!$A$1:$D$81,3,FALSE)</f>
        <v>1</v>
      </c>
      <c r="M689" s="16">
        <f>VLOOKUP(I689,episodes!$A$1:$D$81,4,FALSE)</f>
        <v>18</v>
      </c>
      <c r="N689" s="14"/>
      <c r="O689" s="14">
        <v>0</v>
      </c>
      <c r="P689" s="24">
        <f>LEN(E689)+LEN(K689)</f>
        <v>37</v>
      </c>
      <c r="Q689" s="24">
        <f>COUNTIFS(B:B,B688)</f>
        <v>163</v>
      </c>
      <c r="R689" s="24">
        <f>COUNTIFS(D:D,#REF!)</f>
        <v>0</v>
      </c>
    </row>
    <row r="690" spans="1:18" s="21" customFormat="1" x14ac:dyDescent="0.3">
      <c r="A690" s="14">
        <v>955</v>
      </c>
      <c r="B690" s="21" t="s">
        <v>259</v>
      </c>
      <c r="C690" s="1" t="s">
        <v>1018</v>
      </c>
      <c r="D690" s="21" t="s">
        <v>4</v>
      </c>
      <c r="E690" s="1" t="s">
        <v>2441</v>
      </c>
      <c r="G690" s="14">
        <v>1</v>
      </c>
      <c r="H690" s="14">
        <v>0</v>
      </c>
      <c r="I690" s="22">
        <v>207</v>
      </c>
      <c r="J690" s="23">
        <f>VLOOKUP(I690,episodes!$A$1:$B$81,2,FALSE)</f>
        <v>37</v>
      </c>
      <c r="K690" s="16" t="str">
        <f>VLOOKUP(I690,episodes!$A$1:$E$81,5,FALSE)</f>
        <v>Catspaw</v>
      </c>
      <c r="L690" s="16">
        <f>VLOOKUP(I690,episodes!$A$1:$D$81,3,FALSE)</f>
        <v>2</v>
      </c>
      <c r="M690" s="16">
        <f>VLOOKUP(I690,episodes!$A$1:$D$81,4,FALSE)</f>
        <v>7</v>
      </c>
      <c r="N690" s="14"/>
      <c r="O690" s="14">
        <v>0</v>
      </c>
      <c r="P690" s="24">
        <f>LEN(E690)+LEN(K690)</f>
        <v>40</v>
      </c>
      <c r="Q690" s="24">
        <f>COUNTIFS(B:B,B689)</f>
        <v>163</v>
      </c>
      <c r="R690" s="24">
        <f>COUNTIFS(D:D,#REF!)</f>
        <v>0</v>
      </c>
    </row>
    <row r="691" spans="1:18" s="21" customFormat="1" x14ac:dyDescent="0.3">
      <c r="A691" s="14">
        <v>956</v>
      </c>
      <c r="B691" s="21" t="s">
        <v>259</v>
      </c>
      <c r="C691" s="1" t="s">
        <v>1018</v>
      </c>
      <c r="D691" s="21" t="s">
        <v>4</v>
      </c>
      <c r="E691" s="1" t="s">
        <v>2442</v>
      </c>
      <c r="G691" s="14">
        <v>1</v>
      </c>
      <c r="H691" s="14">
        <v>0</v>
      </c>
      <c r="I691" s="22">
        <v>207</v>
      </c>
      <c r="J691" s="23">
        <f>VLOOKUP(I691,episodes!$A$1:$B$81,2,FALSE)</f>
        <v>37</v>
      </c>
      <c r="K691" s="16" t="str">
        <f>VLOOKUP(I691,episodes!$A$1:$E$81,5,FALSE)</f>
        <v>Catspaw</v>
      </c>
      <c r="L691" s="16">
        <f>VLOOKUP(I691,episodes!$A$1:$D$81,3,FALSE)</f>
        <v>2</v>
      </c>
      <c r="M691" s="16">
        <f>VLOOKUP(I691,episodes!$A$1:$D$81,4,FALSE)</f>
        <v>7</v>
      </c>
      <c r="N691" s="14"/>
      <c r="O691" s="14">
        <v>0</v>
      </c>
      <c r="P691" s="24">
        <f>LEN(E691)+LEN(K691)</f>
        <v>40</v>
      </c>
      <c r="Q691" s="24">
        <f>COUNTIFS(B:B,B690)</f>
        <v>163</v>
      </c>
      <c r="R691" s="24">
        <f>COUNTIFS(D:D,#REF!)</f>
        <v>0</v>
      </c>
    </row>
    <row r="692" spans="1:18" s="21" customFormat="1" x14ac:dyDescent="0.3">
      <c r="A692" s="14">
        <v>957</v>
      </c>
      <c r="B692" s="21" t="s">
        <v>259</v>
      </c>
      <c r="C692" s="1" t="s">
        <v>1018</v>
      </c>
      <c r="D692" s="21" t="s">
        <v>4</v>
      </c>
      <c r="E692" s="1" t="s">
        <v>2443</v>
      </c>
      <c r="G692" s="14">
        <v>1</v>
      </c>
      <c r="H692" s="14">
        <v>0</v>
      </c>
      <c r="I692" s="22">
        <v>207</v>
      </c>
      <c r="J692" s="23">
        <f>VLOOKUP(I692,episodes!$A$1:$B$81,2,FALSE)</f>
        <v>37</v>
      </c>
      <c r="K692" s="16" t="str">
        <f>VLOOKUP(I692,episodes!$A$1:$E$81,5,FALSE)</f>
        <v>Catspaw</v>
      </c>
      <c r="L692" s="16">
        <f>VLOOKUP(I692,episodes!$A$1:$D$81,3,FALSE)</f>
        <v>2</v>
      </c>
      <c r="M692" s="16">
        <f>VLOOKUP(I692,episodes!$A$1:$D$81,4,FALSE)</f>
        <v>7</v>
      </c>
      <c r="N692" s="14"/>
      <c r="O692" s="14">
        <v>0</v>
      </c>
      <c r="P692" s="24">
        <f>LEN(E692)+LEN(K692)</f>
        <v>79</v>
      </c>
      <c r="Q692" s="24">
        <f>COUNTIFS(B:B,B691)</f>
        <v>163</v>
      </c>
      <c r="R692" s="24">
        <f>COUNTIFS(D:D,#REF!)</f>
        <v>0</v>
      </c>
    </row>
    <row r="693" spans="1:18" s="21" customFormat="1" x14ac:dyDescent="0.3">
      <c r="A693" s="14">
        <v>965</v>
      </c>
      <c r="B693" s="21" t="s">
        <v>259</v>
      </c>
      <c r="C693" s="1" t="s">
        <v>1018</v>
      </c>
      <c r="D693" s="21" t="s">
        <v>4</v>
      </c>
      <c r="E693" s="1" t="s">
        <v>1049</v>
      </c>
      <c r="G693" s="14">
        <v>1</v>
      </c>
      <c r="H693" s="14">
        <v>0</v>
      </c>
      <c r="I693" s="14">
        <v>209</v>
      </c>
      <c r="J693" s="23">
        <f>VLOOKUP(I693,episodes!$A$1:$B$81,2,FALSE)</f>
        <v>39</v>
      </c>
      <c r="K693" s="16" t="str">
        <f>VLOOKUP(I693,episodes!$A$1:$E$81,5,FALSE)</f>
        <v>Metamorphosis</v>
      </c>
      <c r="L693" s="16">
        <f>VLOOKUP(I693,episodes!$A$1:$D$81,3,FALSE)</f>
        <v>2</v>
      </c>
      <c r="M693" s="16">
        <f>VLOOKUP(I693,episodes!$A$1:$D$81,4,FALSE)</f>
        <v>9</v>
      </c>
      <c r="N693" s="14"/>
      <c r="O693" s="14">
        <v>0</v>
      </c>
      <c r="P693" s="24">
        <f>LEN(E693)+LEN(K693)</f>
        <v>49</v>
      </c>
      <c r="Q693" s="24">
        <f>COUNTIFS(B:B,B692)</f>
        <v>163</v>
      </c>
      <c r="R693" s="24">
        <f>COUNTIFS(D:D,#REF!)</f>
        <v>0</v>
      </c>
    </row>
    <row r="694" spans="1:18" s="21" customFormat="1" x14ac:dyDescent="0.3">
      <c r="A694" s="14">
        <v>731</v>
      </c>
      <c r="B694" s="21" t="s">
        <v>259</v>
      </c>
      <c r="C694" s="1" t="s">
        <v>1018</v>
      </c>
      <c r="D694" s="21" t="s">
        <v>4</v>
      </c>
      <c r="E694" s="1" t="s">
        <v>2444</v>
      </c>
      <c r="F694" s="1"/>
      <c r="G694" s="14">
        <v>1</v>
      </c>
      <c r="H694" s="14">
        <v>0</v>
      </c>
      <c r="I694" s="22">
        <v>117</v>
      </c>
      <c r="J694" s="23">
        <f>VLOOKUP(I694,episodes!$A$1:$B$76,2,FALSE)</f>
        <v>18</v>
      </c>
      <c r="K694" s="16" t="str">
        <f>VLOOKUP(I694,episodes!$A$1:$E$81,5,FALSE)</f>
        <v>The Squire of Gothos</v>
      </c>
      <c r="L694" s="16">
        <f>VLOOKUP(I694,episodes!$A$1:$D$81,3,FALSE)</f>
        <v>1</v>
      </c>
      <c r="M694" s="16">
        <f>VLOOKUP(I694,episodes!$A$1:$D$81,4,FALSE)</f>
        <v>17</v>
      </c>
      <c r="N694" s="14"/>
      <c r="O694" s="14">
        <v>0</v>
      </c>
      <c r="P694" s="24">
        <f>LEN(E694)+LEN(K694)</f>
        <v>68</v>
      </c>
      <c r="Q694" s="24">
        <f>COUNTIFS(B:B,B693)</f>
        <v>163</v>
      </c>
      <c r="R694" s="24">
        <f>COUNTIFS(D:D,#REF!)</f>
        <v>0</v>
      </c>
    </row>
    <row r="695" spans="1:18" x14ac:dyDescent="0.3">
      <c r="A695" s="14">
        <v>732</v>
      </c>
      <c r="B695" s="21" t="s">
        <v>259</v>
      </c>
      <c r="C695" s="1" t="s">
        <v>1018</v>
      </c>
      <c r="D695" s="21" t="s">
        <v>4</v>
      </c>
      <c r="E695" s="1" t="s">
        <v>2445</v>
      </c>
      <c r="G695" s="14">
        <v>1</v>
      </c>
      <c r="H695" s="14">
        <v>0</v>
      </c>
      <c r="I695" s="22">
        <v>117</v>
      </c>
      <c r="J695" s="23">
        <f>VLOOKUP(I695,episodes!$A$1:$B$76,2,FALSE)</f>
        <v>18</v>
      </c>
      <c r="K695" s="16" t="str">
        <f>VLOOKUP(I695,episodes!$A$1:$E$81,5,FALSE)</f>
        <v>The Squire of Gothos</v>
      </c>
      <c r="L695" s="16">
        <f>VLOOKUP(I695,episodes!$A$1:$D$81,3,FALSE)</f>
        <v>1</v>
      </c>
      <c r="M695" s="16">
        <f>VLOOKUP(I695,episodes!$A$1:$D$81,4,FALSE)</f>
        <v>17</v>
      </c>
      <c r="O695" s="14">
        <v>0</v>
      </c>
      <c r="P695" s="24">
        <f>LEN(E695)+LEN(K695)</f>
        <v>68</v>
      </c>
      <c r="Q695" s="24">
        <f>COUNTIFS(B:B,B694)</f>
        <v>163</v>
      </c>
      <c r="R695" s="24">
        <f>COUNTIFS(D:D,#REF!)</f>
        <v>0</v>
      </c>
    </row>
    <row r="696" spans="1:18" x14ac:dyDescent="0.3">
      <c r="A696" s="14">
        <v>923</v>
      </c>
      <c r="B696" s="21" t="s">
        <v>259</v>
      </c>
      <c r="C696" s="1" t="s">
        <v>1018</v>
      </c>
      <c r="D696" s="21" t="s">
        <v>4</v>
      </c>
      <c r="E696" s="1" t="s">
        <v>871</v>
      </c>
      <c r="G696" s="14">
        <v>1</v>
      </c>
      <c r="H696" s="14">
        <v>0</v>
      </c>
      <c r="I696" s="25">
        <v>205</v>
      </c>
      <c r="J696" s="23">
        <f>VLOOKUP(I696,episodes!$A$1:$B$81,2,FALSE)</f>
        <v>35</v>
      </c>
      <c r="K696" s="16" t="str">
        <f>VLOOKUP(I696,episodes!$A$1:$E$81,5,FALSE)</f>
        <v>The Apple</v>
      </c>
      <c r="L696" s="16">
        <f>VLOOKUP(I696,episodes!$A$1:$D$81,3,FALSE)</f>
        <v>2</v>
      </c>
      <c r="M696" s="16">
        <f>VLOOKUP(I696,episodes!$A$1:$D$81,4,FALSE)</f>
        <v>5</v>
      </c>
      <c r="O696" s="14">
        <v>0</v>
      </c>
      <c r="P696" s="24">
        <f>LEN(E696)+LEN(K696)</f>
        <v>54</v>
      </c>
      <c r="Q696" s="24">
        <f>COUNTIFS(B:B,B695)</f>
        <v>163</v>
      </c>
      <c r="R696" s="24">
        <f>COUNTIFS(D:D,#REF!)</f>
        <v>0</v>
      </c>
    </row>
    <row r="697" spans="1:18" x14ac:dyDescent="0.3">
      <c r="A697" s="14">
        <v>689</v>
      </c>
      <c r="B697" s="21" t="s">
        <v>259</v>
      </c>
      <c r="C697" s="1" t="s">
        <v>1018</v>
      </c>
      <c r="D697" s="21" t="s">
        <v>4</v>
      </c>
      <c r="E697" s="1" t="s">
        <v>375</v>
      </c>
      <c r="G697" s="14">
        <v>1</v>
      </c>
      <c r="H697" s="14">
        <v>0</v>
      </c>
      <c r="I697" s="25">
        <v>113</v>
      </c>
      <c r="J697" s="23">
        <f>VLOOKUP(I697,episodes!$A$1:$B$76,2,FALSE)</f>
        <v>14</v>
      </c>
      <c r="K697" s="16" t="str">
        <f>VLOOKUP(I697,episodes!$A$1:$E$81,5,FALSE)</f>
        <v>The Conscience of the King</v>
      </c>
      <c r="L697" s="16">
        <f>VLOOKUP(I697,episodes!$A$1:$D$81,3,FALSE)</f>
        <v>1</v>
      </c>
      <c r="M697" s="16">
        <f>VLOOKUP(I697,episodes!$A$1:$D$81,4,FALSE)</f>
        <v>13</v>
      </c>
      <c r="O697" s="14">
        <v>0</v>
      </c>
      <c r="P697" s="24">
        <f>LEN(E697)+LEN(K697)</f>
        <v>48</v>
      </c>
      <c r="Q697" s="24">
        <f>COUNTIFS(B:B,B696)</f>
        <v>163</v>
      </c>
      <c r="R697" s="24">
        <f>COUNTIFS(D:D,#REF!)</f>
        <v>0</v>
      </c>
    </row>
    <row r="698" spans="1:18" x14ac:dyDescent="0.3">
      <c r="A698" s="14">
        <v>2980</v>
      </c>
      <c r="B698" s="21" t="s">
        <v>259</v>
      </c>
      <c r="C698" s="21" t="s">
        <v>1018</v>
      </c>
      <c r="D698" s="21" t="s">
        <v>4</v>
      </c>
      <c r="E698" s="4" t="s">
        <v>2804</v>
      </c>
      <c r="F698" s="21"/>
      <c r="G698" s="14">
        <v>1</v>
      </c>
      <c r="H698" s="14">
        <v>0</v>
      </c>
      <c r="I698" s="7">
        <v>211</v>
      </c>
      <c r="J698" s="23">
        <f>VLOOKUP(I698,episodes!$A$1:$B$81,2,FALSE)</f>
        <v>41</v>
      </c>
      <c r="K698" s="16" t="str">
        <f>VLOOKUP(I698,episodes!$A$1:$E$81,5,FALSE)</f>
        <v>Friday's Child</v>
      </c>
      <c r="L698" s="16">
        <f>VLOOKUP(I698,episodes!$A$1:$D$81,3,FALSE)</f>
        <v>2</v>
      </c>
      <c r="M698" s="16">
        <f>VLOOKUP(I698,episodes!$A$1:$D$81,4,FALSE)</f>
        <v>11</v>
      </c>
      <c r="O698" s="14">
        <v>0</v>
      </c>
      <c r="P698" s="24">
        <f>LEN(E698)+LEN(K698)</f>
        <v>90</v>
      </c>
      <c r="Q698" s="24"/>
      <c r="R698" s="24"/>
    </row>
    <row r="699" spans="1:18" x14ac:dyDescent="0.3">
      <c r="A699" s="14">
        <v>958</v>
      </c>
      <c r="B699" s="21" t="s">
        <v>259</v>
      </c>
      <c r="C699" s="1" t="s">
        <v>1018</v>
      </c>
      <c r="D699" s="21" t="s">
        <v>4</v>
      </c>
      <c r="E699" s="1" t="s">
        <v>1020</v>
      </c>
      <c r="F699" s="21"/>
      <c r="G699" s="14">
        <v>1</v>
      </c>
      <c r="H699" s="14">
        <v>0</v>
      </c>
      <c r="I699" s="22">
        <v>207</v>
      </c>
      <c r="J699" s="23">
        <f>VLOOKUP(I699,episodes!$A$1:$B$81,2,FALSE)</f>
        <v>37</v>
      </c>
      <c r="K699" s="16" t="str">
        <f>VLOOKUP(I699,episodes!$A$1:$E$81,5,FALSE)</f>
        <v>Catspaw</v>
      </c>
      <c r="L699" s="16">
        <f>VLOOKUP(I699,episodes!$A$1:$D$81,3,FALSE)</f>
        <v>2</v>
      </c>
      <c r="M699" s="16">
        <f>VLOOKUP(I699,episodes!$A$1:$D$81,4,FALSE)</f>
        <v>7</v>
      </c>
      <c r="O699" s="14">
        <v>0</v>
      </c>
      <c r="P699" s="24">
        <f>LEN(E699)+LEN(K699)</f>
        <v>61</v>
      </c>
      <c r="Q699" s="24">
        <f>COUNTIFS(B:B,B698)</f>
        <v>163</v>
      </c>
      <c r="R699" s="24">
        <f>COUNTIFS(D:D,#REF!)</f>
        <v>0</v>
      </c>
    </row>
    <row r="700" spans="1:18" x14ac:dyDescent="0.3">
      <c r="A700" s="14">
        <v>838</v>
      </c>
      <c r="B700" s="21" t="s">
        <v>259</v>
      </c>
      <c r="C700" s="1" t="s">
        <v>1018</v>
      </c>
      <c r="D700" s="21" t="s">
        <v>4</v>
      </c>
      <c r="E700" s="1" t="s">
        <v>2452</v>
      </c>
      <c r="G700" s="14">
        <v>1</v>
      </c>
      <c r="H700" s="14">
        <v>0</v>
      </c>
      <c r="I700" s="22">
        <v>125</v>
      </c>
      <c r="J700" s="23">
        <f>VLOOKUP(I700,episodes!$A$1:$B$76,2,FALSE)</f>
        <v>26</v>
      </c>
      <c r="K700" s="16" t="str">
        <f>VLOOKUP(I700,episodes!$A$1:$E$81,5,FALSE)</f>
        <v>The Devil in the Dark</v>
      </c>
      <c r="L700" s="16">
        <f>VLOOKUP(I700,episodes!$A$1:$D$81,3,FALSE)</f>
        <v>1</v>
      </c>
      <c r="M700" s="16">
        <f>VLOOKUP(I700,episodes!$A$1:$D$81,4,FALSE)</f>
        <v>25</v>
      </c>
      <c r="O700" s="14">
        <v>0</v>
      </c>
      <c r="P700" s="24">
        <f>LEN(E700)+LEN(K700)</f>
        <v>48</v>
      </c>
      <c r="Q700" s="24">
        <f>COUNTIFS(B:B,B699)</f>
        <v>163</v>
      </c>
      <c r="R700" s="24">
        <f>COUNTIFS(D:D,#REF!)</f>
        <v>0</v>
      </c>
    </row>
    <row r="701" spans="1:18" x14ac:dyDescent="0.3">
      <c r="A701" s="14">
        <v>711</v>
      </c>
      <c r="B701" s="21" t="s">
        <v>259</v>
      </c>
      <c r="C701" s="1" t="s">
        <v>1018</v>
      </c>
      <c r="D701" s="21" t="s">
        <v>4</v>
      </c>
      <c r="E701" s="1" t="s">
        <v>2453</v>
      </c>
      <c r="G701" s="14">
        <v>1</v>
      </c>
      <c r="H701" s="14">
        <v>0</v>
      </c>
      <c r="I701" s="22">
        <v>115</v>
      </c>
      <c r="J701" s="23">
        <f>VLOOKUP(I701,episodes!$A$1:$B$76,2,FALSE)</f>
        <v>16</v>
      </c>
      <c r="K701" s="16" t="str">
        <f>VLOOKUP(I701,episodes!$A$1:$E$81,5,FALSE)</f>
        <v>Shore Leave</v>
      </c>
      <c r="L701" s="16">
        <f>VLOOKUP(I701,episodes!$A$1:$D$81,3,FALSE)</f>
        <v>1</v>
      </c>
      <c r="M701" s="16">
        <f>VLOOKUP(I701,episodes!$A$1:$D$81,4,FALSE)</f>
        <v>15</v>
      </c>
      <c r="O701" s="14">
        <v>0</v>
      </c>
      <c r="P701" s="24">
        <f>LEN(E701)+LEN(K701)</f>
        <v>27</v>
      </c>
      <c r="Q701" s="24">
        <f>COUNTIFS(B:B,B700)</f>
        <v>163</v>
      </c>
      <c r="R701" s="24">
        <f>COUNTIFS(D:D,#REF!)</f>
        <v>0</v>
      </c>
    </row>
    <row r="702" spans="1:18" x14ac:dyDescent="0.3">
      <c r="A702" s="14">
        <v>825</v>
      </c>
      <c r="B702" s="21" t="s">
        <v>259</v>
      </c>
      <c r="C702" s="1" t="s">
        <v>1018</v>
      </c>
      <c r="D702" s="21" t="s">
        <v>4</v>
      </c>
      <c r="E702" s="1" t="s">
        <v>2453</v>
      </c>
      <c r="G702" s="14">
        <v>1</v>
      </c>
      <c r="H702" s="14">
        <v>0</v>
      </c>
      <c r="I702" s="22">
        <v>124</v>
      </c>
      <c r="J702" s="23">
        <f>VLOOKUP(I702,episodes!$A$1:$B$76,2,FALSE)</f>
        <v>25</v>
      </c>
      <c r="K702" s="16" t="str">
        <f>VLOOKUP(I702,episodes!$A$1:$E$81,5,FALSE)</f>
        <v>This Side of Paradise</v>
      </c>
      <c r="L702" s="16">
        <f>VLOOKUP(I702,episodes!$A$1:$D$81,3,FALSE)</f>
        <v>1</v>
      </c>
      <c r="M702" s="16">
        <f>VLOOKUP(I702,episodes!$A$1:$D$81,4,FALSE)</f>
        <v>24</v>
      </c>
      <c r="O702" s="14">
        <v>0</v>
      </c>
      <c r="P702" s="24">
        <f>LEN(E702)+LEN(K702)</f>
        <v>37</v>
      </c>
      <c r="Q702" s="24">
        <f>COUNTIFS(B:B,B701)</f>
        <v>163</v>
      </c>
      <c r="R702" s="24">
        <f>COUNTIFS(D:D,#REF!)</f>
        <v>0</v>
      </c>
    </row>
    <row r="703" spans="1:18" x14ac:dyDescent="0.3">
      <c r="A703" s="14">
        <v>839</v>
      </c>
      <c r="B703" s="21" t="s">
        <v>259</v>
      </c>
      <c r="C703" s="1" t="s">
        <v>1018</v>
      </c>
      <c r="D703" s="21" t="s">
        <v>4</v>
      </c>
      <c r="E703" s="1" t="s">
        <v>2453</v>
      </c>
      <c r="G703" s="14">
        <v>1</v>
      </c>
      <c r="H703" s="14">
        <v>0</v>
      </c>
      <c r="I703" s="22">
        <v>125</v>
      </c>
      <c r="J703" s="23">
        <f>VLOOKUP(I703,episodes!$A$1:$B$76,2,FALSE)</f>
        <v>26</v>
      </c>
      <c r="K703" s="16" t="str">
        <f>VLOOKUP(I703,episodes!$A$1:$E$81,5,FALSE)</f>
        <v>The Devil in the Dark</v>
      </c>
      <c r="L703" s="16">
        <f>VLOOKUP(I703,episodes!$A$1:$D$81,3,FALSE)</f>
        <v>1</v>
      </c>
      <c r="M703" s="16">
        <f>VLOOKUP(I703,episodes!$A$1:$D$81,4,FALSE)</f>
        <v>25</v>
      </c>
      <c r="O703" s="14">
        <v>0</v>
      </c>
      <c r="P703" s="24">
        <f>LEN(E703)+LEN(K703)</f>
        <v>37</v>
      </c>
      <c r="Q703" s="24">
        <f>COUNTIFS(B:B,B702)</f>
        <v>163</v>
      </c>
      <c r="R703" s="24">
        <f>COUNTIFS(D:D,#REF!)</f>
        <v>0</v>
      </c>
    </row>
    <row r="704" spans="1:18" x14ac:dyDescent="0.3">
      <c r="A704" s="14">
        <v>619</v>
      </c>
      <c r="B704" s="21" t="s">
        <v>259</v>
      </c>
      <c r="C704" s="1" t="s">
        <v>1018</v>
      </c>
      <c r="D704" s="21" t="s">
        <v>4</v>
      </c>
      <c r="E704" s="1" t="s">
        <v>2454</v>
      </c>
      <c r="G704" s="14">
        <v>1</v>
      </c>
      <c r="H704" s="14">
        <v>0</v>
      </c>
      <c r="I704" s="25">
        <v>107</v>
      </c>
      <c r="J704" s="23">
        <f>VLOOKUP(I704,episodes!$A$1:$B$76,2,FALSE)</f>
        <v>8</v>
      </c>
      <c r="K704" s="16" t="str">
        <f>VLOOKUP(I704,episodes!$A$1:$E$81,5,FALSE)</f>
        <v>What Are Little Girls Made Of?</v>
      </c>
      <c r="L704" s="16">
        <f>VLOOKUP(I704,episodes!$A$1:$D$81,3,FALSE)</f>
        <v>1</v>
      </c>
      <c r="M704" s="16">
        <f>VLOOKUP(I704,episodes!$A$1:$D$81,4,FALSE)</f>
        <v>7</v>
      </c>
      <c r="O704" s="14">
        <v>0</v>
      </c>
      <c r="P704" s="24">
        <f>LEN(E704)+LEN(K704)</f>
        <v>48</v>
      </c>
      <c r="Q704" s="24">
        <f>COUNTIFS(B:B,B703)</f>
        <v>163</v>
      </c>
      <c r="R704" s="24">
        <f>COUNTIFS(D:D,#REF!)</f>
        <v>0</v>
      </c>
    </row>
    <row r="705" spans="1:18" x14ac:dyDescent="0.3">
      <c r="A705" s="14">
        <v>712</v>
      </c>
      <c r="B705" s="21" t="s">
        <v>259</v>
      </c>
      <c r="C705" s="1" t="s">
        <v>1018</v>
      </c>
      <c r="D705" s="21" t="s">
        <v>4</v>
      </c>
      <c r="E705" s="1" t="s">
        <v>2455</v>
      </c>
      <c r="G705" s="14">
        <v>1</v>
      </c>
      <c r="H705" s="14">
        <v>0</v>
      </c>
      <c r="I705" s="22">
        <v>115</v>
      </c>
      <c r="J705" s="23">
        <f>VLOOKUP(I705,episodes!$A$1:$B$76,2,FALSE)</f>
        <v>16</v>
      </c>
      <c r="K705" s="16" t="str">
        <f>VLOOKUP(I705,episodes!$A$1:$E$81,5,FALSE)</f>
        <v>Shore Leave</v>
      </c>
      <c r="L705" s="16">
        <f>VLOOKUP(I705,episodes!$A$1:$D$81,3,FALSE)</f>
        <v>1</v>
      </c>
      <c r="M705" s="16">
        <f>VLOOKUP(I705,episodes!$A$1:$D$81,4,FALSE)</f>
        <v>15</v>
      </c>
      <c r="O705" s="14">
        <v>0</v>
      </c>
      <c r="P705" s="24">
        <f>LEN(E705)+LEN(K705)</f>
        <v>31</v>
      </c>
      <c r="Q705" s="24">
        <f>COUNTIFS(B:B,B704)</f>
        <v>163</v>
      </c>
      <c r="R705" s="24">
        <f>COUNTIFS(D:D,#REF!)</f>
        <v>0</v>
      </c>
    </row>
    <row r="706" spans="1:18" x14ac:dyDescent="0.3">
      <c r="A706" s="14">
        <v>840</v>
      </c>
      <c r="B706" s="21" t="s">
        <v>259</v>
      </c>
      <c r="C706" s="1" t="s">
        <v>1018</v>
      </c>
      <c r="D706" s="21" t="s">
        <v>4</v>
      </c>
      <c r="E706" s="1" t="s">
        <v>2456</v>
      </c>
      <c r="G706" s="14">
        <v>1</v>
      </c>
      <c r="H706" s="14">
        <v>0</v>
      </c>
      <c r="I706" s="22">
        <v>125</v>
      </c>
      <c r="J706" s="23">
        <f>VLOOKUP(I706,episodes!$A$1:$B$76,2,FALSE)</f>
        <v>26</v>
      </c>
      <c r="K706" s="16" t="str">
        <f>VLOOKUP(I706,episodes!$A$1:$E$81,5,FALSE)</f>
        <v>The Devil in the Dark</v>
      </c>
      <c r="L706" s="16">
        <f>VLOOKUP(I706,episodes!$A$1:$D$81,3,FALSE)</f>
        <v>1</v>
      </c>
      <c r="M706" s="16">
        <f>VLOOKUP(I706,episodes!$A$1:$D$81,4,FALSE)</f>
        <v>25</v>
      </c>
      <c r="O706" s="14">
        <v>0</v>
      </c>
      <c r="P706" s="24">
        <f>LEN(E706)+LEN(K706)</f>
        <v>38</v>
      </c>
      <c r="Q706" s="24">
        <f>COUNTIFS(B:B,B705)</f>
        <v>163</v>
      </c>
      <c r="R706" s="24">
        <f>COUNTIFS(D:D,#REF!)</f>
        <v>0</v>
      </c>
    </row>
    <row r="707" spans="1:18" x14ac:dyDescent="0.3">
      <c r="A707" s="14">
        <v>906</v>
      </c>
      <c r="B707" s="21" t="s">
        <v>259</v>
      </c>
      <c r="C707" s="1" t="s">
        <v>1018</v>
      </c>
      <c r="D707" s="21" t="s">
        <v>4</v>
      </c>
      <c r="E707" s="1" t="s">
        <v>2456</v>
      </c>
      <c r="G707" s="14">
        <v>1</v>
      </c>
      <c r="H707" s="14">
        <v>0</v>
      </c>
      <c r="I707" s="25">
        <v>204</v>
      </c>
      <c r="J707" s="23">
        <f>VLOOKUP(I707,episodes!$A$1:$B$81,2,FALSE)</f>
        <v>34</v>
      </c>
      <c r="K707" s="16" t="str">
        <f>VLOOKUP(I707,episodes!$A$1:$E$81,5,FALSE)</f>
        <v>Mirror, Mirror</v>
      </c>
      <c r="L707" s="16">
        <f>VLOOKUP(I707,episodes!$A$1:$D$81,3,FALSE)</f>
        <v>2</v>
      </c>
      <c r="M707" s="16">
        <f>VLOOKUP(I707,episodes!$A$1:$D$81,4,FALSE)</f>
        <v>4</v>
      </c>
      <c r="O707" s="14">
        <v>0</v>
      </c>
      <c r="P707" s="24">
        <f>LEN(E707)+LEN(K707)</f>
        <v>31</v>
      </c>
      <c r="Q707" s="24">
        <f>COUNTIFS(B:B,B706)</f>
        <v>163</v>
      </c>
      <c r="R707" s="24">
        <f>COUNTIFS(D:D,#REF!)</f>
        <v>0</v>
      </c>
    </row>
    <row r="708" spans="1:18" x14ac:dyDescent="0.3">
      <c r="A708" s="14">
        <v>938</v>
      </c>
      <c r="B708" s="21" t="s">
        <v>259</v>
      </c>
      <c r="C708" s="1" t="s">
        <v>1018</v>
      </c>
      <c r="D708" s="21" t="s">
        <v>4</v>
      </c>
      <c r="E708" s="1" t="s">
        <v>2457</v>
      </c>
      <c r="G708" s="14">
        <v>1</v>
      </c>
      <c r="H708" s="14">
        <v>0</v>
      </c>
      <c r="I708" s="25">
        <v>206</v>
      </c>
      <c r="J708" s="23">
        <f>VLOOKUP(I708,episodes!$A$1:$B$81,2,FALSE)</f>
        <v>36</v>
      </c>
      <c r="K708" s="16" t="str">
        <f>VLOOKUP(I708,episodes!$A$1:$E$81,5,FALSE)</f>
        <v>The Doomsday Machine</v>
      </c>
      <c r="L708" s="16">
        <f>VLOOKUP(I708,episodes!$A$1:$D$81,3,FALSE)</f>
        <v>2</v>
      </c>
      <c r="M708" s="16">
        <f>VLOOKUP(I708,episodes!$A$1:$D$81,4,FALSE)</f>
        <v>6</v>
      </c>
      <c r="O708" s="14">
        <v>0</v>
      </c>
      <c r="P708" s="24">
        <f>LEN(E708)+LEN(K708)</f>
        <v>41</v>
      </c>
      <c r="Q708" s="24">
        <f>COUNTIFS(B:B,B707)</f>
        <v>163</v>
      </c>
      <c r="R708" s="24">
        <f>COUNTIFS(D:D,#REF!)</f>
        <v>0</v>
      </c>
    </row>
    <row r="709" spans="1:18" x14ac:dyDescent="0.3">
      <c r="A709" s="14">
        <v>939</v>
      </c>
      <c r="B709" s="21" t="s">
        <v>259</v>
      </c>
      <c r="C709" s="1" t="s">
        <v>1018</v>
      </c>
      <c r="D709" s="21" t="s">
        <v>4</v>
      </c>
      <c r="E709" s="1" t="s">
        <v>2458</v>
      </c>
      <c r="G709" s="14">
        <v>1</v>
      </c>
      <c r="H709" s="14">
        <v>0</v>
      </c>
      <c r="I709" s="25">
        <v>206</v>
      </c>
      <c r="J709" s="23">
        <f>VLOOKUP(I709,episodes!$A$1:$B$81,2,FALSE)</f>
        <v>36</v>
      </c>
      <c r="K709" s="16" t="str">
        <f>VLOOKUP(I709,episodes!$A$1:$E$81,5,FALSE)</f>
        <v>The Doomsday Machine</v>
      </c>
      <c r="L709" s="16">
        <f>VLOOKUP(I709,episodes!$A$1:$D$81,3,FALSE)</f>
        <v>2</v>
      </c>
      <c r="M709" s="16">
        <f>VLOOKUP(I709,episodes!$A$1:$D$81,4,FALSE)</f>
        <v>6</v>
      </c>
      <c r="O709" s="14">
        <v>0</v>
      </c>
      <c r="P709" s="24">
        <f>LEN(E709)+LEN(K709)</f>
        <v>41</v>
      </c>
      <c r="Q709" s="24">
        <f>COUNTIFS(B:B,B708)</f>
        <v>163</v>
      </c>
      <c r="R709" s="24">
        <f>COUNTIFS(D:D,#REF!)</f>
        <v>0</v>
      </c>
    </row>
    <row r="710" spans="1:18" x14ac:dyDescent="0.3">
      <c r="A710" s="14">
        <v>940</v>
      </c>
      <c r="B710" s="21" t="s">
        <v>259</v>
      </c>
      <c r="C710" s="1" t="s">
        <v>1018</v>
      </c>
      <c r="D710" s="21" t="s">
        <v>4</v>
      </c>
      <c r="E710" s="1" t="s">
        <v>2459</v>
      </c>
      <c r="G710" s="14">
        <v>1</v>
      </c>
      <c r="H710" s="14">
        <v>0</v>
      </c>
      <c r="I710" s="25">
        <v>206</v>
      </c>
      <c r="J710" s="23">
        <f>VLOOKUP(I710,episodes!$A$1:$B$81,2,FALSE)</f>
        <v>36</v>
      </c>
      <c r="K710" s="16" t="str">
        <f>VLOOKUP(I710,episodes!$A$1:$E$81,5,FALSE)</f>
        <v>The Doomsday Machine</v>
      </c>
      <c r="L710" s="16">
        <f>VLOOKUP(I710,episodes!$A$1:$D$81,3,FALSE)</f>
        <v>2</v>
      </c>
      <c r="M710" s="16">
        <f>VLOOKUP(I710,episodes!$A$1:$D$81,4,FALSE)</f>
        <v>6</v>
      </c>
      <c r="O710" s="14">
        <v>0</v>
      </c>
      <c r="P710" s="24">
        <f>LEN(E710)+LEN(K710)</f>
        <v>41</v>
      </c>
      <c r="Q710" s="24">
        <f>COUNTIFS(B:B,B709)</f>
        <v>163</v>
      </c>
      <c r="R710" s="24">
        <f>COUNTIFS(D:D,#REF!)</f>
        <v>0</v>
      </c>
    </row>
    <row r="711" spans="1:18" x14ac:dyDescent="0.3">
      <c r="A711" s="14">
        <v>941</v>
      </c>
      <c r="B711" s="21" t="s">
        <v>259</v>
      </c>
      <c r="C711" s="1" t="s">
        <v>1018</v>
      </c>
      <c r="D711" s="21" t="s">
        <v>4</v>
      </c>
      <c r="E711" s="1" t="s">
        <v>2460</v>
      </c>
      <c r="G711" s="14">
        <v>1</v>
      </c>
      <c r="H711" s="14">
        <v>0</v>
      </c>
      <c r="I711" s="25">
        <v>206</v>
      </c>
      <c r="J711" s="23">
        <f>VLOOKUP(I711,episodes!$A$1:$B$81,2,FALSE)</f>
        <v>36</v>
      </c>
      <c r="K711" s="16" t="str">
        <f>VLOOKUP(I711,episodes!$A$1:$E$81,5,FALSE)</f>
        <v>The Doomsday Machine</v>
      </c>
      <c r="L711" s="16">
        <f>VLOOKUP(I711,episodes!$A$1:$D$81,3,FALSE)</f>
        <v>2</v>
      </c>
      <c r="M711" s="16">
        <f>VLOOKUP(I711,episodes!$A$1:$D$81,4,FALSE)</f>
        <v>6</v>
      </c>
      <c r="O711" s="14">
        <v>0</v>
      </c>
      <c r="P711" s="24">
        <f>LEN(E711)+LEN(K711)</f>
        <v>41</v>
      </c>
      <c r="Q711" s="24">
        <f>COUNTIFS(B:B,B710)</f>
        <v>163</v>
      </c>
      <c r="R711" s="24">
        <f>COUNTIFS(D:D,#REF!)</f>
        <v>0</v>
      </c>
    </row>
    <row r="712" spans="1:18" x14ac:dyDescent="0.3">
      <c r="A712" s="14">
        <v>942</v>
      </c>
      <c r="B712" s="21" t="s">
        <v>259</v>
      </c>
      <c r="C712" s="1" t="s">
        <v>1018</v>
      </c>
      <c r="D712" s="21" t="s">
        <v>4</v>
      </c>
      <c r="E712" s="1" t="s">
        <v>2230</v>
      </c>
      <c r="G712" s="14">
        <v>1</v>
      </c>
      <c r="H712" s="14">
        <v>0</v>
      </c>
      <c r="I712" s="25">
        <v>206</v>
      </c>
      <c r="J712" s="23">
        <f>VLOOKUP(I712,episodes!$A$1:$B$81,2,FALSE)</f>
        <v>36</v>
      </c>
      <c r="K712" s="16" t="str">
        <f>VLOOKUP(I712,episodes!$A$1:$E$81,5,FALSE)</f>
        <v>The Doomsday Machine</v>
      </c>
      <c r="L712" s="16">
        <f>VLOOKUP(I712,episodes!$A$1:$D$81,3,FALSE)</f>
        <v>2</v>
      </c>
      <c r="M712" s="16">
        <f>VLOOKUP(I712,episodes!$A$1:$D$81,4,FALSE)</f>
        <v>6</v>
      </c>
      <c r="O712" s="14">
        <v>0</v>
      </c>
      <c r="P712" s="24">
        <f>LEN(E712)+LEN(K712)</f>
        <v>62</v>
      </c>
      <c r="Q712" s="24">
        <f>COUNTIFS(B:B,B711)</f>
        <v>163</v>
      </c>
      <c r="R712" s="24">
        <f>COUNTIFS(D:D,#REF!)</f>
        <v>0</v>
      </c>
    </row>
    <row r="713" spans="1:18" x14ac:dyDescent="0.3">
      <c r="A713" s="14">
        <v>554</v>
      </c>
      <c r="B713" s="21" t="s">
        <v>259</v>
      </c>
      <c r="C713" s="1" t="s">
        <v>1018</v>
      </c>
      <c r="D713" s="21" t="s">
        <v>4</v>
      </c>
      <c r="E713" s="1" t="s">
        <v>2463</v>
      </c>
      <c r="G713" s="14">
        <v>1</v>
      </c>
      <c r="H713" s="14">
        <v>0</v>
      </c>
      <c r="I713" s="25">
        <v>101</v>
      </c>
      <c r="J713" s="23">
        <f>VLOOKUP(I713,episodes!$A$1:$B$76,2,FALSE)</f>
        <v>2</v>
      </c>
      <c r="K713" s="16" t="str">
        <f>VLOOKUP(I713,episodes!$A$1:$E$81,5,FALSE)</f>
        <v>The Man Trap</v>
      </c>
      <c r="L713" s="16">
        <f>VLOOKUP(I713,episodes!$A$1:$D$81,3,FALSE)</f>
        <v>1</v>
      </c>
      <c r="M713" s="16">
        <f>VLOOKUP(I713,episodes!$A$1:$D$81,4,FALSE)</f>
        <v>1</v>
      </c>
      <c r="O713" s="14">
        <v>0</v>
      </c>
      <c r="P713" s="24">
        <f>LEN(E713)+LEN(K713)</f>
        <v>28</v>
      </c>
      <c r="Q713" s="24">
        <f>COUNTIFS(B:B,B712)</f>
        <v>163</v>
      </c>
      <c r="R713" s="24">
        <f>COUNTIFS(D:D,#REF!)</f>
        <v>0</v>
      </c>
    </row>
    <row r="714" spans="1:18" x14ac:dyDescent="0.3">
      <c r="A714" s="14">
        <v>762</v>
      </c>
      <c r="B714" s="21" t="s">
        <v>259</v>
      </c>
      <c r="C714" s="1" t="s">
        <v>1018</v>
      </c>
      <c r="D714" s="21" t="s">
        <v>4</v>
      </c>
      <c r="E714" s="1" t="s">
        <v>2463</v>
      </c>
      <c r="G714" s="14">
        <v>1</v>
      </c>
      <c r="H714" s="14">
        <v>0</v>
      </c>
      <c r="I714" s="22">
        <v>119</v>
      </c>
      <c r="J714" s="23">
        <f>VLOOKUP(I714,episodes!$A$1:$B$76,2,FALSE)</f>
        <v>20</v>
      </c>
      <c r="K714" s="16" t="str">
        <f>VLOOKUP(I714,episodes!$A$1:$E$81,5,FALSE)</f>
        <v>Tomorrow Is Yesterday</v>
      </c>
      <c r="L714" s="16">
        <f>VLOOKUP(I714,episodes!$A$1:$D$81,3,FALSE)</f>
        <v>1</v>
      </c>
      <c r="M714" s="16">
        <f>VLOOKUP(I714,episodes!$A$1:$D$81,4,FALSE)</f>
        <v>19</v>
      </c>
      <c r="O714" s="14">
        <v>0</v>
      </c>
      <c r="P714" s="24">
        <f>LEN(E714)+LEN(K714)</f>
        <v>37</v>
      </c>
      <c r="Q714" s="24">
        <f>COUNTIFS(B:B,B713)</f>
        <v>163</v>
      </c>
      <c r="R714" s="24">
        <f>COUNTIFS(D:D,#REF!)</f>
        <v>0</v>
      </c>
    </row>
    <row r="715" spans="1:18" x14ac:dyDescent="0.3">
      <c r="A715" s="14">
        <v>828</v>
      </c>
      <c r="B715" s="21" t="s">
        <v>259</v>
      </c>
      <c r="C715" s="1" t="s">
        <v>1018</v>
      </c>
      <c r="D715" s="21" t="s">
        <v>4</v>
      </c>
      <c r="E715" s="1" t="s">
        <v>2463</v>
      </c>
      <c r="G715" s="14">
        <v>1</v>
      </c>
      <c r="H715" s="14">
        <v>0</v>
      </c>
      <c r="I715" s="22">
        <v>124</v>
      </c>
      <c r="J715" s="23">
        <f>VLOOKUP(I715,episodes!$A$1:$B$76,2,FALSE)</f>
        <v>25</v>
      </c>
      <c r="K715" s="16" t="str">
        <f>VLOOKUP(I715,episodes!$A$1:$E$81,5,FALSE)</f>
        <v>This Side of Paradise</v>
      </c>
      <c r="L715" s="16">
        <f>VLOOKUP(I715,episodes!$A$1:$D$81,3,FALSE)</f>
        <v>1</v>
      </c>
      <c r="M715" s="16">
        <f>VLOOKUP(I715,episodes!$A$1:$D$81,4,FALSE)</f>
        <v>24</v>
      </c>
      <c r="O715" s="14">
        <v>0</v>
      </c>
      <c r="P715" s="24">
        <f>LEN(E715)+LEN(K715)</f>
        <v>37</v>
      </c>
      <c r="Q715" s="24">
        <f>COUNTIFS(B:B,B714)</f>
        <v>163</v>
      </c>
      <c r="R715" s="24">
        <f>COUNTIFS(D:D,#REF!)</f>
        <v>0</v>
      </c>
    </row>
    <row r="716" spans="1:18" x14ac:dyDescent="0.3">
      <c r="A716" s="14">
        <v>713</v>
      </c>
      <c r="B716" s="21" t="s">
        <v>259</v>
      </c>
      <c r="C716" s="1" t="s">
        <v>1018</v>
      </c>
      <c r="D716" s="21" t="s">
        <v>4</v>
      </c>
      <c r="E716" s="1" t="s">
        <v>2464</v>
      </c>
      <c r="G716" s="14">
        <v>1</v>
      </c>
      <c r="H716" s="14">
        <v>0</v>
      </c>
      <c r="I716" s="22">
        <v>115</v>
      </c>
      <c r="J716" s="23">
        <f>VLOOKUP(I716,episodes!$A$1:$B$76,2,FALSE)</f>
        <v>16</v>
      </c>
      <c r="K716" s="16" t="str">
        <f>VLOOKUP(I716,episodes!$A$1:$E$81,5,FALSE)</f>
        <v>Shore Leave</v>
      </c>
      <c r="L716" s="16">
        <f>VLOOKUP(I716,episodes!$A$1:$D$81,3,FALSE)</f>
        <v>1</v>
      </c>
      <c r="M716" s="16">
        <f>VLOOKUP(I716,episodes!$A$1:$D$81,4,FALSE)</f>
        <v>15</v>
      </c>
      <c r="O716" s="14">
        <v>0</v>
      </c>
      <c r="P716" s="24">
        <f>LEN(E716)+LEN(K716)</f>
        <v>31</v>
      </c>
      <c r="Q716" s="24">
        <f>COUNTIFS(B:B,B715)</f>
        <v>163</v>
      </c>
      <c r="R716" s="24">
        <f>COUNTIFS(D:D,#REF!)</f>
        <v>0</v>
      </c>
    </row>
    <row r="717" spans="1:18" x14ac:dyDescent="0.3">
      <c r="A717" s="14">
        <v>841</v>
      </c>
      <c r="B717" s="21" t="s">
        <v>259</v>
      </c>
      <c r="C717" s="1" t="s">
        <v>1018</v>
      </c>
      <c r="D717" s="21" t="s">
        <v>4</v>
      </c>
      <c r="E717" s="1" t="s">
        <v>2464</v>
      </c>
      <c r="G717" s="14">
        <v>1</v>
      </c>
      <c r="H717" s="14">
        <v>0</v>
      </c>
      <c r="I717" s="22">
        <v>125</v>
      </c>
      <c r="J717" s="23">
        <f>VLOOKUP(I717,episodes!$A$1:$B$76,2,FALSE)</f>
        <v>26</v>
      </c>
      <c r="K717" s="16" t="str">
        <f>VLOOKUP(I717,episodes!$A$1:$E$81,5,FALSE)</f>
        <v>The Devil in the Dark</v>
      </c>
      <c r="L717" s="16">
        <f>VLOOKUP(I717,episodes!$A$1:$D$81,3,FALSE)</f>
        <v>1</v>
      </c>
      <c r="M717" s="16">
        <f>VLOOKUP(I717,episodes!$A$1:$D$81,4,FALSE)</f>
        <v>25</v>
      </c>
      <c r="O717" s="14">
        <v>0</v>
      </c>
      <c r="P717" s="24">
        <f>LEN(E717)+LEN(K717)</f>
        <v>41</v>
      </c>
      <c r="Q717" s="24">
        <f>COUNTIFS(B:B,B716)</f>
        <v>163</v>
      </c>
      <c r="R717" s="24">
        <f>COUNTIFS(D:D,#REF!)</f>
        <v>0</v>
      </c>
    </row>
    <row r="718" spans="1:18" x14ac:dyDescent="0.3">
      <c r="A718" s="14">
        <v>714</v>
      </c>
      <c r="B718" s="21" t="s">
        <v>259</v>
      </c>
      <c r="C718" s="1" t="s">
        <v>1018</v>
      </c>
      <c r="D718" s="21" t="s">
        <v>4</v>
      </c>
      <c r="E718" s="1" t="s">
        <v>2465</v>
      </c>
      <c r="G718" s="14">
        <v>1</v>
      </c>
      <c r="H718" s="14">
        <v>0</v>
      </c>
      <c r="I718" s="22">
        <v>115</v>
      </c>
      <c r="J718" s="23">
        <f>VLOOKUP(I718,episodes!$A$1:$B$76,2,FALSE)</f>
        <v>16</v>
      </c>
      <c r="K718" s="16" t="str">
        <f>VLOOKUP(I718,episodes!$A$1:$E$81,5,FALSE)</f>
        <v>Shore Leave</v>
      </c>
      <c r="L718" s="16">
        <f>VLOOKUP(I718,episodes!$A$1:$D$81,3,FALSE)</f>
        <v>1</v>
      </c>
      <c r="M718" s="16">
        <f>VLOOKUP(I718,episodes!$A$1:$D$81,4,FALSE)</f>
        <v>15</v>
      </c>
      <c r="O718" s="14">
        <v>0</v>
      </c>
      <c r="P718" s="24">
        <f>LEN(E718)+LEN(K718)</f>
        <v>31</v>
      </c>
      <c r="Q718" s="24">
        <f>COUNTIFS(B:B,B717)</f>
        <v>163</v>
      </c>
      <c r="R718" s="24">
        <f>COUNTIFS(D:D,#REF!)</f>
        <v>0</v>
      </c>
    </row>
    <row r="719" spans="1:18" x14ac:dyDescent="0.3">
      <c r="A719" s="14">
        <v>842</v>
      </c>
      <c r="B719" s="21" t="s">
        <v>259</v>
      </c>
      <c r="C719" s="1" t="s">
        <v>1018</v>
      </c>
      <c r="D719" s="21" t="s">
        <v>4</v>
      </c>
      <c r="E719" s="1" t="s">
        <v>2465</v>
      </c>
      <c r="G719" s="14">
        <v>1</v>
      </c>
      <c r="H719" s="14">
        <v>0</v>
      </c>
      <c r="I719" s="22">
        <v>125</v>
      </c>
      <c r="J719" s="23">
        <f>VLOOKUP(I719,episodes!$A$1:$B$76,2,FALSE)</f>
        <v>26</v>
      </c>
      <c r="K719" s="16" t="str">
        <f>VLOOKUP(I719,episodes!$A$1:$E$81,5,FALSE)</f>
        <v>The Devil in the Dark</v>
      </c>
      <c r="L719" s="16">
        <f>VLOOKUP(I719,episodes!$A$1:$D$81,3,FALSE)</f>
        <v>1</v>
      </c>
      <c r="M719" s="16">
        <f>VLOOKUP(I719,episodes!$A$1:$D$81,4,FALSE)</f>
        <v>25</v>
      </c>
      <c r="O719" s="14">
        <v>0</v>
      </c>
      <c r="P719" s="24">
        <f>LEN(E719)+LEN(K719)</f>
        <v>41</v>
      </c>
      <c r="Q719" s="24">
        <f>COUNTIFS(B:B,B718)</f>
        <v>163</v>
      </c>
      <c r="R719" s="24">
        <f>COUNTIFS(D:D,#REF!)</f>
        <v>0</v>
      </c>
    </row>
    <row r="720" spans="1:18" x14ac:dyDescent="0.3">
      <c r="A720" s="14">
        <v>826</v>
      </c>
      <c r="B720" s="21" t="s">
        <v>259</v>
      </c>
      <c r="C720" s="1" t="s">
        <v>1018</v>
      </c>
      <c r="D720" s="21" t="s">
        <v>4</v>
      </c>
      <c r="E720" s="1" t="s">
        <v>2461</v>
      </c>
      <c r="G720" s="14">
        <v>1</v>
      </c>
      <c r="H720" s="14">
        <v>0</v>
      </c>
      <c r="I720" s="22">
        <v>124</v>
      </c>
      <c r="J720" s="23">
        <f>VLOOKUP(I720,episodes!$A$1:$B$76,2,FALSE)</f>
        <v>25</v>
      </c>
      <c r="K720" s="16" t="str">
        <f>VLOOKUP(I720,episodes!$A$1:$E$81,5,FALSE)</f>
        <v>This Side of Paradise</v>
      </c>
      <c r="L720" s="16">
        <f>VLOOKUP(I720,episodes!$A$1:$D$81,3,FALSE)</f>
        <v>1</v>
      </c>
      <c r="M720" s="16">
        <f>VLOOKUP(I720,episodes!$A$1:$D$81,4,FALSE)</f>
        <v>24</v>
      </c>
      <c r="O720" s="14">
        <v>0</v>
      </c>
      <c r="P720" s="24">
        <f>LEN(E720)+LEN(K720)</f>
        <v>64</v>
      </c>
      <c r="Q720" s="24">
        <f>COUNTIFS(B:B,B719)</f>
        <v>163</v>
      </c>
      <c r="R720" s="24">
        <f>COUNTIFS(D:D,#REF!)</f>
        <v>0</v>
      </c>
    </row>
    <row r="721" spans="1:18" x14ac:dyDescent="0.3">
      <c r="A721" s="14">
        <v>827</v>
      </c>
      <c r="B721" s="21" t="s">
        <v>259</v>
      </c>
      <c r="C721" s="1" t="s">
        <v>1018</v>
      </c>
      <c r="D721" s="21" t="s">
        <v>4</v>
      </c>
      <c r="E721" s="1" t="s">
        <v>2462</v>
      </c>
      <c r="G721" s="14">
        <v>1</v>
      </c>
      <c r="H721" s="14">
        <v>0</v>
      </c>
      <c r="I721" s="22">
        <v>124</v>
      </c>
      <c r="J721" s="23">
        <f>VLOOKUP(I721,episodes!$A$1:$B$76,2,FALSE)</f>
        <v>25</v>
      </c>
      <c r="K721" s="16" t="str">
        <f>VLOOKUP(I721,episodes!$A$1:$E$81,5,FALSE)</f>
        <v>This Side of Paradise</v>
      </c>
      <c r="L721" s="16">
        <f>VLOOKUP(I721,episodes!$A$1:$D$81,3,FALSE)</f>
        <v>1</v>
      </c>
      <c r="M721" s="16">
        <f>VLOOKUP(I721,episodes!$A$1:$D$81,4,FALSE)</f>
        <v>24</v>
      </c>
      <c r="O721" s="14">
        <v>0</v>
      </c>
      <c r="P721" s="24">
        <f>LEN(E721)+LEN(K721)</f>
        <v>64</v>
      </c>
      <c r="Q721" s="24">
        <f>COUNTIFS(B:B,B720)</f>
        <v>163</v>
      </c>
      <c r="R721" s="24">
        <f>COUNTIFS(D:D,#REF!)</f>
        <v>0</v>
      </c>
    </row>
    <row r="722" spans="1:18" x14ac:dyDescent="0.3">
      <c r="A722" s="14">
        <v>607</v>
      </c>
      <c r="B722" s="21" t="s">
        <v>259</v>
      </c>
      <c r="C722" s="1" t="s">
        <v>1018</v>
      </c>
      <c r="D722" s="21" t="s">
        <v>4</v>
      </c>
      <c r="E722" s="1" t="s">
        <v>2466</v>
      </c>
      <c r="G722" s="14">
        <v>1</v>
      </c>
      <c r="H722" s="14">
        <v>0</v>
      </c>
      <c r="I722" s="25">
        <v>106</v>
      </c>
      <c r="J722" s="23">
        <f>VLOOKUP(I722,episodes!$A$1:$B$76,2,FALSE)</f>
        <v>7</v>
      </c>
      <c r="K722" s="16" t="str">
        <f>VLOOKUP(I722,episodes!$A$1:$E$81,5,FALSE)</f>
        <v>Mudd's Women</v>
      </c>
      <c r="L722" s="16">
        <f>VLOOKUP(I722,episodes!$A$1:$D$81,3,FALSE)</f>
        <v>1</v>
      </c>
      <c r="M722" s="16">
        <f>VLOOKUP(I722,episodes!$A$1:$D$81,4,FALSE)</f>
        <v>6</v>
      </c>
      <c r="O722" s="14">
        <v>0</v>
      </c>
      <c r="P722" s="24">
        <f>LEN(E722)+LEN(K722)</f>
        <v>106</v>
      </c>
      <c r="Q722" s="24">
        <f>COUNTIFS(B:B,B721)</f>
        <v>163</v>
      </c>
      <c r="R722" s="24">
        <f>COUNTIFS(D:D,#REF!)</f>
        <v>0</v>
      </c>
    </row>
    <row r="723" spans="1:18" x14ac:dyDescent="0.3">
      <c r="A723" s="14">
        <v>775</v>
      </c>
      <c r="B723" s="21" t="s">
        <v>259</v>
      </c>
      <c r="C723" s="1" t="s">
        <v>1018</v>
      </c>
      <c r="D723" s="21" t="s">
        <v>4</v>
      </c>
      <c r="E723" s="1" t="s">
        <v>2467</v>
      </c>
      <c r="G723" s="14">
        <v>1</v>
      </c>
      <c r="H723" s="14">
        <v>0</v>
      </c>
      <c r="I723" s="22">
        <v>120</v>
      </c>
      <c r="J723" s="23">
        <f>VLOOKUP(I723,episodes!$A$1:$B$76,2,FALSE)</f>
        <v>21</v>
      </c>
      <c r="K723" s="16" t="str">
        <f>VLOOKUP(I723,episodes!$A$1:$E$81,5,FALSE)</f>
        <v>Court Martial</v>
      </c>
      <c r="L723" s="16">
        <f>VLOOKUP(I723,episodes!$A$1:$D$81,3,FALSE)</f>
        <v>1</v>
      </c>
      <c r="M723" s="16">
        <f>VLOOKUP(I723,episodes!$A$1:$D$81,4,FALSE)</f>
        <v>20</v>
      </c>
      <c r="O723" s="14">
        <v>0</v>
      </c>
      <c r="P723" s="24">
        <f>LEN(E723)+LEN(K723)</f>
        <v>29</v>
      </c>
      <c r="Q723" s="24">
        <f>COUNTIFS(B:B,B722)</f>
        <v>163</v>
      </c>
      <c r="R723" s="24">
        <f>COUNTIFS(D:D,#REF!)</f>
        <v>0</v>
      </c>
    </row>
    <row r="724" spans="1:18" x14ac:dyDescent="0.3">
      <c r="A724" s="14">
        <v>907</v>
      </c>
      <c r="B724" s="21" t="s">
        <v>259</v>
      </c>
      <c r="C724" s="1" t="s">
        <v>1018</v>
      </c>
      <c r="D724" s="21" t="s">
        <v>4</v>
      </c>
      <c r="E724" s="1" t="s">
        <v>2467</v>
      </c>
      <c r="G724" s="14">
        <v>1</v>
      </c>
      <c r="H724" s="14">
        <v>0</v>
      </c>
      <c r="I724" s="25">
        <v>204</v>
      </c>
      <c r="J724" s="23">
        <f>VLOOKUP(I724,episodes!$A$1:$B$81,2,FALSE)</f>
        <v>34</v>
      </c>
      <c r="K724" s="16" t="str">
        <f>VLOOKUP(I724,episodes!$A$1:$E$81,5,FALSE)</f>
        <v>Mirror, Mirror</v>
      </c>
      <c r="L724" s="16">
        <f>VLOOKUP(I724,episodes!$A$1:$D$81,3,FALSE)</f>
        <v>2</v>
      </c>
      <c r="M724" s="16">
        <f>VLOOKUP(I724,episodes!$A$1:$D$81,4,FALSE)</f>
        <v>4</v>
      </c>
      <c r="O724" s="14">
        <v>0</v>
      </c>
      <c r="P724" s="24">
        <f>LEN(E724)+LEN(K724)</f>
        <v>30</v>
      </c>
      <c r="Q724" s="24">
        <f>COUNTIFS(B:B,B723)</f>
        <v>163</v>
      </c>
      <c r="R724" s="24">
        <f>COUNTIFS(D:D,#REF!)</f>
        <v>0</v>
      </c>
    </row>
    <row r="725" spans="1:18" x14ac:dyDescent="0.3">
      <c r="A725" s="14">
        <v>2971</v>
      </c>
      <c r="B725" s="21" t="s">
        <v>259</v>
      </c>
      <c r="C725" s="21" t="s">
        <v>1018</v>
      </c>
      <c r="D725" s="21" t="s">
        <v>4</v>
      </c>
      <c r="E725" s="4" t="s">
        <v>2798</v>
      </c>
      <c r="F725" s="21"/>
      <c r="G725" s="14">
        <v>1</v>
      </c>
      <c r="H725" s="14">
        <v>0</v>
      </c>
      <c r="I725" s="7">
        <v>211</v>
      </c>
      <c r="J725" s="23">
        <f>VLOOKUP(I725,episodes!$A$1:$B$81,2,FALSE)</f>
        <v>41</v>
      </c>
      <c r="K725" s="16" t="str">
        <f>VLOOKUP(I725,episodes!$A$1:$E$81,5,FALSE)</f>
        <v>Friday's Child</v>
      </c>
      <c r="L725" s="16">
        <f>VLOOKUP(I725,episodes!$A$1:$D$81,3,FALSE)</f>
        <v>2</v>
      </c>
      <c r="M725" s="16">
        <f>VLOOKUP(I725,episodes!$A$1:$D$81,4,FALSE)</f>
        <v>11</v>
      </c>
      <c r="O725" s="14">
        <v>0</v>
      </c>
      <c r="P725" s="24">
        <f>LEN(E725)+LEN(K725)</f>
        <v>98</v>
      </c>
      <c r="Q725" s="24"/>
      <c r="R725" s="24"/>
    </row>
    <row r="726" spans="1:18" x14ac:dyDescent="0.3">
      <c r="A726" s="14">
        <v>924</v>
      </c>
      <c r="B726" s="21" t="s">
        <v>259</v>
      </c>
      <c r="C726" s="1" t="s">
        <v>1018</v>
      </c>
      <c r="D726" s="21" t="s">
        <v>4</v>
      </c>
      <c r="E726" s="1" t="s">
        <v>2468</v>
      </c>
      <c r="G726" s="14">
        <v>1</v>
      </c>
      <c r="H726" s="14">
        <v>0</v>
      </c>
      <c r="I726" s="25">
        <v>205</v>
      </c>
      <c r="J726" s="23">
        <f>VLOOKUP(I726,episodes!$A$1:$B$81,2,FALSE)</f>
        <v>35</v>
      </c>
      <c r="K726" s="16" t="str">
        <f>VLOOKUP(I726,episodes!$A$1:$E$81,5,FALSE)</f>
        <v>The Apple</v>
      </c>
      <c r="L726" s="16">
        <f>VLOOKUP(I726,episodes!$A$1:$D$81,3,FALSE)</f>
        <v>2</v>
      </c>
      <c r="M726" s="16">
        <f>VLOOKUP(I726,episodes!$A$1:$D$81,4,FALSE)</f>
        <v>5</v>
      </c>
      <c r="O726" s="14">
        <v>0</v>
      </c>
      <c r="P726" s="24">
        <f>LEN(E726)+LEN(K726)</f>
        <v>47</v>
      </c>
      <c r="Q726" s="24">
        <f>COUNTIFS(B:B,#REF!)</f>
        <v>0</v>
      </c>
      <c r="R726" s="24">
        <f>COUNTIFS(D:D,#REF!)</f>
        <v>0</v>
      </c>
    </row>
    <row r="727" spans="1:18" x14ac:dyDescent="0.3">
      <c r="A727" s="14">
        <v>555</v>
      </c>
      <c r="B727" s="21" t="s">
        <v>259</v>
      </c>
      <c r="C727" s="1" t="s">
        <v>1018</v>
      </c>
      <c r="D727" s="21" t="s">
        <v>4</v>
      </c>
      <c r="E727" s="1" t="s">
        <v>2479</v>
      </c>
      <c r="G727" s="14">
        <v>1</v>
      </c>
      <c r="H727" s="14">
        <v>0</v>
      </c>
      <c r="I727" s="22">
        <v>101</v>
      </c>
      <c r="J727" s="23">
        <f>VLOOKUP(I727,episodes!$A$1:$B$76,2,FALSE)</f>
        <v>2</v>
      </c>
      <c r="K727" s="16" t="str">
        <f>VLOOKUP(I727,episodes!$A$1:$E$81,5,FALSE)</f>
        <v>The Man Trap</v>
      </c>
      <c r="L727" s="16">
        <f>VLOOKUP(I727,episodes!$A$1:$D$81,3,FALSE)</f>
        <v>1</v>
      </c>
      <c r="M727" s="16">
        <f>VLOOKUP(I727,episodes!$A$1:$D$81,4,FALSE)</f>
        <v>1</v>
      </c>
      <c r="O727" s="14">
        <v>0</v>
      </c>
      <c r="P727" s="24">
        <f>LEN(E727)+LEN(K727)</f>
        <v>46</v>
      </c>
      <c r="Q727" s="24">
        <f>COUNTIFS(B:B,B726)</f>
        <v>163</v>
      </c>
      <c r="R727" s="24">
        <f>COUNTIFS(D:D,#REF!)</f>
        <v>0</v>
      </c>
    </row>
    <row r="728" spans="1:18" x14ac:dyDescent="0.3">
      <c r="A728" s="14">
        <v>715</v>
      </c>
      <c r="B728" s="21" t="s">
        <v>259</v>
      </c>
      <c r="C728" s="1" t="s">
        <v>1018</v>
      </c>
      <c r="D728" s="21" t="s">
        <v>4</v>
      </c>
      <c r="E728" s="1" t="s">
        <v>2480</v>
      </c>
      <c r="G728" s="14">
        <v>1</v>
      </c>
      <c r="H728" s="14">
        <v>0</v>
      </c>
      <c r="I728" s="22">
        <v>115</v>
      </c>
      <c r="J728" s="23">
        <f>VLOOKUP(I728,episodes!$A$1:$B$76,2,FALSE)</f>
        <v>16</v>
      </c>
      <c r="K728" s="16" t="str">
        <f>VLOOKUP(I728,episodes!$A$1:$E$81,5,FALSE)</f>
        <v>Shore Leave</v>
      </c>
      <c r="L728" s="16">
        <f>VLOOKUP(I728,episodes!$A$1:$D$81,3,FALSE)</f>
        <v>1</v>
      </c>
      <c r="M728" s="16">
        <f>VLOOKUP(I728,episodes!$A$1:$D$81,4,FALSE)</f>
        <v>15</v>
      </c>
      <c r="O728" s="14">
        <v>0</v>
      </c>
      <c r="P728" s="24">
        <f>LEN(E728)+LEN(K728)</f>
        <v>49</v>
      </c>
      <c r="Q728" s="24">
        <f>COUNTIFS(B:B,B727)</f>
        <v>163</v>
      </c>
      <c r="R728" s="24">
        <f>COUNTIFS(D:D,#REF!)</f>
        <v>0</v>
      </c>
    </row>
    <row r="729" spans="1:18" x14ac:dyDescent="0.3">
      <c r="A729" s="14">
        <v>716</v>
      </c>
      <c r="B729" s="21" t="s">
        <v>259</v>
      </c>
      <c r="C729" s="1" t="s">
        <v>1018</v>
      </c>
      <c r="D729" s="21" t="s">
        <v>4</v>
      </c>
      <c r="E729" s="1" t="s">
        <v>2481</v>
      </c>
      <c r="G729" s="14">
        <v>1</v>
      </c>
      <c r="H729" s="14">
        <v>0</v>
      </c>
      <c r="I729" s="22">
        <v>115</v>
      </c>
      <c r="J729" s="23">
        <f>VLOOKUP(I729,episodes!$A$1:$B$76,2,FALSE)</f>
        <v>16</v>
      </c>
      <c r="K729" s="16" t="str">
        <f>VLOOKUP(I729,episodes!$A$1:$E$81,5,FALSE)</f>
        <v>Shore Leave</v>
      </c>
      <c r="L729" s="16">
        <f>VLOOKUP(I729,episodes!$A$1:$D$81,3,FALSE)</f>
        <v>1</v>
      </c>
      <c r="M729" s="16">
        <f>VLOOKUP(I729,episodes!$A$1:$D$81,4,FALSE)</f>
        <v>15</v>
      </c>
      <c r="O729" s="14">
        <v>0</v>
      </c>
      <c r="P729" s="24">
        <f>LEN(E729)+LEN(K729)</f>
        <v>49</v>
      </c>
      <c r="Q729" s="24">
        <f>COUNTIFS(B:B,B728)</f>
        <v>163</v>
      </c>
      <c r="R729" s="24">
        <f>COUNTIFS(D:D,#REF!)</f>
        <v>0</v>
      </c>
    </row>
    <row r="730" spans="1:18" x14ac:dyDescent="0.3">
      <c r="A730" s="14">
        <v>925</v>
      </c>
      <c r="B730" s="21" t="s">
        <v>259</v>
      </c>
      <c r="C730" s="1" t="s">
        <v>1018</v>
      </c>
      <c r="D730" s="21" t="s">
        <v>4</v>
      </c>
      <c r="E730" s="1" t="s">
        <v>2469</v>
      </c>
      <c r="G730" s="14">
        <v>1</v>
      </c>
      <c r="H730" s="14">
        <v>0</v>
      </c>
      <c r="I730" s="25">
        <v>205</v>
      </c>
      <c r="J730" s="23">
        <f>VLOOKUP(I730,episodes!$A$1:$B$81,2,FALSE)</f>
        <v>35</v>
      </c>
      <c r="K730" s="16" t="str">
        <f>VLOOKUP(I730,episodes!$A$1:$E$81,5,FALSE)</f>
        <v>The Apple</v>
      </c>
      <c r="L730" s="16">
        <f>VLOOKUP(I730,episodes!$A$1:$D$81,3,FALSE)</f>
        <v>2</v>
      </c>
      <c r="M730" s="16">
        <f>VLOOKUP(I730,episodes!$A$1:$D$81,4,FALSE)</f>
        <v>5</v>
      </c>
      <c r="O730" s="14">
        <v>0</v>
      </c>
      <c r="P730" s="24">
        <f>LEN(E730)+LEN(K730)</f>
        <v>56</v>
      </c>
      <c r="Q730" s="24">
        <f>COUNTIFS(B:B,B729)</f>
        <v>163</v>
      </c>
      <c r="R730" s="24">
        <f>COUNTIFS(D:D,#REF!)</f>
        <v>0</v>
      </c>
    </row>
    <row r="731" spans="1:18" x14ac:dyDescent="0.3">
      <c r="A731" s="14">
        <v>926</v>
      </c>
      <c r="B731" s="21" t="s">
        <v>259</v>
      </c>
      <c r="C731" s="1" t="s">
        <v>1018</v>
      </c>
      <c r="D731" s="21" t="s">
        <v>4</v>
      </c>
      <c r="E731" s="1" t="s">
        <v>2470</v>
      </c>
      <c r="G731" s="14">
        <v>1</v>
      </c>
      <c r="H731" s="14">
        <v>0</v>
      </c>
      <c r="I731" s="25">
        <v>205</v>
      </c>
      <c r="J731" s="23">
        <f>VLOOKUP(I731,episodes!$A$1:$B$81,2,FALSE)</f>
        <v>35</v>
      </c>
      <c r="K731" s="16" t="str">
        <f>VLOOKUP(I731,episodes!$A$1:$E$81,5,FALSE)</f>
        <v>The Apple</v>
      </c>
      <c r="L731" s="16">
        <f>VLOOKUP(I731,episodes!$A$1:$D$81,3,FALSE)</f>
        <v>2</v>
      </c>
      <c r="M731" s="16">
        <f>VLOOKUP(I731,episodes!$A$1:$D$81,4,FALSE)</f>
        <v>5</v>
      </c>
      <c r="O731" s="14">
        <v>0</v>
      </c>
      <c r="P731" s="24">
        <f>LEN(E731)+LEN(K731)</f>
        <v>56</v>
      </c>
      <c r="Q731" s="24">
        <f>COUNTIFS(B:B,B730)</f>
        <v>163</v>
      </c>
      <c r="R731" s="24">
        <f>COUNTIFS(D:D,#REF!)</f>
        <v>0</v>
      </c>
    </row>
    <row r="732" spans="1:18" x14ac:dyDescent="0.3">
      <c r="A732" s="14">
        <v>927</v>
      </c>
      <c r="B732" s="21" t="s">
        <v>259</v>
      </c>
      <c r="C732" s="1" t="s">
        <v>1018</v>
      </c>
      <c r="D732" s="21" t="s">
        <v>4</v>
      </c>
      <c r="E732" s="1" t="s">
        <v>2471</v>
      </c>
      <c r="G732" s="14">
        <v>1</v>
      </c>
      <c r="H732" s="14">
        <v>0</v>
      </c>
      <c r="I732" s="25">
        <v>205</v>
      </c>
      <c r="J732" s="23">
        <f>VLOOKUP(I732,episodes!$A$1:$B$81,2,FALSE)</f>
        <v>35</v>
      </c>
      <c r="K732" s="16" t="str">
        <f>VLOOKUP(I732,episodes!$A$1:$E$81,5,FALSE)</f>
        <v>The Apple</v>
      </c>
      <c r="L732" s="16">
        <f>VLOOKUP(I732,episodes!$A$1:$D$81,3,FALSE)</f>
        <v>2</v>
      </c>
      <c r="M732" s="16">
        <f>VLOOKUP(I732,episodes!$A$1:$D$81,4,FALSE)</f>
        <v>5</v>
      </c>
      <c r="O732" s="14">
        <v>0</v>
      </c>
      <c r="P732" s="24">
        <f>LEN(E732)+LEN(K732)</f>
        <v>56</v>
      </c>
      <c r="Q732" s="24">
        <f>COUNTIFS(B:B,B731)</f>
        <v>163</v>
      </c>
      <c r="R732" s="24">
        <f>COUNTIFS(D:D,#REF!)</f>
        <v>0</v>
      </c>
    </row>
    <row r="733" spans="1:18" x14ac:dyDescent="0.3">
      <c r="A733" s="14">
        <v>928</v>
      </c>
      <c r="B733" s="21" t="s">
        <v>259</v>
      </c>
      <c r="C733" s="1" t="s">
        <v>1018</v>
      </c>
      <c r="D733" s="21" t="s">
        <v>4</v>
      </c>
      <c r="E733" s="1" t="s">
        <v>2472</v>
      </c>
      <c r="G733" s="14">
        <v>1</v>
      </c>
      <c r="H733" s="14">
        <v>0</v>
      </c>
      <c r="I733" s="25">
        <v>205</v>
      </c>
      <c r="J733" s="23">
        <f>VLOOKUP(I733,episodes!$A$1:$B$81,2,FALSE)</f>
        <v>35</v>
      </c>
      <c r="K733" s="16" t="str">
        <f>VLOOKUP(I733,episodes!$A$1:$E$81,5,FALSE)</f>
        <v>The Apple</v>
      </c>
      <c r="L733" s="16">
        <f>VLOOKUP(I733,episodes!$A$1:$D$81,3,FALSE)</f>
        <v>2</v>
      </c>
      <c r="M733" s="16">
        <f>VLOOKUP(I733,episodes!$A$1:$D$81,4,FALSE)</f>
        <v>5</v>
      </c>
      <c r="O733" s="14">
        <v>0</v>
      </c>
      <c r="P733" s="24">
        <f>LEN(E733)+LEN(K733)</f>
        <v>56</v>
      </c>
      <c r="Q733" s="24">
        <f>COUNTIFS(B:B,B732)</f>
        <v>163</v>
      </c>
      <c r="R733" s="24">
        <f>COUNTIFS(D:D,#REF!)</f>
        <v>0</v>
      </c>
    </row>
    <row r="734" spans="1:18" x14ac:dyDescent="0.3">
      <c r="A734" s="14">
        <v>896</v>
      </c>
      <c r="B734" s="21" t="s">
        <v>259</v>
      </c>
      <c r="C734" s="1" t="s">
        <v>1018</v>
      </c>
      <c r="D734" s="21" t="s">
        <v>4</v>
      </c>
      <c r="E734" s="1" t="s">
        <v>2473</v>
      </c>
      <c r="G734" s="14">
        <v>1</v>
      </c>
      <c r="H734" s="14">
        <v>0</v>
      </c>
      <c r="I734" s="22">
        <v>202</v>
      </c>
      <c r="J734" s="23">
        <f>VLOOKUP(I734,episodes!$A$1:$B$76,2,FALSE)</f>
        <v>32</v>
      </c>
      <c r="K734" s="16" t="str">
        <f>VLOOKUP(I734,episodes!$A$1:$E$81,5,FALSE)</f>
        <v>Who Mourns for Adonais?</v>
      </c>
      <c r="L734" s="16">
        <f>VLOOKUP(I734,episodes!$A$1:$D$81,3,FALSE)</f>
        <v>2</v>
      </c>
      <c r="M734" s="16">
        <f>VLOOKUP(I734,episodes!$A$1:$D$81,4,FALSE)</f>
        <v>2</v>
      </c>
      <c r="O734" s="14">
        <v>0</v>
      </c>
      <c r="P734" s="24">
        <f>LEN(E734)+LEN(K734)</f>
        <v>65</v>
      </c>
      <c r="Q734" s="24">
        <f>COUNTIFS(B:B,B733)</f>
        <v>163</v>
      </c>
      <c r="R734" s="24">
        <f>COUNTIFS(D:D,#REF!)</f>
        <v>0</v>
      </c>
    </row>
    <row r="735" spans="1:18" x14ac:dyDescent="0.3">
      <c r="A735" s="14">
        <v>908</v>
      </c>
      <c r="B735" s="21" t="s">
        <v>259</v>
      </c>
      <c r="C735" s="1" t="s">
        <v>1018</v>
      </c>
      <c r="D735" s="21" t="s">
        <v>4</v>
      </c>
      <c r="E735" s="1" t="s">
        <v>2473</v>
      </c>
      <c r="G735" s="14">
        <v>1</v>
      </c>
      <c r="H735" s="14">
        <v>0</v>
      </c>
      <c r="I735" s="25">
        <v>204</v>
      </c>
      <c r="J735" s="23">
        <f>VLOOKUP(I735,episodes!$A$1:$B$81,2,FALSE)</f>
        <v>34</v>
      </c>
      <c r="K735" s="16" t="str">
        <f>VLOOKUP(I735,episodes!$A$1:$E$81,5,FALSE)</f>
        <v>Mirror, Mirror</v>
      </c>
      <c r="L735" s="16">
        <f>VLOOKUP(I735,episodes!$A$1:$D$81,3,FALSE)</f>
        <v>2</v>
      </c>
      <c r="M735" s="16">
        <f>VLOOKUP(I735,episodes!$A$1:$D$81,4,FALSE)</f>
        <v>4</v>
      </c>
      <c r="O735" s="14">
        <v>0</v>
      </c>
      <c r="P735" s="24">
        <f>LEN(E735)+LEN(K735)</f>
        <v>56</v>
      </c>
      <c r="Q735" s="24">
        <f>COUNTIFS(B:B,B734)</f>
        <v>163</v>
      </c>
      <c r="R735" s="24">
        <f>COUNTIFS(D:D,#REF!)</f>
        <v>0</v>
      </c>
    </row>
    <row r="736" spans="1:18" x14ac:dyDescent="0.3">
      <c r="A736" s="14">
        <v>943</v>
      </c>
      <c r="B736" s="21" t="s">
        <v>259</v>
      </c>
      <c r="C736" s="1" t="s">
        <v>1018</v>
      </c>
      <c r="D736" s="21" t="s">
        <v>4</v>
      </c>
      <c r="E736" s="1" t="s">
        <v>2474</v>
      </c>
      <c r="G736" s="14">
        <v>1</v>
      </c>
      <c r="H736" s="14">
        <v>0</v>
      </c>
      <c r="I736" s="25">
        <v>206</v>
      </c>
      <c r="J736" s="23">
        <f>VLOOKUP(I736,episodes!$A$1:$B$81,2,FALSE)</f>
        <v>36</v>
      </c>
      <c r="K736" s="16" t="str">
        <f>VLOOKUP(I736,episodes!$A$1:$E$81,5,FALSE)</f>
        <v>The Doomsday Machine</v>
      </c>
      <c r="L736" s="16">
        <f>VLOOKUP(I736,episodes!$A$1:$D$81,3,FALSE)</f>
        <v>2</v>
      </c>
      <c r="M736" s="16">
        <f>VLOOKUP(I736,episodes!$A$1:$D$81,4,FALSE)</f>
        <v>6</v>
      </c>
      <c r="O736" s="14">
        <v>0</v>
      </c>
      <c r="P736" s="24">
        <f>LEN(E736)+LEN(K736)</f>
        <v>66</v>
      </c>
      <c r="Q736" s="24">
        <f>COUNTIFS(B:B,B735)</f>
        <v>163</v>
      </c>
      <c r="R736" s="24">
        <f>COUNTIFS(D:D,#REF!)</f>
        <v>0</v>
      </c>
    </row>
    <row r="737" spans="1:18" x14ac:dyDescent="0.3">
      <c r="A737" s="14">
        <v>944</v>
      </c>
      <c r="B737" s="21" t="s">
        <v>259</v>
      </c>
      <c r="C737" s="1" t="s">
        <v>1018</v>
      </c>
      <c r="D737" s="21" t="s">
        <v>4</v>
      </c>
      <c r="E737" s="1" t="s">
        <v>2475</v>
      </c>
      <c r="G737" s="14">
        <v>1</v>
      </c>
      <c r="H737" s="14">
        <v>0</v>
      </c>
      <c r="I737" s="25">
        <v>206</v>
      </c>
      <c r="J737" s="23">
        <f>VLOOKUP(I737,episodes!$A$1:$B$81,2,FALSE)</f>
        <v>36</v>
      </c>
      <c r="K737" s="16" t="str">
        <f>VLOOKUP(I737,episodes!$A$1:$E$81,5,FALSE)</f>
        <v>The Doomsday Machine</v>
      </c>
      <c r="L737" s="16">
        <f>VLOOKUP(I737,episodes!$A$1:$D$81,3,FALSE)</f>
        <v>2</v>
      </c>
      <c r="M737" s="16">
        <f>VLOOKUP(I737,episodes!$A$1:$D$81,4,FALSE)</f>
        <v>6</v>
      </c>
      <c r="O737" s="14">
        <v>0</v>
      </c>
      <c r="P737" s="24">
        <f>LEN(E737)+LEN(K737)</f>
        <v>66</v>
      </c>
      <c r="Q737" s="24">
        <f>COUNTIFS(B:B,B736)</f>
        <v>163</v>
      </c>
      <c r="R737" s="24">
        <f>COUNTIFS(D:D,#REF!)</f>
        <v>0</v>
      </c>
    </row>
    <row r="738" spans="1:18" x14ac:dyDescent="0.3">
      <c r="A738" s="14">
        <v>945</v>
      </c>
      <c r="B738" s="21" t="s">
        <v>259</v>
      </c>
      <c r="C738" s="1" t="s">
        <v>1018</v>
      </c>
      <c r="D738" s="21" t="s">
        <v>4</v>
      </c>
      <c r="E738" s="1" t="s">
        <v>2476</v>
      </c>
      <c r="G738" s="14">
        <v>1</v>
      </c>
      <c r="H738" s="14">
        <v>0</v>
      </c>
      <c r="I738" s="25">
        <v>206</v>
      </c>
      <c r="J738" s="23">
        <f>VLOOKUP(I738,episodes!$A$1:$B$81,2,FALSE)</f>
        <v>36</v>
      </c>
      <c r="K738" s="16" t="str">
        <f>VLOOKUP(I738,episodes!$A$1:$E$81,5,FALSE)</f>
        <v>The Doomsday Machine</v>
      </c>
      <c r="L738" s="16">
        <f>VLOOKUP(I738,episodes!$A$1:$D$81,3,FALSE)</f>
        <v>2</v>
      </c>
      <c r="M738" s="16">
        <f>VLOOKUP(I738,episodes!$A$1:$D$81,4,FALSE)</f>
        <v>6</v>
      </c>
      <c r="O738" s="14">
        <v>0</v>
      </c>
      <c r="P738" s="24">
        <f>LEN(E738)+LEN(K738)</f>
        <v>66</v>
      </c>
      <c r="Q738" s="24">
        <f>COUNTIFS(B:B,B737)</f>
        <v>163</v>
      </c>
      <c r="R738" s="24">
        <f>COUNTIFS(D:D,#REF!)</f>
        <v>0</v>
      </c>
    </row>
    <row r="739" spans="1:18" x14ac:dyDescent="0.3">
      <c r="A739" s="14">
        <v>946</v>
      </c>
      <c r="B739" s="21" t="s">
        <v>259</v>
      </c>
      <c r="C739" s="1" t="s">
        <v>1018</v>
      </c>
      <c r="D739" s="21" t="s">
        <v>4</v>
      </c>
      <c r="E739" s="1" t="s">
        <v>2477</v>
      </c>
      <c r="G739" s="14">
        <v>1</v>
      </c>
      <c r="H739" s="14">
        <v>0</v>
      </c>
      <c r="I739" s="25">
        <v>206</v>
      </c>
      <c r="J739" s="23">
        <f>VLOOKUP(I739,episodes!$A$1:$B$81,2,FALSE)</f>
        <v>36</v>
      </c>
      <c r="K739" s="16" t="str">
        <f>VLOOKUP(I739,episodes!$A$1:$E$81,5,FALSE)</f>
        <v>The Doomsday Machine</v>
      </c>
      <c r="L739" s="16">
        <f>VLOOKUP(I739,episodes!$A$1:$D$81,3,FALSE)</f>
        <v>2</v>
      </c>
      <c r="M739" s="16">
        <f>VLOOKUP(I739,episodes!$A$1:$D$81,4,FALSE)</f>
        <v>6</v>
      </c>
      <c r="O739" s="14">
        <v>0</v>
      </c>
      <c r="P739" s="24">
        <f>LEN(E739)+LEN(K739)</f>
        <v>66</v>
      </c>
      <c r="Q739" s="24">
        <f>COUNTIFS(B:B,B738)</f>
        <v>163</v>
      </c>
      <c r="R739" s="24">
        <f>COUNTIFS(D:D,#REF!)</f>
        <v>0</v>
      </c>
    </row>
    <row r="740" spans="1:18" x14ac:dyDescent="0.3">
      <c r="A740" s="14">
        <v>947</v>
      </c>
      <c r="B740" s="21" t="s">
        <v>259</v>
      </c>
      <c r="C740" s="1" t="s">
        <v>1018</v>
      </c>
      <c r="D740" s="21" t="s">
        <v>4</v>
      </c>
      <c r="E740" s="1" t="s">
        <v>2478</v>
      </c>
      <c r="G740" s="14">
        <v>1</v>
      </c>
      <c r="H740" s="14">
        <v>0</v>
      </c>
      <c r="I740" s="25">
        <v>206</v>
      </c>
      <c r="J740" s="23">
        <f>VLOOKUP(I740,episodes!$A$1:$B$81,2,FALSE)</f>
        <v>36</v>
      </c>
      <c r="K740" s="16" t="str">
        <f>VLOOKUP(I740,episodes!$A$1:$E$81,5,FALSE)</f>
        <v>The Doomsday Machine</v>
      </c>
      <c r="L740" s="16">
        <f>VLOOKUP(I740,episodes!$A$1:$D$81,3,FALSE)</f>
        <v>2</v>
      </c>
      <c r="M740" s="16">
        <f>VLOOKUP(I740,episodes!$A$1:$D$81,4,FALSE)</f>
        <v>6</v>
      </c>
      <c r="O740" s="14">
        <v>0</v>
      </c>
      <c r="P740" s="24">
        <f>LEN(E740)+LEN(K740)</f>
        <v>66</v>
      </c>
      <c r="Q740" s="24">
        <f>COUNTIFS(B:B,B739)</f>
        <v>163</v>
      </c>
      <c r="R740" s="24">
        <f>COUNTIFS(D:D,#REF!)</f>
        <v>0</v>
      </c>
    </row>
    <row r="741" spans="1:18" x14ac:dyDescent="0.3">
      <c r="A741" s="14">
        <v>948</v>
      </c>
      <c r="B741" s="21" t="s">
        <v>259</v>
      </c>
      <c r="C741" s="1" t="s">
        <v>1018</v>
      </c>
      <c r="D741" s="21" t="s">
        <v>4</v>
      </c>
      <c r="E741" s="1" t="s">
        <v>932</v>
      </c>
      <c r="G741" s="14">
        <v>1</v>
      </c>
      <c r="H741" s="14">
        <v>0</v>
      </c>
      <c r="I741" s="25">
        <v>206</v>
      </c>
      <c r="J741" s="23">
        <f>VLOOKUP(I741,episodes!$A$1:$B$81,2,FALSE)</f>
        <v>36</v>
      </c>
      <c r="K741" s="16" t="str">
        <f>VLOOKUP(I741,episodes!$A$1:$E$81,5,FALSE)</f>
        <v>The Doomsday Machine</v>
      </c>
      <c r="L741" s="16">
        <f>VLOOKUP(I741,episodes!$A$1:$D$81,3,FALSE)</f>
        <v>2</v>
      </c>
      <c r="M741" s="16">
        <f>VLOOKUP(I741,episodes!$A$1:$D$81,4,FALSE)</f>
        <v>6</v>
      </c>
      <c r="O741" s="14">
        <v>0</v>
      </c>
      <c r="P741" s="24">
        <f>LEN(E741)+LEN(K741)</f>
        <v>50</v>
      </c>
      <c r="Q741" s="24">
        <f>COUNTIFS(B:B,B740)</f>
        <v>163</v>
      </c>
      <c r="R741" s="24">
        <f>COUNTIFS(D:D,#REF!)</f>
        <v>0</v>
      </c>
    </row>
    <row r="742" spans="1:18" x14ac:dyDescent="0.3">
      <c r="A742" s="14">
        <v>2970</v>
      </c>
      <c r="B742" s="21" t="s">
        <v>259</v>
      </c>
      <c r="C742" s="21" t="s">
        <v>1018</v>
      </c>
      <c r="D742" s="21" t="s">
        <v>4</v>
      </c>
      <c r="E742" s="4" t="s">
        <v>2797</v>
      </c>
      <c r="G742" s="14">
        <v>1</v>
      </c>
      <c r="H742" s="14">
        <v>0</v>
      </c>
      <c r="I742" s="7">
        <v>211</v>
      </c>
      <c r="J742" s="23">
        <f>VLOOKUP(I742,episodes!$A$1:$B$81,2,FALSE)</f>
        <v>41</v>
      </c>
      <c r="K742" s="16" t="str">
        <f>VLOOKUP(I742,episodes!$A$1:$E$81,5,FALSE)</f>
        <v>Friday's Child</v>
      </c>
      <c r="L742" s="16">
        <f>VLOOKUP(I742,episodes!$A$1:$D$81,3,FALSE)</f>
        <v>2</v>
      </c>
      <c r="M742" s="16">
        <f>VLOOKUP(I742,episodes!$A$1:$D$81,4,FALSE)</f>
        <v>11</v>
      </c>
      <c r="O742" s="14">
        <v>0</v>
      </c>
      <c r="P742" s="24">
        <f>LEN(E742)+LEN(K742)</f>
        <v>130</v>
      </c>
      <c r="Q742" s="24"/>
      <c r="R742" s="24"/>
    </row>
    <row r="743" spans="1:18" x14ac:dyDescent="0.3">
      <c r="A743" s="14">
        <v>1455</v>
      </c>
      <c r="B743" s="21" t="s">
        <v>259</v>
      </c>
      <c r="C743" s="1" t="s">
        <v>1018</v>
      </c>
      <c r="D743" s="1" t="s">
        <v>60</v>
      </c>
      <c r="E743" s="1" t="s">
        <v>2482</v>
      </c>
      <c r="G743" s="14">
        <v>0</v>
      </c>
      <c r="H743" s="14">
        <v>0</v>
      </c>
      <c r="I743" s="22">
        <v>126</v>
      </c>
      <c r="J743" s="23">
        <f>VLOOKUP(I743,episodes!$A$1:$B$76,2,FALSE)</f>
        <v>27</v>
      </c>
      <c r="K743" s="16" t="str">
        <f>VLOOKUP(I743,episodes!$A$1:$E$81,5,FALSE)</f>
        <v>Errand of Mercy</v>
      </c>
      <c r="L743" s="16">
        <f>VLOOKUP(I743,episodes!$A$1:$D$81,3,FALSE)</f>
        <v>1</v>
      </c>
      <c r="M743" s="16">
        <f>VLOOKUP(I743,episodes!$A$1:$D$81,4,FALSE)</f>
        <v>26</v>
      </c>
      <c r="O743" s="14">
        <v>0</v>
      </c>
      <c r="P743" s="24">
        <f>LEN(E743)+LEN(K743)</f>
        <v>40</v>
      </c>
      <c r="Q743" s="24">
        <f>COUNTIFS(B:B,B742)</f>
        <v>163</v>
      </c>
      <c r="R743" s="24">
        <f>COUNTIFS(D:D,#REF!)</f>
        <v>0</v>
      </c>
    </row>
    <row r="744" spans="1:18" x14ac:dyDescent="0.3">
      <c r="A744" s="14">
        <v>1618</v>
      </c>
      <c r="B744" s="21" t="s">
        <v>259</v>
      </c>
      <c r="C744" s="1" t="s">
        <v>1018</v>
      </c>
      <c r="D744" s="21" t="s">
        <v>8</v>
      </c>
      <c r="E744" s="1" t="s">
        <v>2487</v>
      </c>
      <c r="G744" s="14">
        <v>0</v>
      </c>
      <c r="H744" s="14">
        <v>1</v>
      </c>
      <c r="I744" s="22">
        <v>129</v>
      </c>
      <c r="J744" s="23">
        <f>VLOOKUP(I744,episodes!$A$1:$B$76,2,FALSE)</f>
        <v>30</v>
      </c>
      <c r="K744" s="16" t="str">
        <f>VLOOKUP(I744,episodes!$A$1:$E$81,5,FALSE)</f>
        <v>Operation: Annihilate!</v>
      </c>
      <c r="L744" s="16">
        <f>VLOOKUP(I744,episodes!$A$1:$D$81,3,FALSE)</f>
        <v>1</v>
      </c>
      <c r="M744" s="16">
        <f>VLOOKUP(I744,episodes!$A$1:$D$81,4,FALSE)</f>
        <v>29</v>
      </c>
      <c r="O744" s="14">
        <v>0</v>
      </c>
      <c r="P744" s="24">
        <f>LEN(E744)+LEN(K744)</f>
        <v>44</v>
      </c>
      <c r="Q744" s="24">
        <f>COUNTIFS(B:B,B743)</f>
        <v>163</v>
      </c>
      <c r="R744" s="24">
        <f>COUNTIFS(D:D,#REF!)</f>
        <v>0</v>
      </c>
    </row>
    <row r="745" spans="1:18" x14ac:dyDescent="0.3">
      <c r="A745" s="14">
        <v>1548</v>
      </c>
      <c r="B745" s="21" t="s">
        <v>259</v>
      </c>
      <c r="C745" s="1" t="s">
        <v>1018</v>
      </c>
      <c r="D745" s="21" t="s">
        <v>8</v>
      </c>
      <c r="E745" s="1" t="s">
        <v>2484</v>
      </c>
      <c r="G745" s="14">
        <v>0</v>
      </c>
      <c r="H745" s="14">
        <v>1</v>
      </c>
      <c r="I745" s="25">
        <v>108</v>
      </c>
      <c r="J745" s="23">
        <f>VLOOKUP(I745,episodes!$A$1:$B$76,2,FALSE)</f>
        <v>9</v>
      </c>
      <c r="K745" s="16" t="str">
        <f>VLOOKUP(I745,episodes!$A$1:$E$81,5,FALSE)</f>
        <v>Miri</v>
      </c>
      <c r="L745" s="16">
        <f>VLOOKUP(I745,episodes!$A$1:$D$81,3,FALSE)</f>
        <v>1</v>
      </c>
      <c r="M745" s="16">
        <f>VLOOKUP(I745,episodes!$A$1:$D$81,4,FALSE)</f>
        <v>8</v>
      </c>
      <c r="O745" s="14">
        <v>0</v>
      </c>
      <c r="P745" s="24">
        <f>LEN(E745)+LEN(K745)</f>
        <v>30</v>
      </c>
      <c r="Q745" s="24">
        <f>COUNTIFS(B:B,B744)</f>
        <v>163</v>
      </c>
      <c r="R745" s="24">
        <f>COUNTIFS(D:D,#REF!)</f>
        <v>0</v>
      </c>
    </row>
    <row r="746" spans="1:18" x14ac:dyDescent="0.3">
      <c r="A746" s="14">
        <v>1595</v>
      </c>
      <c r="B746" s="21" t="s">
        <v>259</v>
      </c>
      <c r="C746" s="1" t="s">
        <v>1018</v>
      </c>
      <c r="D746" s="21" t="s">
        <v>8</v>
      </c>
      <c r="E746" s="1" t="s">
        <v>2484</v>
      </c>
      <c r="G746" s="14">
        <v>0</v>
      </c>
      <c r="H746" s="14">
        <v>1</v>
      </c>
      <c r="I746" s="22">
        <v>124</v>
      </c>
      <c r="J746" s="23">
        <f>VLOOKUP(I746,episodes!$A$1:$B$76,2,FALSE)</f>
        <v>25</v>
      </c>
      <c r="K746" s="16" t="str">
        <f>VLOOKUP(I746,episodes!$A$1:$E$81,5,FALSE)</f>
        <v>This Side of Paradise</v>
      </c>
      <c r="L746" s="16">
        <f>VLOOKUP(I746,episodes!$A$1:$D$81,3,FALSE)</f>
        <v>1</v>
      </c>
      <c r="M746" s="16">
        <f>VLOOKUP(I746,episodes!$A$1:$D$81,4,FALSE)</f>
        <v>24</v>
      </c>
      <c r="O746" s="14">
        <v>0</v>
      </c>
      <c r="P746" s="24">
        <f>LEN(E746)+LEN(K746)</f>
        <v>47</v>
      </c>
      <c r="Q746" s="24">
        <f>COUNTIFS(B:B,B745)</f>
        <v>163</v>
      </c>
      <c r="R746" s="24">
        <f>COUNTIFS(D:D,#REF!)</f>
        <v>0</v>
      </c>
    </row>
    <row r="747" spans="1:18" x14ac:dyDescent="0.3">
      <c r="A747" s="14">
        <v>1549</v>
      </c>
      <c r="B747" s="21" t="s">
        <v>259</v>
      </c>
      <c r="C747" s="1" t="s">
        <v>1018</v>
      </c>
      <c r="D747" s="21" t="s">
        <v>8</v>
      </c>
      <c r="E747" s="1" t="s">
        <v>2485</v>
      </c>
      <c r="G747" s="14">
        <v>0</v>
      </c>
      <c r="H747" s="14">
        <v>1</v>
      </c>
      <c r="I747" s="25">
        <v>108</v>
      </c>
      <c r="J747" s="23">
        <f>VLOOKUP(I747,episodes!$A$1:$B$76,2,FALSE)</f>
        <v>9</v>
      </c>
      <c r="K747" s="16" t="str">
        <f>VLOOKUP(I747,episodes!$A$1:$E$81,5,FALSE)</f>
        <v>Miri</v>
      </c>
      <c r="L747" s="16">
        <f>VLOOKUP(I747,episodes!$A$1:$D$81,3,FALSE)</f>
        <v>1</v>
      </c>
      <c r="M747" s="16">
        <f>VLOOKUP(I747,episodes!$A$1:$D$81,4,FALSE)</f>
        <v>8</v>
      </c>
      <c r="O747" s="14">
        <v>0</v>
      </c>
      <c r="P747" s="24">
        <f>LEN(E747)+LEN(K747)</f>
        <v>30</v>
      </c>
      <c r="Q747" s="24">
        <f>COUNTIFS(B:B,B746)</f>
        <v>163</v>
      </c>
      <c r="R747" s="24">
        <f>COUNTIFS(D:D,#REF!)</f>
        <v>0</v>
      </c>
    </row>
    <row r="748" spans="1:18" s="21" customFormat="1" x14ac:dyDescent="0.3">
      <c r="A748" s="14">
        <v>1596</v>
      </c>
      <c r="B748" s="21" t="s">
        <v>259</v>
      </c>
      <c r="C748" s="1" t="s">
        <v>1018</v>
      </c>
      <c r="D748" s="21" t="s">
        <v>8</v>
      </c>
      <c r="E748" s="1" t="s">
        <v>2485</v>
      </c>
      <c r="F748" s="1"/>
      <c r="G748" s="14">
        <v>0</v>
      </c>
      <c r="H748" s="14">
        <v>1</v>
      </c>
      <c r="I748" s="22">
        <v>124</v>
      </c>
      <c r="J748" s="23">
        <f>VLOOKUP(I748,episodes!$A$1:$B$76,2,FALSE)</f>
        <v>25</v>
      </c>
      <c r="K748" s="16" t="str">
        <f>VLOOKUP(I748,episodes!$A$1:$E$81,5,FALSE)</f>
        <v>This Side of Paradise</v>
      </c>
      <c r="L748" s="16">
        <f>VLOOKUP(I748,episodes!$A$1:$D$81,3,FALSE)</f>
        <v>1</v>
      </c>
      <c r="M748" s="16">
        <f>VLOOKUP(I748,episodes!$A$1:$D$81,4,FALSE)</f>
        <v>24</v>
      </c>
      <c r="N748" s="14"/>
      <c r="O748" s="14">
        <v>0</v>
      </c>
      <c r="P748" s="24">
        <f>LEN(E748)+LEN(K748)</f>
        <v>47</v>
      </c>
      <c r="Q748" s="24">
        <f>COUNTIFS(B:B,B747)</f>
        <v>163</v>
      </c>
      <c r="R748" s="24">
        <f>COUNTIFS(D:D,#REF!)</f>
        <v>0</v>
      </c>
    </row>
    <row r="749" spans="1:18" x14ac:dyDescent="0.3">
      <c r="A749" s="14">
        <v>1597</v>
      </c>
      <c r="B749" s="21" t="s">
        <v>259</v>
      </c>
      <c r="C749" s="1" t="s">
        <v>1018</v>
      </c>
      <c r="D749" s="21" t="s">
        <v>8</v>
      </c>
      <c r="E749" s="1" t="s">
        <v>2486</v>
      </c>
      <c r="G749" s="14">
        <v>0</v>
      </c>
      <c r="H749" s="14">
        <v>1</v>
      </c>
      <c r="I749" s="22">
        <v>124</v>
      </c>
      <c r="J749" s="23">
        <f>VLOOKUP(I749,episodes!$A$1:$B$76,2,FALSE)</f>
        <v>25</v>
      </c>
      <c r="K749" s="16" t="str">
        <f>VLOOKUP(I749,episodes!$A$1:$E$81,5,FALSE)</f>
        <v>This Side of Paradise</v>
      </c>
      <c r="L749" s="16">
        <f>VLOOKUP(I749,episodes!$A$1:$D$81,3,FALSE)</f>
        <v>1</v>
      </c>
      <c r="M749" s="16">
        <f>VLOOKUP(I749,episodes!$A$1:$D$81,4,FALSE)</f>
        <v>24</v>
      </c>
      <c r="O749" s="14">
        <v>0</v>
      </c>
      <c r="P749" s="24">
        <f>LEN(E749)+LEN(K749)</f>
        <v>47</v>
      </c>
      <c r="Q749" s="24">
        <f>COUNTIFS(B:B,B748)</f>
        <v>163</v>
      </c>
      <c r="R749" s="24">
        <f>COUNTIFS(D:D,#REF!)</f>
        <v>0</v>
      </c>
    </row>
    <row r="750" spans="1:18" x14ac:dyDescent="0.3">
      <c r="A750" s="14">
        <v>1605</v>
      </c>
      <c r="B750" s="21" t="s">
        <v>259</v>
      </c>
      <c r="C750" s="1" t="s">
        <v>1018</v>
      </c>
      <c r="D750" s="21" t="s">
        <v>8</v>
      </c>
      <c r="E750" s="1" t="s">
        <v>695</v>
      </c>
      <c r="G750" s="14">
        <v>0</v>
      </c>
      <c r="H750" s="14">
        <v>1</v>
      </c>
      <c r="I750" s="22">
        <v>125</v>
      </c>
      <c r="J750" s="23">
        <f>VLOOKUP(I750,episodes!$A$1:$B$76,2,FALSE)</f>
        <v>26</v>
      </c>
      <c r="K750" s="16" t="str">
        <f>VLOOKUP(I750,episodes!$A$1:$E$81,5,FALSE)</f>
        <v>The Devil in the Dark</v>
      </c>
      <c r="L750" s="16">
        <f>VLOOKUP(I750,episodes!$A$1:$D$81,3,FALSE)</f>
        <v>1</v>
      </c>
      <c r="M750" s="16">
        <f>VLOOKUP(I750,episodes!$A$1:$D$81,4,FALSE)</f>
        <v>25</v>
      </c>
      <c r="O750" s="14">
        <v>0</v>
      </c>
      <c r="P750" s="24">
        <f>LEN(E750)+LEN(K750)</f>
        <v>95</v>
      </c>
      <c r="Q750" s="24">
        <f>COUNTIFS(B:B,B749)</f>
        <v>163</v>
      </c>
      <c r="R750" s="24">
        <f>COUNTIFS(D:D,#REF!)</f>
        <v>0</v>
      </c>
    </row>
    <row r="751" spans="1:18" x14ac:dyDescent="0.3">
      <c r="A751" s="14">
        <v>1575</v>
      </c>
      <c r="B751" s="21" t="s">
        <v>259</v>
      </c>
      <c r="C751" s="1" t="s">
        <v>1018</v>
      </c>
      <c r="D751" s="21" t="s">
        <v>8</v>
      </c>
      <c r="E751" s="1" t="s">
        <v>2483</v>
      </c>
      <c r="G751" s="14">
        <v>0</v>
      </c>
      <c r="H751" s="14">
        <v>1</v>
      </c>
      <c r="I751" s="22">
        <v>117</v>
      </c>
      <c r="J751" s="23">
        <f>VLOOKUP(I751,episodes!$A$1:$B$76,2,FALSE)</f>
        <v>18</v>
      </c>
      <c r="K751" s="16" t="str">
        <f>VLOOKUP(I751,episodes!$A$1:$E$81,5,FALSE)</f>
        <v>The Squire of Gothos</v>
      </c>
      <c r="L751" s="16">
        <f>VLOOKUP(I751,episodes!$A$1:$D$81,3,FALSE)</f>
        <v>1</v>
      </c>
      <c r="M751" s="16">
        <f>VLOOKUP(I751,episodes!$A$1:$D$81,4,FALSE)</f>
        <v>17</v>
      </c>
      <c r="O751" s="14">
        <v>0</v>
      </c>
      <c r="P751" s="24">
        <f>LEN(E751)+LEN(K751)</f>
        <v>50</v>
      </c>
      <c r="Q751" s="24">
        <f>COUNTIFS(B:B,B750)</f>
        <v>163</v>
      </c>
      <c r="R751" s="24">
        <f>COUNTIFS(D:D,#REF!)</f>
        <v>0</v>
      </c>
    </row>
    <row r="752" spans="1:18" x14ac:dyDescent="0.3">
      <c r="A752" s="14">
        <v>1629</v>
      </c>
      <c r="B752" s="21" t="s">
        <v>259</v>
      </c>
      <c r="C752" s="1" t="s">
        <v>1018</v>
      </c>
      <c r="D752" s="21" t="s">
        <v>8</v>
      </c>
      <c r="E752" s="1" t="s">
        <v>2483</v>
      </c>
      <c r="G752" s="14">
        <v>0</v>
      </c>
      <c r="H752" s="14">
        <v>1</v>
      </c>
      <c r="I752" s="22">
        <v>201</v>
      </c>
      <c r="J752" s="23">
        <f>VLOOKUP(I752,episodes!$A$1:$B$76,2,FALSE)</f>
        <v>31</v>
      </c>
      <c r="K752" s="16" t="str">
        <f>VLOOKUP(I752,episodes!$A$1:$E$81,5,FALSE)</f>
        <v>Amok Time</v>
      </c>
      <c r="L752" s="16">
        <f>VLOOKUP(I752,episodes!$A$1:$D$81,3,FALSE)</f>
        <v>2</v>
      </c>
      <c r="M752" s="16">
        <f>VLOOKUP(I752,episodes!$A$1:$D$81,4,FALSE)</f>
        <v>1</v>
      </c>
      <c r="O752" s="14">
        <v>0</v>
      </c>
      <c r="P752" s="24">
        <f>LEN(E752)+LEN(K752)</f>
        <v>39</v>
      </c>
      <c r="Q752" s="24">
        <f>COUNTIFS(B:B,B751)</f>
        <v>163</v>
      </c>
      <c r="R752" s="24">
        <f>COUNTIFS(D:D,#REF!)</f>
        <v>0</v>
      </c>
    </row>
    <row r="753" spans="1:18" x14ac:dyDescent="0.3">
      <c r="A753" s="14">
        <v>1568</v>
      </c>
      <c r="B753" s="21" t="s">
        <v>259</v>
      </c>
      <c r="C753" s="1" t="s">
        <v>1018</v>
      </c>
      <c r="D753" s="21" t="s">
        <v>8</v>
      </c>
      <c r="E753" s="1" t="s">
        <v>2488</v>
      </c>
      <c r="G753" s="14">
        <v>0</v>
      </c>
      <c r="H753" s="14">
        <v>1</v>
      </c>
      <c r="I753" s="22">
        <v>115</v>
      </c>
      <c r="J753" s="23">
        <f>VLOOKUP(I753,episodes!$A$1:$B$76,2,FALSE)</f>
        <v>16</v>
      </c>
      <c r="K753" s="16" t="str">
        <f>VLOOKUP(I753,episodes!$A$1:$E$81,5,FALSE)</f>
        <v>Shore Leave</v>
      </c>
      <c r="L753" s="16">
        <f>VLOOKUP(I753,episodes!$A$1:$D$81,3,FALSE)</f>
        <v>1</v>
      </c>
      <c r="M753" s="16">
        <f>VLOOKUP(I753,episodes!$A$1:$D$81,4,FALSE)</f>
        <v>15</v>
      </c>
      <c r="O753" s="14">
        <v>0</v>
      </c>
      <c r="P753" s="24">
        <f>LEN(E753)+LEN(K753)</f>
        <v>27</v>
      </c>
      <c r="Q753" s="24">
        <f>COUNTIFS(B:B,B752)</f>
        <v>163</v>
      </c>
      <c r="R753" s="24">
        <f>COUNTIFS(D:D,#REF!)</f>
        <v>0</v>
      </c>
    </row>
    <row r="754" spans="1:18" x14ac:dyDescent="0.3">
      <c r="A754" s="14">
        <v>1598</v>
      </c>
      <c r="B754" s="21" t="s">
        <v>259</v>
      </c>
      <c r="C754" s="1" t="s">
        <v>1018</v>
      </c>
      <c r="D754" s="21" t="s">
        <v>8</v>
      </c>
      <c r="E754" s="1" t="s">
        <v>2488</v>
      </c>
      <c r="G754" s="14">
        <v>0</v>
      </c>
      <c r="H754" s="14">
        <v>1</v>
      </c>
      <c r="I754" s="22">
        <v>124</v>
      </c>
      <c r="J754" s="23">
        <f>VLOOKUP(I754,episodes!$A$1:$B$76,2,FALSE)</f>
        <v>25</v>
      </c>
      <c r="K754" s="16" t="str">
        <f>VLOOKUP(I754,episodes!$A$1:$E$81,5,FALSE)</f>
        <v>This Side of Paradise</v>
      </c>
      <c r="L754" s="16">
        <f>VLOOKUP(I754,episodes!$A$1:$D$81,3,FALSE)</f>
        <v>1</v>
      </c>
      <c r="M754" s="16">
        <f>VLOOKUP(I754,episodes!$A$1:$D$81,4,FALSE)</f>
        <v>24</v>
      </c>
      <c r="O754" s="14">
        <v>0</v>
      </c>
      <c r="P754" s="24">
        <f>LEN(E754)+LEN(K754)</f>
        <v>37</v>
      </c>
      <c r="Q754" s="24">
        <f>COUNTIFS(B:B,B753)</f>
        <v>163</v>
      </c>
      <c r="R754" s="24">
        <f>COUNTIFS(D:D,#REF!)</f>
        <v>0</v>
      </c>
    </row>
    <row r="755" spans="1:18" x14ac:dyDescent="0.3">
      <c r="A755" s="14">
        <v>1569</v>
      </c>
      <c r="B755" s="21" t="s">
        <v>259</v>
      </c>
      <c r="C755" s="1" t="s">
        <v>1018</v>
      </c>
      <c r="D755" s="21" t="s">
        <v>8</v>
      </c>
      <c r="E755" s="1" t="s">
        <v>2489</v>
      </c>
      <c r="G755" s="14">
        <v>0</v>
      </c>
      <c r="H755" s="14">
        <v>1</v>
      </c>
      <c r="I755" s="22">
        <v>115</v>
      </c>
      <c r="J755" s="23">
        <f>VLOOKUP(I755,episodes!$A$1:$B$76,2,FALSE)</f>
        <v>16</v>
      </c>
      <c r="K755" s="16" t="str">
        <f>VLOOKUP(I755,episodes!$A$1:$E$81,5,FALSE)</f>
        <v>Shore Leave</v>
      </c>
      <c r="L755" s="16">
        <f>VLOOKUP(I755,episodes!$A$1:$D$81,3,FALSE)</f>
        <v>1</v>
      </c>
      <c r="M755" s="16">
        <f>VLOOKUP(I755,episodes!$A$1:$D$81,4,FALSE)</f>
        <v>15</v>
      </c>
      <c r="O755" s="14">
        <v>0</v>
      </c>
      <c r="P755" s="24">
        <f>LEN(E755)+LEN(K755)</f>
        <v>32</v>
      </c>
      <c r="Q755" s="24">
        <f>COUNTIFS(B:B,B754)</f>
        <v>163</v>
      </c>
      <c r="R755" s="24">
        <f>COUNTIFS(D:D,#REF!)</f>
        <v>0</v>
      </c>
    </row>
    <row r="756" spans="1:18" x14ac:dyDescent="0.3">
      <c r="A756" s="14">
        <v>1642</v>
      </c>
      <c r="B756" s="21" t="s">
        <v>259</v>
      </c>
      <c r="C756" s="1" t="s">
        <v>1018</v>
      </c>
      <c r="D756" s="21" t="s">
        <v>8</v>
      </c>
      <c r="E756" s="1" t="s">
        <v>2490</v>
      </c>
      <c r="G756" s="14">
        <v>0</v>
      </c>
      <c r="H756" s="14">
        <v>1</v>
      </c>
      <c r="I756" s="25">
        <v>204</v>
      </c>
      <c r="J756" s="23">
        <f>VLOOKUP(I756,episodes!$A$1:$B$81,2,FALSE)</f>
        <v>34</v>
      </c>
      <c r="K756" s="16" t="str">
        <f>VLOOKUP(I756,episodes!$A$1:$E$81,5,FALSE)</f>
        <v>Mirror, Mirror</v>
      </c>
      <c r="L756" s="16">
        <f>VLOOKUP(I756,episodes!$A$1:$D$81,3,FALSE)</f>
        <v>2</v>
      </c>
      <c r="M756" s="16">
        <f>VLOOKUP(I756,episodes!$A$1:$D$81,4,FALSE)</f>
        <v>4</v>
      </c>
      <c r="O756" s="14">
        <v>0</v>
      </c>
      <c r="P756" s="24">
        <f>LEN(E756)+LEN(K756)</f>
        <v>44</v>
      </c>
      <c r="Q756" s="24">
        <f>COUNTIFS(B:B,B755)</f>
        <v>163</v>
      </c>
      <c r="R756" s="24">
        <f>COUNTIFS(D:D,#REF!)</f>
        <v>0</v>
      </c>
    </row>
    <row r="757" spans="1:18" x14ac:dyDescent="0.3">
      <c r="A757" s="14">
        <v>1736</v>
      </c>
      <c r="B757" s="21" t="s">
        <v>259</v>
      </c>
      <c r="C757" s="1" t="s">
        <v>1018</v>
      </c>
      <c r="D757" s="21" t="s">
        <v>2237</v>
      </c>
      <c r="E757" s="1" t="s">
        <v>1813</v>
      </c>
      <c r="G757" s="14">
        <v>0</v>
      </c>
      <c r="H757" s="14">
        <v>0</v>
      </c>
      <c r="I757" s="22">
        <v>116</v>
      </c>
      <c r="J757" s="23">
        <f>VLOOKUP(I757,episodes!$A$1:$B$76,2,FALSE)</f>
        <v>17</v>
      </c>
      <c r="K757" s="16" t="str">
        <f>VLOOKUP(I757,episodes!$A$1:$E$81,5,FALSE)</f>
        <v>The Galileo Seven</v>
      </c>
      <c r="L757" s="16">
        <f>VLOOKUP(I757,episodes!$A$1:$D$81,3,FALSE)</f>
        <v>1</v>
      </c>
      <c r="M757" s="16">
        <f>VLOOKUP(I757,episodes!$A$1:$D$81,4,FALSE)</f>
        <v>16</v>
      </c>
      <c r="O757" s="14">
        <v>0</v>
      </c>
      <c r="P757" s="24">
        <f>LEN(E757)+LEN(K757)</f>
        <v>68</v>
      </c>
      <c r="Q757" s="24">
        <f>COUNTIFS(B:B,B756)</f>
        <v>163</v>
      </c>
      <c r="R757" s="24">
        <f>COUNTIFS(D:D,#REF!)</f>
        <v>0</v>
      </c>
    </row>
    <row r="758" spans="1:18" x14ac:dyDescent="0.3">
      <c r="A758" s="14">
        <v>1766</v>
      </c>
      <c r="B758" s="21" t="s">
        <v>259</v>
      </c>
      <c r="C758" s="1" t="s">
        <v>1018</v>
      </c>
      <c r="D758" s="21" t="s">
        <v>2320</v>
      </c>
      <c r="E758" s="1" t="s">
        <v>1561</v>
      </c>
      <c r="G758" s="14">
        <v>0</v>
      </c>
      <c r="H758" s="14">
        <v>0</v>
      </c>
      <c r="I758" s="25">
        <v>106</v>
      </c>
      <c r="J758" s="23">
        <f>VLOOKUP(I758,episodes!$A$1:$B$76,2,FALSE)</f>
        <v>7</v>
      </c>
      <c r="K758" s="16" t="str">
        <f>VLOOKUP(I758,episodes!$A$1:$E$81,5,FALSE)</f>
        <v>Mudd's Women</v>
      </c>
      <c r="L758" s="16">
        <f>VLOOKUP(I758,episodes!$A$1:$D$81,3,FALSE)</f>
        <v>1</v>
      </c>
      <c r="M758" s="16">
        <f>VLOOKUP(I758,episodes!$A$1:$D$81,4,FALSE)</f>
        <v>6</v>
      </c>
      <c r="O758" s="14">
        <v>0</v>
      </c>
      <c r="P758" s="24">
        <f>LEN(E758)+LEN(K758)</f>
        <v>75</v>
      </c>
      <c r="Q758" s="24">
        <f>COUNTIFS(B:B,B757)</f>
        <v>163</v>
      </c>
      <c r="R758" s="24">
        <f>COUNTIFS(D:D,#REF!)</f>
        <v>0</v>
      </c>
    </row>
    <row r="759" spans="1:18" x14ac:dyDescent="0.3">
      <c r="A759" s="14">
        <v>1791</v>
      </c>
      <c r="B759" s="21" t="s">
        <v>259</v>
      </c>
      <c r="C759" s="1" t="s">
        <v>1018</v>
      </c>
      <c r="D759" s="21" t="s">
        <v>2250</v>
      </c>
      <c r="E759" s="1" t="s">
        <v>2508</v>
      </c>
      <c r="G759" s="14">
        <v>0</v>
      </c>
      <c r="H759" s="14">
        <v>0</v>
      </c>
      <c r="I759" s="25">
        <v>100</v>
      </c>
      <c r="J759" s="23">
        <f>VLOOKUP(I759,episodes!$A$1:$B$76,2,FALSE)</f>
        <v>1</v>
      </c>
      <c r="K759" s="16" t="str">
        <f>VLOOKUP(I759,episodes!$A$1:$E$81,5,FALSE)</f>
        <v>The Cage</v>
      </c>
      <c r="L759" s="16">
        <f>VLOOKUP(I759,episodes!$A$1:$D$81,3,FALSE)</f>
        <v>1</v>
      </c>
      <c r="M759" s="16">
        <f>VLOOKUP(I759,episodes!$A$1:$D$81,4,FALSE)</f>
        <v>0</v>
      </c>
      <c r="O759" s="14">
        <v>0</v>
      </c>
      <c r="P759" s="24">
        <f>LEN(E759)+LEN(K759)</f>
        <v>63</v>
      </c>
      <c r="Q759" s="24">
        <f>COUNTIFS(B:B,B758)</f>
        <v>163</v>
      </c>
      <c r="R759" s="24">
        <f>COUNTIFS(D:D,#REF!)</f>
        <v>0</v>
      </c>
    </row>
    <row r="760" spans="1:18" x14ac:dyDescent="0.3">
      <c r="A760" s="14">
        <v>1792</v>
      </c>
      <c r="B760" s="21" t="s">
        <v>259</v>
      </c>
      <c r="C760" s="1" t="s">
        <v>1018</v>
      </c>
      <c r="D760" s="21" t="s">
        <v>2250</v>
      </c>
      <c r="E760" s="1" t="s">
        <v>2509</v>
      </c>
      <c r="G760" s="14">
        <v>0</v>
      </c>
      <c r="H760" s="14">
        <v>0</v>
      </c>
      <c r="I760" s="25">
        <v>100</v>
      </c>
      <c r="J760" s="23">
        <f>VLOOKUP(I760,episodes!$A$1:$B$76,2,FALSE)</f>
        <v>1</v>
      </c>
      <c r="K760" s="16" t="str">
        <f>VLOOKUP(I760,episodes!$A$1:$E$81,5,FALSE)</f>
        <v>The Cage</v>
      </c>
      <c r="L760" s="16">
        <f>VLOOKUP(I760,episodes!$A$1:$D$81,3,FALSE)</f>
        <v>1</v>
      </c>
      <c r="M760" s="16">
        <f>VLOOKUP(I760,episodes!$A$1:$D$81,4,FALSE)</f>
        <v>0</v>
      </c>
      <c r="O760" s="14">
        <v>0</v>
      </c>
      <c r="P760" s="24">
        <f>LEN(E760)+LEN(K760)</f>
        <v>39</v>
      </c>
      <c r="Q760" s="24">
        <f>COUNTIFS(B:B,B759)</f>
        <v>163</v>
      </c>
      <c r="R760" s="24">
        <f>COUNTIFS(D:D,#REF!)</f>
        <v>0</v>
      </c>
    </row>
    <row r="761" spans="1:18" x14ac:dyDescent="0.3">
      <c r="A761" s="14">
        <v>1793</v>
      </c>
      <c r="B761" s="21" t="s">
        <v>259</v>
      </c>
      <c r="C761" s="1" t="s">
        <v>1018</v>
      </c>
      <c r="D761" s="21" t="s">
        <v>2250</v>
      </c>
      <c r="E761" s="1" t="s">
        <v>2510</v>
      </c>
      <c r="G761" s="14">
        <v>0</v>
      </c>
      <c r="H761" s="14">
        <v>0</v>
      </c>
      <c r="I761" s="25">
        <v>100</v>
      </c>
      <c r="J761" s="23">
        <f>VLOOKUP(I761,episodes!$A$1:$B$76,2,FALSE)</f>
        <v>1</v>
      </c>
      <c r="K761" s="16" t="str">
        <f>VLOOKUP(I761,episodes!$A$1:$E$81,5,FALSE)</f>
        <v>The Cage</v>
      </c>
      <c r="L761" s="16">
        <f>VLOOKUP(I761,episodes!$A$1:$D$81,3,FALSE)</f>
        <v>1</v>
      </c>
      <c r="M761" s="16">
        <f>VLOOKUP(I761,episodes!$A$1:$D$81,4,FALSE)</f>
        <v>0</v>
      </c>
      <c r="O761" s="14">
        <v>0</v>
      </c>
      <c r="P761" s="24">
        <f>LEN(E761)+LEN(K761)</f>
        <v>39</v>
      </c>
      <c r="Q761" s="24">
        <f>COUNTIFS(B:B,B760)</f>
        <v>163</v>
      </c>
      <c r="R761" s="24">
        <f>COUNTIFS(D:D,#REF!)</f>
        <v>0</v>
      </c>
    </row>
    <row r="762" spans="1:18" x14ac:dyDescent="0.3">
      <c r="A762" s="14">
        <v>1794</v>
      </c>
      <c r="B762" s="21" t="s">
        <v>259</v>
      </c>
      <c r="C762" s="1" t="s">
        <v>1018</v>
      </c>
      <c r="D762" s="21" t="s">
        <v>2250</v>
      </c>
      <c r="E762" s="1" t="s">
        <v>2511</v>
      </c>
      <c r="G762" s="14">
        <v>0</v>
      </c>
      <c r="H762" s="14">
        <v>0</v>
      </c>
      <c r="I762" s="25">
        <v>100</v>
      </c>
      <c r="J762" s="23">
        <f>VLOOKUP(I762,episodes!$A$1:$B$76,2,FALSE)</f>
        <v>1</v>
      </c>
      <c r="K762" s="16" t="str">
        <f>VLOOKUP(I762,episodes!$A$1:$E$81,5,FALSE)</f>
        <v>The Cage</v>
      </c>
      <c r="L762" s="16">
        <f>VLOOKUP(I762,episodes!$A$1:$D$81,3,FALSE)</f>
        <v>1</v>
      </c>
      <c r="M762" s="16">
        <f>VLOOKUP(I762,episodes!$A$1:$D$81,4,FALSE)</f>
        <v>0</v>
      </c>
      <c r="O762" s="14">
        <v>0</v>
      </c>
      <c r="P762" s="24">
        <f>LEN(E762)+LEN(K762)</f>
        <v>39</v>
      </c>
      <c r="Q762" s="24">
        <f>COUNTIFS(B:B,B761)</f>
        <v>163</v>
      </c>
      <c r="R762" s="24">
        <f>COUNTIFS(D:D,#REF!)</f>
        <v>0</v>
      </c>
    </row>
    <row r="763" spans="1:18" x14ac:dyDescent="0.3">
      <c r="A763" s="14">
        <v>1823</v>
      </c>
      <c r="B763" s="21" t="s">
        <v>259</v>
      </c>
      <c r="C763" s="1" t="s">
        <v>1018</v>
      </c>
      <c r="D763" s="21" t="s">
        <v>2231</v>
      </c>
      <c r="E763" s="1" t="s">
        <v>2491</v>
      </c>
      <c r="G763" s="14">
        <v>0</v>
      </c>
      <c r="H763" s="14">
        <v>0</v>
      </c>
      <c r="I763" s="25">
        <v>100</v>
      </c>
      <c r="J763" s="23">
        <f>VLOOKUP(I763,episodes!$A$1:$B$76,2,FALSE)</f>
        <v>1</v>
      </c>
      <c r="K763" s="16" t="str">
        <f>VLOOKUP(I763,episodes!$A$1:$E$81,5,FALSE)</f>
        <v>The Cage</v>
      </c>
      <c r="L763" s="16">
        <f>VLOOKUP(I763,episodes!$A$1:$D$81,3,FALSE)</f>
        <v>1</v>
      </c>
      <c r="M763" s="16">
        <f>VLOOKUP(I763,episodes!$A$1:$D$81,4,FALSE)</f>
        <v>0</v>
      </c>
      <c r="O763" s="14">
        <v>0</v>
      </c>
      <c r="P763" s="24">
        <f>LEN(E763)+LEN(K763)</f>
        <v>28</v>
      </c>
      <c r="Q763" s="24">
        <f>COUNTIFS(B:B,B762)</f>
        <v>163</v>
      </c>
      <c r="R763" s="24">
        <f>COUNTIFS(D:D,#REF!)</f>
        <v>0</v>
      </c>
    </row>
    <row r="764" spans="1:18" x14ac:dyDescent="0.3">
      <c r="A764" s="14">
        <v>1824</v>
      </c>
      <c r="B764" s="21" t="s">
        <v>259</v>
      </c>
      <c r="C764" s="1" t="s">
        <v>1018</v>
      </c>
      <c r="D764" s="21" t="s">
        <v>2231</v>
      </c>
      <c r="E764" s="1" t="s">
        <v>2492</v>
      </c>
      <c r="G764" s="14">
        <v>0</v>
      </c>
      <c r="H764" s="14">
        <v>0</v>
      </c>
      <c r="I764" s="25">
        <v>100</v>
      </c>
      <c r="J764" s="23">
        <f>VLOOKUP(I764,episodes!$A$1:$B$76,2,FALSE)</f>
        <v>1</v>
      </c>
      <c r="K764" s="16" t="str">
        <f>VLOOKUP(I764,episodes!$A$1:$E$81,5,FALSE)</f>
        <v>The Cage</v>
      </c>
      <c r="L764" s="16">
        <f>VLOOKUP(I764,episodes!$A$1:$D$81,3,FALSE)</f>
        <v>1</v>
      </c>
      <c r="M764" s="16">
        <f>VLOOKUP(I764,episodes!$A$1:$D$81,4,FALSE)</f>
        <v>0</v>
      </c>
      <c r="O764" s="14">
        <v>0</v>
      </c>
      <c r="P764" s="24">
        <f>LEN(E764)+LEN(K764)</f>
        <v>29</v>
      </c>
      <c r="Q764" s="24">
        <f>COUNTIFS(B:B,B763)</f>
        <v>163</v>
      </c>
      <c r="R764" s="24">
        <f>COUNTIFS(D:D,#REF!)</f>
        <v>0</v>
      </c>
    </row>
    <row r="765" spans="1:18" x14ac:dyDescent="0.3">
      <c r="A765" s="14">
        <v>1901</v>
      </c>
      <c r="B765" s="21" t="s">
        <v>259</v>
      </c>
      <c r="C765" s="1" t="s">
        <v>1018</v>
      </c>
      <c r="D765" s="1" t="s">
        <v>45</v>
      </c>
      <c r="E765" s="1" t="s">
        <v>869</v>
      </c>
      <c r="G765" s="14">
        <v>0</v>
      </c>
      <c r="H765" s="14">
        <v>0</v>
      </c>
      <c r="I765" s="25">
        <v>205</v>
      </c>
      <c r="J765" s="23">
        <f>VLOOKUP(I765,episodes!$A$1:$B$81,2,FALSE)</f>
        <v>35</v>
      </c>
      <c r="K765" s="16" t="str">
        <f>VLOOKUP(I765,episodes!$A$1:$E$81,5,FALSE)</f>
        <v>The Apple</v>
      </c>
      <c r="L765" s="16">
        <f>VLOOKUP(I765,episodes!$A$1:$D$81,3,FALSE)</f>
        <v>2</v>
      </c>
      <c r="M765" s="16">
        <f>VLOOKUP(I765,episodes!$A$1:$D$81,4,FALSE)</f>
        <v>5</v>
      </c>
      <c r="O765" s="14">
        <v>0</v>
      </c>
      <c r="P765" s="24">
        <f>LEN(E765)+LEN(K765)</f>
        <v>35</v>
      </c>
      <c r="Q765" s="24">
        <f>COUNTIFS(B:B,B764)</f>
        <v>163</v>
      </c>
      <c r="R765" s="24">
        <f>COUNTIFS(D:D,#REF!)</f>
        <v>0</v>
      </c>
    </row>
    <row r="766" spans="1:18" x14ac:dyDescent="0.3">
      <c r="A766" s="14">
        <v>1916</v>
      </c>
      <c r="B766" s="21" t="s">
        <v>259</v>
      </c>
      <c r="C766" s="1" t="s">
        <v>1018</v>
      </c>
      <c r="D766" s="1" t="s">
        <v>2228</v>
      </c>
      <c r="E766" s="1" t="s">
        <v>2493</v>
      </c>
      <c r="G766" s="14">
        <v>0</v>
      </c>
      <c r="H766" s="14">
        <v>0</v>
      </c>
      <c r="I766" s="25">
        <v>107</v>
      </c>
      <c r="J766" s="23">
        <f>VLOOKUP(I766,episodes!$A$1:$B$76,2,FALSE)</f>
        <v>8</v>
      </c>
      <c r="K766" s="16" t="str">
        <f>VLOOKUP(I766,episodes!$A$1:$E$81,5,FALSE)</f>
        <v>What Are Little Girls Made Of?</v>
      </c>
      <c r="L766" s="16">
        <f>VLOOKUP(I766,episodes!$A$1:$D$81,3,FALSE)</f>
        <v>1</v>
      </c>
      <c r="M766" s="16">
        <f>VLOOKUP(I766,episodes!$A$1:$D$81,4,FALSE)</f>
        <v>7</v>
      </c>
      <c r="O766" s="14">
        <v>0</v>
      </c>
      <c r="P766" s="24">
        <f>LEN(E766)+LEN(K766)</f>
        <v>67</v>
      </c>
      <c r="Q766" s="24">
        <f>COUNTIFS(B:B,B765)</f>
        <v>163</v>
      </c>
      <c r="R766" s="24">
        <f>COUNTIFS(D:D,#REF!)</f>
        <v>0</v>
      </c>
    </row>
    <row r="767" spans="1:18" x14ac:dyDescent="0.3">
      <c r="A767" s="14">
        <v>1973</v>
      </c>
      <c r="B767" s="21" t="s">
        <v>259</v>
      </c>
      <c r="C767" s="1" t="s">
        <v>1018</v>
      </c>
      <c r="D767" s="21" t="s">
        <v>6</v>
      </c>
      <c r="E767" s="1" t="s">
        <v>2495</v>
      </c>
      <c r="G767" s="14">
        <v>0</v>
      </c>
      <c r="H767" s="14">
        <v>1</v>
      </c>
      <c r="I767" s="22">
        <v>128</v>
      </c>
      <c r="J767" s="23">
        <f>VLOOKUP(I767,episodes!$A$1:$B$76,2,FALSE)</f>
        <v>29</v>
      </c>
      <c r="K767" s="16" t="str">
        <f>VLOOKUP(I767,episodes!$A$1:$E$81,5,FALSE)</f>
        <v>The City on the Edge of Forever</v>
      </c>
      <c r="L767" s="16">
        <f>VLOOKUP(I767,episodes!$A$1:$D$81,3,FALSE)</f>
        <v>1</v>
      </c>
      <c r="M767" s="16">
        <f>VLOOKUP(I767,episodes!$A$1:$D$81,4,FALSE)</f>
        <v>28</v>
      </c>
      <c r="O767" s="14">
        <v>0</v>
      </c>
      <c r="P767" s="24">
        <f>LEN(E767)+LEN(K767)</f>
        <v>70</v>
      </c>
      <c r="Q767" s="24">
        <f>COUNTIFS(B:B,B766)</f>
        <v>163</v>
      </c>
      <c r="R767" s="24">
        <f>COUNTIFS(D:D,#REF!)</f>
        <v>0</v>
      </c>
    </row>
    <row r="768" spans="1:18" x14ac:dyDescent="0.3">
      <c r="A768" s="14">
        <v>1990</v>
      </c>
      <c r="B768" s="21" t="s">
        <v>259</v>
      </c>
      <c r="C768" s="1" t="s">
        <v>1018</v>
      </c>
      <c r="D768" s="21" t="s">
        <v>6</v>
      </c>
      <c r="E768" s="1" t="s">
        <v>2494</v>
      </c>
      <c r="G768" s="14">
        <v>0</v>
      </c>
      <c r="H768" s="14">
        <v>1</v>
      </c>
      <c r="I768" s="25">
        <v>206</v>
      </c>
      <c r="J768" s="23">
        <f>VLOOKUP(I768,episodes!$A$1:$B$81,2,FALSE)</f>
        <v>36</v>
      </c>
      <c r="K768" s="16" t="str">
        <f>VLOOKUP(I768,episodes!$A$1:$E$81,5,FALSE)</f>
        <v>The Doomsday Machine</v>
      </c>
      <c r="L768" s="16">
        <f>VLOOKUP(I768,episodes!$A$1:$D$81,3,FALSE)</f>
        <v>2</v>
      </c>
      <c r="M768" s="16">
        <f>VLOOKUP(I768,episodes!$A$1:$D$81,4,FALSE)</f>
        <v>6</v>
      </c>
      <c r="O768" s="14">
        <v>0</v>
      </c>
      <c r="P768" s="24">
        <f>LEN(E768)+LEN(K768)</f>
        <v>37</v>
      </c>
      <c r="Q768" s="24">
        <f>COUNTIFS(B:B,B767)</f>
        <v>163</v>
      </c>
      <c r="R768" s="24">
        <f>COUNTIFS(D:D,#REF!)</f>
        <v>0</v>
      </c>
    </row>
    <row r="769" spans="1:18" x14ac:dyDescent="0.3">
      <c r="A769" s="14">
        <v>1985</v>
      </c>
      <c r="B769" s="21" t="s">
        <v>259</v>
      </c>
      <c r="C769" s="1" t="s">
        <v>1018</v>
      </c>
      <c r="D769" s="21" t="s">
        <v>6</v>
      </c>
      <c r="E769" s="1" t="s">
        <v>2012</v>
      </c>
      <c r="F769" s="21"/>
      <c r="G769" s="14">
        <v>0</v>
      </c>
      <c r="H769" s="14">
        <v>1</v>
      </c>
      <c r="I769" s="25">
        <v>204</v>
      </c>
      <c r="J769" s="23">
        <f>VLOOKUP(I769,episodes!$A$1:$B$81,2,FALSE)</f>
        <v>34</v>
      </c>
      <c r="K769" s="16" t="str">
        <f>VLOOKUP(I769,episodes!$A$1:$E$81,5,FALSE)</f>
        <v>Mirror, Mirror</v>
      </c>
      <c r="L769" s="16">
        <f>VLOOKUP(I769,episodes!$A$1:$D$81,3,FALSE)</f>
        <v>2</v>
      </c>
      <c r="M769" s="16">
        <f>VLOOKUP(I769,episodes!$A$1:$D$81,4,FALSE)</f>
        <v>4</v>
      </c>
      <c r="O769" s="14">
        <v>0</v>
      </c>
      <c r="P769" s="24">
        <f>LEN(E769)+LEN(K769)</f>
        <v>113</v>
      </c>
      <c r="Q769" s="24">
        <f>COUNTIFS(B:B,B768)</f>
        <v>163</v>
      </c>
      <c r="R769" s="24">
        <f>COUNTIFS(D:D,#REF!)</f>
        <v>0</v>
      </c>
    </row>
    <row r="770" spans="1:18" x14ac:dyDescent="0.3">
      <c r="A770" s="14">
        <v>1986</v>
      </c>
      <c r="B770" s="21" t="s">
        <v>259</v>
      </c>
      <c r="C770" s="1" t="s">
        <v>1018</v>
      </c>
      <c r="D770" s="21" t="s">
        <v>6</v>
      </c>
      <c r="E770" s="1" t="s">
        <v>2496</v>
      </c>
      <c r="G770" s="14">
        <v>0</v>
      </c>
      <c r="H770" s="14">
        <v>1</v>
      </c>
      <c r="I770" s="25">
        <v>204</v>
      </c>
      <c r="J770" s="23">
        <f>VLOOKUP(I770,episodes!$A$1:$B$81,2,FALSE)</f>
        <v>34</v>
      </c>
      <c r="K770" s="16" t="str">
        <f>VLOOKUP(I770,episodes!$A$1:$E$81,5,FALSE)</f>
        <v>Mirror, Mirror</v>
      </c>
      <c r="L770" s="16">
        <f>VLOOKUP(I770,episodes!$A$1:$D$81,3,FALSE)</f>
        <v>2</v>
      </c>
      <c r="M770" s="16">
        <f>VLOOKUP(I770,episodes!$A$1:$D$81,4,FALSE)</f>
        <v>4</v>
      </c>
      <c r="O770" s="14">
        <v>0</v>
      </c>
      <c r="P770" s="24">
        <f>LEN(E770)+LEN(K770)</f>
        <v>44</v>
      </c>
      <c r="Q770" s="24">
        <f>COUNTIFS(B:B,B769)</f>
        <v>163</v>
      </c>
      <c r="R770" s="24">
        <f>COUNTIFS(D:D,#REF!)</f>
        <v>0</v>
      </c>
    </row>
    <row r="771" spans="1:18" x14ac:dyDescent="0.3">
      <c r="A771" s="14">
        <v>1991</v>
      </c>
      <c r="B771" s="21" t="s">
        <v>259</v>
      </c>
      <c r="C771" s="1" t="s">
        <v>1018</v>
      </c>
      <c r="D771" s="21" t="s">
        <v>6</v>
      </c>
      <c r="E771" s="1" t="s">
        <v>2497</v>
      </c>
      <c r="G771" s="14">
        <v>0</v>
      </c>
      <c r="H771" s="14">
        <v>1</v>
      </c>
      <c r="I771" s="25">
        <v>206</v>
      </c>
      <c r="J771" s="23">
        <f>VLOOKUP(I771,episodes!$A$1:$B$81,2,FALSE)</f>
        <v>36</v>
      </c>
      <c r="K771" s="16" t="str">
        <f>VLOOKUP(I771,episodes!$A$1:$E$81,5,FALSE)</f>
        <v>The Doomsday Machine</v>
      </c>
      <c r="L771" s="16">
        <f>VLOOKUP(I771,episodes!$A$1:$D$81,3,FALSE)</f>
        <v>2</v>
      </c>
      <c r="M771" s="16">
        <f>VLOOKUP(I771,episodes!$A$1:$D$81,4,FALSE)</f>
        <v>6</v>
      </c>
      <c r="O771" s="14">
        <v>0</v>
      </c>
      <c r="P771" s="24">
        <f>LEN(E771)+LEN(K771)</f>
        <v>54</v>
      </c>
      <c r="Q771" s="24">
        <f>COUNTIFS(B:B,B770)</f>
        <v>163</v>
      </c>
      <c r="R771" s="24">
        <f>COUNTIFS(D:D,#REF!)</f>
        <v>0</v>
      </c>
    </row>
    <row r="772" spans="1:18" x14ac:dyDescent="0.3">
      <c r="A772" s="14">
        <v>1992</v>
      </c>
      <c r="B772" s="21" t="s">
        <v>259</v>
      </c>
      <c r="C772" s="1" t="s">
        <v>1018</v>
      </c>
      <c r="D772" s="21" t="s">
        <v>6</v>
      </c>
      <c r="E772" s="1" t="s">
        <v>2498</v>
      </c>
      <c r="F772" s="21"/>
      <c r="G772" s="14">
        <v>0</v>
      </c>
      <c r="H772" s="14">
        <v>1</v>
      </c>
      <c r="I772" s="25">
        <v>206</v>
      </c>
      <c r="J772" s="23">
        <f>VLOOKUP(I772,episodes!$A$1:$B$81,2,FALSE)</f>
        <v>36</v>
      </c>
      <c r="K772" s="16" t="str">
        <f>VLOOKUP(I772,episodes!$A$1:$E$81,5,FALSE)</f>
        <v>The Doomsday Machine</v>
      </c>
      <c r="L772" s="16">
        <f>VLOOKUP(I772,episodes!$A$1:$D$81,3,FALSE)</f>
        <v>2</v>
      </c>
      <c r="M772" s="16">
        <f>VLOOKUP(I772,episodes!$A$1:$D$81,4,FALSE)</f>
        <v>6</v>
      </c>
      <c r="O772" s="14">
        <v>0</v>
      </c>
      <c r="P772" s="24">
        <f>LEN(E772)+LEN(K772)</f>
        <v>54</v>
      </c>
      <c r="Q772" s="24">
        <f>COUNTIFS(B:B,B771)</f>
        <v>163</v>
      </c>
      <c r="R772" s="24">
        <f>COUNTIFS(D:D,#REF!)</f>
        <v>0</v>
      </c>
    </row>
    <row r="773" spans="1:18" x14ac:dyDescent="0.3">
      <c r="A773" s="14">
        <v>1993</v>
      </c>
      <c r="B773" s="21" t="s">
        <v>259</v>
      </c>
      <c r="C773" s="1" t="s">
        <v>1018</v>
      </c>
      <c r="D773" s="21" t="s">
        <v>6</v>
      </c>
      <c r="E773" s="1" t="s">
        <v>2499</v>
      </c>
      <c r="F773" s="21"/>
      <c r="G773" s="14">
        <v>0</v>
      </c>
      <c r="H773" s="14">
        <v>1</v>
      </c>
      <c r="I773" s="25">
        <v>206</v>
      </c>
      <c r="J773" s="23">
        <f>VLOOKUP(I773,episodes!$A$1:$B$81,2,FALSE)</f>
        <v>36</v>
      </c>
      <c r="K773" s="16" t="str">
        <f>VLOOKUP(I773,episodes!$A$1:$E$81,5,FALSE)</f>
        <v>The Doomsday Machine</v>
      </c>
      <c r="L773" s="16">
        <f>VLOOKUP(I773,episodes!$A$1:$D$81,3,FALSE)</f>
        <v>2</v>
      </c>
      <c r="M773" s="16">
        <f>VLOOKUP(I773,episodes!$A$1:$D$81,4,FALSE)</f>
        <v>6</v>
      </c>
      <c r="O773" s="14">
        <v>0</v>
      </c>
      <c r="P773" s="24">
        <f>LEN(E773)+LEN(K773)</f>
        <v>54</v>
      </c>
      <c r="Q773" s="24">
        <f>COUNTIFS(B:B,B772)</f>
        <v>163</v>
      </c>
      <c r="R773" s="24">
        <f>COUNTIFS(D:D,#REF!)</f>
        <v>0</v>
      </c>
    </row>
    <row r="774" spans="1:18" x14ac:dyDescent="0.3">
      <c r="A774" s="14">
        <v>2035</v>
      </c>
      <c r="B774" s="21" t="s">
        <v>259</v>
      </c>
      <c r="C774" s="1" t="s">
        <v>1018</v>
      </c>
      <c r="D774" s="21" t="s">
        <v>5</v>
      </c>
      <c r="E774" s="1" t="s">
        <v>2501</v>
      </c>
      <c r="G774" s="14">
        <v>1</v>
      </c>
      <c r="H774" s="14">
        <v>0</v>
      </c>
      <c r="I774" s="25">
        <v>100</v>
      </c>
      <c r="J774" s="23">
        <f>VLOOKUP(I774,episodes!$A$1:$B$76,2,FALSE)</f>
        <v>1</v>
      </c>
      <c r="K774" s="16" t="str">
        <f>VLOOKUP(I774,episodes!$A$1:$E$81,5,FALSE)</f>
        <v>The Cage</v>
      </c>
      <c r="L774" s="16">
        <f>VLOOKUP(I774,episodes!$A$1:$D$81,3,FALSE)</f>
        <v>1</v>
      </c>
      <c r="M774" s="16">
        <f>VLOOKUP(I774,episodes!$A$1:$D$81,4,FALSE)</f>
        <v>0</v>
      </c>
      <c r="O774" s="14">
        <v>0</v>
      </c>
      <c r="P774" s="24">
        <f>LEN(E774)+LEN(K774)</f>
        <v>30</v>
      </c>
      <c r="Q774" s="24">
        <f>COUNTIFS(B:B,B773)</f>
        <v>163</v>
      </c>
      <c r="R774" s="24">
        <f>COUNTIFS(D:D,#REF!)</f>
        <v>0</v>
      </c>
    </row>
    <row r="775" spans="1:18" x14ac:dyDescent="0.3">
      <c r="A775" s="14">
        <v>2043</v>
      </c>
      <c r="B775" s="21" t="s">
        <v>259</v>
      </c>
      <c r="C775" s="1" t="s">
        <v>1018</v>
      </c>
      <c r="D775" s="21" t="s">
        <v>5</v>
      </c>
      <c r="E775" s="1" t="s">
        <v>2501</v>
      </c>
      <c r="G775" s="14">
        <v>1</v>
      </c>
      <c r="H775" s="14">
        <v>0</v>
      </c>
      <c r="I775" s="25">
        <v>101</v>
      </c>
      <c r="J775" s="23">
        <f>VLOOKUP(I775,episodes!$A$1:$B$76,2,FALSE)</f>
        <v>2</v>
      </c>
      <c r="K775" s="16" t="str">
        <f>VLOOKUP(I775,episodes!$A$1:$E$81,5,FALSE)</f>
        <v>The Man Trap</v>
      </c>
      <c r="L775" s="16">
        <f>VLOOKUP(I775,episodes!$A$1:$D$81,3,FALSE)</f>
        <v>1</v>
      </c>
      <c r="M775" s="16">
        <f>VLOOKUP(I775,episodes!$A$1:$D$81,4,FALSE)</f>
        <v>1</v>
      </c>
      <c r="O775" s="14">
        <v>0</v>
      </c>
      <c r="P775" s="24">
        <f>LEN(E775)+LEN(K775)</f>
        <v>34</v>
      </c>
      <c r="Q775" s="24">
        <f>COUNTIFS(B:B,B774)</f>
        <v>163</v>
      </c>
      <c r="R775" s="24">
        <f>COUNTIFS(D:D,#REF!)</f>
        <v>0</v>
      </c>
    </row>
    <row r="776" spans="1:18" x14ac:dyDescent="0.3">
      <c r="A776" s="14">
        <v>2245</v>
      </c>
      <c r="B776" s="21" t="s">
        <v>259</v>
      </c>
      <c r="C776" s="1" t="s">
        <v>1018</v>
      </c>
      <c r="D776" s="21" t="s">
        <v>5</v>
      </c>
      <c r="E776" s="1" t="s">
        <v>2501</v>
      </c>
      <c r="G776" s="14">
        <v>1</v>
      </c>
      <c r="H776" s="14">
        <v>0</v>
      </c>
      <c r="I776" s="25">
        <v>205</v>
      </c>
      <c r="J776" s="23">
        <f>VLOOKUP(I776,episodes!$A$1:$B$81,2,FALSE)</f>
        <v>35</v>
      </c>
      <c r="K776" s="16" t="str">
        <f>VLOOKUP(I776,episodes!$A$1:$E$81,5,FALSE)</f>
        <v>The Apple</v>
      </c>
      <c r="L776" s="16">
        <f>VLOOKUP(I776,episodes!$A$1:$D$81,3,FALSE)</f>
        <v>2</v>
      </c>
      <c r="M776" s="16">
        <f>VLOOKUP(I776,episodes!$A$1:$D$81,4,FALSE)</f>
        <v>5</v>
      </c>
      <c r="O776" s="14">
        <v>0</v>
      </c>
      <c r="P776" s="24">
        <f>LEN(E776)+LEN(K776)</f>
        <v>31</v>
      </c>
      <c r="Q776" s="24">
        <f>COUNTIFS(B:B,B775)</f>
        <v>163</v>
      </c>
      <c r="R776" s="24">
        <f>COUNTIFS(D:D,#REF!)</f>
        <v>0</v>
      </c>
    </row>
    <row r="777" spans="1:18" x14ac:dyDescent="0.3">
      <c r="A777" s="14">
        <v>2219</v>
      </c>
      <c r="B777" s="21" t="s">
        <v>259</v>
      </c>
      <c r="C777" s="1" t="s">
        <v>1018</v>
      </c>
      <c r="D777" s="21" t="s">
        <v>5</v>
      </c>
      <c r="E777" s="1" t="s">
        <v>2502</v>
      </c>
      <c r="G777" s="14">
        <v>1</v>
      </c>
      <c r="H777" s="14">
        <v>0</v>
      </c>
      <c r="I777" s="22">
        <v>201</v>
      </c>
      <c r="J777" s="23">
        <f>VLOOKUP(I777,episodes!$A$1:$B$76,2,FALSE)</f>
        <v>31</v>
      </c>
      <c r="K777" s="16" t="str">
        <f>VLOOKUP(I777,episodes!$A$1:$E$81,5,FALSE)</f>
        <v>Amok Time</v>
      </c>
      <c r="L777" s="16">
        <f>VLOOKUP(I777,episodes!$A$1:$D$81,3,FALSE)</f>
        <v>2</v>
      </c>
      <c r="M777" s="16">
        <f>VLOOKUP(I777,episodes!$A$1:$D$81,4,FALSE)</f>
        <v>1</v>
      </c>
      <c r="O777" s="14">
        <v>0</v>
      </c>
      <c r="P777" s="24">
        <f>LEN(E777)+LEN(K777)</f>
        <v>35</v>
      </c>
      <c r="Q777" s="24">
        <f>COUNTIFS(B:B,B776)</f>
        <v>163</v>
      </c>
      <c r="R777" s="24">
        <f>COUNTIFS(D:D,#REF!)</f>
        <v>0</v>
      </c>
    </row>
    <row r="778" spans="1:18" x14ac:dyDescent="0.3">
      <c r="A778" s="14">
        <v>2220</v>
      </c>
      <c r="B778" s="21" t="s">
        <v>259</v>
      </c>
      <c r="C778" s="1" t="s">
        <v>1018</v>
      </c>
      <c r="D778" s="21" t="s">
        <v>5</v>
      </c>
      <c r="E778" s="1" t="s">
        <v>2503</v>
      </c>
      <c r="G778" s="14">
        <v>1</v>
      </c>
      <c r="H778" s="14">
        <v>0</v>
      </c>
      <c r="I778" s="22">
        <v>201</v>
      </c>
      <c r="J778" s="23">
        <f>VLOOKUP(I778,episodes!$A$1:$B$76,2,FALSE)</f>
        <v>31</v>
      </c>
      <c r="K778" s="16" t="str">
        <f>VLOOKUP(I778,episodes!$A$1:$E$81,5,FALSE)</f>
        <v>Amok Time</v>
      </c>
      <c r="L778" s="16">
        <f>VLOOKUP(I778,episodes!$A$1:$D$81,3,FALSE)</f>
        <v>2</v>
      </c>
      <c r="M778" s="16">
        <f>VLOOKUP(I778,episodes!$A$1:$D$81,4,FALSE)</f>
        <v>1</v>
      </c>
      <c r="O778" s="14">
        <v>0</v>
      </c>
      <c r="P778" s="24">
        <f>LEN(E778)+LEN(K778)</f>
        <v>35</v>
      </c>
      <c r="Q778" s="24">
        <f>COUNTIFS(B:B,B777)</f>
        <v>163</v>
      </c>
      <c r="R778" s="24">
        <f>COUNTIFS(D:D,#REF!)</f>
        <v>0</v>
      </c>
    </row>
    <row r="779" spans="1:18" x14ac:dyDescent="0.3">
      <c r="A779" s="14">
        <v>2122</v>
      </c>
      <c r="B779" s="21" t="s">
        <v>259</v>
      </c>
      <c r="C779" s="1" t="s">
        <v>1018</v>
      </c>
      <c r="D779" s="21" t="s">
        <v>5</v>
      </c>
      <c r="E779" s="1" t="s">
        <v>2500</v>
      </c>
      <c r="G779" s="14">
        <v>1</v>
      </c>
      <c r="H779" s="14">
        <v>0</v>
      </c>
      <c r="I779" s="22">
        <v>121</v>
      </c>
      <c r="J779" s="23">
        <f>VLOOKUP(I779,episodes!$A$1:$B$76,2,FALSE)</f>
        <v>22</v>
      </c>
      <c r="K779" s="16" t="str">
        <f>VLOOKUP(I779,episodes!$A$1:$E$81,5,FALSE)</f>
        <v>The Return of the Archons</v>
      </c>
      <c r="L779" s="16">
        <f>VLOOKUP(I779,episodes!$A$1:$D$81,3,FALSE)</f>
        <v>1</v>
      </c>
      <c r="M779" s="16">
        <f>VLOOKUP(I779,episodes!$A$1:$D$81,4,FALSE)</f>
        <v>21</v>
      </c>
      <c r="O779" s="14">
        <v>0</v>
      </c>
      <c r="P779" s="24">
        <f>LEN(E779)+LEN(K779)</f>
        <v>56</v>
      </c>
      <c r="Q779" s="24">
        <f>COUNTIFS(B:B,B778)</f>
        <v>163</v>
      </c>
      <c r="R779" s="24">
        <f>COUNTIFS(D:D,#REF!)</f>
        <v>0</v>
      </c>
    </row>
    <row r="780" spans="1:18" x14ac:dyDescent="0.3">
      <c r="A780" s="14">
        <v>2136</v>
      </c>
      <c r="B780" s="21" t="s">
        <v>259</v>
      </c>
      <c r="C780" s="1" t="s">
        <v>1018</v>
      </c>
      <c r="D780" s="21" t="s">
        <v>5</v>
      </c>
      <c r="E780" s="1" t="s">
        <v>657</v>
      </c>
      <c r="G780" s="14">
        <v>1</v>
      </c>
      <c r="H780" s="14">
        <v>0</v>
      </c>
      <c r="I780" s="22">
        <v>123</v>
      </c>
      <c r="J780" s="23">
        <f>VLOOKUP(I780,episodes!$A$1:$B$76,2,FALSE)</f>
        <v>24</v>
      </c>
      <c r="K780" s="16" t="str">
        <f>VLOOKUP(I780,episodes!$A$1:$E$81,5,FALSE)</f>
        <v>A Taste of Armageddon</v>
      </c>
      <c r="L780" s="16">
        <f>VLOOKUP(I780,episodes!$A$1:$D$81,3,FALSE)</f>
        <v>1</v>
      </c>
      <c r="M780" s="16">
        <f>VLOOKUP(I780,episodes!$A$1:$D$81,4,FALSE)</f>
        <v>23</v>
      </c>
      <c r="O780" s="14">
        <v>0</v>
      </c>
      <c r="P780" s="24">
        <f>LEN(E780)+LEN(K780)</f>
        <v>68</v>
      </c>
      <c r="Q780" s="24">
        <f>COUNTIFS(B:B,B779)</f>
        <v>163</v>
      </c>
      <c r="R780" s="24">
        <f>COUNTIFS(D:D,#REF!)</f>
        <v>0</v>
      </c>
    </row>
    <row r="781" spans="1:18" x14ac:dyDescent="0.3">
      <c r="A781" s="14">
        <v>3002</v>
      </c>
      <c r="B781" s="21" t="s">
        <v>259</v>
      </c>
      <c r="C781" s="21" t="s">
        <v>1018</v>
      </c>
      <c r="D781" s="21" t="s">
        <v>5</v>
      </c>
      <c r="E781" s="4" t="s">
        <v>2823</v>
      </c>
      <c r="G781" s="14">
        <v>1</v>
      </c>
      <c r="H781" s="14">
        <v>0</v>
      </c>
      <c r="I781" s="7">
        <v>211</v>
      </c>
      <c r="J781" s="23">
        <f>VLOOKUP(I781,episodes!$A$1:$B$81,2,FALSE)</f>
        <v>41</v>
      </c>
      <c r="K781" s="16" t="str">
        <f>VLOOKUP(I781,episodes!$A$1:$E$81,5,FALSE)</f>
        <v>Friday's Child</v>
      </c>
      <c r="L781" s="16">
        <f>VLOOKUP(I781,episodes!$A$1:$D$81,3,FALSE)</f>
        <v>2</v>
      </c>
      <c r="M781" s="16">
        <f>VLOOKUP(I781,episodes!$A$1:$D$81,4,FALSE)</f>
        <v>11</v>
      </c>
      <c r="O781" s="14">
        <v>0</v>
      </c>
      <c r="P781" s="24">
        <f>LEN(E781)+LEN(K781)</f>
        <v>47</v>
      </c>
      <c r="Q781" s="24"/>
      <c r="R781" s="24"/>
    </row>
    <row r="782" spans="1:18" x14ac:dyDescent="0.3">
      <c r="A782" s="14">
        <v>2044</v>
      </c>
      <c r="B782" s="21" t="s">
        <v>259</v>
      </c>
      <c r="C782" s="1" t="s">
        <v>1018</v>
      </c>
      <c r="D782" s="21" t="s">
        <v>5</v>
      </c>
      <c r="E782" s="1" t="s">
        <v>2504</v>
      </c>
      <c r="G782" s="14">
        <v>1</v>
      </c>
      <c r="H782" s="14">
        <v>0</v>
      </c>
      <c r="I782" s="25">
        <v>101</v>
      </c>
      <c r="J782" s="23">
        <f>VLOOKUP(I782,episodes!$A$1:$B$76,2,FALSE)</f>
        <v>2</v>
      </c>
      <c r="K782" s="16" t="str">
        <f>VLOOKUP(I782,episodes!$A$1:$E$81,5,FALSE)</f>
        <v>The Man Trap</v>
      </c>
      <c r="L782" s="16">
        <f>VLOOKUP(I782,episodes!$A$1:$D$81,3,FALSE)</f>
        <v>1</v>
      </c>
      <c r="M782" s="16">
        <f>VLOOKUP(I782,episodes!$A$1:$D$81,4,FALSE)</f>
        <v>1</v>
      </c>
      <c r="O782" s="14">
        <v>0</v>
      </c>
      <c r="P782" s="24">
        <f>LEN(E782)+LEN(K782)</f>
        <v>28</v>
      </c>
      <c r="Q782" s="24">
        <f>COUNTIFS(B:B,B781)</f>
        <v>163</v>
      </c>
      <c r="R782" s="24">
        <f>COUNTIFS(D:D,#REF!)</f>
        <v>0</v>
      </c>
    </row>
    <row r="783" spans="1:18" x14ac:dyDescent="0.3">
      <c r="A783" s="14">
        <v>2118</v>
      </c>
      <c r="B783" s="21" t="s">
        <v>259</v>
      </c>
      <c r="C783" s="1" t="s">
        <v>1018</v>
      </c>
      <c r="D783" s="21" t="s">
        <v>5</v>
      </c>
      <c r="E783" s="1" t="s">
        <v>2504</v>
      </c>
      <c r="G783" s="14">
        <v>1</v>
      </c>
      <c r="H783" s="14">
        <v>0</v>
      </c>
      <c r="I783" s="22">
        <v>120</v>
      </c>
      <c r="J783" s="23">
        <f>VLOOKUP(I783,episodes!$A$1:$B$76,2,FALSE)</f>
        <v>21</v>
      </c>
      <c r="K783" s="16" t="str">
        <f>VLOOKUP(I783,episodes!$A$1:$E$81,5,FALSE)</f>
        <v>Court Martial</v>
      </c>
      <c r="L783" s="16">
        <f>VLOOKUP(I783,episodes!$A$1:$D$81,3,FALSE)</f>
        <v>1</v>
      </c>
      <c r="M783" s="16">
        <f>VLOOKUP(I783,episodes!$A$1:$D$81,4,FALSE)</f>
        <v>20</v>
      </c>
      <c r="O783" s="14">
        <v>0</v>
      </c>
      <c r="P783" s="24">
        <f>LEN(E783)+LEN(K783)</f>
        <v>29</v>
      </c>
      <c r="Q783" s="24">
        <f>COUNTIFS(B:B,B782)</f>
        <v>163</v>
      </c>
      <c r="R783" s="24">
        <f>COUNTIFS(D:D,#REF!)</f>
        <v>0</v>
      </c>
    </row>
    <row r="784" spans="1:18" x14ac:dyDescent="0.3">
      <c r="A784" s="14">
        <v>2145</v>
      </c>
      <c r="B784" s="21" t="s">
        <v>259</v>
      </c>
      <c r="C784" s="1" t="s">
        <v>1018</v>
      </c>
      <c r="D784" s="21" t="s">
        <v>5</v>
      </c>
      <c r="E784" s="1" t="s">
        <v>2504</v>
      </c>
      <c r="G784" s="14">
        <v>1</v>
      </c>
      <c r="H784" s="14">
        <v>0</v>
      </c>
      <c r="I784" s="22">
        <v>124</v>
      </c>
      <c r="J784" s="23">
        <f>VLOOKUP(I784,episodes!$A$1:$B$76,2,FALSE)</f>
        <v>25</v>
      </c>
      <c r="K784" s="16" t="str">
        <f>VLOOKUP(I784,episodes!$A$1:$E$81,5,FALSE)</f>
        <v>This Side of Paradise</v>
      </c>
      <c r="L784" s="16">
        <f>VLOOKUP(I784,episodes!$A$1:$D$81,3,FALSE)</f>
        <v>1</v>
      </c>
      <c r="M784" s="16">
        <f>VLOOKUP(I784,episodes!$A$1:$D$81,4,FALSE)</f>
        <v>24</v>
      </c>
      <c r="O784" s="14">
        <v>0</v>
      </c>
      <c r="P784" s="24">
        <f>LEN(E784)+LEN(K784)</f>
        <v>37</v>
      </c>
      <c r="Q784" s="24">
        <f>COUNTIFS(B:B,B783)</f>
        <v>163</v>
      </c>
      <c r="R784" s="24">
        <f>COUNTIFS(D:D,#REF!)</f>
        <v>0</v>
      </c>
    </row>
    <row r="785" spans="1:18" x14ac:dyDescent="0.3">
      <c r="A785" s="14">
        <v>2155</v>
      </c>
      <c r="B785" s="21" t="s">
        <v>259</v>
      </c>
      <c r="C785" s="1" t="s">
        <v>1018</v>
      </c>
      <c r="D785" s="21" t="s">
        <v>5</v>
      </c>
      <c r="E785" s="1" t="s">
        <v>2504</v>
      </c>
      <c r="G785" s="14">
        <v>1</v>
      </c>
      <c r="H785" s="14">
        <v>0</v>
      </c>
      <c r="I785" s="22">
        <v>125</v>
      </c>
      <c r="J785" s="23">
        <f>VLOOKUP(I785,episodes!$A$1:$B$76,2,FALSE)</f>
        <v>26</v>
      </c>
      <c r="K785" s="16" t="str">
        <f>VLOOKUP(I785,episodes!$A$1:$E$81,5,FALSE)</f>
        <v>The Devil in the Dark</v>
      </c>
      <c r="L785" s="16">
        <f>VLOOKUP(I785,episodes!$A$1:$D$81,3,FALSE)</f>
        <v>1</v>
      </c>
      <c r="M785" s="16">
        <f>VLOOKUP(I785,episodes!$A$1:$D$81,4,FALSE)</f>
        <v>25</v>
      </c>
      <c r="O785" s="14">
        <v>0</v>
      </c>
      <c r="P785" s="24">
        <f>LEN(E785)+LEN(K785)</f>
        <v>37</v>
      </c>
      <c r="Q785" s="24">
        <f>COUNTIFS(B:B,B784)</f>
        <v>163</v>
      </c>
      <c r="R785" s="24">
        <f>COUNTIFS(D:D,#REF!)</f>
        <v>0</v>
      </c>
    </row>
    <row r="786" spans="1:18" x14ac:dyDescent="0.3">
      <c r="A786" s="14">
        <v>2972</v>
      </c>
      <c r="B786" s="21" t="s">
        <v>259</v>
      </c>
      <c r="C786" s="21" t="s">
        <v>1018</v>
      </c>
      <c r="D786" s="21" t="s">
        <v>5</v>
      </c>
      <c r="E786" s="4" t="s">
        <v>2799</v>
      </c>
      <c r="G786" s="14">
        <v>1</v>
      </c>
      <c r="H786" s="14">
        <v>0</v>
      </c>
      <c r="I786" s="7">
        <v>211</v>
      </c>
      <c r="J786" s="23">
        <f>VLOOKUP(I786,episodes!$A$1:$B$81,2,FALSE)</f>
        <v>41</v>
      </c>
      <c r="K786" s="16" t="str">
        <f>VLOOKUP(I786,episodes!$A$1:$E$81,5,FALSE)</f>
        <v>Friday's Child</v>
      </c>
      <c r="L786" s="16">
        <f>VLOOKUP(I786,episodes!$A$1:$D$81,3,FALSE)</f>
        <v>2</v>
      </c>
      <c r="M786" s="16">
        <f>VLOOKUP(I786,episodes!$A$1:$D$81,4,FALSE)</f>
        <v>11</v>
      </c>
      <c r="O786" s="14">
        <v>0</v>
      </c>
      <c r="P786" s="24">
        <f>LEN(E786)+LEN(K786)</f>
        <v>98</v>
      </c>
      <c r="Q786" s="24"/>
      <c r="R786" s="24"/>
    </row>
    <row r="787" spans="1:18" x14ac:dyDescent="0.3">
      <c r="A787" s="14">
        <v>2454</v>
      </c>
      <c r="B787" s="21" t="s">
        <v>259</v>
      </c>
      <c r="C787" s="1" t="s">
        <v>1018</v>
      </c>
      <c r="D787" s="21" t="s">
        <v>1861</v>
      </c>
      <c r="E787" s="1" t="s">
        <v>1403</v>
      </c>
      <c r="G787" s="14">
        <v>0</v>
      </c>
      <c r="H787" s="14">
        <v>1</v>
      </c>
      <c r="I787" s="25">
        <v>204</v>
      </c>
      <c r="J787" s="23">
        <f>VLOOKUP(I787,episodes!$A$1:$B$81,2,FALSE)</f>
        <v>34</v>
      </c>
      <c r="K787" s="16" t="str">
        <f>VLOOKUP(I787,episodes!$A$1:$E$81,5,FALSE)</f>
        <v>Mirror, Mirror</v>
      </c>
      <c r="L787" s="16">
        <f>VLOOKUP(I787,episodes!$A$1:$D$81,3,FALSE)</f>
        <v>2</v>
      </c>
      <c r="M787" s="16">
        <f>VLOOKUP(I787,episodes!$A$1:$D$81,4,FALSE)</f>
        <v>4</v>
      </c>
      <c r="O787" s="14">
        <v>0</v>
      </c>
      <c r="P787" s="24">
        <f>LEN(E787)+LEN(K787)</f>
        <v>119</v>
      </c>
      <c r="Q787" s="24">
        <f>COUNTIFS(B:B,B786)</f>
        <v>163</v>
      </c>
      <c r="R787" s="24">
        <f>COUNTIFS(D:D,#REF!)</f>
        <v>0</v>
      </c>
    </row>
    <row r="788" spans="1:18" x14ac:dyDescent="0.3">
      <c r="A788" s="14">
        <v>2442</v>
      </c>
      <c r="B788" s="21" t="s">
        <v>259</v>
      </c>
      <c r="C788" s="1" t="s">
        <v>1018</v>
      </c>
      <c r="D788" s="21" t="s">
        <v>1861</v>
      </c>
      <c r="E788" s="1" t="s">
        <v>717</v>
      </c>
      <c r="G788" s="14">
        <v>0</v>
      </c>
      <c r="H788" s="14">
        <v>1</v>
      </c>
      <c r="I788" s="22">
        <v>119</v>
      </c>
      <c r="J788" s="23">
        <f>VLOOKUP(I788,episodes!$A$1:$B$76,2,FALSE)</f>
        <v>20</v>
      </c>
      <c r="K788" s="16" t="str">
        <f>VLOOKUP(I788,episodes!$A$1:$E$81,5,FALSE)</f>
        <v>Tomorrow Is Yesterday</v>
      </c>
      <c r="L788" s="16">
        <f>VLOOKUP(I788,episodes!$A$1:$D$81,3,FALSE)</f>
        <v>1</v>
      </c>
      <c r="M788" s="16">
        <f>VLOOKUP(I788,episodes!$A$1:$D$81,4,FALSE)</f>
        <v>19</v>
      </c>
      <c r="O788" s="14">
        <v>0</v>
      </c>
      <c r="P788" s="24">
        <f>LEN(E788)+LEN(K788)</f>
        <v>81</v>
      </c>
      <c r="Q788" s="24">
        <f>COUNTIFS(B:B,B787)</f>
        <v>163</v>
      </c>
      <c r="R788" s="24">
        <f>COUNTIFS(D:D,#REF!)</f>
        <v>0</v>
      </c>
    </row>
    <row r="789" spans="1:18" x14ac:dyDescent="0.3">
      <c r="A789" s="14">
        <v>2441</v>
      </c>
      <c r="B789" s="21" t="s">
        <v>259</v>
      </c>
      <c r="C789" s="1" t="s">
        <v>1018</v>
      </c>
      <c r="D789" s="21" t="s">
        <v>1861</v>
      </c>
      <c r="E789" s="1" t="s">
        <v>2512</v>
      </c>
      <c r="G789" s="14">
        <v>0</v>
      </c>
      <c r="H789" s="14">
        <v>1</v>
      </c>
      <c r="I789" s="22">
        <v>118</v>
      </c>
      <c r="J789" s="23">
        <f>VLOOKUP(I789,episodes!$A$1:$B$76,2,FALSE)</f>
        <v>19</v>
      </c>
      <c r="K789" s="16" t="str">
        <f>VLOOKUP(I789,episodes!$A$1:$E$81,5,FALSE)</f>
        <v>Arena</v>
      </c>
      <c r="L789" s="16">
        <f>VLOOKUP(I789,episodes!$A$1:$D$81,3,FALSE)</f>
        <v>1</v>
      </c>
      <c r="M789" s="16">
        <f>VLOOKUP(I789,episodes!$A$1:$D$81,4,FALSE)</f>
        <v>18</v>
      </c>
      <c r="O789" s="14">
        <v>0</v>
      </c>
      <c r="P789" s="24">
        <f>LEN(E789)+LEN(K789)</f>
        <v>33</v>
      </c>
      <c r="Q789" s="24">
        <f>COUNTIFS(B:B,B788)</f>
        <v>163</v>
      </c>
      <c r="R789" s="24">
        <f>COUNTIFS(D:D,#REF!)</f>
        <v>0</v>
      </c>
    </row>
    <row r="790" spans="1:18" x14ac:dyDescent="0.3">
      <c r="A790" s="14">
        <v>2449</v>
      </c>
      <c r="B790" s="21" t="s">
        <v>259</v>
      </c>
      <c r="C790" s="1" t="s">
        <v>1018</v>
      </c>
      <c r="D790" s="21" t="s">
        <v>1861</v>
      </c>
      <c r="E790" s="1" t="s">
        <v>632</v>
      </c>
      <c r="G790" s="14">
        <v>0</v>
      </c>
      <c r="H790" s="14">
        <v>1</v>
      </c>
      <c r="I790" s="22">
        <v>121</v>
      </c>
      <c r="J790" s="23">
        <f>VLOOKUP(I790,episodes!$A$1:$B$76,2,FALSE)</f>
        <v>22</v>
      </c>
      <c r="K790" s="16" t="str">
        <f>VLOOKUP(I790,episodes!$A$1:$E$81,5,FALSE)</f>
        <v>The Return of the Archons</v>
      </c>
      <c r="L790" s="16">
        <f>VLOOKUP(I790,episodes!$A$1:$D$81,3,FALSE)</f>
        <v>1</v>
      </c>
      <c r="M790" s="16">
        <f>VLOOKUP(I790,episodes!$A$1:$D$81,4,FALSE)</f>
        <v>21</v>
      </c>
      <c r="O790" s="14">
        <v>0</v>
      </c>
      <c r="P790" s="24">
        <f>LEN(E790)+LEN(K790)</f>
        <v>75</v>
      </c>
      <c r="Q790" s="24">
        <f>COUNTIFS(B:B,B789)</f>
        <v>163</v>
      </c>
      <c r="R790" s="24">
        <f>COUNTIFS(D:D,#REF!)</f>
        <v>0</v>
      </c>
    </row>
    <row r="791" spans="1:18" x14ac:dyDescent="0.3">
      <c r="A791" s="14">
        <v>2428</v>
      </c>
      <c r="B791" s="21" t="s">
        <v>259</v>
      </c>
      <c r="C791" s="1" t="s">
        <v>1018</v>
      </c>
      <c r="D791" s="21" t="s">
        <v>1861</v>
      </c>
      <c r="E791" s="1" t="s">
        <v>2513</v>
      </c>
      <c r="G791" s="14">
        <v>0</v>
      </c>
      <c r="H791" s="14">
        <v>1</v>
      </c>
      <c r="I791" s="25">
        <v>105</v>
      </c>
      <c r="J791" s="23">
        <f>VLOOKUP(I791,episodes!$A$1:$B$76,2,FALSE)</f>
        <v>6</v>
      </c>
      <c r="K791" s="16" t="str">
        <f>VLOOKUP(I791,episodes!$A$1:$E$81,5,FALSE)</f>
        <v>The Enemy Within</v>
      </c>
      <c r="L791" s="16">
        <f>VLOOKUP(I791,episodes!$A$1:$D$81,3,FALSE)</f>
        <v>1</v>
      </c>
      <c r="M791" s="16">
        <f>VLOOKUP(I791,episodes!$A$1:$D$81,4,FALSE)</f>
        <v>5</v>
      </c>
      <c r="O791" s="14">
        <v>0</v>
      </c>
      <c r="P791" s="24">
        <f>LEN(E791)+LEN(K791)</f>
        <v>56</v>
      </c>
      <c r="Q791" s="24">
        <f>COUNTIFS(B:B,B790)</f>
        <v>163</v>
      </c>
      <c r="R791" s="24">
        <f>COUNTIFS(D:D,#REF!)</f>
        <v>0</v>
      </c>
    </row>
    <row r="792" spans="1:18" x14ac:dyDescent="0.3">
      <c r="A792" s="14">
        <v>2429</v>
      </c>
      <c r="B792" s="21" t="s">
        <v>259</v>
      </c>
      <c r="C792" s="1" t="s">
        <v>1018</v>
      </c>
      <c r="D792" s="21" t="s">
        <v>1861</v>
      </c>
      <c r="E792" s="1" t="s">
        <v>2514</v>
      </c>
      <c r="G792" s="14">
        <v>0</v>
      </c>
      <c r="H792" s="14">
        <v>1</v>
      </c>
      <c r="I792" s="25">
        <v>105</v>
      </c>
      <c r="J792" s="23">
        <f>VLOOKUP(I792,episodes!$A$1:$B$76,2,FALSE)</f>
        <v>6</v>
      </c>
      <c r="K792" s="16" t="str">
        <f>VLOOKUP(I792,episodes!$A$1:$E$81,5,FALSE)</f>
        <v>The Enemy Within</v>
      </c>
      <c r="L792" s="16">
        <f>VLOOKUP(I792,episodes!$A$1:$D$81,3,FALSE)</f>
        <v>1</v>
      </c>
      <c r="M792" s="16">
        <f>VLOOKUP(I792,episodes!$A$1:$D$81,4,FALSE)</f>
        <v>5</v>
      </c>
      <c r="O792" s="14">
        <v>0</v>
      </c>
      <c r="P792" s="24">
        <f>LEN(E792)+LEN(K792)</f>
        <v>56</v>
      </c>
      <c r="Q792" s="24">
        <f>COUNTIFS(B:B,B791)</f>
        <v>163</v>
      </c>
      <c r="R792" s="24">
        <f>COUNTIFS(D:D,#REF!)</f>
        <v>0</v>
      </c>
    </row>
    <row r="793" spans="1:18" x14ac:dyDescent="0.3">
      <c r="A793" s="14">
        <v>2430</v>
      </c>
      <c r="B793" s="21" t="s">
        <v>259</v>
      </c>
      <c r="C793" s="1" t="s">
        <v>1018</v>
      </c>
      <c r="D793" s="21" t="s">
        <v>1861</v>
      </c>
      <c r="E793" s="1" t="s">
        <v>2515</v>
      </c>
      <c r="G793" s="14">
        <v>0</v>
      </c>
      <c r="H793" s="14">
        <v>1</v>
      </c>
      <c r="I793" s="25">
        <v>105</v>
      </c>
      <c r="J793" s="23">
        <f>VLOOKUP(I793,episodes!$A$1:$B$76,2,FALSE)</f>
        <v>6</v>
      </c>
      <c r="K793" s="16" t="str">
        <f>VLOOKUP(I793,episodes!$A$1:$E$81,5,FALSE)</f>
        <v>The Enemy Within</v>
      </c>
      <c r="L793" s="16">
        <f>VLOOKUP(I793,episodes!$A$1:$D$81,3,FALSE)</f>
        <v>1</v>
      </c>
      <c r="M793" s="16">
        <f>VLOOKUP(I793,episodes!$A$1:$D$81,4,FALSE)</f>
        <v>5</v>
      </c>
      <c r="O793" s="14">
        <v>0</v>
      </c>
      <c r="P793" s="24">
        <f>LEN(E793)+LEN(K793)</f>
        <v>56</v>
      </c>
      <c r="Q793" s="24">
        <f>COUNTIFS(B:B,B792)</f>
        <v>163</v>
      </c>
      <c r="R793" s="24">
        <f>COUNTIFS(D:D,#REF!)</f>
        <v>0</v>
      </c>
    </row>
    <row r="794" spans="1:18" x14ac:dyDescent="0.3">
      <c r="A794" s="14">
        <v>2431</v>
      </c>
      <c r="B794" s="21" t="s">
        <v>259</v>
      </c>
      <c r="C794" s="1" t="s">
        <v>1018</v>
      </c>
      <c r="D794" s="21" t="s">
        <v>1861</v>
      </c>
      <c r="E794" s="1" t="s">
        <v>2516</v>
      </c>
      <c r="G794" s="14">
        <v>0</v>
      </c>
      <c r="H794" s="14">
        <v>1</v>
      </c>
      <c r="I794" s="25">
        <v>105</v>
      </c>
      <c r="J794" s="23">
        <f>VLOOKUP(I794,episodes!$A$1:$B$76,2,FALSE)</f>
        <v>6</v>
      </c>
      <c r="K794" s="16" t="str">
        <f>VLOOKUP(I794,episodes!$A$1:$E$81,5,FALSE)</f>
        <v>The Enemy Within</v>
      </c>
      <c r="L794" s="16">
        <f>VLOOKUP(I794,episodes!$A$1:$D$81,3,FALSE)</f>
        <v>1</v>
      </c>
      <c r="M794" s="16">
        <f>VLOOKUP(I794,episodes!$A$1:$D$81,4,FALSE)</f>
        <v>5</v>
      </c>
      <c r="O794" s="14">
        <v>0</v>
      </c>
      <c r="P794" s="24">
        <f>LEN(E794)+LEN(K794)</f>
        <v>56</v>
      </c>
      <c r="Q794" s="24">
        <f>COUNTIFS(B:B,B793)</f>
        <v>163</v>
      </c>
      <c r="R794" s="24">
        <f>COUNTIFS(D:D,#REF!)</f>
        <v>0</v>
      </c>
    </row>
    <row r="795" spans="1:18" x14ac:dyDescent="0.3">
      <c r="A795" s="14">
        <v>2518</v>
      </c>
      <c r="B795" s="21" t="s">
        <v>259</v>
      </c>
      <c r="C795" s="1" t="s">
        <v>1018</v>
      </c>
      <c r="D795" s="21" t="s">
        <v>1863</v>
      </c>
      <c r="E795" s="1" t="s">
        <v>716</v>
      </c>
      <c r="G795" s="14">
        <v>1</v>
      </c>
      <c r="H795" s="14">
        <v>0</v>
      </c>
      <c r="I795" s="22">
        <v>128</v>
      </c>
      <c r="J795" s="23">
        <f>VLOOKUP(I795,episodes!$A$1:$B$76,2,FALSE)</f>
        <v>29</v>
      </c>
      <c r="K795" s="16" t="str">
        <f>VLOOKUP(I795,episodes!$A$1:$E$81,5,FALSE)</f>
        <v>The City on the Edge of Forever</v>
      </c>
      <c r="L795" s="16">
        <f>VLOOKUP(I795,episodes!$A$1:$D$81,3,FALSE)</f>
        <v>1</v>
      </c>
      <c r="M795" s="16">
        <f>VLOOKUP(I795,episodes!$A$1:$D$81,4,FALSE)</f>
        <v>28</v>
      </c>
      <c r="O795" s="14">
        <v>0</v>
      </c>
      <c r="P795" s="24">
        <f>LEN(E795)+LEN(K795)</f>
        <v>129</v>
      </c>
      <c r="Q795" s="24">
        <f>COUNTIFS(B:B,B794)</f>
        <v>163</v>
      </c>
      <c r="R795" s="24">
        <f>COUNTIFS(D:D,#REF!)</f>
        <v>0</v>
      </c>
    </row>
    <row r="796" spans="1:18" x14ac:dyDescent="0.3">
      <c r="A796" s="14">
        <v>2519</v>
      </c>
      <c r="B796" s="21" t="s">
        <v>259</v>
      </c>
      <c r="C796" s="1" t="s">
        <v>1018</v>
      </c>
      <c r="D796" s="21" t="s">
        <v>1863</v>
      </c>
      <c r="E796" s="1" t="s">
        <v>718</v>
      </c>
      <c r="G796" s="14">
        <v>1</v>
      </c>
      <c r="H796" s="14">
        <v>0</v>
      </c>
      <c r="I796" s="22">
        <v>128</v>
      </c>
      <c r="J796" s="23">
        <f>VLOOKUP(I796,episodes!$A$1:$B$76,2,FALSE)</f>
        <v>29</v>
      </c>
      <c r="K796" s="16" t="str">
        <f>VLOOKUP(I796,episodes!$A$1:$E$81,5,FALSE)</f>
        <v>The City on the Edge of Forever</v>
      </c>
      <c r="L796" s="16">
        <f>VLOOKUP(I796,episodes!$A$1:$D$81,3,FALSE)</f>
        <v>1</v>
      </c>
      <c r="M796" s="16">
        <f>VLOOKUP(I796,episodes!$A$1:$D$81,4,FALSE)</f>
        <v>28</v>
      </c>
      <c r="O796" s="14">
        <v>0</v>
      </c>
      <c r="P796" s="24">
        <f>LEN(E796)+LEN(K796)</f>
        <v>81</v>
      </c>
      <c r="Q796" s="24">
        <f>COUNTIFS(B:B,B795)</f>
        <v>163</v>
      </c>
      <c r="R796" s="24">
        <f>COUNTIFS(D:D,#REF!)</f>
        <v>0</v>
      </c>
    </row>
    <row r="797" spans="1:18" x14ac:dyDescent="0.3">
      <c r="A797" s="14">
        <v>2520</v>
      </c>
      <c r="B797" s="21" t="s">
        <v>259</v>
      </c>
      <c r="C797" s="1" t="s">
        <v>1018</v>
      </c>
      <c r="D797" s="21" t="s">
        <v>1863</v>
      </c>
      <c r="E797" s="1" t="s">
        <v>2505</v>
      </c>
      <c r="G797" s="14">
        <v>1</v>
      </c>
      <c r="H797" s="14">
        <v>0</v>
      </c>
      <c r="I797" s="22">
        <v>128</v>
      </c>
      <c r="J797" s="23">
        <f>VLOOKUP(I797,episodes!$A$1:$B$76,2,FALSE)</f>
        <v>29</v>
      </c>
      <c r="K797" s="16" t="str">
        <f>VLOOKUP(I797,episodes!$A$1:$E$81,5,FALSE)</f>
        <v>The City on the Edge of Forever</v>
      </c>
      <c r="L797" s="16">
        <f>VLOOKUP(I797,episodes!$A$1:$D$81,3,FALSE)</f>
        <v>1</v>
      </c>
      <c r="M797" s="16">
        <f>VLOOKUP(I797,episodes!$A$1:$D$81,4,FALSE)</f>
        <v>28</v>
      </c>
      <c r="O797" s="14">
        <v>0</v>
      </c>
      <c r="P797" s="24">
        <f>LEN(E797)+LEN(K797)</f>
        <v>53</v>
      </c>
      <c r="Q797" s="24">
        <f>COUNTIFS(B:B,B796)</f>
        <v>163</v>
      </c>
      <c r="R797" s="24">
        <f>COUNTIFS(D:D,#REF!)</f>
        <v>0</v>
      </c>
    </row>
    <row r="798" spans="1:18" x14ac:dyDescent="0.3">
      <c r="A798" s="14">
        <v>2535</v>
      </c>
      <c r="B798" s="21" t="s">
        <v>259</v>
      </c>
      <c r="C798" s="1" t="s">
        <v>1018</v>
      </c>
      <c r="D798" s="21" t="s">
        <v>1863</v>
      </c>
      <c r="E798" s="1" t="s">
        <v>2506</v>
      </c>
      <c r="G798" s="14">
        <v>1</v>
      </c>
      <c r="H798" s="14">
        <v>0</v>
      </c>
      <c r="I798" s="25">
        <v>204</v>
      </c>
      <c r="J798" s="23">
        <f>VLOOKUP(I798,episodes!$A$1:$B$81,2,FALSE)</f>
        <v>34</v>
      </c>
      <c r="K798" s="16" t="str">
        <f>VLOOKUP(I798,episodes!$A$1:$E$81,5,FALSE)</f>
        <v>Mirror, Mirror</v>
      </c>
      <c r="L798" s="16">
        <f>VLOOKUP(I798,episodes!$A$1:$D$81,3,FALSE)</f>
        <v>2</v>
      </c>
      <c r="M798" s="16">
        <f>VLOOKUP(I798,episodes!$A$1:$D$81,4,FALSE)</f>
        <v>4</v>
      </c>
      <c r="O798" s="14">
        <v>0</v>
      </c>
      <c r="P798" s="24">
        <f>LEN(E798)+LEN(K798)</f>
        <v>31</v>
      </c>
      <c r="Q798" s="24">
        <f>COUNTIFS(B:B,B797)</f>
        <v>163</v>
      </c>
      <c r="R798" s="24">
        <f>COUNTIFS(D:D,#REF!)</f>
        <v>0</v>
      </c>
    </row>
    <row r="799" spans="1:18" x14ac:dyDescent="0.3">
      <c r="A799" s="14">
        <v>2536</v>
      </c>
      <c r="B799" s="21" t="s">
        <v>259</v>
      </c>
      <c r="C799" s="1" t="s">
        <v>1018</v>
      </c>
      <c r="D799" s="21" t="s">
        <v>1863</v>
      </c>
      <c r="E799" s="1" t="s">
        <v>2507</v>
      </c>
      <c r="G799" s="14">
        <v>1</v>
      </c>
      <c r="H799" s="14">
        <v>0</v>
      </c>
      <c r="I799" s="25">
        <v>204</v>
      </c>
      <c r="J799" s="23">
        <f>VLOOKUP(I799,episodes!$A$1:$B$81,2,FALSE)</f>
        <v>34</v>
      </c>
      <c r="K799" s="16" t="str">
        <f>VLOOKUP(I799,episodes!$A$1:$E$81,5,FALSE)</f>
        <v>Mirror, Mirror</v>
      </c>
      <c r="L799" s="16">
        <f>VLOOKUP(I799,episodes!$A$1:$D$81,3,FALSE)</f>
        <v>2</v>
      </c>
      <c r="M799" s="16">
        <f>VLOOKUP(I799,episodes!$A$1:$D$81,4,FALSE)</f>
        <v>4</v>
      </c>
      <c r="O799" s="14">
        <v>0</v>
      </c>
      <c r="P799" s="24">
        <f>LEN(E799)+LEN(K799)</f>
        <v>43</v>
      </c>
      <c r="Q799" s="24">
        <f>COUNTIFS(B:B,B798)</f>
        <v>163</v>
      </c>
      <c r="R799" s="24">
        <f>COUNTIFS(D:D,#REF!)</f>
        <v>0</v>
      </c>
    </row>
    <row r="800" spans="1:18" x14ac:dyDescent="0.3">
      <c r="A800" s="14">
        <v>2733</v>
      </c>
      <c r="B800" s="21" t="s">
        <v>259</v>
      </c>
      <c r="C800" s="1" t="s">
        <v>1018</v>
      </c>
      <c r="D800" s="1" t="s">
        <v>2225</v>
      </c>
      <c r="E800" s="1" t="s">
        <v>2870</v>
      </c>
      <c r="G800" s="14">
        <v>0</v>
      </c>
      <c r="H800" s="14">
        <v>0</v>
      </c>
      <c r="I800" s="25">
        <v>108</v>
      </c>
      <c r="J800" s="23">
        <f>VLOOKUP(I800,episodes!$A$1:$B$76,2,FALSE)</f>
        <v>9</v>
      </c>
      <c r="K800" s="16" t="str">
        <f>VLOOKUP(I800,episodes!$A$1:$E$81,5,FALSE)</f>
        <v>Miri</v>
      </c>
      <c r="L800" s="16">
        <f>VLOOKUP(I800,episodes!$A$1:$D$81,3,FALSE)</f>
        <v>1</v>
      </c>
      <c r="M800" s="16">
        <f>VLOOKUP(I800,episodes!$A$1:$D$81,4,FALSE)</f>
        <v>8</v>
      </c>
      <c r="O800" s="14">
        <v>0</v>
      </c>
      <c r="P800" s="24">
        <f>LEN(E800)+LEN(K800)</f>
        <v>27</v>
      </c>
      <c r="Q800" s="24">
        <f>COUNTIFS(B:B,B799)</f>
        <v>163</v>
      </c>
      <c r="R800" s="24">
        <f>COUNTIFS(D:D,#REF!)</f>
        <v>0</v>
      </c>
    </row>
    <row r="801" spans="1:18" x14ac:dyDescent="0.3">
      <c r="A801" s="14">
        <v>1009</v>
      </c>
      <c r="B801" s="21" t="s">
        <v>537</v>
      </c>
      <c r="C801" s="32" t="s">
        <v>2603</v>
      </c>
      <c r="D801" s="1" t="s">
        <v>2622</v>
      </c>
      <c r="E801" s="1" t="s">
        <v>422</v>
      </c>
      <c r="F801" s="21" t="s">
        <v>4</v>
      </c>
      <c r="G801" s="14">
        <v>0</v>
      </c>
      <c r="H801" s="14">
        <v>0</v>
      </c>
      <c r="I801" s="22">
        <v>128</v>
      </c>
      <c r="J801" s="23">
        <f>VLOOKUP(I801,episodes!$A$1:$B$76,2,FALSE)</f>
        <v>29</v>
      </c>
      <c r="K801" s="16" t="str">
        <f>VLOOKUP(I801,episodes!$A$1:$E$81,5,FALSE)</f>
        <v>The City on the Edge of Forever</v>
      </c>
      <c r="L801" s="16">
        <f>VLOOKUP(I801,episodes!$A$1:$D$81,3,FALSE)</f>
        <v>1</v>
      </c>
      <c r="M801" s="16">
        <f>VLOOKUP(I801,episodes!$A$1:$D$81,4,FALSE)</f>
        <v>28</v>
      </c>
      <c r="O801" s="14">
        <v>0</v>
      </c>
      <c r="P801" s="24">
        <f>LEN(E801)+LEN(K801)</f>
        <v>75</v>
      </c>
      <c r="Q801" s="24"/>
      <c r="R801" s="24">
        <f>COUNTIFS(D:D,C801)</f>
        <v>0</v>
      </c>
    </row>
    <row r="802" spans="1:18" x14ac:dyDescent="0.3">
      <c r="A802" s="14">
        <v>535</v>
      </c>
      <c r="B802" s="21" t="s">
        <v>293</v>
      </c>
      <c r="C802" s="21" t="s">
        <v>2603</v>
      </c>
      <c r="D802" s="1" t="s">
        <v>2667</v>
      </c>
      <c r="E802" s="1" t="s">
        <v>423</v>
      </c>
      <c r="F802" s="21" t="s">
        <v>4</v>
      </c>
      <c r="G802" s="14">
        <v>1</v>
      </c>
      <c r="H802" s="14">
        <v>0</v>
      </c>
      <c r="I802" s="22">
        <v>128</v>
      </c>
      <c r="J802" s="23">
        <f>VLOOKUP(I802,episodes!$A$1:$B$76,2,FALSE)</f>
        <v>29</v>
      </c>
      <c r="K802" s="16" t="str">
        <f>VLOOKUP(I802,episodes!$A$1:$E$81,5,FALSE)</f>
        <v>The City on the Edge of Forever</v>
      </c>
      <c r="L802" s="16">
        <f>VLOOKUP(I802,episodes!$A$1:$D$81,3,FALSE)</f>
        <v>1</v>
      </c>
      <c r="M802" s="16">
        <f>VLOOKUP(I802,episodes!$A$1:$D$81,4,FALSE)</f>
        <v>28</v>
      </c>
      <c r="O802" s="14">
        <v>0</v>
      </c>
      <c r="P802" s="24">
        <f>LEN(E802)+LEN(K802)</f>
        <v>84</v>
      </c>
      <c r="Q802" s="24">
        <f>COUNTIFS(B:B,#REF!)</f>
        <v>0</v>
      </c>
      <c r="R802" s="24">
        <f>COUNTIFS(D:D,D802)</f>
        <v>11</v>
      </c>
    </row>
    <row r="803" spans="1:18" x14ac:dyDescent="0.3">
      <c r="A803" s="14">
        <v>1037</v>
      </c>
      <c r="B803" s="21" t="s">
        <v>293</v>
      </c>
      <c r="C803" s="21" t="s">
        <v>2603</v>
      </c>
      <c r="D803" s="1" t="s">
        <v>2667</v>
      </c>
      <c r="E803" s="1" t="s">
        <v>1773</v>
      </c>
      <c r="F803" s="21" t="s">
        <v>4</v>
      </c>
      <c r="G803" s="14">
        <v>1</v>
      </c>
      <c r="H803" s="14">
        <v>0</v>
      </c>
      <c r="I803" s="25">
        <v>113</v>
      </c>
      <c r="J803" s="23">
        <f>VLOOKUP(I803,episodes!$A$1:$B$76,2,FALSE)</f>
        <v>14</v>
      </c>
      <c r="K803" s="16" t="str">
        <f>VLOOKUP(I803,episodes!$A$1:$E$81,5,FALSE)</f>
        <v>The Conscience of the King</v>
      </c>
      <c r="L803" s="16">
        <f>VLOOKUP(I803,episodes!$A$1:$D$81,3,FALSE)</f>
        <v>1</v>
      </c>
      <c r="M803" s="16">
        <f>VLOOKUP(I803,episodes!$A$1:$D$81,4,FALSE)</f>
        <v>13</v>
      </c>
      <c r="O803" s="14">
        <v>0</v>
      </c>
      <c r="P803" s="24">
        <f>LEN(E803)+LEN(K803)</f>
        <v>103</v>
      </c>
      <c r="Q803" s="24">
        <f>COUNTIFS(B:B,#REF!)</f>
        <v>0</v>
      </c>
      <c r="R803" s="24">
        <f>COUNTIFS(D:D,D803)</f>
        <v>11</v>
      </c>
    </row>
    <row r="804" spans="1:18" x14ac:dyDescent="0.3">
      <c r="A804" s="14">
        <v>1680</v>
      </c>
      <c r="B804" s="21" t="s">
        <v>293</v>
      </c>
      <c r="C804" s="21" t="s">
        <v>2603</v>
      </c>
      <c r="D804" s="1" t="s">
        <v>2667</v>
      </c>
      <c r="E804" s="1" t="s">
        <v>398</v>
      </c>
      <c r="F804" s="21" t="s">
        <v>8</v>
      </c>
      <c r="G804" s="14">
        <v>0</v>
      </c>
      <c r="H804" s="14">
        <v>1</v>
      </c>
      <c r="I804" s="22">
        <v>115</v>
      </c>
      <c r="J804" s="23">
        <f>VLOOKUP(I804,episodes!$A$1:$B$76,2,FALSE)</f>
        <v>16</v>
      </c>
      <c r="K804" s="16" t="str">
        <f>VLOOKUP(I804,episodes!$A$1:$E$81,5,FALSE)</f>
        <v>Shore Leave</v>
      </c>
      <c r="L804" s="16">
        <f>VLOOKUP(I804,episodes!$A$1:$D$81,3,FALSE)</f>
        <v>1</v>
      </c>
      <c r="M804" s="16">
        <f>VLOOKUP(I804,episodes!$A$1:$D$81,4,FALSE)</f>
        <v>15</v>
      </c>
      <c r="O804" s="14">
        <v>0</v>
      </c>
      <c r="P804" s="24">
        <f>LEN(E804)+LEN(K804)</f>
        <v>62</v>
      </c>
      <c r="Q804" s="24">
        <f>COUNTIFS(B:B,#REF!)</f>
        <v>0</v>
      </c>
      <c r="R804" s="24">
        <f>COUNTIFS(D:D,D804)</f>
        <v>11</v>
      </c>
    </row>
    <row r="805" spans="1:18" x14ac:dyDescent="0.3">
      <c r="A805" s="14">
        <v>1682</v>
      </c>
      <c r="B805" s="21" t="s">
        <v>293</v>
      </c>
      <c r="C805" s="21" t="s">
        <v>2603</v>
      </c>
      <c r="D805" s="1" t="s">
        <v>2667</v>
      </c>
      <c r="E805" s="1" t="s">
        <v>399</v>
      </c>
      <c r="F805" s="21" t="s">
        <v>8</v>
      </c>
      <c r="G805" s="14">
        <v>0</v>
      </c>
      <c r="H805" s="14">
        <v>1</v>
      </c>
      <c r="I805" s="22">
        <v>115</v>
      </c>
      <c r="J805" s="23">
        <f>VLOOKUP(I805,episodes!$A$1:$B$76,2,FALSE)</f>
        <v>16</v>
      </c>
      <c r="K805" s="16" t="str">
        <f>VLOOKUP(I805,episodes!$A$1:$E$81,5,FALSE)</f>
        <v>Shore Leave</v>
      </c>
      <c r="L805" s="16">
        <f>VLOOKUP(I805,episodes!$A$1:$D$81,3,FALSE)</f>
        <v>1</v>
      </c>
      <c r="M805" s="16">
        <f>VLOOKUP(I805,episodes!$A$1:$D$81,4,FALSE)</f>
        <v>15</v>
      </c>
      <c r="O805" s="14">
        <v>0</v>
      </c>
      <c r="P805" s="24">
        <f>LEN(E805)+LEN(K805)</f>
        <v>86</v>
      </c>
      <c r="Q805" s="24">
        <f>COUNTIFS(B:B,#REF!)</f>
        <v>0</v>
      </c>
      <c r="R805" s="24">
        <f>COUNTIFS(D:D,D805)</f>
        <v>11</v>
      </c>
    </row>
    <row r="806" spans="1:18" x14ac:dyDescent="0.3">
      <c r="A806" s="14">
        <v>402</v>
      </c>
      <c r="B806" s="21" t="s">
        <v>293</v>
      </c>
      <c r="C806" s="21" t="s">
        <v>2603</v>
      </c>
      <c r="D806" s="1" t="s">
        <v>2667</v>
      </c>
      <c r="E806" s="1" t="s">
        <v>2092</v>
      </c>
      <c r="F806" s="21" t="s">
        <v>2</v>
      </c>
      <c r="G806" s="14">
        <v>0</v>
      </c>
      <c r="H806" s="14">
        <v>0</v>
      </c>
      <c r="I806" s="22">
        <v>210</v>
      </c>
      <c r="J806" s="23">
        <f>VLOOKUP(I806,episodes!$A$1:$B$81,2,FALSE)</f>
        <v>40</v>
      </c>
      <c r="K806" s="16" t="str">
        <f>VLOOKUP(I806,episodes!$A$1:$E$81,5,FALSE)</f>
        <v>Journey to Babel</v>
      </c>
      <c r="L806" s="16">
        <f>VLOOKUP(I806,episodes!$A$1:$D$81,3,FALSE)</f>
        <v>2</v>
      </c>
      <c r="M806" s="16">
        <f>VLOOKUP(I806,episodes!$A$1:$D$81,4,FALSE)</f>
        <v>10</v>
      </c>
      <c r="O806" s="14">
        <v>0</v>
      </c>
      <c r="P806" s="24">
        <f>LEN(E806)+LEN(K806)</f>
        <v>62</v>
      </c>
      <c r="Q806" s="24">
        <f>COUNTIFS(B:B,B805)</f>
        <v>11</v>
      </c>
      <c r="R806" s="24">
        <f>COUNTIFS(D:D,D806)</f>
        <v>11</v>
      </c>
    </row>
    <row r="807" spans="1:18" x14ac:dyDescent="0.3">
      <c r="A807" s="14">
        <v>403</v>
      </c>
      <c r="B807" s="21" t="s">
        <v>293</v>
      </c>
      <c r="C807" s="21" t="s">
        <v>2603</v>
      </c>
      <c r="D807" s="1" t="s">
        <v>2667</v>
      </c>
      <c r="E807" s="1" t="s">
        <v>2093</v>
      </c>
      <c r="F807" s="21" t="s">
        <v>2</v>
      </c>
      <c r="G807" s="14">
        <v>0</v>
      </c>
      <c r="H807" s="14">
        <v>0</v>
      </c>
      <c r="I807" s="22">
        <v>210</v>
      </c>
      <c r="J807" s="23">
        <f>VLOOKUP(I807,episodes!$A$1:$B$81,2,FALSE)</f>
        <v>40</v>
      </c>
      <c r="K807" s="16" t="str">
        <f>VLOOKUP(I807,episodes!$A$1:$E$81,5,FALSE)</f>
        <v>Journey to Babel</v>
      </c>
      <c r="L807" s="16">
        <f>VLOOKUP(I807,episodes!$A$1:$D$81,3,FALSE)</f>
        <v>2</v>
      </c>
      <c r="M807" s="16">
        <f>VLOOKUP(I807,episodes!$A$1:$D$81,4,FALSE)</f>
        <v>10</v>
      </c>
      <c r="O807" s="14">
        <v>0</v>
      </c>
      <c r="P807" s="24">
        <f>LEN(E807)+LEN(K807)</f>
        <v>87</v>
      </c>
      <c r="Q807" s="24">
        <f>COUNTIFS(B:B,#REF!)</f>
        <v>0</v>
      </c>
      <c r="R807" s="24">
        <f>COUNTIFS(D:D,D807)</f>
        <v>11</v>
      </c>
    </row>
    <row r="808" spans="1:18" x14ac:dyDescent="0.3">
      <c r="A808" s="14">
        <v>404</v>
      </c>
      <c r="B808" s="21" t="s">
        <v>293</v>
      </c>
      <c r="C808" s="21" t="s">
        <v>2603</v>
      </c>
      <c r="D808" s="1" t="s">
        <v>2667</v>
      </c>
      <c r="E808" s="1" t="s">
        <v>2094</v>
      </c>
      <c r="F808" s="21" t="s">
        <v>2</v>
      </c>
      <c r="G808" s="14">
        <v>0</v>
      </c>
      <c r="H808" s="14">
        <v>0</v>
      </c>
      <c r="I808" s="22">
        <v>210</v>
      </c>
      <c r="J808" s="23">
        <f>VLOOKUP(I808,episodes!$A$1:$B$81,2,FALSE)</f>
        <v>40</v>
      </c>
      <c r="K808" s="16" t="str">
        <f>VLOOKUP(I808,episodes!$A$1:$E$81,5,FALSE)</f>
        <v>Journey to Babel</v>
      </c>
      <c r="L808" s="16">
        <f>VLOOKUP(I808,episodes!$A$1:$D$81,3,FALSE)</f>
        <v>2</v>
      </c>
      <c r="M808" s="16">
        <f>VLOOKUP(I808,episodes!$A$1:$D$81,4,FALSE)</f>
        <v>10</v>
      </c>
      <c r="O808" s="14">
        <v>0</v>
      </c>
      <c r="P808" s="24">
        <f>LEN(E808)+LEN(K808)</f>
        <v>75</v>
      </c>
      <c r="Q808" s="24">
        <f>COUNTIFS(B:B,#REF!)</f>
        <v>0</v>
      </c>
      <c r="R808" s="24">
        <f>COUNTIFS(D:D,D808)</f>
        <v>11</v>
      </c>
    </row>
    <row r="809" spans="1:18" x14ac:dyDescent="0.3">
      <c r="A809" s="14">
        <v>405</v>
      </c>
      <c r="B809" s="21" t="s">
        <v>293</v>
      </c>
      <c r="C809" s="21" t="s">
        <v>2603</v>
      </c>
      <c r="D809" s="1" t="s">
        <v>2667</v>
      </c>
      <c r="E809" s="1" t="s">
        <v>2095</v>
      </c>
      <c r="F809" s="21" t="s">
        <v>2</v>
      </c>
      <c r="G809" s="14">
        <v>0</v>
      </c>
      <c r="H809" s="14">
        <v>0</v>
      </c>
      <c r="I809" s="22">
        <v>210</v>
      </c>
      <c r="J809" s="23">
        <f>VLOOKUP(I809,episodes!$A$1:$B$81,2,FALSE)</f>
        <v>40</v>
      </c>
      <c r="K809" s="16" t="str">
        <f>VLOOKUP(I809,episodes!$A$1:$E$81,5,FALSE)</f>
        <v>Journey to Babel</v>
      </c>
      <c r="L809" s="16">
        <f>VLOOKUP(I809,episodes!$A$1:$D$81,3,FALSE)</f>
        <v>2</v>
      </c>
      <c r="M809" s="16">
        <f>VLOOKUP(I809,episodes!$A$1:$D$81,4,FALSE)</f>
        <v>10</v>
      </c>
      <c r="O809" s="14">
        <v>0</v>
      </c>
      <c r="P809" s="24">
        <f>LEN(E809)+LEN(K809)</f>
        <v>74</v>
      </c>
      <c r="Q809" s="24">
        <f>COUNTIFS(B:B,#REF!)</f>
        <v>0</v>
      </c>
      <c r="R809" s="24">
        <f>COUNTIFS(D:D,D809)</f>
        <v>11</v>
      </c>
    </row>
    <row r="810" spans="1:18" x14ac:dyDescent="0.3">
      <c r="A810" s="14">
        <v>406</v>
      </c>
      <c r="B810" s="21" t="s">
        <v>293</v>
      </c>
      <c r="C810" s="21" t="s">
        <v>2603</v>
      </c>
      <c r="D810" s="1" t="s">
        <v>2667</v>
      </c>
      <c r="E810" s="1" t="s">
        <v>2096</v>
      </c>
      <c r="F810" s="21" t="s">
        <v>2</v>
      </c>
      <c r="G810" s="14">
        <v>0</v>
      </c>
      <c r="H810" s="14">
        <v>0</v>
      </c>
      <c r="I810" s="22">
        <v>210</v>
      </c>
      <c r="J810" s="23">
        <f>VLOOKUP(I810,episodes!$A$1:$B$81,2,FALSE)</f>
        <v>40</v>
      </c>
      <c r="K810" s="16" t="str">
        <f>VLOOKUP(I810,episodes!$A$1:$E$81,5,FALSE)</f>
        <v>Journey to Babel</v>
      </c>
      <c r="L810" s="16">
        <f>VLOOKUP(I810,episodes!$A$1:$D$81,3,FALSE)</f>
        <v>2</v>
      </c>
      <c r="M810" s="16">
        <f>VLOOKUP(I810,episodes!$A$1:$D$81,4,FALSE)</f>
        <v>10</v>
      </c>
      <c r="O810" s="14">
        <v>0</v>
      </c>
      <c r="P810" s="24">
        <f>LEN(E810)+LEN(K810)</f>
        <v>72</v>
      </c>
      <c r="Q810" s="24">
        <f>COUNTIFS(B:B,#REF!)</f>
        <v>0</v>
      </c>
      <c r="R810" s="24">
        <f>COUNTIFS(D:D,D810)</f>
        <v>11</v>
      </c>
    </row>
    <row r="811" spans="1:18" x14ac:dyDescent="0.3">
      <c r="A811" s="14">
        <v>2359</v>
      </c>
      <c r="B811" s="21" t="s">
        <v>293</v>
      </c>
      <c r="C811" s="21" t="s">
        <v>2603</v>
      </c>
      <c r="D811" s="1" t="s">
        <v>2667</v>
      </c>
      <c r="E811" s="1" t="s">
        <v>664</v>
      </c>
      <c r="F811" s="21" t="s">
        <v>5</v>
      </c>
      <c r="G811" s="14">
        <v>1</v>
      </c>
      <c r="H811" s="14">
        <v>0</v>
      </c>
      <c r="I811" s="22">
        <v>124</v>
      </c>
      <c r="J811" s="23">
        <f>VLOOKUP(I811,episodes!$A$1:$B$76,2,FALSE)</f>
        <v>25</v>
      </c>
      <c r="K811" s="16" t="str">
        <f>VLOOKUP(I811,episodes!$A$1:$E$81,5,FALSE)</f>
        <v>This Side of Paradise</v>
      </c>
      <c r="L811" s="16">
        <f>VLOOKUP(I811,episodes!$A$1:$D$81,3,FALSE)</f>
        <v>1</v>
      </c>
      <c r="M811" s="16">
        <f>VLOOKUP(I811,episodes!$A$1:$D$81,4,FALSE)</f>
        <v>24</v>
      </c>
      <c r="O811" s="14">
        <v>0</v>
      </c>
      <c r="P811" s="24">
        <f>LEN(E811)+LEN(K811)</f>
        <v>76</v>
      </c>
      <c r="Q811" s="24">
        <f>COUNTIFS(B:B,B810)</f>
        <v>11</v>
      </c>
      <c r="R811" s="24">
        <f>COUNTIFS(D:D,D811)</f>
        <v>11</v>
      </c>
    </row>
    <row r="812" spans="1:18" x14ac:dyDescent="0.3">
      <c r="A812" s="14">
        <v>398</v>
      </c>
      <c r="B812" s="21" t="s">
        <v>293</v>
      </c>
      <c r="C812" s="21" t="s">
        <v>2603</v>
      </c>
      <c r="D812" s="1" t="s">
        <v>2667</v>
      </c>
      <c r="E812" s="1" t="s">
        <v>1589</v>
      </c>
      <c r="F812" s="21" t="s">
        <v>2</v>
      </c>
      <c r="G812" s="14">
        <v>0</v>
      </c>
      <c r="H812" s="14">
        <v>0</v>
      </c>
      <c r="I812" s="14">
        <v>209</v>
      </c>
      <c r="J812" s="23">
        <f>VLOOKUP(I812,episodes!$A$1:$B$81,2,FALSE)</f>
        <v>39</v>
      </c>
      <c r="K812" s="16" t="str">
        <f>VLOOKUP(I812,episodes!$A$1:$E$81,5,FALSE)</f>
        <v>Metamorphosis</v>
      </c>
      <c r="L812" s="16">
        <f>VLOOKUP(I812,episodes!$A$1:$D$81,3,FALSE)</f>
        <v>2</v>
      </c>
      <c r="M812" s="16">
        <f>VLOOKUP(I812,episodes!$A$1:$D$81,4,FALSE)</f>
        <v>9</v>
      </c>
      <c r="O812" s="14">
        <v>0</v>
      </c>
      <c r="P812" s="24">
        <f>LEN(E812)+LEN(K812)</f>
        <v>86</v>
      </c>
      <c r="Q812" s="24">
        <f>COUNTIFS(B:B,#REF!)</f>
        <v>0</v>
      </c>
      <c r="R812" s="24">
        <f>COUNTIFS(D:D,D812)</f>
        <v>11</v>
      </c>
    </row>
    <row r="813" spans="1:18" x14ac:dyDescent="0.3">
      <c r="A813" s="14">
        <v>151</v>
      </c>
      <c r="B813" s="21" t="s">
        <v>911</v>
      </c>
      <c r="C813" s="21" t="s">
        <v>2603</v>
      </c>
      <c r="D813" s="21" t="s">
        <v>2668</v>
      </c>
      <c r="E813" s="1" t="s">
        <v>912</v>
      </c>
      <c r="F813" s="21" t="s">
        <v>7</v>
      </c>
      <c r="G813" s="14">
        <v>0</v>
      </c>
      <c r="H813" s="14">
        <v>2</v>
      </c>
      <c r="I813" s="25">
        <v>205</v>
      </c>
      <c r="J813" s="23">
        <f>VLOOKUP(I813,episodes!$A$1:$B$81,2,FALSE)</f>
        <v>35</v>
      </c>
      <c r="K813" s="16" t="str">
        <f>VLOOKUP(I813,episodes!$A$1:$E$81,5,FALSE)</f>
        <v>The Apple</v>
      </c>
      <c r="L813" s="16">
        <f>VLOOKUP(I813,episodes!$A$1:$D$81,3,FALSE)</f>
        <v>2</v>
      </c>
      <c r="M813" s="16">
        <f>VLOOKUP(I813,episodes!$A$1:$D$81,4,FALSE)</f>
        <v>5</v>
      </c>
      <c r="O813" s="14">
        <v>0</v>
      </c>
      <c r="P813" s="24">
        <f>LEN(E813)+LEN(K813)</f>
        <v>74</v>
      </c>
      <c r="Q813" s="24">
        <f>COUNTIFS(B:B,#REF!)</f>
        <v>0</v>
      </c>
      <c r="R813" s="24">
        <f>COUNTIFS(D:D,D813)</f>
        <v>25</v>
      </c>
    </row>
    <row r="814" spans="1:18" x14ac:dyDescent="0.3">
      <c r="A814" s="14">
        <v>154</v>
      </c>
      <c r="B814" s="21" t="s">
        <v>911</v>
      </c>
      <c r="C814" s="21" t="s">
        <v>2603</v>
      </c>
      <c r="D814" s="21" t="s">
        <v>2668</v>
      </c>
      <c r="E814" s="1" t="s">
        <v>541</v>
      </c>
      <c r="F814" s="21" t="s">
        <v>7</v>
      </c>
      <c r="G814" s="14">
        <v>0</v>
      </c>
      <c r="H814" s="14">
        <v>2</v>
      </c>
      <c r="I814" s="25">
        <v>205</v>
      </c>
      <c r="J814" s="23">
        <f>VLOOKUP(I814,episodes!$A$1:$B$81,2,FALSE)</f>
        <v>35</v>
      </c>
      <c r="K814" s="16" t="str">
        <f>VLOOKUP(I814,episodes!$A$1:$E$81,5,FALSE)</f>
        <v>The Apple</v>
      </c>
      <c r="L814" s="16">
        <f>VLOOKUP(I814,episodes!$A$1:$D$81,3,FALSE)</f>
        <v>2</v>
      </c>
      <c r="M814" s="16">
        <f>VLOOKUP(I814,episodes!$A$1:$D$81,4,FALSE)</f>
        <v>5</v>
      </c>
      <c r="O814" s="14">
        <v>0</v>
      </c>
      <c r="P814" s="24">
        <f>LEN(E814)+LEN(K814)</f>
        <v>94</v>
      </c>
      <c r="Q814" s="24">
        <f>COUNTIFS(B:B,B813)</f>
        <v>7</v>
      </c>
      <c r="R814" s="24">
        <f>COUNTIFS(D:D,D814)</f>
        <v>25</v>
      </c>
    </row>
    <row r="815" spans="1:18" x14ac:dyDescent="0.3">
      <c r="A815" s="14">
        <v>152</v>
      </c>
      <c r="B815" s="21" t="s">
        <v>911</v>
      </c>
      <c r="C815" s="21" t="s">
        <v>2603</v>
      </c>
      <c r="D815" s="21" t="s">
        <v>2668</v>
      </c>
      <c r="E815" s="1" t="s">
        <v>2027</v>
      </c>
      <c r="F815" s="21" t="s">
        <v>7</v>
      </c>
      <c r="G815" s="14">
        <v>0</v>
      </c>
      <c r="H815" s="14">
        <v>2</v>
      </c>
      <c r="I815" s="25">
        <v>205</v>
      </c>
      <c r="J815" s="23">
        <f>VLOOKUP(I815,episodes!$A$1:$B$81,2,FALSE)</f>
        <v>35</v>
      </c>
      <c r="K815" s="16" t="str">
        <f>VLOOKUP(I815,episodes!$A$1:$E$81,5,FALSE)</f>
        <v>The Apple</v>
      </c>
      <c r="L815" s="16">
        <f>VLOOKUP(I815,episodes!$A$1:$D$81,3,FALSE)</f>
        <v>2</v>
      </c>
      <c r="M815" s="16">
        <f>VLOOKUP(I815,episodes!$A$1:$D$81,4,FALSE)</f>
        <v>5</v>
      </c>
      <c r="O815" s="14">
        <v>0</v>
      </c>
      <c r="P815" s="24">
        <f>LEN(E815)+LEN(K815)</f>
        <v>84</v>
      </c>
      <c r="Q815" s="24">
        <f>COUNTIFS(B:B,B814)</f>
        <v>7</v>
      </c>
      <c r="R815" s="24">
        <f>COUNTIFS(D:D,D815)</f>
        <v>25</v>
      </c>
    </row>
    <row r="816" spans="1:18" x14ac:dyDescent="0.3">
      <c r="A816" s="14">
        <v>1719</v>
      </c>
      <c r="B816" s="21" t="s">
        <v>240</v>
      </c>
      <c r="C816" s="21" t="s">
        <v>2603</v>
      </c>
      <c r="D816" s="1" t="s">
        <v>2668</v>
      </c>
      <c r="E816" s="1" t="s">
        <v>641</v>
      </c>
      <c r="F816" s="21" t="s">
        <v>1865</v>
      </c>
      <c r="G816" s="14">
        <v>0</v>
      </c>
      <c r="H816" s="14">
        <v>0</v>
      </c>
      <c r="I816" s="22">
        <v>122</v>
      </c>
      <c r="J816" s="23">
        <f>VLOOKUP(I816,episodes!$A$1:$B$76,2,FALSE)</f>
        <v>23</v>
      </c>
      <c r="K816" s="16" t="str">
        <f>VLOOKUP(I816,episodes!$A$1:$E$81,5,FALSE)</f>
        <v>Space Seed</v>
      </c>
      <c r="L816" s="16">
        <f>VLOOKUP(I816,episodes!$A$1:$D$81,3,FALSE)</f>
        <v>1</v>
      </c>
      <c r="M816" s="16">
        <f>VLOOKUP(I816,episodes!$A$1:$D$81,4,FALSE)</f>
        <v>22</v>
      </c>
      <c r="O816" s="14">
        <v>0</v>
      </c>
      <c r="P816" s="24">
        <f>LEN(E816)+LEN(K816)</f>
        <v>71</v>
      </c>
      <c r="Q816" s="24">
        <f>COUNTIFS(B:B,#REF!)</f>
        <v>0</v>
      </c>
      <c r="R816" s="24">
        <f>COUNTIFS(D:D,D816)</f>
        <v>25</v>
      </c>
    </row>
    <row r="817" spans="1:18" s="21" customFormat="1" x14ac:dyDescent="0.3">
      <c r="A817" s="14">
        <v>1141</v>
      </c>
      <c r="B817" s="21" t="s">
        <v>237</v>
      </c>
      <c r="C817" s="21" t="s">
        <v>2603</v>
      </c>
      <c r="D817" s="1" t="s">
        <v>2668</v>
      </c>
      <c r="E817" s="1" t="s">
        <v>1739</v>
      </c>
      <c r="F817" s="21" t="s">
        <v>4</v>
      </c>
      <c r="G817" s="14">
        <v>1</v>
      </c>
      <c r="H817" s="14">
        <v>0</v>
      </c>
      <c r="I817" s="25">
        <v>109</v>
      </c>
      <c r="J817" s="23">
        <f>VLOOKUP(I817,episodes!$A$1:$B$76,2,FALSE)</f>
        <v>10</v>
      </c>
      <c r="K817" s="16" t="str">
        <f>VLOOKUP(I817,episodes!$A$1:$E$81,5,FALSE)</f>
        <v>Dagger of the Mind</v>
      </c>
      <c r="L817" s="16">
        <f>VLOOKUP(I817,episodes!$A$1:$D$81,3,FALSE)</f>
        <v>1</v>
      </c>
      <c r="M817" s="16">
        <f>VLOOKUP(I817,episodes!$A$1:$D$81,4,FALSE)</f>
        <v>9</v>
      </c>
      <c r="N817" s="14"/>
      <c r="O817" s="14">
        <v>0</v>
      </c>
      <c r="P817" s="24">
        <f>LEN(E817)+LEN(K817)</f>
        <v>106</v>
      </c>
      <c r="Q817" s="24">
        <f>COUNTIFS(B:B,#REF!)</f>
        <v>0</v>
      </c>
      <c r="R817" s="24">
        <f>COUNTIFS(D:D,D817)</f>
        <v>25</v>
      </c>
    </row>
    <row r="818" spans="1:18" s="21" customFormat="1" x14ac:dyDescent="0.3">
      <c r="A818" s="14">
        <v>1157</v>
      </c>
      <c r="B818" s="21" t="s">
        <v>262</v>
      </c>
      <c r="C818" s="21" t="s">
        <v>2603</v>
      </c>
      <c r="D818" s="21" t="s">
        <v>2668</v>
      </c>
      <c r="E818" s="1" t="s">
        <v>2554</v>
      </c>
      <c r="F818" s="21" t="s">
        <v>4</v>
      </c>
      <c r="G818" s="14">
        <v>1</v>
      </c>
      <c r="H818" s="14">
        <v>0</v>
      </c>
      <c r="I818" s="25">
        <v>108</v>
      </c>
      <c r="J818" s="23">
        <f>VLOOKUP(I818,episodes!$A$1:$B$76,2,FALSE)</f>
        <v>9</v>
      </c>
      <c r="K818" s="16" t="str">
        <f>VLOOKUP(I818,episodes!$A$1:$E$81,5,FALSE)</f>
        <v>Miri</v>
      </c>
      <c r="L818" s="16">
        <f>VLOOKUP(I818,episodes!$A$1:$D$81,3,FALSE)</f>
        <v>1</v>
      </c>
      <c r="M818" s="16">
        <f>VLOOKUP(I818,episodes!$A$1:$D$81,4,FALSE)</f>
        <v>8</v>
      </c>
      <c r="N818" s="14"/>
      <c r="O818" s="14">
        <v>0</v>
      </c>
      <c r="P818" s="24">
        <f>LEN(E818)+LEN(K818)</f>
        <v>68</v>
      </c>
      <c r="Q818" s="24">
        <f>COUNTIFS(B:B,B816)</f>
        <v>1</v>
      </c>
      <c r="R818" s="24">
        <f>COUNTIFS(D:D,D818)</f>
        <v>25</v>
      </c>
    </row>
    <row r="819" spans="1:18" s="21" customFormat="1" x14ac:dyDescent="0.3">
      <c r="A819" s="14">
        <v>1235</v>
      </c>
      <c r="B819" s="21" t="s">
        <v>261</v>
      </c>
      <c r="C819" s="21" t="s">
        <v>2603</v>
      </c>
      <c r="D819" s="21" t="s">
        <v>2668</v>
      </c>
      <c r="E819" s="1" t="s">
        <v>2024</v>
      </c>
      <c r="F819" s="21" t="s">
        <v>4</v>
      </c>
      <c r="G819" s="14">
        <v>1</v>
      </c>
      <c r="H819" s="14">
        <v>0</v>
      </c>
      <c r="I819" s="22">
        <v>203</v>
      </c>
      <c r="J819" s="23">
        <f>VLOOKUP(I819,episodes!$A$1:$B$76,2,FALSE)</f>
        <v>33</v>
      </c>
      <c r="K819" s="16" t="str">
        <f>VLOOKUP(I819,episodes!$A$1:$E$81,5,FALSE)</f>
        <v>The Changeling</v>
      </c>
      <c r="L819" s="16">
        <f>VLOOKUP(I819,episodes!$A$1:$D$81,3,FALSE)</f>
        <v>2</v>
      </c>
      <c r="M819" s="16">
        <f>VLOOKUP(I819,episodes!$A$1:$D$81,4,FALSE)</f>
        <v>3</v>
      </c>
      <c r="N819" s="14"/>
      <c r="O819" s="14">
        <v>0</v>
      </c>
      <c r="P819" s="24">
        <f>LEN(E819)+LEN(K819)</f>
        <v>92</v>
      </c>
      <c r="Q819" s="24">
        <f>COUNTIFS(B:B,#REF!)</f>
        <v>0</v>
      </c>
      <c r="R819" s="24">
        <f>COUNTIFS(D:D,D819)</f>
        <v>25</v>
      </c>
    </row>
    <row r="820" spans="1:18" s="21" customFormat="1" x14ac:dyDescent="0.3">
      <c r="A820" s="14">
        <v>1350</v>
      </c>
      <c r="B820" s="21" t="s">
        <v>2848</v>
      </c>
      <c r="C820" s="21" t="s">
        <v>2603</v>
      </c>
      <c r="D820" s="21" t="s">
        <v>2668</v>
      </c>
      <c r="E820" s="1" t="s">
        <v>2098</v>
      </c>
      <c r="F820" s="21" t="s">
        <v>4</v>
      </c>
      <c r="G820" s="14">
        <v>1</v>
      </c>
      <c r="H820" s="14">
        <v>0</v>
      </c>
      <c r="I820" s="22">
        <v>207</v>
      </c>
      <c r="J820" s="23">
        <f>VLOOKUP(I820,episodes!$A$1:$B$81,2,FALSE)</f>
        <v>37</v>
      </c>
      <c r="K820" s="16" t="str">
        <f>VLOOKUP(I820,episodes!$A$1:$E$81,5,FALSE)</f>
        <v>Catspaw</v>
      </c>
      <c r="L820" s="16">
        <f>VLOOKUP(I820,episodes!$A$1:$D$81,3,FALSE)</f>
        <v>2</v>
      </c>
      <c r="M820" s="16">
        <f>VLOOKUP(I820,episodes!$A$1:$D$81,4,FALSE)</f>
        <v>7</v>
      </c>
      <c r="N820" s="14"/>
      <c r="O820" s="14">
        <v>0</v>
      </c>
      <c r="P820" s="24">
        <f>LEN(E820)+LEN(K820)</f>
        <v>64</v>
      </c>
      <c r="Q820" s="24">
        <f>COUNTIFS(B:B,#REF!)</f>
        <v>0</v>
      </c>
      <c r="R820" s="24">
        <f>COUNTIFS(D:D,D820)</f>
        <v>25</v>
      </c>
    </row>
    <row r="821" spans="1:18" s="21" customFormat="1" x14ac:dyDescent="0.3">
      <c r="A821" s="14">
        <v>1426</v>
      </c>
      <c r="B821" s="21" t="s">
        <v>261</v>
      </c>
      <c r="C821" s="21" t="s">
        <v>2603</v>
      </c>
      <c r="D821" s="21" t="s">
        <v>2668</v>
      </c>
      <c r="E821" s="1" t="s">
        <v>2025</v>
      </c>
      <c r="F821" s="21" t="s">
        <v>4</v>
      </c>
      <c r="G821" s="14">
        <v>1</v>
      </c>
      <c r="H821" s="14">
        <v>0</v>
      </c>
      <c r="I821" s="25">
        <v>204</v>
      </c>
      <c r="J821" s="23">
        <f>VLOOKUP(I821,episodes!$A$1:$B$81,2,FALSE)</f>
        <v>34</v>
      </c>
      <c r="K821" s="16" t="str">
        <f>VLOOKUP(I821,episodes!$A$1:$E$81,5,FALSE)</f>
        <v>Mirror, Mirror</v>
      </c>
      <c r="L821" s="16">
        <f>VLOOKUP(I821,episodes!$A$1:$D$81,3,FALSE)</f>
        <v>2</v>
      </c>
      <c r="M821" s="16">
        <f>VLOOKUP(I821,episodes!$A$1:$D$81,4,FALSE)</f>
        <v>4</v>
      </c>
      <c r="N821" s="14"/>
      <c r="O821" s="14">
        <v>0</v>
      </c>
      <c r="P821" s="24">
        <f>LEN(E821)+LEN(K821)</f>
        <v>115</v>
      </c>
      <c r="Q821" s="24">
        <f>COUNTIFS(B:B,B820)</f>
        <v>1</v>
      </c>
      <c r="R821" s="24">
        <f>COUNTIFS(D:D,D821)</f>
        <v>25</v>
      </c>
    </row>
    <row r="822" spans="1:18" s="21" customFormat="1" x14ac:dyDescent="0.3">
      <c r="A822" s="14">
        <v>1436</v>
      </c>
      <c r="B822" s="21" t="s">
        <v>1126</v>
      </c>
      <c r="C822" s="21" t="s">
        <v>2603</v>
      </c>
      <c r="D822" s="21" t="s">
        <v>2668</v>
      </c>
      <c r="E822" s="1" t="s">
        <v>1031</v>
      </c>
      <c r="F822" s="21" t="s">
        <v>4</v>
      </c>
      <c r="G822" s="14">
        <v>1</v>
      </c>
      <c r="H822" s="14">
        <v>0</v>
      </c>
      <c r="I822" s="22">
        <v>208</v>
      </c>
      <c r="J822" s="23">
        <f>VLOOKUP(I822,episodes!$A$1:$B$81,2,FALSE)</f>
        <v>38</v>
      </c>
      <c r="K822" s="16" t="str">
        <f>VLOOKUP(I822,episodes!$A$1:$E$81,5,FALSE)</f>
        <v>I, Mudd</v>
      </c>
      <c r="L822" s="16">
        <f>VLOOKUP(I822,episodes!$A$1:$D$81,3,FALSE)</f>
        <v>2</v>
      </c>
      <c r="M822" s="16">
        <f>VLOOKUP(I822,episodes!$A$1:$D$81,4,FALSE)</f>
        <v>8</v>
      </c>
      <c r="N822" s="14"/>
      <c r="O822" s="14">
        <v>0</v>
      </c>
      <c r="P822" s="24">
        <f>LEN(E822)+LEN(K822)</f>
        <v>57</v>
      </c>
      <c r="Q822" s="24">
        <f>COUNTIFS(B:B,#REF!)</f>
        <v>0</v>
      </c>
      <c r="R822" s="24">
        <f>COUNTIFS(D:D,D822)</f>
        <v>25</v>
      </c>
    </row>
    <row r="823" spans="1:18" s="21" customFormat="1" x14ac:dyDescent="0.3">
      <c r="A823" s="14">
        <v>1006</v>
      </c>
      <c r="B823" s="21" t="s">
        <v>264</v>
      </c>
      <c r="C823" s="21" t="s">
        <v>2603</v>
      </c>
      <c r="D823" s="1" t="s">
        <v>2668</v>
      </c>
      <c r="E823" s="1" t="s">
        <v>177</v>
      </c>
      <c r="F823" s="21" t="s">
        <v>4</v>
      </c>
      <c r="G823" s="14">
        <v>1</v>
      </c>
      <c r="H823" s="14">
        <v>0</v>
      </c>
      <c r="I823" s="22">
        <v>128</v>
      </c>
      <c r="J823" s="23">
        <f>VLOOKUP(I823,episodes!$A$1:$B$76,2,FALSE)</f>
        <v>29</v>
      </c>
      <c r="K823" s="16" t="str">
        <f>VLOOKUP(I823,episodes!$A$1:$E$81,5,FALSE)</f>
        <v>The City on the Edge of Forever</v>
      </c>
      <c r="L823" s="16">
        <f>VLOOKUP(I823,episodes!$A$1:$D$81,3,FALSE)</f>
        <v>1</v>
      </c>
      <c r="M823" s="16">
        <f>VLOOKUP(I823,episodes!$A$1:$D$81,4,FALSE)</f>
        <v>28</v>
      </c>
      <c r="N823" s="14"/>
      <c r="O823" s="14">
        <v>0</v>
      </c>
      <c r="P823" s="24">
        <f>LEN(E823)+LEN(K823)</f>
        <v>155</v>
      </c>
      <c r="Q823" s="24"/>
      <c r="R823" s="24"/>
    </row>
    <row r="824" spans="1:18" s="21" customFormat="1" x14ac:dyDescent="0.3">
      <c r="A824" s="14">
        <v>1165</v>
      </c>
      <c r="B824" s="21" t="s">
        <v>341</v>
      </c>
      <c r="C824" s="21" t="s">
        <v>2603</v>
      </c>
      <c r="D824" s="1" t="s">
        <v>2668</v>
      </c>
      <c r="E824" s="1" t="s">
        <v>2556</v>
      </c>
      <c r="F824" s="21" t="s">
        <v>4</v>
      </c>
      <c r="G824" s="14">
        <v>1</v>
      </c>
      <c r="H824" s="14">
        <v>0</v>
      </c>
      <c r="I824" s="22">
        <v>114</v>
      </c>
      <c r="J824" s="23">
        <f>VLOOKUP(I824,episodes!$A$1:$B$76,2,FALSE)</f>
        <v>15</v>
      </c>
      <c r="K824" s="16" t="str">
        <f>VLOOKUP(I824,episodes!$A$1:$E$81,5,FALSE)</f>
        <v>Balance of Terror</v>
      </c>
      <c r="L824" s="16">
        <f>VLOOKUP(I824,episodes!$A$1:$D$81,3,FALSE)</f>
        <v>1</v>
      </c>
      <c r="M824" s="16">
        <f>VLOOKUP(I824,episodes!$A$1:$D$81,4,FALSE)</f>
        <v>14</v>
      </c>
      <c r="N824" s="14"/>
      <c r="O824" s="14">
        <v>0</v>
      </c>
      <c r="P824" s="24">
        <f>LEN(E824)+LEN(K824)</f>
        <v>93</v>
      </c>
      <c r="Q824" s="24">
        <f>COUNTIFS(B:B,#REF!)</f>
        <v>0</v>
      </c>
      <c r="R824" s="24">
        <f>COUNTIFS(D:D,D824)</f>
        <v>25</v>
      </c>
    </row>
    <row r="825" spans="1:18" s="21" customFormat="1" x14ac:dyDescent="0.3">
      <c r="A825" s="14">
        <v>1028</v>
      </c>
      <c r="B825" s="21" t="s">
        <v>262</v>
      </c>
      <c r="C825" s="21" t="s">
        <v>2603</v>
      </c>
      <c r="D825" s="21" t="s">
        <v>2668</v>
      </c>
      <c r="E825" s="1" t="s">
        <v>2026</v>
      </c>
      <c r="F825" s="21" t="s">
        <v>4</v>
      </c>
      <c r="G825" s="14">
        <v>1</v>
      </c>
      <c r="H825" s="14">
        <v>0</v>
      </c>
      <c r="I825" s="22">
        <v>120</v>
      </c>
      <c r="J825" s="23">
        <f>VLOOKUP(I825,episodes!$A$1:$B$76,2,FALSE)</f>
        <v>21</v>
      </c>
      <c r="K825" s="16" t="str">
        <f>VLOOKUP(I825,episodes!$A$1:$E$81,5,FALSE)</f>
        <v>Court Martial</v>
      </c>
      <c r="L825" s="16">
        <f>VLOOKUP(I825,episodes!$A$1:$D$81,3,FALSE)</f>
        <v>1</v>
      </c>
      <c r="M825" s="16">
        <f>VLOOKUP(I825,episodes!$A$1:$D$81,4,FALSE)</f>
        <v>20</v>
      </c>
      <c r="N825" s="14"/>
      <c r="O825" s="14">
        <v>0</v>
      </c>
      <c r="P825" s="24">
        <f>LEN(E825)+LEN(K825)</f>
        <v>72</v>
      </c>
      <c r="Q825" s="24"/>
      <c r="R825" s="24"/>
    </row>
    <row r="826" spans="1:18" s="21" customFormat="1" x14ac:dyDescent="0.3">
      <c r="A826" s="14">
        <v>2355</v>
      </c>
      <c r="B826" s="21" t="s">
        <v>262</v>
      </c>
      <c r="C826" s="21" t="s">
        <v>2603</v>
      </c>
      <c r="D826" s="21" t="s">
        <v>2668</v>
      </c>
      <c r="E826" s="1" t="s">
        <v>2553</v>
      </c>
      <c r="F826" s="21" t="s">
        <v>5</v>
      </c>
      <c r="G826" s="14">
        <v>1</v>
      </c>
      <c r="H826" s="14">
        <v>0</v>
      </c>
      <c r="I826" s="22">
        <v>124</v>
      </c>
      <c r="J826" s="23">
        <f>VLOOKUP(I826,episodes!$A$1:$B$76,2,FALSE)</f>
        <v>25</v>
      </c>
      <c r="K826" s="16" t="str">
        <f>VLOOKUP(I826,episodes!$A$1:$E$81,5,FALSE)</f>
        <v>This Side of Paradise</v>
      </c>
      <c r="L826" s="16">
        <f>VLOOKUP(I826,episodes!$A$1:$D$81,3,FALSE)</f>
        <v>1</v>
      </c>
      <c r="M826" s="16">
        <f>VLOOKUP(I826,episodes!$A$1:$D$81,4,FALSE)</f>
        <v>24</v>
      </c>
      <c r="N826" s="14"/>
      <c r="O826" s="14">
        <v>0</v>
      </c>
      <c r="P826" s="24">
        <f>LEN(E826)+LEN(K826)</f>
        <v>103</v>
      </c>
      <c r="Q826" s="24">
        <f>COUNTIFS(B:B,B825)</f>
        <v>7</v>
      </c>
      <c r="R826" s="24">
        <f>COUNTIFS(D:D,D826)</f>
        <v>25</v>
      </c>
    </row>
    <row r="827" spans="1:18" s="21" customFormat="1" x14ac:dyDescent="0.3">
      <c r="A827" s="14">
        <v>1047</v>
      </c>
      <c r="B827" s="21" t="s">
        <v>262</v>
      </c>
      <c r="C827" s="21" t="s">
        <v>2603</v>
      </c>
      <c r="D827" s="21" t="s">
        <v>2668</v>
      </c>
      <c r="E827" s="1" t="s">
        <v>1785</v>
      </c>
      <c r="F827" s="21" t="s">
        <v>4</v>
      </c>
      <c r="G827" s="14">
        <v>1</v>
      </c>
      <c r="H827" s="14">
        <v>0</v>
      </c>
      <c r="I827" s="22">
        <v>114</v>
      </c>
      <c r="J827" s="23">
        <f>VLOOKUP(I827,episodes!$A$1:$B$76,2,FALSE)</f>
        <v>15</v>
      </c>
      <c r="K827" s="16" t="str">
        <f>VLOOKUP(I827,episodes!$A$1:$E$81,5,FALSE)</f>
        <v>Balance of Terror</v>
      </c>
      <c r="L827" s="16">
        <f>VLOOKUP(I827,episodes!$A$1:$D$81,3,FALSE)</f>
        <v>1</v>
      </c>
      <c r="M827" s="16">
        <f>VLOOKUP(I827,episodes!$A$1:$D$81,4,FALSE)</f>
        <v>14</v>
      </c>
      <c r="N827" s="14"/>
      <c r="O827" s="14">
        <v>0</v>
      </c>
      <c r="P827" s="24">
        <f>LEN(E827)+LEN(K827)</f>
        <v>86</v>
      </c>
      <c r="Q827" s="24">
        <f>COUNTIFS(B:B,#REF!)</f>
        <v>0</v>
      </c>
      <c r="R827" s="24">
        <f>COUNTIFS(D:D,D827)</f>
        <v>25</v>
      </c>
    </row>
    <row r="828" spans="1:18" s="21" customFormat="1" x14ac:dyDescent="0.3">
      <c r="A828" s="14">
        <v>416</v>
      </c>
      <c r="B828" s="21" t="s">
        <v>911</v>
      </c>
      <c r="C828" s="21" t="s">
        <v>2603</v>
      </c>
      <c r="D828" s="21" t="s">
        <v>2668</v>
      </c>
      <c r="E828" s="1" t="s">
        <v>875</v>
      </c>
      <c r="F828" s="21" t="s">
        <v>2227</v>
      </c>
      <c r="G828" s="14">
        <v>0</v>
      </c>
      <c r="H828" s="14">
        <v>0</v>
      </c>
      <c r="I828" s="25">
        <v>205</v>
      </c>
      <c r="J828" s="23">
        <f>VLOOKUP(I828,episodes!$A$1:$B$81,2,FALSE)</f>
        <v>35</v>
      </c>
      <c r="K828" s="16" t="str">
        <f>VLOOKUP(I828,episodes!$A$1:$E$81,5,FALSE)</f>
        <v>The Apple</v>
      </c>
      <c r="L828" s="16">
        <f>VLOOKUP(I828,episodes!$A$1:$D$81,3,FALSE)</f>
        <v>2</v>
      </c>
      <c r="M828" s="16">
        <f>VLOOKUP(I828,episodes!$A$1:$D$81,4,FALSE)</f>
        <v>5</v>
      </c>
      <c r="N828" s="14"/>
      <c r="O828" s="14">
        <v>0</v>
      </c>
      <c r="P828" s="24">
        <f>LEN(E828)+LEN(K828)</f>
        <v>59</v>
      </c>
      <c r="Q828" s="24">
        <f>COUNTIFS(B:B,B827)</f>
        <v>7</v>
      </c>
      <c r="R828" s="24">
        <f>COUNTIFS(D:D,D828)</f>
        <v>25</v>
      </c>
    </row>
    <row r="829" spans="1:18" s="21" customFormat="1" x14ac:dyDescent="0.3">
      <c r="A829" s="14">
        <v>1169</v>
      </c>
      <c r="B829" s="21" t="s">
        <v>911</v>
      </c>
      <c r="C829" s="21" t="s">
        <v>2603</v>
      </c>
      <c r="D829" s="1" t="s">
        <v>2668</v>
      </c>
      <c r="E829" s="1" t="s">
        <v>1715</v>
      </c>
      <c r="F829" s="21" t="s">
        <v>4</v>
      </c>
      <c r="G829" s="14">
        <v>1</v>
      </c>
      <c r="H829" s="14">
        <v>0</v>
      </c>
      <c r="I829" s="25">
        <v>108</v>
      </c>
      <c r="J829" s="23">
        <f>VLOOKUP(I829,episodes!$A$1:$B$76,2,FALSE)</f>
        <v>9</v>
      </c>
      <c r="K829" s="16" t="str">
        <f>VLOOKUP(I829,episodes!$A$1:$E$81,5,FALSE)</f>
        <v>Miri</v>
      </c>
      <c r="L829" s="16">
        <f>VLOOKUP(I829,episodes!$A$1:$D$81,3,FALSE)</f>
        <v>1</v>
      </c>
      <c r="M829" s="16">
        <f>VLOOKUP(I829,episodes!$A$1:$D$81,4,FALSE)</f>
        <v>8</v>
      </c>
      <c r="N829" s="14"/>
      <c r="O829" s="14">
        <v>0</v>
      </c>
      <c r="P829" s="24">
        <f>LEN(E829)+LEN(K829)</f>
        <v>223</v>
      </c>
      <c r="Q829" s="24">
        <f>COUNTIFS(B:B,#REF!)</f>
        <v>0</v>
      </c>
      <c r="R829" s="24">
        <f>COUNTIFS(D:D,D829)</f>
        <v>25</v>
      </c>
    </row>
    <row r="830" spans="1:18" s="21" customFormat="1" x14ac:dyDescent="0.3">
      <c r="A830" s="14">
        <v>1108</v>
      </c>
      <c r="B830" s="21" t="s">
        <v>911</v>
      </c>
      <c r="C830" s="21" t="s">
        <v>2603</v>
      </c>
      <c r="D830" s="21" t="s">
        <v>2668</v>
      </c>
      <c r="E830" s="1" t="s">
        <v>1712</v>
      </c>
      <c r="F830" s="21" t="s">
        <v>4</v>
      </c>
      <c r="G830" s="14">
        <v>1</v>
      </c>
      <c r="H830" s="14">
        <v>0</v>
      </c>
      <c r="I830" s="25">
        <v>108</v>
      </c>
      <c r="J830" s="23">
        <f>VLOOKUP(I830,episodes!$A$1:$B$81,2,FALSE)</f>
        <v>9</v>
      </c>
      <c r="K830" s="16" t="str">
        <f>VLOOKUP(I830,episodes!$A$1:$E$81,5,FALSE)</f>
        <v>Miri</v>
      </c>
      <c r="L830" s="16">
        <f>VLOOKUP(I830,episodes!$A$1:$D$81,3,FALSE)</f>
        <v>1</v>
      </c>
      <c r="M830" s="16">
        <f>VLOOKUP(I830,episodes!$A$1:$D$81,4,FALSE)</f>
        <v>8</v>
      </c>
      <c r="N830" s="14"/>
      <c r="O830" s="14">
        <v>0</v>
      </c>
      <c r="P830" s="24">
        <f>LEN(E830)+LEN(K830)</f>
        <v>128</v>
      </c>
      <c r="Q830" s="24"/>
      <c r="R830" s="24"/>
    </row>
    <row r="831" spans="1:18" s="21" customFormat="1" x14ac:dyDescent="0.3">
      <c r="A831" s="14">
        <v>2551</v>
      </c>
      <c r="B831" s="21" t="s">
        <v>538</v>
      </c>
      <c r="C831" s="21" t="s">
        <v>2603</v>
      </c>
      <c r="D831" s="1" t="s">
        <v>2668</v>
      </c>
      <c r="E831" s="1" t="s">
        <v>437</v>
      </c>
      <c r="F831" s="21" t="s">
        <v>2258</v>
      </c>
      <c r="G831" s="14">
        <v>0</v>
      </c>
      <c r="H831" s="14">
        <v>2</v>
      </c>
      <c r="I831" s="25">
        <v>203</v>
      </c>
      <c r="J831" s="23">
        <f>VLOOKUP(I831,episodes!$A$1:$B$76,2,FALSE)</f>
        <v>33</v>
      </c>
      <c r="K831" s="16" t="str">
        <f>VLOOKUP(I831,episodes!$A$1:$E$81,5,FALSE)</f>
        <v>The Changeling</v>
      </c>
      <c r="L831" s="16">
        <f>VLOOKUP(I831,episodes!$A$1:$D$81,3,FALSE)</f>
        <v>2</v>
      </c>
      <c r="M831" s="16">
        <f>VLOOKUP(I831,episodes!$A$1:$D$81,4,FALSE)</f>
        <v>3</v>
      </c>
      <c r="N831" s="14"/>
      <c r="O831" s="14">
        <v>0</v>
      </c>
      <c r="P831" s="24">
        <f>LEN(E831)+LEN(K831)</f>
        <v>60</v>
      </c>
      <c r="Q831" s="24"/>
      <c r="R831" s="24"/>
    </row>
    <row r="832" spans="1:18" s="21" customFormat="1" x14ac:dyDescent="0.3">
      <c r="A832" s="14">
        <v>2000</v>
      </c>
      <c r="B832" s="21" t="s">
        <v>262</v>
      </c>
      <c r="C832" s="21" t="s">
        <v>2603</v>
      </c>
      <c r="D832" s="21" t="s">
        <v>2668</v>
      </c>
      <c r="E832" s="1" t="s">
        <v>813</v>
      </c>
      <c r="F832" s="21" t="s">
        <v>6</v>
      </c>
      <c r="G832" s="14">
        <v>0</v>
      </c>
      <c r="H832" s="14">
        <v>1</v>
      </c>
      <c r="I832" s="25">
        <v>202</v>
      </c>
      <c r="J832" s="23">
        <f>VLOOKUP(I832,episodes!$A$1:$B$76,2,FALSE)</f>
        <v>32</v>
      </c>
      <c r="K832" s="16" t="str">
        <f>VLOOKUP(I832,episodes!$A$1:$E$81,5,FALSE)</f>
        <v>Who Mourns for Adonais?</v>
      </c>
      <c r="L832" s="16">
        <f>VLOOKUP(I832,episodes!$A$1:$D$81,3,FALSE)</f>
        <v>2</v>
      </c>
      <c r="M832" s="16">
        <f>VLOOKUP(I832,episodes!$A$1:$D$81,4,FALSE)</f>
        <v>2</v>
      </c>
      <c r="N832" s="14"/>
      <c r="O832" s="14">
        <v>0</v>
      </c>
      <c r="P832" s="24">
        <f>LEN(E832)+LEN(K832)</f>
        <v>84</v>
      </c>
      <c r="Q832" s="24">
        <f>COUNTIFS(B:B,#REF!)</f>
        <v>0</v>
      </c>
      <c r="R832" s="24">
        <f>COUNTIFS(D:D,D832)</f>
        <v>25</v>
      </c>
    </row>
    <row r="833" spans="1:18" s="21" customFormat="1" x14ac:dyDescent="0.3">
      <c r="A833" s="14">
        <v>1222</v>
      </c>
      <c r="B833" s="21" t="s">
        <v>237</v>
      </c>
      <c r="C833" s="21" t="s">
        <v>2603</v>
      </c>
      <c r="D833" s="1" t="s">
        <v>2668</v>
      </c>
      <c r="E833" s="1" t="s">
        <v>2384</v>
      </c>
      <c r="F833" s="21" t="s">
        <v>5</v>
      </c>
      <c r="G833" s="14">
        <v>1</v>
      </c>
      <c r="H833" s="14">
        <v>0</v>
      </c>
      <c r="I833" s="25">
        <v>201</v>
      </c>
      <c r="J833" s="23">
        <f>VLOOKUP(I833,episodes!$A$1:$B$76,2,FALSE)</f>
        <v>31</v>
      </c>
      <c r="K833" s="16" t="str">
        <f>VLOOKUP(I833,episodes!$A$1:$E$81,5,FALSE)</f>
        <v>Amok Time</v>
      </c>
      <c r="L833" s="16">
        <f>VLOOKUP(I833,episodes!$A$1:$D$81,3,FALSE)</f>
        <v>2</v>
      </c>
      <c r="M833" s="16">
        <f>VLOOKUP(I833,episodes!$A$1:$D$81,4,FALSE)</f>
        <v>1</v>
      </c>
      <c r="N833" s="14"/>
      <c r="O833" s="14">
        <v>0</v>
      </c>
      <c r="P833" s="24">
        <f>LEN(E833)+LEN(K833)</f>
        <v>132</v>
      </c>
      <c r="Q833" s="24"/>
      <c r="R833" s="24"/>
    </row>
    <row r="834" spans="1:18" s="21" customFormat="1" x14ac:dyDescent="0.3">
      <c r="A834" s="14">
        <v>690</v>
      </c>
      <c r="B834" s="21" t="s">
        <v>262</v>
      </c>
      <c r="C834" s="21" t="s">
        <v>2603</v>
      </c>
      <c r="D834" s="21" t="s">
        <v>2668</v>
      </c>
      <c r="E834" s="1" t="s">
        <v>170</v>
      </c>
      <c r="F834" s="21" t="s">
        <v>4</v>
      </c>
      <c r="G834" s="14">
        <v>1</v>
      </c>
      <c r="H834" s="14">
        <v>0</v>
      </c>
      <c r="I834" s="25">
        <v>113</v>
      </c>
      <c r="J834" s="23">
        <f>VLOOKUP(I834,episodes!$A$1:$B$76,2,FALSE)</f>
        <v>14</v>
      </c>
      <c r="K834" s="16" t="str">
        <f>VLOOKUP(I834,episodes!$A$1:$E$81,5,FALSE)</f>
        <v>The Conscience of the King</v>
      </c>
      <c r="L834" s="16">
        <f>VLOOKUP(I834,episodes!$A$1:$D$81,3,FALSE)</f>
        <v>1</v>
      </c>
      <c r="M834" s="16">
        <f>VLOOKUP(I834,episodes!$A$1:$D$81,4,FALSE)</f>
        <v>13</v>
      </c>
      <c r="N834" s="14"/>
      <c r="O834" s="14">
        <v>0</v>
      </c>
      <c r="P834" s="24">
        <f>LEN(E834)+LEN(K834)</f>
        <v>95</v>
      </c>
      <c r="Q834" s="24">
        <f>COUNTIFS(B:B,#REF!)</f>
        <v>0</v>
      </c>
      <c r="R834" s="24">
        <f>COUNTIFS(D:D,D834)</f>
        <v>25</v>
      </c>
    </row>
    <row r="835" spans="1:18" s="21" customFormat="1" x14ac:dyDescent="0.3">
      <c r="A835" s="14">
        <v>2698</v>
      </c>
      <c r="B835" s="21" t="s">
        <v>520</v>
      </c>
      <c r="C835" s="21" t="s">
        <v>2603</v>
      </c>
      <c r="D835" s="21" t="s">
        <v>2668</v>
      </c>
      <c r="E835" s="1" t="s">
        <v>2557</v>
      </c>
      <c r="F835" s="21" t="s">
        <v>1863</v>
      </c>
      <c r="G835" s="14">
        <v>1</v>
      </c>
      <c r="H835" s="14">
        <v>0</v>
      </c>
      <c r="I835" s="25">
        <v>204</v>
      </c>
      <c r="J835" s="23">
        <f>VLOOKUP(I835,episodes!$A$1:$B$81,2,FALSE)</f>
        <v>34</v>
      </c>
      <c r="K835" s="16" t="str">
        <f>VLOOKUP(I835,episodes!$A$1:$E$81,5,FALSE)</f>
        <v>Mirror, Mirror</v>
      </c>
      <c r="L835" s="16">
        <f>VLOOKUP(I835,episodes!$A$1:$D$81,3,FALSE)</f>
        <v>2</v>
      </c>
      <c r="M835" s="16">
        <f>VLOOKUP(I835,episodes!$A$1:$D$81,4,FALSE)</f>
        <v>4</v>
      </c>
      <c r="N835" s="14"/>
      <c r="O835" s="14">
        <v>0</v>
      </c>
      <c r="P835" s="24">
        <f>LEN(E835)+LEN(K835)</f>
        <v>111</v>
      </c>
      <c r="Q835" s="24">
        <f>COUNTIFS(B:B,B834)</f>
        <v>7</v>
      </c>
      <c r="R835" s="24">
        <f>COUNTIFS(D:D,D835)</f>
        <v>25</v>
      </c>
    </row>
    <row r="836" spans="1:18" s="21" customFormat="1" x14ac:dyDescent="0.3">
      <c r="A836" s="14">
        <v>153</v>
      </c>
      <c r="B836" s="21" t="s">
        <v>911</v>
      </c>
      <c r="C836" s="21" t="s">
        <v>2603</v>
      </c>
      <c r="D836" s="21" t="s">
        <v>2668</v>
      </c>
      <c r="E836" s="1" t="s">
        <v>2555</v>
      </c>
      <c r="F836" s="21" t="s">
        <v>7</v>
      </c>
      <c r="G836" s="14">
        <v>0</v>
      </c>
      <c r="H836" s="14">
        <v>2</v>
      </c>
      <c r="I836" s="25">
        <v>205</v>
      </c>
      <c r="J836" s="23">
        <f>VLOOKUP(I836,episodes!$A$1:$B$81,2,FALSE)</f>
        <v>35</v>
      </c>
      <c r="K836" s="16" t="str">
        <f>VLOOKUP(I836,episodes!$A$1:$E$81,5,FALSE)</f>
        <v>The Apple</v>
      </c>
      <c r="L836" s="16">
        <f>VLOOKUP(I836,episodes!$A$1:$D$81,3,FALSE)</f>
        <v>2</v>
      </c>
      <c r="M836" s="16">
        <f>VLOOKUP(I836,episodes!$A$1:$D$81,4,FALSE)</f>
        <v>5</v>
      </c>
      <c r="N836" s="14"/>
      <c r="O836" s="14">
        <v>0</v>
      </c>
      <c r="P836" s="24">
        <f>LEN(E836)+LEN(K836)</f>
        <v>96</v>
      </c>
      <c r="Q836" s="24">
        <f>COUNTIFS(B:B,B835)</f>
        <v>1</v>
      </c>
      <c r="R836" s="24">
        <f>COUNTIFS(D:D,D836)</f>
        <v>25</v>
      </c>
    </row>
    <row r="837" spans="1:18" s="21" customFormat="1" x14ac:dyDescent="0.3">
      <c r="A837" s="14">
        <v>1158</v>
      </c>
      <c r="B837" s="21" t="s">
        <v>262</v>
      </c>
      <c r="C837" s="21" t="s">
        <v>2603</v>
      </c>
      <c r="D837" s="21" t="s">
        <v>2668</v>
      </c>
      <c r="E837" s="1" t="s">
        <v>1236</v>
      </c>
      <c r="F837" s="21" t="s">
        <v>1862</v>
      </c>
      <c r="G837" s="14">
        <v>0</v>
      </c>
      <c r="H837" s="14">
        <v>2</v>
      </c>
      <c r="I837" s="25">
        <v>108</v>
      </c>
      <c r="J837" s="23">
        <f>VLOOKUP(I837,episodes!$A$1:$B$76,2,FALSE)</f>
        <v>9</v>
      </c>
      <c r="K837" s="16" t="str">
        <f>VLOOKUP(I837,episodes!$A$1:$E$81,5,FALSE)</f>
        <v>Miri</v>
      </c>
      <c r="L837" s="16">
        <f>VLOOKUP(I837,episodes!$A$1:$D$81,3,FALSE)</f>
        <v>1</v>
      </c>
      <c r="M837" s="16">
        <f>VLOOKUP(I837,episodes!$A$1:$D$81,4,FALSE)</f>
        <v>8</v>
      </c>
      <c r="N837" s="14"/>
      <c r="O837" s="14">
        <v>0</v>
      </c>
      <c r="P837" s="24">
        <f>LEN(E837)+LEN(K837)</f>
        <v>71</v>
      </c>
      <c r="Q837" s="24"/>
      <c r="R837" s="24"/>
    </row>
    <row r="838" spans="1:18" s="21" customFormat="1" x14ac:dyDescent="0.3">
      <c r="A838" s="14">
        <v>1814</v>
      </c>
      <c r="B838" s="21" t="s">
        <v>513</v>
      </c>
      <c r="C838" s="21" t="s">
        <v>2603</v>
      </c>
      <c r="D838" s="1" t="s">
        <v>2669</v>
      </c>
      <c r="E838" s="1" t="s">
        <v>893</v>
      </c>
      <c r="F838" s="21" t="s">
        <v>2233</v>
      </c>
      <c r="G838" s="14">
        <v>0</v>
      </c>
      <c r="H838" s="14">
        <v>0</v>
      </c>
      <c r="I838" s="25">
        <v>202</v>
      </c>
      <c r="J838" s="23">
        <f>VLOOKUP(I838,episodes!$A$1:$B$76,2,FALSE)</f>
        <v>32</v>
      </c>
      <c r="K838" s="16" t="str">
        <f>VLOOKUP(I838,episodes!$A$1:$E$81,5,FALSE)</f>
        <v>Who Mourns for Adonais?</v>
      </c>
      <c r="L838" s="16">
        <f>VLOOKUP(I838,episodes!$A$1:$D$81,3,FALSE)</f>
        <v>2</v>
      </c>
      <c r="M838" s="16">
        <f>VLOOKUP(I838,episodes!$A$1:$D$81,4,FALSE)</f>
        <v>2</v>
      </c>
      <c r="N838" s="14"/>
      <c r="O838" s="14">
        <v>0</v>
      </c>
      <c r="P838" s="24">
        <f>LEN(E838)+LEN(K838)</f>
        <v>76</v>
      </c>
      <c r="Q838" s="24">
        <f>COUNTIFS(B:B,#REF!)</f>
        <v>0</v>
      </c>
      <c r="R838" s="24">
        <f>COUNTIFS(D:D,D838)</f>
        <v>23</v>
      </c>
    </row>
    <row r="839" spans="1:18" s="21" customFormat="1" x14ac:dyDescent="0.3">
      <c r="A839" s="14">
        <v>150</v>
      </c>
      <c r="B839" s="21" t="s">
        <v>242</v>
      </c>
      <c r="C839" s="21" t="s">
        <v>2603</v>
      </c>
      <c r="D839" s="21" t="s">
        <v>2669</v>
      </c>
      <c r="E839" s="1" t="s">
        <v>2380</v>
      </c>
      <c r="F839" s="21" t="s">
        <v>7</v>
      </c>
      <c r="G839" s="14">
        <v>0</v>
      </c>
      <c r="H839" s="14">
        <v>2</v>
      </c>
      <c r="I839" s="25">
        <v>205</v>
      </c>
      <c r="J839" s="23">
        <f>VLOOKUP(I839,episodes!$A$1:$B$81,2,FALSE)</f>
        <v>35</v>
      </c>
      <c r="K839" s="16" t="str">
        <f>VLOOKUP(I839,episodes!$A$1:$E$81,5,FALSE)</f>
        <v>The Apple</v>
      </c>
      <c r="L839" s="16">
        <f>VLOOKUP(I839,episodes!$A$1:$D$81,3,FALSE)</f>
        <v>2</v>
      </c>
      <c r="M839" s="16">
        <f>VLOOKUP(I839,episodes!$A$1:$D$81,4,FALSE)</f>
        <v>5</v>
      </c>
      <c r="N839" s="14"/>
      <c r="O839" s="14">
        <v>0</v>
      </c>
      <c r="P839" s="24">
        <f>LEN(E839)+LEN(K839)</f>
        <v>87</v>
      </c>
      <c r="Q839" s="24">
        <f>COUNTIFS(B:B,#REF!)</f>
        <v>0</v>
      </c>
      <c r="R839" s="24">
        <f>COUNTIFS(D:D,D839)</f>
        <v>23</v>
      </c>
    </row>
    <row r="840" spans="1:18" s="21" customFormat="1" x14ac:dyDescent="0.3">
      <c r="A840" s="14">
        <v>142</v>
      </c>
      <c r="B840" s="21" t="s">
        <v>1111</v>
      </c>
      <c r="C840" s="21" t="s">
        <v>2603</v>
      </c>
      <c r="D840" s="21" t="s">
        <v>2669</v>
      </c>
      <c r="E840" s="1" t="s">
        <v>876</v>
      </c>
      <c r="F840" s="21" t="s">
        <v>7</v>
      </c>
      <c r="G840" s="14">
        <v>0</v>
      </c>
      <c r="H840" s="14">
        <v>2</v>
      </c>
      <c r="I840" s="25">
        <v>205</v>
      </c>
      <c r="J840" s="23">
        <f>VLOOKUP(I840,episodes!$A$1:$B$81,2,FALSE)</f>
        <v>35</v>
      </c>
      <c r="K840" s="16" t="str">
        <f>VLOOKUP(I840,episodes!$A$1:$E$81,5,FALSE)</f>
        <v>The Apple</v>
      </c>
      <c r="L840" s="16">
        <f>VLOOKUP(I840,episodes!$A$1:$D$81,3,FALSE)</f>
        <v>2</v>
      </c>
      <c r="M840" s="16">
        <f>VLOOKUP(I840,episodes!$A$1:$D$81,4,FALSE)</f>
        <v>5</v>
      </c>
      <c r="N840" s="14"/>
      <c r="O840" s="14">
        <v>0</v>
      </c>
      <c r="P840" s="24">
        <f>LEN(E840)+LEN(K840)</f>
        <v>44</v>
      </c>
      <c r="Q840" s="24">
        <f>COUNTIFS(B:B,#REF!)</f>
        <v>0</v>
      </c>
      <c r="R840" s="24">
        <f>COUNTIFS(D:D,D840)</f>
        <v>23</v>
      </c>
    </row>
    <row r="841" spans="1:18" s="21" customFormat="1" x14ac:dyDescent="0.3">
      <c r="A841" s="14">
        <v>156</v>
      </c>
      <c r="B841" s="21" t="s">
        <v>1111</v>
      </c>
      <c r="C841" s="21" t="s">
        <v>2603</v>
      </c>
      <c r="D841" s="21" t="s">
        <v>2669</v>
      </c>
      <c r="E841" s="1" t="s">
        <v>2101</v>
      </c>
      <c r="F841" s="21" t="s">
        <v>7</v>
      </c>
      <c r="G841" s="14">
        <v>0</v>
      </c>
      <c r="H841" s="14">
        <v>2</v>
      </c>
      <c r="I841" s="25">
        <v>205</v>
      </c>
      <c r="J841" s="23">
        <f>VLOOKUP(I841,episodes!$A$1:$B$81,2,FALSE)</f>
        <v>35</v>
      </c>
      <c r="K841" s="16" t="str">
        <f>VLOOKUP(I841,episodes!$A$1:$E$81,5,FALSE)</f>
        <v>The Apple</v>
      </c>
      <c r="L841" s="16">
        <f>VLOOKUP(I841,episodes!$A$1:$D$81,3,FALSE)</f>
        <v>2</v>
      </c>
      <c r="M841" s="16">
        <f>VLOOKUP(I841,episodes!$A$1:$D$81,4,FALSE)</f>
        <v>5</v>
      </c>
      <c r="N841" s="14"/>
      <c r="O841" s="14">
        <v>0</v>
      </c>
      <c r="P841" s="24">
        <f>LEN(E841)+LEN(K841)</f>
        <v>51</v>
      </c>
      <c r="Q841" s="24">
        <f>COUNTIFS(B:B,#REF!)</f>
        <v>0</v>
      </c>
      <c r="R841" s="24">
        <f>COUNTIFS(D:D,D841)</f>
        <v>23</v>
      </c>
    </row>
    <row r="842" spans="1:18" s="21" customFormat="1" x14ac:dyDescent="0.3">
      <c r="A842" s="14">
        <v>82</v>
      </c>
      <c r="B842" s="21" t="s">
        <v>301</v>
      </c>
      <c r="C842" s="21" t="s">
        <v>2603</v>
      </c>
      <c r="D842" s="21" t="s">
        <v>2669</v>
      </c>
      <c r="E842" s="1" t="s">
        <v>2852</v>
      </c>
      <c r="F842" s="21" t="s">
        <v>2234</v>
      </c>
      <c r="G842" s="14">
        <v>0</v>
      </c>
      <c r="H842" s="14">
        <v>0</v>
      </c>
      <c r="I842" s="25">
        <v>107</v>
      </c>
      <c r="J842" s="23">
        <f>VLOOKUP(I842,episodes!$A$1:$B$76,2,FALSE)</f>
        <v>8</v>
      </c>
      <c r="K842" s="16" t="str">
        <f>VLOOKUP(I842,episodes!$A$1:$E$81,5,FALSE)</f>
        <v>What Are Little Girls Made Of?</v>
      </c>
      <c r="L842" s="16">
        <f>VLOOKUP(I842,episodes!$A$1:$D$81,3,FALSE)</f>
        <v>1</v>
      </c>
      <c r="M842" s="16">
        <f>VLOOKUP(I842,episodes!$A$1:$D$81,4,FALSE)</f>
        <v>7</v>
      </c>
      <c r="N842" s="14"/>
      <c r="O842" s="14">
        <v>0</v>
      </c>
      <c r="P842" s="24">
        <f>LEN(E842)+LEN(K842)</f>
        <v>80</v>
      </c>
      <c r="Q842" s="24">
        <f>COUNTIFS(B:B,#REF!)</f>
        <v>0</v>
      </c>
      <c r="R842" s="24">
        <f>COUNTIFS(D:D,D842)</f>
        <v>23</v>
      </c>
    </row>
    <row r="843" spans="1:18" s="21" customFormat="1" x14ac:dyDescent="0.3">
      <c r="A843" s="14">
        <v>985</v>
      </c>
      <c r="B843" s="21" t="s">
        <v>301</v>
      </c>
      <c r="C843" s="21" t="s">
        <v>2603</v>
      </c>
      <c r="D843" s="21" t="s">
        <v>2669</v>
      </c>
      <c r="E843" s="1" t="s">
        <v>1166</v>
      </c>
      <c r="F843" s="21" t="s">
        <v>4</v>
      </c>
      <c r="G843" s="14">
        <v>1</v>
      </c>
      <c r="H843" s="14">
        <v>0</v>
      </c>
      <c r="I843" s="25">
        <v>107</v>
      </c>
      <c r="J843" s="23">
        <f>VLOOKUP(I843,episodes!$A$1:$B$76,2,FALSE)</f>
        <v>8</v>
      </c>
      <c r="K843" s="16" t="str">
        <f>VLOOKUP(I843,episodes!$A$1:$E$81,5,FALSE)</f>
        <v>What Are Little Girls Made Of?</v>
      </c>
      <c r="L843" s="16">
        <f>VLOOKUP(I843,episodes!$A$1:$D$81,3,FALSE)</f>
        <v>1</v>
      </c>
      <c r="M843" s="16">
        <f>VLOOKUP(I843,episodes!$A$1:$D$81,4,FALSE)</f>
        <v>7</v>
      </c>
      <c r="N843" s="14"/>
      <c r="O843" s="14">
        <v>0</v>
      </c>
      <c r="P843" s="24">
        <f>LEN(E843)+LEN(K843)</f>
        <v>69</v>
      </c>
      <c r="Q843" s="24">
        <f>COUNTIFS(B:B,B841)</f>
        <v>4</v>
      </c>
      <c r="R843" s="24">
        <f>COUNTIFS(D:D,D843)</f>
        <v>23</v>
      </c>
    </row>
    <row r="844" spans="1:18" s="21" customFormat="1" x14ac:dyDescent="0.3">
      <c r="A844" s="14">
        <v>1004</v>
      </c>
      <c r="B844" s="21" t="s">
        <v>513</v>
      </c>
      <c r="C844" s="21" t="s">
        <v>2603</v>
      </c>
      <c r="D844" s="1" t="s">
        <v>2669</v>
      </c>
      <c r="E844" s="1" t="s">
        <v>778</v>
      </c>
      <c r="F844" s="21" t="s">
        <v>4</v>
      </c>
      <c r="G844" s="14">
        <v>1</v>
      </c>
      <c r="H844" s="14">
        <v>0</v>
      </c>
      <c r="I844" s="22">
        <v>128</v>
      </c>
      <c r="J844" s="23">
        <f>VLOOKUP(I844,episodes!$A$1:$B$76,2,FALSE)</f>
        <v>29</v>
      </c>
      <c r="K844" s="16" t="str">
        <f>VLOOKUP(I844,episodes!$A$1:$E$81,5,FALSE)</f>
        <v>The City on the Edge of Forever</v>
      </c>
      <c r="L844" s="16">
        <f>VLOOKUP(I844,episodes!$A$1:$D$81,3,FALSE)</f>
        <v>1</v>
      </c>
      <c r="M844" s="16">
        <f>VLOOKUP(I844,episodes!$A$1:$D$81,4,FALSE)</f>
        <v>28</v>
      </c>
      <c r="N844" s="14"/>
      <c r="O844" s="14">
        <v>0</v>
      </c>
      <c r="P844" s="24">
        <f>LEN(E844)+LEN(K844)</f>
        <v>79</v>
      </c>
      <c r="Q844" s="24">
        <f>COUNTIFS(B:B,#REF!)</f>
        <v>0</v>
      </c>
      <c r="R844" s="24">
        <f>COUNTIFS(D:D,D844)</f>
        <v>23</v>
      </c>
    </row>
    <row r="845" spans="1:18" s="21" customFormat="1" x14ac:dyDescent="0.3">
      <c r="A845" s="14">
        <v>1207</v>
      </c>
      <c r="B845" s="21" t="s">
        <v>1112</v>
      </c>
      <c r="C845" s="21" t="s">
        <v>2603</v>
      </c>
      <c r="D845" s="1" t="s">
        <v>2669</v>
      </c>
      <c r="E845" s="1" t="s">
        <v>2103</v>
      </c>
      <c r="F845" s="21" t="s">
        <v>4</v>
      </c>
      <c r="G845" s="14">
        <v>1</v>
      </c>
      <c r="H845" s="14">
        <v>0</v>
      </c>
      <c r="I845" s="22">
        <v>120</v>
      </c>
      <c r="J845" s="23">
        <f>VLOOKUP(I845,episodes!$A$1:$B$76,2,FALSE)</f>
        <v>21</v>
      </c>
      <c r="K845" s="16" t="str">
        <f>VLOOKUP(I845,episodes!$A$1:$E$81,5,FALSE)</f>
        <v>Court Martial</v>
      </c>
      <c r="L845" s="16">
        <f>VLOOKUP(I845,episodes!$A$1:$D$81,3,FALSE)</f>
        <v>1</v>
      </c>
      <c r="M845" s="16">
        <f>VLOOKUP(I845,episodes!$A$1:$D$81,4,FALSE)</f>
        <v>20</v>
      </c>
      <c r="N845" s="14"/>
      <c r="O845" s="14">
        <v>0</v>
      </c>
      <c r="P845" s="24">
        <f>LEN(E845)+LEN(K845)</f>
        <v>80</v>
      </c>
      <c r="Q845" s="24">
        <f>COUNTIFS(B:B,#REF!)</f>
        <v>0</v>
      </c>
      <c r="R845" s="24">
        <f>COUNTIFS(D:D,D845)</f>
        <v>23</v>
      </c>
    </row>
    <row r="846" spans="1:18" s="21" customFormat="1" x14ac:dyDescent="0.3">
      <c r="A846" s="14">
        <v>1035</v>
      </c>
      <c r="B846" s="21" t="s">
        <v>242</v>
      </c>
      <c r="C846" s="21" t="s">
        <v>2603</v>
      </c>
      <c r="D846" s="21" t="s">
        <v>2669</v>
      </c>
      <c r="E846" s="1" t="s">
        <v>1765</v>
      </c>
      <c r="F846" s="21" t="s">
        <v>4</v>
      </c>
      <c r="G846" s="14">
        <v>1</v>
      </c>
      <c r="H846" s="14">
        <v>0</v>
      </c>
      <c r="I846" s="25">
        <v>113</v>
      </c>
      <c r="J846" s="23">
        <f>VLOOKUP(I846,episodes!$A$1:$B$76,2,FALSE)</f>
        <v>14</v>
      </c>
      <c r="K846" s="16" t="str">
        <f>VLOOKUP(I846,episodes!$A$1:$E$81,5,FALSE)</f>
        <v>The Conscience of the King</v>
      </c>
      <c r="L846" s="16">
        <f>VLOOKUP(I846,episodes!$A$1:$D$81,3,FALSE)</f>
        <v>1</v>
      </c>
      <c r="M846" s="16">
        <f>VLOOKUP(I846,episodes!$A$1:$D$81,4,FALSE)</f>
        <v>13</v>
      </c>
      <c r="N846" s="14"/>
      <c r="O846" s="14">
        <v>0</v>
      </c>
      <c r="P846" s="24">
        <f>LEN(E846)+LEN(K846)</f>
        <v>103</v>
      </c>
      <c r="Q846" s="24">
        <f>COUNTIFS(B:B,B845)</f>
        <v>1</v>
      </c>
      <c r="R846" s="24">
        <f>COUNTIFS(D:D,D846)</f>
        <v>23</v>
      </c>
    </row>
    <row r="847" spans="1:18" s="21" customFormat="1" x14ac:dyDescent="0.3">
      <c r="A847" s="14">
        <v>1127</v>
      </c>
      <c r="B847" s="21" t="s">
        <v>249</v>
      </c>
      <c r="C847" s="21" t="s">
        <v>2603</v>
      </c>
      <c r="D847" s="21" t="s">
        <v>2669</v>
      </c>
      <c r="E847" s="1" t="s">
        <v>1983</v>
      </c>
      <c r="F847" s="21" t="s">
        <v>4</v>
      </c>
      <c r="G847" s="14">
        <v>1</v>
      </c>
      <c r="H847" s="14">
        <v>0</v>
      </c>
      <c r="I847" s="25">
        <v>204</v>
      </c>
      <c r="J847" s="23">
        <f>VLOOKUP(I847,episodes!$A$1:$B$81,2,FALSE)</f>
        <v>34</v>
      </c>
      <c r="K847" s="16" t="str">
        <f>VLOOKUP(I847,episodes!$A$1:$E$81,5,FALSE)</f>
        <v>Mirror, Mirror</v>
      </c>
      <c r="L847" s="16">
        <f>VLOOKUP(I847,episodes!$A$1:$D$81,3,FALSE)</f>
        <v>2</v>
      </c>
      <c r="M847" s="16">
        <f>VLOOKUP(I847,episodes!$A$1:$D$81,4,FALSE)</f>
        <v>4</v>
      </c>
      <c r="N847" s="14"/>
      <c r="O847" s="14">
        <v>0</v>
      </c>
      <c r="P847" s="24">
        <f>LEN(E847)+LEN(K847)</f>
        <v>139</v>
      </c>
      <c r="Q847" s="24">
        <f>COUNTIFS(B:B,B845)</f>
        <v>1</v>
      </c>
      <c r="R847" s="24">
        <f>COUNTIFS(D:D,D847)</f>
        <v>23</v>
      </c>
    </row>
    <row r="848" spans="1:18" s="21" customFormat="1" x14ac:dyDescent="0.3">
      <c r="A848" s="14">
        <v>1191</v>
      </c>
      <c r="B848" s="21" t="s">
        <v>294</v>
      </c>
      <c r="C848" s="21" t="s">
        <v>2603</v>
      </c>
      <c r="D848" s="1" t="s">
        <v>2669</v>
      </c>
      <c r="E848" s="1" t="s">
        <v>1796</v>
      </c>
      <c r="F848" s="21" t="s">
        <v>4</v>
      </c>
      <c r="G848" s="14">
        <v>1</v>
      </c>
      <c r="H848" s="14">
        <v>0</v>
      </c>
      <c r="I848" s="22">
        <v>115</v>
      </c>
      <c r="J848" s="23">
        <f>VLOOKUP(I848,episodes!$A$1:$B$76,2,FALSE)</f>
        <v>16</v>
      </c>
      <c r="K848" s="16" t="str">
        <f>VLOOKUP(I848,episodes!$A$1:$E$81,5,FALSE)</f>
        <v>Shore Leave</v>
      </c>
      <c r="L848" s="16">
        <f>VLOOKUP(I848,episodes!$A$1:$D$81,3,FALSE)</f>
        <v>1</v>
      </c>
      <c r="M848" s="16">
        <f>VLOOKUP(I848,episodes!$A$1:$D$81,4,FALSE)</f>
        <v>15</v>
      </c>
      <c r="N848" s="14"/>
      <c r="O848" s="14">
        <v>0</v>
      </c>
      <c r="P848" s="24">
        <f>LEN(E848)+LEN(K848)</f>
        <v>82</v>
      </c>
      <c r="Q848" s="24">
        <f>COUNTIFS(B:B,#REF!)</f>
        <v>0</v>
      </c>
      <c r="R848" s="24">
        <f>COUNTIFS(D:D,D848)</f>
        <v>23</v>
      </c>
    </row>
    <row r="849" spans="1:18" s="21" customFormat="1" x14ac:dyDescent="0.3">
      <c r="A849" s="14">
        <v>1448</v>
      </c>
      <c r="B849" s="21" t="s">
        <v>63</v>
      </c>
      <c r="C849" s="21" t="s">
        <v>2603</v>
      </c>
      <c r="D849" s="21" t="s">
        <v>2669</v>
      </c>
      <c r="E849" s="1" t="s">
        <v>2853</v>
      </c>
      <c r="F849" s="21" t="s">
        <v>4</v>
      </c>
      <c r="G849" s="14">
        <v>1</v>
      </c>
      <c r="H849" s="14">
        <v>0</v>
      </c>
      <c r="I849" s="14">
        <v>310</v>
      </c>
      <c r="J849" s="23">
        <f>VLOOKUP(I849,episodes!$A$1:$B$81,2,FALSE)</f>
        <v>66</v>
      </c>
      <c r="K849" s="16" t="str">
        <f>VLOOKUP(I849,episodes!$A$1:$E$81,5,FALSE)</f>
        <v>Plato's Stepchildren</v>
      </c>
      <c r="L849" s="16">
        <f>VLOOKUP(I849,episodes!$A$1:$D$81,3,FALSE)</f>
        <v>3</v>
      </c>
      <c r="M849" s="16">
        <f>VLOOKUP(I849,episodes!$A$1:$D$81,4,FALSE)</f>
        <v>10</v>
      </c>
      <c r="N849" s="14"/>
      <c r="O849" s="14">
        <v>0</v>
      </c>
      <c r="P849" s="24">
        <f>LEN(E849)+LEN(K849)</f>
        <v>72</v>
      </c>
      <c r="Q849" s="24"/>
      <c r="R849" s="24"/>
    </row>
    <row r="850" spans="1:18" s="21" customFormat="1" x14ac:dyDescent="0.3">
      <c r="A850" s="14">
        <v>986</v>
      </c>
      <c r="B850" s="21" t="s">
        <v>2361</v>
      </c>
      <c r="C850" s="21" t="s">
        <v>2603</v>
      </c>
      <c r="D850" s="1" t="s">
        <v>2669</v>
      </c>
      <c r="E850" s="1" t="s">
        <v>2871</v>
      </c>
      <c r="F850" s="21" t="s">
        <v>2369</v>
      </c>
      <c r="G850" s="14">
        <v>0</v>
      </c>
      <c r="H850" s="14">
        <v>0</v>
      </c>
      <c r="I850" s="25">
        <v>107</v>
      </c>
      <c r="J850" s="23">
        <f>VLOOKUP(I850,episodes!$A$1:$B$76,2,FALSE)</f>
        <v>8</v>
      </c>
      <c r="K850" s="16" t="str">
        <f>VLOOKUP(I850,episodes!$A$1:$E$81,5,FALSE)</f>
        <v>What Are Little Girls Made Of?</v>
      </c>
      <c r="L850" s="16">
        <f>VLOOKUP(I850,episodes!$A$1:$D$81,3,FALSE)</f>
        <v>1</v>
      </c>
      <c r="M850" s="16">
        <f>VLOOKUP(I850,episodes!$A$1:$D$81,4,FALSE)</f>
        <v>7</v>
      </c>
      <c r="N850" s="14"/>
      <c r="O850" s="14">
        <v>0</v>
      </c>
      <c r="P850" s="24">
        <f>LEN(E850)+LEN(K850)</f>
        <v>105</v>
      </c>
      <c r="Q850" s="24">
        <f>COUNTIFS(B:B,B849)</f>
        <v>4</v>
      </c>
      <c r="R850" s="24">
        <f>COUNTIFS(D:D,D850)</f>
        <v>23</v>
      </c>
    </row>
    <row r="851" spans="1:18" s="21" customFormat="1" x14ac:dyDescent="0.3">
      <c r="A851" s="14">
        <v>1354</v>
      </c>
      <c r="B851" s="21" t="s">
        <v>1111</v>
      </c>
      <c r="C851" s="21" t="s">
        <v>2603</v>
      </c>
      <c r="D851" s="21" t="s">
        <v>2669</v>
      </c>
      <c r="E851" s="1" t="s">
        <v>2872</v>
      </c>
      <c r="F851" s="21" t="s">
        <v>4</v>
      </c>
      <c r="G851" s="14">
        <v>1</v>
      </c>
      <c r="H851" s="14">
        <v>0</v>
      </c>
      <c r="I851" s="22">
        <v>207</v>
      </c>
      <c r="J851" s="23">
        <f>VLOOKUP(I851,episodes!$A$1:$B$81,2,FALSE)</f>
        <v>37</v>
      </c>
      <c r="K851" s="16" t="str">
        <f>VLOOKUP(I851,episodes!$A$1:$E$81,5,FALSE)</f>
        <v>Catspaw</v>
      </c>
      <c r="L851" s="16">
        <f>VLOOKUP(I851,episodes!$A$1:$D$81,3,FALSE)</f>
        <v>2</v>
      </c>
      <c r="M851" s="16">
        <f>VLOOKUP(I851,episodes!$A$1:$D$81,4,FALSE)</f>
        <v>7</v>
      </c>
      <c r="N851" s="14"/>
      <c r="O851" s="14">
        <v>0</v>
      </c>
      <c r="P851" s="24">
        <f>LEN(E851)+LEN(K851)</f>
        <v>102</v>
      </c>
      <c r="Q851" s="24">
        <f>COUNTIFS(B:B,B849)</f>
        <v>4</v>
      </c>
      <c r="R851" s="24">
        <f>COUNTIFS(D:D,D851)</f>
        <v>23</v>
      </c>
    </row>
    <row r="852" spans="1:18" s="21" customFormat="1" x14ac:dyDescent="0.3">
      <c r="A852" s="14">
        <v>1143</v>
      </c>
      <c r="B852" s="21" t="s">
        <v>249</v>
      </c>
      <c r="C852" s="21" t="s">
        <v>2603</v>
      </c>
      <c r="D852" s="21" t="s">
        <v>2669</v>
      </c>
      <c r="E852" s="1" t="s">
        <v>1725</v>
      </c>
      <c r="F852" s="21" t="s">
        <v>4</v>
      </c>
      <c r="G852" s="14">
        <v>1</v>
      </c>
      <c r="H852" s="14">
        <v>0</v>
      </c>
      <c r="I852" s="25">
        <v>109</v>
      </c>
      <c r="J852" s="23">
        <f>VLOOKUP(I852,episodes!$A$1:$B$76,2,FALSE)</f>
        <v>10</v>
      </c>
      <c r="K852" s="16" t="str">
        <f>VLOOKUP(I852,episodes!$A$1:$E$81,5,FALSE)</f>
        <v>Dagger of the Mind</v>
      </c>
      <c r="L852" s="16">
        <f>VLOOKUP(I852,episodes!$A$1:$D$81,3,FALSE)</f>
        <v>1</v>
      </c>
      <c r="M852" s="16">
        <f>VLOOKUP(I852,episodes!$A$1:$D$81,4,FALSE)</f>
        <v>9</v>
      </c>
      <c r="N852" s="14"/>
      <c r="O852" s="14">
        <v>0</v>
      </c>
      <c r="P852" s="24">
        <f>LEN(E852)+LEN(K852)</f>
        <v>150</v>
      </c>
      <c r="Q852" s="24">
        <f>COUNTIFS(B:B,B850)</f>
        <v>1</v>
      </c>
      <c r="R852" s="24">
        <f>COUNTIFS(D:D,D852)</f>
        <v>23</v>
      </c>
    </row>
    <row r="853" spans="1:18" s="21" customFormat="1" x14ac:dyDescent="0.3">
      <c r="A853" s="14">
        <v>1820</v>
      </c>
      <c r="B853" s="21" t="s">
        <v>513</v>
      </c>
      <c r="C853" s="21" t="s">
        <v>2603</v>
      </c>
      <c r="D853" s="1" t="s">
        <v>2669</v>
      </c>
      <c r="E853" s="1" t="s">
        <v>865</v>
      </c>
      <c r="F853" s="21" t="s">
        <v>2233</v>
      </c>
      <c r="G853" s="14">
        <v>0</v>
      </c>
      <c r="H853" s="14">
        <v>0</v>
      </c>
      <c r="I853" s="25">
        <v>202</v>
      </c>
      <c r="J853" s="23">
        <f>VLOOKUP(I853,episodes!$A$1:$B$76,2,FALSE)</f>
        <v>32</v>
      </c>
      <c r="K853" s="16" t="str">
        <f>VLOOKUP(I853,episodes!$A$1:$E$81,5,FALSE)</f>
        <v>Who Mourns for Adonais?</v>
      </c>
      <c r="L853" s="16">
        <f>VLOOKUP(I853,episodes!$A$1:$D$81,3,FALSE)</f>
        <v>2</v>
      </c>
      <c r="M853" s="16">
        <f>VLOOKUP(I853,episodes!$A$1:$D$81,4,FALSE)</f>
        <v>2</v>
      </c>
      <c r="N853" s="14"/>
      <c r="O853" s="14">
        <v>0</v>
      </c>
      <c r="P853" s="24">
        <f>LEN(E853)+LEN(K853)</f>
        <v>75</v>
      </c>
      <c r="Q853" s="24">
        <f>COUNTIFS(B:B,#REF!)</f>
        <v>0</v>
      </c>
      <c r="R853" s="24">
        <f>COUNTIFS(D:D,D853)</f>
        <v>23</v>
      </c>
    </row>
    <row r="854" spans="1:18" s="21" customFormat="1" x14ac:dyDescent="0.3">
      <c r="A854" s="14">
        <v>1125</v>
      </c>
      <c r="B854" s="21" t="s">
        <v>1111</v>
      </c>
      <c r="C854" s="21" t="s">
        <v>2603</v>
      </c>
      <c r="D854" s="21" t="s">
        <v>2669</v>
      </c>
      <c r="E854" s="1" t="s">
        <v>2339</v>
      </c>
      <c r="F854" s="21" t="s">
        <v>4</v>
      </c>
      <c r="G854" s="14">
        <v>1</v>
      </c>
      <c r="H854" s="14">
        <v>0</v>
      </c>
      <c r="I854" s="25">
        <v>204</v>
      </c>
      <c r="J854" s="23">
        <f>VLOOKUP(I854,episodes!$A$1:$B$81,2,FALSE)</f>
        <v>34</v>
      </c>
      <c r="K854" s="16" t="str">
        <f>VLOOKUP(I854,episodes!$A$1:$E$81,5,FALSE)</f>
        <v>Mirror, Mirror</v>
      </c>
      <c r="L854" s="16">
        <f>VLOOKUP(I854,episodes!$A$1:$D$81,3,FALSE)</f>
        <v>2</v>
      </c>
      <c r="M854" s="16">
        <f>VLOOKUP(I854,episodes!$A$1:$D$81,4,FALSE)</f>
        <v>4</v>
      </c>
      <c r="N854" s="14"/>
      <c r="O854" s="14">
        <v>0</v>
      </c>
      <c r="P854" s="24">
        <f>LEN(E854)+LEN(K854)</f>
        <v>89</v>
      </c>
      <c r="Q854" s="24">
        <f>COUNTIFS(B:B,B852)</f>
        <v>2</v>
      </c>
      <c r="R854" s="24">
        <f>COUNTIFS(D:D,D854)</f>
        <v>23</v>
      </c>
    </row>
    <row r="855" spans="1:18" s="21" customFormat="1" x14ac:dyDescent="0.3">
      <c r="A855" s="14">
        <v>119</v>
      </c>
      <c r="B855" s="21" t="s">
        <v>336</v>
      </c>
      <c r="C855" s="21" t="s">
        <v>2603</v>
      </c>
      <c r="D855" s="1" t="s">
        <v>2669</v>
      </c>
      <c r="E855" s="1" t="s">
        <v>1704</v>
      </c>
      <c r="F855" s="21" t="s">
        <v>2258</v>
      </c>
      <c r="G855" s="14">
        <v>0</v>
      </c>
      <c r="H855" s="14">
        <v>2</v>
      </c>
      <c r="I855" s="25">
        <v>107</v>
      </c>
      <c r="J855" s="23">
        <f>VLOOKUP(I855,episodes!$A$1:$B$76,2,FALSE)</f>
        <v>8</v>
      </c>
      <c r="K855" s="16" t="str">
        <f>VLOOKUP(I855,episodes!$A$1:$E$81,5,FALSE)</f>
        <v>What Are Little Girls Made Of?</v>
      </c>
      <c r="L855" s="16">
        <f>VLOOKUP(I855,episodes!$A$1:$D$81,3,FALSE)</f>
        <v>1</v>
      </c>
      <c r="M855" s="16">
        <f>VLOOKUP(I855,episodes!$A$1:$D$81,4,FALSE)</f>
        <v>7</v>
      </c>
      <c r="N855" s="14"/>
      <c r="O855" s="14">
        <v>0</v>
      </c>
      <c r="P855" s="24">
        <f>LEN(E855)+LEN(K855)</f>
        <v>110</v>
      </c>
      <c r="Q855" s="24">
        <f>COUNTIFS(B:B,B854)</f>
        <v>4</v>
      </c>
      <c r="R855" s="24">
        <f>COUNTIFS(D:D,D855)</f>
        <v>23</v>
      </c>
    </row>
    <row r="856" spans="1:18" s="21" customFormat="1" x14ac:dyDescent="0.3">
      <c r="A856" s="14">
        <v>1450</v>
      </c>
      <c r="B856" s="21" t="s">
        <v>63</v>
      </c>
      <c r="C856" s="21" t="s">
        <v>2603</v>
      </c>
      <c r="D856" s="21" t="s">
        <v>2669</v>
      </c>
      <c r="E856" s="1" t="s">
        <v>2854</v>
      </c>
      <c r="F856" s="21" t="s">
        <v>4</v>
      </c>
      <c r="G856" s="14">
        <v>1</v>
      </c>
      <c r="H856" s="14">
        <v>0</v>
      </c>
      <c r="I856" s="14">
        <v>310</v>
      </c>
      <c r="J856" s="23">
        <f>VLOOKUP(I856,episodes!$A$1:$B$81,2,FALSE)</f>
        <v>66</v>
      </c>
      <c r="K856" s="16" t="str">
        <f>VLOOKUP(I856,episodes!$A$1:$E$81,5,FALSE)</f>
        <v>Plato's Stepchildren</v>
      </c>
      <c r="L856" s="16">
        <f>VLOOKUP(I856,episodes!$A$1:$D$81,3,FALSE)</f>
        <v>3</v>
      </c>
      <c r="M856" s="16">
        <f>VLOOKUP(I856,episodes!$A$1:$D$81,4,FALSE)</f>
        <v>10</v>
      </c>
      <c r="N856" s="14"/>
      <c r="O856" s="14">
        <v>0</v>
      </c>
      <c r="P856" s="24">
        <f>LEN(E856)+LEN(K856)</f>
        <v>80</v>
      </c>
      <c r="Q856" s="24">
        <f>COUNTIFS(B:B,#REF!)</f>
        <v>0</v>
      </c>
      <c r="R856" s="24">
        <f>COUNTIFS(D:D,D857)</f>
        <v>23</v>
      </c>
    </row>
    <row r="857" spans="1:18" s="21" customFormat="1" x14ac:dyDescent="0.3">
      <c r="A857" s="14">
        <v>2366</v>
      </c>
      <c r="B857" s="21" t="s">
        <v>513</v>
      </c>
      <c r="C857" s="21" t="s">
        <v>2603</v>
      </c>
      <c r="D857" s="1" t="s">
        <v>2669</v>
      </c>
      <c r="E857" s="1" t="s">
        <v>2849</v>
      </c>
      <c r="F857" s="21" t="s">
        <v>5</v>
      </c>
      <c r="G857" s="14">
        <v>0</v>
      </c>
      <c r="H857" s="14">
        <v>0</v>
      </c>
      <c r="I857" s="22">
        <v>124</v>
      </c>
      <c r="J857" s="23">
        <f>VLOOKUP(I857,episodes!$A$1:$B$76,2,FALSE)</f>
        <v>25</v>
      </c>
      <c r="K857" s="16" t="str">
        <f>VLOOKUP(I857,episodes!$A$1:$E$81,5,FALSE)</f>
        <v>This Side of Paradise</v>
      </c>
      <c r="L857" s="16">
        <f>VLOOKUP(I857,episodes!$A$1:$D$81,3,FALSE)</f>
        <v>1</v>
      </c>
      <c r="M857" s="16">
        <f>VLOOKUP(I857,episodes!$A$1:$D$81,4,FALSE)</f>
        <v>24</v>
      </c>
      <c r="N857" s="14"/>
      <c r="O857" s="14">
        <v>0</v>
      </c>
      <c r="P857" s="24">
        <f>LEN(E857)+LEN(K857)</f>
        <v>44</v>
      </c>
      <c r="Q857" s="24"/>
      <c r="R857" s="24"/>
    </row>
    <row r="858" spans="1:18" s="21" customFormat="1" x14ac:dyDescent="0.3">
      <c r="A858" s="14">
        <v>2368</v>
      </c>
      <c r="B858" s="21" t="s">
        <v>513</v>
      </c>
      <c r="C858" s="21" t="s">
        <v>2603</v>
      </c>
      <c r="D858" s="1" t="s">
        <v>2669</v>
      </c>
      <c r="E858" s="1" t="s">
        <v>2850</v>
      </c>
      <c r="F858" s="21" t="s">
        <v>5</v>
      </c>
      <c r="G858" s="14">
        <v>0</v>
      </c>
      <c r="H858" s="14">
        <v>0</v>
      </c>
      <c r="I858" s="22">
        <v>124</v>
      </c>
      <c r="J858" s="23">
        <f>VLOOKUP(I858,episodes!$A$1:$B$76,2,FALSE)</f>
        <v>25</v>
      </c>
      <c r="K858" s="16" t="str">
        <f>VLOOKUP(I858,episodes!$A$1:$E$81,5,FALSE)</f>
        <v>This Side of Paradise</v>
      </c>
      <c r="L858" s="16">
        <f>VLOOKUP(I858,episodes!$A$1:$D$81,3,FALSE)</f>
        <v>1</v>
      </c>
      <c r="M858" s="16">
        <f>VLOOKUP(I858,episodes!$A$1:$D$81,4,FALSE)</f>
        <v>24</v>
      </c>
      <c r="N858" s="14"/>
      <c r="O858" s="14">
        <v>0</v>
      </c>
      <c r="P858" s="24">
        <f>LEN(E858)+LEN(K858)</f>
        <v>44</v>
      </c>
      <c r="Q858" s="24"/>
      <c r="R858" s="24"/>
    </row>
    <row r="859" spans="1:18" s="21" customFormat="1" x14ac:dyDescent="0.3">
      <c r="A859" s="14">
        <v>2370</v>
      </c>
      <c r="B859" s="21" t="s">
        <v>513</v>
      </c>
      <c r="C859" s="21" t="s">
        <v>2603</v>
      </c>
      <c r="D859" s="1" t="s">
        <v>2669</v>
      </c>
      <c r="E859" s="1" t="s">
        <v>2851</v>
      </c>
      <c r="F859" s="21" t="s">
        <v>5</v>
      </c>
      <c r="G859" s="14">
        <v>0</v>
      </c>
      <c r="H859" s="14">
        <v>0</v>
      </c>
      <c r="I859" s="22">
        <v>124</v>
      </c>
      <c r="J859" s="23">
        <f>VLOOKUP(I859,episodes!$A$1:$B$76,2,FALSE)</f>
        <v>25</v>
      </c>
      <c r="K859" s="16" t="str">
        <f>VLOOKUP(I859,episodes!$A$1:$E$81,5,FALSE)</f>
        <v>This Side of Paradise</v>
      </c>
      <c r="L859" s="16">
        <f>VLOOKUP(I859,episodes!$A$1:$D$81,3,FALSE)</f>
        <v>1</v>
      </c>
      <c r="M859" s="16">
        <f>VLOOKUP(I859,episodes!$A$1:$D$81,4,FALSE)</f>
        <v>24</v>
      </c>
      <c r="N859" s="14"/>
      <c r="O859" s="14">
        <v>0</v>
      </c>
      <c r="P859" s="24">
        <f>LEN(E859)+LEN(K859)</f>
        <v>44</v>
      </c>
      <c r="Q859" s="24"/>
      <c r="R859" s="24"/>
    </row>
    <row r="860" spans="1:18" s="21" customFormat="1" x14ac:dyDescent="0.3">
      <c r="A860" s="14">
        <v>245</v>
      </c>
      <c r="B860" s="21" t="s">
        <v>1050</v>
      </c>
      <c r="C860" s="21" t="s">
        <v>2603</v>
      </c>
      <c r="D860" s="1" t="s">
        <v>2669</v>
      </c>
      <c r="E860" s="1" t="s">
        <v>1590</v>
      </c>
      <c r="F860" s="21" t="s">
        <v>2315</v>
      </c>
      <c r="G860" s="14">
        <v>0</v>
      </c>
      <c r="H860" s="14">
        <v>0</v>
      </c>
      <c r="I860" s="14">
        <v>209</v>
      </c>
      <c r="J860" s="23">
        <f>VLOOKUP(I860,episodes!$A$1:$B$81,2,FALSE)</f>
        <v>39</v>
      </c>
      <c r="K860" s="16" t="str">
        <f>VLOOKUP(I860,episodes!$A$1:$E$81,5,FALSE)</f>
        <v>Metamorphosis</v>
      </c>
      <c r="L860" s="16">
        <f>VLOOKUP(I860,episodes!$A$1:$D$81,3,FALSE)</f>
        <v>2</v>
      </c>
      <c r="M860" s="16">
        <f>VLOOKUP(I860,episodes!$A$1:$D$81,4,FALSE)</f>
        <v>9</v>
      </c>
      <c r="N860" s="14"/>
      <c r="O860" s="14">
        <v>0</v>
      </c>
      <c r="P860" s="24">
        <f>LEN(E860)+LEN(K860)</f>
        <v>59</v>
      </c>
      <c r="Q860" s="24">
        <f>COUNTIFS(B:B,#REF!)</f>
        <v>0</v>
      </c>
      <c r="R860" s="24">
        <f>COUNTIFS(D:D,D860)</f>
        <v>23</v>
      </c>
    </row>
    <row r="861" spans="1:18" s="21" customFormat="1" x14ac:dyDescent="0.3">
      <c r="A861" s="14">
        <v>428</v>
      </c>
      <c r="B861" s="21" t="s">
        <v>328</v>
      </c>
      <c r="C861" s="21" t="s">
        <v>2283</v>
      </c>
      <c r="D861" s="21" t="s">
        <v>750</v>
      </c>
      <c r="E861" s="1" t="s">
        <v>2521</v>
      </c>
      <c r="F861" s="21" t="s">
        <v>2283</v>
      </c>
      <c r="G861" s="14">
        <v>0</v>
      </c>
      <c r="H861" s="14">
        <v>0</v>
      </c>
      <c r="I861" s="22">
        <v>122</v>
      </c>
      <c r="J861" s="23">
        <f>VLOOKUP(I861,episodes!$A$1:$B$76,2,FALSE)</f>
        <v>23</v>
      </c>
      <c r="K861" s="16" t="str">
        <f>VLOOKUP(I861,episodes!$A$1:$E$81,5,FALSE)</f>
        <v>Space Seed</v>
      </c>
      <c r="L861" s="16">
        <f>VLOOKUP(I861,episodes!$A$1:$D$81,3,FALSE)</f>
        <v>1</v>
      </c>
      <c r="M861" s="16">
        <f>VLOOKUP(I861,episodes!$A$1:$D$81,4,FALSE)</f>
        <v>22</v>
      </c>
      <c r="N861" s="14"/>
      <c r="O861" s="14">
        <v>0</v>
      </c>
      <c r="P861" s="24">
        <f>LEN(E861)+LEN(K861)</f>
        <v>74</v>
      </c>
      <c r="Q861" s="24">
        <f>COUNTIFS(B:B,#REF!)</f>
        <v>0</v>
      </c>
      <c r="R861" s="24">
        <f>COUNTIFS(D:D,D861)</f>
        <v>1</v>
      </c>
    </row>
    <row r="862" spans="1:18" s="21" customFormat="1" x14ac:dyDescent="0.3">
      <c r="A862" s="14">
        <v>2741</v>
      </c>
      <c r="B862" s="21" t="s">
        <v>239</v>
      </c>
      <c r="C862" s="21" t="s">
        <v>4</v>
      </c>
      <c r="D862" s="21" t="s">
        <v>2</v>
      </c>
      <c r="E862" s="1" t="s">
        <v>481</v>
      </c>
      <c r="F862" s="21" t="s">
        <v>2225</v>
      </c>
      <c r="G862" s="14">
        <v>0</v>
      </c>
      <c r="H862" s="14">
        <v>0</v>
      </c>
      <c r="I862" s="25">
        <v>110</v>
      </c>
      <c r="J862" s="23">
        <f>VLOOKUP(I862,episodes!$A$1:$B$76,2,FALSE)</f>
        <v>11</v>
      </c>
      <c r="K862" s="16" t="str">
        <f>VLOOKUP(I862,episodes!$A$1:$E$81,5,FALSE)</f>
        <v>The Corbomite Maneuver</v>
      </c>
      <c r="L862" s="16">
        <f>VLOOKUP(I862,episodes!$A$1:$D$81,3,FALSE)</f>
        <v>1</v>
      </c>
      <c r="M862" s="16">
        <f>VLOOKUP(I862,episodes!$A$1:$D$81,4,FALSE)</f>
        <v>10</v>
      </c>
      <c r="N862" s="14"/>
      <c r="O862" s="14">
        <v>0</v>
      </c>
      <c r="P862" s="24">
        <f>LEN(E862)+LEN(K862)</f>
        <v>102</v>
      </c>
      <c r="Q862" s="24">
        <f>COUNTIFS(B:B,B861)</f>
        <v>19</v>
      </c>
      <c r="R862" s="24">
        <f>COUNTIFS(D:D,D862)</f>
        <v>33</v>
      </c>
    </row>
    <row r="863" spans="1:18" s="21" customFormat="1" x14ac:dyDescent="0.3">
      <c r="A863" s="14">
        <v>2784</v>
      </c>
      <c r="B863" s="21" t="s">
        <v>239</v>
      </c>
      <c r="C863" s="21" t="s">
        <v>4</v>
      </c>
      <c r="D863" s="21" t="s">
        <v>2</v>
      </c>
      <c r="E863" s="1" t="s">
        <v>1306</v>
      </c>
      <c r="F863" s="21" t="s">
        <v>2225</v>
      </c>
      <c r="G863" s="14">
        <v>0</v>
      </c>
      <c r="H863" s="14">
        <v>0</v>
      </c>
      <c r="I863" s="22">
        <v>121</v>
      </c>
      <c r="J863" s="23">
        <f>VLOOKUP(I863,episodes!$A$1:$B$76,2,FALSE)</f>
        <v>22</v>
      </c>
      <c r="K863" s="16" t="str">
        <f>VLOOKUP(I863,episodes!$A$1:$E$81,5,FALSE)</f>
        <v>The Return of the Archons</v>
      </c>
      <c r="L863" s="16">
        <f>VLOOKUP(I863,episodes!$A$1:$D$81,3,FALSE)</f>
        <v>1</v>
      </c>
      <c r="M863" s="16">
        <f>VLOOKUP(I863,episodes!$A$1:$D$81,4,FALSE)</f>
        <v>21</v>
      </c>
      <c r="N863" s="14"/>
      <c r="O863" s="14">
        <v>0</v>
      </c>
      <c r="P863" s="24">
        <f>LEN(E863)+LEN(K863)</f>
        <v>157</v>
      </c>
      <c r="Q863" s="24">
        <f>COUNTIFS(B:B,B862)</f>
        <v>9</v>
      </c>
      <c r="R863" s="24">
        <f>COUNTIFS(D:D,D863)</f>
        <v>33</v>
      </c>
    </row>
    <row r="864" spans="1:18" s="21" customFormat="1" x14ac:dyDescent="0.3">
      <c r="A864" s="14">
        <v>912</v>
      </c>
      <c r="B864" s="21" t="s">
        <v>239</v>
      </c>
      <c r="C864" s="21" t="s">
        <v>4</v>
      </c>
      <c r="D864" s="21" t="s">
        <v>2</v>
      </c>
      <c r="E864" s="1" t="s">
        <v>1409</v>
      </c>
      <c r="F864" s="21" t="s">
        <v>4</v>
      </c>
      <c r="G864" s="14">
        <v>1</v>
      </c>
      <c r="H864" s="14">
        <v>0</v>
      </c>
      <c r="I864" s="25">
        <v>205</v>
      </c>
      <c r="J864" s="23">
        <f>VLOOKUP(I864,episodes!$A$1:$B$81,2,FALSE)</f>
        <v>35</v>
      </c>
      <c r="K864" s="16" t="str">
        <f>VLOOKUP(I864,episodes!$A$1:$E$81,5,FALSE)</f>
        <v>The Apple</v>
      </c>
      <c r="L864" s="16">
        <f>VLOOKUP(I864,episodes!$A$1:$D$81,3,FALSE)</f>
        <v>2</v>
      </c>
      <c r="M864" s="16">
        <f>VLOOKUP(I864,episodes!$A$1:$D$81,4,FALSE)</f>
        <v>5</v>
      </c>
      <c r="N864" s="14"/>
      <c r="O864" s="14">
        <v>0</v>
      </c>
      <c r="P864" s="24">
        <f>LEN(E864)+LEN(K864)</f>
        <v>77</v>
      </c>
      <c r="Q864" s="24">
        <f>COUNTIFS(B:B,B863)</f>
        <v>9</v>
      </c>
      <c r="R864" s="24">
        <f>COUNTIFS(D:D,D864)</f>
        <v>33</v>
      </c>
    </row>
    <row r="865" spans="1:18" s="21" customFormat="1" x14ac:dyDescent="0.3">
      <c r="A865" s="14">
        <v>801</v>
      </c>
      <c r="B865" s="21" t="s">
        <v>239</v>
      </c>
      <c r="C865" s="21" t="s">
        <v>4</v>
      </c>
      <c r="D865" s="21" t="s">
        <v>2</v>
      </c>
      <c r="E865" s="1" t="s">
        <v>2270</v>
      </c>
      <c r="F865" s="21" t="s">
        <v>4</v>
      </c>
      <c r="G865" s="14">
        <v>1</v>
      </c>
      <c r="H865" s="14">
        <v>0</v>
      </c>
      <c r="I865" s="22">
        <v>123</v>
      </c>
      <c r="J865" s="23">
        <f>VLOOKUP(I865,episodes!$A$1:$B$76,2,FALSE)</f>
        <v>24</v>
      </c>
      <c r="K865" s="16" t="str">
        <f>VLOOKUP(I865,episodes!$A$1:$E$81,5,FALSE)</f>
        <v>A Taste of Armageddon</v>
      </c>
      <c r="L865" s="16">
        <f>VLOOKUP(I865,episodes!$A$1:$D$81,3,FALSE)</f>
        <v>1</v>
      </c>
      <c r="M865" s="16">
        <f>VLOOKUP(I865,episodes!$A$1:$D$81,4,FALSE)</f>
        <v>23</v>
      </c>
      <c r="N865" s="14"/>
      <c r="O865" s="14">
        <v>0</v>
      </c>
      <c r="P865" s="24">
        <f>LEN(E865)+LEN(K865)</f>
        <v>142</v>
      </c>
      <c r="Q865" s="24">
        <f>COUNTIFS(B:B,B864)</f>
        <v>9</v>
      </c>
      <c r="R865" s="24">
        <f>COUNTIFS(D:D,D865)</f>
        <v>33</v>
      </c>
    </row>
    <row r="866" spans="1:18" s="21" customFormat="1" x14ac:dyDescent="0.3">
      <c r="A866" s="14">
        <v>633</v>
      </c>
      <c r="B866" s="21" t="s">
        <v>239</v>
      </c>
      <c r="C866" s="21" t="s">
        <v>4</v>
      </c>
      <c r="D866" s="21" t="s">
        <v>2</v>
      </c>
      <c r="E866" s="1" t="s">
        <v>1716</v>
      </c>
      <c r="F866" s="21" t="s">
        <v>4</v>
      </c>
      <c r="G866" s="14">
        <v>1</v>
      </c>
      <c r="H866" s="14">
        <v>0</v>
      </c>
      <c r="I866" s="25">
        <v>108</v>
      </c>
      <c r="J866" s="23">
        <f>VLOOKUP(I866,episodes!$A$1:$B$76,2,FALSE)</f>
        <v>9</v>
      </c>
      <c r="K866" s="16" t="str">
        <f>VLOOKUP(I866,episodes!$A$1:$E$81,5,FALSE)</f>
        <v>Miri</v>
      </c>
      <c r="L866" s="16">
        <f>VLOOKUP(I866,episodes!$A$1:$D$81,3,FALSE)</f>
        <v>1</v>
      </c>
      <c r="M866" s="16">
        <f>VLOOKUP(I866,episodes!$A$1:$D$81,4,FALSE)</f>
        <v>8</v>
      </c>
      <c r="N866" s="14"/>
      <c r="O866" s="14">
        <v>0</v>
      </c>
      <c r="P866" s="24">
        <f>LEN(E866)+LEN(K866)</f>
        <v>174</v>
      </c>
      <c r="Q866" s="24">
        <f>COUNTIFS(B:B,#REF!)</f>
        <v>0</v>
      </c>
      <c r="R866" s="24">
        <f>COUNTIFS(D:D,D866)</f>
        <v>33</v>
      </c>
    </row>
    <row r="867" spans="1:18" s="21" customFormat="1" x14ac:dyDescent="0.3">
      <c r="A867" s="14">
        <v>847</v>
      </c>
      <c r="B867" s="21" t="s">
        <v>239</v>
      </c>
      <c r="C867" s="21" t="s">
        <v>4</v>
      </c>
      <c r="D867" s="21" t="s">
        <v>2</v>
      </c>
      <c r="E867" s="1" t="s">
        <v>1975</v>
      </c>
      <c r="F867" s="21" t="s">
        <v>4</v>
      </c>
      <c r="G867" s="14">
        <v>1</v>
      </c>
      <c r="H867" s="14">
        <v>0</v>
      </c>
      <c r="I867" s="26">
        <v>126</v>
      </c>
      <c r="J867" s="23">
        <f>VLOOKUP(I867,episodes!$A$1:$B$76,2,FALSE)</f>
        <v>27</v>
      </c>
      <c r="K867" s="16" t="str">
        <f>VLOOKUP(I867,episodes!$A$1:$E$81,5,FALSE)</f>
        <v>Errand of Mercy</v>
      </c>
      <c r="L867" s="16">
        <f>VLOOKUP(I867,episodes!$A$1:$D$81,3,FALSE)</f>
        <v>1</v>
      </c>
      <c r="M867" s="16">
        <f>VLOOKUP(I867,episodes!$A$1:$D$81,4,FALSE)</f>
        <v>26</v>
      </c>
      <c r="N867" s="14"/>
      <c r="O867" s="14">
        <v>0</v>
      </c>
      <c r="P867" s="24">
        <f>LEN(E867)+LEN(K867)</f>
        <v>99</v>
      </c>
      <c r="Q867" s="24">
        <f>COUNTIFS(B:B,B866)</f>
        <v>9</v>
      </c>
      <c r="R867" s="24">
        <f>COUNTIFS(D:D,D867)</f>
        <v>33</v>
      </c>
    </row>
    <row r="868" spans="1:18" s="21" customFormat="1" x14ac:dyDescent="0.3">
      <c r="A868" s="14">
        <v>848</v>
      </c>
      <c r="B868" s="21" t="s">
        <v>239</v>
      </c>
      <c r="C868" s="21" t="s">
        <v>4</v>
      </c>
      <c r="D868" s="21" t="s">
        <v>2</v>
      </c>
      <c r="E868" s="1" t="s">
        <v>704</v>
      </c>
      <c r="F868" s="21" t="s">
        <v>4</v>
      </c>
      <c r="G868" s="14">
        <v>1</v>
      </c>
      <c r="H868" s="14">
        <v>0</v>
      </c>
      <c r="I868" s="22">
        <v>126</v>
      </c>
      <c r="J868" s="23">
        <f>VLOOKUP(I868,episodes!$A$1:$B$76,2,FALSE)</f>
        <v>27</v>
      </c>
      <c r="K868" s="16" t="str">
        <f>VLOOKUP(I868,episodes!$A$1:$E$81,5,FALSE)</f>
        <v>Errand of Mercy</v>
      </c>
      <c r="L868" s="16">
        <f>VLOOKUP(I868,episodes!$A$1:$D$81,3,FALSE)</f>
        <v>1</v>
      </c>
      <c r="M868" s="16">
        <f>VLOOKUP(I868,episodes!$A$1:$D$81,4,FALSE)</f>
        <v>26</v>
      </c>
      <c r="N868" s="14"/>
      <c r="O868" s="14">
        <v>0</v>
      </c>
      <c r="P868" s="24">
        <f>LEN(E868)+LEN(K868)</f>
        <v>124</v>
      </c>
      <c r="Q868" s="24">
        <f>COUNTIFS(B:B,B867)</f>
        <v>9</v>
      </c>
      <c r="R868" s="24">
        <f>COUNTIFS(D:D,D868)</f>
        <v>33</v>
      </c>
    </row>
    <row r="869" spans="1:18" s="21" customFormat="1" x14ac:dyDescent="0.3">
      <c r="A869" s="14">
        <v>802</v>
      </c>
      <c r="B869" s="21" t="s">
        <v>239</v>
      </c>
      <c r="C869" s="21" t="s">
        <v>4</v>
      </c>
      <c r="D869" s="21" t="s">
        <v>2</v>
      </c>
      <c r="E869" s="1" t="s">
        <v>1974</v>
      </c>
      <c r="F869" s="21" t="s">
        <v>4</v>
      </c>
      <c r="G869" s="14">
        <v>1</v>
      </c>
      <c r="H869" s="14">
        <v>0</v>
      </c>
      <c r="I869" s="22">
        <v>123</v>
      </c>
      <c r="J869" s="23">
        <f>VLOOKUP(I869,episodes!$A$1:$B$76,2,FALSE)</f>
        <v>24</v>
      </c>
      <c r="K869" s="16" t="str">
        <f>VLOOKUP(I869,episodes!$A$1:$E$81,5,FALSE)</f>
        <v>A Taste of Armageddon</v>
      </c>
      <c r="L869" s="16">
        <f>VLOOKUP(I869,episodes!$A$1:$D$81,3,FALSE)</f>
        <v>1</v>
      </c>
      <c r="M869" s="16">
        <f>VLOOKUP(I869,episodes!$A$1:$D$81,4,FALSE)</f>
        <v>23</v>
      </c>
      <c r="N869" s="14"/>
      <c r="O869" s="14">
        <v>0</v>
      </c>
      <c r="P869" s="24">
        <f>LEN(E869)+LEN(K869)</f>
        <v>97</v>
      </c>
      <c r="Q869" s="24">
        <f>COUNTIFS(B:B,B868)</f>
        <v>9</v>
      </c>
      <c r="R869" s="24">
        <f>COUNTIFS(D:D,D869)</f>
        <v>33</v>
      </c>
    </row>
    <row r="870" spans="1:18" s="21" customFormat="1" x14ac:dyDescent="0.3">
      <c r="A870" s="14">
        <v>803</v>
      </c>
      <c r="B870" s="21" t="s">
        <v>239</v>
      </c>
      <c r="C870" s="21" t="s">
        <v>4</v>
      </c>
      <c r="D870" s="21" t="s">
        <v>2</v>
      </c>
      <c r="E870" s="1" t="s">
        <v>1323</v>
      </c>
      <c r="F870" s="21" t="s">
        <v>4</v>
      </c>
      <c r="G870" s="14">
        <v>1</v>
      </c>
      <c r="H870" s="14">
        <v>0</v>
      </c>
      <c r="I870" s="22">
        <v>123</v>
      </c>
      <c r="J870" s="23">
        <f>VLOOKUP(I870,episodes!$A$1:$B$76,2,FALSE)</f>
        <v>24</v>
      </c>
      <c r="K870" s="16" t="str">
        <f>VLOOKUP(I870,episodes!$A$1:$E$81,5,FALSE)</f>
        <v>A Taste of Armageddon</v>
      </c>
      <c r="L870" s="16">
        <f>VLOOKUP(I870,episodes!$A$1:$D$81,3,FALSE)</f>
        <v>1</v>
      </c>
      <c r="M870" s="16">
        <f>VLOOKUP(I870,episodes!$A$1:$D$81,4,FALSE)</f>
        <v>23</v>
      </c>
      <c r="N870" s="14"/>
      <c r="O870" s="14">
        <v>0</v>
      </c>
      <c r="P870" s="24">
        <f>LEN(E870)+LEN(K870)</f>
        <v>137</v>
      </c>
      <c r="Q870" s="24">
        <f>COUNTIFS(B:B,B869)</f>
        <v>9</v>
      </c>
      <c r="R870" s="24">
        <f>COUNTIFS(D:D,D870)</f>
        <v>33</v>
      </c>
    </row>
    <row r="871" spans="1:18" s="21" customFormat="1" x14ac:dyDescent="0.3">
      <c r="A871" s="14">
        <v>657</v>
      </c>
      <c r="B871" s="21" t="s">
        <v>245</v>
      </c>
      <c r="C871" s="21" t="s">
        <v>4</v>
      </c>
      <c r="D871" s="21" t="s">
        <v>2346</v>
      </c>
      <c r="E871" s="1" t="s">
        <v>167</v>
      </c>
      <c r="F871" s="21" t="s">
        <v>4</v>
      </c>
      <c r="G871" s="14">
        <v>1</v>
      </c>
      <c r="H871" s="14">
        <v>0</v>
      </c>
      <c r="I871" s="25">
        <v>110</v>
      </c>
      <c r="J871" s="23">
        <f>VLOOKUP(I871,episodes!$A$1:$B$76,2,FALSE)</f>
        <v>11</v>
      </c>
      <c r="K871" s="16" t="str">
        <f>VLOOKUP(I871,episodes!$A$1:$E$81,5,FALSE)</f>
        <v>The Corbomite Maneuver</v>
      </c>
      <c r="L871" s="16">
        <f>VLOOKUP(I871,episodes!$A$1:$D$81,3,FALSE)</f>
        <v>1</v>
      </c>
      <c r="M871" s="16">
        <f>VLOOKUP(I871,episodes!$A$1:$D$81,4,FALSE)</f>
        <v>10</v>
      </c>
      <c r="N871" s="14"/>
      <c r="O871" s="14">
        <v>0</v>
      </c>
      <c r="P871" s="24">
        <f>LEN(E871)+LEN(K871)</f>
        <v>61</v>
      </c>
      <c r="Q871" s="24">
        <f>COUNTIFS(B:B,B870)</f>
        <v>9</v>
      </c>
      <c r="R871" s="24">
        <f>COUNTIFS(D:D,D871)</f>
        <v>4</v>
      </c>
    </row>
    <row r="872" spans="1:18" s="21" customFormat="1" x14ac:dyDescent="0.3">
      <c r="A872" s="14">
        <v>973</v>
      </c>
      <c r="B872" s="21" t="s">
        <v>245</v>
      </c>
      <c r="C872" s="21" t="s">
        <v>4</v>
      </c>
      <c r="D872" s="21" t="s">
        <v>2346</v>
      </c>
      <c r="E872" s="1" t="s">
        <v>881</v>
      </c>
      <c r="F872" s="21" t="s">
        <v>4</v>
      </c>
      <c r="G872" s="14">
        <v>1</v>
      </c>
      <c r="H872" s="14">
        <v>0</v>
      </c>
      <c r="I872" s="14">
        <v>217</v>
      </c>
      <c r="J872" s="23">
        <f>VLOOKUP(I872,episodes!$A$1:$B$81,2,FALSE)</f>
        <v>47</v>
      </c>
      <c r="K872" s="16" t="str">
        <f>VLOOKUP(I872,episodes!$A$1:$E$81,5,FALSE)</f>
        <v>A Piece of the Action</v>
      </c>
      <c r="L872" s="16">
        <f>VLOOKUP(I872,episodes!$A$1:$D$81,3,FALSE)</f>
        <v>2</v>
      </c>
      <c r="M872" s="16">
        <f>VLOOKUP(I872,episodes!$A$1:$D$81,4,FALSE)</f>
        <v>17</v>
      </c>
      <c r="N872" s="14"/>
      <c r="O872" s="14">
        <v>0</v>
      </c>
      <c r="P872" s="24">
        <f>LEN(E872)+LEN(K872)</f>
        <v>77</v>
      </c>
      <c r="Q872" s="24">
        <f>COUNTIFS(B:B,#REF!)</f>
        <v>0</v>
      </c>
      <c r="R872" s="24">
        <f>COUNTIFS(D:D,C874)</f>
        <v>103</v>
      </c>
    </row>
    <row r="873" spans="1:18" x14ac:dyDescent="0.3">
      <c r="A873" s="14">
        <v>2196</v>
      </c>
      <c r="B873" s="21" t="s">
        <v>245</v>
      </c>
      <c r="C873" s="21" t="s">
        <v>4</v>
      </c>
      <c r="D873" s="1" t="s">
        <v>2346</v>
      </c>
      <c r="E873" s="1" t="s">
        <v>1982</v>
      </c>
      <c r="F873" s="21" t="s">
        <v>5</v>
      </c>
      <c r="G873" s="14">
        <v>1</v>
      </c>
      <c r="H873" s="14">
        <v>0</v>
      </c>
      <c r="I873" s="25">
        <v>129</v>
      </c>
      <c r="J873" s="23">
        <f>VLOOKUP(I873,episodes!$A$1:$B$76,2,FALSE)</f>
        <v>30</v>
      </c>
      <c r="K873" s="16" t="str">
        <f>VLOOKUP(I873,episodes!$A$1:$E$81,5,FALSE)</f>
        <v>Operation: Annihilate!</v>
      </c>
      <c r="L873" s="16">
        <f>VLOOKUP(I873,episodes!$A$1:$D$81,3,FALSE)</f>
        <v>1</v>
      </c>
      <c r="M873" s="16">
        <f>VLOOKUP(I873,episodes!$A$1:$D$81,4,FALSE)</f>
        <v>29</v>
      </c>
      <c r="O873" s="14">
        <v>0</v>
      </c>
      <c r="P873" s="24">
        <f>LEN(E873)+LEN(K873)</f>
        <v>108</v>
      </c>
      <c r="Q873" s="24">
        <f>COUNTIFS(B:B,B872)</f>
        <v>4</v>
      </c>
      <c r="R873" s="24">
        <f>COUNTIFS(D:D,D873)</f>
        <v>4</v>
      </c>
    </row>
    <row r="874" spans="1:18" x14ac:dyDescent="0.3">
      <c r="A874" s="14">
        <v>972</v>
      </c>
      <c r="B874" s="21" t="s">
        <v>245</v>
      </c>
      <c r="C874" s="21" t="s">
        <v>4</v>
      </c>
      <c r="D874" s="21" t="s">
        <v>2346</v>
      </c>
      <c r="E874" s="1" t="s">
        <v>878</v>
      </c>
      <c r="F874" s="21" t="s">
        <v>4</v>
      </c>
      <c r="G874" s="14">
        <v>1</v>
      </c>
      <c r="H874" s="14">
        <v>0</v>
      </c>
      <c r="I874" s="25">
        <v>212</v>
      </c>
      <c r="J874" s="23">
        <f>VLOOKUP(I874,episodes!$A$1:$B$81,2,FALSE)</f>
        <v>42</v>
      </c>
      <c r="K874" s="16" t="str">
        <f>VLOOKUP(I874,episodes!$A$1:$E$81,5,FALSE)</f>
        <v>The Deadly Years</v>
      </c>
      <c r="L874" s="16">
        <f>VLOOKUP(I874,episodes!$A$1:$D$81,3,FALSE)</f>
        <v>2</v>
      </c>
      <c r="M874" s="16">
        <f>VLOOKUP(I874,episodes!$A$1:$D$81,4,FALSE)</f>
        <v>12</v>
      </c>
      <c r="O874" s="14">
        <v>0</v>
      </c>
      <c r="P874" s="24">
        <f>LEN(E874)+LEN(K874)</f>
        <v>97</v>
      </c>
      <c r="Q874" s="24">
        <f>COUNTIFS(B:B,B876)</f>
        <v>160</v>
      </c>
      <c r="R874" s="24">
        <f>COUNTIFS(D:D,C877)</f>
        <v>0</v>
      </c>
    </row>
    <row r="875" spans="1:18" x14ac:dyDescent="0.3">
      <c r="A875" s="14">
        <v>1233</v>
      </c>
      <c r="B875" s="21" t="s">
        <v>340</v>
      </c>
      <c r="C875" s="21" t="s">
        <v>4</v>
      </c>
      <c r="D875" s="21" t="s">
        <v>2348</v>
      </c>
      <c r="E875" s="1" t="s">
        <v>804</v>
      </c>
      <c r="F875" s="21" t="s">
        <v>4</v>
      </c>
      <c r="G875" s="14">
        <v>1</v>
      </c>
      <c r="H875" s="14">
        <v>0</v>
      </c>
      <c r="I875" s="26">
        <v>201</v>
      </c>
      <c r="J875" s="23">
        <f>VLOOKUP(I875,episodes!$A$1:$B$76,2,FALSE)</f>
        <v>31</v>
      </c>
      <c r="K875" s="16" t="str">
        <f>VLOOKUP(I875,episodes!$A$1:$E$81,5,FALSE)</f>
        <v>Amok Time</v>
      </c>
      <c r="L875" s="16">
        <f>VLOOKUP(I875,episodes!$A$1:$D$81,3,FALSE)</f>
        <v>2</v>
      </c>
      <c r="M875" s="16">
        <f>VLOOKUP(I875,episodes!$A$1:$D$81,4,FALSE)</f>
        <v>1</v>
      </c>
      <c r="O875" s="14">
        <v>0</v>
      </c>
      <c r="P875" s="24">
        <f>LEN(E875)+LEN(K875)</f>
        <v>103</v>
      </c>
      <c r="Q875" s="24">
        <f>COUNTIFS(B:B,B873)</f>
        <v>4</v>
      </c>
      <c r="R875" s="24">
        <f>COUNTIFS(D:D,D875)</f>
        <v>2</v>
      </c>
    </row>
    <row r="876" spans="1:18" x14ac:dyDescent="0.3">
      <c r="A876" s="14">
        <v>310</v>
      </c>
      <c r="B876" s="21" t="s">
        <v>742</v>
      </c>
      <c r="C876" s="21" t="s">
        <v>1684</v>
      </c>
      <c r="D876" s="21" t="s">
        <v>68</v>
      </c>
      <c r="E876" s="1" t="s">
        <v>2304</v>
      </c>
      <c r="F876" s="21" t="s">
        <v>2224</v>
      </c>
      <c r="G876" s="14">
        <v>0</v>
      </c>
      <c r="H876" s="14">
        <v>0</v>
      </c>
      <c r="I876" s="22">
        <v>123</v>
      </c>
      <c r="J876" s="23">
        <f>VLOOKUP(I876,episodes!$A$1:$B$76,2,FALSE)</f>
        <v>24</v>
      </c>
      <c r="K876" s="16" t="str">
        <f>VLOOKUP(I876,episodes!$A$1:$E$81,5,FALSE)</f>
        <v>A Taste of Armageddon</v>
      </c>
      <c r="L876" s="16">
        <f>VLOOKUP(I876,episodes!$A$1:$D$81,3,FALSE)</f>
        <v>1</v>
      </c>
      <c r="M876" s="16">
        <f>VLOOKUP(I876,episodes!$A$1:$D$81,4,FALSE)</f>
        <v>23</v>
      </c>
      <c r="O876" s="14">
        <v>0</v>
      </c>
      <c r="P876" s="24">
        <f>LEN(E876)+LEN(K876)</f>
        <v>69</v>
      </c>
      <c r="Q876" s="24">
        <f>COUNTIFS(B:B,B875)</f>
        <v>5</v>
      </c>
      <c r="R876" s="24">
        <f>COUNTIFS(D:D,C876)</f>
        <v>0</v>
      </c>
    </row>
    <row r="877" spans="1:18" x14ac:dyDescent="0.3">
      <c r="A877" s="14">
        <v>103</v>
      </c>
      <c r="B877" s="21" t="s">
        <v>742</v>
      </c>
      <c r="C877" s="21" t="s">
        <v>1684</v>
      </c>
      <c r="D877" s="21" t="s">
        <v>68</v>
      </c>
      <c r="E877" s="1" t="s">
        <v>2311</v>
      </c>
      <c r="F877" s="21" t="s">
        <v>46</v>
      </c>
      <c r="G877" s="26">
        <v>0</v>
      </c>
      <c r="H877" s="14">
        <v>0</v>
      </c>
      <c r="I877" s="25">
        <v>101</v>
      </c>
      <c r="J877" s="23">
        <f>VLOOKUP(I877,episodes!$A$1:$B$76,2,FALSE)</f>
        <v>2</v>
      </c>
      <c r="K877" s="16" t="str">
        <f>VLOOKUP(I877,episodes!$A$1:$E$81,5,FALSE)</f>
        <v>The Man Trap</v>
      </c>
      <c r="L877" s="16">
        <f>VLOOKUP(I877,episodes!$A$1:$D$81,3,FALSE)</f>
        <v>1</v>
      </c>
      <c r="M877" s="16">
        <f>VLOOKUP(I877,episodes!$A$1:$D$81,4,FALSE)</f>
        <v>1</v>
      </c>
      <c r="O877" s="14">
        <v>0</v>
      </c>
      <c r="P877" s="24">
        <f>LEN(E877)+LEN(K877)</f>
        <v>61</v>
      </c>
      <c r="Q877" s="24">
        <f>COUNTIFS(B:B,B876)</f>
        <v>160</v>
      </c>
      <c r="R877" s="24">
        <f>COUNTIFS(D:D,C877)</f>
        <v>0</v>
      </c>
    </row>
    <row r="878" spans="1:18" x14ac:dyDescent="0.3">
      <c r="A878" s="14">
        <v>360</v>
      </c>
      <c r="B878" s="21" t="s">
        <v>742</v>
      </c>
      <c r="C878" s="21" t="s">
        <v>1684</v>
      </c>
      <c r="D878" s="21" t="s">
        <v>68</v>
      </c>
      <c r="E878" s="1" t="s">
        <v>2306</v>
      </c>
      <c r="F878" s="21" t="s">
        <v>2224</v>
      </c>
      <c r="G878" s="14">
        <v>0</v>
      </c>
      <c r="H878" s="14">
        <v>0</v>
      </c>
      <c r="I878" s="25">
        <v>205</v>
      </c>
      <c r="J878" s="23">
        <f>VLOOKUP(I878,episodes!$A$1:$B$81,2,FALSE)</f>
        <v>35</v>
      </c>
      <c r="K878" s="16" t="str">
        <f>VLOOKUP(I878,episodes!$A$1:$E$81,5,FALSE)</f>
        <v>The Apple</v>
      </c>
      <c r="L878" s="16">
        <f>VLOOKUP(I878,episodes!$A$1:$D$81,3,FALSE)</f>
        <v>2</v>
      </c>
      <c r="M878" s="16">
        <f>VLOOKUP(I878,episodes!$A$1:$D$81,4,FALSE)</f>
        <v>5</v>
      </c>
      <c r="O878" s="14">
        <v>0</v>
      </c>
      <c r="P878" s="24">
        <f>LEN(E878)+LEN(K878)</f>
        <v>103</v>
      </c>
      <c r="Q878" s="24">
        <f>COUNTIFS(B:B,B877)</f>
        <v>160</v>
      </c>
      <c r="R878" s="24">
        <f>COUNTIFS(D:D,C878)</f>
        <v>0</v>
      </c>
    </row>
    <row r="879" spans="1:18" x14ac:dyDescent="0.3">
      <c r="A879" s="14">
        <v>384</v>
      </c>
      <c r="B879" s="21" t="s">
        <v>742</v>
      </c>
      <c r="C879" s="21" t="s">
        <v>1684</v>
      </c>
      <c r="D879" s="21" t="s">
        <v>68</v>
      </c>
      <c r="E879" s="1" t="s">
        <v>2312</v>
      </c>
      <c r="F879" s="21" t="s">
        <v>2224</v>
      </c>
      <c r="G879" s="14">
        <v>0</v>
      </c>
      <c r="H879" s="14">
        <v>0</v>
      </c>
      <c r="I879" s="22">
        <v>116</v>
      </c>
      <c r="J879" s="23">
        <f>VLOOKUP(I879,episodes!$A$1:$B$76,2,FALSE)</f>
        <v>17</v>
      </c>
      <c r="K879" s="16" t="str">
        <f>VLOOKUP(I879,episodes!$A$1:$E$81,5,FALSE)</f>
        <v>The Galileo Seven</v>
      </c>
      <c r="L879" s="16">
        <f>VLOOKUP(I879,episodes!$A$1:$D$81,3,FALSE)</f>
        <v>1</v>
      </c>
      <c r="M879" s="16">
        <f>VLOOKUP(I879,episodes!$A$1:$D$81,4,FALSE)</f>
        <v>16</v>
      </c>
      <c r="O879" s="14">
        <v>0</v>
      </c>
      <c r="P879" s="24">
        <f>LEN(E879)+LEN(K879)</f>
        <v>52</v>
      </c>
      <c r="Q879" s="24">
        <f>COUNTIFS(B:B,B878)</f>
        <v>160</v>
      </c>
      <c r="R879" s="24">
        <f>COUNTIFS(D:D,C879)</f>
        <v>0</v>
      </c>
    </row>
    <row r="880" spans="1:18" x14ac:dyDescent="0.3">
      <c r="A880" s="14">
        <v>183</v>
      </c>
      <c r="B880" s="21" t="s">
        <v>742</v>
      </c>
      <c r="C880" s="21" t="s">
        <v>1684</v>
      </c>
      <c r="D880" s="21" t="s">
        <v>68</v>
      </c>
      <c r="E880" s="1" t="s">
        <v>2310</v>
      </c>
      <c r="F880" s="21" t="s">
        <v>2255</v>
      </c>
      <c r="G880" s="14">
        <v>0</v>
      </c>
      <c r="H880" s="14">
        <v>0</v>
      </c>
      <c r="I880" s="25">
        <v>206</v>
      </c>
      <c r="J880" s="23">
        <f>VLOOKUP(I880,episodes!$A$1:$B$81,2,FALSE)</f>
        <v>36</v>
      </c>
      <c r="K880" s="16" t="str">
        <f>VLOOKUP(I880,episodes!$A$1:$E$81,5,FALSE)</f>
        <v>The Doomsday Machine</v>
      </c>
      <c r="L880" s="16">
        <f>VLOOKUP(I880,episodes!$A$1:$D$81,3,FALSE)</f>
        <v>2</v>
      </c>
      <c r="M880" s="16">
        <f>VLOOKUP(I880,episodes!$A$1:$D$81,4,FALSE)</f>
        <v>6</v>
      </c>
      <c r="O880" s="14">
        <v>0</v>
      </c>
      <c r="P880" s="24">
        <f>LEN(E880)+LEN(K880)</f>
        <v>120</v>
      </c>
      <c r="Q880" s="24"/>
      <c r="R880" s="24">
        <f>COUNTIFS(D:D,C880)</f>
        <v>0</v>
      </c>
    </row>
    <row r="881" spans="1:18" x14ac:dyDescent="0.3">
      <c r="A881" s="14">
        <v>209</v>
      </c>
      <c r="B881" s="21" t="s">
        <v>742</v>
      </c>
      <c r="C881" s="21" t="s">
        <v>1684</v>
      </c>
      <c r="D881" s="21" t="s">
        <v>68</v>
      </c>
      <c r="E881" s="1" t="s">
        <v>1175</v>
      </c>
      <c r="F881" s="21" t="s">
        <v>56</v>
      </c>
      <c r="G881" s="14">
        <v>0</v>
      </c>
      <c r="H881" s="14">
        <v>0</v>
      </c>
      <c r="I881" s="25">
        <v>101</v>
      </c>
      <c r="J881" s="23">
        <f>VLOOKUP(I881,episodes!$A$1:$B$76,2,FALSE)</f>
        <v>2</v>
      </c>
      <c r="K881" s="16" t="str">
        <f>VLOOKUP(I881,episodes!$A$1:$E$81,5,FALSE)</f>
        <v>The Man Trap</v>
      </c>
      <c r="L881" s="16">
        <f>VLOOKUP(I881,episodes!$A$1:$D$81,3,FALSE)</f>
        <v>1</v>
      </c>
      <c r="M881" s="16">
        <f>VLOOKUP(I881,episodes!$A$1:$D$81,4,FALSE)</f>
        <v>1</v>
      </c>
      <c r="O881" s="14">
        <v>0</v>
      </c>
      <c r="P881" s="24">
        <f>LEN(E881)+LEN(K881)</f>
        <v>53</v>
      </c>
      <c r="Q881" s="24">
        <f>COUNTIFS(B:B,B880)</f>
        <v>160</v>
      </c>
      <c r="R881" s="24">
        <f>COUNTIFS(D:D,C881)</f>
        <v>0</v>
      </c>
    </row>
    <row r="882" spans="1:18" x14ac:dyDescent="0.3">
      <c r="A882" s="14">
        <v>234</v>
      </c>
      <c r="B882" s="21" t="s">
        <v>742</v>
      </c>
      <c r="C882" s="21" t="s">
        <v>1684</v>
      </c>
      <c r="D882" s="21" t="s">
        <v>68</v>
      </c>
      <c r="E882" s="1" t="s">
        <v>1015</v>
      </c>
      <c r="F882" s="21" t="s">
        <v>56</v>
      </c>
      <c r="G882" s="14">
        <v>0</v>
      </c>
      <c r="H882" s="14">
        <v>0</v>
      </c>
      <c r="I882" s="25">
        <v>207</v>
      </c>
      <c r="J882" s="23">
        <f>VLOOKUP(I882,episodes!$A$1:$B$81,2,FALSE)</f>
        <v>37</v>
      </c>
      <c r="K882" s="16" t="str">
        <f>VLOOKUP(I882,episodes!$A$1:$E$81,5,FALSE)</f>
        <v>Catspaw</v>
      </c>
      <c r="L882" s="16">
        <f>VLOOKUP(I882,episodes!$A$1:$D$81,3,FALSE)</f>
        <v>2</v>
      </c>
      <c r="M882" s="16">
        <f>VLOOKUP(I882,episodes!$A$1:$D$81,4,FALSE)</f>
        <v>7</v>
      </c>
      <c r="O882" s="14">
        <v>0</v>
      </c>
      <c r="P882" s="24">
        <f>LEN(E882)+LEN(K882)</f>
        <v>47</v>
      </c>
      <c r="Q882" s="24">
        <f>COUNTIFS(B:B,B880)</f>
        <v>160</v>
      </c>
      <c r="R882" s="24">
        <f>COUNTIFS(D:D,C882)</f>
        <v>0</v>
      </c>
    </row>
    <row r="883" spans="1:18" x14ac:dyDescent="0.3">
      <c r="A883" s="14">
        <v>892</v>
      </c>
      <c r="B883" s="21" t="s">
        <v>742</v>
      </c>
      <c r="C883" s="21" t="s">
        <v>1684</v>
      </c>
      <c r="D883" s="21" t="s">
        <v>68</v>
      </c>
      <c r="E883" s="1" t="s">
        <v>1157</v>
      </c>
      <c r="F883" s="21" t="s">
        <v>4</v>
      </c>
      <c r="G883" s="14">
        <v>1</v>
      </c>
      <c r="H883" s="14">
        <v>0</v>
      </c>
      <c r="I883" s="22">
        <v>201</v>
      </c>
      <c r="J883" s="23">
        <f>VLOOKUP(I883,episodes!$A$1:$B$76,2,FALSE)</f>
        <v>31</v>
      </c>
      <c r="K883" s="16" t="str">
        <f>VLOOKUP(I883,episodes!$A$1:$E$81,5,FALSE)</f>
        <v>Amok Time</v>
      </c>
      <c r="L883" s="16">
        <f>VLOOKUP(I883,episodes!$A$1:$D$81,3,FALSE)</f>
        <v>2</v>
      </c>
      <c r="M883" s="16">
        <f>VLOOKUP(I883,episodes!$A$1:$D$81,4,FALSE)</f>
        <v>1</v>
      </c>
      <c r="O883" s="14">
        <v>0</v>
      </c>
      <c r="P883" s="24">
        <f>LEN(E883)+LEN(K883)</f>
        <v>64</v>
      </c>
      <c r="Q883" s="24">
        <f>COUNTIFS(B:B,B882)</f>
        <v>160</v>
      </c>
      <c r="R883" s="24">
        <f>COUNTIFS(D:D,C883)</f>
        <v>0</v>
      </c>
    </row>
    <row r="884" spans="1:18" x14ac:dyDescent="0.3">
      <c r="A884" s="14">
        <v>277</v>
      </c>
      <c r="B884" s="21" t="s">
        <v>742</v>
      </c>
      <c r="C884" s="21" t="s">
        <v>1684</v>
      </c>
      <c r="D884" s="21" t="s">
        <v>68</v>
      </c>
      <c r="E884" s="1" t="s">
        <v>1805</v>
      </c>
      <c r="F884" s="21" t="s">
        <v>2285</v>
      </c>
      <c r="G884" s="14">
        <v>0</v>
      </c>
      <c r="H884" s="14">
        <v>0</v>
      </c>
      <c r="I884" s="22">
        <v>115</v>
      </c>
      <c r="J884" s="23">
        <f>VLOOKUP(I884,episodes!$A$1:$B$76,2,FALSE)</f>
        <v>16</v>
      </c>
      <c r="K884" s="16" t="str">
        <f>VLOOKUP(I884,episodes!$A$1:$E$81,5,FALSE)</f>
        <v>Shore Leave</v>
      </c>
      <c r="L884" s="16">
        <f>VLOOKUP(I884,episodes!$A$1:$D$81,3,FALSE)</f>
        <v>1</v>
      </c>
      <c r="M884" s="16">
        <f>VLOOKUP(I884,episodes!$A$1:$D$81,4,FALSE)</f>
        <v>15</v>
      </c>
      <c r="O884" s="14">
        <v>0</v>
      </c>
      <c r="P884" s="24">
        <f>LEN(E884)+LEN(K884)</f>
        <v>104</v>
      </c>
      <c r="Q884" s="24">
        <f>COUNTIFS(B:B,B883)</f>
        <v>160</v>
      </c>
      <c r="R884" s="24">
        <f>COUNTIFS(D:D,C884)</f>
        <v>0</v>
      </c>
    </row>
    <row r="885" spans="1:18" x14ac:dyDescent="0.3">
      <c r="A885" s="14">
        <v>1743</v>
      </c>
      <c r="B885" s="21" t="s">
        <v>742</v>
      </c>
      <c r="C885" s="21" t="s">
        <v>1684</v>
      </c>
      <c r="D885" s="21" t="s">
        <v>68</v>
      </c>
      <c r="E885" s="1" t="s">
        <v>1479</v>
      </c>
      <c r="F885" s="21" t="s">
        <v>2298</v>
      </c>
      <c r="G885" s="14">
        <v>0</v>
      </c>
      <c r="H885" s="14">
        <v>0</v>
      </c>
      <c r="I885" s="25">
        <v>103</v>
      </c>
      <c r="J885" s="23">
        <f>VLOOKUP(I885,episodes!$A$1:$B$76,2,FALSE)</f>
        <v>4</v>
      </c>
      <c r="K885" s="16" t="str">
        <f>VLOOKUP(I885,episodes!$A$1:$E$81,5,FALSE)</f>
        <v>Where No Man Has Gone Before</v>
      </c>
      <c r="L885" s="16">
        <f>VLOOKUP(I885,episodes!$A$1:$D$81,3,FALSE)</f>
        <v>1</v>
      </c>
      <c r="M885" s="16">
        <f>VLOOKUP(I885,episodes!$A$1:$D$81,4,FALSE)</f>
        <v>3</v>
      </c>
      <c r="O885" s="14">
        <v>0</v>
      </c>
      <c r="P885" s="24">
        <f>LEN(E885)+LEN(K885)</f>
        <v>51</v>
      </c>
      <c r="Q885" s="24">
        <f>COUNTIFS(B:B,B884)</f>
        <v>160</v>
      </c>
      <c r="R885" s="24">
        <f>COUNTIFS(D:D,C885)</f>
        <v>0</v>
      </c>
    </row>
    <row r="886" spans="1:18" x14ac:dyDescent="0.3">
      <c r="A886" s="14">
        <v>283</v>
      </c>
      <c r="B886" s="21" t="s">
        <v>742</v>
      </c>
      <c r="C886" s="21" t="s">
        <v>1684</v>
      </c>
      <c r="D886" s="21" t="s">
        <v>68</v>
      </c>
      <c r="E886" s="1" t="s">
        <v>1815</v>
      </c>
      <c r="F886" s="21" t="s">
        <v>56</v>
      </c>
      <c r="G886" s="14">
        <v>0</v>
      </c>
      <c r="H886" s="14">
        <v>0</v>
      </c>
      <c r="I886" s="22">
        <v>116</v>
      </c>
      <c r="J886" s="23">
        <f>VLOOKUP(I886,episodes!$A$1:$B$76,2,FALSE)</f>
        <v>17</v>
      </c>
      <c r="K886" s="16" t="str">
        <f>VLOOKUP(I886,episodes!$A$1:$E$81,5,FALSE)</f>
        <v>The Galileo Seven</v>
      </c>
      <c r="L886" s="16">
        <f>VLOOKUP(I886,episodes!$A$1:$D$81,3,FALSE)</f>
        <v>1</v>
      </c>
      <c r="M886" s="16">
        <f>VLOOKUP(I886,episodes!$A$1:$D$81,4,FALSE)</f>
        <v>16</v>
      </c>
      <c r="O886" s="14">
        <v>0</v>
      </c>
      <c r="P886" s="24">
        <f>LEN(E886)+LEN(K886)</f>
        <v>49</v>
      </c>
      <c r="Q886" s="24">
        <f>COUNTIFS(B:B,B885)</f>
        <v>160</v>
      </c>
      <c r="R886" s="24">
        <f>COUNTIFS(D:D,C886)</f>
        <v>0</v>
      </c>
    </row>
    <row r="887" spans="1:18" x14ac:dyDescent="0.3">
      <c r="A887" s="14">
        <v>361</v>
      </c>
      <c r="B887" s="21" t="s">
        <v>742</v>
      </c>
      <c r="C887" s="21" t="s">
        <v>1684</v>
      </c>
      <c r="D887" s="21" t="s">
        <v>68</v>
      </c>
      <c r="E887" s="1" t="s">
        <v>2307</v>
      </c>
      <c r="F887" s="21" t="s">
        <v>45</v>
      </c>
      <c r="G887" s="14">
        <v>0</v>
      </c>
      <c r="H887" s="14">
        <v>0</v>
      </c>
      <c r="I887" s="25">
        <v>205</v>
      </c>
      <c r="J887" s="23">
        <f>VLOOKUP(I887,episodes!$A$1:$B$81,2,FALSE)</f>
        <v>35</v>
      </c>
      <c r="K887" s="16" t="str">
        <f>VLOOKUP(I887,episodes!$A$1:$E$81,5,FALSE)</f>
        <v>The Apple</v>
      </c>
      <c r="L887" s="16">
        <f>VLOOKUP(I887,episodes!$A$1:$D$81,3,FALSE)</f>
        <v>2</v>
      </c>
      <c r="M887" s="16">
        <f>VLOOKUP(I887,episodes!$A$1:$D$81,4,FALSE)</f>
        <v>5</v>
      </c>
      <c r="O887" s="14">
        <v>0</v>
      </c>
      <c r="P887" s="24">
        <f>LEN(E887)+LEN(K887)</f>
        <v>56</v>
      </c>
      <c r="Q887" s="24">
        <f>COUNTIFS(B:B,B886)</f>
        <v>160</v>
      </c>
      <c r="R887" s="24">
        <f>COUNTIFS(D:D,C887)</f>
        <v>0</v>
      </c>
    </row>
    <row r="888" spans="1:18" x14ac:dyDescent="0.3">
      <c r="A888" s="14">
        <v>362</v>
      </c>
      <c r="B888" s="21" t="s">
        <v>742</v>
      </c>
      <c r="C888" s="21" t="s">
        <v>1684</v>
      </c>
      <c r="D888" s="21" t="s">
        <v>68</v>
      </c>
      <c r="E888" s="1" t="s">
        <v>2308</v>
      </c>
      <c r="F888" s="21" t="s">
        <v>45</v>
      </c>
      <c r="G888" s="14">
        <v>0</v>
      </c>
      <c r="H888" s="14">
        <v>0</v>
      </c>
      <c r="I888" s="25">
        <v>205</v>
      </c>
      <c r="J888" s="23">
        <f>VLOOKUP(I888,episodes!$A$1:$B$81,2,FALSE)</f>
        <v>35</v>
      </c>
      <c r="K888" s="16" t="str">
        <f>VLOOKUP(I888,episodes!$A$1:$E$81,5,FALSE)</f>
        <v>The Apple</v>
      </c>
      <c r="L888" s="16">
        <f>VLOOKUP(I888,episodes!$A$1:$D$81,3,FALSE)</f>
        <v>2</v>
      </c>
      <c r="M888" s="16">
        <f>VLOOKUP(I888,episodes!$A$1:$D$81,4,FALSE)</f>
        <v>5</v>
      </c>
      <c r="O888" s="14">
        <v>0</v>
      </c>
      <c r="P888" s="24">
        <f>LEN(E888)+LEN(K888)</f>
        <v>63</v>
      </c>
      <c r="Q888" s="24">
        <f>COUNTIFS(B:B,B887)</f>
        <v>160</v>
      </c>
      <c r="R888" s="24">
        <f>COUNTIFS(D:D,C888)</f>
        <v>0</v>
      </c>
    </row>
    <row r="889" spans="1:18" x14ac:dyDescent="0.3">
      <c r="A889" s="14">
        <v>1755</v>
      </c>
      <c r="B889" s="21" t="s">
        <v>742</v>
      </c>
      <c r="C889" s="21" t="s">
        <v>1684</v>
      </c>
      <c r="D889" s="21" t="s">
        <v>68</v>
      </c>
      <c r="E889" s="1" t="s">
        <v>2532</v>
      </c>
      <c r="F889" s="21" t="s">
        <v>2375</v>
      </c>
      <c r="G889" s="14">
        <v>0</v>
      </c>
      <c r="H889" s="14">
        <v>0</v>
      </c>
      <c r="I889" s="25">
        <v>103</v>
      </c>
      <c r="J889" s="23">
        <f>VLOOKUP(I889,episodes!$A$1:$B$76,2,FALSE)</f>
        <v>4</v>
      </c>
      <c r="K889" s="16" t="str">
        <f>VLOOKUP(I889,episodes!$A$1:$E$81,5,FALSE)</f>
        <v>Where No Man Has Gone Before</v>
      </c>
      <c r="L889" s="16">
        <f>VLOOKUP(I889,episodes!$A$1:$D$81,3,FALSE)</f>
        <v>1</v>
      </c>
      <c r="M889" s="16">
        <f>VLOOKUP(I889,episodes!$A$1:$D$81,4,FALSE)</f>
        <v>3</v>
      </c>
      <c r="O889" s="14">
        <v>0</v>
      </c>
      <c r="P889" s="24">
        <f>LEN(E889)+LEN(K889)</f>
        <v>121</v>
      </c>
      <c r="Q889" s="24"/>
      <c r="R889" s="24"/>
    </row>
    <row r="890" spans="1:18" x14ac:dyDescent="0.3">
      <c r="A890" s="14">
        <v>291</v>
      </c>
      <c r="B890" s="21" t="s">
        <v>742</v>
      </c>
      <c r="C890" s="21" t="s">
        <v>1684</v>
      </c>
      <c r="D890" s="21" t="s">
        <v>68</v>
      </c>
      <c r="E890" s="1" t="s">
        <v>2302</v>
      </c>
      <c r="F890" s="21" t="s">
        <v>56</v>
      </c>
      <c r="G890" s="14">
        <v>0</v>
      </c>
      <c r="H890" s="14">
        <v>0</v>
      </c>
      <c r="I890" s="22">
        <v>118</v>
      </c>
      <c r="J890" s="23">
        <f>VLOOKUP(I890,episodes!$A$1:$B$76,2,FALSE)</f>
        <v>19</v>
      </c>
      <c r="K890" s="16" t="str">
        <f>VLOOKUP(I890,episodes!$A$1:$E$81,5,FALSE)</f>
        <v>Arena</v>
      </c>
      <c r="L890" s="16">
        <f>VLOOKUP(I890,episodes!$A$1:$D$81,3,FALSE)</f>
        <v>1</v>
      </c>
      <c r="M890" s="16">
        <f>VLOOKUP(I890,episodes!$A$1:$D$81,4,FALSE)</f>
        <v>18</v>
      </c>
      <c r="O890" s="14">
        <v>0</v>
      </c>
      <c r="P890" s="24">
        <f>LEN(E890)+LEN(K890)</f>
        <v>46</v>
      </c>
      <c r="Q890" s="24">
        <f>COUNTIFS(B:B,#REF!)</f>
        <v>0</v>
      </c>
      <c r="R890" s="24">
        <f>COUNTIFS(D:D,C890)</f>
        <v>0</v>
      </c>
    </row>
    <row r="891" spans="1:18" x14ac:dyDescent="0.3">
      <c r="A891" s="14">
        <v>284</v>
      </c>
      <c r="B891" s="21" t="s">
        <v>742</v>
      </c>
      <c r="C891" s="21" t="s">
        <v>1684</v>
      </c>
      <c r="D891" s="21" t="s">
        <v>68</v>
      </c>
      <c r="E891" s="1" t="s">
        <v>1816</v>
      </c>
      <c r="F891" s="21" t="s">
        <v>56</v>
      </c>
      <c r="G891" s="14">
        <v>0</v>
      </c>
      <c r="H891" s="14">
        <v>0</v>
      </c>
      <c r="I891" s="22">
        <v>116</v>
      </c>
      <c r="J891" s="23">
        <f>VLOOKUP(I891,episodes!$A$1:$B$76,2,FALSE)</f>
        <v>17</v>
      </c>
      <c r="K891" s="16" t="str">
        <f>VLOOKUP(I891,episodes!$A$1:$E$81,5,FALSE)</f>
        <v>The Galileo Seven</v>
      </c>
      <c r="L891" s="16">
        <f>VLOOKUP(I891,episodes!$A$1:$D$81,3,FALSE)</f>
        <v>1</v>
      </c>
      <c r="M891" s="16">
        <f>VLOOKUP(I891,episodes!$A$1:$D$81,4,FALSE)</f>
        <v>16</v>
      </c>
      <c r="O891" s="14">
        <v>0</v>
      </c>
      <c r="P891" s="24">
        <f>LEN(E891)+LEN(K891)</f>
        <v>49</v>
      </c>
      <c r="Q891" s="24">
        <f>COUNTIFS(B:B,B890)</f>
        <v>160</v>
      </c>
      <c r="R891" s="24">
        <f>COUNTIFS(D:D,C891)</f>
        <v>0</v>
      </c>
    </row>
    <row r="892" spans="1:18" x14ac:dyDescent="0.3">
      <c r="A892" s="14">
        <v>363</v>
      </c>
      <c r="B892" s="21" t="s">
        <v>742</v>
      </c>
      <c r="C892" s="21" t="s">
        <v>1684</v>
      </c>
      <c r="D892" s="21" t="s">
        <v>68</v>
      </c>
      <c r="E892" s="1" t="s">
        <v>2309</v>
      </c>
      <c r="F892" s="21" t="s">
        <v>45</v>
      </c>
      <c r="G892" s="14">
        <v>0</v>
      </c>
      <c r="H892" s="14">
        <v>0</v>
      </c>
      <c r="I892" s="25">
        <v>205</v>
      </c>
      <c r="J892" s="23">
        <f>VLOOKUP(I892,episodes!$A$1:$B$81,2,FALSE)</f>
        <v>35</v>
      </c>
      <c r="K892" s="16" t="str">
        <f>VLOOKUP(I892,episodes!$A$1:$E$81,5,FALSE)</f>
        <v>The Apple</v>
      </c>
      <c r="L892" s="16">
        <f>VLOOKUP(I892,episodes!$A$1:$D$81,3,FALSE)</f>
        <v>2</v>
      </c>
      <c r="M892" s="16">
        <f>VLOOKUP(I892,episodes!$A$1:$D$81,4,FALSE)</f>
        <v>5</v>
      </c>
      <c r="O892" s="14">
        <v>0</v>
      </c>
      <c r="P892" s="24">
        <f>LEN(E892)+LEN(K892)</f>
        <v>69</v>
      </c>
      <c r="Q892" s="24">
        <f>COUNTIFS(B:B,B891)</f>
        <v>160</v>
      </c>
      <c r="R892" s="24">
        <f>COUNTIFS(D:D,C892)</f>
        <v>0</v>
      </c>
    </row>
    <row r="893" spans="1:18" x14ac:dyDescent="0.3">
      <c r="A893" s="14">
        <v>292</v>
      </c>
      <c r="B893" s="21" t="s">
        <v>742</v>
      </c>
      <c r="C893" s="21" t="s">
        <v>1684</v>
      </c>
      <c r="D893" s="21" t="s">
        <v>68</v>
      </c>
      <c r="E893" s="1" t="s">
        <v>2303</v>
      </c>
      <c r="F893" s="21" t="s">
        <v>45</v>
      </c>
      <c r="G893" s="14">
        <v>0</v>
      </c>
      <c r="H893" s="14">
        <v>0</v>
      </c>
      <c r="I893" s="22">
        <v>118</v>
      </c>
      <c r="J893" s="23">
        <f>VLOOKUP(I893,episodes!$A$1:$B$76,2,FALSE)</f>
        <v>19</v>
      </c>
      <c r="K893" s="16" t="str">
        <f>VLOOKUP(I893,episodes!$A$1:$E$81,5,FALSE)</f>
        <v>Arena</v>
      </c>
      <c r="L893" s="16">
        <f>VLOOKUP(I893,episodes!$A$1:$D$81,3,FALSE)</f>
        <v>1</v>
      </c>
      <c r="M893" s="16">
        <f>VLOOKUP(I893,episodes!$A$1:$D$81,4,FALSE)</f>
        <v>18</v>
      </c>
      <c r="O893" s="14">
        <v>0</v>
      </c>
      <c r="P893" s="24">
        <f>LEN(E893)+LEN(K893)</f>
        <v>51</v>
      </c>
      <c r="Q893" s="24">
        <f>COUNTIFS(B:B,B892)</f>
        <v>160</v>
      </c>
      <c r="R893" s="24">
        <f>COUNTIFS(D:D,C893)</f>
        <v>0</v>
      </c>
    </row>
    <row r="894" spans="1:18" x14ac:dyDescent="0.3">
      <c r="A894" s="14">
        <v>97</v>
      </c>
      <c r="B894" s="21" t="s">
        <v>742</v>
      </c>
      <c r="C894" s="21" t="s">
        <v>1684</v>
      </c>
      <c r="D894" s="21" t="s">
        <v>68</v>
      </c>
      <c r="E894" s="1" t="s">
        <v>2533</v>
      </c>
      <c r="F894" s="21" t="s">
        <v>46</v>
      </c>
      <c r="G894" s="14">
        <v>0</v>
      </c>
      <c r="H894" s="14">
        <v>0</v>
      </c>
      <c r="I894" s="22">
        <v>104</v>
      </c>
      <c r="J894" s="23">
        <f>VLOOKUP(I894,episodes!$A$1:$B$76,2,FALSE)</f>
        <v>5</v>
      </c>
      <c r="K894" s="16" t="str">
        <f>VLOOKUP(I894,episodes!$A$1:$E$81,5,FALSE)</f>
        <v>The Naked Time</v>
      </c>
      <c r="L894" s="16">
        <f>VLOOKUP(I894,episodes!$A$1:$D$81,3,FALSE)</f>
        <v>1</v>
      </c>
      <c r="M894" s="16">
        <f>VLOOKUP(I894,episodes!$A$1:$D$81,4,FALSE)</f>
        <v>4</v>
      </c>
      <c r="O894" s="14">
        <v>0</v>
      </c>
      <c r="P894" s="24">
        <f>LEN(E894)+LEN(K894)</f>
        <v>77</v>
      </c>
      <c r="Q894" s="24">
        <f>COUNTIFS(B:B,B893)</f>
        <v>160</v>
      </c>
      <c r="R894" s="24">
        <f>COUNTIFS(D:D,C894)</f>
        <v>0</v>
      </c>
    </row>
    <row r="895" spans="1:18" x14ac:dyDescent="0.3">
      <c r="A895" s="14">
        <v>261</v>
      </c>
      <c r="B895" s="21" t="s">
        <v>742</v>
      </c>
      <c r="C895" s="21" t="s">
        <v>1684</v>
      </c>
      <c r="D895" s="21" t="s">
        <v>68</v>
      </c>
      <c r="E895" s="1" t="s">
        <v>2300</v>
      </c>
      <c r="F895" s="21" t="s">
        <v>45</v>
      </c>
      <c r="G895" s="14">
        <v>0</v>
      </c>
      <c r="H895" s="14">
        <v>0</v>
      </c>
      <c r="I895" s="25">
        <v>107</v>
      </c>
      <c r="J895" s="23">
        <f>VLOOKUP(I895,episodes!$A$1:$B$81,2,FALSE)</f>
        <v>8</v>
      </c>
      <c r="K895" s="16" t="str">
        <f>VLOOKUP(I895,episodes!$A$1:$E$81,5,FALSE)</f>
        <v>What Are Little Girls Made Of?</v>
      </c>
      <c r="L895" s="16">
        <f>VLOOKUP(I895,episodes!$A$1:$D$81,3,FALSE)</f>
        <v>1</v>
      </c>
      <c r="M895" s="16">
        <f>VLOOKUP(I895,episodes!$A$1:$D$81,4,FALSE)</f>
        <v>7</v>
      </c>
      <c r="O895" s="14">
        <v>0</v>
      </c>
      <c r="P895" s="24">
        <f>LEN(E895)+LEN(K895)</f>
        <v>80</v>
      </c>
      <c r="Q895" s="24">
        <f>COUNTIFS(B:B,B894)</f>
        <v>160</v>
      </c>
      <c r="R895" s="24">
        <f>COUNTIFS(D:D,C895)</f>
        <v>0</v>
      </c>
    </row>
    <row r="896" spans="1:18" x14ac:dyDescent="0.3">
      <c r="A896" s="14">
        <v>1662</v>
      </c>
      <c r="B896" s="21" t="s">
        <v>742</v>
      </c>
      <c r="C896" s="21" t="s">
        <v>1684</v>
      </c>
      <c r="D896" s="21" t="s">
        <v>68</v>
      </c>
      <c r="E896" s="1" t="s">
        <v>1801</v>
      </c>
      <c r="F896" s="21" t="s">
        <v>8</v>
      </c>
      <c r="G896" s="14">
        <v>0</v>
      </c>
      <c r="H896" s="14">
        <v>1</v>
      </c>
      <c r="I896" s="22">
        <v>115</v>
      </c>
      <c r="J896" s="23">
        <f>VLOOKUP(I896,episodes!$A$1:$B$76,2,FALSE)</f>
        <v>16</v>
      </c>
      <c r="K896" s="16" t="str">
        <f>VLOOKUP(I896,episodes!$A$1:$E$81,5,FALSE)</f>
        <v>Shore Leave</v>
      </c>
      <c r="L896" s="16">
        <f>VLOOKUP(I896,episodes!$A$1:$D$81,3,FALSE)</f>
        <v>1</v>
      </c>
      <c r="M896" s="16">
        <f>VLOOKUP(I896,episodes!$A$1:$D$81,4,FALSE)</f>
        <v>15</v>
      </c>
      <c r="O896" s="14">
        <v>0</v>
      </c>
      <c r="P896" s="24">
        <f>LEN(E896)+LEN(K896)</f>
        <v>66</v>
      </c>
      <c r="Q896" s="24">
        <f>COUNTIFS(B:B,B895)</f>
        <v>160</v>
      </c>
      <c r="R896" s="24">
        <f>COUNTIFS(D:D,C896)</f>
        <v>0</v>
      </c>
    </row>
    <row r="897" spans="1:18" x14ac:dyDescent="0.3">
      <c r="A897" s="14">
        <v>262</v>
      </c>
      <c r="B897" s="21" t="s">
        <v>742</v>
      </c>
      <c r="C897" s="21" t="s">
        <v>1684</v>
      </c>
      <c r="D897" s="21" t="s">
        <v>68</v>
      </c>
      <c r="E897" s="1" t="s">
        <v>2301</v>
      </c>
      <c r="F897" s="21" t="s">
        <v>2224</v>
      </c>
      <c r="G897" s="14">
        <v>0</v>
      </c>
      <c r="H897" s="14">
        <v>0</v>
      </c>
      <c r="I897" s="25">
        <v>107</v>
      </c>
      <c r="J897" s="23">
        <f>VLOOKUP(I897,episodes!$A$1:$B$81,2,FALSE)</f>
        <v>8</v>
      </c>
      <c r="K897" s="16" t="str">
        <f>VLOOKUP(I897,episodes!$A$1:$E$81,5,FALSE)</f>
        <v>What Are Little Girls Made Of?</v>
      </c>
      <c r="L897" s="16">
        <f>VLOOKUP(I897,episodes!$A$1:$D$81,3,FALSE)</f>
        <v>1</v>
      </c>
      <c r="M897" s="16">
        <f>VLOOKUP(I897,episodes!$A$1:$D$81,4,FALSE)</f>
        <v>7</v>
      </c>
      <c r="O897" s="14">
        <v>0</v>
      </c>
      <c r="P897" s="24">
        <f>LEN(E897)+LEN(K897)</f>
        <v>77</v>
      </c>
      <c r="Q897" s="24">
        <f>COUNTIFS(B:B,B896)</f>
        <v>160</v>
      </c>
      <c r="R897" s="24">
        <f>COUNTIFS(D:D,C897)</f>
        <v>0</v>
      </c>
    </row>
    <row r="898" spans="1:18" x14ac:dyDescent="0.3">
      <c r="A898" s="14">
        <v>323</v>
      </c>
      <c r="B898" s="21" t="s">
        <v>742</v>
      </c>
      <c r="C898" s="21" t="s">
        <v>1684</v>
      </c>
      <c r="D898" s="21" t="s">
        <v>68</v>
      </c>
      <c r="E898" s="1" t="s">
        <v>2305</v>
      </c>
      <c r="F898" s="21" t="s">
        <v>2224</v>
      </c>
      <c r="G898" s="14">
        <v>0</v>
      </c>
      <c r="H898" s="14">
        <v>0</v>
      </c>
      <c r="I898" s="22">
        <v>125</v>
      </c>
      <c r="J898" s="23">
        <f>VLOOKUP(I898,episodes!$A$1:$B$76,2,FALSE)</f>
        <v>26</v>
      </c>
      <c r="K898" s="16" t="str">
        <f>VLOOKUP(I898,episodes!$A$1:$E$81,5,FALSE)</f>
        <v>The Devil in the Dark</v>
      </c>
      <c r="L898" s="16">
        <f>VLOOKUP(I898,episodes!$A$1:$D$81,3,FALSE)</f>
        <v>1</v>
      </c>
      <c r="M898" s="16">
        <f>VLOOKUP(I898,episodes!$A$1:$D$81,4,FALSE)</f>
        <v>25</v>
      </c>
      <c r="O898" s="14">
        <v>0</v>
      </c>
      <c r="P898" s="24">
        <f>LEN(E898)+LEN(K898)</f>
        <v>75</v>
      </c>
      <c r="Q898" s="24">
        <f>COUNTIFS(B:B,B897)</f>
        <v>160</v>
      </c>
      <c r="R898" s="24">
        <f>COUNTIFS(D:D,C898)</f>
        <v>0</v>
      </c>
    </row>
    <row r="899" spans="1:18" x14ac:dyDescent="0.3">
      <c r="A899" s="14">
        <v>104</v>
      </c>
      <c r="B899" s="21" t="s">
        <v>742</v>
      </c>
      <c r="C899" s="21" t="s">
        <v>1684</v>
      </c>
      <c r="D899" s="21" t="s">
        <v>68</v>
      </c>
      <c r="E899" s="1" t="s">
        <v>1174</v>
      </c>
      <c r="F899" s="21" t="s">
        <v>46</v>
      </c>
      <c r="G899" s="26">
        <v>0</v>
      </c>
      <c r="H899" s="14">
        <v>0</v>
      </c>
      <c r="I899" s="25">
        <v>101</v>
      </c>
      <c r="J899" s="23">
        <f>VLOOKUP(I899,episodes!$A$1:$B$76,2,FALSE)</f>
        <v>2</v>
      </c>
      <c r="K899" s="16" t="str">
        <f>VLOOKUP(I899,episodes!$A$1:$E$81,5,FALSE)</f>
        <v>The Man Trap</v>
      </c>
      <c r="L899" s="16">
        <f>VLOOKUP(I899,episodes!$A$1:$D$81,3,FALSE)</f>
        <v>1</v>
      </c>
      <c r="M899" s="16">
        <f>VLOOKUP(I899,episodes!$A$1:$D$81,4,FALSE)</f>
        <v>1</v>
      </c>
      <c r="O899" s="14">
        <v>0</v>
      </c>
      <c r="P899" s="24">
        <f>LEN(E899)+LEN(K899)</f>
        <v>56</v>
      </c>
      <c r="Q899" s="24">
        <f>COUNTIFS(B:B,B898)</f>
        <v>160</v>
      </c>
      <c r="R899" s="24">
        <f>COUNTIFS(D:D,C899)</f>
        <v>0</v>
      </c>
    </row>
    <row r="900" spans="1:18" x14ac:dyDescent="0.3">
      <c r="A900" s="14">
        <v>1937</v>
      </c>
      <c r="B900" s="21" t="s">
        <v>742</v>
      </c>
      <c r="C900" s="21" t="s">
        <v>1684</v>
      </c>
      <c r="D900" s="21" t="s">
        <v>2228</v>
      </c>
      <c r="E900" s="1" t="s">
        <v>1028</v>
      </c>
      <c r="F900" s="21" t="s">
        <v>2228</v>
      </c>
      <c r="G900" s="14">
        <v>0</v>
      </c>
      <c r="H900" s="14">
        <v>0</v>
      </c>
      <c r="I900" s="22">
        <v>208</v>
      </c>
      <c r="J900" s="23">
        <f>VLOOKUP(I900,episodes!$A$1:$B$81,2,FALSE)</f>
        <v>38</v>
      </c>
      <c r="K900" s="16" t="str">
        <f>VLOOKUP(I900,episodes!$A$1:$E$81,5,FALSE)</f>
        <v>I, Mudd</v>
      </c>
      <c r="L900" s="16">
        <f>VLOOKUP(I900,episodes!$A$1:$D$81,3,FALSE)</f>
        <v>2</v>
      </c>
      <c r="M900" s="16">
        <f>VLOOKUP(I900,episodes!$A$1:$D$81,4,FALSE)</f>
        <v>8</v>
      </c>
      <c r="O900" s="14">
        <v>0</v>
      </c>
      <c r="P900" s="24">
        <f>LEN(E900)+LEN(K900)</f>
        <v>25</v>
      </c>
      <c r="Q900" s="24">
        <f>COUNTIFS(B:B,B899)</f>
        <v>160</v>
      </c>
      <c r="R900" s="24">
        <f>COUNTIFS(D:D,C900)</f>
        <v>0</v>
      </c>
    </row>
    <row r="901" spans="1:18" x14ac:dyDescent="0.3">
      <c r="A901" s="14">
        <v>309</v>
      </c>
      <c r="B901" s="21" t="s">
        <v>742</v>
      </c>
      <c r="C901" s="21" t="s">
        <v>1684</v>
      </c>
      <c r="D901" s="21"/>
      <c r="E901" s="1" t="s">
        <v>847</v>
      </c>
      <c r="F901" s="21" t="s">
        <v>2224</v>
      </c>
      <c r="G901" s="14">
        <v>0</v>
      </c>
      <c r="H901" s="14">
        <v>0</v>
      </c>
      <c r="I901" s="22">
        <v>123</v>
      </c>
      <c r="J901" s="23">
        <f>VLOOKUP(I901,episodes!$A$1:$B$76,2,FALSE)</f>
        <v>24</v>
      </c>
      <c r="K901" s="16" t="str">
        <f>VLOOKUP(I901,episodes!$A$1:$E$81,5,FALSE)</f>
        <v>A Taste of Armageddon</v>
      </c>
      <c r="L901" s="16">
        <f>VLOOKUP(I901,episodes!$A$1:$D$81,3,FALSE)</f>
        <v>1</v>
      </c>
      <c r="M901" s="16">
        <f>VLOOKUP(I901,episodes!$A$1:$D$81,4,FALSE)</f>
        <v>23</v>
      </c>
      <c r="O901" s="14">
        <v>0</v>
      </c>
      <c r="P901" s="24">
        <f>LEN(E901)+LEN(K901)</f>
        <v>36</v>
      </c>
      <c r="Q901" s="24">
        <f>COUNTIFS(B:B,#REF!)</f>
        <v>0</v>
      </c>
      <c r="R901" s="24">
        <f>COUNTIFS(D:D,C901)</f>
        <v>0</v>
      </c>
    </row>
    <row r="902" spans="1:18" x14ac:dyDescent="0.3">
      <c r="A902" s="14">
        <v>143</v>
      </c>
      <c r="B902" s="21" t="s">
        <v>742</v>
      </c>
      <c r="C902" s="21" t="s">
        <v>1684</v>
      </c>
      <c r="D902" s="21"/>
      <c r="E902" s="1" t="s">
        <v>913</v>
      </c>
      <c r="F902" s="21" t="s">
        <v>7</v>
      </c>
      <c r="G902" s="14">
        <v>0</v>
      </c>
      <c r="H902" s="14">
        <v>2</v>
      </c>
      <c r="I902" s="25">
        <v>205</v>
      </c>
      <c r="J902" s="23">
        <f>VLOOKUP(I902,episodes!$A$1:$B$81,2,FALSE)</f>
        <v>35</v>
      </c>
      <c r="K902" s="16" t="str">
        <f>VLOOKUP(I902,episodes!$A$1:$E$81,5,FALSE)</f>
        <v>The Apple</v>
      </c>
      <c r="L902" s="16">
        <f>VLOOKUP(I902,episodes!$A$1:$D$81,3,FALSE)</f>
        <v>2</v>
      </c>
      <c r="M902" s="16">
        <f>VLOOKUP(I902,episodes!$A$1:$D$81,4,FALSE)</f>
        <v>5</v>
      </c>
      <c r="O902" s="14">
        <v>0</v>
      </c>
      <c r="P902" s="24">
        <f>LEN(E902)+LEN(K902)</f>
        <v>15</v>
      </c>
      <c r="Q902" s="24">
        <f>COUNTIFS(B:B,B901)</f>
        <v>160</v>
      </c>
      <c r="R902" s="24">
        <f>COUNTIFS(D:D,C902)</f>
        <v>0</v>
      </c>
    </row>
    <row r="903" spans="1:18" x14ac:dyDescent="0.3">
      <c r="A903" s="14">
        <v>144</v>
      </c>
      <c r="B903" s="21" t="s">
        <v>742</v>
      </c>
      <c r="C903" s="21" t="s">
        <v>1684</v>
      </c>
      <c r="D903" s="21"/>
      <c r="E903" s="1" t="s">
        <v>913</v>
      </c>
      <c r="F903" s="21" t="s">
        <v>7</v>
      </c>
      <c r="G903" s="14">
        <v>0</v>
      </c>
      <c r="H903" s="14">
        <v>2</v>
      </c>
      <c r="I903" s="22">
        <v>208</v>
      </c>
      <c r="J903" s="23">
        <f>VLOOKUP(I903,episodes!$A$1:$B$81,2,FALSE)</f>
        <v>38</v>
      </c>
      <c r="K903" s="16" t="str">
        <f>VLOOKUP(I903,episodes!$A$1:$E$81,5,FALSE)</f>
        <v>I, Mudd</v>
      </c>
      <c r="L903" s="16">
        <f>VLOOKUP(I903,episodes!$A$1:$D$81,3,FALSE)</f>
        <v>2</v>
      </c>
      <c r="M903" s="16">
        <f>VLOOKUP(I903,episodes!$A$1:$D$81,4,FALSE)</f>
        <v>8</v>
      </c>
      <c r="O903" s="14">
        <v>0</v>
      </c>
      <c r="P903" s="24">
        <f>LEN(E903)+LEN(K903)</f>
        <v>13</v>
      </c>
      <c r="Q903" s="24">
        <f>COUNTIFS(B:B,B902)</f>
        <v>160</v>
      </c>
      <c r="R903" s="24">
        <f>COUNTIFS(D:D,C903)</f>
        <v>0</v>
      </c>
    </row>
    <row r="904" spans="1:18" x14ac:dyDescent="0.3">
      <c r="A904" s="14">
        <v>257</v>
      </c>
      <c r="B904" s="21" t="s">
        <v>742</v>
      </c>
      <c r="C904" s="21" t="s">
        <v>1684</v>
      </c>
      <c r="D904" s="21"/>
      <c r="E904" s="1" t="s">
        <v>1184</v>
      </c>
      <c r="F904" s="21" t="s">
        <v>2224</v>
      </c>
      <c r="G904" s="14">
        <v>0</v>
      </c>
      <c r="H904" s="14">
        <v>0</v>
      </c>
      <c r="I904" s="25">
        <v>106</v>
      </c>
      <c r="J904" s="23">
        <f>VLOOKUP(I904,episodes!$A$1:$B$81,2,FALSE)</f>
        <v>7</v>
      </c>
      <c r="K904" s="16" t="str">
        <f>VLOOKUP(I904,episodes!$A$1:$E$81,5,FALSE)</f>
        <v>Mudd's Women</v>
      </c>
      <c r="L904" s="16">
        <f>VLOOKUP(I904,episodes!$A$1:$D$81,3,FALSE)</f>
        <v>1</v>
      </c>
      <c r="M904" s="16">
        <f>VLOOKUP(I904,episodes!$A$1:$D$81,4,FALSE)</f>
        <v>6</v>
      </c>
      <c r="O904" s="14">
        <v>0</v>
      </c>
      <c r="P904" s="24">
        <f>LEN(E904)+LEN(K904)</f>
        <v>19</v>
      </c>
      <c r="Q904" s="24">
        <f>COUNTIFS(B:B,B903)</f>
        <v>160</v>
      </c>
      <c r="R904" s="24">
        <f>COUNTIFS(D:D,C904)</f>
        <v>0</v>
      </c>
    </row>
    <row r="905" spans="1:18" x14ac:dyDescent="0.3">
      <c r="A905" s="14">
        <v>246</v>
      </c>
      <c r="B905" s="21" t="s">
        <v>742</v>
      </c>
      <c r="C905" s="21" t="s">
        <v>1684</v>
      </c>
      <c r="D905" s="21"/>
      <c r="E905" s="1" t="s">
        <v>2522</v>
      </c>
      <c r="F905" s="21" t="s">
        <v>2224</v>
      </c>
      <c r="G905" s="14">
        <v>0</v>
      </c>
      <c r="H905" s="14">
        <v>0</v>
      </c>
      <c r="I905" s="25">
        <v>100</v>
      </c>
      <c r="J905" s="23">
        <f>VLOOKUP(I905,episodes!$A$1:$B$76,2,FALSE)</f>
        <v>1</v>
      </c>
      <c r="K905" s="16" t="str">
        <f>VLOOKUP(I905,episodes!$A$1:$E$81,5,FALSE)</f>
        <v>The Cage</v>
      </c>
      <c r="L905" s="16">
        <f>VLOOKUP(I905,episodes!$A$1:$D$81,3,FALSE)</f>
        <v>1</v>
      </c>
      <c r="M905" s="16">
        <f>VLOOKUP(I905,episodes!$A$1:$D$81,4,FALSE)</f>
        <v>0</v>
      </c>
      <c r="O905" s="14">
        <v>0</v>
      </c>
      <c r="P905" s="24">
        <f>LEN(E905)+LEN(K905)</f>
        <v>19</v>
      </c>
      <c r="Q905" s="24">
        <f>COUNTIFS(B:B,B904)</f>
        <v>160</v>
      </c>
      <c r="R905" s="24">
        <f>COUNTIFS(D:D,C905)</f>
        <v>0</v>
      </c>
    </row>
    <row r="906" spans="1:18" x14ac:dyDescent="0.3">
      <c r="A906" s="14">
        <v>299</v>
      </c>
      <c r="B906" s="21" t="s">
        <v>742</v>
      </c>
      <c r="C906" s="21" t="s">
        <v>1684</v>
      </c>
      <c r="D906" s="21"/>
      <c r="E906" s="1" t="s">
        <v>2524</v>
      </c>
      <c r="F906" s="21" t="s">
        <v>2224</v>
      </c>
      <c r="G906" s="14">
        <v>0</v>
      </c>
      <c r="H906" s="14">
        <v>0</v>
      </c>
      <c r="I906" s="22">
        <v>121</v>
      </c>
      <c r="J906" s="23">
        <f>VLOOKUP(I906,episodes!$A$1:$B$76,2,FALSE)</f>
        <v>22</v>
      </c>
      <c r="K906" s="16" t="str">
        <f>VLOOKUP(I906,episodes!$A$1:$E$81,5,FALSE)</f>
        <v>The Return of the Archons</v>
      </c>
      <c r="L906" s="16">
        <f>VLOOKUP(I906,episodes!$A$1:$D$81,3,FALSE)</f>
        <v>1</v>
      </c>
      <c r="M906" s="16">
        <f>VLOOKUP(I906,episodes!$A$1:$D$81,4,FALSE)</f>
        <v>21</v>
      </c>
      <c r="O906" s="14">
        <v>0</v>
      </c>
      <c r="P906" s="24">
        <f>LEN(E906)+LEN(K906)</f>
        <v>36</v>
      </c>
      <c r="Q906" s="24">
        <f>COUNTIFS(B:B,B905)</f>
        <v>160</v>
      </c>
      <c r="R906" s="24">
        <f>COUNTIFS(D:D,C906)</f>
        <v>0</v>
      </c>
    </row>
    <row r="907" spans="1:18" x14ac:dyDescent="0.3">
      <c r="A907" s="14">
        <v>247</v>
      </c>
      <c r="B907" s="21" t="s">
        <v>742</v>
      </c>
      <c r="C907" s="21" t="s">
        <v>1684</v>
      </c>
      <c r="D907" s="21"/>
      <c r="E907" s="1" t="s">
        <v>2523</v>
      </c>
      <c r="F907" s="21" t="s">
        <v>2224</v>
      </c>
      <c r="G907" s="14">
        <v>0</v>
      </c>
      <c r="H907" s="14">
        <v>0</v>
      </c>
      <c r="I907" s="25">
        <v>100</v>
      </c>
      <c r="J907" s="23">
        <f>VLOOKUP(I907,episodes!$A$1:$B$76,2,FALSE)</f>
        <v>1</v>
      </c>
      <c r="K907" s="16" t="str">
        <f>VLOOKUP(I907,episodes!$A$1:$E$81,5,FALSE)</f>
        <v>The Cage</v>
      </c>
      <c r="L907" s="16">
        <f>VLOOKUP(I907,episodes!$A$1:$D$81,3,FALSE)</f>
        <v>1</v>
      </c>
      <c r="M907" s="16">
        <f>VLOOKUP(I907,episodes!$A$1:$D$81,4,FALSE)</f>
        <v>0</v>
      </c>
      <c r="O907" s="14">
        <v>0</v>
      </c>
      <c r="P907" s="24">
        <f>LEN(E907)+LEN(K907)</f>
        <v>19</v>
      </c>
      <c r="Q907" s="24">
        <f>COUNTIFS(B:B,B906)</f>
        <v>160</v>
      </c>
      <c r="R907" s="24">
        <f>COUNTIFS(D:D,C907)</f>
        <v>0</v>
      </c>
    </row>
    <row r="908" spans="1:18" x14ac:dyDescent="0.3">
      <c r="A908" s="14">
        <v>300</v>
      </c>
      <c r="B908" s="21" t="s">
        <v>742</v>
      </c>
      <c r="C908" s="21" t="s">
        <v>1684</v>
      </c>
      <c r="D908" s="21"/>
      <c r="E908" s="1" t="s">
        <v>2525</v>
      </c>
      <c r="F908" s="21" t="s">
        <v>2224</v>
      </c>
      <c r="G908" s="14">
        <v>0</v>
      </c>
      <c r="H908" s="14">
        <v>0</v>
      </c>
      <c r="I908" s="22">
        <v>121</v>
      </c>
      <c r="J908" s="23">
        <f>VLOOKUP(I908,episodes!$A$1:$B$76,2,FALSE)</f>
        <v>22</v>
      </c>
      <c r="K908" s="16" t="str">
        <f>VLOOKUP(I908,episodes!$A$1:$E$81,5,FALSE)</f>
        <v>The Return of the Archons</v>
      </c>
      <c r="L908" s="16">
        <f>VLOOKUP(I908,episodes!$A$1:$D$81,3,FALSE)</f>
        <v>1</v>
      </c>
      <c r="M908" s="16">
        <f>VLOOKUP(I908,episodes!$A$1:$D$81,4,FALSE)</f>
        <v>21</v>
      </c>
      <c r="O908" s="14">
        <v>0</v>
      </c>
      <c r="P908" s="24">
        <f>LEN(E908)+LEN(K908)</f>
        <v>36</v>
      </c>
      <c r="Q908" s="24">
        <f>COUNTIFS(B:B,B907)</f>
        <v>160</v>
      </c>
      <c r="R908" s="24">
        <f>COUNTIFS(D:D,C908)</f>
        <v>0</v>
      </c>
    </row>
    <row r="909" spans="1:18" x14ac:dyDescent="0.3">
      <c r="A909" s="14">
        <v>301</v>
      </c>
      <c r="B909" s="21" t="s">
        <v>742</v>
      </c>
      <c r="C909" s="21" t="s">
        <v>1684</v>
      </c>
      <c r="D909" s="21"/>
      <c r="E909" s="1" t="s">
        <v>2526</v>
      </c>
      <c r="F909" s="21" t="s">
        <v>2224</v>
      </c>
      <c r="G909" s="14">
        <v>0</v>
      </c>
      <c r="H909" s="14">
        <v>0</v>
      </c>
      <c r="I909" s="22">
        <v>121</v>
      </c>
      <c r="J909" s="23">
        <f>VLOOKUP(I909,episodes!$A$1:$B$76,2,FALSE)</f>
        <v>22</v>
      </c>
      <c r="K909" s="16" t="str">
        <f>VLOOKUP(I909,episodes!$A$1:$E$81,5,FALSE)</f>
        <v>The Return of the Archons</v>
      </c>
      <c r="L909" s="16">
        <f>VLOOKUP(I909,episodes!$A$1:$D$81,3,FALSE)</f>
        <v>1</v>
      </c>
      <c r="M909" s="16">
        <f>VLOOKUP(I909,episodes!$A$1:$D$81,4,FALSE)</f>
        <v>21</v>
      </c>
      <c r="O909" s="14">
        <v>0</v>
      </c>
      <c r="P909" s="24">
        <f>LEN(E909)+LEN(K909)</f>
        <v>36</v>
      </c>
      <c r="Q909" s="24">
        <f>COUNTIFS(B:B,B908)</f>
        <v>160</v>
      </c>
      <c r="R909" s="24">
        <f>COUNTIFS(D:D,C909)</f>
        <v>0</v>
      </c>
    </row>
    <row r="910" spans="1:18" x14ac:dyDescent="0.3">
      <c r="A910" s="14">
        <v>302</v>
      </c>
      <c r="B910" s="21" t="s">
        <v>742</v>
      </c>
      <c r="C910" s="21" t="s">
        <v>1684</v>
      </c>
      <c r="D910" s="21"/>
      <c r="E910" s="1" t="s">
        <v>2527</v>
      </c>
      <c r="F910" s="21" t="s">
        <v>2224</v>
      </c>
      <c r="G910" s="14">
        <v>0</v>
      </c>
      <c r="H910" s="14">
        <v>0</v>
      </c>
      <c r="I910" s="22">
        <v>121</v>
      </c>
      <c r="J910" s="23">
        <f>VLOOKUP(I910,episodes!$A$1:$B$76,2,FALSE)</f>
        <v>22</v>
      </c>
      <c r="K910" s="16" t="str">
        <f>VLOOKUP(I910,episodes!$A$1:$E$81,5,FALSE)</f>
        <v>The Return of the Archons</v>
      </c>
      <c r="L910" s="16">
        <f>VLOOKUP(I910,episodes!$A$1:$D$81,3,FALSE)</f>
        <v>1</v>
      </c>
      <c r="M910" s="16">
        <f>VLOOKUP(I910,episodes!$A$1:$D$81,4,FALSE)</f>
        <v>21</v>
      </c>
      <c r="O910" s="14">
        <v>0</v>
      </c>
      <c r="P910" s="24">
        <f>LEN(E910)+LEN(K910)</f>
        <v>36</v>
      </c>
      <c r="Q910" s="24">
        <f>COUNTIFS(B:B,B909)</f>
        <v>160</v>
      </c>
      <c r="R910" s="24">
        <f>COUNTIFS(D:D,C910)</f>
        <v>0</v>
      </c>
    </row>
    <row r="911" spans="1:18" x14ac:dyDescent="0.3">
      <c r="A911" s="14">
        <v>92</v>
      </c>
      <c r="B911" s="21" t="s">
        <v>742</v>
      </c>
      <c r="C911" s="21" t="s">
        <v>1684</v>
      </c>
      <c r="D911" s="21"/>
      <c r="E911" s="1" t="s">
        <v>1183</v>
      </c>
      <c r="F911" s="21" t="s">
        <v>46</v>
      </c>
      <c r="G911" s="14">
        <v>0</v>
      </c>
      <c r="H911" s="14">
        <v>0</v>
      </c>
      <c r="I911" s="25">
        <v>100</v>
      </c>
      <c r="J911" s="23">
        <f>VLOOKUP(I911,episodes!$A$1:$B$76,2,FALSE)</f>
        <v>1</v>
      </c>
      <c r="K911" s="16" t="str">
        <f>VLOOKUP(I911,episodes!$A$1:$E$81,5,FALSE)</f>
        <v>The Cage</v>
      </c>
      <c r="L911" s="16">
        <f>VLOOKUP(I911,episodes!$A$1:$D$81,3,FALSE)</f>
        <v>1</v>
      </c>
      <c r="M911" s="16">
        <f>VLOOKUP(I911,episodes!$A$1:$D$81,4,FALSE)</f>
        <v>0</v>
      </c>
      <c r="O911" s="14">
        <v>0</v>
      </c>
      <c r="P911" s="24">
        <f>LEN(E911)+LEN(K911)</f>
        <v>17</v>
      </c>
      <c r="Q911" s="24">
        <f>COUNTIFS(B:B,B910)</f>
        <v>160</v>
      </c>
      <c r="R911" s="24">
        <f>COUNTIFS(D:D,C911)</f>
        <v>0</v>
      </c>
    </row>
    <row r="912" spans="1:18" x14ac:dyDescent="0.3">
      <c r="A912" s="14">
        <v>185</v>
      </c>
      <c r="B912" s="21" t="s">
        <v>742</v>
      </c>
      <c r="C912" s="21" t="s">
        <v>1684</v>
      </c>
      <c r="D912" s="21"/>
      <c r="E912" s="1" t="s">
        <v>1473</v>
      </c>
      <c r="F912" s="21" t="s">
        <v>2257</v>
      </c>
      <c r="G912" s="14">
        <v>0</v>
      </c>
      <c r="H912" s="14">
        <v>0</v>
      </c>
      <c r="I912" s="25">
        <v>103</v>
      </c>
      <c r="J912" s="23">
        <f>VLOOKUP(I912,episodes!$A$1:$B$76,2,FALSE)</f>
        <v>4</v>
      </c>
      <c r="K912" s="16" t="str">
        <f>VLOOKUP(I912,episodes!$A$1:$E$81,5,FALSE)</f>
        <v>Where No Man Has Gone Before</v>
      </c>
      <c r="L912" s="16">
        <f>VLOOKUP(I912,episodes!$A$1:$D$81,3,FALSE)</f>
        <v>1</v>
      </c>
      <c r="M912" s="16">
        <f>VLOOKUP(I912,episodes!$A$1:$D$81,4,FALSE)</f>
        <v>3</v>
      </c>
      <c r="O912" s="14">
        <v>0</v>
      </c>
      <c r="P912" s="24">
        <f>LEN(E912)+LEN(K912)</f>
        <v>38</v>
      </c>
      <c r="Q912" s="24">
        <f>COUNTIFS(B:B,B911)</f>
        <v>160</v>
      </c>
      <c r="R912" s="24">
        <f>COUNTIFS(D:D,C912)</f>
        <v>0</v>
      </c>
    </row>
    <row r="913" spans="1:18" x14ac:dyDescent="0.3">
      <c r="A913" s="14">
        <v>1788</v>
      </c>
      <c r="B913" s="21" t="s">
        <v>742</v>
      </c>
      <c r="C913" s="21" t="s">
        <v>1684</v>
      </c>
      <c r="D913" s="21"/>
      <c r="E913" s="1" t="s">
        <v>1733</v>
      </c>
      <c r="F913" s="21" t="s">
        <v>2290</v>
      </c>
      <c r="G913" s="14">
        <v>0</v>
      </c>
      <c r="H913" s="14">
        <v>0</v>
      </c>
      <c r="I913" s="25">
        <v>109</v>
      </c>
      <c r="J913" s="23">
        <f>VLOOKUP(I913,episodes!$A$1:$B$76,2,FALSE)</f>
        <v>10</v>
      </c>
      <c r="K913" s="16" t="str">
        <f>VLOOKUP(I913,episodes!$A$1:$E$81,5,FALSE)</f>
        <v>Dagger of the Mind</v>
      </c>
      <c r="L913" s="16">
        <f>VLOOKUP(I913,episodes!$A$1:$D$81,3,FALSE)</f>
        <v>1</v>
      </c>
      <c r="M913" s="16">
        <f>VLOOKUP(I913,episodes!$A$1:$D$81,4,FALSE)</f>
        <v>9</v>
      </c>
      <c r="O913" s="14">
        <v>0</v>
      </c>
      <c r="P913" s="24">
        <f>LEN(E913)+LEN(K913)</f>
        <v>32</v>
      </c>
      <c r="Q913" s="24">
        <f>COUNTIFS(B:B,#REF!)</f>
        <v>0</v>
      </c>
      <c r="R913" s="24">
        <f>COUNTIFS(D:D,C913)</f>
        <v>0</v>
      </c>
    </row>
    <row r="914" spans="1:18" x14ac:dyDescent="0.3">
      <c r="A914" s="14">
        <v>95</v>
      </c>
      <c r="B914" s="21" t="s">
        <v>742</v>
      </c>
      <c r="C914" s="21" t="s">
        <v>1684</v>
      </c>
      <c r="D914" s="21"/>
      <c r="E914" s="1" t="s">
        <v>1474</v>
      </c>
      <c r="F914" s="21" t="s">
        <v>46</v>
      </c>
      <c r="G914" s="14">
        <v>0</v>
      </c>
      <c r="H914" s="14">
        <v>0</v>
      </c>
      <c r="I914" s="25">
        <v>103</v>
      </c>
      <c r="J914" s="23">
        <f>VLOOKUP(I914,episodes!$A$1:$B$76,2,FALSE)</f>
        <v>4</v>
      </c>
      <c r="K914" s="16" t="str">
        <f>VLOOKUP(I914,episodes!$A$1:$E$81,5,FALSE)</f>
        <v>Where No Man Has Gone Before</v>
      </c>
      <c r="L914" s="16">
        <f>VLOOKUP(I914,episodes!$A$1:$D$81,3,FALSE)</f>
        <v>1</v>
      </c>
      <c r="M914" s="16">
        <f>VLOOKUP(I914,episodes!$A$1:$D$81,4,FALSE)</f>
        <v>3</v>
      </c>
      <c r="O914" s="14">
        <v>0</v>
      </c>
      <c r="P914" s="24">
        <f>LEN(E914)+LEN(K914)</f>
        <v>37</v>
      </c>
      <c r="Q914" s="24">
        <f>COUNTIFS(B:B,B913)</f>
        <v>160</v>
      </c>
      <c r="R914" s="24">
        <f>COUNTIFS(D:D,C914)</f>
        <v>0</v>
      </c>
    </row>
    <row r="915" spans="1:18" x14ac:dyDescent="0.3">
      <c r="A915" s="14">
        <v>368</v>
      </c>
      <c r="B915" s="21" t="s">
        <v>742</v>
      </c>
      <c r="C915" s="21" t="s">
        <v>1684</v>
      </c>
      <c r="D915" s="21"/>
      <c r="E915" s="1" t="s">
        <v>1624</v>
      </c>
      <c r="F915" s="21" t="s">
        <v>2224</v>
      </c>
      <c r="G915" s="14">
        <v>0</v>
      </c>
      <c r="H915" s="14">
        <v>0</v>
      </c>
      <c r="I915" s="25">
        <v>206</v>
      </c>
      <c r="J915" s="23">
        <f>VLOOKUP(I915,episodes!$A$1:$B$81,2,FALSE)</f>
        <v>36</v>
      </c>
      <c r="K915" s="16" t="str">
        <f>VLOOKUP(I915,episodes!$A$1:$E$81,5,FALSE)</f>
        <v>The Doomsday Machine</v>
      </c>
      <c r="L915" s="16">
        <f>VLOOKUP(I915,episodes!$A$1:$D$81,3,FALSE)</f>
        <v>2</v>
      </c>
      <c r="M915" s="16">
        <f>VLOOKUP(I915,episodes!$A$1:$D$81,4,FALSE)</f>
        <v>6</v>
      </c>
      <c r="O915" s="14">
        <v>0</v>
      </c>
      <c r="P915" s="24">
        <f>LEN(E915)+LEN(K915)</f>
        <v>29</v>
      </c>
      <c r="Q915" s="24">
        <f>COUNTIFS(B:B,B914)</f>
        <v>160</v>
      </c>
      <c r="R915" s="24">
        <f>COUNTIFS(D:D,C915)</f>
        <v>0</v>
      </c>
    </row>
    <row r="916" spans="1:18" x14ac:dyDescent="0.3">
      <c r="A916" s="14">
        <v>369</v>
      </c>
      <c r="B916" s="21" t="s">
        <v>742</v>
      </c>
      <c r="C916" s="21" t="s">
        <v>1684</v>
      </c>
      <c r="D916" s="21"/>
      <c r="E916" s="1" t="s">
        <v>927</v>
      </c>
      <c r="F916" s="21" t="s">
        <v>2224</v>
      </c>
      <c r="G916" s="14">
        <v>0</v>
      </c>
      <c r="H916" s="14">
        <v>0</v>
      </c>
      <c r="I916" s="25">
        <v>206</v>
      </c>
      <c r="J916" s="23">
        <f>VLOOKUP(I916,episodes!$A$1:$B$81,2,FALSE)</f>
        <v>36</v>
      </c>
      <c r="K916" s="16" t="str">
        <f>VLOOKUP(I916,episodes!$A$1:$E$81,5,FALSE)</f>
        <v>The Doomsday Machine</v>
      </c>
      <c r="L916" s="16">
        <f>VLOOKUP(I916,episodes!$A$1:$D$81,3,FALSE)</f>
        <v>2</v>
      </c>
      <c r="M916" s="16">
        <f>VLOOKUP(I916,episodes!$A$1:$D$81,4,FALSE)</f>
        <v>6</v>
      </c>
      <c r="O916" s="14">
        <v>0</v>
      </c>
      <c r="P916" s="24">
        <f>LEN(E916)+LEN(K916)</f>
        <v>30</v>
      </c>
      <c r="Q916" s="24">
        <f>COUNTIFS(B:B,B915)</f>
        <v>160</v>
      </c>
      <c r="R916" s="24">
        <f>COUNTIFS(D:D,C916)</f>
        <v>0</v>
      </c>
    </row>
    <row r="917" spans="1:18" x14ac:dyDescent="0.3">
      <c r="A917" s="14">
        <v>557</v>
      </c>
      <c r="B917" s="21" t="s">
        <v>742</v>
      </c>
      <c r="C917" s="21" t="s">
        <v>1684</v>
      </c>
      <c r="D917" s="21"/>
      <c r="E917" s="1" t="s">
        <v>440</v>
      </c>
      <c r="F917" s="21" t="s">
        <v>4</v>
      </c>
      <c r="G917" s="14">
        <v>1</v>
      </c>
      <c r="H917" s="14">
        <v>0</v>
      </c>
      <c r="I917" s="25">
        <v>101</v>
      </c>
      <c r="J917" s="23">
        <f>VLOOKUP(I917,episodes!$A$1:$B$76,2,FALSE)</f>
        <v>2</v>
      </c>
      <c r="K917" s="16" t="str">
        <f>VLOOKUP(I917,episodes!$A$1:$E$81,5,FALSE)</f>
        <v>The Man Trap</v>
      </c>
      <c r="L917" s="16">
        <f>VLOOKUP(I917,episodes!$A$1:$D$81,3,FALSE)</f>
        <v>1</v>
      </c>
      <c r="M917" s="16">
        <f>VLOOKUP(I917,episodes!$A$1:$D$81,4,FALSE)</f>
        <v>1</v>
      </c>
      <c r="O917" s="14">
        <v>0</v>
      </c>
      <c r="P917" s="24">
        <f>LEN(E917)+LEN(K917)</f>
        <v>16</v>
      </c>
      <c r="Q917" s="24">
        <f>COUNTIFS(B:B,B916)</f>
        <v>160</v>
      </c>
      <c r="R917" s="24">
        <f>COUNTIFS(D:D,C917)</f>
        <v>0</v>
      </c>
    </row>
    <row r="918" spans="1:18" x14ac:dyDescent="0.3">
      <c r="A918" s="14">
        <v>575</v>
      </c>
      <c r="B918" s="21" t="s">
        <v>742</v>
      </c>
      <c r="C918" s="21" t="s">
        <v>1684</v>
      </c>
      <c r="D918" s="21"/>
      <c r="E918" s="1" t="s">
        <v>440</v>
      </c>
      <c r="F918" s="21" t="s">
        <v>4</v>
      </c>
      <c r="G918" s="14">
        <v>1</v>
      </c>
      <c r="H918" s="14">
        <v>0</v>
      </c>
      <c r="I918" s="25">
        <v>103</v>
      </c>
      <c r="J918" s="23">
        <f>VLOOKUP(I918,episodes!$A$1:$B$76,2,FALSE)</f>
        <v>4</v>
      </c>
      <c r="K918" s="16" t="str">
        <f>VLOOKUP(I918,episodes!$A$1:$E$81,5,FALSE)</f>
        <v>Where No Man Has Gone Before</v>
      </c>
      <c r="L918" s="16">
        <f>VLOOKUP(I918,episodes!$A$1:$D$81,3,FALSE)</f>
        <v>1</v>
      </c>
      <c r="M918" s="16">
        <f>VLOOKUP(I918,episodes!$A$1:$D$81,4,FALSE)</f>
        <v>3</v>
      </c>
      <c r="O918" s="14">
        <v>0</v>
      </c>
      <c r="P918" s="24">
        <f>LEN(E918)+LEN(K918)</f>
        <v>32</v>
      </c>
      <c r="Q918" s="24">
        <f>COUNTIFS(B:B,B917)</f>
        <v>160</v>
      </c>
      <c r="R918" s="24">
        <f>COUNTIFS(D:D,C918)</f>
        <v>0</v>
      </c>
    </row>
    <row r="919" spans="1:18" x14ac:dyDescent="0.3">
      <c r="A919" s="14">
        <v>594</v>
      </c>
      <c r="B919" s="21" t="s">
        <v>742</v>
      </c>
      <c r="C919" s="21" t="s">
        <v>1684</v>
      </c>
      <c r="D919" s="21"/>
      <c r="E919" s="1" t="s">
        <v>440</v>
      </c>
      <c r="F919" s="21" t="s">
        <v>4</v>
      </c>
      <c r="G919" s="14">
        <v>1</v>
      </c>
      <c r="H919" s="14">
        <v>0</v>
      </c>
      <c r="I919" s="25">
        <v>105</v>
      </c>
      <c r="J919" s="23">
        <f>VLOOKUP(I919,episodes!$A$1:$B$81,2,FALSE)</f>
        <v>6</v>
      </c>
      <c r="K919" s="16" t="str">
        <f>VLOOKUP(I919,episodes!$A$1:$E$81,5,FALSE)</f>
        <v>The Enemy Within</v>
      </c>
      <c r="L919" s="16">
        <f>VLOOKUP(I919,episodes!$A$1:$D$81,3,FALSE)</f>
        <v>1</v>
      </c>
      <c r="M919" s="16">
        <f>VLOOKUP(I919,episodes!$A$1:$D$81,4,FALSE)</f>
        <v>5</v>
      </c>
      <c r="O919" s="14">
        <v>0</v>
      </c>
      <c r="P919" s="24">
        <f>LEN(E919)+LEN(K919)</f>
        <v>20</v>
      </c>
      <c r="Q919" s="24">
        <f>COUNTIFS(B:B,B918)</f>
        <v>160</v>
      </c>
      <c r="R919" s="24">
        <f>COUNTIFS(D:D,C919)</f>
        <v>0</v>
      </c>
    </row>
    <row r="920" spans="1:18" x14ac:dyDescent="0.3">
      <c r="A920" s="14">
        <v>614</v>
      </c>
      <c r="B920" s="21" t="s">
        <v>742</v>
      </c>
      <c r="C920" s="21" t="s">
        <v>1684</v>
      </c>
      <c r="D920" s="21"/>
      <c r="E920" s="1" t="s">
        <v>440</v>
      </c>
      <c r="F920" s="21" t="s">
        <v>4</v>
      </c>
      <c r="G920" s="14">
        <v>1</v>
      </c>
      <c r="H920" s="14">
        <v>0</v>
      </c>
      <c r="I920" s="25">
        <v>106</v>
      </c>
      <c r="J920" s="23">
        <f>VLOOKUP(I920,episodes!$A$1:$B$81,2,FALSE)</f>
        <v>7</v>
      </c>
      <c r="K920" s="16" t="str">
        <f>VLOOKUP(I920,episodes!$A$1:$E$81,5,FALSE)</f>
        <v>Mudd's Women</v>
      </c>
      <c r="L920" s="16">
        <f>VLOOKUP(I920,episodes!$A$1:$D$81,3,FALSE)</f>
        <v>1</v>
      </c>
      <c r="M920" s="16">
        <f>VLOOKUP(I920,episodes!$A$1:$D$81,4,FALSE)</f>
        <v>6</v>
      </c>
      <c r="O920" s="14">
        <v>0</v>
      </c>
      <c r="P920" s="24">
        <f>LEN(E920)+LEN(K920)</f>
        <v>16</v>
      </c>
      <c r="Q920" s="24">
        <f>COUNTIFS(B:B,B919)</f>
        <v>160</v>
      </c>
      <c r="R920" s="24">
        <f>COUNTIFS(D:D,C920)</f>
        <v>0</v>
      </c>
    </row>
    <row r="921" spans="1:18" x14ac:dyDescent="0.3">
      <c r="A921" s="14">
        <v>628</v>
      </c>
      <c r="B921" s="21" t="s">
        <v>742</v>
      </c>
      <c r="C921" s="21" t="s">
        <v>1684</v>
      </c>
      <c r="D921" s="21"/>
      <c r="E921" s="1" t="s">
        <v>440</v>
      </c>
      <c r="F921" s="21" t="s">
        <v>4</v>
      </c>
      <c r="G921" s="14">
        <v>1</v>
      </c>
      <c r="H921" s="14">
        <v>0</v>
      </c>
      <c r="I921" s="25">
        <v>107</v>
      </c>
      <c r="J921" s="23">
        <f>VLOOKUP(I921,episodes!$A$1:$B$81,2,FALSE)</f>
        <v>8</v>
      </c>
      <c r="K921" s="16" t="str">
        <f>VLOOKUP(I921,episodes!$A$1:$E$81,5,FALSE)</f>
        <v>What Are Little Girls Made Of?</v>
      </c>
      <c r="L921" s="16">
        <f>VLOOKUP(I921,episodes!$A$1:$D$81,3,FALSE)</f>
        <v>1</v>
      </c>
      <c r="M921" s="16">
        <f>VLOOKUP(I921,episodes!$A$1:$D$81,4,FALSE)</f>
        <v>7</v>
      </c>
      <c r="O921" s="14">
        <v>0</v>
      </c>
      <c r="P921" s="24">
        <f>LEN(E921)+LEN(K921)</f>
        <v>34</v>
      </c>
      <c r="Q921" s="24">
        <f>COUNTIFS(B:B,B920)</f>
        <v>160</v>
      </c>
      <c r="R921" s="24">
        <f>COUNTIFS(D:D,C921)</f>
        <v>0</v>
      </c>
    </row>
    <row r="922" spans="1:18" x14ac:dyDescent="0.3">
      <c r="A922" s="14">
        <v>645</v>
      </c>
      <c r="B922" s="21" t="s">
        <v>742</v>
      </c>
      <c r="C922" s="21" t="s">
        <v>1684</v>
      </c>
      <c r="D922" s="21"/>
      <c r="E922" s="1" t="s">
        <v>440</v>
      </c>
      <c r="F922" s="21" t="s">
        <v>4</v>
      </c>
      <c r="G922" s="14">
        <v>1</v>
      </c>
      <c r="H922" s="14">
        <v>0</v>
      </c>
      <c r="I922" s="25">
        <v>108</v>
      </c>
      <c r="J922" s="23">
        <f>VLOOKUP(I922,episodes!$A$1:$B$76,2,FALSE)</f>
        <v>9</v>
      </c>
      <c r="K922" s="16" t="str">
        <f>VLOOKUP(I922,episodes!$A$1:$E$81,5,FALSE)</f>
        <v>Miri</v>
      </c>
      <c r="L922" s="16">
        <f>VLOOKUP(I922,episodes!$A$1:$D$81,3,FALSE)</f>
        <v>1</v>
      </c>
      <c r="M922" s="16">
        <f>VLOOKUP(I922,episodes!$A$1:$D$81,4,FALSE)</f>
        <v>8</v>
      </c>
      <c r="O922" s="14">
        <v>0</v>
      </c>
      <c r="P922" s="24">
        <f>LEN(E922)+LEN(K922)</f>
        <v>8</v>
      </c>
      <c r="Q922" s="24">
        <f>COUNTIFS(B:B,B921)</f>
        <v>160</v>
      </c>
      <c r="R922" s="24">
        <f>COUNTIFS(D:D,C922)</f>
        <v>0</v>
      </c>
    </row>
    <row r="923" spans="1:18" x14ac:dyDescent="0.3">
      <c r="A923" s="14">
        <v>656</v>
      </c>
      <c r="B923" s="21" t="s">
        <v>742</v>
      </c>
      <c r="C923" s="21" t="s">
        <v>1684</v>
      </c>
      <c r="D923" s="21"/>
      <c r="E923" s="1" t="s">
        <v>440</v>
      </c>
      <c r="F923" s="21" t="s">
        <v>4</v>
      </c>
      <c r="G923" s="14">
        <v>1</v>
      </c>
      <c r="H923" s="14">
        <v>0</v>
      </c>
      <c r="I923" s="25">
        <v>109</v>
      </c>
      <c r="J923" s="23">
        <f>VLOOKUP(I923,episodes!$A$1:$B$76,2,FALSE)</f>
        <v>10</v>
      </c>
      <c r="K923" s="16" t="str">
        <f>VLOOKUP(I923,episodes!$A$1:$E$81,5,FALSE)</f>
        <v>Dagger of the Mind</v>
      </c>
      <c r="L923" s="16">
        <f>VLOOKUP(I923,episodes!$A$1:$D$81,3,FALSE)</f>
        <v>1</v>
      </c>
      <c r="M923" s="16">
        <f>VLOOKUP(I923,episodes!$A$1:$D$81,4,FALSE)</f>
        <v>9</v>
      </c>
      <c r="O923" s="14">
        <v>0</v>
      </c>
      <c r="P923" s="24">
        <f>LEN(E923)+LEN(K923)</f>
        <v>22</v>
      </c>
      <c r="Q923" s="24">
        <f>COUNTIFS(B:B,B922)</f>
        <v>160</v>
      </c>
      <c r="R923" s="24">
        <f>COUNTIFS(D:D,C923)</f>
        <v>0</v>
      </c>
    </row>
    <row r="924" spans="1:18" x14ac:dyDescent="0.3">
      <c r="A924" s="14">
        <v>672</v>
      </c>
      <c r="B924" s="21" t="s">
        <v>742</v>
      </c>
      <c r="C924" s="21" t="s">
        <v>1684</v>
      </c>
      <c r="D924" s="21"/>
      <c r="E924" s="1" t="s">
        <v>440</v>
      </c>
      <c r="F924" s="21" t="s">
        <v>4</v>
      </c>
      <c r="G924" s="14">
        <v>1</v>
      </c>
      <c r="H924" s="14">
        <v>0</v>
      </c>
      <c r="I924" s="25">
        <v>110</v>
      </c>
      <c r="J924" s="23">
        <f>VLOOKUP(I924,episodes!$A$1:$B$76,2,FALSE)</f>
        <v>11</v>
      </c>
      <c r="K924" s="16" t="str">
        <f>VLOOKUP(I924,episodes!$A$1:$E$81,5,FALSE)</f>
        <v>The Corbomite Maneuver</v>
      </c>
      <c r="L924" s="16">
        <f>VLOOKUP(I924,episodes!$A$1:$D$81,3,FALSE)</f>
        <v>1</v>
      </c>
      <c r="M924" s="16">
        <f>VLOOKUP(I924,episodes!$A$1:$D$81,4,FALSE)</f>
        <v>10</v>
      </c>
      <c r="O924" s="14">
        <v>0</v>
      </c>
      <c r="P924" s="24">
        <f>LEN(E924)+LEN(K924)</f>
        <v>26</v>
      </c>
      <c r="Q924" s="24">
        <f>COUNTIFS(B:B,B923)</f>
        <v>160</v>
      </c>
      <c r="R924" s="24">
        <f>COUNTIFS(D:D,C924)</f>
        <v>0</v>
      </c>
    </row>
    <row r="925" spans="1:18" x14ac:dyDescent="0.3">
      <c r="A925" s="14">
        <v>719</v>
      </c>
      <c r="B925" s="21" t="s">
        <v>742</v>
      </c>
      <c r="C925" s="21" t="s">
        <v>1684</v>
      </c>
      <c r="D925" s="21"/>
      <c r="E925" s="1" t="s">
        <v>440</v>
      </c>
      <c r="F925" s="21" t="s">
        <v>4</v>
      </c>
      <c r="G925" s="14">
        <v>1</v>
      </c>
      <c r="H925" s="14">
        <v>0</v>
      </c>
      <c r="I925" s="22">
        <v>115</v>
      </c>
      <c r="J925" s="23">
        <f>VLOOKUP(I925,episodes!$A$1:$B$76,2,FALSE)</f>
        <v>16</v>
      </c>
      <c r="K925" s="16" t="str">
        <f>VLOOKUP(I925,episodes!$A$1:$E$81,5,FALSE)</f>
        <v>Shore Leave</v>
      </c>
      <c r="L925" s="16">
        <f>VLOOKUP(I925,episodes!$A$1:$D$81,3,FALSE)</f>
        <v>1</v>
      </c>
      <c r="M925" s="16">
        <f>VLOOKUP(I925,episodes!$A$1:$D$81,4,FALSE)</f>
        <v>15</v>
      </c>
      <c r="O925" s="14">
        <v>0</v>
      </c>
      <c r="P925" s="24">
        <f>LEN(E925)+LEN(K925)</f>
        <v>15</v>
      </c>
      <c r="Q925" s="24">
        <f>COUNTIFS(B:B,B924)</f>
        <v>160</v>
      </c>
      <c r="R925" s="24">
        <f>COUNTIFS(D:D,C925)</f>
        <v>0</v>
      </c>
    </row>
    <row r="926" spans="1:18" x14ac:dyDescent="0.3">
      <c r="A926" s="14">
        <v>754</v>
      </c>
      <c r="B926" s="21" t="s">
        <v>742</v>
      </c>
      <c r="C926" s="21" t="s">
        <v>1684</v>
      </c>
      <c r="D926" s="21"/>
      <c r="E926" s="1" t="s">
        <v>440</v>
      </c>
      <c r="F926" s="21" t="s">
        <v>4</v>
      </c>
      <c r="G926" s="14">
        <v>1</v>
      </c>
      <c r="H926" s="14">
        <v>0</v>
      </c>
      <c r="I926" s="22">
        <v>118</v>
      </c>
      <c r="J926" s="23">
        <f>VLOOKUP(I926,episodes!$A$1:$B$76,2,FALSE)</f>
        <v>19</v>
      </c>
      <c r="K926" s="16" t="str">
        <f>VLOOKUP(I926,episodes!$A$1:$E$81,5,FALSE)</f>
        <v>Arena</v>
      </c>
      <c r="L926" s="16">
        <f>VLOOKUP(I926,episodes!$A$1:$D$81,3,FALSE)</f>
        <v>1</v>
      </c>
      <c r="M926" s="16">
        <f>VLOOKUP(I926,episodes!$A$1:$D$81,4,FALSE)</f>
        <v>18</v>
      </c>
      <c r="O926" s="14">
        <v>0</v>
      </c>
      <c r="P926" s="24">
        <f>LEN(E926)+LEN(K926)</f>
        <v>9</v>
      </c>
      <c r="Q926" s="24">
        <f>COUNTIFS(B:B,B925)</f>
        <v>160</v>
      </c>
      <c r="R926" s="24">
        <f>COUNTIFS(D:D,C926)</f>
        <v>0</v>
      </c>
    </row>
    <row r="927" spans="1:18" x14ac:dyDescent="0.3">
      <c r="A927" s="14">
        <v>769</v>
      </c>
      <c r="B927" s="21" t="s">
        <v>742</v>
      </c>
      <c r="C927" s="21" t="s">
        <v>1684</v>
      </c>
      <c r="D927" s="21"/>
      <c r="E927" s="1" t="s">
        <v>440</v>
      </c>
      <c r="F927" s="21" t="s">
        <v>4</v>
      </c>
      <c r="G927" s="14">
        <v>1</v>
      </c>
      <c r="H927" s="14">
        <v>0</v>
      </c>
      <c r="I927" s="22">
        <v>119</v>
      </c>
      <c r="J927" s="23">
        <f>VLOOKUP(I927,episodes!$A$1:$B$76,2,FALSE)</f>
        <v>20</v>
      </c>
      <c r="K927" s="16" t="str">
        <f>VLOOKUP(I927,episodes!$A$1:$E$81,5,FALSE)</f>
        <v>Tomorrow Is Yesterday</v>
      </c>
      <c r="L927" s="16">
        <f>VLOOKUP(I927,episodes!$A$1:$D$81,3,FALSE)</f>
        <v>1</v>
      </c>
      <c r="M927" s="16">
        <f>VLOOKUP(I927,episodes!$A$1:$D$81,4,FALSE)</f>
        <v>19</v>
      </c>
      <c r="O927" s="14">
        <v>0</v>
      </c>
      <c r="P927" s="24">
        <f>LEN(E927)+LEN(K927)</f>
        <v>25</v>
      </c>
      <c r="Q927" s="24">
        <f>COUNTIFS(B:B,B926)</f>
        <v>160</v>
      </c>
      <c r="R927" s="24">
        <f>COUNTIFS(D:D,C927)</f>
        <v>0</v>
      </c>
    </row>
    <row r="928" spans="1:18" x14ac:dyDescent="0.3">
      <c r="A928" s="14">
        <v>788</v>
      </c>
      <c r="B928" s="21" t="s">
        <v>742</v>
      </c>
      <c r="C928" s="21" t="s">
        <v>1684</v>
      </c>
      <c r="D928" s="21"/>
      <c r="E928" s="1" t="s">
        <v>440</v>
      </c>
      <c r="F928" s="21" t="s">
        <v>4</v>
      </c>
      <c r="G928" s="14">
        <v>1</v>
      </c>
      <c r="H928" s="14">
        <v>0</v>
      </c>
      <c r="I928" s="22">
        <v>121</v>
      </c>
      <c r="J928" s="23">
        <f>VLOOKUP(I928,episodes!$A$1:$B$76,2,FALSE)</f>
        <v>22</v>
      </c>
      <c r="K928" s="16" t="str">
        <f>VLOOKUP(I928,episodes!$A$1:$E$81,5,FALSE)</f>
        <v>The Return of the Archons</v>
      </c>
      <c r="L928" s="16">
        <f>VLOOKUP(I928,episodes!$A$1:$D$81,3,FALSE)</f>
        <v>1</v>
      </c>
      <c r="M928" s="16">
        <f>VLOOKUP(I928,episodes!$A$1:$D$81,4,FALSE)</f>
        <v>21</v>
      </c>
      <c r="O928" s="14">
        <v>0</v>
      </c>
      <c r="P928" s="24">
        <f>LEN(E928)+LEN(K928)</f>
        <v>29</v>
      </c>
      <c r="Q928" s="24">
        <f>COUNTIFS(B:B,B927)</f>
        <v>160</v>
      </c>
      <c r="R928" s="24">
        <f>COUNTIFS(D:D,C928)</f>
        <v>0</v>
      </c>
    </row>
    <row r="929" spans="1:18" x14ac:dyDescent="0.3">
      <c r="A929" s="14">
        <v>815</v>
      </c>
      <c r="B929" s="21" t="s">
        <v>742</v>
      </c>
      <c r="C929" s="21" t="s">
        <v>1684</v>
      </c>
      <c r="D929" s="21"/>
      <c r="E929" s="1" t="s">
        <v>440</v>
      </c>
      <c r="F929" s="21" t="s">
        <v>4</v>
      </c>
      <c r="G929" s="14">
        <v>1</v>
      </c>
      <c r="H929" s="14">
        <v>0</v>
      </c>
      <c r="I929" s="22">
        <v>123</v>
      </c>
      <c r="J929" s="23">
        <f>VLOOKUP(I929,episodes!$A$1:$B$76,2,FALSE)</f>
        <v>24</v>
      </c>
      <c r="K929" s="16" t="str">
        <f>VLOOKUP(I929,episodes!$A$1:$E$81,5,FALSE)</f>
        <v>A Taste of Armageddon</v>
      </c>
      <c r="L929" s="16">
        <f>VLOOKUP(I929,episodes!$A$1:$D$81,3,FALSE)</f>
        <v>1</v>
      </c>
      <c r="M929" s="16">
        <f>VLOOKUP(I929,episodes!$A$1:$D$81,4,FALSE)</f>
        <v>23</v>
      </c>
      <c r="O929" s="14">
        <v>0</v>
      </c>
      <c r="P929" s="24">
        <f>LEN(E929)+LEN(K929)</f>
        <v>25</v>
      </c>
      <c r="Q929" s="24">
        <f>COUNTIFS(B:B,B928)</f>
        <v>160</v>
      </c>
      <c r="R929" s="24">
        <f>COUNTIFS(D:D,C929)</f>
        <v>0</v>
      </c>
    </row>
    <row r="930" spans="1:18" x14ac:dyDescent="0.3">
      <c r="A930" s="14">
        <v>832</v>
      </c>
      <c r="B930" s="21" t="s">
        <v>742</v>
      </c>
      <c r="C930" s="21" t="s">
        <v>1684</v>
      </c>
      <c r="D930" s="21"/>
      <c r="E930" s="1" t="s">
        <v>440</v>
      </c>
      <c r="F930" s="21" t="s">
        <v>4</v>
      </c>
      <c r="G930" s="14">
        <v>1</v>
      </c>
      <c r="H930" s="14">
        <v>0</v>
      </c>
      <c r="I930" s="22">
        <v>124</v>
      </c>
      <c r="J930" s="23">
        <f>VLOOKUP(I930,episodes!$A$1:$B$76,2,FALSE)</f>
        <v>25</v>
      </c>
      <c r="K930" s="16" t="str">
        <f>VLOOKUP(I930,episodes!$A$1:$E$81,5,FALSE)</f>
        <v>This Side of Paradise</v>
      </c>
      <c r="L930" s="16">
        <f>VLOOKUP(I930,episodes!$A$1:$D$81,3,FALSE)</f>
        <v>1</v>
      </c>
      <c r="M930" s="16">
        <f>VLOOKUP(I930,episodes!$A$1:$D$81,4,FALSE)</f>
        <v>24</v>
      </c>
      <c r="O930" s="14">
        <v>0</v>
      </c>
      <c r="P930" s="24">
        <f>LEN(E930)+LEN(K930)</f>
        <v>25</v>
      </c>
      <c r="Q930" s="24">
        <f>COUNTIFS(B:B,B929)</f>
        <v>160</v>
      </c>
      <c r="R930" s="24">
        <f>COUNTIFS(D:D,C930)</f>
        <v>0</v>
      </c>
    </row>
    <row r="931" spans="1:18" x14ac:dyDescent="0.3">
      <c r="A931" s="14">
        <v>845</v>
      </c>
      <c r="B931" s="21" t="s">
        <v>742</v>
      </c>
      <c r="C931" s="21" t="s">
        <v>1684</v>
      </c>
      <c r="D931" s="21"/>
      <c r="E931" s="1" t="s">
        <v>440</v>
      </c>
      <c r="F931" s="21" t="s">
        <v>4</v>
      </c>
      <c r="G931" s="14">
        <v>1</v>
      </c>
      <c r="H931" s="14">
        <v>0</v>
      </c>
      <c r="I931" s="22">
        <v>125</v>
      </c>
      <c r="J931" s="23">
        <f>VLOOKUP(I931,episodes!$A$1:$B$76,2,FALSE)</f>
        <v>26</v>
      </c>
      <c r="K931" s="16" t="str">
        <f>VLOOKUP(I931,episodes!$A$1:$E$81,5,FALSE)</f>
        <v>The Devil in the Dark</v>
      </c>
      <c r="L931" s="16">
        <f>VLOOKUP(I931,episodes!$A$1:$D$81,3,FALSE)</f>
        <v>1</v>
      </c>
      <c r="M931" s="16">
        <f>VLOOKUP(I931,episodes!$A$1:$D$81,4,FALSE)</f>
        <v>25</v>
      </c>
      <c r="O931" s="14">
        <v>0</v>
      </c>
      <c r="P931" s="24">
        <f>LEN(E931)+LEN(K931)</f>
        <v>25</v>
      </c>
      <c r="Q931" s="24">
        <f>COUNTIFS(B:B,B930)</f>
        <v>160</v>
      </c>
      <c r="R931" s="24">
        <f>COUNTIFS(D:D,C931)</f>
        <v>0</v>
      </c>
    </row>
    <row r="932" spans="1:18" x14ac:dyDescent="0.3">
      <c r="A932" s="14">
        <v>857</v>
      </c>
      <c r="B932" s="21" t="s">
        <v>742</v>
      </c>
      <c r="C932" s="21" t="s">
        <v>1684</v>
      </c>
      <c r="D932" s="21"/>
      <c r="E932" s="1" t="s">
        <v>440</v>
      </c>
      <c r="F932" s="21" t="s">
        <v>4</v>
      </c>
      <c r="G932" s="14">
        <v>1</v>
      </c>
      <c r="H932" s="14">
        <v>0</v>
      </c>
      <c r="I932" s="26">
        <v>126</v>
      </c>
      <c r="J932" s="23">
        <f>VLOOKUP(I932,episodes!$A$1:$B$76,2,FALSE)</f>
        <v>27</v>
      </c>
      <c r="K932" s="16" t="str">
        <f>VLOOKUP(I932,episodes!$A$1:$E$81,5,FALSE)</f>
        <v>Errand of Mercy</v>
      </c>
      <c r="L932" s="16">
        <f>VLOOKUP(I932,episodes!$A$1:$D$81,3,FALSE)</f>
        <v>1</v>
      </c>
      <c r="M932" s="16">
        <f>VLOOKUP(I932,episodes!$A$1:$D$81,4,FALSE)</f>
        <v>26</v>
      </c>
      <c r="O932" s="14">
        <v>0</v>
      </c>
      <c r="P932" s="24">
        <f>LEN(E932)+LEN(K932)</f>
        <v>19</v>
      </c>
      <c r="Q932" s="24">
        <f>COUNTIFS(B:B,B931)</f>
        <v>160</v>
      </c>
      <c r="R932" s="24">
        <f>COUNTIFS(D:D,C932)</f>
        <v>0</v>
      </c>
    </row>
    <row r="933" spans="1:18" x14ac:dyDescent="0.3">
      <c r="A933" s="14">
        <v>868</v>
      </c>
      <c r="B933" s="21" t="s">
        <v>742</v>
      </c>
      <c r="C933" s="21" t="s">
        <v>1684</v>
      </c>
      <c r="D933" s="21"/>
      <c r="E933" s="1" t="s">
        <v>440</v>
      </c>
      <c r="F933" s="21" t="s">
        <v>4</v>
      </c>
      <c r="G933" s="14">
        <v>1</v>
      </c>
      <c r="H933" s="14">
        <v>0</v>
      </c>
      <c r="I933" s="22">
        <v>127</v>
      </c>
      <c r="J933" s="23">
        <f>VLOOKUP(I933,episodes!$A$1:$B$76,2,FALSE)</f>
        <v>28</v>
      </c>
      <c r="K933" s="16" t="str">
        <f>VLOOKUP(I933,episodes!$A$1:$E$81,5,FALSE)</f>
        <v>The Alternative Factor</v>
      </c>
      <c r="L933" s="16">
        <f>VLOOKUP(I933,episodes!$A$1:$D$81,3,FALSE)</f>
        <v>1</v>
      </c>
      <c r="M933" s="16">
        <f>VLOOKUP(I933,episodes!$A$1:$D$81,4,FALSE)</f>
        <v>27</v>
      </c>
      <c r="O933" s="14">
        <v>0</v>
      </c>
      <c r="P933" s="24">
        <f>LEN(E933)+LEN(K933)</f>
        <v>26</v>
      </c>
      <c r="Q933" s="24">
        <f>COUNTIFS(B:B,B932)</f>
        <v>160</v>
      </c>
      <c r="R933" s="24">
        <f>COUNTIFS(D:D,C933)</f>
        <v>0</v>
      </c>
    </row>
    <row r="934" spans="1:18" x14ac:dyDescent="0.3">
      <c r="A934" s="14">
        <v>874</v>
      </c>
      <c r="B934" s="21" t="s">
        <v>742</v>
      </c>
      <c r="C934" s="21" t="s">
        <v>1684</v>
      </c>
      <c r="D934" s="21"/>
      <c r="E934" s="1" t="s">
        <v>440</v>
      </c>
      <c r="F934" s="21" t="s">
        <v>4</v>
      </c>
      <c r="G934" s="14">
        <v>1</v>
      </c>
      <c r="H934" s="14">
        <v>0</v>
      </c>
      <c r="I934" s="22">
        <v>128</v>
      </c>
      <c r="J934" s="23">
        <f>VLOOKUP(I934,episodes!$A$1:$B$76,2,FALSE)</f>
        <v>29</v>
      </c>
      <c r="K934" s="16" t="str">
        <f>VLOOKUP(I934,episodes!$A$1:$E$81,5,FALSE)</f>
        <v>The City on the Edge of Forever</v>
      </c>
      <c r="L934" s="16">
        <f>VLOOKUP(I934,episodes!$A$1:$D$81,3,FALSE)</f>
        <v>1</v>
      </c>
      <c r="M934" s="16">
        <f>VLOOKUP(I934,episodes!$A$1:$D$81,4,FALSE)</f>
        <v>28</v>
      </c>
      <c r="O934" s="14">
        <v>0</v>
      </c>
      <c r="P934" s="24">
        <f>LEN(E934)+LEN(K934)</f>
        <v>35</v>
      </c>
      <c r="Q934" s="24">
        <f>COUNTIFS(B:B,B933)</f>
        <v>160</v>
      </c>
      <c r="R934" s="24">
        <f>COUNTIFS(D:D,C934)</f>
        <v>0</v>
      </c>
    </row>
    <row r="935" spans="1:18" x14ac:dyDescent="0.3">
      <c r="A935" s="14">
        <v>881</v>
      </c>
      <c r="B935" s="21" t="s">
        <v>742</v>
      </c>
      <c r="C935" s="21" t="s">
        <v>1684</v>
      </c>
      <c r="D935" s="21"/>
      <c r="E935" s="1" t="s">
        <v>440</v>
      </c>
      <c r="F935" s="21" t="s">
        <v>4</v>
      </c>
      <c r="G935" s="14">
        <v>1</v>
      </c>
      <c r="H935" s="14">
        <v>0</v>
      </c>
      <c r="I935" s="22">
        <v>129</v>
      </c>
      <c r="J935" s="23">
        <f>VLOOKUP(I935,episodes!$A$1:$B$76,2,FALSE)</f>
        <v>30</v>
      </c>
      <c r="K935" s="16" t="str">
        <f>VLOOKUP(I935,episodes!$A$1:$E$81,5,FALSE)</f>
        <v>Operation: Annihilate!</v>
      </c>
      <c r="L935" s="16">
        <f>VLOOKUP(I935,episodes!$A$1:$D$81,3,FALSE)</f>
        <v>1</v>
      </c>
      <c r="M935" s="16">
        <f>VLOOKUP(I935,episodes!$A$1:$D$81,4,FALSE)</f>
        <v>29</v>
      </c>
      <c r="O935" s="14">
        <v>0</v>
      </c>
      <c r="P935" s="24">
        <f>LEN(E935)+LEN(K935)</f>
        <v>26</v>
      </c>
      <c r="Q935" s="24">
        <f>COUNTIFS(B:B,B934)</f>
        <v>160</v>
      </c>
      <c r="R935" s="24">
        <f>COUNTIFS(D:D,C935)</f>
        <v>0</v>
      </c>
    </row>
    <row r="936" spans="1:18" x14ac:dyDescent="0.3">
      <c r="A936" s="14">
        <v>899</v>
      </c>
      <c r="B936" s="21" t="s">
        <v>742</v>
      </c>
      <c r="C936" s="21" t="s">
        <v>1684</v>
      </c>
      <c r="D936" s="21"/>
      <c r="E936" s="1" t="s">
        <v>440</v>
      </c>
      <c r="F936" s="21" t="s">
        <v>4</v>
      </c>
      <c r="G936" s="14">
        <v>1</v>
      </c>
      <c r="H936" s="14">
        <v>0</v>
      </c>
      <c r="I936" s="22">
        <v>202</v>
      </c>
      <c r="J936" s="23">
        <f>VLOOKUP(I936,episodes!$A$1:$B$76,2,FALSE)</f>
        <v>32</v>
      </c>
      <c r="K936" s="16" t="str">
        <f>VLOOKUP(I936,episodes!$A$1:$E$81,5,FALSE)</f>
        <v>Who Mourns for Adonais?</v>
      </c>
      <c r="L936" s="16">
        <f>VLOOKUP(I936,episodes!$A$1:$D$81,3,FALSE)</f>
        <v>2</v>
      </c>
      <c r="M936" s="16">
        <f>VLOOKUP(I936,episodes!$A$1:$D$81,4,FALSE)</f>
        <v>2</v>
      </c>
      <c r="O936" s="14">
        <v>0</v>
      </c>
      <c r="P936" s="24">
        <f>LEN(E936)+LEN(K936)</f>
        <v>27</v>
      </c>
      <c r="Q936" s="24">
        <f>COUNTIFS(B:B,B935)</f>
        <v>160</v>
      </c>
      <c r="R936" s="24">
        <f>COUNTIFS(D:D,C936)</f>
        <v>0</v>
      </c>
    </row>
    <row r="937" spans="1:18" x14ac:dyDescent="0.3">
      <c r="A937" s="14">
        <v>911</v>
      </c>
      <c r="B937" s="21" t="s">
        <v>742</v>
      </c>
      <c r="C937" s="21" t="s">
        <v>1684</v>
      </c>
      <c r="D937" s="21"/>
      <c r="E937" s="1" t="s">
        <v>440</v>
      </c>
      <c r="F937" s="21" t="s">
        <v>4</v>
      </c>
      <c r="G937" s="14">
        <v>1</v>
      </c>
      <c r="H937" s="14">
        <v>0</v>
      </c>
      <c r="I937" s="25">
        <v>204</v>
      </c>
      <c r="J937" s="23">
        <f>VLOOKUP(I937,episodes!$A$1:$B$81,2,FALSE)</f>
        <v>34</v>
      </c>
      <c r="K937" s="16" t="str">
        <f>VLOOKUP(I937,episodes!$A$1:$E$81,5,FALSE)</f>
        <v>Mirror, Mirror</v>
      </c>
      <c r="L937" s="16">
        <f>VLOOKUP(I937,episodes!$A$1:$D$81,3,FALSE)</f>
        <v>2</v>
      </c>
      <c r="M937" s="16">
        <f>VLOOKUP(I937,episodes!$A$1:$D$81,4,FALSE)</f>
        <v>4</v>
      </c>
      <c r="O937" s="14">
        <v>0</v>
      </c>
      <c r="P937" s="24">
        <f>LEN(E937)+LEN(K937)</f>
        <v>18</v>
      </c>
      <c r="Q937" s="24">
        <f>COUNTIFS(B:B,B936)</f>
        <v>160</v>
      </c>
      <c r="R937" s="24">
        <f>COUNTIFS(D:D,C937)</f>
        <v>0</v>
      </c>
    </row>
    <row r="938" spans="1:18" x14ac:dyDescent="0.3">
      <c r="A938" s="14">
        <v>929</v>
      </c>
      <c r="B938" s="21" t="s">
        <v>742</v>
      </c>
      <c r="C938" s="21" t="s">
        <v>1684</v>
      </c>
      <c r="D938" s="21"/>
      <c r="E938" s="1" t="s">
        <v>440</v>
      </c>
      <c r="F938" s="21" t="s">
        <v>4</v>
      </c>
      <c r="G938" s="14">
        <v>1</v>
      </c>
      <c r="H938" s="14">
        <v>0</v>
      </c>
      <c r="I938" s="25">
        <v>205</v>
      </c>
      <c r="J938" s="23">
        <f>VLOOKUP(I938,episodes!$A$1:$B$81,2,FALSE)</f>
        <v>35</v>
      </c>
      <c r="K938" s="16" t="str">
        <f>VLOOKUP(I938,episodes!$A$1:$E$81,5,FALSE)</f>
        <v>The Apple</v>
      </c>
      <c r="L938" s="16">
        <f>VLOOKUP(I938,episodes!$A$1:$D$81,3,FALSE)</f>
        <v>2</v>
      </c>
      <c r="M938" s="16">
        <f>VLOOKUP(I938,episodes!$A$1:$D$81,4,FALSE)</f>
        <v>5</v>
      </c>
      <c r="O938" s="14">
        <v>0</v>
      </c>
      <c r="P938" s="24">
        <f>LEN(E938)+LEN(K938)</f>
        <v>13</v>
      </c>
      <c r="Q938" s="24">
        <f>COUNTIFS(B:B,B937)</f>
        <v>160</v>
      </c>
      <c r="R938" s="24">
        <f>COUNTIFS(D:D,C938)</f>
        <v>0</v>
      </c>
    </row>
    <row r="939" spans="1:18" x14ac:dyDescent="0.3">
      <c r="A939" s="14">
        <v>950</v>
      </c>
      <c r="B939" s="21" t="s">
        <v>742</v>
      </c>
      <c r="C939" s="21" t="s">
        <v>1684</v>
      </c>
      <c r="D939" s="21"/>
      <c r="E939" s="1" t="s">
        <v>440</v>
      </c>
      <c r="F939" s="21" t="s">
        <v>4</v>
      </c>
      <c r="G939" s="14">
        <v>1</v>
      </c>
      <c r="H939" s="14">
        <v>0</v>
      </c>
      <c r="I939" s="25">
        <v>206</v>
      </c>
      <c r="J939" s="23">
        <f>VLOOKUP(I939,episodes!$A$1:$B$81,2,FALSE)</f>
        <v>36</v>
      </c>
      <c r="K939" s="16" t="str">
        <f>VLOOKUP(I939,episodes!$A$1:$E$81,5,FALSE)</f>
        <v>The Doomsday Machine</v>
      </c>
      <c r="L939" s="16">
        <f>VLOOKUP(I939,episodes!$A$1:$D$81,3,FALSE)</f>
        <v>2</v>
      </c>
      <c r="M939" s="16">
        <f>VLOOKUP(I939,episodes!$A$1:$D$81,4,FALSE)</f>
        <v>6</v>
      </c>
      <c r="O939" s="14">
        <v>0</v>
      </c>
      <c r="P939" s="24">
        <f>LEN(E939)+LEN(K939)</f>
        <v>24</v>
      </c>
      <c r="Q939" s="24">
        <f>COUNTIFS(B:B,B938)</f>
        <v>160</v>
      </c>
      <c r="R939" s="24">
        <f>COUNTIFS(D:D,C939)</f>
        <v>0</v>
      </c>
    </row>
    <row r="940" spans="1:18" x14ac:dyDescent="0.3">
      <c r="A940" s="14">
        <v>959</v>
      </c>
      <c r="B940" s="21" t="s">
        <v>742</v>
      </c>
      <c r="C940" s="21" t="s">
        <v>1684</v>
      </c>
      <c r="D940" s="21"/>
      <c r="E940" s="1" t="s">
        <v>440</v>
      </c>
      <c r="F940" s="21" t="s">
        <v>4</v>
      </c>
      <c r="G940" s="14">
        <v>1</v>
      </c>
      <c r="H940" s="14">
        <v>0</v>
      </c>
      <c r="I940" s="25">
        <v>207</v>
      </c>
      <c r="J940" s="23">
        <f>VLOOKUP(I940,episodes!$A$1:$B$81,2,FALSE)</f>
        <v>37</v>
      </c>
      <c r="K940" s="16" t="str">
        <f>VLOOKUP(I940,episodes!$A$1:$E$81,5,FALSE)</f>
        <v>Catspaw</v>
      </c>
      <c r="L940" s="16">
        <f>VLOOKUP(I940,episodes!$A$1:$D$81,3,FALSE)</f>
        <v>2</v>
      </c>
      <c r="M940" s="16">
        <f>VLOOKUP(I940,episodes!$A$1:$D$81,4,FALSE)</f>
        <v>7</v>
      </c>
      <c r="O940" s="14">
        <v>0</v>
      </c>
      <c r="P940" s="24">
        <f>LEN(E940)+LEN(K940)</f>
        <v>11</v>
      </c>
      <c r="Q940" s="24">
        <f>COUNTIFS(B:B,B939)</f>
        <v>160</v>
      </c>
      <c r="R940" s="24">
        <f>COUNTIFS(D:D,C940)</f>
        <v>0</v>
      </c>
    </row>
    <row r="941" spans="1:18" x14ac:dyDescent="0.3">
      <c r="A941" s="14">
        <v>962</v>
      </c>
      <c r="B941" s="21" t="s">
        <v>742</v>
      </c>
      <c r="C941" s="21" t="s">
        <v>1684</v>
      </c>
      <c r="D941" s="21"/>
      <c r="E941" s="1" t="s">
        <v>440</v>
      </c>
      <c r="F941" s="21" t="s">
        <v>4</v>
      </c>
      <c r="G941" s="14">
        <v>1</v>
      </c>
      <c r="H941" s="14">
        <v>0</v>
      </c>
      <c r="I941" s="22">
        <v>208</v>
      </c>
      <c r="J941" s="23">
        <f>VLOOKUP(I941,episodes!$A$1:$B$81,2,FALSE)</f>
        <v>38</v>
      </c>
      <c r="K941" s="16" t="str">
        <f>VLOOKUP(I941,episodes!$A$1:$E$81,5,FALSE)</f>
        <v>I, Mudd</v>
      </c>
      <c r="L941" s="16">
        <f>VLOOKUP(I941,episodes!$A$1:$D$81,3,FALSE)</f>
        <v>2</v>
      </c>
      <c r="M941" s="16">
        <f>VLOOKUP(I941,episodes!$A$1:$D$81,4,FALSE)</f>
        <v>8</v>
      </c>
      <c r="O941" s="14">
        <v>0</v>
      </c>
      <c r="P941" s="24">
        <f>LEN(E941)+LEN(K941)</f>
        <v>11</v>
      </c>
      <c r="Q941" s="24">
        <f>COUNTIFS(B:B,B940)</f>
        <v>160</v>
      </c>
      <c r="R941" s="24">
        <f>COUNTIFS(D:D,C941)</f>
        <v>0</v>
      </c>
    </row>
    <row r="942" spans="1:18" x14ac:dyDescent="0.3">
      <c r="A942" s="14">
        <v>2935</v>
      </c>
      <c r="B942" s="21" t="s">
        <v>742</v>
      </c>
      <c r="C942" s="21" t="s">
        <v>1684</v>
      </c>
      <c r="E942" s="4" t="s">
        <v>4</v>
      </c>
      <c r="F942" s="21" t="s">
        <v>4</v>
      </c>
      <c r="G942" s="14">
        <v>1</v>
      </c>
      <c r="H942" s="14">
        <v>0</v>
      </c>
      <c r="I942" s="7">
        <v>211</v>
      </c>
      <c r="J942" s="23">
        <f>VLOOKUP(I942,episodes!$A$1:$B$81,2,FALSE)</f>
        <v>41</v>
      </c>
      <c r="K942" s="16" t="str">
        <f>VLOOKUP(I942,episodes!$A$1:$E$81,5,FALSE)</f>
        <v>Friday's Child</v>
      </c>
      <c r="L942" s="16">
        <f>VLOOKUP(I942,episodes!$A$1:$D$81,3,FALSE)</f>
        <v>2</v>
      </c>
      <c r="M942" s="16">
        <f>VLOOKUP(I942,episodes!$A$1:$D$81,4,FALSE)</f>
        <v>11</v>
      </c>
      <c r="O942" s="14">
        <v>0</v>
      </c>
      <c r="P942" s="24">
        <f>LEN(E942)+LEN(K942)</f>
        <v>18</v>
      </c>
      <c r="Q942" s="24"/>
      <c r="R942" s="24"/>
    </row>
    <row r="943" spans="1:18" x14ac:dyDescent="0.3">
      <c r="A943" s="14">
        <v>270</v>
      </c>
      <c r="B943" s="21" t="s">
        <v>742</v>
      </c>
      <c r="C943" s="21" t="s">
        <v>1684</v>
      </c>
      <c r="D943" s="21"/>
      <c r="E943" s="1" t="s">
        <v>1626</v>
      </c>
      <c r="F943" s="21" t="s">
        <v>56</v>
      </c>
      <c r="G943" s="14">
        <v>0</v>
      </c>
      <c r="H943" s="14">
        <v>0</v>
      </c>
      <c r="I943" s="25">
        <v>110</v>
      </c>
      <c r="J943" s="23">
        <f>VLOOKUP(I943,episodes!$A$1:$B$76,2,FALSE)</f>
        <v>11</v>
      </c>
      <c r="K943" s="16" t="str">
        <f>VLOOKUP(I943,episodes!$A$1:$E$81,5,FALSE)</f>
        <v>The Corbomite Maneuver</v>
      </c>
      <c r="L943" s="16">
        <f>VLOOKUP(I943,episodes!$A$1:$D$81,3,FALSE)</f>
        <v>1</v>
      </c>
      <c r="M943" s="16">
        <f>VLOOKUP(I943,episodes!$A$1:$D$81,4,FALSE)</f>
        <v>10</v>
      </c>
      <c r="O943" s="14">
        <v>0</v>
      </c>
      <c r="P943" s="24">
        <f>LEN(E943)+LEN(K943)</f>
        <v>32</v>
      </c>
      <c r="Q943" s="24">
        <f>COUNTIFS(B:B,B942)</f>
        <v>160</v>
      </c>
      <c r="R943" s="24">
        <f>COUNTIFS(D:D,C943)</f>
        <v>0</v>
      </c>
    </row>
    <row r="944" spans="1:18" x14ac:dyDescent="0.3">
      <c r="A944" s="14">
        <v>282</v>
      </c>
      <c r="B944" s="21" t="s">
        <v>742</v>
      </c>
      <c r="C944" s="21" t="s">
        <v>1684</v>
      </c>
      <c r="D944" s="21"/>
      <c r="E944" s="1" t="s">
        <v>1814</v>
      </c>
      <c r="F944" s="21" t="s">
        <v>46</v>
      </c>
      <c r="G944" s="14">
        <v>0</v>
      </c>
      <c r="H944" s="14">
        <v>0</v>
      </c>
      <c r="I944" s="22">
        <v>116</v>
      </c>
      <c r="J944" s="23">
        <f>VLOOKUP(I944,episodes!$A$1:$B$76,2,FALSE)</f>
        <v>17</v>
      </c>
      <c r="K944" s="16" t="str">
        <f>VLOOKUP(I944,episodes!$A$1:$E$81,5,FALSE)</f>
        <v>The Galileo Seven</v>
      </c>
      <c r="L944" s="16">
        <f>VLOOKUP(I944,episodes!$A$1:$D$81,3,FALSE)</f>
        <v>1</v>
      </c>
      <c r="M944" s="16">
        <f>VLOOKUP(I944,episodes!$A$1:$D$81,4,FALSE)</f>
        <v>16</v>
      </c>
      <c r="O944" s="14">
        <v>0</v>
      </c>
      <c r="P944" s="24">
        <f>LEN(E944)+LEN(K944)</f>
        <v>27</v>
      </c>
      <c r="Q944" s="24">
        <f>COUNTIFS(B:B,B943)</f>
        <v>160</v>
      </c>
      <c r="R944" s="24">
        <f>COUNTIFS(D:D,C944)</f>
        <v>0</v>
      </c>
    </row>
    <row r="945" spans="1:18" x14ac:dyDescent="0.3">
      <c r="A945" s="14">
        <v>1812</v>
      </c>
      <c r="B945" s="21" t="s">
        <v>742</v>
      </c>
      <c r="C945" s="21" t="s">
        <v>1684</v>
      </c>
      <c r="D945" s="21"/>
      <c r="E945" s="1" t="s">
        <v>863</v>
      </c>
      <c r="F945" s="21" t="s">
        <v>2233</v>
      </c>
      <c r="G945" s="14">
        <v>0</v>
      </c>
      <c r="H945" s="14">
        <v>0</v>
      </c>
      <c r="I945" s="22">
        <v>202</v>
      </c>
      <c r="J945" s="23">
        <f>VLOOKUP(I945,episodes!$A$1:$B$76,2,FALSE)</f>
        <v>32</v>
      </c>
      <c r="K945" s="16" t="str">
        <f>VLOOKUP(I945,episodes!$A$1:$E$81,5,FALSE)</f>
        <v>Who Mourns for Adonais?</v>
      </c>
      <c r="L945" s="16">
        <f>VLOOKUP(I945,episodes!$A$1:$D$81,3,FALSE)</f>
        <v>2</v>
      </c>
      <c r="M945" s="16">
        <f>VLOOKUP(I945,episodes!$A$1:$D$81,4,FALSE)</f>
        <v>2</v>
      </c>
      <c r="O945" s="14">
        <v>0</v>
      </c>
      <c r="P945" s="24">
        <f>LEN(E945)+LEN(K945)</f>
        <v>43</v>
      </c>
      <c r="Q945" s="24">
        <f>COUNTIFS(B:B,B944)</f>
        <v>160</v>
      </c>
      <c r="R945" s="24">
        <f>COUNTIFS(D:D,C945)</f>
        <v>0</v>
      </c>
    </row>
    <row r="946" spans="1:18" x14ac:dyDescent="0.3">
      <c r="A946" s="14">
        <v>311</v>
      </c>
      <c r="B946" s="21" t="s">
        <v>742</v>
      </c>
      <c r="C946" s="21" t="s">
        <v>1684</v>
      </c>
      <c r="D946" s="21"/>
      <c r="E946" s="1" t="s">
        <v>2528</v>
      </c>
      <c r="F946" s="21" t="s">
        <v>56</v>
      </c>
      <c r="G946" s="14">
        <v>0</v>
      </c>
      <c r="H946" s="14">
        <v>0</v>
      </c>
      <c r="I946" s="22">
        <v>123</v>
      </c>
      <c r="J946" s="23">
        <f>VLOOKUP(I946,episodes!$A$1:$B$76,2,FALSE)</f>
        <v>24</v>
      </c>
      <c r="K946" s="16" t="str">
        <f>VLOOKUP(I946,episodes!$A$1:$E$81,5,FALSE)</f>
        <v>A Taste of Armageddon</v>
      </c>
      <c r="L946" s="16">
        <f>VLOOKUP(I946,episodes!$A$1:$D$81,3,FALSE)</f>
        <v>1</v>
      </c>
      <c r="M946" s="16">
        <f>VLOOKUP(I946,episodes!$A$1:$D$81,4,FALSE)</f>
        <v>23</v>
      </c>
      <c r="O946" s="14">
        <v>0</v>
      </c>
      <c r="P946" s="24">
        <f>LEN(E946)+LEN(K946)</f>
        <v>31</v>
      </c>
      <c r="Q946" s="24">
        <f>COUNTIFS(B:B,B945)</f>
        <v>160</v>
      </c>
      <c r="R946" s="24">
        <f>COUNTIFS(D:D,C946)</f>
        <v>0</v>
      </c>
    </row>
    <row r="947" spans="1:18" x14ac:dyDescent="0.3">
      <c r="A947" s="14">
        <v>320</v>
      </c>
      <c r="B947" s="21" t="s">
        <v>742</v>
      </c>
      <c r="C947" s="21" t="s">
        <v>1684</v>
      </c>
      <c r="D947" s="21"/>
      <c r="E947" s="1" t="s">
        <v>2529</v>
      </c>
      <c r="F947" s="21" t="s">
        <v>56</v>
      </c>
      <c r="G947" s="14">
        <v>0</v>
      </c>
      <c r="H947" s="14">
        <v>0</v>
      </c>
      <c r="I947" s="22">
        <v>124</v>
      </c>
      <c r="J947" s="23">
        <f>VLOOKUP(I947,episodes!$A$1:$B$76,2,FALSE)</f>
        <v>25</v>
      </c>
      <c r="K947" s="16" t="str">
        <f>VLOOKUP(I947,episodes!$A$1:$E$81,5,FALSE)</f>
        <v>This Side of Paradise</v>
      </c>
      <c r="L947" s="16">
        <f>VLOOKUP(I947,episodes!$A$1:$D$81,3,FALSE)</f>
        <v>1</v>
      </c>
      <c r="M947" s="16">
        <f>VLOOKUP(I947,episodes!$A$1:$D$81,4,FALSE)</f>
        <v>24</v>
      </c>
      <c r="O947" s="14">
        <v>0</v>
      </c>
      <c r="P947" s="24">
        <f>LEN(E947)+LEN(K947)</f>
        <v>32</v>
      </c>
      <c r="Q947" s="24">
        <f>COUNTIFS(B:B,B946)</f>
        <v>160</v>
      </c>
      <c r="R947" s="24">
        <f>COUNTIFS(D:D,C947)</f>
        <v>0</v>
      </c>
    </row>
    <row r="948" spans="1:18" x14ac:dyDescent="0.3">
      <c r="A948" s="14">
        <v>312</v>
      </c>
      <c r="B948" s="21" t="s">
        <v>742</v>
      </c>
      <c r="C948" s="21" t="s">
        <v>1684</v>
      </c>
      <c r="D948" s="21"/>
      <c r="E948" s="1" t="s">
        <v>2530</v>
      </c>
      <c r="F948" s="21" t="s">
        <v>45</v>
      </c>
      <c r="G948" s="14">
        <v>0</v>
      </c>
      <c r="H948" s="14">
        <v>0</v>
      </c>
      <c r="I948" s="22">
        <v>123</v>
      </c>
      <c r="J948" s="23">
        <f>VLOOKUP(I948,episodes!$A$1:$B$76,2,FALSE)</f>
        <v>24</v>
      </c>
      <c r="K948" s="16" t="str">
        <f>VLOOKUP(I948,episodes!$A$1:$E$81,5,FALSE)</f>
        <v>A Taste of Armageddon</v>
      </c>
      <c r="L948" s="16">
        <f>VLOOKUP(I948,episodes!$A$1:$D$81,3,FALSE)</f>
        <v>1</v>
      </c>
      <c r="M948" s="16">
        <f>VLOOKUP(I948,episodes!$A$1:$D$81,4,FALSE)</f>
        <v>23</v>
      </c>
      <c r="O948" s="14">
        <v>0</v>
      </c>
      <c r="P948" s="24">
        <f>LEN(E948)+LEN(K948)</f>
        <v>33</v>
      </c>
      <c r="Q948" s="24">
        <f>COUNTIFS(B:B,B947)</f>
        <v>160</v>
      </c>
      <c r="R948" s="24">
        <f>COUNTIFS(D:D,C948)</f>
        <v>0</v>
      </c>
    </row>
    <row r="949" spans="1:18" x14ac:dyDescent="0.3">
      <c r="A949" s="14">
        <v>290</v>
      </c>
      <c r="B949" s="21" t="s">
        <v>742</v>
      </c>
      <c r="C949" s="21" t="s">
        <v>1684</v>
      </c>
      <c r="D949" s="21"/>
      <c r="E949" s="1" t="s">
        <v>2531</v>
      </c>
      <c r="F949" s="21" t="s">
        <v>46</v>
      </c>
      <c r="G949" s="14">
        <v>0</v>
      </c>
      <c r="H949" s="14">
        <v>0</v>
      </c>
      <c r="I949" s="22">
        <v>118</v>
      </c>
      <c r="J949" s="23">
        <f>VLOOKUP(I949,episodes!$A$1:$B$76,2,FALSE)</f>
        <v>19</v>
      </c>
      <c r="K949" s="16" t="str">
        <f>VLOOKUP(I949,episodes!$A$1:$E$81,5,FALSE)</f>
        <v>Arena</v>
      </c>
      <c r="L949" s="16">
        <f>VLOOKUP(I949,episodes!$A$1:$D$81,3,FALSE)</f>
        <v>1</v>
      </c>
      <c r="M949" s="16">
        <f>VLOOKUP(I949,episodes!$A$1:$D$81,4,FALSE)</f>
        <v>18</v>
      </c>
      <c r="O949" s="14">
        <v>0</v>
      </c>
      <c r="P949" s="24">
        <f>LEN(E949)+LEN(K949)</f>
        <v>17</v>
      </c>
      <c r="Q949" s="24">
        <f>COUNTIFS(B:B,B948)</f>
        <v>160</v>
      </c>
      <c r="R949" s="24">
        <f>COUNTIFS(D:D,C949)</f>
        <v>0</v>
      </c>
    </row>
    <row r="950" spans="1:18" x14ac:dyDescent="0.3">
      <c r="A950" s="14">
        <v>321</v>
      </c>
      <c r="B950" s="21" t="s">
        <v>742</v>
      </c>
      <c r="C950" s="21" t="s">
        <v>1684</v>
      </c>
      <c r="D950" s="21"/>
      <c r="E950" s="1" t="s">
        <v>2531</v>
      </c>
      <c r="F950" s="21" t="s">
        <v>46</v>
      </c>
      <c r="G950" s="14">
        <v>0</v>
      </c>
      <c r="H950" s="14">
        <v>0</v>
      </c>
      <c r="I950" s="22">
        <v>124</v>
      </c>
      <c r="J950" s="23">
        <f>VLOOKUP(I950,episodes!$A$1:$B$76,2,FALSE)</f>
        <v>25</v>
      </c>
      <c r="K950" s="16" t="str">
        <f>VLOOKUP(I950,episodes!$A$1:$E$81,5,FALSE)</f>
        <v>This Side of Paradise</v>
      </c>
      <c r="L950" s="16">
        <f>VLOOKUP(I950,episodes!$A$1:$D$81,3,FALSE)</f>
        <v>1</v>
      </c>
      <c r="M950" s="16">
        <f>VLOOKUP(I950,episodes!$A$1:$D$81,4,FALSE)</f>
        <v>24</v>
      </c>
      <c r="O950" s="14">
        <v>0</v>
      </c>
      <c r="P950" s="24">
        <f>LEN(E950)+LEN(K950)</f>
        <v>33</v>
      </c>
      <c r="Q950" s="24">
        <f>COUNTIFS(B:B,B949)</f>
        <v>160</v>
      </c>
      <c r="R950" s="24">
        <f>COUNTIFS(D:D,C950)</f>
        <v>0</v>
      </c>
    </row>
    <row r="951" spans="1:18" x14ac:dyDescent="0.3">
      <c r="A951" s="14">
        <v>370</v>
      </c>
      <c r="B951" s="21" t="s">
        <v>742</v>
      </c>
      <c r="C951" s="21" t="s">
        <v>1684</v>
      </c>
      <c r="D951" s="21"/>
      <c r="E951" s="1" t="s">
        <v>929</v>
      </c>
      <c r="F951" s="21" t="s">
        <v>46</v>
      </c>
      <c r="G951" s="14">
        <v>0</v>
      </c>
      <c r="H951" s="14">
        <v>0</v>
      </c>
      <c r="I951" s="25">
        <v>206</v>
      </c>
      <c r="J951" s="23">
        <f>VLOOKUP(I951,episodes!$A$1:$B$81,2,FALSE)</f>
        <v>36</v>
      </c>
      <c r="K951" s="16" t="str">
        <f>VLOOKUP(I951,episodes!$A$1:$E$81,5,FALSE)</f>
        <v>The Doomsday Machine</v>
      </c>
      <c r="L951" s="16">
        <f>VLOOKUP(I951,episodes!$A$1:$D$81,3,FALSE)</f>
        <v>2</v>
      </c>
      <c r="M951" s="16">
        <f>VLOOKUP(I951,episodes!$A$1:$D$81,4,FALSE)</f>
        <v>6</v>
      </c>
      <c r="O951" s="14">
        <v>0</v>
      </c>
      <c r="P951" s="24">
        <f>LEN(E951)+LEN(K951)</f>
        <v>32</v>
      </c>
      <c r="Q951" s="24">
        <f>COUNTIFS(B:B,B950)</f>
        <v>160</v>
      </c>
      <c r="R951" s="24">
        <f>COUNTIFS(D:D,C951)</f>
        <v>0</v>
      </c>
    </row>
    <row r="952" spans="1:18" x14ac:dyDescent="0.3">
      <c r="A952" s="14">
        <v>1524</v>
      </c>
      <c r="B952" s="21" t="s">
        <v>742</v>
      </c>
      <c r="C952" s="21" t="s">
        <v>1684</v>
      </c>
      <c r="D952" s="21"/>
      <c r="E952" s="1" t="s">
        <v>443</v>
      </c>
      <c r="F952" s="21" t="s">
        <v>8</v>
      </c>
      <c r="G952" s="14">
        <v>0</v>
      </c>
      <c r="H952" s="14">
        <v>1</v>
      </c>
      <c r="I952" s="25">
        <v>101</v>
      </c>
      <c r="J952" s="23">
        <f>VLOOKUP(I952,episodes!$A$1:$B$76,2,FALSE)</f>
        <v>2</v>
      </c>
      <c r="K952" s="16" t="str">
        <f>VLOOKUP(I952,episodes!$A$1:$E$81,5,FALSE)</f>
        <v>The Man Trap</v>
      </c>
      <c r="L952" s="16">
        <f>VLOOKUP(I952,episodes!$A$1:$D$81,3,FALSE)</f>
        <v>1</v>
      </c>
      <c r="M952" s="16">
        <f>VLOOKUP(I952,episodes!$A$1:$D$81,4,FALSE)</f>
        <v>1</v>
      </c>
      <c r="O952" s="14">
        <v>0</v>
      </c>
      <c r="P952" s="24">
        <f>LEN(E952)+LEN(K952)</f>
        <v>17</v>
      </c>
      <c r="Q952" s="24">
        <f>COUNTIFS(B:B,B951)</f>
        <v>160</v>
      </c>
      <c r="R952" s="24">
        <f>COUNTIFS(D:D,C952)</f>
        <v>0</v>
      </c>
    </row>
    <row r="953" spans="1:18" x14ac:dyDescent="0.3">
      <c r="A953" s="14">
        <v>1552</v>
      </c>
      <c r="B953" s="21" t="s">
        <v>742</v>
      </c>
      <c r="C953" s="21" t="s">
        <v>1684</v>
      </c>
      <c r="D953" s="21"/>
      <c r="E953" s="1" t="s">
        <v>443</v>
      </c>
      <c r="F953" s="21" t="s">
        <v>8</v>
      </c>
      <c r="G953" s="14">
        <v>0</v>
      </c>
      <c r="H953" s="14">
        <v>1</v>
      </c>
      <c r="I953" s="25">
        <v>108</v>
      </c>
      <c r="J953" s="23">
        <f>VLOOKUP(I953,episodes!$A$1:$B$76,2,FALSE)</f>
        <v>9</v>
      </c>
      <c r="K953" s="16" t="str">
        <f>VLOOKUP(I953,episodes!$A$1:$E$81,5,FALSE)</f>
        <v>Miri</v>
      </c>
      <c r="L953" s="16">
        <f>VLOOKUP(I953,episodes!$A$1:$D$81,3,FALSE)</f>
        <v>1</v>
      </c>
      <c r="M953" s="16">
        <f>VLOOKUP(I953,episodes!$A$1:$D$81,4,FALSE)</f>
        <v>8</v>
      </c>
      <c r="O953" s="14">
        <v>0</v>
      </c>
      <c r="P953" s="24">
        <f>LEN(E953)+LEN(K953)</f>
        <v>9</v>
      </c>
      <c r="Q953" s="24">
        <f>COUNTIFS(B:B,B952)</f>
        <v>160</v>
      </c>
      <c r="R953" s="24">
        <f>COUNTIFS(D:D,C953)</f>
        <v>0</v>
      </c>
    </row>
    <row r="954" spans="1:18" x14ac:dyDescent="0.3">
      <c r="A954" s="14">
        <v>1559</v>
      </c>
      <c r="B954" s="21" t="s">
        <v>742</v>
      </c>
      <c r="C954" s="21" t="s">
        <v>1684</v>
      </c>
      <c r="D954" s="21"/>
      <c r="E954" s="1" t="s">
        <v>443</v>
      </c>
      <c r="F954" s="21" t="s">
        <v>8</v>
      </c>
      <c r="G954" s="14">
        <v>0</v>
      </c>
      <c r="H954" s="14">
        <v>1</v>
      </c>
      <c r="I954" s="25">
        <v>110</v>
      </c>
      <c r="J954" s="23">
        <f>VLOOKUP(I954,episodes!$A$1:$B$76,2,FALSE)</f>
        <v>11</v>
      </c>
      <c r="K954" s="16" t="str">
        <f>VLOOKUP(I954,episodes!$A$1:$E$81,5,FALSE)</f>
        <v>The Corbomite Maneuver</v>
      </c>
      <c r="L954" s="16">
        <f>VLOOKUP(I954,episodes!$A$1:$D$81,3,FALSE)</f>
        <v>1</v>
      </c>
      <c r="M954" s="16">
        <f>VLOOKUP(I954,episodes!$A$1:$D$81,4,FALSE)</f>
        <v>10</v>
      </c>
      <c r="O954" s="14">
        <v>0</v>
      </c>
      <c r="P954" s="24">
        <f>LEN(E954)+LEN(K954)</f>
        <v>27</v>
      </c>
      <c r="Q954" s="24">
        <f>COUNTIFS(B:B,B953)</f>
        <v>160</v>
      </c>
      <c r="R954" s="24">
        <f>COUNTIFS(D:D,C954)</f>
        <v>0</v>
      </c>
    </row>
    <row r="955" spans="1:18" x14ac:dyDescent="0.3">
      <c r="A955" s="14">
        <v>1573</v>
      </c>
      <c r="B955" s="21" t="s">
        <v>742</v>
      </c>
      <c r="C955" s="21" t="s">
        <v>1684</v>
      </c>
      <c r="D955" s="21"/>
      <c r="E955" s="1" t="s">
        <v>443</v>
      </c>
      <c r="F955" s="21" t="s">
        <v>8</v>
      </c>
      <c r="G955" s="14">
        <v>0</v>
      </c>
      <c r="H955" s="14">
        <v>1</v>
      </c>
      <c r="I955" s="22">
        <v>116</v>
      </c>
      <c r="J955" s="23">
        <f>VLOOKUP(I955,episodes!$A$1:$B$76,2,FALSE)</f>
        <v>17</v>
      </c>
      <c r="K955" s="16" t="str">
        <f>VLOOKUP(I955,episodes!$A$1:$E$81,5,FALSE)</f>
        <v>The Galileo Seven</v>
      </c>
      <c r="L955" s="16">
        <f>VLOOKUP(I955,episodes!$A$1:$D$81,3,FALSE)</f>
        <v>1</v>
      </c>
      <c r="M955" s="16">
        <f>VLOOKUP(I955,episodes!$A$1:$D$81,4,FALSE)</f>
        <v>16</v>
      </c>
      <c r="O955" s="14">
        <v>0</v>
      </c>
      <c r="P955" s="24">
        <f>LEN(E955)+LEN(K955)</f>
        <v>22</v>
      </c>
      <c r="Q955" s="24">
        <f>COUNTIFS(B:B,B954)</f>
        <v>160</v>
      </c>
      <c r="R955" s="24">
        <f>COUNTIFS(D:D,C955)</f>
        <v>0</v>
      </c>
    </row>
    <row r="956" spans="1:18" x14ac:dyDescent="0.3">
      <c r="A956" s="14">
        <v>1584</v>
      </c>
      <c r="B956" s="21" t="s">
        <v>742</v>
      </c>
      <c r="C956" s="21" t="s">
        <v>1684</v>
      </c>
      <c r="D956" s="21"/>
      <c r="E956" s="1" t="s">
        <v>443</v>
      </c>
      <c r="F956" s="21" t="s">
        <v>8</v>
      </c>
      <c r="G956" s="14">
        <v>0</v>
      </c>
      <c r="H956" s="14">
        <v>1</v>
      </c>
      <c r="I956" s="22">
        <v>121</v>
      </c>
      <c r="J956" s="23">
        <f>VLOOKUP(I956,episodes!$A$1:$B$76,2,FALSE)</f>
        <v>22</v>
      </c>
      <c r="K956" s="16" t="str">
        <f>VLOOKUP(I956,episodes!$A$1:$E$81,5,FALSE)</f>
        <v>The Return of the Archons</v>
      </c>
      <c r="L956" s="16">
        <f>VLOOKUP(I956,episodes!$A$1:$D$81,3,FALSE)</f>
        <v>1</v>
      </c>
      <c r="M956" s="16">
        <f>VLOOKUP(I956,episodes!$A$1:$D$81,4,FALSE)</f>
        <v>21</v>
      </c>
      <c r="O956" s="14">
        <v>0</v>
      </c>
      <c r="P956" s="24">
        <f>LEN(E956)+LEN(K956)</f>
        <v>30</v>
      </c>
      <c r="Q956" s="24">
        <f>COUNTIFS(B:B,B955)</f>
        <v>160</v>
      </c>
      <c r="R956" s="24">
        <f>COUNTIFS(D:D,C956)</f>
        <v>0</v>
      </c>
    </row>
    <row r="957" spans="1:18" x14ac:dyDescent="0.3">
      <c r="A957" s="14">
        <v>1603</v>
      </c>
      <c r="B957" s="21" t="s">
        <v>742</v>
      </c>
      <c r="C957" s="21" t="s">
        <v>1684</v>
      </c>
      <c r="D957" s="21"/>
      <c r="E957" s="1" t="s">
        <v>443</v>
      </c>
      <c r="F957" s="21" t="s">
        <v>8</v>
      </c>
      <c r="G957" s="14">
        <v>0</v>
      </c>
      <c r="H957" s="14">
        <v>1</v>
      </c>
      <c r="I957" s="22">
        <v>124</v>
      </c>
      <c r="J957" s="23">
        <f>VLOOKUP(I957,episodes!$A$1:$B$76,2,FALSE)</f>
        <v>25</v>
      </c>
      <c r="K957" s="16" t="str">
        <f>VLOOKUP(I957,episodes!$A$1:$E$81,5,FALSE)</f>
        <v>This Side of Paradise</v>
      </c>
      <c r="L957" s="16">
        <f>VLOOKUP(I957,episodes!$A$1:$D$81,3,FALSE)</f>
        <v>1</v>
      </c>
      <c r="M957" s="16">
        <f>VLOOKUP(I957,episodes!$A$1:$D$81,4,FALSE)</f>
        <v>24</v>
      </c>
      <c r="O957" s="14">
        <v>0</v>
      </c>
      <c r="P957" s="24">
        <f>LEN(E957)+LEN(K957)</f>
        <v>26</v>
      </c>
      <c r="Q957" s="24">
        <f>COUNTIFS(B:B,B956)</f>
        <v>160</v>
      </c>
      <c r="R957" s="24">
        <f>COUNTIFS(D:D,C957)</f>
        <v>0</v>
      </c>
    </row>
    <row r="958" spans="1:18" x14ac:dyDescent="0.3">
      <c r="A958" s="14">
        <v>1608</v>
      </c>
      <c r="B958" s="21" t="s">
        <v>742</v>
      </c>
      <c r="C958" s="21" t="s">
        <v>1684</v>
      </c>
      <c r="D958" s="21"/>
      <c r="E958" s="1" t="s">
        <v>443</v>
      </c>
      <c r="F958" s="21" t="s">
        <v>8</v>
      </c>
      <c r="G958" s="14">
        <v>0</v>
      </c>
      <c r="H958" s="14">
        <v>1</v>
      </c>
      <c r="I958" s="22">
        <v>125</v>
      </c>
      <c r="J958" s="23">
        <f>VLOOKUP(I958,episodes!$A$1:$B$76,2,FALSE)</f>
        <v>26</v>
      </c>
      <c r="K958" s="16" t="str">
        <f>VLOOKUP(I958,episodes!$A$1:$E$81,5,FALSE)</f>
        <v>The Devil in the Dark</v>
      </c>
      <c r="L958" s="16">
        <f>VLOOKUP(I958,episodes!$A$1:$D$81,3,FALSE)</f>
        <v>1</v>
      </c>
      <c r="M958" s="16">
        <f>VLOOKUP(I958,episodes!$A$1:$D$81,4,FALSE)</f>
        <v>25</v>
      </c>
      <c r="O958" s="14">
        <v>0</v>
      </c>
      <c r="P958" s="24">
        <f>LEN(E958)+LEN(K958)</f>
        <v>26</v>
      </c>
      <c r="Q958" s="24">
        <f>COUNTIFS(B:B,B957)</f>
        <v>160</v>
      </c>
      <c r="R958" s="24">
        <f>COUNTIFS(D:D,C958)</f>
        <v>0</v>
      </c>
    </row>
    <row r="959" spans="1:18" x14ac:dyDescent="0.3">
      <c r="A959" s="14">
        <v>1622</v>
      </c>
      <c r="B959" s="21" t="s">
        <v>742</v>
      </c>
      <c r="C959" s="21" t="s">
        <v>1684</v>
      </c>
      <c r="D959" s="21"/>
      <c r="E959" s="1" t="s">
        <v>443</v>
      </c>
      <c r="F959" s="21" t="s">
        <v>8</v>
      </c>
      <c r="G959" s="14">
        <v>0</v>
      </c>
      <c r="H959" s="14">
        <v>1</v>
      </c>
      <c r="I959" s="22">
        <v>129</v>
      </c>
      <c r="J959" s="23">
        <f>VLOOKUP(I959,episodes!$A$1:$B$76,2,FALSE)</f>
        <v>30</v>
      </c>
      <c r="K959" s="16" t="str">
        <f>VLOOKUP(I959,episodes!$A$1:$E$81,5,FALSE)</f>
        <v>Operation: Annihilate!</v>
      </c>
      <c r="L959" s="16">
        <f>VLOOKUP(I959,episodes!$A$1:$D$81,3,FALSE)</f>
        <v>1</v>
      </c>
      <c r="M959" s="16">
        <f>VLOOKUP(I959,episodes!$A$1:$D$81,4,FALSE)</f>
        <v>29</v>
      </c>
      <c r="O959" s="14">
        <v>0</v>
      </c>
      <c r="P959" s="24">
        <f>LEN(E959)+LEN(K959)</f>
        <v>27</v>
      </c>
      <c r="Q959" s="24">
        <f>COUNTIFS(B:B,B958)</f>
        <v>160</v>
      </c>
      <c r="R959" s="24">
        <f>COUNTIFS(D:D,C959)</f>
        <v>0</v>
      </c>
    </row>
    <row r="960" spans="1:18" x14ac:dyDescent="0.3">
      <c r="A960" s="14">
        <v>1632</v>
      </c>
      <c r="B960" s="21" t="s">
        <v>742</v>
      </c>
      <c r="C960" s="21" t="s">
        <v>1684</v>
      </c>
      <c r="D960" s="21"/>
      <c r="E960" s="1" t="s">
        <v>443</v>
      </c>
      <c r="F960" s="21" t="s">
        <v>8</v>
      </c>
      <c r="G960" s="14">
        <v>0</v>
      </c>
      <c r="H960" s="14">
        <v>1</v>
      </c>
      <c r="I960" s="22">
        <v>201</v>
      </c>
      <c r="J960" s="23">
        <f>VLOOKUP(I960,episodes!$A$1:$B$76,2,FALSE)</f>
        <v>31</v>
      </c>
      <c r="K960" s="16" t="str">
        <f>VLOOKUP(I960,episodes!$A$1:$E$81,5,FALSE)</f>
        <v>Amok Time</v>
      </c>
      <c r="L960" s="16">
        <f>VLOOKUP(I960,episodes!$A$1:$D$81,3,FALSE)</f>
        <v>2</v>
      </c>
      <c r="M960" s="16">
        <f>VLOOKUP(I960,episodes!$A$1:$D$81,4,FALSE)</f>
        <v>1</v>
      </c>
      <c r="O960" s="14">
        <v>0</v>
      </c>
      <c r="P960" s="24">
        <f>LEN(E960)+LEN(K960)</f>
        <v>14</v>
      </c>
      <c r="Q960" s="24">
        <f>COUNTIFS(B:B,B959)</f>
        <v>160</v>
      </c>
      <c r="R960" s="24">
        <f>COUNTIFS(D:D,C960)</f>
        <v>0</v>
      </c>
    </row>
    <row r="961" spans="1:18" x14ac:dyDescent="0.3">
      <c r="A961" s="14">
        <v>1638</v>
      </c>
      <c r="B961" s="21" t="s">
        <v>742</v>
      </c>
      <c r="C961" s="21" t="s">
        <v>1684</v>
      </c>
      <c r="D961" s="21"/>
      <c r="E961" s="1" t="s">
        <v>443</v>
      </c>
      <c r="F961" s="21" t="s">
        <v>8</v>
      </c>
      <c r="G961" s="14">
        <v>0</v>
      </c>
      <c r="H961" s="14">
        <v>1</v>
      </c>
      <c r="I961" s="22">
        <v>202</v>
      </c>
      <c r="J961" s="23">
        <f>VLOOKUP(I961,episodes!$A$1:$B$76,2,FALSE)</f>
        <v>32</v>
      </c>
      <c r="K961" s="16" t="str">
        <f>VLOOKUP(I961,episodes!$A$1:$E$81,5,FALSE)</f>
        <v>Who Mourns for Adonais?</v>
      </c>
      <c r="L961" s="16">
        <f>VLOOKUP(I961,episodes!$A$1:$D$81,3,FALSE)</f>
        <v>2</v>
      </c>
      <c r="M961" s="16">
        <f>VLOOKUP(I961,episodes!$A$1:$D$81,4,FALSE)</f>
        <v>2</v>
      </c>
      <c r="O961" s="14">
        <v>0</v>
      </c>
      <c r="P961" s="24">
        <f>LEN(E961)+LEN(K961)</f>
        <v>28</v>
      </c>
      <c r="Q961" s="24">
        <f>COUNTIFS(B:B,B960)</f>
        <v>160</v>
      </c>
      <c r="R961" s="24">
        <f>COUNTIFS(D:D,C961)</f>
        <v>0</v>
      </c>
    </row>
    <row r="962" spans="1:18" x14ac:dyDescent="0.3">
      <c r="A962" s="14">
        <v>1643</v>
      </c>
      <c r="B962" s="21" t="s">
        <v>742</v>
      </c>
      <c r="C962" s="21" t="s">
        <v>1684</v>
      </c>
      <c r="D962" s="21"/>
      <c r="E962" s="1" t="s">
        <v>443</v>
      </c>
      <c r="F962" s="21" t="s">
        <v>8</v>
      </c>
      <c r="G962" s="14">
        <v>0</v>
      </c>
      <c r="H962" s="14">
        <v>1</v>
      </c>
      <c r="I962" s="25">
        <v>204</v>
      </c>
      <c r="J962" s="23">
        <f>VLOOKUP(I962,episodes!$A$1:$B$81,2,FALSE)</f>
        <v>34</v>
      </c>
      <c r="K962" s="16" t="str">
        <f>VLOOKUP(I962,episodes!$A$1:$E$81,5,FALSE)</f>
        <v>Mirror, Mirror</v>
      </c>
      <c r="L962" s="16">
        <f>VLOOKUP(I962,episodes!$A$1:$D$81,3,FALSE)</f>
        <v>2</v>
      </c>
      <c r="M962" s="16">
        <f>VLOOKUP(I962,episodes!$A$1:$D$81,4,FALSE)</f>
        <v>4</v>
      </c>
      <c r="O962" s="14">
        <v>0</v>
      </c>
      <c r="P962" s="24">
        <f>LEN(E962)+LEN(K962)</f>
        <v>19</v>
      </c>
      <c r="Q962" s="24">
        <f>COUNTIFS(B:B,B961)</f>
        <v>160</v>
      </c>
      <c r="R962" s="24">
        <f>COUNTIFS(D:D,C962)</f>
        <v>0</v>
      </c>
    </row>
    <row r="963" spans="1:18" x14ac:dyDescent="0.3">
      <c r="A963" s="14">
        <v>1647</v>
      </c>
      <c r="B963" s="21" t="s">
        <v>742</v>
      </c>
      <c r="C963" s="21" t="s">
        <v>1684</v>
      </c>
      <c r="D963" s="21"/>
      <c r="E963" s="1" t="s">
        <v>443</v>
      </c>
      <c r="F963" s="21" t="s">
        <v>8</v>
      </c>
      <c r="G963" s="14">
        <v>0</v>
      </c>
      <c r="H963" s="14">
        <v>1</v>
      </c>
      <c r="I963" s="25">
        <v>205</v>
      </c>
      <c r="J963" s="23">
        <f>VLOOKUP(I963,episodes!$A$1:$B$81,2,FALSE)</f>
        <v>35</v>
      </c>
      <c r="K963" s="16" t="str">
        <f>VLOOKUP(I963,episodes!$A$1:$E$81,5,FALSE)</f>
        <v>The Apple</v>
      </c>
      <c r="L963" s="16">
        <f>VLOOKUP(I963,episodes!$A$1:$D$81,3,FALSE)</f>
        <v>2</v>
      </c>
      <c r="M963" s="16">
        <f>VLOOKUP(I963,episodes!$A$1:$D$81,4,FALSE)</f>
        <v>5</v>
      </c>
      <c r="O963" s="14">
        <v>0</v>
      </c>
      <c r="P963" s="24">
        <f>LEN(E963)+LEN(K963)</f>
        <v>14</v>
      </c>
      <c r="Q963" s="24">
        <f>COUNTIFS(B:B,B962)</f>
        <v>160</v>
      </c>
      <c r="R963" s="24">
        <f>COUNTIFS(D:D,C963)</f>
        <v>0</v>
      </c>
    </row>
    <row r="964" spans="1:18" x14ac:dyDescent="0.3">
      <c r="A964" s="14">
        <v>1650</v>
      </c>
      <c r="B964" s="21" t="s">
        <v>742</v>
      </c>
      <c r="C964" s="21" t="s">
        <v>1684</v>
      </c>
      <c r="D964" s="21"/>
      <c r="E964" s="1" t="s">
        <v>443</v>
      </c>
      <c r="F964" s="21" t="s">
        <v>8</v>
      </c>
      <c r="G964" s="14">
        <v>0</v>
      </c>
      <c r="H964" s="14">
        <v>1</v>
      </c>
      <c r="I964" s="25">
        <v>206</v>
      </c>
      <c r="J964" s="23">
        <f>VLOOKUP(I964,episodes!$A$1:$B$81,2,FALSE)</f>
        <v>36</v>
      </c>
      <c r="K964" s="16" t="str">
        <f>VLOOKUP(I964,episodes!$A$1:$E$81,5,FALSE)</f>
        <v>The Doomsday Machine</v>
      </c>
      <c r="L964" s="16">
        <f>VLOOKUP(I964,episodes!$A$1:$D$81,3,FALSE)</f>
        <v>2</v>
      </c>
      <c r="M964" s="16">
        <f>VLOOKUP(I964,episodes!$A$1:$D$81,4,FALSE)</f>
        <v>6</v>
      </c>
      <c r="O964" s="14">
        <v>0</v>
      </c>
      <c r="P964" s="24">
        <f>LEN(E964)+LEN(K964)</f>
        <v>25</v>
      </c>
      <c r="Q964" s="24">
        <f>COUNTIFS(B:B,B963)</f>
        <v>160</v>
      </c>
      <c r="R964" s="24">
        <f>COUNTIFS(D:D,C964)</f>
        <v>0</v>
      </c>
    </row>
    <row r="965" spans="1:18" x14ac:dyDescent="0.3">
      <c r="A965" s="14">
        <v>1653</v>
      </c>
      <c r="B965" s="21" t="s">
        <v>742</v>
      </c>
      <c r="C965" s="21" t="s">
        <v>1684</v>
      </c>
      <c r="D965" s="21"/>
      <c r="E965" s="1" t="s">
        <v>443</v>
      </c>
      <c r="F965" s="21" t="s">
        <v>8</v>
      </c>
      <c r="G965" s="14">
        <v>0</v>
      </c>
      <c r="H965" s="14">
        <v>1</v>
      </c>
      <c r="I965" s="25">
        <v>207</v>
      </c>
      <c r="J965" s="23">
        <f>VLOOKUP(I965,episodes!$A$1:$B$81,2,FALSE)</f>
        <v>37</v>
      </c>
      <c r="K965" s="16" t="str">
        <f>VLOOKUP(I965,episodes!$A$1:$E$81,5,FALSE)</f>
        <v>Catspaw</v>
      </c>
      <c r="L965" s="16">
        <f>VLOOKUP(I965,episodes!$A$1:$D$81,3,FALSE)</f>
        <v>2</v>
      </c>
      <c r="M965" s="16">
        <f>VLOOKUP(I965,episodes!$A$1:$D$81,4,FALSE)</f>
        <v>7</v>
      </c>
      <c r="O965" s="14">
        <v>0</v>
      </c>
      <c r="P965" s="24">
        <f>LEN(E965)+LEN(K965)</f>
        <v>12</v>
      </c>
      <c r="Q965" s="24">
        <f>COUNTIFS(B:B,B964)</f>
        <v>160</v>
      </c>
      <c r="R965" s="24">
        <f>COUNTIFS(D:D,C965)</f>
        <v>0</v>
      </c>
    </row>
    <row r="966" spans="1:18" x14ac:dyDescent="0.3">
      <c r="A966" s="14">
        <v>1655</v>
      </c>
      <c r="B966" s="21" t="s">
        <v>742</v>
      </c>
      <c r="C966" s="21" t="s">
        <v>1684</v>
      </c>
      <c r="D966" s="21"/>
      <c r="E966" s="1" t="s">
        <v>443</v>
      </c>
      <c r="F966" s="21" t="s">
        <v>8</v>
      </c>
      <c r="G966" s="14">
        <v>0</v>
      </c>
      <c r="H966" s="14">
        <v>1</v>
      </c>
      <c r="I966" s="22">
        <v>208</v>
      </c>
      <c r="J966" s="23">
        <f>VLOOKUP(I966,episodes!$A$1:$B$81,2,FALSE)</f>
        <v>38</v>
      </c>
      <c r="K966" s="16" t="str">
        <f>VLOOKUP(I966,episodes!$A$1:$E$81,5,FALSE)</f>
        <v>I, Mudd</v>
      </c>
      <c r="L966" s="16">
        <f>VLOOKUP(I966,episodes!$A$1:$D$81,3,FALSE)</f>
        <v>2</v>
      </c>
      <c r="M966" s="16">
        <f>VLOOKUP(I966,episodes!$A$1:$D$81,4,FALSE)</f>
        <v>8</v>
      </c>
      <c r="O966" s="14">
        <v>0</v>
      </c>
      <c r="P966" s="24">
        <f>LEN(E966)+LEN(K966)</f>
        <v>12</v>
      </c>
      <c r="Q966" s="24">
        <f>COUNTIFS(B:B,B965)</f>
        <v>160</v>
      </c>
      <c r="R966" s="24">
        <f>COUNTIFS(D:D,C966)</f>
        <v>0</v>
      </c>
    </row>
    <row r="967" spans="1:18" x14ac:dyDescent="0.3">
      <c r="A967" s="14">
        <v>2936</v>
      </c>
      <c r="B967" s="21" t="s">
        <v>742</v>
      </c>
      <c r="C967" s="21" t="s">
        <v>1684</v>
      </c>
      <c r="E967" s="4" t="s">
        <v>8</v>
      </c>
      <c r="F967" s="21" t="s">
        <v>8</v>
      </c>
      <c r="G967" s="14">
        <v>0</v>
      </c>
      <c r="H967" s="14">
        <v>1</v>
      </c>
      <c r="I967" s="7">
        <v>211</v>
      </c>
      <c r="J967" s="23">
        <f>VLOOKUP(I967,episodes!$A$1:$B$81,2,FALSE)</f>
        <v>41</v>
      </c>
      <c r="K967" s="16" t="str">
        <f>VLOOKUP(I967,episodes!$A$1:$E$81,5,FALSE)</f>
        <v>Friday's Child</v>
      </c>
      <c r="L967" s="16">
        <f>VLOOKUP(I967,episodes!$A$1:$D$81,3,FALSE)</f>
        <v>2</v>
      </c>
      <c r="M967" s="16">
        <f>VLOOKUP(I967,episodes!$A$1:$D$81,4,FALSE)</f>
        <v>11</v>
      </c>
      <c r="O967" s="14">
        <v>0</v>
      </c>
      <c r="P967" s="24">
        <f>LEN(E967)+LEN(K967)</f>
        <v>19</v>
      </c>
      <c r="Q967" s="24"/>
      <c r="R967" s="24"/>
    </row>
    <row r="968" spans="1:18" x14ac:dyDescent="0.3">
      <c r="A968" s="14">
        <v>1796</v>
      </c>
      <c r="B968" s="21" t="s">
        <v>742</v>
      </c>
      <c r="C968" s="21" t="s">
        <v>1684</v>
      </c>
      <c r="D968" s="21"/>
      <c r="E968" s="1" t="s">
        <v>1185</v>
      </c>
      <c r="F968" s="21" t="s">
        <v>2250</v>
      </c>
      <c r="G968" s="14">
        <v>0</v>
      </c>
      <c r="H968" s="14">
        <v>0</v>
      </c>
      <c r="I968" s="25">
        <v>100</v>
      </c>
      <c r="J968" s="23">
        <f>VLOOKUP(I968,episodes!$A$1:$B$76,2,FALSE)</f>
        <v>1</v>
      </c>
      <c r="K968" s="16" t="str">
        <f>VLOOKUP(I968,episodes!$A$1:$E$81,5,FALSE)</f>
        <v>The Cage</v>
      </c>
      <c r="L968" s="16">
        <f>VLOOKUP(I968,episodes!$A$1:$D$81,3,FALSE)</f>
        <v>1</v>
      </c>
      <c r="M968" s="16">
        <f>VLOOKUP(I968,episodes!$A$1:$D$81,4,FALSE)</f>
        <v>0</v>
      </c>
      <c r="O968" s="14">
        <v>0</v>
      </c>
      <c r="P968" s="24">
        <f>LEN(E968)+LEN(K968)</f>
        <v>18</v>
      </c>
      <c r="Q968" s="24">
        <f>COUNTIFS(B:B,B967)</f>
        <v>160</v>
      </c>
      <c r="R968" s="24">
        <f>COUNTIFS(D:D,C968)</f>
        <v>0</v>
      </c>
    </row>
    <row r="969" spans="1:18" x14ac:dyDescent="0.3">
      <c r="A969" s="14">
        <v>117</v>
      </c>
      <c r="B969" s="21" t="s">
        <v>742</v>
      </c>
      <c r="C969" s="21" t="s">
        <v>1684</v>
      </c>
      <c r="D969" s="21"/>
      <c r="E969" s="1" t="s">
        <v>1634</v>
      </c>
      <c r="F969" s="21" t="s">
        <v>2258</v>
      </c>
      <c r="G969" s="14">
        <v>0</v>
      </c>
      <c r="H969" s="14">
        <v>2</v>
      </c>
      <c r="I969" s="25">
        <v>107</v>
      </c>
      <c r="J969" s="23">
        <f>VLOOKUP(I969,episodes!$A$1:$B$81,2,FALSE)</f>
        <v>8</v>
      </c>
      <c r="K969" s="16" t="str">
        <f>VLOOKUP(I969,episodes!$A$1:$E$81,5,FALSE)</f>
        <v>What Are Little Girls Made Of?</v>
      </c>
      <c r="L969" s="16">
        <f>VLOOKUP(I969,episodes!$A$1:$D$81,3,FALSE)</f>
        <v>1</v>
      </c>
      <c r="M969" s="16">
        <f>VLOOKUP(I969,episodes!$A$1:$D$81,4,FALSE)</f>
        <v>7</v>
      </c>
      <c r="O969" s="14">
        <v>0</v>
      </c>
      <c r="P969" s="24">
        <f>LEN(E969)+LEN(K969)</f>
        <v>42</v>
      </c>
      <c r="Q969" s="24">
        <f>COUNTIFS(B:B,B968)</f>
        <v>160</v>
      </c>
      <c r="R969" s="24">
        <f>COUNTIFS(D:D,C969)</f>
        <v>0</v>
      </c>
    </row>
    <row r="970" spans="1:18" x14ac:dyDescent="0.3">
      <c r="A970" s="14">
        <v>1828</v>
      </c>
      <c r="B970" s="21" t="s">
        <v>742</v>
      </c>
      <c r="C970" s="21" t="s">
        <v>1684</v>
      </c>
      <c r="D970" s="21"/>
      <c r="E970" s="1" t="s">
        <v>41</v>
      </c>
      <c r="F970" s="21" t="s">
        <v>2231</v>
      </c>
      <c r="G970" s="14">
        <v>0</v>
      </c>
      <c r="H970" s="14">
        <v>0</v>
      </c>
      <c r="I970" s="25">
        <v>100</v>
      </c>
      <c r="J970" s="23">
        <f>VLOOKUP(I970,episodes!$A$1:$B$76,2,FALSE)</f>
        <v>1</v>
      </c>
      <c r="K970" s="16" t="str">
        <f>VLOOKUP(I970,episodes!$A$1:$E$81,5,FALSE)</f>
        <v>The Cage</v>
      </c>
      <c r="L970" s="16">
        <f>VLOOKUP(I970,episodes!$A$1:$D$81,3,FALSE)</f>
        <v>1</v>
      </c>
      <c r="M970" s="16">
        <f>VLOOKUP(I970,episodes!$A$1:$D$81,4,FALSE)</f>
        <v>0</v>
      </c>
      <c r="O970" s="14">
        <v>0</v>
      </c>
      <c r="P970" s="24">
        <f>LEN(E970)+LEN(K970)</f>
        <v>12</v>
      </c>
      <c r="Q970" s="24">
        <f>COUNTIFS(B:B,B969)</f>
        <v>160</v>
      </c>
      <c r="R970" s="24">
        <f>COUNTIFS(D:D,C970)</f>
        <v>0</v>
      </c>
    </row>
    <row r="971" spans="1:18" x14ac:dyDescent="0.3">
      <c r="A971" s="14">
        <v>347</v>
      </c>
      <c r="B971" s="21" t="s">
        <v>742</v>
      </c>
      <c r="C971" s="21" t="s">
        <v>1684</v>
      </c>
      <c r="D971" s="21"/>
      <c r="E971" s="1" t="s">
        <v>334</v>
      </c>
      <c r="F971" s="21" t="s">
        <v>2224</v>
      </c>
      <c r="G971" s="14">
        <v>0</v>
      </c>
      <c r="H971" s="14">
        <v>0</v>
      </c>
      <c r="I971" s="22">
        <v>129</v>
      </c>
      <c r="J971" s="23">
        <f>VLOOKUP(I971,episodes!$A$1:$B$76,2,FALSE)</f>
        <v>30</v>
      </c>
      <c r="K971" s="16" t="str">
        <f>VLOOKUP(I971,episodes!$A$1:$E$81,5,FALSE)</f>
        <v>Operation: Annihilate!</v>
      </c>
      <c r="L971" s="16">
        <f>VLOOKUP(I971,episodes!$A$1:$D$81,3,FALSE)</f>
        <v>1</v>
      </c>
      <c r="M971" s="16">
        <f>VLOOKUP(I971,episodes!$A$1:$D$81,4,FALSE)</f>
        <v>29</v>
      </c>
      <c r="O971" s="14">
        <v>0</v>
      </c>
      <c r="P971" s="24">
        <f>LEN(E971)+LEN(K971)</f>
        <v>30</v>
      </c>
      <c r="Q971" s="24">
        <f>COUNTIFS(B:B,B970)</f>
        <v>160</v>
      </c>
      <c r="R971" s="24">
        <f>COUNTIFS(D:D,C971)</f>
        <v>0</v>
      </c>
    </row>
    <row r="972" spans="1:18" x14ac:dyDescent="0.3">
      <c r="A972" s="14">
        <v>266</v>
      </c>
      <c r="B972" s="21" t="s">
        <v>742</v>
      </c>
      <c r="C972" s="21" t="s">
        <v>1684</v>
      </c>
      <c r="D972" s="21"/>
      <c r="E972" s="1" t="s">
        <v>2534</v>
      </c>
      <c r="F972" s="21" t="s">
        <v>2224</v>
      </c>
      <c r="G972" s="14">
        <v>0</v>
      </c>
      <c r="H972" s="14">
        <v>0</v>
      </c>
      <c r="I972" s="25">
        <v>108</v>
      </c>
      <c r="J972" s="23">
        <f>VLOOKUP(I972,episodes!$A$1:$B$76,2,FALSE)</f>
        <v>9</v>
      </c>
      <c r="K972" s="16" t="str">
        <f>VLOOKUP(I972,episodes!$A$1:$E$81,5,FALSE)</f>
        <v>Miri</v>
      </c>
      <c r="L972" s="16">
        <f>VLOOKUP(I972,episodes!$A$1:$D$81,3,FALSE)</f>
        <v>1</v>
      </c>
      <c r="M972" s="16">
        <f>VLOOKUP(I972,episodes!$A$1:$D$81,4,FALSE)</f>
        <v>8</v>
      </c>
      <c r="O972" s="14">
        <v>0</v>
      </c>
      <c r="P972" s="24">
        <f>LEN(E972)+LEN(K972)</f>
        <v>16</v>
      </c>
      <c r="Q972" s="24">
        <f>COUNTIFS(B:B,B971)</f>
        <v>160</v>
      </c>
      <c r="R972" s="24">
        <f>COUNTIFS(D:D,C972)</f>
        <v>0</v>
      </c>
    </row>
    <row r="973" spans="1:18" x14ac:dyDescent="0.3">
      <c r="A973" s="14">
        <v>332</v>
      </c>
      <c r="B973" s="21" t="s">
        <v>742</v>
      </c>
      <c r="C973" s="21" t="s">
        <v>1684</v>
      </c>
      <c r="D973" s="21"/>
      <c r="E973" s="1" t="s">
        <v>2534</v>
      </c>
      <c r="F973" s="21" t="s">
        <v>2224</v>
      </c>
      <c r="G973" s="14">
        <v>0</v>
      </c>
      <c r="H973" s="14">
        <v>0</v>
      </c>
      <c r="I973" s="22">
        <v>127</v>
      </c>
      <c r="J973" s="23">
        <f>VLOOKUP(I973,episodes!$A$1:$B$76,2,FALSE)</f>
        <v>28</v>
      </c>
      <c r="K973" s="16" t="str">
        <f>VLOOKUP(I973,episodes!$A$1:$E$81,5,FALSE)</f>
        <v>The Alternative Factor</v>
      </c>
      <c r="L973" s="16">
        <f>VLOOKUP(I973,episodes!$A$1:$D$81,3,FALSE)</f>
        <v>1</v>
      </c>
      <c r="M973" s="16">
        <f>VLOOKUP(I973,episodes!$A$1:$D$81,4,FALSE)</f>
        <v>27</v>
      </c>
      <c r="O973" s="14">
        <v>0</v>
      </c>
      <c r="P973" s="24">
        <f>LEN(E973)+LEN(K973)</f>
        <v>34</v>
      </c>
      <c r="Q973" s="24">
        <f>COUNTIFS(B:B,B972)</f>
        <v>160</v>
      </c>
      <c r="R973" s="24">
        <f>COUNTIFS(D:D,C973)</f>
        <v>0</v>
      </c>
    </row>
    <row r="974" spans="1:18" x14ac:dyDescent="0.3">
      <c r="A974" s="14">
        <v>342</v>
      </c>
      <c r="B974" s="21" t="s">
        <v>742</v>
      </c>
      <c r="C974" s="21" t="s">
        <v>1684</v>
      </c>
      <c r="D974" s="21"/>
      <c r="E974" s="1" t="s">
        <v>2534</v>
      </c>
      <c r="F974" s="21" t="s">
        <v>2224</v>
      </c>
      <c r="G974" s="14">
        <v>0</v>
      </c>
      <c r="H974" s="14">
        <v>0</v>
      </c>
      <c r="I974" s="22">
        <v>128</v>
      </c>
      <c r="J974" s="23">
        <f>VLOOKUP(I974,episodes!$A$1:$B$76,2,FALSE)</f>
        <v>29</v>
      </c>
      <c r="K974" s="16" t="str">
        <f>VLOOKUP(I974,episodes!$A$1:$E$81,5,FALSE)</f>
        <v>The City on the Edge of Forever</v>
      </c>
      <c r="L974" s="16">
        <f>VLOOKUP(I974,episodes!$A$1:$D$81,3,FALSE)</f>
        <v>1</v>
      </c>
      <c r="M974" s="16">
        <f>VLOOKUP(I974,episodes!$A$1:$D$81,4,FALSE)</f>
        <v>28</v>
      </c>
      <c r="O974" s="14">
        <v>0</v>
      </c>
      <c r="P974" s="24">
        <f>LEN(E974)+LEN(K974)</f>
        <v>43</v>
      </c>
      <c r="Q974" s="24">
        <f>COUNTIFS(B:B,B973)</f>
        <v>160</v>
      </c>
      <c r="R974" s="24">
        <f>COUNTIFS(D:D,C974)</f>
        <v>0</v>
      </c>
    </row>
    <row r="975" spans="1:18" x14ac:dyDescent="0.3">
      <c r="A975" s="14">
        <v>267</v>
      </c>
      <c r="B975" s="21" t="s">
        <v>742</v>
      </c>
      <c r="C975" s="21" t="s">
        <v>1684</v>
      </c>
      <c r="D975" s="21"/>
      <c r="E975" s="1" t="s">
        <v>2535</v>
      </c>
      <c r="F975" s="21" t="s">
        <v>2224</v>
      </c>
      <c r="G975" s="14">
        <v>0</v>
      </c>
      <c r="H975" s="14">
        <v>0</v>
      </c>
      <c r="I975" s="25">
        <v>108</v>
      </c>
      <c r="J975" s="23">
        <f>VLOOKUP(I975,episodes!$A$1:$B$76,2,FALSE)</f>
        <v>9</v>
      </c>
      <c r="K975" s="16" t="str">
        <f>VLOOKUP(I975,episodes!$A$1:$E$81,5,FALSE)</f>
        <v>Miri</v>
      </c>
      <c r="L975" s="16">
        <f>VLOOKUP(I975,episodes!$A$1:$D$81,3,FALSE)</f>
        <v>1</v>
      </c>
      <c r="M975" s="16">
        <f>VLOOKUP(I975,episodes!$A$1:$D$81,4,FALSE)</f>
        <v>8</v>
      </c>
      <c r="O975" s="14">
        <v>0</v>
      </c>
      <c r="P975" s="24">
        <f>LEN(E975)+LEN(K975)</f>
        <v>16</v>
      </c>
      <c r="Q975" s="24">
        <f>COUNTIFS(B:B,B974)</f>
        <v>160</v>
      </c>
      <c r="R975" s="24">
        <f>COUNTIFS(D:D,C975)</f>
        <v>0</v>
      </c>
    </row>
    <row r="976" spans="1:18" x14ac:dyDescent="0.3">
      <c r="A976" s="14">
        <v>333</v>
      </c>
      <c r="B976" s="21" t="s">
        <v>742</v>
      </c>
      <c r="C976" s="21" t="s">
        <v>1684</v>
      </c>
      <c r="D976" s="21"/>
      <c r="E976" s="1" t="s">
        <v>2535</v>
      </c>
      <c r="F976" s="21" t="s">
        <v>2224</v>
      </c>
      <c r="G976" s="14">
        <v>0</v>
      </c>
      <c r="H976" s="14">
        <v>0</v>
      </c>
      <c r="I976" s="22">
        <v>127</v>
      </c>
      <c r="J976" s="23">
        <f>VLOOKUP(I976,episodes!$A$1:$B$76,2,FALSE)</f>
        <v>28</v>
      </c>
      <c r="K976" s="16" t="str">
        <f>VLOOKUP(I976,episodes!$A$1:$E$81,5,FALSE)</f>
        <v>The Alternative Factor</v>
      </c>
      <c r="L976" s="16">
        <f>VLOOKUP(I976,episodes!$A$1:$D$81,3,FALSE)</f>
        <v>1</v>
      </c>
      <c r="M976" s="16">
        <f>VLOOKUP(I976,episodes!$A$1:$D$81,4,FALSE)</f>
        <v>27</v>
      </c>
      <c r="O976" s="14">
        <v>0</v>
      </c>
      <c r="P976" s="24">
        <f>LEN(E976)+LEN(K976)</f>
        <v>34</v>
      </c>
      <c r="Q976" s="24">
        <f>COUNTIFS(B:B,B975)</f>
        <v>160</v>
      </c>
      <c r="R976" s="24">
        <f>COUNTIFS(D:D,C976)</f>
        <v>0</v>
      </c>
    </row>
    <row r="977" spans="1:18" x14ac:dyDescent="0.3">
      <c r="A977" s="14">
        <v>343</v>
      </c>
      <c r="B977" s="21" t="s">
        <v>742</v>
      </c>
      <c r="C977" s="21" t="s">
        <v>1684</v>
      </c>
      <c r="D977" s="21"/>
      <c r="E977" s="1" t="s">
        <v>2535</v>
      </c>
      <c r="F977" s="21" t="s">
        <v>2224</v>
      </c>
      <c r="G977" s="14">
        <v>0</v>
      </c>
      <c r="H977" s="14">
        <v>0</v>
      </c>
      <c r="I977" s="22">
        <v>128</v>
      </c>
      <c r="J977" s="23">
        <f>VLOOKUP(I977,episodes!$A$1:$B$76,2,FALSE)</f>
        <v>29</v>
      </c>
      <c r="K977" s="16" t="str">
        <f>VLOOKUP(I977,episodes!$A$1:$E$81,5,FALSE)</f>
        <v>The City on the Edge of Forever</v>
      </c>
      <c r="L977" s="16">
        <f>VLOOKUP(I977,episodes!$A$1:$D$81,3,FALSE)</f>
        <v>1</v>
      </c>
      <c r="M977" s="16">
        <f>VLOOKUP(I977,episodes!$A$1:$D$81,4,FALSE)</f>
        <v>28</v>
      </c>
      <c r="O977" s="14">
        <v>0</v>
      </c>
      <c r="P977" s="24">
        <f>LEN(E977)+LEN(K977)</f>
        <v>43</v>
      </c>
      <c r="Q977" s="24">
        <f>COUNTIFS(B:B,B976)</f>
        <v>160</v>
      </c>
      <c r="R977" s="24">
        <f>COUNTIFS(D:D,C977)</f>
        <v>0</v>
      </c>
    </row>
    <row r="978" spans="1:18" x14ac:dyDescent="0.3">
      <c r="A978" s="14">
        <v>334</v>
      </c>
      <c r="B978" s="21" t="s">
        <v>742</v>
      </c>
      <c r="C978" s="21" t="s">
        <v>1684</v>
      </c>
      <c r="D978" s="21"/>
      <c r="E978" s="1" t="s">
        <v>2536</v>
      </c>
      <c r="F978" s="21" t="s">
        <v>2224</v>
      </c>
      <c r="G978" s="14">
        <v>0</v>
      </c>
      <c r="H978" s="14">
        <v>0</v>
      </c>
      <c r="I978" s="22">
        <v>127</v>
      </c>
      <c r="J978" s="23">
        <f>VLOOKUP(I978,episodes!$A$1:$B$76,2,FALSE)</f>
        <v>28</v>
      </c>
      <c r="K978" s="16" t="str">
        <f>VLOOKUP(I978,episodes!$A$1:$E$81,5,FALSE)</f>
        <v>The Alternative Factor</v>
      </c>
      <c r="L978" s="16">
        <f>VLOOKUP(I978,episodes!$A$1:$D$81,3,FALSE)</f>
        <v>1</v>
      </c>
      <c r="M978" s="16">
        <f>VLOOKUP(I978,episodes!$A$1:$D$81,4,FALSE)</f>
        <v>27</v>
      </c>
      <c r="O978" s="14">
        <v>0</v>
      </c>
      <c r="P978" s="24">
        <f>LEN(E978)+LEN(K978)</f>
        <v>34</v>
      </c>
      <c r="Q978" s="24">
        <f>COUNTIFS(B:B,B977)</f>
        <v>160</v>
      </c>
      <c r="R978" s="24">
        <f>COUNTIFS(D:D,C978)</f>
        <v>0</v>
      </c>
    </row>
    <row r="979" spans="1:18" x14ac:dyDescent="0.3">
      <c r="A979" s="14">
        <v>335</v>
      </c>
      <c r="B979" s="21" t="s">
        <v>742</v>
      </c>
      <c r="C979" s="21" t="s">
        <v>1684</v>
      </c>
      <c r="D979" s="21"/>
      <c r="E979" s="1" t="s">
        <v>2537</v>
      </c>
      <c r="F979" s="21" t="s">
        <v>2224</v>
      </c>
      <c r="G979" s="14">
        <v>0</v>
      </c>
      <c r="H979" s="14">
        <v>0</v>
      </c>
      <c r="I979" s="22">
        <v>127</v>
      </c>
      <c r="J979" s="23">
        <f>VLOOKUP(I979,episodes!$A$1:$B$76,2,FALSE)</f>
        <v>28</v>
      </c>
      <c r="K979" s="16" t="str">
        <f>VLOOKUP(I979,episodes!$A$1:$E$81,5,FALSE)</f>
        <v>The Alternative Factor</v>
      </c>
      <c r="L979" s="16">
        <f>VLOOKUP(I979,episodes!$A$1:$D$81,3,FALSE)</f>
        <v>1</v>
      </c>
      <c r="M979" s="16">
        <f>VLOOKUP(I979,episodes!$A$1:$D$81,4,FALSE)</f>
        <v>27</v>
      </c>
      <c r="O979" s="14">
        <v>0</v>
      </c>
      <c r="P979" s="24">
        <f>LEN(E979)+LEN(K979)</f>
        <v>34</v>
      </c>
      <c r="Q979" s="24">
        <f>COUNTIFS(B:B,B978)</f>
        <v>160</v>
      </c>
      <c r="R979" s="24">
        <f>COUNTIFS(D:D,C979)</f>
        <v>0</v>
      </c>
    </row>
    <row r="980" spans="1:18" x14ac:dyDescent="0.3">
      <c r="A980" s="14">
        <v>2938</v>
      </c>
      <c r="B980" s="21" t="s">
        <v>742</v>
      </c>
      <c r="C980" s="21" t="s">
        <v>1684</v>
      </c>
      <c r="E980" s="4" t="s">
        <v>2769</v>
      </c>
      <c r="F980" s="21" t="s">
        <v>45</v>
      </c>
      <c r="G980" s="14">
        <v>0</v>
      </c>
      <c r="H980" s="14">
        <v>0</v>
      </c>
      <c r="I980" s="7">
        <v>211</v>
      </c>
      <c r="J980" s="23">
        <f>VLOOKUP(I980,episodes!$A$1:$B$81,2,FALSE)</f>
        <v>41</v>
      </c>
      <c r="K980" s="16" t="str">
        <f>VLOOKUP(I980,episodes!$A$1:$E$81,5,FALSE)</f>
        <v>Friday's Child</v>
      </c>
      <c r="L980" s="16">
        <f>VLOOKUP(I980,episodes!$A$1:$D$81,3,FALSE)</f>
        <v>2</v>
      </c>
      <c r="M980" s="16">
        <f>VLOOKUP(I980,episodes!$A$1:$D$81,4,FALSE)</f>
        <v>11</v>
      </c>
      <c r="O980" s="14">
        <v>0</v>
      </c>
      <c r="P980" s="24">
        <f>LEN(E980)+LEN(K980)</f>
        <v>72</v>
      </c>
      <c r="Q980" s="24"/>
      <c r="R980" s="24"/>
    </row>
    <row r="981" spans="1:18" x14ac:dyDescent="0.3">
      <c r="A981" s="14">
        <v>278</v>
      </c>
      <c r="B981" s="21" t="s">
        <v>742</v>
      </c>
      <c r="C981" s="21" t="s">
        <v>1684</v>
      </c>
      <c r="D981" s="21"/>
      <c r="E981" s="1" t="s">
        <v>1806</v>
      </c>
      <c r="F981" s="21" t="s">
        <v>2224</v>
      </c>
      <c r="G981" s="14">
        <v>0</v>
      </c>
      <c r="H981" s="14">
        <v>0</v>
      </c>
      <c r="I981" s="22">
        <v>115</v>
      </c>
      <c r="J981" s="23">
        <f>VLOOKUP(I981,episodes!$A$1:$B$76,2,FALSE)</f>
        <v>16</v>
      </c>
      <c r="K981" s="16" t="str">
        <f>VLOOKUP(I981,episodes!$A$1:$E$81,5,FALSE)</f>
        <v>Shore Leave</v>
      </c>
      <c r="L981" s="16">
        <f>VLOOKUP(I981,episodes!$A$1:$D$81,3,FALSE)</f>
        <v>1</v>
      </c>
      <c r="M981" s="16">
        <f>VLOOKUP(I981,episodes!$A$1:$D$81,4,FALSE)</f>
        <v>15</v>
      </c>
      <c r="O981" s="14">
        <v>0</v>
      </c>
      <c r="P981" s="24">
        <f>LEN(E981)+LEN(K981)</f>
        <v>20</v>
      </c>
      <c r="Q981" s="24">
        <f>COUNTIFS(B:B,B980)</f>
        <v>160</v>
      </c>
      <c r="R981" s="24">
        <f>COUNTIFS(D:D,C981)</f>
        <v>0</v>
      </c>
    </row>
    <row r="982" spans="1:18" x14ac:dyDescent="0.3">
      <c r="A982" s="14">
        <v>1956</v>
      </c>
      <c r="B982" s="21" t="s">
        <v>742</v>
      </c>
      <c r="C982" s="21" t="s">
        <v>1684</v>
      </c>
      <c r="D982" s="21"/>
      <c r="E982" s="1" t="s">
        <v>442</v>
      </c>
      <c r="F982" s="21" t="s">
        <v>6</v>
      </c>
      <c r="G982" s="14">
        <v>0</v>
      </c>
      <c r="H982" s="14">
        <v>1</v>
      </c>
      <c r="I982" s="22">
        <v>116</v>
      </c>
      <c r="J982" s="23">
        <f>VLOOKUP(I982,episodes!$A$1:$B$76,2,FALSE)</f>
        <v>17</v>
      </c>
      <c r="K982" s="16" t="str">
        <f>VLOOKUP(I982,episodes!$A$1:$E$81,5,FALSE)</f>
        <v>The Galileo Seven</v>
      </c>
      <c r="L982" s="16">
        <f>VLOOKUP(I982,episodes!$A$1:$D$81,3,FALSE)</f>
        <v>1</v>
      </c>
      <c r="M982" s="16">
        <f>VLOOKUP(I982,episodes!$A$1:$D$81,4,FALSE)</f>
        <v>16</v>
      </c>
      <c r="O982" s="14">
        <v>0</v>
      </c>
      <c r="P982" s="24">
        <f>LEN(E982)+LEN(K982)</f>
        <v>23</v>
      </c>
      <c r="Q982" s="24">
        <f>COUNTIFS(B:B,B981)</f>
        <v>160</v>
      </c>
      <c r="R982" s="24">
        <f>COUNTIFS(D:D,C982)</f>
        <v>0</v>
      </c>
    </row>
    <row r="983" spans="1:18" x14ac:dyDescent="0.3">
      <c r="A983" s="14">
        <v>1974</v>
      </c>
      <c r="B983" s="21" t="s">
        <v>742</v>
      </c>
      <c r="C983" s="21" t="s">
        <v>1684</v>
      </c>
      <c r="D983" s="21"/>
      <c r="E983" s="1" t="s">
        <v>442</v>
      </c>
      <c r="F983" s="21" t="s">
        <v>6</v>
      </c>
      <c r="G983" s="14">
        <v>0</v>
      </c>
      <c r="H983" s="14">
        <v>1</v>
      </c>
      <c r="I983" s="22">
        <v>128</v>
      </c>
      <c r="J983" s="23">
        <f>VLOOKUP(I983,episodes!$A$1:$B$76,2,FALSE)</f>
        <v>29</v>
      </c>
      <c r="K983" s="16" t="str">
        <f>VLOOKUP(I983,episodes!$A$1:$E$81,5,FALSE)</f>
        <v>The City on the Edge of Forever</v>
      </c>
      <c r="L983" s="16">
        <f>VLOOKUP(I983,episodes!$A$1:$D$81,3,FALSE)</f>
        <v>1</v>
      </c>
      <c r="M983" s="16">
        <f>VLOOKUP(I983,episodes!$A$1:$D$81,4,FALSE)</f>
        <v>28</v>
      </c>
      <c r="O983" s="14">
        <v>0</v>
      </c>
      <c r="P983" s="24">
        <f>LEN(E983)+LEN(K983)</f>
        <v>37</v>
      </c>
      <c r="Q983" s="24">
        <f>COUNTIFS(B:B,B982)</f>
        <v>160</v>
      </c>
      <c r="R983" s="24">
        <f>COUNTIFS(D:D,C983)</f>
        <v>0</v>
      </c>
    </row>
    <row r="984" spans="1:18" x14ac:dyDescent="0.3">
      <c r="A984" s="14">
        <v>1976</v>
      </c>
      <c r="B984" s="21" t="s">
        <v>742</v>
      </c>
      <c r="C984" s="21" t="s">
        <v>1684</v>
      </c>
      <c r="D984" s="21"/>
      <c r="E984" s="1" t="s">
        <v>442</v>
      </c>
      <c r="F984" s="21" t="s">
        <v>6</v>
      </c>
      <c r="G984" s="14">
        <v>0</v>
      </c>
      <c r="H984" s="14">
        <v>1</v>
      </c>
      <c r="I984" s="22">
        <v>129</v>
      </c>
      <c r="J984" s="23">
        <f>VLOOKUP(I984,episodes!$A$1:$B$76,2,FALSE)</f>
        <v>30</v>
      </c>
      <c r="K984" s="16" t="str">
        <f>VLOOKUP(I984,episodes!$A$1:$E$81,5,FALSE)</f>
        <v>Operation: Annihilate!</v>
      </c>
      <c r="L984" s="16">
        <f>VLOOKUP(I984,episodes!$A$1:$D$81,3,FALSE)</f>
        <v>1</v>
      </c>
      <c r="M984" s="16">
        <f>VLOOKUP(I984,episodes!$A$1:$D$81,4,FALSE)</f>
        <v>29</v>
      </c>
      <c r="O984" s="14">
        <v>0</v>
      </c>
      <c r="P984" s="24">
        <f>LEN(E984)+LEN(K984)</f>
        <v>28</v>
      </c>
      <c r="Q984" s="24">
        <f>COUNTIFS(B:B,B983)</f>
        <v>160</v>
      </c>
      <c r="R984" s="24">
        <f>COUNTIFS(D:D,C984)</f>
        <v>0</v>
      </c>
    </row>
    <row r="985" spans="1:18" x14ac:dyDescent="0.3">
      <c r="A985" s="14">
        <v>1982</v>
      </c>
      <c r="B985" s="21" t="s">
        <v>742</v>
      </c>
      <c r="C985" s="21" t="s">
        <v>1684</v>
      </c>
      <c r="D985" s="21"/>
      <c r="E985" s="1" t="s">
        <v>442</v>
      </c>
      <c r="F985" s="21" t="s">
        <v>6</v>
      </c>
      <c r="G985" s="14">
        <v>0</v>
      </c>
      <c r="H985" s="14">
        <v>1</v>
      </c>
      <c r="I985" s="22">
        <v>202</v>
      </c>
      <c r="J985" s="23">
        <f>VLOOKUP(I985,episodes!$A$1:$B$76,2,FALSE)</f>
        <v>32</v>
      </c>
      <c r="K985" s="16" t="str">
        <f>VLOOKUP(I985,episodes!$A$1:$E$81,5,FALSE)</f>
        <v>Who Mourns for Adonais?</v>
      </c>
      <c r="L985" s="16">
        <f>VLOOKUP(I985,episodes!$A$1:$D$81,3,FALSE)</f>
        <v>2</v>
      </c>
      <c r="M985" s="16">
        <f>VLOOKUP(I985,episodes!$A$1:$D$81,4,FALSE)</f>
        <v>2</v>
      </c>
      <c r="O985" s="14">
        <v>0</v>
      </c>
      <c r="P985" s="24">
        <f>LEN(E985)+LEN(K985)</f>
        <v>29</v>
      </c>
      <c r="Q985" s="24">
        <f>COUNTIFS(B:B,B984)</f>
        <v>160</v>
      </c>
      <c r="R985" s="24">
        <f>COUNTIFS(D:D,C985)</f>
        <v>0</v>
      </c>
    </row>
    <row r="986" spans="1:18" x14ac:dyDescent="0.3">
      <c r="A986" s="14">
        <v>1987</v>
      </c>
      <c r="B986" s="21" t="s">
        <v>742</v>
      </c>
      <c r="C986" s="21" t="s">
        <v>1684</v>
      </c>
      <c r="D986" s="21"/>
      <c r="E986" s="1" t="s">
        <v>442</v>
      </c>
      <c r="F986" s="21" t="s">
        <v>6</v>
      </c>
      <c r="G986" s="14">
        <v>0</v>
      </c>
      <c r="H986" s="14">
        <v>1</v>
      </c>
      <c r="I986" s="25">
        <v>204</v>
      </c>
      <c r="J986" s="23">
        <f>VLOOKUP(I986,episodes!$A$1:$B$81,2,FALSE)</f>
        <v>34</v>
      </c>
      <c r="K986" s="16" t="str">
        <f>VLOOKUP(I986,episodes!$A$1:$E$81,5,FALSE)</f>
        <v>Mirror, Mirror</v>
      </c>
      <c r="L986" s="16">
        <f>VLOOKUP(I986,episodes!$A$1:$D$81,3,FALSE)</f>
        <v>2</v>
      </c>
      <c r="M986" s="16">
        <f>VLOOKUP(I986,episodes!$A$1:$D$81,4,FALSE)</f>
        <v>4</v>
      </c>
      <c r="O986" s="14">
        <v>0</v>
      </c>
      <c r="P986" s="24">
        <f>LEN(E986)+LEN(K986)</f>
        <v>20</v>
      </c>
      <c r="Q986" s="24">
        <f>COUNTIFS(B:B,B985)</f>
        <v>160</v>
      </c>
      <c r="R986" s="24">
        <f>COUNTIFS(D:D,C986)</f>
        <v>0</v>
      </c>
    </row>
    <row r="987" spans="1:18" x14ac:dyDescent="0.3">
      <c r="A987" s="14">
        <v>1994</v>
      </c>
      <c r="B987" s="21" t="s">
        <v>742</v>
      </c>
      <c r="C987" s="21" t="s">
        <v>1684</v>
      </c>
      <c r="D987" s="21"/>
      <c r="E987" s="1" t="s">
        <v>442</v>
      </c>
      <c r="F987" s="21" t="s">
        <v>6</v>
      </c>
      <c r="G987" s="14">
        <v>0</v>
      </c>
      <c r="H987" s="14">
        <v>1</v>
      </c>
      <c r="I987" s="25">
        <v>206</v>
      </c>
      <c r="J987" s="23">
        <f>VLOOKUP(I987,episodes!$A$1:$B$81,2,FALSE)</f>
        <v>36</v>
      </c>
      <c r="K987" s="16" t="str">
        <f>VLOOKUP(I987,episodes!$A$1:$E$81,5,FALSE)</f>
        <v>The Doomsday Machine</v>
      </c>
      <c r="L987" s="16">
        <f>VLOOKUP(I987,episodes!$A$1:$D$81,3,FALSE)</f>
        <v>2</v>
      </c>
      <c r="M987" s="16">
        <f>VLOOKUP(I987,episodes!$A$1:$D$81,4,FALSE)</f>
        <v>6</v>
      </c>
      <c r="O987" s="14">
        <v>0</v>
      </c>
      <c r="P987" s="24">
        <f>LEN(E987)+LEN(K987)</f>
        <v>26</v>
      </c>
      <c r="Q987" s="24">
        <f>COUNTIFS(B:B,B986)</f>
        <v>160</v>
      </c>
      <c r="R987" s="24">
        <f>COUNTIFS(D:D,C987)</f>
        <v>0</v>
      </c>
    </row>
    <row r="988" spans="1:18" x14ac:dyDescent="0.3">
      <c r="A988" s="14">
        <v>1996</v>
      </c>
      <c r="B988" s="21" t="s">
        <v>742</v>
      </c>
      <c r="C988" s="21" t="s">
        <v>1684</v>
      </c>
      <c r="D988" s="21"/>
      <c r="E988" s="1" t="s">
        <v>442</v>
      </c>
      <c r="F988" s="21" t="s">
        <v>6</v>
      </c>
      <c r="G988" s="14">
        <v>0</v>
      </c>
      <c r="H988" s="14">
        <v>1</v>
      </c>
      <c r="I988" s="25">
        <v>207</v>
      </c>
      <c r="J988" s="23">
        <f>VLOOKUP(I988,episodes!$A$1:$B$81,2,FALSE)</f>
        <v>37</v>
      </c>
      <c r="K988" s="16" t="str">
        <f>VLOOKUP(I988,episodes!$A$1:$E$81,5,FALSE)</f>
        <v>Catspaw</v>
      </c>
      <c r="L988" s="16">
        <f>VLOOKUP(I988,episodes!$A$1:$D$81,3,FALSE)</f>
        <v>2</v>
      </c>
      <c r="M988" s="16">
        <f>VLOOKUP(I988,episodes!$A$1:$D$81,4,FALSE)</f>
        <v>7</v>
      </c>
      <c r="O988" s="14">
        <v>0</v>
      </c>
      <c r="P988" s="24">
        <f>LEN(E988)+LEN(K988)</f>
        <v>13</v>
      </c>
      <c r="Q988" s="24">
        <f>COUNTIFS(B:B,B987)</f>
        <v>160</v>
      </c>
      <c r="R988" s="24">
        <f>COUNTIFS(D:D,C988)</f>
        <v>0</v>
      </c>
    </row>
    <row r="989" spans="1:18" x14ac:dyDescent="0.3">
      <c r="A989" s="14">
        <v>3006</v>
      </c>
      <c r="B989" s="21" t="s">
        <v>742</v>
      </c>
      <c r="C989" s="21" t="s">
        <v>1684</v>
      </c>
      <c r="E989" s="4" t="s">
        <v>2827</v>
      </c>
      <c r="F989" s="21" t="s">
        <v>6</v>
      </c>
      <c r="G989" s="14">
        <v>0</v>
      </c>
      <c r="H989" s="14">
        <v>1</v>
      </c>
      <c r="I989" s="7">
        <v>211</v>
      </c>
      <c r="J989" s="23">
        <f>VLOOKUP(I989,episodes!$A$1:$B$81,2,FALSE)</f>
        <v>41</v>
      </c>
      <c r="K989" s="16" t="str">
        <f>VLOOKUP(I989,episodes!$A$1:$E$81,5,FALSE)</f>
        <v>Friday's Child</v>
      </c>
      <c r="L989" s="16">
        <f>VLOOKUP(I989,episodes!$A$1:$D$81,3,FALSE)</f>
        <v>2</v>
      </c>
      <c r="M989" s="16">
        <f>VLOOKUP(I989,episodes!$A$1:$D$81,4,FALSE)</f>
        <v>11</v>
      </c>
      <c r="O989" s="14">
        <v>0</v>
      </c>
      <c r="P989" s="24">
        <f>LEN(E989)+LEN(K989)</f>
        <v>68</v>
      </c>
      <c r="Q989" s="24"/>
      <c r="R989" s="24"/>
    </row>
    <row r="990" spans="1:18" x14ac:dyDescent="0.3">
      <c r="A990" s="14">
        <v>3007</v>
      </c>
      <c r="B990" s="21" t="s">
        <v>742</v>
      </c>
      <c r="C990" s="21" t="s">
        <v>1684</v>
      </c>
      <c r="E990" s="4" t="s">
        <v>2827</v>
      </c>
      <c r="F990" s="21" t="s">
        <v>45</v>
      </c>
      <c r="G990" s="14">
        <v>0</v>
      </c>
      <c r="H990" s="14">
        <v>0</v>
      </c>
      <c r="I990" s="7">
        <v>211</v>
      </c>
      <c r="J990" s="23">
        <f>VLOOKUP(I990,episodes!$A$1:$B$81,2,FALSE)</f>
        <v>41</v>
      </c>
      <c r="K990" s="16" t="str">
        <f>VLOOKUP(I990,episodes!$A$1:$E$81,5,FALSE)</f>
        <v>Friday's Child</v>
      </c>
      <c r="L990" s="16">
        <f>VLOOKUP(I990,episodes!$A$1:$D$81,3,FALSE)</f>
        <v>2</v>
      </c>
      <c r="M990" s="16">
        <f>VLOOKUP(I990,episodes!$A$1:$D$81,4,FALSE)</f>
        <v>11</v>
      </c>
      <c r="O990" s="14">
        <v>0</v>
      </c>
      <c r="P990" s="24">
        <f>LEN(E990)+LEN(K990)</f>
        <v>68</v>
      </c>
      <c r="Q990" s="24"/>
      <c r="R990" s="24"/>
    </row>
    <row r="991" spans="1:18" x14ac:dyDescent="0.3">
      <c r="A991" s="14">
        <v>3008</v>
      </c>
      <c r="B991" s="21" t="s">
        <v>742</v>
      </c>
      <c r="C991" s="21" t="s">
        <v>1684</v>
      </c>
      <c r="E991" s="4" t="s">
        <v>2827</v>
      </c>
      <c r="F991" s="21" t="s">
        <v>45</v>
      </c>
      <c r="G991" s="14">
        <v>0</v>
      </c>
      <c r="H991" s="14">
        <v>0</v>
      </c>
      <c r="I991" s="7">
        <v>211</v>
      </c>
      <c r="J991" s="23">
        <f>VLOOKUP(I991,episodes!$A$1:$B$81,2,FALSE)</f>
        <v>41</v>
      </c>
      <c r="K991" s="16" t="str">
        <f>VLOOKUP(I991,episodes!$A$1:$E$81,5,FALSE)</f>
        <v>Friday's Child</v>
      </c>
      <c r="L991" s="16">
        <f>VLOOKUP(I991,episodes!$A$1:$D$81,3,FALSE)</f>
        <v>2</v>
      </c>
      <c r="M991" s="16">
        <f>VLOOKUP(I991,episodes!$A$1:$D$81,4,FALSE)</f>
        <v>11</v>
      </c>
      <c r="O991" s="14">
        <v>0</v>
      </c>
      <c r="P991" s="24">
        <f>LEN(E991)+LEN(K991)</f>
        <v>68</v>
      </c>
      <c r="Q991" s="24"/>
      <c r="R991" s="24"/>
    </row>
    <row r="992" spans="1:18" x14ac:dyDescent="0.3">
      <c r="A992" s="14">
        <v>3009</v>
      </c>
      <c r="B992" s="21" t="s">
        <v>742</v>
      </c>
      <c r="C992" s="21" t="s">
        <v>1684</v>
      </c>
      <c r="E992" s="4" t="s">
        <v>2827</v>
      </c>
      <c r="F992" s="21" t="s">
        <v>45</v>
      </c>
      <c r="G992" s="14">
        <v>0</v>
      </c>
      <c r="H992" s="14">
        <v>0</v>
      </c>
      <c r="I992" s="7">
        <v>211</v>
      </c>
      <c r="J992" s="23">
        <f>VLOOKUP(I992,episodes!$A$1:$B$81,2,FALSE)</f>
        <v>41</v>
      </c>
      <c r="K992" s="16" t="str">
        <f>VLOOKUP(I992,episodes!$A$1:$E$81,5,FALSE)</f>
        <v>Friday's Child</v>
      </c>
      <c r="L992" s="16">
        <f>VLOOKUP(I992,episodes!$A$1:$D$81,3,FALSE)</f>
        <v>2</v>
      </c>
      <c r="M992" s="16">
        <f>VLOOKUP(I992,episodes!$A$1:$D$81,4,FALSE)</f>
        <v>11</v>
      </c>
      <c r="O992" s="14">
        <v>0</v>
      </c>
      <c r="P992" s="24">
        <f>LEN(E992)+LEN(K992)</f>
        <v>68</v>
      </c>
      <c r="Q992" s="24"/>
      <c r="R992" s="24"/>
    </row>
    <row r="993" spans="1:18" x14ac:dyDescent="0.3">
      <c r="A993" s="14">
        <v>3010</v>
      </c>
      <c r="B993" s="21" t="s">
        <v>742</v>
      </c>
      <c r="C993" s="21" t="s">
        <v>1684</v>
      </c>
      <c r="E993" s="4" t="s">
        <v>2827</v>
      </c>
      <c r="F993" s="21" t="s">
        <v>45</v>
      </c>
      <c r="G993" s="14">
        <v>0</v>
      </c>
      <c r="H993" s="14">
        <v>0</v>
      </c>
      <c r="I993" s="7">
        <v>211</v>
      </c>
      <c r="J993" s="23">
        <f>VLOOKUP(I993,episodes!$A$1:$B$81,2,FALSE)</f>
        <v>41</v>
      </c>
      <c r="K993" s="16" t="str">
        <f>VLOOKUP(I993,episodes!$A$1:$E$81,5,FALSE)</f>
        <v>Friday's Child</v>
      </c>
      <c r="L993" s="16">
        <f>VLOOKUP(I993,episodes!$A$1:$D$81,3,FALSE)</f>
        <v>2</v>
      </c>
      <c r="M993" s="16">
        <f>VLOOKUP(I993,episodes!$A$1:$D$81,4,FALSE)</f>
        <v>11</v>
      </c>
      <c r="O993" s="14">
        <v>0</v>
      </c>
      <c r="P993" s="24">
        <f>LEN(E993)+LEN(K993)</f>
        <v>68</v>
      </c>
      <c r="Q993" s="24"/>
      <c r="R993" s="24"/>
    </row>
    <row r="994" spans="1:18" x14ac:dyDescent="0.3">
      <c r="A994" s="14">
        <v>2036</v>
      </c>
      <c r="B994" s="21" t="s">
        <v>742</v>
      </c>
      <c r="C994" s="21" t="s">
        <v>1684</v>
      </c>
      <c r="D994" s="21"/>
      <c r="E994" s="1" t="s">
        <v>173</v>
      </c>
      <c r="F994" s="21" t="s">
        <v>5</v>
      </c>
      <c r="G994" s="14">
        <v>1</v>
      </c>
      <c r="H994" s="14">
        <v>0</v>
      </c>
      <c r="I994" s="25">
        <v>100</v>
      </c>
      <c r="J994" s="23">
        <f>VLOOKUP(I994,episodes!$A$1:$B$76,2,FALSE)</f>
        <v>1</v>
      </c>
      <c r="K994" s="16" t="str">
        <f>VLOOKUP(I994,episodes!$A$1:$E$81,5,FALSE)</f>
        <v>The Cage</v>
      </c>
      <c r="L994" s="16">
        <f>VLOOKUP(I994,episodes!$A$1:$D$81,3,FALSE)</f>
        <v>1</v>
      </c>
      <c r="M994" s="16">
        <f>VLOOKUP(I994,episodes!$A$1:$D$81,4,FALSE)</f>
        <v>0</v>
      </c>
      <c r="O994" s="14">
        <v>0</v>
      </c>
      <c r="P994" s="24">
        <f>LEN(E994)+LEN(K994)</f>
        <v>13</v>
      </c>
      <c r="Q994" s="24">
        <f>COUNTIFS(B:B,B993)</f>
        <v>160</v>
      </c>
      <c r="R994" s="24">
        <f>COUNTIFS(D:D,C994)</f>
        <v>0</v>
      </c>
    </row>
    <row r="995" spans="1:18" x14ac:dyDescent="0.3">
      <c r="A995" s="14">
        <v>2048</v>
      </c>
      <c r="B995" s="21" t="s">
        <v>742</v>
      </c>
      <c r="C995" s="21" t="s">
        <v>1684</v>
      </c>
      <c r="D995" s="21"/>
      <c r="E995" s="1" t="s">
        <v>173</v>
      </c>
      <c r="F995" s="21" t="s">
        <v>5</v>
      </c>
      <c r="G995" s="14">
        <v>1</v>
      </c>
      <c r="H995" s="14">
        <v>0</v>
      </c>
      <c r="I995" s="25">
        <v>101</v>
      </c>
      <c r="J995" s="23">
        <f>VLOOKUP(I995,episodes!$A$1:$B$76,2,FALSE)</f>
        <v>2</v>
      </c>
      <c r="K995" s="16" t="str">
        <f>VLOOKUP(I995,episodes!$A$1:$E$81,5,FALSE)</f>
        <v>The Man Trap</v>
      </c>
      <c r="L995" s="16">
        <f>VLOOKUP(I995,episodes!$A$1:$D$81,3,FALSE)</f>
        <v>1</v>
      </c>
      <c r="M995" s="16">
        <f>VLOOKUP(I995,episodes!$A$1:$D$81,4,FALSE)</f>
        <v>1</v>
      </c>
      <c r="O995" s="14">
        <v>0</v>
      </c>
      <c r="P995" s="24">
        <f>LEN(E995)+LEN(K995)</f>
        <v>17</v>
      </c>
      <c r="Q995" s="24">
        <f>COUNTIFS(B:B,B994)</f>
        <v>160</v>
      </c>
      <c r="R995" s="24">
        <f>COUNTIFS(D:D,C995)</f>
        <v>0</v>
      </c>
    </row>
    <row r="996" spans="1:18" x14ac:dyDescent="0.3">
      <c r="A996" s="14">
        <v>2052</v>
      </c>
      <c r="B996" s="21" t="s">
        <v>742</v>
      </c>
      <c r="C996" s="21" t="s">
        <v>1684</v>
      </c>
      <c r="D996" s="21"/>
      <c r="E996" s="1" t="s">
        <v>173</v>
      </c>
      <c r="F996" s="21" t="s">
        <v>5</v>
      </c>
      <c r="G996" s="14">
        <v>1</v>
      </c>
      <c r="H996" s="14">
        <v>0</v>
      </c>
      <c r="I996" s="25">
        <v>103</v>
      </c>
      <c r="J996" s="23">
        <f>VLOOKUP(I996,episodes!$A$1:$B$76,2,FALSE)</f>
        <v>4</v>
      </c>
      <c r="K996" s="16" t="str">
        <f>VLOOKUP(I996,episodes!$A$1:$E$81,5,FALSE)</f>
        <v>Where No Man Has Gone Before</v>
      </c>
      <c r="L996" s="16">
        <f>VLOOKUP(I996,episodes!$A$1:$D$81,3,FALSE)</f>
        <v>1</v>
      </c>
      <c r="M996" s="16">
        <f>VLOOKUP(I996,episodes!$A$1:$D$81,4,FALSE)</f>
        <v>3</v>
      </c>
      <c r="O996" s="14">
        <v>0</v>
      </c>
      <c r="P996" s="24">
        <f>LEN(E996)+LEN(K996)</f>
        <v>33</v>
      </c>
      <c r="Q996" s="24">
        <f>COUNTIFS(B:B,B995)</f>
        <v>160</v>
      </c>
      <c r="R996" s="24">
        <f>COUNTIFS(D:D,C996)</f>
        <v>0</v>
      </c>
    </row>
    <row r="997" spans="1:18" x14ac:dyDescent="0.3">
      <c r="A997" s="14">
        <v>2058</v>
      </c>
      <c r="B997" s="21" t="s">
        <v>742</v>
      </c>
      <c r="C997" s="21" t="s">
        <v>1684</v>
      </c>
      <c r="D997" s="21"/>
      <c r="E997" s="1" t="s">
        <v>173</v>
      </c>
      <c r="F997" s="21" t="s">
        <v>5</v>
      </c>
      <c r="G997" s="14">
        <v>1</v>
      </c>
      <c r="H997" s="14">
        <v>0</v>
      </c>
      <c r="I997" s="22">
        <v>104</v>
      </c>
      <c r="J997" s="23">
        <f>VLOOKUP(I997,episodes!$A$1:$B$76,2,FALSE)</f>
        <v>5</v>
      </c>
      <c r="K997" s="16" t="str">
        <f>VLOOKUP(I997,episodes!$A$1:$E$81,5,FALSE)</f>
        <v>The Naked Time</v>
      </c>
      <c r="L997" s="16">
        <f>VLOOKUP(I997,episodes!$A$1:$D$81,3,FALSE)</f>
        <v>1</v>
      </c>
      <c r="M997" s="16">
        <f>VLOOKUP(I997,episodes!$A$1:$D$81,4,FALSE)</f>
        <v>4</v>
      </c>
      <c r="O997" s="14">
        <v>0</v>
      </c>
      <c r="P997" s="24">
        <f>LEN(E997)+LEN(K997)</f>
        <v>19</v>
      </c>
      <c r="Q997" s="24">
        <f>COUNTIFS(B:B,B996)</f>
        <v>160</v>
      </c>
      <c r="R997" s="24">
        <f>COUNTIFS(D:D,C997)</f>
        <v>0</v>
      </c>
    </row>
    <row r="998" spans="1:18" x14ac:dyDescent="0.3">
      <c r="A998" s="14">
        <v>2066</v>
      </c>
      <c r="B998" s="21" t="s">
        <v>742</v>
      </c>
      <c r="C998" s="21" t="s">
        <v>1684</v>
      </c>
      <c r="D998" s="21"/>
      <c r="E998" s="1" t="s">
        <v>173</v>
      </c>
      <c r="F998" s="21" t="s">
        <v>5</v>
      </c>
      <c r="G998" s="14">
        <v>1</v>
      </c>
      <c r="H998" s="14">
        <v>0</v>
      </c>
      <c r="I998" s="25">
        <v>106</v>
      </c>
      <c r="J998" s="23">
        <f>VLOOKUP(I998,episodes!$A$1:$B$81,2,FALSE)</f>
        <v>7</v>
      </c>
      <c r="K998" s="16" t="str">
        <f>VLOOKUP(I998,episodes!$A$1:$E$81,5,FALSE)</f>
        <v>Mudd's Women</v>
      </c>
      <c r="L998" s="16">
        <f>VLOOKUP(I998,episodes!$A$1:$D$81,3,FALSE)</f>
        <v>1</v>
      </c>
      <c r="M998" s="16">
        <f>VLOOKUP(I998,episodes!$A$1:$D$81,4,FALSE)</f>
        <v>6</v>
      </c>
      <c r="O998" s="14">
        <v>0</v>
      </c>
      <c r="P998" s="24">
        <f>LEN(E998)+LEN(K998)</f>
        <v>17</v>
      </c>
      <c r="Q998" s="24">
        <f>COUNTIFS(B:B,B997)</f>
        <v>160</v>
      </c>
      <c r="R998" s="24">
        <f>COUNTIFS(D:D,C998)</f>
        <v>0</v>
      </c>
    </row>
    <row r="999" spans="1:18" x14ac:dyDescent="0.3">
      <c r="A999" s="14">
        <v>2072</v>
      </c>
      <c r="B999" s="21" t="s">
        <v>742</v>
      </c>
      <c r="C999" s="21" t="s">
        <v>1684</v>
      </c>
      <c r="D999" s="21"/>
      <c r="E999" s="1" t="s">
        <v>173</v>
      </c>
      <c r="F999" s="21" t="s">
        <v>5</v>
      </c>
      <c r="G999" s="14">
        <v>1</v>
      </c>
      <c r="H999" s="14">
        <v>0</v>
      </c>
      <c r="I999" s="25">
        <v>108</v>
      </c>
      <c r="J999" s="23">
        <f>VLOOKUP(I999,episodes!$A$1:$B$76,2,FALSE)</f>
        <v>9</v>
      </c>
      <c r="K999" s="16" t="str">
        <f>VLOOKUP(I999,episodes!$A$1:$E$81,5,FALSE)</f>
        <v>Miri</v>
      </c>
      <c r="L999" s="16">
        <f>VLOOKUP(I999,episodes!$A$1:$D$81,3,FALSE)</f>
        <v>1</v>
      </c>
      <c r="M999" s="16">
        <f>VLOOKUP(I999,episodes!$A$1:$D$81,4,FALSE)</f>
        <v>8</v>
      </c>
      <c r="O999" s="14">
        <v>0</v>
      </c>
      <c r="P999" s="24">
        <f>LEN(E999)+LEN(K999)</f>
        <v>9</v>
      </c>
      <c r="Q999" s="24">
        <f>COUNTIFS(B:B,B998)</f>
        <v>160</v>
      </c>
      <c r="R999" s="24">
        <f>COUNTIFS(D:D,C999)</f>
        <v>0</v>
      </c>
    </row>
    <row r="1000" spans="1:18" x14ac:dyDescent="0.3">
      <c r="A1000" s="14">
        <v>2096</v>
      </c>
      <c r="B1000" s="21" t="s">
        <v>742</v>
      </c>
      <c r="C1000" s="21" t="s">
        <v>1684</v>
      </c>
      <c r="D1000" s="21"/>
      <c r="E1000" s="1" t="s">
        <v>173</v>
      </c>
      <c r="F1000" s="21" t="s">
        <v>5</v>
      </c>
      <c r="G1000" s="14">
        <v>1</v>
      </c>
      <c r="H1000" s="14">
        <v>0</v>
      </c>
      <c r="I1000" s="22">
        <v>116</v>
      </c>
      <c r="J1000" s="23">
        <f>VLOOKUP(I1000,episodes!$A$1:$B$76,2,FALSE)</f>
        <v>17</v>
      </c>
      <c r="K1000" s="16" t="str">
        <f>VLOOKUP(I1000,episodes!$A$1:$E$81,5,FALSE)</f>
        <v>The Galileo Seven</v>
      </c>
      <c r="L1000" s="16">
        <f>VLOOKUP(I1000,episodes!$A$1:$D$81,3,FALSE)</f>
        <v>1</v>
      </c>
      <c r="M1000" s="16">
        <f>VLOOKUP(I1000,episodes!$A$1:$D$81,4,FALSE)</f>
        <v>16</v>
      </c>
      <c r="O1000" s="14">
        <v>0</v>
      </c>
      <c r="P1000" s="24">
        <f>LEN(E1000)+LEN(K1000)</f>
        <v>22</v>
      </c>
      <c r="Q1000" s="24">
        <f>COUNTIFS(B:B,B999)</f>
        <v>160</v>
      </c>
      <c r="R1000" s="24">
        <f>COUNTIFS(D:D,C1000)</f>
        <v>0</v>
      </c>
    </row>
    <row r="1001" spans="1:18" x14ac:dyDescent="0.3">
      <c r="A1001" s="14">
        <v>2110</v>
      </c>
      <c r="B1001" s="21" t="s">
        <v>742</v>
      </c>
      <c r="C1001" s="21" t="s">
        <v>1684</v>
      </c>
      <c r="D1001" s="21"/>
      <c r="E1001" s="1" t="s">
        <v>173</v>
      </c>
      <c r="F1001" s="21" t="s">
        <v>5</v>
      </c>
      <c r="G1001" s="14">
        <v>1</v>
      </c>
      <c r="H1001" s="14">
        <v>0</v>
      </c>
      <c r="I1001" s="22">
        <v>118</v>
      </c>
      <c r="J1001" s="23">
        <f>VLOOKUP(I1001,episodes!$A$1:$B$76,2,FALSE)</f>
        <v>19</v>
      </c>
      <c r="K1001" s="16" t="str">
        <f>VLOOKUP(I1001,episodes!$A$1:$E$81,5,FALSE)</f>
        <v>Arena</v>
      </c>
      <c r="L1001" s="16">
        <f>VLOOKUP(I1001,episodes!$A$1:$D$81,3,FALSE)</f>
        <v>1</v>
      </c>
      <c r="M1001" s="16">
        <f>VLOOKUP(I1001,episodes!$A$1:$D$81,4,FALSE)</f>
        <v>18</v>
      </c>
      <c r="O1001" s="14">
        <v>0</v>
      </c>
      <c r="P1001" s="24">
        <f>LEN(E1001)+LEN(K1001)</f>
        <v>10</v>
      </c>
      <c r="Q1001" s="24">
        <f>COUNTIFS(B:B,B1000)</f>
        <v>160</v>
      </c>
      <c r="R1001" s="24">
        <f>COUNTIFS(D:D,C1001)</f>
        <v>0</v>
      </c>
    </row>
    <row r="1002" spans="1:18" x14ac:dyDescent="0.3">
      <c r="A1002" s="14">
        <v>2126</v>
      </c>
      <c r="B1002" s="21" t="s">
        <v>742</v>
      </c>
      <c r="C1002" s="21" t="s">
        <v>1684</v>
      </c>
      <c r="D1002" s="21"/>
      <c r="E1002" s="1" t="s">
        <v>173</v>
      </c>
      <c r="F1002" s="21" t="s">
        <v>5</v>
      </c>
      <c r="G1002" s="14">
        <v>1</v>
      </c>
      <c r="H1002" s="14">
        <v>0</v>
      </c>
      <c r="I1002" s="22">
        <v>121</v>
      </c>
      <c r="J1002" s="23">
        <f>VLOOKUP(I1002,episodes!$A$1:$B$76,2,FALSE)</f>
        <v>22</v>
      </c>
      <c r="K1002" s="16" t="str">
        <f>VLOOKUP(I1002,episodes!$A$1:$E$81,5,FALSE)</f>
        <v>The Return of the Archons</v>
      </c>
      <c r="L1002" s="16">
        <f>VLOOKUP(I1002,episodes!$A$1:$D$81,3,FALSE)</f>
        <v>1</v>
      </c>
      <c r="M1002" s="16">
        <f>VLOOKUP(I1002,episodes!$A$1:$D$81,4,FALSE)</f>
        <v>21</v>
      </c>
      <c r="O1002" s="14">
        <v>0</v>
      </c>
      <c r="P1002" s="24">
        <f>LEN(E1002)+LEN(K1002)</f>
        <v>30</v>
      </c>
      <c r="Q1002" s="24">
        <f>COUNTIFS(B:B,B1001)</f>
        <v>160</v>
      </c>
      <c r="R1002" s="24">
        <f>COUNTIFS(D:D,C1002)</f>
        <v>0</v>
      </c>
    </row>
    <row r="1003" spans="1:18" x14ac:dyDescent="0.3">
      <c r="A1003" s="14">
        <v>2138</v>
      </c>
      <c r="B1003" s="21" t="s">
        <v>742</v>
      </c>
      <c r="C1003" s="21" t="s">
        <v>1684</v>
      </c>
      <c r="D1003" s="21"/>
      <c r="E1003" s="1" t="s">
        <v>173</v>
      </c>
      <c r="F1003" s="21" t="s">
        <v>5</v>
      </c>
      <c r="G1003" s="14">
        <v>1</v>
      </c>
      <c r="H1003" s="14">
        <v>0</v>
      </c>
      <c r="I1003" s="22">
        <v>123</v>
      </c>
      <c r="J1003" s="23">
        <f>VLOOKUP(I1003,episodes!$A$1:$B$76,2,FALSE)</f>
        <v>24</v>
      </c>
      <c r="K1003" s="16" t="str">
        <f>VLOOKUP(I1003,episodes!$A$1:$E$81,5,FALSE)</f>
        <v>A Taste of Armageddon</v>
      </c>
      <c r="L1003" s="16">
        <f>VLOOKUP(I1003,episodes!$A$1:$D$81,3,FALSE)</f>
        <v>1</v>
      </c>
      <c r="M1003" s="16">
        <f>VLOOKUP(I1003,episodes!$A$1:$D$81,4,FALSE)</f>
        <v>23</v>
      </c>
      <c r="O1003" s="14">
        <v>0</v>
      </c>
      <c r="P1003" s="24">
        <f>LEN(E1003)+LEN(K1003)</f>
        <v>26</v>
      </c>
      <c r="Q1003" s="24">
        <f>COUNTIFS(B:B,B1002)</f>
        <v>160</v>
      </c>
      <c r="R1003" s="24">
        <f>COUNTIFS(D:D,C1003)</f>
        <v>0</v>
      </c>
    </row>
    <row r="1004" spans="1:18" x14ac:dyDescent="0.3">
      <c r="A1004" s="14">
        <v>2149</v>
      </c>
      <c r="B1004" s="21" t="s">
        <v>742</v>
      </c>
      <c r="C1004" s="21" t="s">
        <v>1684</v>
      </c>
      <c r="D1004" s="21"/>
      <c r="E1004" s="1" t="s">
        <v>173</v>
      </c>
      <c r="F1004" s="21" t="s">
        <v>5</v>
      </c>
      <c r="G1004" s="14">
        <v>1</v>
      </c>
      <c r="H1004" s="14">
        <v>0</v>
      </c>
      <c r="I1004" s="22">
        <v>124</v>
      </c>
      <c r="J1004" s="23">
        <f>VLOOKUP(I1004,episodes!$A$1:$B$76,2,FALSE)</f>
        <v>25</v>
      </c>
      <c r="K1004" s="16" t="str">
        <f>VLOOKUP(I1004,episodes!$A$1:$E$81,5,FALSE)</f>
        <v>This Side of Paradise</v>
      </c>
      <c r="L1004" s="16">
        <f>VLOOKUP(I1004,episodes!$A$1:$D$81,3,FALSE)</f>
        <v>1</v>
      </c>
      <c r="M1004" s="16">
        <f>VLOOKUP(I1004,episodes!$A$1:$D$81,4,FALSE)</f>
        <v>24</v>
      </c>
      <c r="O1004" s="14">
        <v>0</v>
      </c>
      <c r="P1004" s="24">
        <f>LEN(E1004)+LEN(K1004)</f>
        <v>26</v>
      </c>
      <c r="Q1004" s="24">
        <f>COUNTIFS(B:B,B1003)</f>
        <v>160</v>
      </c>
      <c r="R1004" s="24">
        <f>COUNTIFS(D:D,C1004)</f>
        <v>0</v>
      </c>
    </row>
    <row r="1005" spans="1:18" x14ac:dyDescent="0.3">
      <c r="A1005" s="14">
        <v>2161</v>
      </c>
      <c r="B1005" s="21" t="s">
        <v>742</v>
      </c>
      <c r="C1005" s="21" t="s">
        <v>1684</v>
      </c>
      <c r="D1005" s="21"/>
      <c r="E1005" s="1" t="s">
        <v>173</v>
      </c>
      <c r="F1005" s="21" t="s">
        <v>5</v>
      </c>
      <c r="G1005" s="14">
        <v>1</v>
      </c>
      <c r="H1005" s="14">
        <v>0</v>
      </c>
      <c r="I1005" s="22">
        <v>125</v>
      </c>
      <c r="J1005" s="23">
        <f>VLOOKUP(I1005,episodes!$A$1:$B$76,2,FALSE)</f>
        <v>26</v>
      </c>
      <c r="K1005" s="16" t="str">
        <f>VLOOKUP(I1005,episodes!$A$1:$E$81,5,FALSE)</f>
        <v>The Devil in the Dark</v>
      </c>
      <c r="L1005" s="16">
        <f>VLOOKUP(I1005,episodes!$A$1:$D$81,3,FALSE)</f>
        <v>1</v>
      </c>
      <c r="M1005" s="16">
        <f>VLOOKUP(I1005,episodes!$A$1:$D$81,4,FALSE)</f>
        <v>25</v>
      </c>
      <c r="O1005" s="14">
        <v>0</v>
      </c>
      <c r="P1005" s="24">
        <f>LEN(E1005)+LEN(K1005)</f>
        <v>26</v>
      </c>
      <c r="Q1005" s="24">
        <f>COUNTIFS(B:B,B1004)</f>
        <v>160</v>
      </c>
      <c r="R1005" s="24">
        <f>COUNTIFS(D:D,C1005)</f>
        <v>0</v>
      </c>
    </row>
    <row r="1006" spans="1:18" x14ac:dyDescent="0.3">
      <c r="A1006" s="14">
        <v>2171</v>
      </c>
      <c r="B1006" s="21" t="s">
        <v>742</v>
      </c>
      <c r="C1006" s="21" t="s">
        <v>1684</v>
      </c>
      <c r="D1006" s="21"/>
      <c r="E1006" s="1" t="s">
        <v>173</v>
      </c>
      <c r="F1006" s="21" t="s">
        <v>5</v>
      </c>
      <c r="G1006" s="14">
        <v>1</v>
      </c>
      <c r="H1006" s="14">
        <v>0</v>
      </c>
      <c r="I1006" s="26">
        <v>126</v>
      </c>
      <c r="J1006" s="23">
        <f>VLOOKUP(I1006,episodes!$A$1:$B$76,2,FALSE)</f>
        <v>27</v>
      </c>
      <c r="K1006" s="16" t="str">
        <f>VLOOKUP(I1006,episodes!$A$1:$E$81,5,FALSE)</f>
        <v>Errand of Mercy</v>
      </c>
      <c r="L1006" s="16">
        <f>VLOOKUP(I1006,episodes!$A$1:$D$81,3,FALSE)</f>
        <v>1</v>
      </c>
      <c r="M1006" s="16">
        <f>VLOOKUP(I1006,episodes!$A$1:$D$81,4,FALSE)</f>
        <v>26</v>
      </c>
      <c r="O1006" s="14">
        <v>0</v>
      </c>
      <c r="P1006" s="24">
        <f>LEN(E1006)+LEN(K1006)</f>
        <v>20</v>
      </c>
      <c r="Q1006" s="24">
        <f>COUNTIFS(B:B,B1005)</f>
        <v>160</v>
      </c>
      <c r="R1006" s="24">
        <f>COUNTIFS(D:D,C1006)</f>
        <v>0</v>
      </c>
    </row>
    <row r="1007" spans="1:18" x14ac:dyDescent="0.3">
      <c r="A1007" s="14">
        <v>2180</v>
      </c>
      <c r="B1007" s="21" t="s">
        <v>742</v>
      </c>
      <c r="C1007" s="21" t="s">
        <v>1684</v>
      </c>
      <c r="D1007" s="21"/>
      <c r="E1007" s="1" t="s">
        <v>173</v>
      </c>
      <c r="F1007" s="21" t="s">
        <v>5</v>
      </c>
      <c r="G1007" s="14">
        <v>1</v>
      </c>
      <c r="H1007" s="14">
        <v>0</v>
      </c>
      <c r="I1007" s="22">
        <v>127</v>
      </c>
      <c r="J1007" s="23">
        <f>VLOOKUP(I1007,episodes!$A$1:$B$76,2,FALSE)</f>
        <v>28</v>
      </c>
      <c r="K1007" s="16" t="str">
        <f>VLOOKUP(I1007,episodes!$A$1:$E$81,5,FALSE)</f>
        <v>The Alternative Factor</v>
      </c>
      <c r="L1007" s="16">
        <f>VLOOKUP(I1007,episodes!$A$1:$D$81,3,FALSE)</f>
        <v>1</v>
      </c>
      <c r="M1007" s="16">
        <f>VLOOKUP(I1007,episodes!$A$1:$D$81,4,FALSE)</f>
        <v>27</v>
      </c>
      <c r="O1007" s="14">
        <v>0</v>
      </c>
      <c r="P1007" s="24">
        <f>LEN(E1007)+LEN(K1007)</f>
        <v>27</v>
      </c>
      <c r="Q1007" s="24">
        <f>COUNTIFS(B:B,B1006)</f>
        <v>160</v>
      </c>
      <c r="R1007" s="24">
        <f>COUNTIFS(D:D,C1007)</f>
        <v>0</v>
      </c>
    </row>
    <row r="1008" spans="1:18" x14ac:dyDescent="0.3">
      <c r="A1008" s="14">
        <v>2193</v>
      </c>
      <c r="B1008" s="21" t="s">
        <v>742</v>
      </c>
      <c r="C1008" s="21" t="s">
        <v>1684</v>
      </c>
      <c r="D1008" s="21"/>
      <c r="E1008" s="1" t="s">
        <v>173</v>
      </c>
      <c r="F1008" s="21" t="s">
        <v>5</v>
      </c>
      <c r="G1008" s="14">
        <v>1</v>
      </c>
      <c r="H1008" s="14">
        <v>0</v>
      </c>
      <c r="I1008" s="22">
        <v>128</v>
      </c>
      <c r="J1008" s="23">
        <f>VLOOKUP(I1008,episodes!$A$1:$B$76,2,FALSE)</f>
        <v>29</v>
      </c>
      <c r="K1008" s="16" t="str">
        <f>VLOOKUP(I1008,episodes!$A$1:$E$81,5,FALSE)</f>
        <v>The City on the Edge of Forever</v>
      </c>
      <c r="L1008" s="16">
        <f>VLOOKUP(I1008,episodes!$A$1:$D$81,3,FALSE)</f>
        <v>1</v>
      </c>
      <c r="M1008" s="16">
        <f>VLOOKUP(I1008,episodes!$A$1:$D$81,4,FALSE)</f>
        <v>28</v>
      </c>
      <c r="O1008" s="14">
        <v>0</v>
      </c>
      <c r="P1008" s="24">
        <f>LEN(E1008)+LEN(K1008)</f>
        <v>36</v>
      </c>
      <c r="Q1008" s="24">
        <f>COUNTIFS(B:B,B1007)</f>
        <v>160</v>
      </c>
      <c r="R1008" s="24">
        <f>COUNTIFS(D:D,C1008)</f>
        <v>0</v>
      </c>
    </row>
    <row r="1009" spans="1:18" x14ac:dyDescent="0.3">
      <c r="A1009" s="14">
        <v>2207</v>
      </c>
      <c r="B1009" s="21" t="s">
        <v>742</v>
      </c>
      <c r="C1009" s="21" t="s">
        <v>1684</v>
      </c>
      <c r="D1009" s="21"/>
      <c r="E1009" s="1" t="s">
        <v>173</v>
      </c>
      <c r="F1009" s="21" t="s">
        <v>5</v>
      </c>
      <c r="G1009" s="14">
        <v>1</v>
      </c>
      <c r="H1009" s="14">
        <v>0</v>
      </c>
      <c r="I1009" s="22">
        <v>129</v>
      </c>
      <c r="J1009" s="23">
        <f>VLOOKUP(I1009,episodes!$A$1:$B$76,2,FALSE)</f>
        <v>30</v>
      </c>
      <c r="K1009" s="16" t="str">
        <f>VLOOKUP(I1009,episodes!$A$1:$E$81,5,FALSE)</f>
        <v>Operation: Annihilate!</v>
      </c>
      <c r="L1009" s="16">
        <f>VLOOKUP(I1009,episodes!$A$1:$D$81,3,FALSE)</f>
        <v>1</v>
      </c>
      <c r="M1009" s="16">
        <f>VLOOKUP(I1009,episodes!$A$1:$D$81,4,FALSE)</f>
        <v>29</v>
      </c>
      <c r="O1009" s="14">
        <v>0</v>
      </c>
      <c r="P1009" s="24">
        <f>LEN(E1009)+LEN(K1009)</f>
        <v>27</v>
      </c>
      <c r="Q1009" s="24">
        <f>COUNTIFS(B:B,B1008)</f>
        <v>160</v>
      </c>
      <c r="R1009" s="24">
        <f>COUNTIFS(D:D,C1009)</f>
        <v>0</v>
      </c>
    </row>
    <row r="1010" spans="1:18" x14ac:dyDescent="0.3">
      <c r="A1010" s="14">
        <v>2225</v>
      </c>
      <c r="B1010" s="21" t="s">
        <v>742</v>
      </c>
      <c r="C1010" s="21" t="s">
        <v>1684</v>
      </c>
      <c r="D1010" s="21"/>
      <c r="E1010" s="1" t="s">
        <v>173</v>
      </c>
      <c r="F1010" s="21" t="s">
        <v>5</v>
      </c>
      <c r="G1010" s="14">
        <v>1</v>
      </c>
      <c r="H1010" s="14">
        <v>0</v>
      </c>
      <c r="I1010" s="22">
        <v>201</v>
      </c>
      <c r="J1010" s="23">
        <f>VLOOKUP(I1010,episodes!$A$1:$B$76,2,FALSE)</f>
        <v>31</v>
      </c>
      <c r="K1010" s="16" t="str">
        <f>VLOOKUP(I1010,episodes!$A$1:$E$81,5,FALSE)</f>
        <v>Amok Time</v>
      </c>
      <c r="L1010" s="16">
        <f>VLOOKUP(I1010,episodes!$A$1:$D$81,3,FALSE)</f>
        <v>2</v>
      </c>
      <c r="M1010" s="16">
        <f>VLOOKUP(I1010,episodes!$A$1:$D$81,4,FALSE)</f>
        <v>1</v>
      </c>
      <c r="O1010" s="14">
        <v>0</v>
      </c>
      <c r="P1010" s="24">
        <f>LEN(E1010)+LEN(K1010)</f>
        <v>14</v>
      </c>
      <c r="Q1010" s="24">
        <f>COUNTIFS(B:B,B1009)</f>
        <v>160</v>
      </c>
      <c r="R1010" s="24">
        <f>COUNTIFS(D:D,C1010)</f>
        <v>0</v>
      </c>
    </row>
    <row r="1011" spans="1:18" x14ac:dyDescent="0.3">
      <c r="A1011" s="14">
        <v>2253</v>
      </c>
      <c r="B1011" s="21" t="s">
        <v>742</v>
      </c>
      <c r="C1011" s="21" t="s">
        <v>1684</v>
      </c>
      <c r="D1011" s="21"/>
      <c r="E1011" s="1" t="s">
        <v>173</v>
      </c>
      <c r="F1011" s="21" t="s">
        <v>5</v>
      </c>
      <c r="G1011" s="14">
        <v>1</v>
      </c>
      <c r="H1011" s="14">
        <v>0</v>
      </c>
      <c r="I1011" s="25">
        <v>205</v>
      </c>
      <c r="J1011" s="23">
        <f>VLOOKUP(I1011,episodes!$A$1:$B$81,2,FALSE)</f>
        <v>35</v>
      </c>
      <c r="K1011" s="16" t="str">
        <f>VLOOKUP(I1011,episodes!$A$1:$E$81,5,FALSE)</f>
        <v>The Apple</v>
      </c>
      <c r="L1011" s="16">
        <f>VLOOKUP(I1011,episodes!$A$1:$D$81,3,FALSE)</f>
        <v>2</v>
      </c>
      <c r="M1011" s="16">
        <f>VLOOKUP(I1011,episodes!$A$1:$D$81,4,FALSE)</f>
        <v>5</v>
      </c>
      <c r="O1011" s="14">
        <v>0</v>
      </c>
      <c r="P1011" s="24">
        <f>LEN(E1011)+LEN(K1011)</f>
        <v>14</v>
      </c>
      <c r="Q1011" s="24">
        <f>COUNTIFS(B:B,B1010)</f>
        <v>160</v>
      </c>
      <c r="R1011" s="24">
        <f>COUNTIFS(D:D,C1011)</f>
        <v>0</v>
      </c>
    </row>
    <row r="1012" spans="1:18" x14ac:dyDescent="0.3">
      <c r="A1012" s="14">
        <v>2264</v>
      </c>
      <c r="B1012" s="21" t="s">
        <v>742</v>
      </c>
      <c r="C1012" s="21" t="s">
        <v>1684</v>
      </c>
      <c r="D1012" s="21"/>
      <c r="E1012" s="1" t="s">
        <v>173</v>
      </c>
      <c r="F1012" s="21" t="s">
        <v>5</v>
      </c>
      <c r="G1012" s="14">
        <v>1</v>
      </c>
      <c r="H1012" s="14">
        <v>0</v>
      </c>
      <c r="I1012" s="25">
        <v>207</v>
      </c>
      <c r="J1012" s="23">
        <f>VLOOKUP(I1012,episodes!$A$1:$B$81,2,FALSE)</f>
        <v>37</v>
      </c>
      <c r="K1012" s="16" t="str">
        <f>VLOOKUP(I1012,episodes!$A$1:$E$81,5,FALSE)</f>
        <v>Catspaw</v>
      </c>
      <c r="L1012" s="16">
        <f>VLOOKUP(I1012,episodes!$A$1:$D$81,3,FALSE)</f>
        <v>2</v>
      </c>
      <c r="M1012" s="16">
        <f>VLOOKUP(I1012,episodes!$A$1:$D$81,4,FALSE)</f>
        <v>7</v>
      </c>
      <c r="O1012" s="14">
        <v>0</v>
      </c>
      <c r="P1012" s="24">
        <f>LEN(E1012)+LEN(K1012)</f>
        <v>12</v>
      </c>
      <c r="Q1012" s="24">
        <f>COUNTIFS(B:B,B1011)</f>
        <v>160</v>
      </c>
      <c r="R1012" s="24">
        <f>COUNTIFS(D:D,C1012)</f>
        <v>0</v>
      </c>
    </row>
    <row r="1013" spans="1:18" x14ac:dyDescent="0.3">
      <c r="A1013" s="14">
        <v>2269</v>
      </c>
      <c r="B1013" s="21" t="s">
        <v>742</v>
      </c>
      <c r="C1013" s="21" t="s">
        <v>1684</v>
      </c>
      <c r="D1013" s="21"/>
      <c r="E1013" s="1" t="s">
        <v>173</v>
      </c>
      <c r="F1013" s="21" t="s">
        <v>5</v>
      </c>
      <c r="G1013" s="14">
        <v>1</v>
      </c>
      <c r="H1013" s="14">
        <v>0</v>
      </c>
      <c r="I1013" s="22">
        <v>208</v>
      </c>
      <c r="J1013" s="23">
        <f>VLOOKUP(I1013,episodes!$A$1:$B$81,2,FALSE)</f>
        <v>38</v>
      </c>
      <c r="K1013" s="16" t="str">
        <f>VLOOKUP(I1013,episodes!$A$1:$E$81,5,FALSE)</f>
        <v>I, Mudd</v>
      </c>
      <c r="L1013" s="16">
        <f>VLOOKUP(I1013,episodes!$A$1:$D$81,3,FALSE)</f>
        <v>2</v>
      </c>
      <c r="M1013" s="16">
        <f>VLOOKUP(I1013,episodes!$A$1:$D$81,4,FALSE)</f>
        <v>8</v>
      </c>
      <c r="O1013" s="14">
        <v>0</v>
      </c>
      <c r="P1013" s="24">
        <f>LEN(E1013)+LEN(K1013)</f>
        <v>12</v>
      </c>
      <c r="Q1013" s="24">
        <f>COUNTIFS(B:B,B1012)</f>
        <v>160</v>
      </c>
      <c r="R1013" s="24">
        <f>COUNTIFS(D:D,C1013)</f>
        <v>0</v>
      </c>
    </row>
    <row r="1014" spans="1:18" x14ac:dyDescent="0.3">
      <c r="A1014" s="14">
        <v>2937</v>
      </c>
      <c r="B1014" s="21" t="s">
        <v>742</v>
      </c>
      <c r="C1014" s="21" t="s">
        <v>1684</v>
      </c>
      <c r="E1014" s="4" t="s">
        <v>5</v>
      </c>
      <c r="F1014" s="21" t="s">
        <v>5</v>
      </c>
      <c r="G1014" s="14">
        <v>1</v>
      </c>
      <c r="H1014" s="14">
        <v>0</v>
      </c>
      <c r="I1014" s="7">
        <v>211</v>
      </c>
      <c r="J1014" s="23">
        <f>VLOOKUP(I1014,episodes!$A$1:$B$81,2,FALSE)</f>
        <v>41</v>
      </c>
      <c r="K1014" s="16" t="str">
        <f>VLOOKUP(I1014,episodes!$A$1:$E$81,5,FALSE)</f>
        <v>Friday's Child</v>
      </c>
      <c r="L1014" s="16">
        <f>VLOOKUP(I1014,episodes!$A$1:$D$81,3,FALSE)</f>
        <v>2</v>
      </c>
      <c r="M1014" s="16">
        <f>VLOOKUP(I1014,episodes!$A$1:$D$81,4,FALSE)</f>
        <v>11</v>
      </c>
      <c r="O1014" s="14">
        <v>0</v>
      </c>
      <c r="P1014" s="24">
        <f>LEN(E1014)+LEN(K1014)</f>
        <v>19</v>
      </c>
      <c r="Q1014" s="24"/>
      <c r="R1014" s="24"/>
    </row>
    <row r="1015" spans="1:18" x14ac:dyDescent="0.3">
      <c r="A1015" s="14">
        <v>2432</v>
      </c>
      <c r="B1015" s="21" t="s">
        <v>742</v>
      </c>
      <c r="C1015" s="21" t="s">
        <v>1684</v>
      </c>
      <c r="D1015" s="21"/>
      <c r="E1015" s="1" t="s">
        <v>441</v>
      </c>
      <c r="F1015" s="21" t="s">
        <v>1861</v>
      </c>
      <c r="G1015" s="14">
        <v>0</v>
      </c>
      <c r="H1015" s="14">
        <v>1</v>
      </c>
      <c r="I1015" s="25">
        <v>105</v>
      </c>
      <c r="J1015" s="23">
        <f>VLOOKUP(I1015,episodes!$A$1:$B$81,2,FALSE)</f>
        <v>6</v>
      </c>
      <c r="K1015" s="16" t="str">
        <f>VLOOKUP(I1015,episodes!$A$1:$E$81,5,FALSE)</f>
        <v>The Enemy Within</v>
      </c>
      <c r="L1015" s="16">
        <f>VLOOKUP(I1015,episodes!$A$1:$D$81,3,FALSE)</f>
        <v>1</v>
      </c>
      <c r="M1015" s="16">
        <f>VLOOKUP(I1015,episodes!$A$1:$D$81,4,FALSE)</f>
        <v>5</v>
      </c>
      <c r="O1015" s="14">
        <v>0</v>
      </c>
      <c r="P1015" s="24">
        <f>LEN(E1015)+LEN(K1015)</f>
        <v>20</v>
      </c>
      <c r="Q1015" s="24">
        <f>COUNTIFS(B:B,B1014)</f>
        <v>160</v>
      </c>
      <c r="R1015" s="24">
        <f>COUNTIFS(D:D,C1015)</f>
        <v>0</v>
      </c>
    </row>
    <row r="1016" spans="1:18" x14ac:dyDescent="0.3">
      <c r="A1016" s="14">
        <v>2439</v>
      </c>
      <c r="B1016" s="21" t="s">
        <v>742</v>
      </c>
      <c r="C1016" s="21" t="s">
        <v>1684</v>
      </c>
      <c r="D1016" s="21"/>
      <c r="E1016" s="1" t="s">
        <v>441</v>
      </c>
      <c r="F1016" s="21" t="s">
        <v>1861</v>
      </c>
      <c r="G1016" s="14">
        <v>0</v>
      </c>
      <c r="H1016" s="14">
        <v>1</v>
      </c>
      <c r="I1016" s="22">
        <v>115</v>
      </c>
      <c r="J1016" s="23">
        <f>VLOOKUP(I1016,episodes!$A$1:$B$76,2,FALSE)</f>
        <v>16</v>
      </c>
      <c r="K1016" s="16" t="str">
        <f>VLOOKUP(I1016,episodes!$A$1:$E$81,5,FALSE)</f>
        <v>Shore Leave</v>
      </c>
      <c r="L1016" s="16">
        <f>VLOOKUP(I1016,episodes!$A$1:$D$81,3,FALSE)</f>
        <v>1</v>
      </c>
      <c r="M1016" s="16">
        <f>VLOOKUP(I1016,episodes!$A$1:$D$81,4,FALSE)</f>
        <v>15</v>
      </c>
      <c r="O1016" s="14">
        <v>0</v>
      </c>
      <c r="P1016" s="24">
        <f>LEN(E1016)+LEN(K1016)</f>
        <v>15</v>
      </c>
      <c r="Q1016" s="24">
        <f>COUNTIFS(B:B,B1015)</f>
        <v>160</v>
      </c>
      <c r="R1016" s="24">
        <f>COUNTIFS(D:D,C1016)</f>
        <v>0</v>
      </c>
    </row>
    <row r="1017" spans="1:18" x14ac:dyDescent="0.3">
      <c r="A1017" s="14">
        <v>2448</v>
      </c>
      <c r="B1017" s="21" t="s">
        <v>742</v>
      </c>
      <c r="C1017" s="21" t="s">
        <v>1684</v>
      </c>
      <c r="D1017" s="21"/>
      <c r="E1017" s="1" t="s">
        <v>441</v>
      </c>
      <c r="F1017" s="21" t="s">
        <v>1861</v>
      </c>
      <c r="G1017" s="14">
        <v>0</v>
      </c>
      <c r="H1017" s="14">
        <v>1</v>
      </c>
      <c r="I1017" s="22">
        <v>119</v>
      </c>
      <c r="J1017" s="23">
        <f>VLOOKUP(I1017,episodes!$A$1:$B$76,2,FALSE)</f>
        <v>20</v>
      </c>
      <c r="K1017" s="16" t="str">
        <f>VLOOKUP(I1017,episodes!$A$1:$E$81,5,FALSE)</f>
        <v>Tomorrow Is Yesterday</v>
      </c>
      <c r="L1017" s="16">
        <f>VLOOKUP(I1017,episodes!$A$1:$D$81,3,FALSE)</f>
        <v>1</v>
      </c>
      <c r="M1017" s="16">
        <f>VLOOKUP(I1017,episodes!$A$1:$D$81,4,FALSE)</f>
        <v>19</v>
      </c>
      <c r="O1017" s="14">
        <v>0</v>
      </c>
      <c r="P1017" s="24">
        <f>LEN(E1017)+LEN(K1017)</f>
        <v>25</v>
      </c>
      <c r="Q1017" s="24">
        <f>COUNTIFS(B:B,B1016)</f>
        <v>160</v>
      </c>
      <c r="R1017" s="24">
        <f>COUNTIFS(D:D,C1017)</f>
        <v>0</v>
      </c>
    </row>
    <row r="1018" spans="1:18" x14ac:dyDescent="0.3">
      <c r="A1018" s="14">
        <v>2450</v>
      </c>
      <c r="B1018" s="21" t="s">
        <v>742</v>
      </c>
      <c r="C1018" s="21" t="s">
        <v>1684</v>
      </c>
      <c r="D1018" s="21"/>
      <c r="E1018" s="1" t="s">
        <v>441</v>
      </c>
      <c r="F1018" s="21" t="s">
        <v>1861</v>
      </c>
      <c r="G1018" s="14">
        <v>0</v>
      </c>
      <c r="H1018" s="14">
        <v>1</v>
      </c>
      <c r="I1018" s="22">
        <v>121</v>
      </c>
      <c r="J1018" s="23">
        <f>VLOOKUP(I1018,episodes!$A$1:$B$76,2,FALSE)</f>
        <v>22</v>
      </c>
      <c r="K1018" s="16" t="str">
        <f>VLOOKUP(I1018,episodes!$A$1:$E$81,5,FALSE)</f>
        <v>The Return of the Archons</v>
      </c>
      <c r="L1018" s="16">
        <f>VLOOKUP(I1018,episodes!$A$1:$D$81,3,FALSE)</f>
        <v>1</v>
      </c>
      <c r="M1018" s="16">
        <f>VLOOKUP(I1018,episodes!$A$1:$D$81,4,FALSE)</f>
        <v>21</v>
      </c>
      <c r="O1018" s="14">
        <v>0</v>
      </c>
      <c r="P1018" s="24">
        <f>LEN(E1018)+LEN(K1018)</f>
        <v>29</v>
      </c>
      <c r="Q1018" s="24">
        <f>COUNTIFS(B:B,B1017)</f>
        <v>160</v>
      </c>
      <c r="R1018" s="24">
        <f>COUNTIFS(D:D,C1018)</f>
        <v>0</v>
      </c>
    </row>
    <row r="1019" spans="1:18" x14ac:dyDescent="0.3">
      <c r="A1019" s="14">
        <v>2452</v>
      </c>
      <c r="B1019" s="21" t="s">
        <v>742</v>
      </c>
      <c r="C1019" s="21" t="s">
        <v>1684</v>
      </c>
      <c r="D1019" s="21"/>
      <c r="E1019" s="1" t="s">
        <v>441</v>
      </c>
      <c r="F1019" s="21" t="s">
        <v>1861</v>
      </c>
      <c r="G1019" s="14">
        <v>0</v>
      </c>
      <c r="H1019" s="14">
        <v>1</v>
      </c>
      <c r="I1019" s="22">
        <v>124</v>
      </c>
      <c r="J1019" s="23">
        <f>VLOOKUP(I1019,episodes!$A$1:$B$76,2,FALSE)</f>
        <v>25</v>
      </c>
      <c r="K1019" s="16" t="str">
        <f>VLOOKUP(I1019,episodes!$A$1:$E$81,5,FALSE)</f>
        <v>This Side of Paradise</v>
      </c>
      <c r="L1019" s="16">
        <f>VLOOKUP(I1019,episodes!$A$1:$D$81,3,FALSE)</f>
        <v>1</v>
      </c>
      <c r="M1019" s="16">
        <f>VLOOKUP(I1019,episodes!$A$1:$D$81,4,FALSE)</f>
        <v>24</v>
      </c>
      <c r="O1019" s="14">
        <v>0</v>
      </c>
      <c r="P1019" s="24">
        <f>LEN(E1019)+LEN(K1019)</f>
        <v>25</v>
      </c>
      <c r="Q1019" s="24">
        <f>COUNTIFS(B:B,B1018)</f>
        <v>160</v>
      </c>
      <c r="R1019" s="24">
        <f>COUNTIFS(D:D,C1019)</f>
        <v>0</v>
      </c>
    </row>
    <row r="1020" spans="1:18" x14ac:dyDescent="0.3">
      <c r="A1020" s="14">
        <v>2457</v>
      </c>
      <c r="B1020" s="21" t="s">
        <v>742</v>
      </c>
      <c r="C1020" s="21" t="s">
        <v>1684</v>
      </c>
      <c r="D1020" s="21"/>
      <c r="E1020" s="1" t="s">
        <v>441</v>
      </c>
      <c r="F1020" s="21" t="s">
        <v>1861</v>
      </c>
      <c r="G1020" s="14">
        <v>0</v>
      </c>
      <c r="H1020" s="14">
        <v>1</v>
      </c>
      <c r="I1020" s="25">
        <v>207</v>
      </c>
      <c r="J1020" s="23">
        <f>VLOOKUP(I1020,episodes!$A$1:$B$81,2,FALSE)</f>
        <v>37</v>
      </c>
      <c r="K1020" s="16" t="str">
        <f>VLOOKUP(I1020,episodes!$A$1:$E$81,5,FALSE)</f>
        <v>Catspaw</v>
      </c>
      <c r="L1020" s="16">
        <f>VLOOKUP(I1020,episodes!$A$1:$D$81,3,FALSE)</f>
        <v>2</v>
      </c>
      <c r="M1020" s="16">
        <f>VLOOKUP(I1020,episodes!$A$1:$D$81,4,FALSE)</f>
        <v>7</v>
      </c>
      <c r="O1020" s="14">
        <v>0</v>
      </c>
      <c r="P1020" s="24">
        <f>LEN(E1020)+LEN(K1020)</f>
        <v>11</v>
      </c>
      <c r="Q1020" s="24">
        <f>COUNTIFS(B:B,B1019)</f>
        <v>160</v>
      </c>
      <c r="R1020" s="24">
        <f>COUNTIFS(D:D,C1020)</f>
        <v>0</v>
      </c>
    </row>
    <row r="1021" spans="1:18" x14ac:dyDescent="0.3">
      <c r="A1021" s="14">
        <v>252</v>
      </c>
      <c r="B1021" s="21" t="s">
        <v>742</v>
      </c>
      <c r="C1021" s="21" t="s">
        <v>1684</v>
      </c>
      <c r="D1021" s="21"/>
      <c r="E1021" s="1" t="s">
        <v>2538</v>
      </c>
      <c r="F1021" s="21" t="s">
        <v>2224</v>
      </c>
      <c r="G1021" s="14">
        <v>0</v>
      </c>
      <c r="H1021" s="14">
        <v>0</v>
      </c>
      <c r="I1021" s="25">
        <v>105</v>
      </c>
      <c r="J1021" s="23">
        <f>VLOOKUP(I1021,episodes!$A$1:$B$81,2,FALSE)</f>
        <v>6</v>
      </c>
      <c r="K1021" s="16" t="str">
        <f>VLOOKUP(I1021,episodes!$A$1:$E$81,5,FALSE)</f>
        <v>The Enemy Within</v>
      </c>
      <c r="L1021" s="16">
        <f>VLOOKUP(I1021,episodes!$A$1:$D$81,3,FALSE)</f>
        <v>1</v>
      </c>
      <c r="M1021" s="16">
        <f>VLOOKUP(I1021,episodes!$A$1:$D$81,4,FALSE)</f>
        <v>5</v>
      </c>
      <c r="O1021" s="14">
        <v>0</v>
      </c>
      <c r="P1021" s="24">
        <f>LEN(E1021)+LEN(K1021)</f>
        <v>30</v>
      </c>
      <c r="Q1021" s="24">
        <f>COUNTIFS(B:B,B1020)</f>
        <v>160</v>
      </c>
      <c r="R1021" s="24">
        <f>COUNTIFS(D:D,C1021)</f>
        <v>0</v>
      </c>
    </row>
    <row r="1022" spans="1:18" x14ac:dyDescent="0.3">
      <c r="A1022" s="14">
        <v>253</v>
      </c>
      <c r="B1022" s="21" t="s">
        <v>742</v>
      </c>
      <c r="C1022" s="21" t="s">
        <v>1684</v>
      </c>
      <c r="D1022" s="21"/>
      <c r="E1022" s="1" t="s">
        <v>2539</v>
      </c>
      <c r="F1022" s="21" t="s">
        <v>2224</v>
      </c>
      <c r="G1022" s="14">
        <v>0</v>
      </c>
      <c r="H1022" s="14">
        <v>0</v>
      </c>
      <c r="I1022" s="25">
        <v>105</v>
      </c>
      <c r="J1022" s="23">
        <f>VLOOKUP(I1022,episodes!$A$1:$B$81,2,FALSE)</f>
        <v>6</v>
      </c>
      <c r="K1022" s="16" t="str">
        <f>VLOOKUP(I1022,episodes!$A$1:$E$81,5,FALSE)</f>
        <v>The Enemy Within</v>
      </c>
      <c r="L1022" s="16">
        <f>VLOOKUP(I1022,episodes!$A$1:$D$81,3,FALSE)</f>
        <v>1</v>
      </c>
      <c r="M1022" s="16">
        <f>VLOOKUP(I1022,episodes!$A$1:$D$81,4,FALSE)</f>
        <v>5</v>
      </c>
      <c r="O1022" s="14">
        <v>0</v>
      </c>
      <c r="P1022" s="24">
        <f>LEN(E1022)+LEN(K1022)</f>
        <v>30</v>
      </c>
      <c r="Q1022" s="24">
        <f>COUNTIFS(B:B,B1021)</f>
        <v>160</v>
      </c>
      <c r="R1022" s="24">
        <f>COUNTIFS(D:D,C1022)</f>
        <v>0</v>
      </c>
    </row>
    <row r="1023" spans="1:18" s="21" customFormat="1" x14ac:dyDescent="0.3">
      <c r="A1023" s="14">
        <v>254</v>
      </c>
      <c r="B1023" s="21" t="s">
        <v>742</v>
      </c>
      <c r="C1023" s="21" t="s">
        <v>1684</v>
      </c>
      <c r="E1023" s="1" t="s">
        <v>2540</v>
      </c>
      <c r="F1023" s="21" t="s">
        <v>2224</v>
      </c>
      <c r="G1023" s="14">
        <v>0</v>
      </c>
      <c r="H1023" s="14">
        <v>0</v>
      </c>
      <c r="I1023" s="25">
        <v>105</v>
      </c>
      <c r="J1023" s="23">
        <f>VLOOKUP(I1023,episodes!$A$1:$B$81,2,FALSE)</f>
        <v>6</v>
      </c>
      <c r="K1023" s="16" t="str">
        <f>VLOOKUP(I1023,episodes!$A$1:$E$81,5,FALSE)</f>
        <v>The Enemy Within</v>
      </c>
      <c r="L1023" s="16">
        <f>VLOOKUP(I1023,episodes!$A$1:$D$81,3,FALSE)</f>
        <v>1</v>
      </c>
      <c r="M1023" s="16">
        <f>VLOOKUP(I1023,episodes!$A$1:$D$81,4,FALSE)</f>
        <v>5</v>
      </c>
      <c r="N1023" s="14"/>
      <c r="O1023" s="14">
        <v>0</v>
      </c>
      <c r="P1023" s="24">
        <f>LEN(E1023)+LEN(K1023)</f>
        <v>30</v>
      </c>
      <c r="Q1023" s="24">
        <f>COUNTIFS(B:B,B1022)</f>
        <v>160</v>
      </c>
      <c r="R1023" s="24">
        <f>COUNTIFS(D:D,C1023)</f>
        <v>0</v>
      </c>
    </row>
    <row r="1024" spans="1:18" s="21" customFormat="1" x14ac:dyDescent="0.3">
      <c r="A1024" s="14">
        <v>255</v>
      </c>
      <c r="B1024" s="21" t="s">
        <v>742</v>
      </c>
      <c r="C1024" s="21" t="s">
        <v>1684</v>
      </c>
      <c r="E1024" s="1" t="s">
        <v>2299</v>
      </c>
      <c r="F1024" s="21" t="s">
        <v>2224</v>
      </c>
      <c r="G1024" s="14">
        <v>0</v>
      </c>
      <c r="H1024" s="14">
        <v>0</v>
      </c>
      <c r="I1024" s="25">
        <v>105</v>
      </c>
      <c r="J1024" s="23">
        <f>VLOOKUP(I1024,episodes!$A$1:$B$81,2,FALSE)</f>
        <v>6</v>
      </c>
      <c r="K1024" s="16" t="str">
        <f>VLOOKUP(I1024,episodes!$A$1:$E$81,5,FALSE)</f>
        <v>The Enemy Within</v>
      </c>
      <c r="L1024" s="16">
        <f>VLOOKUP(I1024,episodes!$A$1:$D$81,3,FALSE)</f>
        <v>1</v>
      </c>
      <c r="M1024" s="16">
        <f>VLOOKUP(I1024,episodes!$A$1:$D$81,4,FALSE)</f>
        <v>5</v>
      </c>
      <c r="N1024" s="14"/>
      <c r="O1024" s="14">
        <v>0</v>
      </c>
      <c r="P1024" s="24">
        <f>LEN(E1024)+LEN(K1024)</f>
        <v>33</v>
      </c>
      <c r="Q1024" s="24">
        <f>COUNTIFS(B:B,B1023)</f>
        <v>160</v>
      </c>
      <c r="R1024" s="24">
        <f>COUNTIFS(D:D,C1024)</f>
        <v>0</v>
      </c>
    </row>
    <row r="1025" spans="1:18" x14ac:dyDescent="0.3">
      <c r="A1025" s="14">
        <v>207</v>
      </c>
      <c r="B1025" s="21" t="s">
        <v>742</v>
      </c>
      <c r="C1025" s="21" t="s">
        <v>1684</v>
      </c>
      <c r="D1025" s="21"/>
      <c r="E1025" s="1" t="s">
        <v>1186</v>
      </c>
      <c r="F1025" s="21" t="s">
        <v>56</v>
      </c>
      <c r="G1025" s="14">
        <v>0</v>
      </c>
      <c r="H1025" s="14">
        <v>0</v>
      </c>
      <c r="I1025" s="25">
        <v>100</v>
      </c>
      <c r="J1025" s="23">
        <f>VLOOKUP(I1025,episodes!$A$1:$B$76,2,FALSE)</f>
        <v>1</v>
      </c>
      <c r="K1025" s="16" t="str">
        <f>VLOOKUP(I1025,episodes!$A$1:$E$81,5,FALSE)</f>
        <v>The Cage</v>
      </c>
      <c r="L1025" s="16">
        <f>VLOOKUP(I1025,episodes!$A$1:$D$81,3,FALSE)</f>
        <v>1</v>
      </c>
      <c r="M1025" s="16">
        <f>VLOOKUP(I1025,episodes!$A$1:$D$81,4,FALSE)</f>
        <v>0</v>
      </c>
      <c r="O1025" s="14">
        <v>0</v>
      </c>
      <c r="P1025" s="24">
        <f>LEN(E1025)+LEN(K1025)</f>
        <v>13</v>
      </c>
      <c r="Q1025" s="24">
        <f>COUNTIFS(B:B,B1024)</f>
        <v>160</v>
      </c>
      <c r="R1025" s="24">
        <f>COUNTIFS(D:D,C1025)</f>
        <v>0</v>
      </c>
    </row>
    <row r="1026" spans="1:18" x14ac:dyDescent="0.3">
      <c r="A1026" s="14">
        <v>2525</v>
      </c>
      <c r="B1026" s="21" t="s">
        <v>742</v>
      </c>
      <c r="C1026" s="21" t="s">
        <v>1684</v>
      </c>
      <c r="D1026" s="21"/>
      <c r="E1026" s="1" t="s">
        <v>174</v>
      </c>
      <c r="F1026" s="21" t="s">
        <v>1863</v>
      </c>
      <c r="G1026" s="14">
        <v>1</v>
      </c>
      <c r="H1026" s="14">
        <v>0</v>
      </c>
      <c r="I1026" s="22">
        <v>128</v>
      </c>
      <c r="J1026" s="23">
        <f>VLOOKUP(I1026,episodes!$A$1:$B$76,2,FALSE)</f>
        <v>29</v>
      </c>
      <c r="K1026" s="16" t="str">
        <f>VLOOKUP(I1026,episodes!$A$1:$E$81,5,FALSE)</f>
        <v>The City on the Edge of Forever</v>
      </c>
      <c r="L1026" s="16">
        <f>VLOOKUP(I1026,episodes!$A$1:$D$81,3,FALSE)</f>
        <v>1</v>
      </c>
      <c r="M1026" s="16">
        <f>VLOOKUP(I1026,episodes!$A$1:$D$81,4,FALSE)</f>
        <v>28</v>
      </c>
      <c r="O1026" s="14">
        <v>0</v>
      </c>
      <c r="P1026" s="24">
        <f>LEN(E1026)+LEN(K1026)</f>
        <v>36</v>
      </c>
      <c r="Q1026" s="24">
        <f>COUNTIFS(B:B,B1025)</f>
        <v>160</v>
      </c>
      <c r="R1026" s="24">
        <f>COUNTIFS(D:D,C1026)</f>
        <v>0</v>
      </c>
    </row>
    <row r="1027" spans="1:18" x14ac:dyDescent="0.3">
      <c r="A1027" s="14">
        <v>2538</v>
      </c>
      <c r="B1027" s="21" t="s">
        <v>742</v>
      </c>
      <c r="C1027" s="21" t="s">
        <v>1684</v>
      </c>
      <c r="D1027" s="21"/>
      <c r="E1027" s="1" t="s">
        <v>174</v>
      </c>
      <c r="F1027" s="21" t="s">
        <v>1863</v>
      </c>
      <c r="G1027" s="14">
        <v>1</v>
      </c>
      <c r="H1027" s="14">
        <v>0</v>
      </c>
      <c r="I1027" s="25">
        <v>204</v>
      </c>
      <c r="J1027" s="23">
        <f>VLOOKUP(I1027,episodes!$A$1:$B$81,2,FALSE)</f>
        <v>34</v>
      </c>
      <c r="K1027" s="16" t="str">
        <f>VLOOKUP(I1027,episodes!$A$1:$E$81,5,FALSE)</f>
        <v>Mirror, Mirror</v>
      </c>
      <c r="L1027" s="16">
        <f>VLOOKUP(I1027,episodes!$A$1:$D$81,3,FALSE)</f>
        <v>2</v>
      </c>
      <c r="M1027" s="16">
        <f>VLOOKUP(I1027,episodes!$A$1:$D$81,4,FALSE)</f>
        <v>4</v>
      </c>
      <c r="O1027" s="14">
        <v>0</v>
      </c>
      <c r="P1027" s="24">
        <f>LEN(E1027)+LEN(K1027)</f>
        <v>19</v>
      </c>
      <c r="Q1027" s="24">
        <f>COUNTIFS(B:B,B1026)</f>
        <v>160</v>
      </c>
      <c r="R1027" s="24">
        <f>COUNTIFS(D:D,C1027)</f>
        <v>0</v>
      </c>
    </row>
    <row r="1028" spans="1:18" x14ac:dyDescent="0.3">
      <c r="A1028" s="14">
        <v>2540</v>
      </c>
      <c r="B1028" s="21" t="s">
        <v>742</v>
      </c>
      <c r="C1028" s="21" t="s">
        <v>1684</v>
      </c>
      <c r="D1028" s="21"/>
      <c r="E1028" s="1" t="s">
        <v>174</v>
      </c>
      <c r="F1028" s="21" t="s">
        <v>1863</v>
      </c>
      <c r="G1028" s="14">
        <v>1</v>
      </c>
      <c r="H1028" s="14">
        <v>0</v>
      </c>
      <c r="I1028" s="22">
        <v>208</v>
      </c>
      <c r="J1028" s="23">
        <f>VLOOKUP(I1028,episodes!$A$1:$B$81,2,FALSE)</f>
        <v>38</v>
      </c>
      <c r="K1028" s="16" t="str">
        <f>VLOOKUP(I1028,episodes!$A$1:$E$81,5,FALSE)</f>
        <v>I, Mudd</v>
      </c>
      <c r="L1028" s="16">
        <f>VLOOKUP(I1028,episodes!$A$1:$D$81,3,FALSE)</f>
        <v>2</v>
      </c>
      <c r="M1028" s="16">
        <f>VLOOKUP(I1028,episodes!$A$1:$D$81,4,FALSE)</f>
        <v>8</v>
      </c>
      <c r="O1028" s="14">
        <v>0</v>
      </c>
      <c r="P1028" s="24">
        <f>LEN(E1028)+LEN(K1028)</f>
        <v>12</v>
      </c>
      <c r="Q1028" s="24">
        <f>COUNTIFS(B:B,B1027)</f>
        <v>160</v>
      </c>
      <c r="R1028" s="24">
        <f>COUNTIFS(D:D,C1028)</f>
        <v>0</v>
      </c>
    </row>
    <row r="1029" spans="1:18" x14ac:dyDescent="0.3">
      <c r="A1029" s="14">
        <v>279</v>
      </c>
      <c r="B1029" s="21" t="s">
        <v>742</v>
      </c>
      <c r="C1029" s="21" t="s">
        <v>1684</v>
      </c>
      <c r="D1029" s="21"/>
      <c r="E1029" s="1" t="s">
        <v>1800</v>
      </c>
      <c r="F1029" s="21" t="s">
        <v>2240</v>
      </c>
      <c r="G1029" s="14">
        <v>0</v>
      </c>
      <c r="H1029" s="14">
        <v>0</v>
      </c>
      <c r="I1029" s="22">
        <v>115</v>
      </c>
      <c r="J1029" s="23">
        <f>VLOOKUP(I1029,episodes!$A$1:$B$76,2,FALSE)</f>
        <v>16</v>
      </c>
      <c r="K1029" s="16" t="str">
        <f>VLOOKUP(I1029,episodes!$A$1:$E$81,5,FALSE)</f>
        <v>Shore Leave</v>
      </c>
      <c r="L1029" s="16">
        <f>VLOOKUP(I1029,episodes!$A$1:$D$81,3,FALSE)</f>
        <v>1</v>
      </c>
      <c r="M1029" s="16">
        <f>VLOOKUP(I1029,episodes!$A$1:$D$81,4,FALSE)</f>
        <v>15</v>
      </c>
      <c r="O1029" s="14">
        <v>0</v>
      </c>
      <c r="P1029" s="24">
        <f>LEN(E1029)+LEN(K1029)</f>
        <v>25</v>
      </c>
      <c r="Q1029" s="24">
        <f>COUNTIFS(B:B,B1028)</f>
        <v>160</v>
      </c>
      <c r="R1029" s="24">
        <f>COUNTIFS(D:D,C1029)</f>
        <v>0</v>
      </c>
    </row>
    <row r="1030" spans="1:18" x14ac:dyDescent="0.3">
      <c r="A1030" s="14">
        <v>164</v>
      </c>
      <c r="B1030" s="21" t="s">
        <v>742</v>
      </c>
      <c r="C1030" s="21" t="s">
        <v>1684</v>
      </c>
      <c r="D1030" s="21"/>
      <c r="E1030" s="1" t="s">
        <v>1187</v>
      </c>
      <c r="F1030" s="21" t="s">
        <v>2248</v>
      </c>
      <c r="G1030" s="14">
        <v>0</v>
      </c>
      <c r="H1030" s="14">
        <v>0</v>
      </c>
      <c r="I1030" s="25">
        <v>100</v>
      </c>
      <c r="J1030" s="23">
        <f>VLOOKUP(I1030,episodes!$A$1:$B$76,2,FALSE)</f>
        <v>1</v>
      </c>
      <c r="K1030" s="16" t="str">
        <f>VLOOKUP(I1030,episodes!$A$1:$E$81,5,FALSE)</f>
        <v>The Cage</v>
      </c>
      <c r="L1030" s="16">
        <f>VLOOKUP(I1030,episodes!$A$1:$D$81,3,FALSE)</f>
        <v>1</v>
      </c>
      <c r="M1030" s="16">
        <f>VLOOKUP(I1030,episodes!$A$1:$D$81,4,FALSE)</f>
        <v>0</v>
      </c>
      <c r="O1030" s="14">
        <v>0</v>
      </c>
      <c r="P1030" s="24">
        <f>LEN(E1030)+LEN(K1030)</f>
        <v>19</v>
      </c>
      <c r="Q1030" s="24">
        <f>COUNTIFS(B:B,B1022)</f>
        <v>160</v>
      </c>
      <c r="R1030" s="24">
        <f>COUNTIFS(D:D,C1030)</f>
        <v>0</v>
      </c>
    </row>
    <row r="1031" spans="1:18" x14ac:dyDescent="0.3">
      <c r="A1031" s="14">
        <v>285</v>
      </c>
      <c r="B1031" s="21" t="s">
        <v>742</v>
      </c>
      <c r="C1031" s="21" t="s">
        <v>1684</v>
      </c>
      <c r="D1031" s="21"/>
      <c r="E1031" s="1" t="s">
        <v>1817</v>
      </c>
      <c r="F1031" s="21" t="s">
        <v>2237</v>
      </c>
      <c r="G1031" s="14">
        <v>0</v>
      </c>
      <c r="H1031" s="14">
        <v>0</v>
      </c>
      <c r="I1031" s="22">
        <v>116</v>
      </c>
      <c r="J1031" s="23">
        <f>VLOOKUP(I1031,episodes!$A$1:$B$76,2,FALSE)</f>
        <v>17</v>
      </c>
      <c r="K1031" s="16" t="str">
        <f>VLOOKUP(I1031,episodes!$A$1:$E$81,5,FALSE)</f>
        <v>The Galileo Seven</v>
      </c>
      <c r="L1031" s="16">
        <f>VLOOKUP(I1031,episodes!$A$1:$D$81,3,FALSE)</f>
        <v>1</v>
      </c>
      <c r="M1031" s="16">
        <f>VLOOKUP(I1031,episodes!$A$1:$D$81,4,FALSE)</f>
        <v>16</v>
      </c>
      <c r="O1031" s="14">
        <v>0</v>
      </c>
      <c r="P1031" s="24">
        <f>LEN(E1031)+LEN(K1031)</f>
        <v>29</v>
      </c>
      <c r="Q1031" s="24">
        <f>COUNTIFS(B:B,B1030)</f>
        <v>160</v>
      </c>
      <c r="R1031" s="24">
        <f>COUNTIFS(D:D,C1031)</f>
        <v>0</v>
      </c>
    </row>
    <row r="1032" spans="1:18" x14ac:dyDescent="0.3">
      <c r="A1032" s="14">
        <v>1872</v>
      </c>
      <c r="B1032" s="21" t="s">
        <v>742</v>
      </c>
      <c r="C1032" s="21" t="s">
        <v>1684</v>
      </c>
      <c r="D1032" s="21"/>
      <c r="E1032" s="1" t="s">
        <v>1713</v>
      </c>
      <c r="F1032" s="21" t="s">
        <v>1862</v>
      </c>
      <c r="G1032" s="14">
        <v>0</v>
      </c>
      <c r="H1032" s="14">
        <v>2</v>
      </c>
      <c r="I1032" s="25">
        <v>108</v>
      </c>
      <c r="J1032" s="23">
        <f>VLOOKUP(I1032,episodes!$A$1:$B$76,2,FALSE)</f>
        <v>9</v>
      </c>
      <c r="K1032" s="16" t="str">
        <f>VLOOKUP(I1032,episodes!$A$1:$E$81,5,FALSE)</f>
        <v>Miri</v>
      </c>
      <c r="L1032" s="16">
        <f>VLOOKUP(I1032,episodes!$A$1:$D$81,3,FALSE)</f>
        <v>1</v>
      </c>
      <c r="M1032" s="16">
        <f>VLOOKUP(I1032,episodes!$A$1:$D$81,4,FALSE)</f>
        <v>8</v>
      </c>
      <c r="O1032" s="14">
        <v>0</v>
      </c>
      <c r="P1032" s="24">
        <f>LEN(E1032)+LEN(K1032)</f>
        <v>15</v>
      </c>
      <c r="Q1032" s="24">
        <f>COUNTIFS(B:B,B1031)</f>
        <v>160</v>
      </c>
      <c r="R1032" s="24">
        <f>COUNTIFS(D:D,C1032)</f>
        <v>0</v>
      </c>
    </row>
    <row r="1033" spans="1:18" x14ac:dyDescent="0.3">
      <c r="A1033" s="14">
        <v>313</v>
      </c>
      <c r="B1033" s="21" t="s">
        <v>742</v>
      </c>
      <c r="C1033" s="21" t="s">
        <v>1684</v>
      </c>
      <c r="D1033" s="21"/>
      <c r="E1033" s="1" t="s">
        <v>2541</v>
      </c>
      <c r="F1033" s="21" t="s">
        <v>2238</v>
      </c>
      <c r="G1033" s="14">
        <v>0</v>
      </c>
      <c r="H1033" s="14">
        <v>0</v>
      </c>
      <c r="I1033" s="22">
        <v>123</v>
      </c>
      <c r="J1033" s="23">
        <f>VLOOKUP(I1033,episodes!$A$1:$B$76,2,FALSE)</f>
        <v>24</v>
      </c>
      <c r="K1033" s="16" t="str">
        <f>VLOOKUP(I1033,episodes!$A$1:$E$81,5,FALSE)</f>
        <v>A Taste of Armageddon</v>
      </c>
      <c r="L1033" s="16">
        <f>VLOOKUP(I1033,episodes!$A$1:$D$81,3,FALSE)</f>
        <v>1</v>
      </c>
      <c r="M1033" s="16">
        <f>VLOOKUP(I1033,episodes!$A$1:$D$81,4,FALSE)</f>
        <v>23</v>
      </c>
      <c r="O1033" s="14">
        <v>0</v>
      </c>
      <c r="P1033" s="24">
        <f>LEN(E1033)+LEN(K1033)</f>
        <v>34</v>
      </c>
      <c r="Q1033" s="24">
        <f>COUNTIFS(B:B,B1032)</f>
        <v>160</v>
      </c>
      <c r="R1033" s="24">
        <f>COUNTIFS(D:D,C1033)</f>
        <v>0</v>
      </c>
    </row>
    <row r="1034" spans="1:18" x14ac:dyDescent="0.3">
      <c r="A1034" s="14">
        <v>348</v>
      </c>
      <c r="B1034" s="21" t="s">
        <v>742</v>
      </c>
      <c r="C1034" s="21" t="s">
        <v>1684</v>
      </c>
      <c r="D1034" s="21"/>
      <c r="E1034" s="1" t="s">
        <v>2542</v>
      </c>
      <c r="F1034" s="21" t="s">
        <v>2239</v>
      </c>
      <c r="G1034" s="14">
        <v>0</v>
      </c>
      <c r="H1034" s="14">
        <v>0</v>
      </c>
      <c r="I1034" s="22">
        <v>129</v>
      </c>
      <c r="J1034" s="23">
        <f>VLOOKUP(I1034,episodes!$A$1:$B$76,2,FALSE)</f>
        <v>30</v>
      </c>
      <c r="K1034" s="16" t="str">
        <f>VLOOKUP(I1034,episodes!$A$1:$E$81,5,FALSE)</f>
        <v>Operation: Annihilate!</v>
      </c>
      <c r="L1034" s="16">
        <f>VLOOKUP(I1034,episodes!$A$1:$D$81,3,FALSE)</f>
        <v>1</v>
      </c>
      <c r="M1034" s="16">
        <f>VLOOKUP(I1034,episodes!$A$1:$D$81,4,FALSE)</f>
        <v>29</v>
      </c>
      <c r="O1034" s="14">
        <v>0</v>
      </c>
      <c r="P1034" s="24">
        <f>LEN(E1034)+LEN(K1034)</f>
        <v>34</v>
      </c>
      <c r="Q1034" s="24">
        <f>COUNTIFS(B:B,B1033)</f>
        <v>160</v>
      </c>
      <c r="R1034" s="24">
        <f>COUNTIFS(D:D,C1034)</f>
        <v>0</v>
      </c>
    </row>
    <row r="1035" spans="1:18" x14ac:dyDescent="0.3">
      <c r="A1035" s="14">
        <v>1767</v>
      </c>
      <c r="B1035" s="21" t="s">
        <v>307</v>
      </c>
      <c r="C1035" s="21" t="s">
        <v>143</v>
      </c>
      <c r="D1035" s="1" t="s">
        <v>2902</v>
      </c>
      <c r="E1035" s="1" t="s">
        <v>1102</v>
      </c>
      <c r="F1035" s="21" t="s">
        <v>2320</v>
      </c>
      <c r="G1035" s="14">
        <v>0</v>
      </c>
      <c r="H1035" s="14">
        <v>0</v>
      </c>
      <c r="I1035" s="25">
        <v>106</v>
      </c>
      <c r="J1035" s="23">
        <f>VLOOKUP(I1035,episodes!$A$1:$B$76,2,FALSE)</f>
        <v>7</v>
      </c>
      <c r="K1035" s="16" t="str">
        <f>VLOOKUP(I1035,episodes!$A$1:$E$81,5,FALSE)</f>
        <v>Mudd's Women</v>
      </c>
      <c r="L1035" s="16">
        <f>VLOOKUP(I1035,episodes!$A$1:$D$81,3,FALSE)</f>
        <v>1</v>
      </c>
      <c r="M1035" s="16">
        <f>VLOOKUP(I1035,episodes!$A$1:$D$81,4,FALSE)</f>
        <v>6</v>
      </c>
      <c r="O1035" s="14">
        <v>0</v>
      </c>
      <c r="P1035" s="24">
        <f>LEN(E1035)+LEN(K1035)</f>
        <v>94</v>
      </c>
      <c r="Q1035" s="24">
        <f>COUNTIFS(B:B,B1034)</f>
        <v>160</v>
      </c>
      <c r="R1035" s="24">
        <f>COUNTIFS(D:D,D1035)</f>
        <v>1</v>
      </c>
    </row>
    <row r="1036" spans="1:18" x14ac:dyDescent="0.3">
      <c r="A1036" s="14">
        <v>1809</v>
      </c>
      <c r="B1036" s="21" t="s">
        <v>66</v>
      </c>
      <c r="C1036" s="21" t="s">
        <v>143</v>
      </c>
      <c r="D1036" s="1" t="s">
        <v>2874</v>
      </c>
      <c r="E1036" s="1" t="s">
        <v>430</v>
      </c>
      <c r="F1036" s="21" t="s">
        <v>2233</v>
      </c>
      <c r="G1036" s="14">
        <v>0</v>
      </c>
      <c r="H1036" s="14">
        <v>0</v>
      </c>
      <c r="I1036" s="14">
        <v>202</v>
      </c>
      <c r="J1036" s="23">
        <f>VLOOKUP(I1036,episodes!$A$1:$B$76,2,FALSE)</f>
        <v>32</v>
      </c>
      <c r="K1036" s="16" t="str">
        <f>VLOOKUP(I1036,episodes!$A$1:$E$81,5,FALSE)</f>
        <v>Who Mourns for Adonais?</v>
      </c>
      <c r="L1036" s="16">
        <f>VLOOKUP(I1036,episodes!$A$1:$D$81,3,FALSE)</f>
        <v>2</v>
      </c>
      <c r="M1036" s="16">
        <f>VLOOKUP(I1036,episodes!$A$1:$D$81,4,FALSE)</f>
        <v>2</v>
      </c>
      <c r="O1036" s="14">
        <v>0</v>
      </c>
      <c r="P1036" s="24">
        <f>LEN(E1036)+LEN(K1036)</f>
        <v>74</v>
      </c>
      <c r="Q1036" s="24">
        <f>COUNTIFS(B:B,B1035)</f>
        <v>2</v>
      </c>
      <c r="R1036" s="24">
        <f>COUNTIFS(D:D,D1036)</f>
        <v>1</v>
      </c>
    </row>
    <row r="1037" spans="1:18" x14ac:dyDescent="0.3">
      <c r="A1037" s="14">
        <v>1673</v>
      </c>
      <c r="B1037" s="21" t="s">
        <v>255</v>
      </c>
      <c r="C1037" s="21" t="s">
        <v>143</v>
      </c>
      <c r="D1037" s="1" t="s">
        <v>2627</v>
      </c>
      <c r="E1037" s="1" t="s">
        <v>1792</v>
      </c>
      <c r="F1037" s="21" t="s">
        <v>8</v>
      </c>
      <c r="G1037" s="14">
        <v>0</v>
      </c>
      <c r="H1037" s="14">
        <v>1</v>
      </c>
      <c r="I1037" s="22">
        <v>115</v>
      </c>
      <c r="J1037" s="23">
        <f>VLOOKUP(I1037,episodes!$A$1:$B$76,2,FALSE)</f>
        <v>16</v>
      </c>
      <c r="K1037" s="16" t="str">
        <f>VLOOKUP(I1037,episodes!$A$1:$E$81,5,FALSE)</f>
        <v>Shore Leave</v>
      </c>
      <c r="L1037" s="16">
        <f>VLOOKUP(I1037,episodes!$A$1:$D$81,3,FALSE)</f>
        <v>1</v>
      </c>
      <c r="M1037" s="16">
        <f>VLOOKUP(I1037,episodes!$A$1:$D$81,4,FALSE)</f>
        <v>15</v>
      </c>
      <c r="O1037" s="14">
        <v>0</v>
      </c>
      <c r="P1037" s="24">
        <f>LEN(E1037)+LEN(K1037)</f>
        <v>106</v>
      </c>
      <c r="Q1037" s="24"/>
      <c r="R1037" s="24"/>
    </row>
    <row r="1038" spans="1:18" x14ac:dyDescent="0.3">
      <c r="A1038" s="14">
        <v>1678</v>
      </c>
      <c r="B1038" s="21" t="s">
        <v>289</v>
      </c>
      <c r="C1038" s="21" t="s">
        <v>143</v>
      </c>
      <c r="D1038" s="21" t="s">
        <v>2629</v>
      </c>
      <c r="E1038" s="1" t="s">
        <v>2551</v>
      </c>
      <c r="F1038" s="21" t="s">
        <v>8</v>
      </c>
      <c r="G1038" s="14">
        <v>0</v>
      </c>
      <c r="H1038" s="14">
        <v>1</v>
      </c>
      <c r="I1038" s="22">
        <v>115</v>
      </c>
      <c r="J1038" s="23">
        <f>VLOOKUP(I1038,episodes!$A$1:$B$76,2,FALSE)</f>
        <v>16</v>
      </c>
      <c r="K1038" s="16" t="str">
        <f>VLOOKUP(I1038,episodes!$A$1:$E$81,5,FALSE)</f>
        <v>Shore Leave</v>
      </c>
      <c r="L1038" s="16">
        <f>VLOOKUP(I1038,episodes!$A$1:$D$81,3,FALSE)</f>
        <v>1</v>
      </c>
      <c r="M1038" s="16">
        <f>VLOOKUP(I1038,episodes!$A$1:$D$81,4,FALSE)</f>
        <v>15</v>
      </c>
      <c r="O1038" s="14">
        <v>0</v>
      </c>
      <c r="P1038" s="24">
        <f>LEN(E1038)+LEN(K1038)</f>
        <v>99</v>
      </c>
      <c r="Q1038" s="24">
        <f>COUNTIFS(B:B,B1037)</f>
        <v>1</v>
      </c>
      <c r="R1038" s="24">
        <f>COUNTIFS(D:D,D1038)</f>
        <v>2</v>
      </c>
    </row>
    <row r="1039" spans="1:18" x14ac:dyDescent="0.3">
      <c r="A1039" s="14">
        <v>2006</v>
      </c>
      <c r="B1039" s="21" t="s">
        <v>289</v>
      </c>
      <c r="C1039" s="21" t="s">
        <v>143</v>
      </c>
      <c r="D1039" s="21" t="s">
        <v>2629</v>
      </c>
      <c r="E1039" s="1" t="s">
        <v>433</v>
      </c>
      <c r="F1039" s="21" t="s">
        <v>6</v>
      </c>
      <c r="G1039" s="14">
        <v>0</v>
      </c>
      <c r="H1039" s="14">
        <v>1</v>
      </c>
      <c r="I1039" s="22">
        <v>202</v>
      </c>
      <c r="J1039" s="23">
        <f>VLOOKUP(I1039,episodes!$A$1:$B$76,2,FALSE)</f>
        <v>32</v>
      </c>
      <c r="K1039" s="16" t="str">
        <f>VLOOKUP(I1039,episodes!$A$1:$E$81,5,FALSE)</f>
        <v>Who Mourns for Adonais?</v>
      </c>
      <c r="L1039" s="16">
        <f>VLOOKUP(I1039,episodes!$A$1:$D$81,3,FALSE)</f>
        <v>2</v>
      </c>
      <c r="M1039" s="16">
        <f>VLOOKUP(I1039,episodes!$A$1:$D$81,4,FALSE)</f>
        <v>2</v>
      </c>
      <c r="O1039" s="14">
        <v>0</v>
      </c>
      <c r="P1039" s="24">
        <f>LEN(E1039)+LEN(K1039)</f>
        <v>98</v>
      </c>
      <c r="Q1039" s="24">
        <f>COUNTIFS(B:B,B1038)</f>
        <v>2</v>
      </c>
      <c r="R1039" s="24">
        <f>COUNTIFS(D:D,D1039)</f>
        <v>2</v>
      </c>
    </row>
    <row r="1040" spans="1:18" x14ac:dyDescent="0.3">
      <c r="A1040" s="14">
        <v>2902</v>
      </c>
      <c r="B1040" s="21" t="s">
        <v>287</v>
      </c>
      <c r="C1040" s="1" t="s">
        <v>143</v>
      </c>
      <c r="D1040" s="1" t="s">
        <v>2622</v>
      </c>
      <c r="E1040" s="1" t="s">
        <v>2595</v>
      </c>
      <c r="F1040" s="21" t="s">
        <v>4</v>
      </c>
      <c r="G1040" s="14">
        <v>0</v>
      </c>
      <c r="H1040" s="14">
        <v>0</v>
      </c>
      <c r="I1040" s="25">
        <v>107</v>
      </c>
      <c r="J1040" s="23">
        <f>VLOOKUP(I1040,episodes!$A$1:$B$76,2,FALSE)</f>
        <v>8</v>
      </c>
      <c r="K1040" s="16" t="str">
        <f>VLOOKUP(I1040,episodes!$A$1:$E$81,5,FALSE)</f>
        <v>What Are Little Girls Made Of?</v>
      </c>
      <c r="L1040" s="16">
        <f>VLOOKUP(I1040,episodes!$A$1:$D$81,3,FALSE)</f>
        <v>1</v>
      </c>
      <c r="M1040" s="16">
        <f>VLOOKUP(I1040,episodes!$A$1:$D$81,4,FALSE)</f>
        <v>7</v>
      </c>
      <c r="O1040" s="14">
        <v>0</v>
      </c>
      <c r="P1040" s="24">
        <f>LEN(E1040)+LEN(K1040)</f>
        <v>108</v>
      </c>
      <c r="Q1040" s="24"/>
      <c r="R1040" s="24"/>
    </row>
    <row r="1041" spans="1:18" x14ac:dyDescent="0.3">
      <c r="A1041" s="14">
        <v>1206</v>
      </c>
      <c r="B1041" s="21" t="s">
        <v>287</v>
      </c>
      <c r="C1041" s="1" t="s">
        <v>143</v>
      </c>
      <c r="D1041" s="1" t="s">
        <v>2622</v>
      </c>
      <c r="E1041" s="1" t="s">
        <v>2091</v>
      </c>
      <c r="F1041" s="21" t="s">
        <v>4</v>
      </c>
      <c r="G1041" s="14">
        <v>0</v>
      </c>
      <c r="H1041" s="14">
        <v>0</v>
      </c>
      <c r="I1041" s="22">
        <v>120</v>
      </c>
      <c r="J1041" s="23">
        <f>VLOOKUP(I1041,episodes!$A$1:$B$76,2,FALSE)</f>
        <v>21</v>
      </c>
      <c r="K1041" s="16" t="str">
        <f>VLOOKUP(I1041,episodes!$A$1:$E$81,5,FALSE)</f>
        <v>Court Martial</v>
      </c>
      <c r="L1041" s="16">
        <f>VLOOKUP(I1041,episodes!$A$1:$D$81,3,FALSE)</f>
        <v>1</v>
      </c>
      <c r="M1041" s="16">
        <f>VLOOKUP(I1041,episodes!$A$1:$D$81,4,FALSE)</f>
        <v>20</v>
      </c>
      <c r="O1041" s="14">
        <v>0</v>
      </c>
      <c r="P1041" s="24">
        <f>LEN(E1041)+LEN(K1041)</f>
        <v>70</v>
      </c>
      <c r="Q1041" s="24"/>
      <c r="R1041" s="24"/>
    </row>
    <row r="1042" spans="1:18" x14ac:dyDescent="0.3">
      <c r="A1042" s="14">
        <v>244</v>
      </c>
      <c r="B1042" s="21" t="s">
        <v>287</v>
      </c>
      <c r="C1042" s="1" t="s">
        <v>143</v>
      </c>
      <c r="D1042" s="1" t="s">
        <v>2622</v>
      </c>
      <c r="E1042" s="1" t="s">
        <v>1124</v>
      </c>
      <c r="F1042" s="21" t="s">
        <v>2225</v>
      </c>
      <c r="G1042" s="14">
        <v>0</v>
      </c>
      <c r="H1042" s="14">
        <v>0</v>
      </c>
      <c r="I1042" s="14">
        <v>209</v>
      </c>
      <c r="J1042" s="23">
        <f>VLOOKUP(I1042,episodes!$A$1:$B$81,2,FALSE)</f>
        <v>39</v>
      </c>
      <c r="K1042" s="16" t="str">
        <f>VLOOKUP(I1042,episodes!$A$1:$E$81,5,FALSE)</f>
        <v>Metamorphosis</v>
      </c>
      <c r="L1042" s="16">
        <f>VLOOKUP(I1042,episodes!$A$1:$D$81,3,FALSE)</f>
        <v>2</v>
      </c>
      <c r="M1042" s="16">
        <f>VLOOKUP(I1042,episodes!$A$1:$D$81,4,FALSE)</f>
        <v>9</v>
      </c>
      <c r="O1042" s="14">
        <v>0</v>
      </c>
      <c r="P1042" s="24">
        <f>LEN(E1042)+LEN(K1042)</f>
        <v>95</v>
      </c>
      <c r="Q1042" s="24">
        <f>COUNTIFS(B:B,#REF!)</f>
        <v>0</v>
      </c>
      <c r="R1042" s="24">
        <f>COUNTIFS(D:D,C1042)</f>
        <v>0</v>
      </c>
    </row>
    <row r="1043" spans="1:18" x14ac:dyDescent="0.3">
      <c r="A1043" s="14">
        <v>1749</v>
      </c>
      <c r="B1043" s="21" t="s">
        <v>287</v>
      </c>
      <c r="C1043" s="1" t="s">
        <v>143</v>
      </c>
      <c r="D1043" s="1" t="s">
        <v>2622</v>
      </c>
      <c r="E1043" s="1" t="s">
        <v>1478</v>
      </c>
      <c r="F1043" s="21" t="s">
        <v>2298</v>
      </c>
      <c r="G1043" s="14">
        <v>0</v>
      </c>
      <c r="H1043" s="14">
        <v>0</v>
      </c>
      <c r="I1043" s="25">
        <v>103</v>
      </c>
      <c r="J1043" s="23">
        <f>VLOOKUP(I1043,episodes!$A$1:$B$76,2,FALSE)</f>
        <v>4</v>
      </c>
      <c r="K1043" s="16" t="str">
        <f>VLOOKUP(I1043,episodes!$A$1:$E$81,5,FALSE)</f>
        <v>Where No Man Has Gone Before</v>
      </c>
      <c r="L1043" s="16">
        <f>VLOOKUP(I1043,episodes!$A$1:$D$81,3,FALSE)</f>
        <v>1</v>
      </c>
      <c r="M1043" s="16">
        <f>VLOOKUP(I1043,episodes!$A$1:$D$81,4,FALSE)</f>
        <v>3</v>
      </c>
      <c r="O1043" s="14">
        <v>0</v>
      </c>
      <c r="P1043" s="24">
        <f>LEN(E1043)+LEN(K1043)</f>
        <v>123</v>
      </c>
      <c r="Q1043" s="24"/>
      <c r="R1043" s="24"/>
    </row>
    <row r="1044" spans="1:18" x14ac:dyDescent="0.3">
      <c r="A1044" s="14">
        <v>1146</v>
      </c>
      <c r="B1044" s="21" t="s">
        <v>287</v>
      </c>
      <c r="C1044" s="1" t="s">
        <v>143</v>
      </c>
      <c r="D1044" s="1" t="s">
        <v>2622</v>
      </c>
      <c r="E1044" s="1" t="s">
        <v>1742</v>
      </c>
      <c r="F1044" s="21" t="s">
        <v>4</v>
      </c>
      <c r="G1044" s="14">
        <v>0</v>
      </c>
      <c r="H1044" s="14">
        <v>0</v>
      </c>
      <c r="I1044" s="25">
        <v>109</v>
      </c>
      <c r="J1044" s="23">
        <f>VLOOKUP(I1044,episodes!$A$1:$B$76,2,FALSE)</f>
        <v>10</v>
      </c>
      <c r="K1044" s="16" t="str">
        <f>VLOOKUP(I1044,episodes!$A$1:$E$81,5,FALSE)</f>
        <v>Dagger of the Mind</v>
      </c>
      <c r="L1044" s="16">
        <f>VLOOKUP(I1044,episodes!$A$1:$D$81,3,FALSE)</f>
        <v>1</v>
      </c>
      <c r="M1044" s="16">
        <f>VLOOKUP(I1044,episodes!$A$1:$D$81,4,FALSE)</f>
        <v>9</v>
      </c>
      <c r="O1044" s="14">
        <v>0</v>
      </c>
      <c r="P1044" s="24">
        <f>LEN(E1044)+LEN(K1044)</f>
        <v>107</v>
      </c>
      <c r="Q1044" s="24"/>
      <c r="R1044" s="24"/>
    </row>
    <row r="1045" spans="1:18" x14ac:dyDescent="0.3">
      <c r="A1045" s="14">
        <v>1005</v>
      </c>
      <c r="B1045" s="21" t="s">
        <v>287</v>
      </c>
      <c r="C1045" s="1" t="s">
        <v>143</v>
      </c>
      <c r="D1045" s="1" t="s">
        <v>2622</v>
      </c>
      <c r="E1045" s="1" t="s">
        <v>1151</v>
      </c>
      <c r="F1045" s="21" t="s">
        <v>4</v>
      </c>
      <c r="G1045" s="14">
        <v>0</v>
      </c>
      <c r="H1045" s="14">
        <v>0</v>
      </c>
      <c r="I1045" s="22">
        <v>124</v>
      </c>
      <c r="J1045" s="23">
        <f>VLOOKUP(I1045,episodes!$A$1:$B$76,2,FALSE)</f>
        <v>25</v>
      </c>
      <c r="K1045" s="16" t="str">
        <f>VLOOKUP(I1045,episodes!$A$1:$E$81,5,FALSE)</f>
        <v>This Side of Paradise</v>
      </c>
      <c r="L1045" s="16">
        <f>VLOOKUP(I1045,episodes!$A$1:$D$81,3,FALSE)</f>
        <v>1</v>
      </c>
      <c r="M1045" s="16">
        <f>VLOOKUP(I1045,episodes!$A$1:$D$81,4,FALSE)</f>
        <v>24</v>
      </c>
      <c r="O1045" s="14">
        <v>0</v>
      </c>
      <c r="P1045" s="24">
        <f>LEN(E1045)+LEN(K1045)</f>
        <v>33</v>
      </c>
      <c r="Q1045" s="24"/>
      <c r="R1045" s="24"/>
    </row>
    <row r="1046" spans="1:18" x14ac:dyDescent="0.3">
      <c r="A1046" s="14">
        <v>2988</v>
      </c>
      <c r="B1046" s="21" t="s">
        <v>287</v>
      </c>
      <c r="C1046" s="1" t="s">
        <v>143</v>
      </c>
      <c r="D1046" s="1" t="s">
        <v>2622</v>
      </c>
      <c r="E1046" s="1" t="s">
        <v>2812</v>
      </c>
      <c r="F1046" s="21" t="s">
        <v>2811</v>
      </c>
      <c r="G1046" s="14">
        <v>0</v>
      </c>
      <c r="H1046" s="14">
        <v>0</v>
      </c>
      <c r="I1046" s="22">
        <v>211</v>
      </c>
      <c r="J1046" s="23">
        <f>VLOOKUP(I1046,episodes!$A$1:$B$76,2,FALSE)</f>
        <v>41</v>
      </c>
      <c r="K1046" s="16" t="str">
        <f>VLOOKUP(I1046,episodes!$A$1:$E$81,5,FALSE)</f>
        <v>Friday's Child</v>
      </c>
      <c r="L1046" s="16">
        <f>VLOOKUP(I1046,episodes!$A$1:$D$81,3,FALSE)</f>
        <v>2</v>
      </c>
      <c r="M1046" s="16">
        <f>VLOOKUP(I1046,episodes!$A$1:$D$81,4,FALSE)</f>
        <v>11</v>
      </c>
      <c r="O1046" s="14">
        <v>0</v>
      </c>
      <c r="P1046" s="24">
        <f>LEN(E1046)+LEN(K1046)</f>
        <v>45</v>
      </c>
      <c r="Q1046" s="24"/>
      <c r="R1046" s="24"/>
    </row>
    <row r="1047" spans="1:18" x14ac:dyDescent="0.3">
      <c r="A1047" s="14">
        <v>993</v>
      </c>
      <c r="B1047" s="21" t="s">
        <v>287</v>
      </c>
      <c r="C1047" s="1" t="s">
        <v>143</v>
      </c>
      <c r="D1047" s="1" t="s">
        <v>2622</v>
      </c>
      <c r="E1047" s="1" t="s">
        <v>1303</v>
      </c>
      <c r="F1047" s="21" t="s">
        <v>4</v>
      </c>
      <c r="G1047" s="14">
        <v>0</v>
      </c>
      <c r="H1047" s="14">
        <v>0</v>
      </c>
      <c r="I1047" s="22">
        <v>119</v>
      </c>
      <c r="J1047" s="23">
        <f>VLOOKUP(I1047,episodes!$A$1:$B$76,2,FALSE)</f>
        <v>20</v>
      </c>
      <c r="K1047" s="16" t="str">
        <f>VLOOKUP(I1047,episodes!$A$1:$E$81,5,FALSE)</f>
        <v>Tomorrow Is Yesterday</v>
      </c>
      <c r="L1047" s="16">
        <f>VLOOKUP(I1047,episodes!$A$1:$D$81,3,FALSE)</f>
        <v>1</v>
      </c>
      <c r="M1047" s="16">
        <f>VLOOKUP(I1047,episodes!$A$1:$D$81,4,FALSE)</f>
        <v>19</v>
      </c>
      <c r="O1047" s="14">
        <v>0</v>
      </c>
      <c r="P1047" s="24">
        <f>LEN(E1047)+LEN(K1047)</f>
        <v>98</v>
      </c>
      <c r="Q1047" s="24">
        <f>COUNTIFS(B:B,B1046)</f>
        <v>30</v>
      </c>
      <c r="R1047" s="24">
        <f>COUNTIFS(D:D,C1047)</f>
        <v>0</v>
      </c>
    </row>
    <row r="1048" spans="1:18" x14ac:dyDescent="0.3">
      <c r="A1048" s="14">
        <v>1694</v>
      </c>
      <c r="B1048" s="21" t="s">
        <v>287</v>
      </c>
      <c r="C1048" s="1" t="s">
        <v>143</v>
      </c>
      <c r="D1048" s="1" t="s">
        <v>2622</v>
      </c>
      <c r="E1048" s="1" t="s">
        <v>1566</v>
      </c>
      <c r="F1048" s="21" t="s">
        <v>4</v>
      </c>
      <c r="G1048" s="14">
        <v>0</v>
      </c>
      <c r="H1048" s="14">
        <v>0</v>
      </c>
      <c r="I1048" s="25">
        <v>106</v>
      </c>
      <c r="J1048" s="23">
        <f>VLOOKUP(I1048,episodes!$A$1:$B$76,2,FALSE)</f>
        <v>7</v>
      </c>
      <c r="K1048" s="16" t="str">
        <f>VLOOKUP(I1048,episodes!$A$1:$E$81,5,FALSE)</f>
        <v>Mudd's Women</v>
      </c>
      <c r="L1048" s="16">
        <f>VLOOKUP(I1048,episodes!$A$1:$D$81,3,FALSE)</f>
        <v>1</v>
      </c>
      <c r="M1048" s="16">
        <f>VLOOKUP(I1048,episodes!$A$1:$D$81,4,FALSE)</f>
        <v>6</v>
      </c>
      <c r="O1048" s="14">
        <v>0</v>
      </c>
      <c r="P1048" s="24">
        <f>LEN(E1048)+LEN(K1048)</f>
        <v>23</v>
      </c>
      <c r="Q1048" s="24"/>
      <c r="R1048" s="24"/>
    </row>
    <row r="1049" spans="1:18" x14ac:dyDescent="0.3">
      <c r="A1049" s="14">
        <v>2901</v>
      </c>
      <c r="B1049" s="21" t="s">
        <v>287</v>
      </c>
      <c r="C1049" s="1" t="s">
        <v>143</v>
      </c>
      <c r="D1049" s="1" t="s">
        <v>2622</v>
      </c>
      <c r="E1049" s="1" t="s">
        <v>2552</v>
      </c>
      <c r="F1049" s="21" t="s">
        <v>4</v>
      </c>
      <c r="G1049" s="14">
        <v>0</v>
      </c>
      <c r="H1049" s="14">
        <v>0</v>
      </c>
      <c r="I1049" s="22">
        <v>120</v>
      </c>
      <c r="J1049" s="23">
        <f>VLOOKUP(I1049,episodes!$A$1:$B$76,2,FALSE)</f>
        <v>21</v>
      </c>
      <c r="K1049" s="16" t="str">
        <f>VLOOKUP(I1049,episodes!$A$1:$E$81,5,FALSE)</f>
        <v>Court Martial</v>
      </c>
      <c r="L1049" s="16">
        <f>VLOOKUP(I1049,episodes!$A$1:$D$81,3,FALSE)</f>
        <v>1</v>
      </c>
      <c r="M1049" s="16">
        <f>VLOOKUP(I1049,episodes!$A$1:$D$81,4,FALSE)</f>
        <v>20</v>
      </c>
      <c r="O1049" s="14">
        <v>0</v>
      </c>
      <c r="P1049" s="24">
        <f>LEN(E1049)+LEN(K1049)</f>
        <v>48</v>
      </c>
      <c r="Q1049" s="24"/>
      <c r="R1049" s="24"/>
    </row>
    <row r="1050" spans="1:18" x14ac:dyDescent="0.3">
      <c r="A1050" s="14">
        <v>2358</v>
      </c>
      <c r="B1050" s="21" t="s">
        <v>287</v>
      </c>
      <c r="C1050" s="1" t="s">
        <v>143</v>
      </c>
      <c r="D1050" s="1" t="s">
        <v>2622</v>
      </c>
      <c r="E1050" s="1" t="s">
        <v>788</v>
      </c>
      <c r="F1050" s="21" t="s">
        <v>5</v>
      </c>
      <c r="G1050" s="14">
        <v>0</v>
      </c>
      <c r="H1050" s="14">
        <v>0</v>
      </c>
      <c r="I1050" s="22">
        <v>124</v>
      </c>
      <c r="J1050" s="23">
        <f>VLOOKUP(I1050,episodes!$A$1:$B$76,2,FALSE)</f>
        <v>25</v>
      </c>
      <c r="K1050" s="16" t="str">
        <f>VLOOKUP(I1050,episodes!$A$1:$E$81,5,FALSE)</f>
        <v>This Side of Paradise</v>
      </c>
      <c r="L1050" s="16">
        <f>VLOOKUP(I1050,episodes!$A$1:$D$81,3,FALSE)</f>
        <v>1</v>
      </c>
      <c r="M1050" s="16">
        <f>VLOOKUP(I1050,episodes!$A$1:$D$81,4,FALSE)</f>
        <v>24</v>
      </c>
      <c r="O1050" s="14">
        <v>0</v>
      </c>
      <c r="P1050" s="24">
        <f>LEN(E1050)+LEN(K1050)</f>
        <v>124</v>
      </c>
      <c r="Q1050" s="24"/>
      <c r="R1050" s="24"/>
    </row>
    <row r="1051" spans="1:18" x14ac:dyDescent="0.3">
      <c r="A1051" s="14">
        <v>1043</v>
      </c>
      <c r="B1051" s="21" t="s">
        <v>287</v>
      </c>
      <c r="C1051" s="1" t="s">
        <v>143</v>
      </c>
      <c r="D1051" s="1" t="s">
        <v>2622</v>
      </c>
      <c r="E1051" s="1" t="s">
        <v>1772</v>
      </c>
      <c r="F1051" s="21" t="s">
        <v>4</v>
      </c>
      <c r="G1051" s="14">
        <v>0</v>
      </c>
      <c r="H1051" s="14">
        <v>0</v>
      </c>
      <c r="I1051" s="25">
        <v>113</v>
      </c>
      <c r="J1051" s="23">
        <f>VLOOKUP(I1051,episodes!$A$1:$B$76,2,FALSE)</f>
        <v>14</v>
      </c>
      <c r="K1051" s="16" t="str">
        <f>VLOOKUP(I1051,episodes!$A$1:$E$81,5,FALSE)</f>
        <v>The Conscience of the King</v>
      </c>
      <c r="L1051" s="16">
        <f>VLOOKUP(I1051,episodes!$A$1:$D$81,3,FALSE)</f>
        <v>1</v>
      </c>
      <c r="M1051" s="16">
        <f>VLOOKUP(I1051,episodes!$A$1:$D$81,4,FALSE)</f>
        <v>13</v>
      </c>
      <c r="O1051" s="14">
        <v>0</v>
      </c>
      <c r="P1051" s="24">
        <f>LEN(E1051)+LEN(K1051)</f>
        <v>110</v>
      </c>
      <c r="Q1051" s="24"/>
      <c r="R1051" s="24"/>
    </row>
    <row r="1052" spans="1:18" x14ac:dyDescent="0.3">
      <c r="A1052" s="14">
        <v>2005</v>
      </c>
      <c r="B1052" s="21" t="s">
        <v>287</v>
      </c>
      <c r="C1052" s="1" t="s">
        <v>143</v>
      </c>
      <c r="D1052" s="1" t="s">
        <v>2622</v>
      </c>
      <c r="E1052" s="1" t="s">
        <v>789</v>
      </c>
      <c r="F1052" s="21" t="s">
        <v>6</v>
      </c>
      <c r="G1052" s="14">
        <v>0</v>
      </c>
      <c r="H1052" s="14">
        <v>0</v>
      </c>
      <c r="I1052" s="14">
        <v>202</v>
      </c>
      <c r="J1052" s="23">
        <f>VLOOKUP(I1052,episodes!$A$1:$B$76,2,FALSE)</f>
        <v>32</v>
      </c>
      <c r="K1052" s="16" t="str">
        <f>VLOOKUP(I1052,episodes!$A$1:$E$81,5,FALSE)</f>
        <v>Who Mourns for Adonais?</v>
      </c>
      <c r="L1052" s="16">
        <f>VLOOKUP(I1052,episodes!$A$1:$D$81,3,FALSE)</f>
        <v>2</v>
      </c>
      <c r="M1052" s="16">
        <f>VLOOKUP(I1052,episodes!$A$1:$D$81,4,FALSE)</f>
        <v>2</v>
      </c>
      <c r="O1052" s="14">
        <v>0</v>
      </c>
      <c r="P1052" s="24">
        <f>LEN(E1052)+LEN(K1052)</f>
        <v>118</v>
      </c>
      <c r="Q1052" s="24"/>
      <c r="R1052" s="24"/>
    </row>
    <row r="1053" spans="1:18" x14ac:dyDescent="0.3">
      <c r="A1053" s="14">
        <v>1132</v>
      </c>
      <c r="B1053" s="21" t="s">
        <v>287</v>
      </c>
      <c r="C1053" s="1" t="s">
        <v>143</v>
      </c>
      <c r="D1053" s="1" t="s">
        <v>2622</v>
      </c>
      <c r="E1053" s="1" t="s">
        <v>1406</v>
      </c>
      <c r="F1053" s="21" t="s">
        <v>4</v>
      </c>
      <c r="G1053" s="14">
        <v>0</v>
      </c>
      <c r="H1053" s="14">
        <v>0</v>
      </c>
      <c r="I1053" s="25">
        <v>204</v>
      </c>
      <c r="J1053" s="23">
        <f>VLOOKUP(I1053,episodes!$A$1:$B$81,2,FALSE)</f>
        <v>34</v>
      </c>
      <c r="K1053" s="16" t="str">
        <f>VLOOKUP(I1053,episodes!$A$1:$E$81,5,FALSE)</f>
        <v>Mirror, Mirror</v>
      </c>
      <c r="L1053" s="16">
        <f>VLOOKUP(I1053,episodes!$A$1:$D$81,3,FALSE)</f>
        <v>2</v>
      </c>
      <c r="M1053" s="16">
        <f>VLOOKUP(I1053,episodes!$A$1:$D$81,4,FALSE)</f>
        <v>4</v>
      </c>
      <c r="O1053" s="14">
        <v>0</v>
      </c>
      <c r="P1053" s="24">
        <f>LEN(E1053)+LEN(K1053)</f>
        <v>76</v>
      </c>
      <c r="Q1053" s="24"/>
      <c r="R1053" s="24"/>
    </row>
    <row r="1054" spans="1:18" x14ac:dyDescent="0.3">
      <c r="A1054" s="14">
        <v>1722</v>
      </c>
      <c r="B1054" s="21" t="s">
        <v>287</v>
      </c>
      <c r="C1054" s="1" t="s">
        <v>143</v>
      </c>
      <c r="D1054" s="1" t="s">
        <v>2622</v>
      </c>
      <c r="E1054" s="1" t="s">
        <v>2089</v>
      </c>
      <c r="F1054" s="21" t="s">
        <v>2225</v>
      </c>
      <c r="G1054" s="14">
        <v>0</v>
      </c>
      <c r="H1054" s="14">
        <v>0</v>
      </c>
      <c r="I1054" s="25">
        <v>122</v>
      </c>
      <c r="J1054" s="23">
        <f>VLOOKUP(I1054,episodes!$A$1:$B$76,2,FALSE)</f>
        <v>23</v>
      </c>
      <c r="K1054" s="16" t="str">
        <f>VLOOKUP(I1054,episodes!$A$1:$E$81,5,FALSE)</f>
        <v>Space Seed</v>
      </c>
      <c r="L1054" s="16">
        <f>VLOOKUP(I1054,episodes!$A$1:$D$81,3,FALSE)</f>
        <v>1</v>
      </c>
      <c r="M1054" s="16">
        <f>VLOOKUP(I1054,episodes!$A$1:$D$81,4,FALSE)</f>
        <v>22</v>
      </c>
      <c r="O1054" s="14">
        <v>0</v>
      </c>
      <c r="P1054" s="24">
        <f>LEN(E1054)+LEN(K1054)</f>
        <v>148</v>
      </c>
      <c r="Q1054" s="24"/>
      <c r="R1054" s="24"/>
    </row>
    <row r="1055" spans="1:18" x14ac:dyDescent="0.3">
      <c r="A1055" s="14">
        <v>1782</v>
      </c>
      <c r="B1055" s="21" t="s">
        <v>287</v>
      </c>
      <c r="C1055" s="1" t="s">
        <v>143</v>
      </c>
      <c r="D1055" s="1" t="s">
        <v>2622</v>
      </c>
      <c r="E1055" s="1" t="s">
        <v>1567</v>
      </c>
      <c r="F1055" s="21" t="s">
        <v>2225</v>
      </c>
      <c r="G1055" s="14">
        <v>0</v>
      </c>
      <c r="H1055" s="14">
        <v>0</v>
      </c>
      <c r="I1055" s="25">
        <v>106</v>
      </c>
      <c r="J1055" s="23">
        <f>VLOOKUP(I1055,episodes!$A$1:$B$76,2,FALSE)</f>
        <v>7</v>
      </c>
      <c r="K1055" s="16" t="str">
        <f>VLOOKUP(I1055,episodes!$A$1:$E$81,5,FALSE)</f>
        <v>Mudd's Women</v>
      </c>
      <c r="L1055" s="16">
        <f>VLOOKUP(I1055,episodes!$A$1:$D$81,3,FALSE)</f>
        <v>1</v>
      </c>
      <c r="M1055" s="16">
        <f>VLOOKUP(I1055,episodes!$A$1:$D$81,4,FALSE)</f>
        <v>6</v>
      </c>
      <c r="O1055" s="14">
        <v>0</v>
      </c>
      <c r="P1055" s="24">
        <f>LEN(E1055)+LEN(K1055)</f>
        <v>23</v>
      </c>
      <c r="Q1055" s="24">
        <f>COUNTIFS(B:B,#REF!)</f>
        <v>0</v>
      </c>
      <c r="R1055" s="24">
        <f>COUNTIFS(D:D,C1055)</f>
        <v>0</v>
      </c>
    </row>
    <row r="1056" spans="1:18" x14ac:dyDescent="0.3">
      <c r="A1056" s="14">
        <v>1677</v>
      </c>
      <c r="B1056" s="21" t="s">
        <v>287</v>
      </c>
      <c r="C1056" s="1" t="s">
        <v>143</v>
      </c>
      <c r="D1056" s="1" t="s">
        <v>2622</v>
      </c>
      <c r="E1056" s="1" t="s">
        <v>1803</v>
      </c>
      <c r="F1056" s="21" t="s">
        <v>8</v>
      </c>
      <c r="G1056" s="14">
        <v>0</v>
      </c>
      <c r="H1056" s="14">
        <v>0</v>
      </c>
      <c r="I1056" s="22">
        <v>115</v>
      </c>
      <c r="J1056" s="23">
        <f>VLOOKUP(I1056,episodes!$A$1:$B$76,2,FALSE)</f>
        <v>16</v>
      </c>
      <c r="K1056" s="16" t="str">
        <f>VLOOKUP(I1056,episodes!$A$1:$E$81,5,FALSE)</f>
        <v>Shore Leave</v>
      </c>
      <c r="L1056" s="16">
        <f>VLOOKUP(I1056,episodes!$A$1:$D$81,3,FALSE)</f>
        <v>1</v>
      </c>
      <c r="M1056" s="16">
        <f>VLOOKUP(I1056,episodes!$A$1:$D$81,4,FALSE)</f>
        <v>15</v>
      </c>
      <c r="O1056" s="14">
        <v>0</v>
      </c>
      <c r="P1056" s="24">
        <f>LEN(E1056)+LEN(K1056)</f>
        <v>78</v>
      </c>
      <c r="Q1056" s="24"/>
      <c r="R1056" s="24"/>
    </row>
    <row r="1057" spans="1:18" x14ac:dyDescent="0.3">
      <c r="A1057" s="14">
        <v>1704</v>
      </c>
      <c r="B1057" s="21" t="s">
        <v>287</v>
      </c>
      <c r="C1057" s="1" t="s">
        <v>143</v>
      </c>
      <c r="D1057" s="1" t="s">
        <v>2622</v>
      </c>
      <c r="E1057" s="1" t="s">
        <v>1584</v>
      </c>
      <c r="F1057" s="21" t="s">
        <v>8</v>
      </c>
      <c r="G1057" s="14">
        <v>0</v>
      </c>
      <c r="H1057" s="14">
        <v>0</v>
      </c>
      <c r="I1057" s="25">
        <v>101</v>
      </c>
      <c r="J1057" s="23">
        <f>VLOOKUP(I1057,episodes!$A$1:$B$76,2,FALSE)</f>
        <v>2</v>
      </c>
      <c r="K1057" s="16" t="str">
        <f>VLOOKUP(I1057,episodes!$A$1:$E$81,5,FALSE)</f>
        <v>The Man Trap</v>
      </c>
      <c r="L1057" s="16">
        <f>VLOOKUP(I1057,episodes!$A$1:$D$81,3,FALSE)</f>
        <v>1</v>
      </c>
      <c r="M1057" s="16">
        <f>VLOOKUP(I1057,episodes!$A$1:$D$81,4,FALSE)</f>
        <v>1</v>
      </c>
      <c r="O1057" s="14">
        <v>0</v>
      </c>
      <c r="P1057" s="24">
        <f>LEN(E1057)+LEN(K1057)</f>
        <v>73</v>
      </c>
      <c r="Q1057" s="24"/>
      <c r="R1057" s="24"/>
    </row>
    <row r="1058" spans="1:18" x14ac:dyDescent="0.3">
      <c r="A1058" s="14">
        <v>1102</v>
      </c>
      <c r="B1058" s="21" t="s">
        <v>287</v>
      </c>
      <c r="C1058" s="1" t="s">
        <v>143</v>
      </c>
      <c r="D1058" s="1" t="s">
        <v>2622</v>
      </c>
      <c r="E1058" s="1" t="s">
        <v>2596</v>
      </c>
      <c r="F1058" s="21" t="s">
        <v>4</v>
      </c>
      <c r="G1058" s="14">
        <v>0</v>
      </c>
      <c r="H1058" s="14">
        <v>0</v>
      </c>
      <c r="I1058" s="22">
        <v>123</v>
      </c>
      <c r="J1058" s="23">
        <f>VLOOKUP(I1058,episodes!$A$1:$B$76,2,FALSE)</f>
        <v>24</v>
      </c>
      <c r="K1058" s="16" t="str">
        <f>VLOOKUP(I1058,episodes!$A$1:$E$81,5,FALSE)</f>
        <v>A Taste of Armageddon</v>
      </c>
      <c r="L1058" s="16">
        <f>VLOOKUP(I1058,episodes!$A$1:$D$81,3,FALSE)</f>
        <v>1</v>
      </c>
      <c r="M1058" s="16">
        <f>VLOOKUP(I1058,episodes!$A$1:$D$81,4,FALSE)</f>
        <v>23</v>
      </c>
      <c r="O1058" s="14">
        <v>0</v>
      </c>
      <c r="P1058" s="24">
        <f>LEN(E1058)+LEN(K1058)</f>
        <v>68</v>
      </c>
      <c r="Q1058" s="24"/>
      <c r="R1058" s="24"/>
    </row>
    <row r="1059" spans="1:18" x14ac:dyDescent="0.3">
      <c r="A1059" s="14">
        <v>1106</v>
      </c>
      <c r="B1059" s="21" t="s">
        <v>287</v>
      </c>
      <c r="C1059" s="1" t="s">
        <v>143</v>
      </c>
      <c r="D1059" s="1" t="s">
        <v>2622</v>
      </c>
      <c r="E1059" s="1" t="s">
        <v>787</v>
      </c>
      <c r="F1059" s="21" t="s">
        <v>4</v>
      </c>
      <c r="G1059" s="14">
        <v>0</v>
      </c>
      <c r="H1059" s="14">
        <v>0</v>
      </c>
      <c r="I1059" s="25">
        <v>108</v>
      </c>
      <c r="J1059" s="23">
        <f>VLOOKUP(I1059,episodes!$A$1:$B$76,2,FALSE)</f>
        <v>9</v>
      </c>
      <c r="K1059" s="16" t="str">
        <f>VLOOKUP(I1059,episodes!$A$1:$E$81,5,FALSE)</f>
        <v>Miri</v>
      </c>
      <c r="L1059" s="16">
        <f>VLOOKUP(I1059,episodes!$A$1:$D$81,3,FALSE)</f>
        <v>1</v>
      </c>
      <c r="M1059" s="16">
        <f>VLOOKUP(I1059,episodes!$A$1:$D$81,4,FALSE)</f>
        <v>8</v>
      </c>
      <c r="O1059" s="14">
        <v>0</v>
      </c>
      <c r="P1059" s="24">
        <f>LEN(E1059)+LEN(K1059)</f>
        <v>43</v>
      </c>
      <c r="Q1059" s="24">
        <f>COUNTIFS(B:B,#REF!)</f>
        <v>0</v>
      </c>
      <c r="R1059" s="24">
        <f>COUNTIFS(D:D,C1059)</f>
        <v>0</v>
      </c>
    </row>
    <row r="1060" spans="1:18" x14ac:dyDescent="0.3">
      <c r="A1060" s="14">
        <v>1851</v>
      </c>
      <c r="B1060" s="21" t="s">
        <v>287</v>
      </c>
      <c r="C1060" s="1" t="s">
        <v>143</v>
      </c>
      <c r="D1060" s="1" t="s">
        <v>2622</v>
      </c>
      <c r="E1060" s="1" t="s">
        <v>1537</v>
      </c>
      <c r="F1060" s="21" t="s">
        <v>2231</v>
      </c>
      <c r="G1060" s="14">
        <v>0</v>
      </c>
      <c r="H1060" s="14">
        <v>0</v>
      </c>
      <c r="I1060" s="25">
        <v>100</v>
      </c>
      <c r="J1060" s="23">
        <f>VLOOKUP(I1060,episodes!$A$1:$B$76,2,FALSE)</f>
        <v>1</v>
      </c>
      <c r="K1060" s="16" t="str">
        <f>VLOOKUP(I1060,episodes!$A$1:$E$81,5,FALSE)</f>
        <v>The Cage</v>
      </c>
      <c r="L1060" s="16">
        <f>VLOOKUP(I1060,episodes!$A$1:$D$81,3,FALSE)</f>
        <v>1</v>
      </c>
      <c r="M1060" s="16">
        <f>VLOOKUP(I1060,episodes!$A$1:$D$81,4,FALSE)</f>
        <v>0</v>
      </c>
      <c r="O1060" s="14">
        <v>0</v>
      </c>
      <c r="P1060" s="24">
        <f>LEN(E1060)+LEN(K1060)</f>
        <v>110</v>
      </c>
      <c r="Q1060" s="24">
        <f>COUNTIFS(B:B,B1059)</f>
        <v>30</v>
      </c>
      <c r="R1060" s="24">
        <f>COUNTIFS(D:D,C1060)</f>
        <v>0</v>
      </c>
    </row>
    <row r="1061" spans="1:18" x14ac:dyDescent="0.3">
      <c r="A1061" s="14">
        <v>3020</v>
      </c>
      <c r="B1061" s="21" t="s">
        <v>287</v>
      </c>
      <c r="C1061" s="1" t="s">
        <v>143</v>
      </c>
      <c r="D1061" s="1" t="s">
        <v>2622</v>
      </c>
      <c r="E1061" s="1" t="s">
        <v>1568</v>
      </c>
      <c r="F1061" s="21" t="s">
        <v>4</v>
      </c>
      <c r="G1061" s="14">
        <v>0</v>
      </c>
      <c r="H1061" s="14">
        <v>0</v>
      </c>
      <c r="I1061" s="25">
        <v>106</v>
      </c>
      <c r="J1061" s="23">
        <f>VLOOKUP(I1061,episodes!$A$1:$B$76,2,FALSE)</f>
        <v>7</v>
      </c>
      <c r="K1061" s="16" t="str">
        <f>VLOOKUP(I1061,episodes!$A$1:$E$81,5,FALSE)</f>
        <v>Mudd's Women</v>
      </c>
      <c r="L1061" s="16">
        <f>VLOOKUP(I1061,episodes!$A$1:$D$81,3,FALSE)</f>
        <v>1</v>
      </c>
      <c r="M1061" s="16">
        <f>VLOOKUP(I1061,episodes!$A$1:$D$81,4,FALSE)</f>
        <v>6</v>
      </c>
      <c r="O1061" s="14">
        <v>0</v>
      </c>
      <c r="P1061" s="24">
        <f>LEN(E1061)+LEN(K1061)</f>
        <v>25</v>
      </c>
      <c r="Q1061" s="24">
        <f>COUNTIFS(B:B,#REF!)</f>
        <v>0</v>
      </c>
      <c r="R1061" s="24">
        <f>COUNTIFS(D:D,C1061)</f>
        <v>0</v>
      </c>
    </row>
    <row r="1062" spans="1:18" x14ac:dyDescent="0.3">
      <c r="A1062" s="14">
        <v>1190</v>
      </c>
      <c r="B1062" s="21" t="s">
        <v>287</v>
      </c>
      <c r="C1062" s="1" t="s">
        <v>143</v>
      </c>
      <c r="D1062" s="1" t="s">
        <v>2622</v>
      </c>
      <c r="E1062" s="1" t="s">
        <v>1804</v>
      </c>
      <c r="F1062" s="21" t="s">
        <v>4</v>
      </c>
      <c r="G1062" s="14">
        <v>0</v>
      </c>
      <c r="H1062" s="14">
        <v>0</v>
      </c>
      <c r="I1062" s="22">
        <v>115</v>
      </c>
      <c r="J1062" s="23">
        <f>VLOOKUP(I1062,episodes!$A$1:$B$76,2,FALSE)</f>
        <v>16</v>
      </c>
      <c r="K1062" s="16" t="str">
        <f>VLOOKUP(I1062,episodes!$A$1:$E$81,5,FALSE)</f>
        <v>Shore Leave</v>
      </c>
      <c r="L1062" s="16">
        <f>VLOOKUP(I1062,episodes!$A$1:$D$81,3,FALSE)</f>
        <v>1</v>
      </c>
      <c r="M1062" s="16">
        <f>VLOOKUP(I1062,episodes!$A$1:$D$81,4,FALSE)</f>
        <v>15</v>
      </c>
      <c r="O1062" s="14">
        <v>0</v>
      </c>
      <c r="P1062" s="24">
        <f>LEN(E1062)+LEN(K1062)</f>
        <v>72</v>
      </c>
      <c r="Q1062" s="24"/>
      <c r="R1062" s="24"/>
    </row>
    <row r="1063" spans="1:18" x14ac:dyDescent="0.3">
      <c r="A1063" s="14">
        <v>419</v>
      </c>
      <c r="B1063" s="21" t="s">
        <v>287</v>
      </c>
      <c r="C1063" s="1" t="s">
        <v>143</v>
      </c>
      <c r="D1063" s="1" t="s">
        <v>2622</v>
      </c>
      <c r="E1063" s="1" t="s">
        <v>790</v>
      </c>
      <c r="F1063" s="21" t="s">
        <v>2225</v>
      </c>
      <c r="G1063" s="14">
        <v>0</v>
      </c>
      <c r="H1063" s="14">
        <v>0</v>
      </c>
      <c r="I1063" s="25">
        <v>205</v>
      </c>
      <c r="J1063" s="23">
        <f>VLOOKUP(I1063,episodes!$A$1:$B$81,2,FALSE)</f>
        <v>35</v>
      </c>
      <c r="K1063" s="16" t="str">
        <f>VLOOKUP(I1063,episodes!$A$1:$E$81,5,FALSE)</f>
        <v>The Apple</v>
      </c>
      <c r="L1063" s="16">
        <f>VLOOKUP(I1063,episodes!$A$1:$D$81,3,FALSE)</f>
        <v>2</v>
      </c>
      <c r="M1063" s="16">
        <f>VLOOKUP(I1063,episodes!$A$1:$D$81,4,FALSE)</f>
        <v>5</v>
      </c>
      <c r="O1063" s="14">
        <v>0</v>
      </c>
      <c r="P1063" s="24">
        <f>LEN(E1063)+LEN(K1063)</f>
        <v>40</v>
      </c>
      <c r="Q1063" s="24">
        <f>COUNTIFS(B:B,#REF!)</f>
        <v>0</v>
      </c>
      <c r="R1063" s="24">
        <f>COUNTIFS(D:D,C1063)</f>
        <v>0</v>
      </c>
    </row>
    <row r="1064" spans="1:18" x14ac:dyDescent="0.3">
      <c r="A1064" s="14">
        <v>2472</v>
      </c>
      <c r="B1064" s="21" t="s">
        <v>287</v>
      </c>
      <c r="C1064" s="1" t="s">
        <v>143</v>
      </c>
      <c r="D1064" s="1" t="s">
        <v>2622</v>
      </c>
      <c r="E1064" s="1" t="s">
        <v>1123</v>
      </c>
      <c r="F1064" s="21" t="s">
        <v>4</v>
      </c>
      <c r="G1064" s="14">
        <v>0</v>
      </c>
      <c r="H1064" s="14">
        <v>0</v>
      </c>
      <c r="I1064" s="22">
        <v>207</v>
      </c>
      <c r="J1064" s="23">
        <f>VLOOKUP(I1064,episodes!$A$1:$B$81,2,FALSE)</f>
        <v>37</v>
      </c>
      <c r="K1064" s="16" t="str">
        <f>VLOOKUP(I1064,episodes!$A$1:$E$81,5,FALSE)</f>
        <v>Catspaw</v>
      </c>
      <c r="L1064" s="16">
        <f>VLOOKUP(I1064,episodes!$A$1:$D$81,3,FALSE)</f>
        <v>2</v>
      </c>
      <c r="M1064" s="16">
        <f>VLOOKUP(I1064,episodes!$A$1:$D$81,4,FALSE)</f>
        <v>7</v>
      </c>
      <c r="O1064" s="14">
        <v>0</v>
      </c>
      <c r="P1064" s="24">
        <f>LEN(E1064)+LEN(K1064)</f>
        <v>75</v>
      </c>
      <c r="Q1064" s="24">
        <f>COUNTIFS(B:B,B1063)</f>
        <v>30</v>
      </c>
      <c r="R1064" s="24">
        <f>COUNTIFS(D:D,C1064)</f>
        <v>0</v>
      </c>
    </row>
    <row r="1065" spans="1:18" x14ac:dyDescent="0.3">
      <c r="A1065" s="14">
        <v>1936</v>
      </c>
      <c r="B1065" s="21" t="s">
        <v>287</v>
      </c>
      <c r="C1065" s="1" t="s">
        <v>143</v>
      </c>
      <c r="D1065" s="1" t="s">
        <v>2622</v>
      </c>
      <c r="E1065" s="1" t="s">
        <v>1675</v>
      </c>
      <c r="F1065" s="21" t="s">
        <v>7</v>
      </c>
      <c r="G1065" s="14">
        <v>0</v>
      </c>
      <c r="H1065" s="14">
        <v>0</v>
      </c>
      <c r="I1065" s="14">
        <v>208</v>
      </c>
      <c r="J1065" s="23">
        <f>VLOOKUP(I1065,episodes!$A$1:$B$81,2,FALSE)</f>
        <v>38</v>
      </c>
      <c r="K1065" s="16" t="str">
        <f>VLOOKUP(I1065,episodes!$A$1:$E$81,5,FALSE)</f>
        <v>I, Mudd</v>
      </c>
      <c r="L1065" s="16">
        <f>VLOOKUP(I1065,episodes!$A$1:$D$81,3,FALSE)</f>
        <v>2</v>
      </c>
      <c r="M1065" s="16">
        <f>VLOOKUP(I1065,episodes!$A$1:$D$81,4,FALSE)</f>
        <v>8</v>
      </c>
      <c r="O1065" s="14">
        <v>0</v>
      </c>
      <c r="P1065" s="24">
        <f>LEN(E1065)+LEN(K1065)</f>
        <v>32</v>
      </c>
      <c r="Q1065" s="24">
        <f>COUNTIFS(B:B,#REF!)</f>
        <v>0</v>
      </c>
      <c r="R1065" s="24">
        <f>COUNTIFS(D:D,C1065)</f>
        <v>0</v>
      </c>
    </row>
    <row r="1066" spans="1:18" x14ac:dyDescent="0.3">
      <c r="A1066" s="14">
        <v>397</v>
      </c>
      <c r="B1066" s="21" t="s">
        <v>287</v>
      </c>
      <c r="C1066" s="1" t="s">
        <v>143</v>
      </c>
      <c r="D1066" s="1" t="s">
        <v>2622</v>
      </c>
      <c r="E1066" s="1" t="s">
        <v>1125</v>
      </c>
      <c r="F1066" s="21" t="s">
        <v>2225</v>
      </c>
      <c r="G1066" s="14">
        <v>0</v>
      </c>
      <c r="H1066" s="14">
        <v>0</v>
      </c>
      <c r="I1066" s="14">
        <v>209</v>
      </c>
      <c r="J1066" s="23">
        <f>VLOOKUP(I1066,episodes!$A$1:$B$81,2,FALSE)</f>
        <v>39</v>
      </c>
      <c r="K1066" s="16" t="str">
        <f>VLOOKUP(I1066,episodes!$A$1:$E$81,5,FALSE)</f>
        <v>Metamorphosis</v>
      </c>
      <c r="L1066" s="16">
        <f>VLOOKUP(I1066,episodes!$A$1:$D$81,3,FALSE)</f>
        <v>2</v>
      </c>
      <c r="M1066" s="16">
        <f>VLOOKUP(I1066,episodes!$A$1:$D$81,4,FALSE)</f>
        <v>9</v>
      </c>
      <c r="O1066" s="14">
        <v>0</v>
      </c>
      <c r="P1066" s="24">
        <f>LEN(E1066)+LEN(K1066)</f>
        <v>85</v>
      </c>
      <c r="Q1066" s="24">
        <f>COUNTIFS(B:B,B1059)</f>
        <v>30</v>
      </c>
      <c r="R1066" s="24">
        <f>COUNTIFS(D:D,C1066)</f>
        <v>0</v>
      </c>
    </row>
    <row r="1067" spans="1:18" x14ac:dyDescent="0.3">
      <c r="A1067" s="14">
        <v>2406</v>
      </c>
      <c r="B1067" s="21" t="s">
        <v>287</v>
      </c>
      <c r="C1067" s="1" t="s">
        <v>143</v>
      </c>
      <c r="D1067" s="1" t="s">
        <v>2622</v>
      </c>
      <c r="E1067" s="1" t="s">
        <v>2184</v>
      </c>
      <c r="F1067" s="21" t="s">
        <v>5</v>
      </c>
      <c r="G1067" s="14">
        <v>0</v>
      </c>
      <c r="H1067" s="14">
        <v>0</v>
      </c>
      <c r="I1067" s="22">
        <v>201</v>
      </c>
      <c r="J1067" s="23">
        <f>VLOOKUP(I1067,episodes!$A$1:$B$76,2,FALSE)</f>
        <v>31</v>
      </c>
      <c r="K1067" s="16" t="str">
        <f>VLOOKUP(I1067,episodes!$A$1:$E$81,5,FALSE)</f>
        <v>Amok Time</v>
      </c>
      <c r="L1067" s="16">
        <f>VLOOKUP(I1067,episodes!$A$1:$D$81,3,FALSE)</f>
        <v>2</v>
      </c>
      <c r="M1067" s="16">
        <f>VLOOKUP(I1067,episodes!$A$1:$D$81,4,FALSE)</f>
        <v>1</v>
      </c>
      <c r="O1067" s="14">
        <v>0</v>
      </c>
      <c r="P1067" s="24">
        <f>LEN(E1067)+LEN(K1067)</f>
        <v>55</v>
      </c>
      <c r="Q1067" s="24"/>
      <c r="R1067" s="24"/>
    </row>
    <row r="1068" spans="1:18" x14ac:dyDescent="0.3">
      <c r="A1068" s="14">
        <v>162</v>
      </c>
      <c r="B1068" s="21" t="s">
        <v>287</v>
      </c>
      <c r="C1068" s="1" t="s">
        <v>143</v>
      </c>
      <c r="D1068" s="1" t="s">
        <v>2622</v>
      </c>
      <c r="E1068" s="1" t="s">
        <v>2090</v>
      </c>
      <c r="F1068" s="21" t="s">
        <v>7</v>
      </c>
      <c r="G1068" s="14">
        <v>0</v>
      </c>
      <c r="H1068" s="14">
        <v>0</v>
      </c>
      <c r="I1068" s="25">
        <v>205</v>
      </c>
      <c r="J1068" s="23">
        <f>VLOOKUP(I1068,episodes!$A$1:$B$81,2,FALSE)</f>
        <v>35</v>
      </c>
      <c r="K1068" s="16" t="str">
        <f>VLOOKUP(I1068,episodes!$A$1:$E$81,5,FALSE)</f>
        <v>The Apple</v>
      </c>
      <c r="L1068" s="16">
        <f>VLOOKUP(I1068,episodes!$A$1:$D$81,3,FALSE)</f>
        <v>2</v>
      </c>
      <c r="M1068" s="16">
        <f>VLOOKUP(I1068,episodes!$A$1:$D$81,4,FALSE)</f>
        <v>5</v>
      </c>
      <c r="O1068" s="14">
        <v>0</v>
      </c>
      <c r="P1068" s="24">
        <f>LEN(E1068)+LEN(K1068)</f>
        <v>58</v>
      </c>
      <c r="Q1068" s="24">
        <f>COUNTIFS(B:B,#REF!)</f>
        <v>0</v>
      </c>
      <c r="R1068" s="24">
        <f>COUNTIFS(D:D,C1068)</f>
        <v>0</v>
      </c>
    </row>
    <row r="1069" spans="1:18" x14ac:dyDescent="0.3">
      <c r="A1069" s="14">
        <v>2903</v>
      </c>
      <c r="B1069" s="21" t="s">
        <v>287</v>
      </c>
      <c r="C1069" s="1" t="s">
        <v>143</v>
      </c>
      <c r="D1069" s="1" t="s">
        <v>2622</v>
      </c>
      <c r="E1069" s="1" t="s">
        <v>2594</v>
      </c>
      <c r="F1069" s="21" t="s">
        <v>2225</v>
      </c>
      <c r="G1069" s="14">
        <v>0</v>
      </c>
      <c r="H1069" s="14">
        <v>0</v>
      </c>
      <c r="I1069" s="22">
        <v>117</v>
      </c>
      <c r="J1069" s="23">
        <f>VLOOKUP(I1069,episodes!$A$1:$B$76,2,FALSE)</f>
        <v>18</v>
      </c>
      <c r="K1069" s="16" t="str">
        <f>VLOOKUP(I1069,episodes!$A$1:$E$81,5,FALSE)</f>
        <v>The Squire of Gothos</v>
      </c>
      <c r="L1069" s="16">
        <f>VLOOKUP(I1069,episodes!$A$1:$D$81,3,FALSE)</f>
        <v>1</v>
      </c>
      <c r="M1069" s="16">
        <f>VLOOKUP(I1069,episodes!$A$1:$D$81,4,FALSE)</f>
        <v>17</v>
      </c>
      <c r="O1069" s="14">
        <v>0</v>
      </c>
      <c r="P1069" s="24">
        <f>LEN(E1069)+LEN(K1069)</f>
        <v>80</v>
      </c>
      <c r="Q1069" s="24"/>
      <c r="R1069" s="24"/>
    </row>
    <row r="1070" spans="1:18" x14ac:dyDescent="0.3">
      <c r="A1070" s="14">
        <v>2461</v>
      </c>
      <c r="B1070" s="21" t="s">
        <v>306</v>
      </c>
      <c r="C1070" s="21" t="s">
        <v>143</v>
      </c>
      <c r="D1070" s="1" t="s">
        <v>2873</v>
      </c>
      <c r="E1070" s="1" t="s">
        <v>1090</v>
      </c>
      <c r="F1070" s="21" t="s">
        <v>1861</v>
      </c>
      <c r="G1070" s="14">
        <v>0</v>
      </c>
      <c r="H1070" s="14">
        <v>1</v>
      </c>
      <c r="I1070" s="25">
        <v>104</v>
      </c>
      <c r="J1070" s="23">
        <f>VLOOKUP(I1070,episodes!$A$1:$B$76,2,FALSE)</f>
        <v>5</v>
      </c>
      <c r="K1070" s="16" t="str">
        <f>VLOOKUP(I1070,episodes!$A$1:$E$81,5,FALSE)</f>
        <v>The Naked Time</v>
      </c>
      <c r="L1070" s="16">
        <f>VLOOKUP(I1070,episodes!$A$1:$D$81,3,FALSE)</f>
        <v>1</v>
      </c>
      <c r="M1070" s="16">
        <f>VLOOKUP(I1070,episodes!$A$1:$D$81,4,FALSE)</f>
        <v>4</v>
      </c>
      <c r="O1070" s="14">
        <v>0</v>
      </c>
      <c r="P1070" s="24">
        <f>LEN(E1070)+LEN(K1070)</f>
        <v>74</v>
      </c>
      <c r="Q1070" s="24">
        <f>COUNTIFS(B:B,B1069)</f>
        <v>30</v>
      </c>
      <c r="R1070" s="24">
        <f>COUNTIFS(D:D,D1070)</f>
        <v>2</v>
      </c>
    </row>
    <row r="1071" spans="1:18" x14ac:dyDescent="0.3">
      <c r="A1071" s="14">
        <v>1786</v>
      </c>
      <c r="B1071" s="21" t="s">
        <v>278</v>
      </c>
      <c r="C1071" s="21" t="s">
        <v>143</v>
      </c>
      <c r="D1071" s="1" t="s">
        <v>2900</v>
      </c>
      <c r="E1071" s="1" t="s">
        <v>1729</v>
      </c>
      <c r="F1071" s="21" t="s">
        <v>2290</v>
      </c>
      <c r="G1071" s="14">
        <v>0</v>
      </c>
      <c r="H1071" s="14">
        <v>0</v>
      </c>
      <c r="I1071" s="25">
        <v>109</v>
      </c>
      <c r="J1071" s="23">
        <f>VLOOKUP(I1071,episodes!$A$1:$B$76,2,FALSE)</f>
        <v>10</v>
      </c>
      <c r="K1071" s="16" t="str">
        <f>VLOOKUP(I1071,episodes!$A$1:$E$81,5,FALSE)</f>
        <v>Dagger of the Mind</v>
      </c>
      <c r="L1071" s="16">
        <f>VLOOKUP(I1071,episodes!$A$1:$D$81,3,FALSE)</f>
        <v>1</v>
      </c>
      <c r="M1071" s="16">
        <f>VLOOKUP(I1071,episodes!$A$1:$D$81,4,FALSE)</f>
        <v>9</v>
      </c>
      <c r="O1071" s="14">
        <v>0</v>
      </c>
      <c r="P1071" s="24">
        <f>LEN(E1071)+LEN(K1071)</f>
        <v>102</v>
      </c>
      <c r="Q1071" s="24">
        <f>COUNTIFS(B:B,#REF!)</f>
        <v>0</v>
      </c>
      <c r="R1071" s="24">
        <f>COUNTIFS(D:D,D1071)</f>
        <v>1</v>
      </c>
    </row>
    <row r="1072" spans="1:18" x14ac:dyDescent="0.3">
      <c r="A1072" s="14">
        <v>2362</v>
      </c>
      <c r="B1072" s="21" t="s">
        <v>353</v>
      </c>
      <c r="C1072" s="21" t="s">
        <v>143</v>
      </c>
      <c r="D1072" s="1" t="s">
        <v>2630</v>
      </c>
      <c r="E1072" s="1" t="s">
        <v>665</v>
      </c>
      <c r="F1072" s="21" t="s">
        <v>2318</v>
      </c>
      <c r="G1072" s="14">
        <v>0</v>
      </c>
      <c r="H1072" s="14">
        <v>0</v>
      </c>
      <c r="I1072" s="25">
        <v>124</v>
      </c>
      <c r="J1072" s="23">
        <f>VLOOKUP(I1072,episodes!$A$1:$B$76,2,FALSE)</f>
        <v>25</v>
      </c>
      <c r="K1072" s="16" t="str">
        <f>VLOOKUP(I1072,episodes!$A$1:$E$81,5,FALSE)</f>
        <v>This Side of Paradise</v>
      </c>
      <c r="L1072" s="16">
        <f>VLOOKUP(I1072,episodes!$A$1:$D$81,3,FALSE)</f>
        <v>1</v>
      </c>
      <c r="M1072" s="16">
        <f>VLOOKUP(I1072,episodes!$A$1:$D$81,4,FALSE)</f>
        <v>24</v>
      </c>
      <c r="O1072" s="14">
        <v>0</v>
      </c>
      <c r="P1072" s="24">
        <f>LEN(E1072)+LEN(K1072)</f>
        <v>93</v>
      </c>
      <c r="Q1072" s="24"/>
      <c r="R1072" s="24"/>
    </row>
    <row r="1073" spans="1:18" x14ac:dyDescent="0.3">
      <c r="A1073" s="14">
        <v>1474</v>
      </c>
      <c r="B1073" s="21" t="s">
        <v>335</v>
      </c>
      <c r="C1073" s="21" t="s">
        <v>143</v>
      </c>
      <c r="D1073" s="21" t="s">
        <v>2630</v>
      </c>
      <c r="E1073" s="1" t="s">
        <v>1625</v>
      </c>
      <c r="F1073" s="21" t="s">
        <v>2282</v>
      </c>
      <c r="G1073" s="14">
        <v>0</v>
      </c>
      <c r="H1073" s="14">
        <v>0</v>
      </c>
      <c r="I1073" s="22">
        <v>114</v>
      </c>
      <c r="J1073" s="23">
        <f>VLOOKUP(I1073,episodes!$A$1:$B$76,2,FALSE)</f>
        <v>15</v>
      </c>
      <c r="K1073" s="16" t="str">
        <f>VLOOKUP(I1073,episodes!$A$1:$E$81,5,FALSE)</f>
        <v>Balance of Terror</v>
      </c>
      <c r="L1073" s="16">
        <f>VLOOKUP(I1073,episodes!$A$1:$D$81,3,FALSE)</f>
        <v>1</v>
      </c>
      <c r="M1073" s="16">
        <f>VLOOKUP(I1073,episodes!$A$1:$D$81,4,FALSE)</f>
        <v>14</v>
      </c>
      <c r="O1073" s="14">
        <v>0</v>
      </c>
      <c r="P1073" s="24">
        <f>LEN(E1073)+LEN(K1073)</f>
        <v>121</v>
      </c>
      <c r="Q1073" s="24">
        <f>COUNTIFS(B:B,B1072)</f>
        <v>1</v>
      </c>
      <c r="R1073" s="24">
        <f>COUNTIFS(D:D,D1073)</f>
        <v>2</v>
      </c>
    </row>
    <row r="1074" spans="1:18" x14ac:dyDescent="0.3">
      <c r="A1074" s="14">
        <v>1808</v>
      </c>
      <c r="B1074" s="21" t="s">
        <v>254</v>
      </c>
      <c r="C1074" s="21" t="s">
        <v>143</v>
      </c>
      <c r="D1074" s="1" t="s">
        <v>2875</v>
      </c>
      <c r="E1074" s="1" t="s">
        <v>179</v>
      </c>
      <c r="F1074" s="21" t="s">
        <v>2233</v>
      </c>
      <c r="G1074" s="14">
        <v>0</v>
      </c>
      <c r="H1074" s="14">
        <v>0</v>
      </c>
      <c r="I1074" s="14">
        <v>202</v>
      </c>
      <c r="J1074" s="23">
        <f>VLOOKUP(I1074,episodes!$A$1:$B$76,2,FALSE)</f>
        <v>32</v>
      </c>
      <c r="K1074" s="16" t="str">
        <f>VLOOKUP(I1074,episodes!$A$1:$E$81,5,FALSE)</f>
        <v>Who Mourns for Adonais?</v>
      </c>
      <c r="L1074" s="16">
        <f>VLOOKUP(I1074,episodes!$A$1:$D$81,3,FALSE)</f>
        <v>2</v>
      </c>
      <c r="M1074" s="16">
        <f>VLOOKUP(I1074,episodes!$A$1:$D$81,4,FALSE)</f>
        <v>2</v>
      </c>
      <c r="O1074" s="14">
        <v>0</v>
      </c>
      <c r="P1074" s="24">
        <f>LEN(E1074)+LEN(K1074)</f>
        <v>125</v>
      </c>
      <c r="Q1074" s="24">
        <f>COUNTIFS(B:B,B1073)</f>
        <v>1</v>
      </c>
      <c r="R1074" s="24">
        <f>COUNTIFS(D:D,D1074)</f>
        <v>1</v>
      </c>
    </row>
    <row r="1075" spans="1:18" x14ac:dyDescent="0.3">
      <c r="A1075" s="14">
        <v>83</v>
      </c>
      <c r="B1075" s="21" t="s">
        <v>321</v>
      </c>
      <c r="C1075" s="21" t="s">
        <v>143</v>
      </c>
      <c r="D1075" s="21" t="s">
        <v>2901</v>
      </c>
      <c r="E1075" s="1" t="s">
        <v>181</v>
      </c>
      <c r="F1075" s="21" t="s">
        <v>2234</v>
      </c>
      <c r="G1075" s="14">
        <v>0</v>
      </c>
      <c r="H1075" s="14">
        <v>0</v>
      </c>
      <c r="I1075" s="25">
        <v>107</v>
      </c>
      <c r="J1075" s="23">
        <f>VLOOKUP(I1075,episodes!$A$1:$B$76,2,FALSE)</f>
        <v>8</v>
      </c>
      <c r="K1075" s="16" t="str">
        <f>VLOOKUP(I1075,episodes!$A$1:$E$81,5,FALSE)</f>
        <v>What Are Little Girls Made Of?</v>
      </c>
      <c r="L1075" s="16">
        <f>VLOOKUP(I1075,episodes!$A$1:$D$81,3,FALSE)</f>
        <v>1</v>
      </c>
      <c r="M1075" s="16">
        <f>VLOOKUP(I1075,episodes!$A$1:$D$81,4,FALSE)</f>
        <v>7</v>
      </c>
      <c r="O1075" s="14">
        <v>0</v>
      </c>
      <c r="P1075" s="24">
        <f>LEN(E1075)+LEN(K1075)</f>
        <v>66</v>
      </c>
      <c r="Q1075" s="24">
        <f>COUNTIFS(B:B,B1074)</f>
        <v>1</v>
      </c>
      <c r="R1075" s="24">
        <f>COUNTIFS(D:D,D1075)</f>
        <v>6</v>
      </c>
    </row>
    <row r="1076" spans="1:18" s="21" customFormat="1" x14ac:dyDescent="0.3">
      <c r="A1076" s="14">
        <v>127</v>
      </c>
      <c r="B1076" s="21" t="s">
        <v>321</v>
      </c>
      <c r="C1076" s="21" t="s">
        <v>143</v>
      </c>
      <c r="D1076" s="21" t="s">
        <v>2901</v>
      </c>
      <c r="E1076" s="1" t="s">
        <v>1167</v>
      </c>
      <c r="F1076" s="21" t="s">
        <v>2258</v>
      </c>
      <c r="G1076" s="14">
        <v>0</v>
      </c>
      <c r="H1076" s="14">
        <v>0</v>
      </c>
      <c r="I1076" s="25">
        <v>107</v>
      </c>
      <c r="J1076" s="23">
        <f>VLOOKUP(I1076,episodes!$A$1:$B$76,2,FALSE)</f>
        <v>8</v>
      </c>
      <c r="K1076" s="16" t="str">
        <f>VLOOKUP(I1076,episodes!$A$1:$E$81,5,FALSE)</f>
        <v>What Are Little Girls Made Of?</v>
      </c>
      <c r="L1076" s="16">
        <f>VLOOKUP(I1076,episodes!$A$1:$D$81,3,FALSE)</f>
        <v>1</v>
      </c>
      <c r="M1076" s="16">
        <f>VLOOKUP(I1076,episodes!$A$1:$D$81,4,FALSE)</f>
        <v>7</v>
      </c>
      <c r="N1076" s="14"/>
      <c r="O1076" s="14">
        <v>0</v>
      </c>
      <c r="P1076" s="24">
        <f>LEN(E1076)+LEN(K1076)</f>
        <v>85</v>
      </c>
      <c r="Q1076" s="24">
        <f>COUNTIFS(B:B,B1075)</f>
        <v>3</v>
      </c>
      <c r="R1076" s="24">
        <f>COUNTIFS(D:D,D1076)</f>
        <v>6</v>
      </c>
    </row>
    <row r="1077" spans="1:18" s="21" customFormat="1" x14ac:dyDescent="0.3">
      <c r="A1077" s="14">
        <v>380</v>
      </c>
      <c r="B1077" s="21" t="s">
        <v>148</v>
      </c>
      <c r="C1077" s="21" t="s">
        <v>143</v>
      </c>
      <c r="D1077" s="21" t="s">
        <v>2901</v>
      </c>
      <c r="E1077" s="1" t="s">
        <v>888</v>
      </c>
      <c r="F1077" s="21" t="s">
        <v>2224</v>
      </c>
      <c r="G1077" s="14">
        <v>0</v>
      </c>
      <c r="H1077" s="14">
        <v>0</v>
      </c>
      <c r="I1077" s="22">
        <v>319</v>
      </c>
      <c r="J1077" s="23">
        <f>VLOOKUP(I1077,episodes!$A$1:$B$81,2,FALSE)</f>
        <v>75</v>
      </c>
      <c r="K1077" s="16" t="str">
        <f>VLOOKUP(I1077,episodes!$A$1:$E$81,5,FALSE)</f>
        <v>Requiem for Methuselah</v>
      </c>
      <c r="L1077" s="16">
        <f>VLOOKUP(I1077,episodes!$A$1:$D$81,3,FALSE)</f>
        <v>3</v>
      </c>
      <c r="M1077" s="16">
        <f>VLOOKUP(I1077,episodes!$A$1:$D$81,4,FALSE)</f>
        <v>19</v>
      </c>
      <c r="N1077" s="14"/>
      <c r="O1077" s="14">
        <v>0</v>
      </c>
      <c r="P1077" s="24">
        <f>LEN(E1077)+LEN(K1077)</f>
        <v>74</v>
      </c>
      <c r="Q1077" s="24">
        <f>COUNTIFS(B:B,#REF!)</f>
        <v>0</v>
      </c>
      <c r="R1077" s="24">
        <f>COUNTIFS(D:D,D1080)</f>
        <v>6</v>
      </c>
    </row>
    <row r="1078" spans="1:18" s="21" customFormat="1" x14ac:dyDescent="0.3">
      <c r="A1078" s="14">
        <v>4</v>
      </c>
      <c r="B1078" s="21" t="s">
        <v>321</v>
      </c>
      <c r="C1078" s="21" t="s">
        <v>143</v>
      </c>
      <c r="D1078" s="21" t="s">
        <v>2901</v>
      </c>
      <c r="E1078" s="1" t="s">
        <v>1176</v>
      </c>
      <c r="F1078" s="21" t="s">
        <v>2</v>
      </c>
      <c r="G1078" s="14">
        <v>0</v>
      </c>
      <c r="H1078" s="14">
        <v>0</v>
      </c>
      <c r="I1078" s="25">
        <v>101</v>
      </c>
      <c r="J1078" s="23">
        <f>VLOOKUP(I1078,episodes!$A$1:$B$76,2,FALSE)</f>
        <v>2</v>
      </c>
      <c r="K1078" s="16" t="str">
        <f>VLOOKUP(I1078,episodes!$A$1:$E$81,5,FALSE)</f>
        <v>The Man Trap</v>
      </c>
      <c r="L1078" s="16">
        <f>VLOOKUP(I1078,episodes!$A$1:$D$81,3,FALSE)</f>
        <v>1</v>
      </c>
      <c r="M1078" s="16">
        <f>VLOOKUP(I1078,episodes!$A$1:$D$81,4,FALSE)</f>
        <v>1</v>
      </c>
      <c r="N1078" s="14"/>
      <c r="O1078" s="14">
        <v>0</v>
      </c>
      <c r="P1078" s="24">
        <f>LEN(E1078)+LEN(K1078)</f>
        <v>109</v>
      </c>
      <c r="Q1078" s="24">
        <f>COUNTIFS(B:B,B1077)</f>
        <v>2</v>
      </c>
      <c r="R1078" s="24">
        <f>COUNTIFS(D:D,D1078)</f>
        <v>6</v>
      </c>
    </row>
    <row r="1079" spans="1:18" s="21" customFormat="1" x14ac:dyDescent="0.3">
      <c r="A1079" s="14">
        <v>1921</v>
      </c>
      <c r="B1079" s="21" t="s">
        <v>337</v>
      </c>
      <c r="C1079" s="21" t="s">
        <v>143</v>
      </c>
      <c r="D1079" s="1" t="s">
        <v>2901</v>
      </c>
      <c r="E1079" s="1" t="s">
        <v>2313</v>
      </c>
      <c r="F1079" s="21" t="s">
        <v>2228</v>
      </c>
      <c r="G1079" s="14">
        <v>0</v>
      </c>
      <c r="H1079" s="14">
        <v>0</v>
      </c>
      <c r="I1079" s="25">
        <v>107</v>
      </c>
      <c r="J1079" s="23">
        <f>VLOOKUP(I1079,episodes!$A$1:$B$76,2,FALSE)</f>
        <v>8</v>
      </c>
      <c r="K1079" s="16" t="str">
        <f>VLOOKUP(I1079,episodes!$A$1:$E$81,5,FALSE)</f>
        <v>What Are Little Girls Made Of?</v>
      </c>
      <c r="L1079" s="16">
        <f>VLOOKUP(I1079,episodes!$A$1:$D$81,3,FALSE)</f>
        <v>1</v>
      </c>
      <c r="M1079" s="16">
        <f>VLOOKUP(I1079,episodes!$A$1:$D$81,4,FALSE)</f>
        <v>7</v>
      </c>
      <c r="N1079" s="14"/>
      <c r="O1079" s="14">
        <v>0</v>
      </c>
      <c r="P1079" s="24">
        <f>LEN(E1079)+LEN(K1079)</f>
        <v>86</v>
      </c>
      <c r="Q1079" s="24">
        <f>COUNTIFS(B:B,#REF!)</f>
        <v>0</v>
      </c>
      <c r="R1079" s="24">
        <f>COUNTIFS(D:D,D1079)</f>
        <v>6</v>
      </c>
    </row>
    <row r="1080" spans="1:18" s="21" customFormat="1" x14ac:dyDescent="0.3">
      <c r="A1080" s="14">
        <v>389</v>
      </c>
      <c r="B1080" s="21" t="s">
        <v>143</v>
      </c>
      <c r="C1080" s="21" t="s">
        <v>143</v>
      </c>
      <c r="D1080" s="21" t="s">
        <v>2901</v>
      </c>
      <c r="E1080" s="1" t="s">
        <v>2560</v>
      </c>
      <c r="F1080" s="21" t="s">
        <v>2224</v>
      </c>
      <c r="G1080" s="14">
        <v>0</v>
      </c>
      <c r="H1080" s="14">
        <v>0</v>
      </c>
      <c r="I1080" s="14">
        <v>209</v>
      </c>
      <c r="J1080" s="23">
        <f>VLOOKUP(I1080,episodes!$A$1:$B$81,2,FALSE)</f>
        <v>39</v>
      </c>
      <c r="K1080" s="16" t="str">
        <f>VLOOKUP(I1080,episodes!$A$1:$E$81,5,FALSE)</f>
        <v>Metamorphosis</v>
      </c>
      <c r="L1080" s="16">
        <f>VLOOKUP(I1080,episodes!$A$1:$D$81,3,FALSE)</f>
        <v>2</v>
      </c>
      <c r="M1080" s="16">
        <f>VLOOKUP(I1080,episodes!$A$1:$D$81,4,FALSE)</f>
        <v>9</v>
      </c>
      <c r="N1080" s="14"/>
      <c r="O1080" s="14">
        <v>0</v>
      </c>
      <c r="P1080" s="24">
        <f>LEN(E1080)+LEN(K1080)</f>
        <v>64</v>
      </c>
      <c r="Q1080" s="24">
        <f>COUNTIFS(B:B,B1079)</f>
        <v>1</v>
      </c>
      <c r="R1080" s="24">
        <f>COUNTIFS(D:D,D1080)</f>
        <v>6</v>
      </c>
    </row>
    <row r="1081" spans="1:18" s="21" customFormat="1" x14ac:dyDescent="0.3">
      <c r="A1081" s="14">
        <v>1209</v>
      </c>
      <c r="B1081" s="21" t="s">
        <v>319</v>
      </c>
      <c r="C1081" s="21" t="s">
        <v>143</v>
      </c>
      <c r="D1081" s="1" t="s">
        <v>2631</v>
      </c>
      <c r="E1081" s="1" t="s">
        <v>2379</v>
      </c>
      <c r="F1081" s="21" t="s">
        <v>4</v>
      </c>
      <c r="G1081" s="14">
        <v>1</v>
      </c>
      <c r="H1081" s="14">
        <v>0</v>
      </c>
      <c r="I1081" s="25">
        <v>120</v>
      </c>
      <c r="J1081" s="23">
        <f>VLOOKUP(I1081,episodes!$A$1:$B$76,2,FALSE)</f>
        <v>21</v>
      </c>
      <c r="K1081" s="16" t="str">
        <f>VLOOKUP(I1081,episodes!$A$1:$E$81,5,FALSE)</f>
        <v>Court Martial</v>
      </c>
      <c r="L1081" s="16">
        <f>VLOOKUP(I1081,episodes!$A$1:$D$81,3,FALSE)</f>
        <v>1</v>
      </c>
      <c r="M1081" s="16">
        <f>VLOOKUP(I1081,episodes!$A$1:$D$81,4,FALSE)</f>
        <v>20</v>
      </c>
      <c r="N1081" s="14"/>
      <c r="O1081" s="14">
        <v>0</v>
      </c>
      <c r="P1081" s="24">
        <f>LEN(E1081)+LEN(K1081)</f>
        <v>87</v>
      </c>
      <c r="Q1081" s="24">
        <f>COUNTIFS(B:B,B1080)</f>
        <v>1</v>
      </c>
      <c r="R1081" s="24">
        <f>COUNTIFS(D:D,D1081)</f>
        <v>5</v>
      </c>
    </row>
    <row r="1082" spans="1:18" s="21" customFormat="1" x14ac:dyDescent="0.3">
      <c r="A1082" s="14">
        <v>1193</v>
      </c>
      <c r="B1082" s="21" t="s">
        <v>306</v>
      </c>
      <c r="C1082" s="21" t="s">
        <v>143</v>
      </c>
      <c r="D1082" s="1" t="s">
        <v>2631</v>
      </c>
      <c r="E1082" s="1" t="s">
        <v>1807</v>
      </c>
      <c r="F1082" s="21" t="s">
        <v>4</v>
      </c>
      <c r="G1082" s="14">
        <v>1</v>
      </c>
      <c r="H1082" s="14">
        <v>0</v>
      </c>
      <c r="I1082" s="25">
        <v>115</v>
      </c>
      <c r="J1082" s="23">
        <f>VLOOKUP(I1082,episodes!$A$1:$B$76,2,FALSE)</f>
        <v>16</v>
      </c>
      <c r="K1082" s="16" t="str">
        <f>VLOOKUP(I1082,episodes!$A$1:$E$81,5,FALSE)</f>
        <v>Shore Leave</v>
      </c>
      <c r="L1082" s="16">
        <f>VLOOKUP(I1082,episodes!$A$1:$D$81,3,FALSE)</f>
        <v>1</v>
      </c>
      <c r="M1082" s="16">
        <f>VLOOKUP(I1082,episodes!$A$1:$D$81,4,FALSE)</f>
        <v>15</v>
      </c>
      <c r="N1082" s="14"/>
      <c r="O1082" s="14">
        <v>0</v>
      </c>
      <c r="P1082" s="24">
        <f>LEN(E1082)+LEN(K1082)</f>
        <v>67</v>
      </c>
      <c r="Q1082" s="24">
        <f>COUNTIFS(B:B,B1080)</f>
        <v>1</v>
      </c>
      <c r="R1082" s="24">
        <f>COUNTIFS(D:D,D1082)</f>
        <v>5</v>
      </c>
    </row>
    <row r="1083" spans="1:18" s="21" customFormat="1" x14ac:dyDescent="0.3">
      <c r="A1083" s="14">
        <v>2353</v>
      </c>
      <c r="B1083" s="21" t="s">
        <v>319</v>
      </c>
      <c r="C1083" s="21" t="s">
        <v>143</v>
      </c>
      <c r="D1083" s="1" t="s">
        <v>2631</v>
      </c>
      <c r="E1083" s="1" t="s">
        <v>413</v>
      </c>
      <c r="F1083" s="21" t="s">
        <v>5</v>
      </c>
      <c r="G1083" s="14">
        <v>1</v>
      </c>
      <c r="H1083" s="14">
        <v>0</v>
      </c>
      <c r="I1083" s="25">
        <v>124</v>
      </c>
      <c r="J1083" s="23">
        <f>VLOOKUP(I1083,episodes!$A$1:$B$76,2,FALSE)</f>
        <v>25</v>
      </c>
      <c r="K1083" s="16" t="str">
        <f>VLOOKUP(I1083,episodes!$A$1:$E$81,5,FALSE)</f>
        <v>This Side of Paradise</v>
      </c>
      <c r="L1083" s="16">
        <f>VLOOKUP(I1083,episodes!$A$1:$D$81,3,FALSE)</f>
        <v>1</v>
      </c>
      <c r="M1083" s="16">
        <f>VLOOKUP(I1083,episodes!$A$1:$D$81,4,FALSE)</f>
        <v>24</v>
      </c>
      <c r="N1083" s="14"/>
      <c r="O1083" s="14">
        <v>0</v>
      </c>
      <c r="P1083" s="24">
        <f>LEN(E1083)+LEN(K1083)</f>
        <v>52</v>
      </c>
      <c r="Q1083" s="24">
        <f>COUNTIFS(B:B,B1082)</f>
        <v>2</v>
      </c>
      <c r="R1083" s="24">
        <f>COUNTIFS(D:D,D1083)</f>
        <v>5</v>
      </c>
    </row>
    <row r="1084" spans="1:18" s="21" customFormat="1" x14ac:dyDescent="0.3">
      <c r="A1084" s="14">
        <v>1705</v>
      </c>
      <c r="B1084" s="21" t="s">
        <v>319</v>
      </c>
      <c r="C1084" s="21" t="s">
        <v>143</v>
      </c>
      <c r="D1084" s="1" t="s">
        <v>2631</v>
      </c>
      <c r="E1084" s="1" t="s">
        <v>1585</v>
      </c>
      <c r="F1084" s="21" t="s">
        <v>8</v>
      </c>
      <c r="G1084" s="14">
        <v>0</v>
      </c>
      <c r="H1084" s="14">
        <v>1</v>
      </c>
      <c r="I1084" s="25">
        <v>101</v>
      </c>
      <c r="J1084" s="23">
        <f>VLOOKUP(I1084,episodes!$A$1:$B$76,2,FALSE)</f>
        <v>2</v>
      </c>
      <c r="K1084" s="16" t="str">
        <f>VLOOKUP(I1084,episodes!$A$1:$E$81,5,FALSE)</f>
        <v>The Man Trap</v>
      </c>
      <c r="L1084" s="16">
        <f>VLOOKUP(I1084,episodes!$A$1:$D$81,3,FALSE)</f>
        <v>1</v>
      </c>
      <c r="M1084" s="16">
        <f>VLOOKUP(I1084,episodes!$A$1:$D$81,4,FALSE)</f>
        <v>1</v>
      </c>
      <c r="N1084" s="14"/>
      <c r="O1084" s="14">
        <v>0</v>
      </c>
      <c r="P1084" s="24">
        <f>LEN(E1084)+LEN(K1084)</f>
        <v>44</v>
      </c>
      <c r="Q1084" s="24">
        <f>COUNTIFS(B:B,B1082)</f>
        <v>2</v>
      </c>
      <c r="R1084" s="24">
        <f>COUNTIFS(D:D,D1084)</f>
        <v>5</v>
      </c>
    </row>
    <row r="1085" spans="1:18" s="21" customFormat="1" x14ac:dyDescent="0.3">
      <c r="A1085" s="14">
        <v>1195</v>
      </c>
      <c r="B1085" s="21" t="s">
        <v>319</v>
      </c>
      <c r="C1085" s="21" t="s">
        <v>143</v>
      </c>
      <c r="D1085" s="1" t="s">
        <v>2631</v>
      </c>
      <c r="E1085" s="1" t="s">
        <v>498</v>
      </c>
      <c r="F1085" s="21" t="s">
        <v>4</v>
      </c>
      <c r="G1085" s="14">
        <v>1</v>
      </c>
      <c r="H1085" s="14">
        <v>0</v>
      </c>
      <c r="I1085" s="25">
        <v>115</v>
      </c>
      <c r="J1085" s="23">
        <f>VLOOKUP(I1085,episodes!$A$1:$B$76,2,FALSE)</f>
        <v>16</v>
      </c>
      <c r="K1085" s="16" t="str">
        <f>VLOOKUP(I1085,episodes!$A$1:$E$81,5,FALSE)</f>
        <v>Shore Leave</v>
      </c>
      <c r="L1085" s="16">
        <f>VLOOKUP(I1085,episodes!$A$1:$D$81,3,FALSE)</f>
        <v>1</v>
      </c>
      <c r="M1085" s="16">
        <f>VLOOKUP(I1085,episodes!$A$1:$D$81,4,FALSE)</f>
        <v>15</v>
      </c>
      <c r="N1085" s="14"/>
      <c r="O1085" s="14">
        <v>0</v>
      </c>
      <c r="P1085" s="24">
        <f>LEN(E1085)+LEN(K1085)</f>
        <v>84</v>
      </c>
      <c r="Q1085" s="24">
        <f>COUNTIFS(B:B,B1082)</f>
        <v>2</v>
      </c>
      <c r="R1085" s="24">
        <f>COUNTIFS(D:D,D1085)</f>
        <v>5</v>
      </c>
    </row>
    <row r="1086" spans="1:18" s="21" customFormat="1" x14ac:dyDescent="0.3">
      <c r="A1086" s="14">
        <v>1879</v>
      </c>
      <c r="B1086" s="21" t="s">
        <v>246</v>
      </c>
      <c r="C1086" s="21" t="s">
        <v>143</v>
      </c>
      <c r="D1086" s="1" t="s">
        <v>2647</v>
      </c>
      <c r="E1086" s="1" t="s">
        <v>2265</v>
      </c>
      <c r="F1086" s="21" t="s">
        <v>1862</v>
      </c>
      <c r="G1086" s="14">
        <v>0</v>
      </c>
      <c r="H1086" s="14">
        <v>2</v>
      </c>
      <c r="I1086" s="25">
        <v>102</v>
      </c>
      <c r="J1086" s="23">
        <f>VLOOKUP(I1086,episodes!$A$1:$B$76,2,FALSE)</f>
        <v>3</v>
      </c>
      <c r="K1086" s="16" t="str">
        <f>VLOOKUP(I1086,episodes!$A$1:$E$81,5,FALSE)</f>
        <v>Charlie X</v>
      </c>
      <c r="L1086" s="16">
        <f>VLOOKUP(I1086,episodes!$A$1:$D$81,3,FALSE)</f>
        <v>1</v>
      </c>
      <c r="M1086" s="16">
        <f>VLOOKUP(I1086,episodes!$A$1:$D$81,4,FALSE)</f>
        <v>2</v>
      </c>
      <c r="N1086" s="14"/>
      <c r="O1086" s="14">
        <v>0</v>
      </c>
      <c r="P1086" s="24">
        <f>LEN(E1086)+LEN(K1086)</f>
        <v>108</v>
      </c>
      <c r="Q1086" s="24"/>
      <c r="R1086" s="24"/>
    </row>
    <row r="1087" spans="1:18" s="21" customFormat="1" x14ac:dyDescent="0.3">
      <c r="A1087" s="14">
        <v>1882</v>
      </c>
      <c r="B1087" s="21" t="s">
        <v>246</v>
      </c>
      <c r="C1087" s="21" t="s">
        <v>143</v>
      </c>
      <c r="D1087" s="1" t="s">
        <v>2647</v>
      </c>
      <c r="E1087" s="1" t="s">
        <v>168</v>
      </c>
      <c r="F1087" s="21" t="s">
        <v>1873</v>
      </c>
      <c r="G1087" s="14">
        <v>0</v>
      </c>
      <c r="H1087" s="14">
        <v>0</v>
      </c>
      <c r="I1087" s="25">
        <v>105</v>
      </c>
      <c r="J1087" s="23">
        <f>VLOOKUP(I1087,episodes!$A$1:$B$76,2,FALSE)</f>
        <v>6</v>
      </c>
      <c r="K1087" s="16" t="str">
        <f>VLOOKUP(I1087,episodes!$A$1:$E$81,5,FALSE)</f>
        <v>The Enemy Within</v>
      </c>
      <c r="L1087" s="16">
        <f>VLOOKUP(I1087,episodes!$A$1:$D$81,3,FALSE)</f>
        <v>1</v>
      </c>
      <c r="M1087" s="16">
        <f>VLOOKUP(I1087,episodes!$A$1:$D$81,4,FALSE)</f>
        <v>5</v>
      </c>
      <c r="N1087" s="14"/>
      <c r="O1087" s="14">
        <v>0</v>
      </c>
      <c r="P1087" s="24">
        <f>LEN(E1087)+LEN(K1087)</f>
        <v>55</v>
      </c>
      <c r="Q1087" s="24"/>
      <c r="R1087" s="24"/>
    </row>
    <row r="1088" spans="1:18" s="21" customFormat="1" x14ac:dyDescent="0.3">
      <c r="A1088" s="14">
        <v>1129</v>
      </c>
      <c r="B1088" s="21" t="s">
        <v>518</v>
      </c>
      <c r="C1088" s="21" t="s">
        <v>143</v>
      </c>
      <c r="D1088" s="21" t="s">
        <v>2632</v>
      </c>
      <c r="E1088" s="1" t="s">
        <v>2088</v>
      </c>
      <c r="F1088" s="21" t="s">
        <v>4</v>
      </c>
      <c r="G1088" s="14">
        <v>1</v>
      </c>
      <c r="H1088" s="14">
        <v>0</v>
      </c>
      <c r="I1088" s="25">
        <v>204</v>
      </c>
      <c r="J1088" s="23">
        <f>VLOOKUP(I1088,episodes!$A$1:$B$81,2,FALSE)</f>
        <v>34</v>
      </c>
      <c r="K1088" s="16" t="str">
        <f>VLOOKUP(I1088,episodes!$A$1:$E$81,5,FALSE)</f>
        <v>Mirror, Mirror</v>
      </c>
      <c r="L1088" s="16">
        <f>VLOOKUP(I1088,episodes!$A$1:$D$81,3,FALSE)</f>
        <v>2</v>
      </c>
      <c r="M1088" s="16">
        <f>VLOOKUP(I1088,episodes!$A$1:$D$81,4,FALSE)</f>
        <v>4</v>
      </c>
      <c r="N1088" s="14"/>
      <c r="O1088" s="14">
        <v>0</v>
      </c>
      <c r="P1088" s="24">
        <f>LEN(E1088)+LEN(K1088)</f>
        <v>77</v>
      </c>
      <c r="Q1088" s="24">
        <f>COUNTIFS(B:B,B1086)</f>
        <v>2</v>
      </c>
      <c r="R1088" s="24">
        <f>COUNTIFS(D:D,D1088)</f>
        <v>1</v>
      </c>
    </row>
    <row r="1089" spans="1:19" s="21" customFormat="1" x14ac:dyDescent="0.3">
      <c r="A1089" s="14">
        <v>399</v>
      </c>
      <c r="B1089" s="21" t="s">
        <v>2670</v>
      </c>
      <c r="C1089" s="21" t="s">
        <v>143</v>
      </c>
      <c r="D1089" s="30" t="s">
        <v>2635</v>
      </c>
      <c r="E1089" s="1" t="s">
        <v>1591</v>
      </c>
      <c r="F1089" s="21" t="s">
        <v>2559</v>
      </c>
      <c r="G1089" s="14">
        <v>0</v>
      </c>
      <c r="H1089" s="14">
        <v>0</v>
      </c>
      <c r="I1089" s="14">
        <v>209</v>
      </c>
      <c r="J1089" s="23">
        <f>VLOOKUP(I1089,episodes!$A$1:$B$81,2,FALSE)</f>
        <v>39</v>
      </c>
      <c r="K1089" s="16" t="str">
        <f>VLOOKUP(I1089,episodes!$A$1:$E$81,5,FALSE)</f>
        <v>Metamorphosis</v>
      </c>
      <c r="L1089" s="16">
        <f>VLOOKUP(I1089,episodes!$A$1:$D$81,3,FALSE)</f>
        <v>2</v>
      </c>
      <c r="M1089" s="16">
        <f>VLOOKUP(I1089,episodes!$A$1:$D$81,4,FALSE)</f>
        <v>9</v>
      </c>
      <c r="N1089" s="14"/>
      <c r="O1089" s="14">
        <v>0</v>
      </c>
      <c r="P1089" s="24">
        <f>LEN(E1089)+LEN(K1089)</f>
        <v>100</v>
      </c>
      <c r="Q1089" s="24">
        <f>COUNTIFS(B:B,B1088)</f>
        <v>1</v>
      </c>
      <c r="R1089" s="24">
        <f>COUNTIFS(D:D,D1089)</f>
        <v>0</v>
      </c>
    </row>
    <row r="1090" spans="1:19" s="21" customFormat="1" x14ac:dyDescent="0.3">
      <c r="A1090" s="14">
        <v>2918</v>
      </c>
      <c r="B1090" s="21" t="s">
        <v>2670</v>
      </c>
      <c r="C1090" s="21" t="s">
        <v>143</v>
      </c>
      <c r="D1090" s="29" t="s">
        <v>2635</v>
      </c>
      <c r="E1090" s="1" t="s">
        <v>2671</v>
      </c>
      <c r="F1090" s="21" t="s">
        <v>2374</v>
      </c>
      <c r="G1090" s="14">
        <v>0</v>
      </c>
      <c r="H1090" s="14">
        <v>0</v>
      </c>
      <c r="I1090" s="25">
        <v>101</v>
      </c>
      <c r="J1090" s="23">
        <f>VLOOKUP(I1090,episodes!$A$1:$B$76,2,FALSE)</f>
        <v>2</v>
      </c>
      <c r="K1090" s="16" t="str">
        <f>VLOOKUP(I1090,episodes!$A$1:$E$81,5,FALSE)</f>
        <v>The Man Trap</v>
      </c>
      <c r="L1090" s="16">
        <f>VLOOKUP(I1090,episodes!$A$1:$D$81,3,FALSE)</f>
        <v>1</v>
      </c>
      <c r="M1090" s="16">
        <f>VLOOKUP(I1090,episodes!$A$1:$D$81,4,FALSE)</f>
        <v>1</v>
      </c>
      <c r="N1090" s="14"/>
      <c r="O1090" s="14">
        <v>0</v>
      </c>
      <c r="P1090" s="24">
        <f>LEN(E1090)+LEN(K1090)</f>
        <v>92</v>
      </c>
      <c r="Q1090" s="24"/>
      <c r="R1090" s="24">
        <f>COUNTIFS(D:D,D1090)</f>
        <v>0</v>
      </c>
    </row>
    <row r="1091" spans="1:19" s="21" customFormat="1" x14ac:dyDescent="0.3">
      <c r="A1091" s="14">
        <v>1002</v>
      </c>
      <c r="B1091" s="21" t="s">
        <v>357</v>
      </c>
      <c r="C1091" s="21" t="s">
        <v>143</v>
      </c>
      <c r="D1091" s="29" t="s">
        <v>2635</v>
      </c>
      <c r="E1091" s="1" t="s">
        <v>777</v>
      </c>
      <c r="F1091" s="21" t="s">
        <v>4</v>
      </c>
      <c r="G1091" s="14">
        <v>1</v>
      </c>
      <c r="H1091" s="14">
        <v>0</v>
      </c>
      <c r="I1091" s="25">
        <v>128</v>
      </c>
      <c r="J1091" s="23">
        <f>VLOOKUP(I1091,episodes!$A$1:$B$76,2,FALSE)</f>
        <v>29</v>
      </c>
      <c r="K1091" s="16" t="str">
        <f>VLOOKUP(I1091,episodes!$A$1:$E$81,5,FALSE)</f>
        <v>The City on the Edge of Forever</v>
      </c>
      <c r="L1091" s="16">
        <f>VLOOKUP(I1091,episodes!$A$1:$D$81,3,FALSE)</f>
        <v>1</v>
      </c>
      <c r="M1091" s="16">
        <f>VLOOKUP(I1091,episodes!$A$1:$D$81,4,FALSE)</f>
        <v>28</v>
      </c>
      <c r="N1091" s="14"/>
      <c r="O1091" s="14">
        <v>0</v>
      </c>
      <c r="P1091" s="24">
        <f>LEN(E1091)+LEN(K1091)</f>
        <v>68</v>
      </c>
      <c r="Q1091" s="24">
        <f>COUNTIFS(B:B,B1090)</f>
        <v>3</v>
      </c>
      <c r="R1091" s="24">
        <f>COUNTIFS(D:D,D1091)</f>
        <v>0</v>
      </c>
    </row>
    <row r="1092" spans="1:19" s="21" customFormat="1" x14ac:dyDescent="0.3">
      <c r="A1092" s="14">
        <v>974</v>
      </c>
      <c r="B1092" s="21" t="s">
        <v>139</v>
      </c>
      <c r="C1092" s="21" t="s">
        <v>143</v>
      </c>
      <c r="D1092" s="30" t="s">
        <v>2635</v>
      </c>
      <c r="E1092" s="1" t="s">
        <v>2314</v>
      </c>
      <c r="F1092" s="21" t="s">
        <v>4</v>
      </c>
      <c r="G1092" s="14">
        <v>1</v>
      </c>
      <c r="H1092" s="14">
        <v>0</v>
      </c>
      <c r="I1092" s="25">
        <v>319</v>
      </c>
      <c r="J1092" s="23">
        <f>VLOOKUP(I1092,episodes!$A$1:$B$81,2,FALSE)</f>
        <v>75</v>
      </c>
      <c r="K1092" s="16" t="str">
        <f>VLOOKUP(I1092,episodes!$A$1:$E$81,5,FALSE)</f>
        <v>Requiem for Methuselah</v>
      </c>
      <c r="L1092" s="16">
        <f>VLOOKUP(I1092,episodes!$A$1:$D$81,3,FALSE)</f>
        <v>3</v>
      </c>
      <c r="M1092" s="16">
        <f>VLOOKUP(I1092,episodes!$A$1:$D$81,4,FALSE)</f>
        <v>19</v>
      </c>
      <c r="N1092" s="14"/>
      <c r="O1092" s="14">
        <v>0</v>
      </c>
      <c r="P1092" s="24">
        <f>LEN(E1092)+LEN(K1092)</f>
        <v>58</v>
      </c>
      <c r="Q1092" s="24">
        <f>COUNTIFS(B:B,B1093)</f>
        <v>1</v>
      </c>
      <c r="R1092" s="24">
        <f>COUNTIFS(D:D,D1095)</f>
        <v>0</v>
      </c>
    </row>
    <row r="1093" spans="1:19" s="21" customFormat="1" x14ac:dyDescent="0.3">
      <c r="A1093" s="14">
        <v>1003</v>
      </c>
      <c r="B1093" s="21" t="s">
        <v>361</v>
      </c>
      <c r="C1093" s="21" t="s">
        <v>143</v>
      </c>
      <c r="D1093" s="30" t="s">
        <v>2635</v>
      </c>
      <c r="E1093" s="1" t="s">
        <v>1456</v>
      </c>
      <c r="F1093" s="21" t="s">
        <v>4</v>
      </c>
      <c r="G1093" s="14">
        <v>1</v>
      </c>
      <c r="H1093" s="14">
        <v>0</v>
      </c>
      <c r="I1093" s="22">
        <v>128</v>
      </c>
      <c r="J1093" s="23">
        <f>VLOOKUP(I1093,episodes!$A$1:$B$76,2,FALSE)</f>
        <v>29</v>
      </c>
      <c r="K1093" s="16" t="str">
        <f>VLOOKUP(I1093,episodes!$A$1:$E$81,5,FALSE)</f>
        <v>The City on the Edge of Forever</v>
      </c>
      <c r="L1093" s="16">
        <f>VLOOKUP(I1093,episodes!$A$1:$D$81,3,FALSE)</f>
        <v>1</v>
      </c>
      <c r="M1093" s="16">
        <f>VLOOKUP(I1093,episodes!$A$1:$D$81,4,FALSE)</f>
        <v>28</v>
      </c>
      <c r="N1093" s="14"/>
      <c r="O1093" s="14">
        <v>0</v>
      </c>
      <c r="P1093" s="24">
        <f>LEN(E1093)+LEN(K1093)</f>
        <v>79</v>
      </c>
      <c r="Q1093" s="24">
        <f>COUNTIFS(B:B,#REF!)</f>
        <v>0</v>
      </c>
      <c r="R1093" s="24">
        <f>COUNTIFS(D:D,D1093)</f>
        <v>0</v>
      </c>
    </row>
    <row r="1094" spans="1:19" s="21" customFormat="1" x14ac:dyDescent="0.3">
      <c r="A1094" s="14">
        <v>1816</v>
      </c>
      <c r="B1094" s="21" t="s">
        <v>2670</v>
      </c>
      <c r="C1094" s="21" t="s">
        <v>143</v>
      </c>
      <c r="D1094" s="29" t="s">
        <v>2635</v>
      </c>
      <c r="E1094" s="1" t="s">
        <v>434</v>
      </c>
      <c r="F1094" s="21" t="s">
        <v>2233</v>
      </c>
      <c r="G1094" s="14">
        <v>0</v>
      </c>
      <c r="H1094" s="14">
        <v>0</v>
      </c>
      <c r="I1094" s="14">
        <v>202</v>
      </c>
      <c r="J1094" s="23">
        <f>VLOOKUP(I1094,episodes!$A$1:$B$76,2,FALSE)</f>
        <v>32</v>
      </c>
      <c r="K1094" s="16" t="str">
        <f>VLOOKUP(I1094,episodes!$A$1:$E$81,5,FALSE)</f>
        <v>Who Mourns for Adonais?</v>
      </c>
      <c r="L1094" s="16">
        <f>VLOOKUP(I1094,episodes!$A$1:$D$81,3,FALSE)</f>
        <v>2</v>
      </c>
      <c r="M1094" s="16">
        <f>VLOOKUP(I1094,episodes!$A$1:$D$81,4,FALSE)</f>
        <v>2</v>
      </c>
      <c r="N1094" s="14"/>
      <c r="O1094" s="14">
        <v>0</v>
      </c>
      <c r="P1094" s="24">
        <f>LEN(E1094)+LEN(K1094)</f>
        <v>56</v>
      </c>
      <c r="Q1094" s="24">
        <f>COUNTIFS(B:B,#REF!)</f>
        <v>0</v>
      </c>
      <c r="R1094" s="24">
        <f>COUNTIFS(D:D,D1094)</f>
        <v>0</v>
      </c>
    </row>
    <row r="1095" spans="1:19" s="21" customFormat="1" x14ac:dyDescent="0.3">
      <c r="A1095" s="14">
        <v>2335</v>
      </c>
      <c r="B1095" s="21" t="s">
        <v>349</v>
      </c>
      <c r="C1095" s="21" t="s">
        <v>143</v>
      </c>
      <c r="D1095" s="29" t="s">
        <v>2635</v>
      </c>
      <c r="E1095" s="1" t="s">
        <v>807</v>
      </c>
      <c r="F1095" s="21" t="s">
        <v>5</v>
      </c>
      <c r="G1095" s="14">
        <v>1</v>
      </c>
      <c r="H1095" s="14">
        <v>0</v>
      </c>
      <c r="I1095" s="22">
        <v>201</v>
      </c>
      <c r="J1095" s="23">
        <f>VLOOKUP(I1095,episodes!$A$1:$B$76,2,FALSE)</f>
        <v>31</v>
      </c>
      <c r="K1095" s="16" t="str">
        <f>VLOOKUP(I1095,episodes!$A$1:$E$81,5,FALSE)</f>
        <v>Amok Time</v>
      </c>
      <c r="L1095" s="16">
        <f>VLOOKUP(I1095,episodes!$A$1:$D$81,3,FALSE)</f>
        <v>2</v>
      </c>
      <c r="M1095" s="16">
        <f>VLOOKUP(I1095,episodes!$A$1:$D$81,4,FALSE)</f>
        <v>1</v>
      </c>
      <c r="N1095" s="14"/>
      <c r="O1095" s="14">
        <v>0</v>
      </c>
      <c r="P1095" s="24">
        <f>LEN(E1095)+LEN(K1095)</f>
        <v>77</v>
      </c>
      <c r="Q1095" s="24">
        <f>COUNTIFS(B:B,B1094)</f>
        <v>3</v>
      </c>
      <c r="R1095" s="24">
        <f>COUNTIFS(D:D,D1095)</f>
        <v>0</v>
      </c>
    </row>
    <row r="1096" spans="1:19" s="21" customFormat="1" x14ac:dyDescent="0.3">
      <c r="A1096" s="14">
        <v>2330</v>
      </c>
      <c r="B1096" s="21" t="s">
        <v>244</v>
      </c>
      <c r="C1096" s="21" t="s">
        <v>143</v>
      </c>
      <c r="D1096" s="29" t="s">
        <v>2635</v>
      </c>
      <c r="E1096" s="1" t="s">
        <v>1492</v>
      </c>
      <c r="F1096" s="21" t="s">
        <v>2258</v>
      </c>
      <c r="G1096" s="14">
        <v>0</v>
      </c>
      <c r="H1096" s="14">
        <v>2</v>
      </c>
      <c r="I1096" s="25">
        <v>104</v>
      </c>
      <c r="J1096" s="23">
        <f>VLOOKUP(I1096,episodes!$A$1:$B$76,2,FALSE)</f>
        <v>5</v>
      </c>
      <c r="K1096" s="16" t="str">
        <f>VLOOKUP(I1096,episodes!$A$1:$E$81,5,FALSE)</f>
        <v>The Naked Time</v>
      </c>
      <c r="L1096" s="16">
        <f>VLOOKUP(I1096,episodes!$A$1:$D$81,3,FALSE)</f>
        <v>1</v>
      </c>
      <c r="M1096" s="16">
        <f>VLOOKUP(I1096,episodes!$A$1:$D$81,4,FALSE)</f>
        <v>4</v>
      </c>
      <c r="N1096" s="14"/>
      <c r="O1096" s="14">
        <v>0</v>
      </c>
      <c r="P1096" s="24">
        <f>LEN(E1096)+LEN(K1096)</f>
        <v>129</v>
      </c>
      <c r="Q1096" s="24"/>
      <c r="R1096" s="24"/>
    </row>
    <row r="1097" spans="1:19" s="21" customFormat="1" x14ac:dyDescent="0.3">
      <c r="A1097" s="14">
        <v>52</v>
      </c>
      <c r="B1097" s="21" t="s">
        <v>148</v>
      </c>
      <c r="C1097" s="21" t="s">
        <v>143</v>
      </c>
      <c r="D1097" s="30" t="s">
        <v>2635</v>
      </c>
      <c r="E1097" s="1" t="s">
        <v>527</v>
      </c>
      <c r="F1097" s="21" t="s">
        <v>2</v>
      </c>
      <c r="G1097" s="14">
        <v>0</v>
      </c>
      <c r="H1097" s="14">
        <v>0</v>
      </c>
      <c r="I1097" s="22">
        <v>210</v>
      </c>
      <c r="J1097" s="23">
        <f>VLOOKUP(I1097,episodes!$A$1:$B$81,2,FALSE)</f>
        <v>40</v>
      </c>
      <c r="K1097" s="16" t="str">
        <f>VLOOKUP(I1097,episodes!$A$1:$E$81,5,FALSE)</f>
        <v>Journey to Babel</v>
      </c>
      <c r="L1097" s="16">
        <f>VLOOKUP(I1097,episodes!$A$1:$D$81,3,FALSE)</f>
        <v>2</v>
      </c>
      <c r="M1097" s="16">
        <f>VLOOKUP(I1097,episodes!$A$1:$D$81,4,FALSE)</f>
        <v>10</v>
      </c>
      <c r="N1097" s="14"/>
      <c r="O1097" s="14">
        <v>0</v>
      </c>
      <c r="P1097" s="24">
        <f>LEN(E1097)+LEN(K1097)</f>
        <v>88</v>
      </c>
      <c r="Q1097" s="24">
        <f>COUNTIFS(B:B,B1096)</f>
        <v>2</v>
      </c>
      <c r="R1097" s="24">
        <f>COUNTIFS(D:D,D1097)</f>
        <v>0</v>
      </c>
    </row>
    <row r="1098" spans="1:19" s="21" customFormat="1" x14ac:dyDescent="0.3">
      <c r="A1098" s="14">
        <v>2363</v>
      </c>
      <c r="B1098" s="21" t="s">
        <v>367</v>
      </c>
      <c r="C1098" s="21" t="s">
        <v>143</v>
      </c>
      <c r="D1098" s="29" t="s">
        <v>2635</v>
      </c>
      <c r="E1098" s="1" t="s">
        <v>1332</v>
      </c>
      <c r="F1098" s="21" t="s">
        <v>5</v>
      </c>
      <c r="G1098" s="14">
        <v>1</v>
      </c>
      <c r="H1098" s="14">
        <v>0</v>
      </c>
      <c r="I1098" s="22">
        <v>124</v>
      </c>
      <c r="J1098" s="23">
        <f>VLOOKUP(I1098,episodes!$A$1:$B$76,2,FALSE)</f>
        <v>25</v>
      </c>
      <c r="K1098" s="16" t="str">
        <f>VLOOKUP(I1098,episodes!$A$1:$E$81,5,FALSE)</f>
        <v>This Side of Paradise</v>
      </c>
      <c r="L1098" s="16">
        <f>VLOOKUP(I1098,episodes!$A$1:$D$81,3,FALSE)</f>
        <v>1</v>
      </c>
      <c r="M1098" s="16">
        <f>VLOOKUP(I1098,episodes!$A$1:$D$81,4,FALSE)</f>
        <v>24</v>
      </c>
      <c r="N1098" s="14"/>
      <c r="O1098" s="14">
        <v>0</v>
      </c>
      <c r="P1098" s="24">
        <f>LEN(E1098)+LEN(K1098)</f>
        <v>50</v>
      </c>
      <c r="Q1098" s="24">
        <f>COUNTIFS(B:B,B1096)</f>
        <v>2</v>
      </c>
      <c r="R1098" s="24">
        <f>COUNTIFS(D:D,D1098)</f>
        <v>0</v>
      </c>
    </row>
    <row r="1099" spans="1:19" s="21" customFormat="1" x14ac:dyDescent="0.3">
      <c r="A1099" s="14">
        <v>2329</v>
      </c>
      <c r="B1099" s="21" t="s">
        <v>244</v>
      </c>
      <c r="C1099" s="21" t="s">
        <v>143</v>
      </c>
      <c r="D1099" s="29" t="s">
        <v>2635</v>
      </c>
      <c r="E1099" s="1" t="s">
        <v>2385</v>
      </c>
      <c r="F1099" s="21" t="s">
        <v>5</v>
      </c>
      <c r="G1099" s="14">
        <v>1</v>
      </c>
      <c r="H1099" s="14">
        <v>0</v>
      </c>
      <c r="I1099" s="25">
        <v>104</v>
      </c>
      <c r="J1099" s="23">
        <f>VLOOKUP(I1099,episodes!$A$1:$B$76,2,FALSE)</f>
        <v>5</v>
      </c>
      <c r="K1099" s="16" t="str">
        <f>VLOOKUP(I1099,episodes!$A$1:$E$81,5,FALSE)</f>
        <v>The Naked Time</v>
      </c>
      <c r="L1099" s="16">
        <f>VLOOKUP(I1099,episodes!$A$1:$D$81,3,FALSE)</f>
        <v>1</v>
      </c>
      <c r="M1099" s="16">
        <f>VLOOKUP(I1099,episodes!$A$1:$D$81,4,FALSE)</f>
        <v>4</v>
      </c>
      <c r="N1099" s="14"/>
      <c r="O1099" s="14">
        <v>0</v>
      </c>
      <c r="P1099" s="24">
        <f>LEN(E1099)+LEN(K1099)</f>
        <v>82</v>
      </c>
      <c r="Q1099" s="24">
        <f>COUNTIFS(B:B,#REF!)</f>
        <v>0</v>
      </c>
      <c r="R1099" s="24">
        <f>COUNTIFS(D:D,D1099)</f>
        <v>0</v>
      </c>
    </row>
    <row r="1100" spans="1:19" s="21" customFormat="1" x14ac:dyDescent="0.3">
      <c r="A1100" s="14">
        <v>1140</v>
      </c>
      <c r="B1100" s="21" t="s">
        <v>349</v>
      </c>
      <c r="C1100" s="21" t="s">
        <v>143</v>
      </c>
      <c r="D1100" s="1" t="s">
        <v>2633</v>
      </c>
      <c r="E1100" s="1" t="s">
        <v>2879</v>
      </c>
      <c r="F1100" s="21" t="s">
        <v>2290</v>
      </c>
      <c r="G1100" s="14">
        <v>0</v>
      </c>
      <c r="H1100" s="14">
        <v>0</v>
      </c>
      <c r="I1100" s="25">
        <v>109</v>
      </c>
      <c r="J1100" s="23">
        <f>VLOOKUP(I1100,episodes!$A$1:$B$76,2,FALSE)</f>
        <v>10</v>
      </c>
      <c r="K1100" s="16" t="str">
        <f>VLOOKUP(I1100,episodes!$A$1:$E$81,5,FALSE)</f>
        <v>Dagger of the Mind</v>
      </c>
      <c r="L1100" s="16">
        <f>VLOOKUP(I1100,episodes!$A$1:$D$81,3,FALSE)</f>
        <v>1</v>
      </c>
      <c r="M1100" s="16">
        <f>VLOOKUP(I1100,episodes!$A$1:$D$81,4,FALSE)</f>
        <v>9</v>
      </c>
      <c r="N1100" s="14"/>
      <c r="O1100" s="14">
        <v>0</v>
      </c>
      <c r="P1100" s="24">
        <f>LEN(E1100)+LEN(K1100)</f>
        <v>86</v>
      </c>
      <c r="Q1100" s="24"/>
      <c r="R1100" s="24"/>
    </row>
    <row r="1101" spans="1:19" s="21" customFormat="1" x14ac:dyDescent="0.3">
      <c r="A1101" s="14">
        <v>409</v>
      </c>
      <c r="B1101" s="21" t="s">
        <v>526</v>
      </c>
      <c r="C1101" s="21" t="s">
        <v>143</v>
      </c>
      <c r="D1101" s="21" t="s">
        <v>2633</v>
      </c>
      <c r="E1101" s="1" t="s">
        <v>885</v>
      </c>
      <c r="F1101" s="21" t="s">
        <v>2225</v>
      </c>
      <c r="G1101" s="14">
        <v>0</v>
      </c>
      <c r="H1101" s="14">
        <v>0</v>
      </c>
      <c r="I1101" s="25">
        <v>307</v>
      </c>
      <c r="J1101" s="23">
        <f>VLOOKUP(I1101,episodes!$A$1:$B$81,2,FALSE)</f>
        <v>63</v>
      </c>
      <c r="K1101" s="16" t="str">
        <f>VLOOKUP(I1101,episodes!$A$1:$E$81,5,FALSE)</f>
        <v>Day of the Dove</v>
      </c>
      <c r="L1101" s="16">
        <f>VLOOKUP(I1101,episodes!$A$1:$D$81,3,FALSE)</f>
        <v>3</v>
      </c>
      <c r="M1101" s="16">
        <f>VLOOKUP(I1101,episodes!$A$1:$D$81,4,FALSE)</f>
        <v>7</v>
      </c>
      <c r="N1101" s="14"/>
      <c r="O1101" s="14">
        <v>0</v>
      </c>
      <c r="P1101" s="24">
        <f>LEN(E1101)+LEN(K1101)</f>
        <v>66</v>
      </c>
      <c r="Q1101" s="24">
        <f>COUNTIFS(B:B,#REF!)</f>
        <v>0</v>
      </c>
      <c r="R1101" s="24">
        <f>COUNTIFS(D:D,D1102)</f>
        <v>12</v>
      </c>
    </row>
    <row r="1102" spans="1:19" s="21" customFormat="1" x14ac:dyDescent="0.3">
      <c r="A1102" s="14">
        <v>1019</v>
      </c>
      <c r="B1102" s="21" t="s">
        <v>364</v>
      </c>
      <c r="C1102" s="21" t="s">
        <v>143</v>
      </c>
      <c r="D1102" s="1" t="s">
        <v>2633</v>
      </c>
      <c r="E1102" s="1" t="s">
        <v>1022</v>
      </c>
      <c r="F1102" s="21" t="s">
        <v>4</v>
      </c>
      <c r="G1102" s="14">
        <v>1</v>
      </c>
      <c r="H1102" s="14">
        <v>0</v>
      </c>
      <c r="I1102" s="22">
        <v>207</v>
      </c>
      <c r="J1102" s="23">
        <f>VLOOKUP(I1102,episodes!$A$1:$B$81,2,FALSE)</f>
        <v>37</v>
      </c>
      <c r="K1102" s="16" t="str">
        <f>VLOOKUP(I1102,episodes!$A$1:$E$81,5,FALSE)</f>
        <v>Catspaw</v>
      </c>
      <c r="L1102" s="16">
        <f>VLOOKUP(I1102,episodes!$A$1:$D$81,3,FALSE)</f>
        <v>2</v>
      </c>
      <c r="M1102" s="16">
        <f>VLOOKUP(I1102,episodes!$A$1:$D$81,4,FALSE)</f>
        <v>7</v>
      </c>
      <c r="N1102" s="14"/>
      <c r="O1102" s="14">
        <v>0</v>
      </c>
      <c r="P1102" s="24">
        <f>LEN(E1102)+LEN(K1102)</f>
        <v>71</v>
      </c>
      <c r="Q1102" s="24">
        <f>COUNTIFS(B:B,B1101)</f>
        <v>1</v>
      </c>
      <c r="R1102" s="24">
        <f>COUNTIFS(D:D,D1102)</f>
        <v>12</v>
      </c>
    </row>
    <row r="1103" spans="1:19" s="21" customFormat="1" x14ac:dyDescent="0.3">
      <c r="A1103" s="14">
        <v>1017</v>
      </c>
      <c r="B1103" s="21" t="s">
        <v>364</v>
      </c>
      <c r="C1103" s="21" t="s">
        <v>143</v>
      </c>
      <c r="D1103" s="1" t="s">
        <v>2633</v>
      </c>
      <c r="E1103" s="1" t="s">
        <v>826</v>
      </c>
      <c r="F1103" s="21" t="s">
        <v>4</v>
      </c>
      <c r="G1103" s="14">
        <v>1</v>
      </c>
      <c r="H1103" s="14">
        <v>0</v>
      </c>
      <c r="I1103" s="25">
        <v>110</v>
      </c>
      <c r="J1103" s="23">
        <f>VLOOKUP(I1103,episodes!$A$1:$B$76,2,FALSE)</f>
        <v>11</v>
      </c>
      <c r="K1103" s="16" t="str">
        <f>VLOOKUP(I1103,episodes!$A$1:$E$81,5,FALSE)</f>
        <v>The Corbomite Maneuver</v>
      </c>
      <c r="L1103" s="16">
        <f>VLOOKUP(I1103,episodes!$A$1:$D$81,3,FALSE)</f>
        <v>1</v>
      </c>
      <c r="M1103" s="16">
        <f>VLOOKUP(I1103,episodes!$A$1:$D$81,4,FALSE)</f>
        <v>10</v>
      </c>
      <c r="N1103" s="14"/>
      <c r="O1103" s="14">
        <v>0</v>
      </c>
      <c r="P1103" s="24">
        <f>LEN(E1103)+LEN(K1103)</f>
        <v>52</v>
      </c>
      <c r="Q1103" s="24">
        <f>COUNTIFS(B:B,B1102)</f>
        <v>9</v>
      </c>
      <c r="R1103" s="24">
        <f>COUNTIFS(D:D,D1103)</f>
        <v>12</v>
      </c>
    </row>
    <row r="1104" spans="1:19" s="21" customFormat="1" x14ac:dyDescent="0.3">
      <c r="A1104" s="14">
        <v>1018</v>
      </c>
      <c r="B1104" s="21" t="s">
        <v>364</v>
      </c>
      <c r="C1104" s="21" t="s">
        <v>143</v>
      </c>
      <c r="D1104" s="1" t="s">
        <v>2633</v>
      </c>
      <c r="E1104" s="1" t="s">
        <v>826</v>
      </c>
      <c r="F1104" s="21" t="s">
        <v>4</v>
      </c>
      <c r="G1104" s="14">
        <v>1</v>
      </c>
      <c r="H1104" s="14">
        <v>0</v>
      </c>
      <c r="I1104" s="22">
        <v>120</v>
      </c>
      <c r="J1104" s="23">
        <f>VLOOKUP(I1104,episodes!$A$1:$B$76,2,FALSE)</f>
        <v>21</v>
      </c>
      <c r="K1104" s="16" t="str">
        <f>VLOOKUP(I1104,episodes!$A$1:$E$81,5,FALSE)</f>
        <v>Court Martial</v>
      </c>
      <c r="L1104" s="16">
        <f>VLOOKUP(I1104,episodes!$A$1:$D$81,3,FALSE)</f>
        <v>1</v>
      </c>
      <c r="M1104" s="16">
        <f>VLOOKUP(I1104,episodes!$A$1:$D$81,4,FALSE)</f>
        <v>20</v>
      </c>
      <c r="N1104" s="14"/>
      <c r="O1104" s="14">
        <v>0</v>
      </c>
      <c r="P1104" s="24">
        <f>LEN(E1104)+LEN(K1104)</f>
        <v>43</v>
      </c>
      <c r="Q1104" s="24">
        <f>COUNTIFS(B:B,#REF!)</f>
        <v>0</v>
      </c>
      <c r="R1104" s="24">
        <f>COUNTIFS(D:D,D1104)</f>
        <v>12</v>
      </c>
      <c r="S1104" s="1"/>
    </row>
    <row r="1105" spans="1:19" s="21" customFormat="1" x14ac:dyDescent="0.3">
      <c r="A1105" s="14">
        <v>1016</v>
      </c>
      <c r="B1105" s="21" t="s">
        <v>364</v>
      </c>
      <c r="C1105" s="21" t="s">
        <v>143</v>
      </c>
      <c r="D1105" s="1" t="s">
        <v>2633</v>
      </c>
      <c r="E1105" s="1" t="s">
        <v>2235</v>
      </c>
      <c r="F1105" s="21" t="s">
        <v>4</v>
      </c>
      <c r="G1105" s="14">
        <v>1</v>
      </c>
      <c r="H1105" s="14">
        <v>0</v>
      </c>
      <c r="I1105" s="25">
        <v>106</v>
      </c>
      <c r="J1105" s="23">
        <f>VLOOKUP(I1105,episodes!$A$1:$B$76,2,FALSE)</f>
        <v>7</v>
      </c>
      <c r="K1105" s="16" t="str">
        <f>VLOOKUP(I1105,episodes!$A$1:$E$81,5,FALSE)</f>
        <v>Mudd's Women</v>
      </c>
      <c r="L1105" s="16">
        <f>VLOOKUP(I1105,episodes!$A$1:$D$81,3,FALSE)</f>
        <v>1</v>
      </c>
      <c r="M1105" s="16">
        <f>VLOOKUP(I1105,episodes!$A$1:$D$81,4,FALSE)</f>
        <v>6</v>
      </c>
      <c r="N1105" s="14"/>
      <c r="O1105" s="14">
        <v>0</v>
      </c>
      <c r="P1105" s="24">
        <f>LEN(E1105)+LEN(K1105)</f>
        <v>73</v>
      </c>
      <c r="Q1105" s="24">
        <f>COUNTIFS(B:B,B1104)</f>
        <v>9</v>
      </c>
      <c r="R1105" s="24">
        <f>COUNTIFS(D:D,D1105)</f>
        <v>12</v>
      </c>
      <c r="S1105" s="1"/>
    </row>
    <row r="1106" spans="1:19" s="21" customFormat="1" x14ac:dyDescent="0.3">
      <c r="A1106" s="14">
        <v>1139</v>
      </c>
      <c r="B1106" s="21" t="s">
        <v>357</v>
      </c>
      <c r="C1106" s="21" t="s">
        <v>143</v>
      </c>
      <c r="D1106" s="1" t="s">
        <v>2633</v>
      </c>
      <c r="E1106" s="1" t="s">
        <v>2561</v>
      </c>
      <c r="F1106" s="21" t="s">
        <v>4</v>
      </c>
      <c r="G1106" s="14">
        <v>1</v>
      </c>
      <c r="H1106" s="14">
        <v>0</v>
      </c>
      <c r="I1106" s="25">
        <v>109</v>
      </c>
      <c r="J1106" s="23">
        <f>VLOOKUP(I1106,episodes!$A$1:$B$76,2,FALSE)</f>
        <v>10</v>
      </c>
      <c r="K1106" s="16" t="str">
        <f>VLOOKUP(I1106,episodes!$A$1:$E$81,5,FALSE)</f>
        <v>Dagger of the Mind</v>
      </c>
      <c r="L1106" s="16">
        <f>VLOOKUP(I1106,episodes!$A$1:$D$81,3,FALSE)</f>
        <v>1</v>
      </c>
      <c r="M1106" s="16">
        <f>VLOOKUP(I1106,episodes!$A$1:$D$81,4,FALSE)</f>
        <v>9</v>
      </c>
      <c r="N1106" s="14"/>
      <c r="O1106" s="14">
        <v>0</v>
      </c>
      <c r="P1106" s="24">
        <f>LEN(E1106)+LEN(K1106)</f>
        <v>127</v>
      </c>
      <c r="Q1106" s="24">
        <f>COUNTIFS(B:B,#REF!)</f>
        <v>0</v>
      </c>
      <c r="R1106" s="24">
        <f>COUNTIFS(D:D,D1106)</f>
        <v>12</v>
      </c>
      <c r="S1106" s="1"/>
    </row>
    <row r="1107" spans="1:19" s="21" customFormat="1" x14ac:dyDescent="0.3">
      <c r="A1107" s="14">
        <v>1014</v>
      </c>
      <c r="B1107" s="21" t="s">
        <v>364</v>
      </c>
      <c r="C1107" s="21" t="s">
        <v>143</v>
      </c>
      <c r="D1107" s="1" t="s">
        <v>2633</v>
      </c>
      <c r="E1107" s="1" t="s">
        <v>447</v>
      </c>
      <c r="F1107" s="21" t="s">
        <v>4</v>
      </c>
      <c r="G1107" s="14">
        <v>1</v>
      </c>
      <c r="H1107" s="14">
        <v>0</v>
      </c>
      <c r="I1107" s="25">
        <v>102</v>
      </c>
      <c r="J1107" s="23">
        <f>VLOOKUP(I1107,episodes!$A$1:$B$76,2,FALSE)</f>
        <v>3</v>
      </c>
      <c r="K1107" s="16" t="str">
        <f>VLOOKUP(I1107,episodes!$A$1:$E$81,5,FALSE)</f>
        <v>Charlie X</v>
      </c>
      <c r="L1107" s="16">
        <f>VLOOKUP(I1107,episodes!$A$1:$D$81,3,FALSE)</f>
        <v>1</v>
      </c>
      <c r="M1107" s="16">
        <f>VLOOKUP(I1107,episodes!$A$1:$D$81,4,FALSE)</f>
        <v>2</v>
      </c>
      <c r="N1107" s="14"/>
      <c r="O1107" s="14">
        <v>0</v>
      </c>
      <c r="P1107" s="24">
        <f>LEN(E1107)+LEN(K1107)</f>
        <v>82</v>
      </c>
      <c r="Q1107" s="24">
        <f>COUNTIFS(B:B,B1106)</f>
        <v>2</v>
      </c>
      <c r="R1107" s="24">
        <f>COUNTIFS(D:D,D1107)</f>
        <v>12</v>
      </c>
      <c r="S1107" s="1"/>
    </row>
    <row r="1108" spans="1:19" s="21" customFormat="1" x14ac:dyDescent="0.3">
      <c r="A1108" s="14">
        <v>1020</v>
      </c>
      <c r="B1108" s="21" t="s">
        <v>364</v>
      </c>
      <c r="C1108" s="21" t="s">
        <v>143</v>
      </c>
      <c r="D1108" s="1" t="s">
        <v>2633</v>
      </c>
      <c r="E1108" s="1" t="s">
        <v>1423</v>
      </c>
      <c r="F1108" s="21" t="s">
        <v>4</v>
      </c>
      <c r="G1108" s="14">
        <v>1</v>
      </c>
      <c r="H1108" s="14">
        <v>0</v>
      </c>
      <c r="I1108" s="22">
        <v>208</v>
      </c>
      <c r="J1108" s="23">
        <f>VLOOKUP(I1108,episodes!$A$1:$B$81,2,FALSE)</f>
        <v>38</v>
      </c>
      <c r="K1108" s="16" t="str">
        <f>VLOOKUP(I1108,episodes!$A$1:$E$81,5,FALSE)</f>
        <v>I, Mudd</v>
      </c>
      <c r="L1108" s="16">
        <f>VLOOKUP(I1108,episodes!$A$1:$D$81,3,FALSE)</f>
        <v>2</v>
      </c>
      <c r="M1108" s="16">
        <f>VLOOKUP(I1108,episodes!$A$1:$D$81,4,FALSE)</f>
        <v>8</v>
      </c>
      <c r="N1108" s="14"/>
      <c r="O1108" s="14">
        <v>0</v>
      </c>
      <c r="P1108" s="24">
        <f>LEN(E1108)+LEN(K1108)</f>
        <v>114</v>
      </c>
      <c r="Q1108" s="24">
        <f>COUNTIFS(B:B,B1107)</f>
        <v>9</v>
      </c>
      <c r="R1108" s="24">
        <f>COUNTIFS(D:D,D1108)</f>
        <v>12</v>
      </c>
      <c r="S1108" s="1"/>
    </row>
    <row r="1109" spans="1:19" s="21" customFormat="1" x14ac:dyDescent="0.3">
      <c r="A1109" s="14">
        <v>1015</v>
      </c>
      <c r="B1109" s="21" t="s">
        <v>364</v>
      </c>
      <c r="C1109" s="21" t="s">
        <v>143</v>
      </c>
      <c r="D1109" s="1" t="s">
        <v>2633</v>
      </c>
      <c r="E1109" s="1" t="s">
        <v>1498</v>
      </c>
      <c r="F1109" s="21" t="s">
        <v>4</v>
      </c>
      <c r="G1109" s="14">
        <v>1</v>
      </c>
      <c r="H1109" s="14">
        <v>0</v>
      </c>
      <c r="I1109" s="25">
        <v>104</v>
      </c>
      <c r="J1109" s="23">
        <f>VLOOKUP(I1109,episodes!$A$1:$B$76,2,FALSE)</f>
        <v>5</v>
      </c>
      <c r="K1109" s="16" t="str">
        <f>VLOOKUP(I1109,episodes!$A$1:$E$81,5,FALSE)</f>
        <v>The Naked Time</v>
      </c>
      <c r="L1109" s="16">
        <f>VLOOKUP(I1109,episodes!$A$1:$D$81,3,FALSE)</f>
        <v>1</v>
      </c>
      <c r="M1109" s="16">
        <f>VLOOKUP(I1109,episodes!$A$1:$D$81,4,FALSE)</f>
        <v>4</v>
      </c>
      <c r="N1109" s="14"/>
      <c r="O1109" s="14">
        <v>0</v>
      </c>
      <c r="P1109" s="24">
        <f>LEN(E1109)+LEN(K1109)</f>
        <v>198</v>
      </c>
      <c r="Q1109" s="24">
        <f>COUNTIFS(B:B,B1108)</f>
        <v>9</v>
      </c>
      <c r="R1109" s="24">
        <f>COUNTIFS(D:D,D1109)</f>
        <v>12</v>
      </c>
      <c r="S1109" s="1"/>
    </row>
    <row r="1110" spans="1:19" s="21" customFormat="1" x14ac:dyDescent="0.3">
      <c r="A1110" s="14">
        <v>1013</v>
      </c>
      <c r="B1110" s="21" t="s">
        <v>364</v>
      </c>
      <c r="C1110" s="21" t="s">
        <v>143</v>
      </c>
      <c r="D1110" s="1" t="s">
        <v>2633</v>
      </c>
      <c r="E1110" s="1" t="s">
        <v>673</v>
      </c>
      <c r="F1110" s="21" t="s">
        <v>4</v>
      </c>
      <c r="G1110" s="14">
        <v>1</v>
      </c>
      <c r="H1110" s="14">
        <v>0</v>
      </c>
      <c r="I1110" s="22">
        <v>124</v>
      </c>
      <c r="J1110" s="23">
        <f>VLOOKUP(I1110,episodes!$A$1:$B$76,2,FALSE)</f>
        <v>25</v>
      </c>
      <c r="K1110" s="16" t="str">
        <f>VLOOKUP(I1110,episodes!$A$1:$E$81,5,FALSE)</f>
        <v>This Side of Paradise</v>
      </c>
      <c r="L1110" s="16">
        <f>VLOOKUP(I1110,episodes!$A$1:$D$81,3,FALSE)</f>
        <v>1</v>
      </c>
      <c r="M1110" s="16">
        <f>VLOOKUP(I1110,episodes!$A$1:$D$81,4,FALSE)</f>
        <v>24</v>
      </c>
      <c r="N1110" s="14"/>
      <c r="O1110" s="14">
        <v>0</v>
      </c>
      <c r="P1110" s="24">
        <f>LEN(E1110)+LEN(K1110)</f>
        <v>88</v>
      </c>
      <c r="Q1110" s="24">
        <f>COUNTIFS(B:B,#REF!)</f>
        <v>0</v>
      </c>
      <c r="R1110" s="24">
        <f>COUNTIFS(D:D,D1110)</f>
        <v>12</v>
      </c>
      <c r="S1110" s="1"/>
    </row>
    <row r="1111" spans="1:19" s="21" customFormat="1" x14ac:dyDescent="0.3">
      <c r="A1111" s="14">
        <v>1161</v>
      </c>
      <c r="B1111" s="21" t="s">
        <v>364</v>
      </c>
      <c r="C1111" s="21" t="s">
        <v>143</v>
      </c>
      <c r="D1111" s="1" t="s">
        <v>2633</v>
      </c>
      <c r="E1111" s="1" t="s">
        <v>477</v>
      </c>
      <c r="F1111" s="21" t="s">
        <v>4</v>
      </c>
      <c r="G1111" s="14">
        <v>1</v>
      </c>
      <c r="H1111" s="14">
        <v>0</v>
      </c>
      <c r="I1111" s="25">
        <v>108</v>
      </c>
      <c r="J1111" s="23">
        <f>VLOOKUP(I1111,episodes!$A$1:$B$76,2,FALSE)</f>
        <v>9</v>
      </c>
      <c r="K1111" s="16" t="str">
        <f>VLOOKUP(I1111,episodes!$A$1:$E$81,5,FALSE)</f>
        <v>Miri</v>
      </c>
      <c r="L1111" s="16">
        <f>VLOOKUP(I1111,episodes!$A$1:$D$81,3,FALSE)</f>
        <v>1</v>
      </c>
      <c r="M1111" s="16">
        <f>VLOOKUP(I1111,episodes!$A$1:$D$81,4,FALSE)</f>
        <v>8</v>
      </c>
      <c r="N1111" s="14"/>
      <c r="O1111" s="14">
        <v>0</v>
      </c>
      <c r="P1111" s="24">
        <f>LEN(E1111)+LEN(K1111)</f>
        <v>128</v>
      </c>
      <c r="Q1111" s="24">
        <f>COUNTIFS(B:B,#REF!)</f>
        <v>0</v>
      </c>
      <c r="R1111" s="24">
        <f>COUNTIFS(D:D,D1111)</f>
        <v>12</v>
      </c>
      <c r="S1111" s="1"/>
    </row>
    <row r="1112" spans="1:19" s="21" customFormat="1" x14ac:dyDescent="0.3">
      <c r="A1112" s="14">
        <v>2463</v>
      </c>
      <c r="B1112" s="21" t="s">
        <v>521</v>
      </c>
      <c r="C1112" s="21" t="s">
        <v>143</v>
      </c>
      <c r="D1112" s="21" t="s">
        <v>2649</v>
      </c>
      <c r="E1112" s="1" t="s">
        <v>745</v>
      </c>
      <c r="F1112" s="21" t="s">
        <v>1861</v>
      </c>
      <c r="G1112" s="14">
        <v>0</v>
      </c>
      <c r="H1112" s="14">
        <v>1</v>
      </c>
      <c r="I1112" s="25">
        <v>204</v>
      </c>
      <c r="J1112" s="23">
        <f>VLOOKUP(I1112,episodes!$A$1:$B$81,2,FALSE)</f>
        <v>34</v>
      </c>
      <c r="K1112" s="16" t="str">
        <f>VLOOKUP(I1112,episodes!$A$1:$E$81,5,FALSE)</f>
        <v>Mirror, Mirror</v>
      </c>
      <c r="L1112" s="16">
        <f>VLOOKUP(I1112,episodes!$A$1:$D$81,3,FALSE)</f>
        <v>2</v>
      </c>
      <c r="M1112" s="16">
        <f>VLOOKUP(I1112,episodes!$A$1:$D$81,4,FALSE)</f>
        <v>4</v>
      </c>
      <c r="N1112" s="14"/>
      <c r="O1112" s="14">
        <v>0</v>
      </c>
      <c r="P1112" s="24">
        <f>LEN(E1112)+LEN(K1112)</f>
        <v>45</v>
      </c>
      <c r="Q1112" s="24">
        <f>COUNTIFS(B:B,B1111)</f>
        <v>9</v>
      </c>
      <c r="R1112" s="24">
        <f>COUNTIFS(D:D,D1112)</f>
        <v>1</v>
      </c>
      <c r="S1112" s="1"/>
    </row>
    <row r="1113" spans="1:19" s="21" customFormat="1" x14ac:dyDescent="0.3">
      <c r="A1113" s="14">
        <v>1029</v>
      </c>
      <c r="B1113" s="21" t="s">
        <v>760</v>
      </c>
      <c r="C1113" s="21" t="s">
        <v>143</v>
      </c>
      <c r="D1113" s="21" t="s">
        <v>2634</v>
      </c>
      <c r="E1113" s="1" t="s">
        <v>1470</v>
      </c>
      <c r="F1113" s="21" t="s">
        <v>4</v>
      </c>
      <c r="G1113" s="14">
        <v>1</v>
      </c>
      <c r="H1113" s="14">
        <v>0</v>
      </c>
      <c r="I1113" s="14">
        <v>222</v>
      </c>
      <c r="J1113" s="23">
        <f>VLOOKUP(I1113,episodes!$A$1:$B$81,2,FALSE)</f>
        <v>52</v>
      </c>
      <c r="K1113" s="16" t="str">
        <f>VLOOKUP(I1113,episodes!$A$1:$E$81,5,FALSE)</f>
        <v>By Any Other Name</v>
      </c>
      <c r="L1113" s="16">
        <f>VLOOKUP(I1113,episodes!$A$1:$D$81,3,FALSE)</f>
        <v>2</v>
      </c>
      <c r="M1113" s="16">
        <f>VLOOKUP(I1113,episodes!$A$1:$D$81,4,FALSE)</f>
        <v>22</v>
      </c>
      <c r="N1113" s="14"/>
      <c r="O1113" s="14">
        <v>0</v>
      </c>
      <c r="P1113" s="24">
        <f>LEN(E1113)+LEN(K1113)</f>
        <v>222</v>
      </c>
      <c r="Q1113" s="24">
        <f>COUNTIFS(B:B,B1114)</f>
        <v>4</v>
      </c>
      <c r="R1113" s="24">
        <f>COUNTIFS(D:D,#REF!)</f>
        <v>0</v>
      </c>
      <c r="S1113" s="1"/>
    </row>
    <row r="1114" spans="1:19" s="21" customFormat="1" x14ac:dyDescent="0.3">
      <c r="A1114" s="14">
        <v>1203</v>
      </c>
      <c r="B1114" s="21" t="s">
        <v>760</v>
      </c>
      <c r="C1114" s="21" t="s">
        <v>143</v>
      </c>
      <c r="D1114" s="21" t="s">
        <v>2634</v>
      </c>
      <c r="E1114" s="1" t="s">
        <v>1425</v>
      </c>
      <c r="F1114" s="21" t="s">
        <v>4</v>
      </c>
      <c r="G1114" s="14">
        <v>1</v>
      </c>
      <c r="H1114" s="14">
        <v>0</v>
      </c>
      <c r="I1114" s="14">
        <v>216</v>
      </c>
      <c r="J1114" s="23">
        <f>VLOOKUP(I1114,episodes!$A$1:$B$81,2,FALSE)</f>
        <v>46</v>
      </c>
      <c r="K1114" s="16" t="str">
        <f>VLOOKUP(I1114,episodes!$A$1:$E$81,5,FALSE)</f>
        <v>The Gamesters of Triskelion</v>
      </c>
      <c r="L1114" s="16">
        <f>VLOOKUP(I1114,episodes!$A$1:$D$81,3,FALSE)</f>
        <v>2</v>
      </c>
      <c r="M1114" s="16">
        <f>VLOOKUP(I1114,episodes!$A$1:$D$81,4,FALSE)</f>
        <v>16</v>
      </c>
      <c r="N1114" s="14"/>
      <c r="O1114" s="14">
        <v>0</v>
      </c>
      <c r="P1114" s="24">
        <f>LEN(E1114)+LEN(K1114)</f>
        <v>188</v>
      </c>
      <c r="Q1114" s="24">
        <f>COUNTIFS(B:B,#REF!)</f>
        <v>0</v>
      </c>
      <c r="R1114" s="24">
        <f>COUNTIFS(D:D,D1116)</f>
        <v>4</v>
      </c>
    </row>
    <row r="1115" spans="1:19" s="21" customFormat="1" x14ac:dyDescent="0.3">
      <c r="A1115" s="14">
        <v>420</v>
      </c>
      <c r="B1115" s="21" t="s">
        <v>760</v>
      </c>
      <c r="C1115" s="21" t="s">
        <v>143</v>
      </c>
      <c r="D1115" s="21" t="s">
        <v>2634</v>
      </c>
      <c r="E1115" s="1" t="s">
        <v>1411</v>
      </c>
      <c r="F1115" s="21" t="s">
        <v>2227</v>
      </c>
      <c r="G1115" s="14">
        <v>0</v>
      </c>
      <c r="H1115" s="14">
        <v>0</v>
      </c>
      <c r="I1115" s="14">
        <v>205</v>
      </c>
      <c r="J1115" s="23">
        <f>VLOOKUP(I1115,episodes!$A$1:$B$81,2,FALSE)</f>
        <v>35</v>
      </c>
      <c r="K1115" s="16" t="str">
        <f>VLOOKUP(I1115,episodes!$A$1:$E$81,5,FALSE)</f>
        <v>The Apple</v>
      </c>
      <c r="L1115" s="16">
        <f>VLOOKUP(I1115,episodes!$A$1:$D$81,3,FALSE)</f>
        <v>2</v>
      </c>
      <c r="M1115" s="16">
        <f>VLOOKUP(I1115,episodes!$A$1:$D$81,4,FALSE)</f>
        <v>5</v>
      </c>
      <c r="N1115" s="14"/>
      <c r="O1115" s="14">
        <v>0</v>
      </c>
      <c r="P1115" s="24">
        <f>LEN(E1115)+LEN(K1115)</f>
        <v>238</v>
      </c>
      <c r="Q1115" s="24">
        <f>COUNTIFS(B:B,#REF!)</f>
        <v>0</v>
      </c>
      <c r="R1115" s="24">
        <f>COUNTIFS(D:D,D1115)</f>
        <v>4</v>
      </c>
    </row>
    <row r="1116" spans="1:19" s="21" customFormat="1" x14ac:dyDescent="0.3">
      <c r="A1116" s="14">
        <v>1462</v>
      </c>
      <c r="B1116" s="21" t="s">
        <v>760</v>
      </c>
      <c r="C1116" s="21" t="s">
        <v>143</v>
      </c>
      <c r="D1116" s="21" t="s">
        <v>2634</v>
      </c>
      <c r="E1116" s="1" t="s">
        <v>1410</v>
      </c>
      <c r="F1116" s="21" t="s">
        <v>2317</v>
      </c>
      <c r="G1116" s="14">
        <v>0</v>
      </c>
      <c r="H1116" s="14">
        <v>0</v>
      </c>
      <c r="I1116" s="25">
        <v>205</v>
      </c>
      <c r="J1116" s="23">
        <f>VLOOKUP(I1116,episodes!$A$1:$B$81,2,FALSE)</f>
        <v>35</v>
      </c>
      <c r="K1116" s="16" t="str">
        <f>VLOOKUP(I1116,episodes!$A$1:$E$81,5,FALSE)</f>
        <v>The Apple</v>
      </c>
      <c r="L1116" s="16">
        <f>VLOOKUP(I1116,episodes!$A$1:$D$81,3,FALSE)</f>
        <v>2</v>
      </c>
      <c r="M1116" s="16">
        <f>VLOOKUP(I1116,episodes!$A$1:$D$81,4,FALSE)</f>
        <v>5</v>
      </c>
      <c r="N1116" s="14"/>
      <c r="O1116" s="14">
        <v>0</v>
      </c>
      <c r="P1116" s="24">
        <f>LEN(E1116)+LEN(K1116)</f>
        <v>126</v>
      </c>
      <c r="Q1116" s="24">
        <f>COUNTIFS(B:B,#REF!)</f>
        <v>0</v>
      </c>
      <c r="R1116" s="24">
        <f>COUNTIFS(D:D,D1116)</f>
        <v>4</v>
      </c>
    </row>
    <row r="1117" spans="1:19" s="21" customFormat="1" x14ac:dyDescent="0.3">
      <c r="A1117" s="14">
        <v>1201</v>
      </c>
      <c r="B1117" s="21" t="s">
        <v>147</v>
      </c>
      <c r="C1117" s="21" t="s">
        <v>143</v>
      </c>
      <c r="E1117" s="1" t="s">
        <v>2387</v>
      </c>
      <c r="F1117" s="21" t="s">
        <v>4</v>
      </c>
      <c r="G1117" s="14">
        <v>1</v>
      </c>
      <c r="H1117" s="14">
        <v>0</v>
      </c>
      <c r="I1117" s="22">
        <v>216</v>
      </c>
      <c r="J1117" s="23">
        <f>VLOOKUP(I1117,episodes!$A$1:$B$81,2,FALSE)</f>
        <v>46</v>
      </c>
      <c r="K1117" s="16" t="str">
        <f>VLOOKUP(I1117,episodes!$A$1:$E$81,5,FALSE)</f>
        <v>The Gamesters of Triskelion</v>
      </c>
      <c r="L1117" s="16">
        <f>VLOOKUP(I1117,episodes!$A$1:$D$81,3,FALSE)</f>
        <v>2</v>
      </c>
      <c r="M1117" s="16">
        <f>VLOOKUP(I1117,episodes!$A$1:$D$81,4,FALSE)</f>
        <v>16</v>
      </c>
      <c r="N1117" s="14"/>
      <c r="O1117" s="14">
        <v>0</v>
      </c>
      <c r="P1117" s="24">
        <f>LEN(E1117)+LEN(K1117)</f>
        <v>104</v>
      </c>
      <c r="Q1117" s="24"/>
      <c r="R1117" s="24"/>
    </row>
    <row r="1118" spans="1:19" s="21" customFormat="1" x14ac:dyDescent="0.3">
      <c r="A1118" s="14">
        <v>2700</v>
      </c>
      <c r="B1118" s="21" t="s">
        <v>2267</v>
      </c>
      <c r="C1118" s="21" t="s">
        <v>143</v>
      </c>
      <c r="D1118" s="1"/>
      <c r="E1118" s="1" t="s">
        <v>2266</v>
      </c>
      <c r="F1118" s="21" t="s">
        <v>1863</v>
      </c>
      <c r="G1118" s="26">
        <v>1</v>
      </c>
      <c r="H1118" s="14">
        <v>0</v>
      </c>
      <c r="I1118" s="25">
        <v>204</v>
      </c>
      <c r="J1118" s="23">
        <f>VLOOKUP(I1118,episodes!$A$1:$B$76,2,FALSE)</f>
        <v>34</v>
      </c>
      <c r="K1118" s="16" t="str">
        <f>VLOOKUP(I1118,episodes!$A$1:$E$81,5,FALSE)</f>
        <v>Mirror, Mirror</v>
      </c>
      <c r="L1118" s="16">
        <f>VLOOKUP(I1118,episodes!$A$1:$D$81,3,FALSE)</f>
        <v>2</v>
      </c>
      <c r="M1118" s="16">
        <f>VLOOKUP(I1118,episodes!$A$1:$D$81,4,FALSE)</f>
        <v>4</v>
      </c>
      <c r="N1118" s="14"/>
      <c r="O1118" s="14">
        <v>0</v>
      </c>
      <c r="P1118" s="24">
        <f>LEN(E1118)+LEN(K1118)</f>
        <v>96</v>
      </c>
      <c r="Q1118" s="24"/>
      <c r="R1118" s="24">
        <f>COUNTIFS(D:D,D1118)</f>
        <v>0</v>
      </c>
      <c r="S1118" s="1"/>
    </row>
    <row r="1119" spans="1:19" s="21" customFormat="1" x14ac:dyDescent="0.3">
      <c r="A1119" s="14">
        <v>1617</v>
      </c>
      <c r="B1119" s="21" t="s">
        <v>358</v>
      </c>
      <c r="C1119" s="21" t="s">
        <v>2905</v>
      </c>
      <c r="D1119" s="1" t="s">
        <v>2725</v>
      </c>
      <c r="E1119" s="1" t="s">
        <v>2150</v>
      </c>
      <c r="F1119" s="21" t="s">
        <v>8</v>
      </c>
      <c r="G1119" s="14">
        <v>0</v>
      </c>
      <c r="H1119" s="14">
        <v>1</v>
      </c>
      <c r="I1119" s="22">
        <v>128</v>
      </c>
      <c r="J1119" s="23">
        <f>VLOOKUP(I1119,episodes!$A$1:$B$76,2,FALSE)</f>
        <v>29</v>
      </c>
      <c r="K1119" s="16" t="str">
        <f>VLOOKUP(I1119,episodes!$A$1:$E$81,5,FALSE)</f>
        <v>The City on the Edge of Forever</v>
      </c>
      <c r="L1119" s="16">
        <f>VLOOKUP(I1119,episodes!$A$1:$D$81,3,FALSE)</f>
        <v>1</v>
      </c>
      <c r="M1119" s="16">
        <f>VLOOKUP(I1119,episodes!$A$1:$D$81,4,FALSE)</f>
        <v>28</v>
      </c>
      <c r="N1119" s="14"/>
      <c r="O1119" s="14">
        <v>0</v>
      </c>
      <c r="P1119" s="24">
        <f>LEN(E1119)+LEN(K1119)</f>
        <v>108</v>
      </c>
      <c r="Q1119" s="24">
        <f>COUNTIFS(B:B,B1118)</f>
        <v>1</v>
      </c>
      <c r="R1119" s="24">
        <f>COUNTIFS(D:D,D1119)</f>
        <v>17</v>
      </c>
      <c r="S1119" s="1"/>
    </row>
    <row r="1120" spans="1:19" s="21" customFormat="1" x14ac:dyDescent="0.3">
      <c r="A1120" s="14">
        <v>1526</v>
      </c>
      <c r="B1120" s="21" t="s">
        <v>358</v>
      </c>
      <c r="C1120" s="21" t="s">
        <v>2905</v>
      </c>
      <c r="D1120" s="1" t="s">
        <v>2725</v>
      </c>
      <c r="E1120" s="1" t="s">
        <v>1463</v>
      </c>
      <c r="F1120" s="21" t="s">
        <v>8</v>
      </c>
      <c r="G1120" s="14">
        <v>0</v>
      </c>
      <c r="H1120" s="14">
        <v>1</v>
      </c>
      <c r="I1120" s="25">
        <v>101</v>
      </c>
      <c r="J1120" s="23">
        <f>VLOOKUP(I1120,episodes!$A$1:$B$76,2,FALSE)</f>
        <v>2</v>
      </c>
      <c r="K1120" s="16" t="str">
        <f>VLOOKUP(I1120,episodes!$A$1:$E$81,5,FALSE)</f>
        <v>The Man Trap</v>
      </c>
      <c r="L1120" s="16">
        <f>VLOOKUP(I1120,episodes!$A$1:$D$81,3,FALSE)</f>
        <v>1</v>
      </c>
      <c r="M1120" s="16">
        <f>VLOOKUP(I1120,episodes!$A$1:$D$81,4,FALSE)</f>
        <v>1</v>
      </c>
      <c r="N1120" s="14"/>
      <c r="O1120" s="14">
        <v>0</v>
      </c>
      <c r="P1120" s="24">
        <f>LEN(E1120)+LEN(K1120)</f>
        <v>239</v>
      </c>
      <c r="Q1120" s="24">
        <f>COUNTIFS(B:B,B1119)</f>
        <v>56</v>
      </c>
      <c r="R1120" s="24">
        <f>COUNTIFS(D:D,D1120)</f>
        <v>17</v>
      </c>
      <c r="S1120" s="1"/>
    </row>
    <row r="1121" spans="1:19" s="21" customFormat="1" x14ac:dyDescent="0.3">
      <c r="A1121" s="14">
        <v>1624</v>
      </c>
      <c r="B1121" s="21" t="s">
        <v>358</v>
      </c>
      <c r="C1121" s="21" t="s">
        <v>2905</v>
      </c>
      <c r="D1121" s="1" t="s">
        <v>2725</v>
      </c>
      <c r="E1121" s="1" t="s">
        <v>2153</v>
      </c>
      <c r="F1121" s="21" t="s">
        <v>8</v>
      </c>
      <c r="G1121" s="14">
        <v>0</v>
      </c>
      <c r="H1121" s="14">
        <v>1</v>
      </c>
      <c r="I1121" s="22">
        <v>129</v>
      </c>
      <c r="J1121" s="23">
        <f>VLOOKUP(I1121,episodes!$A$1:$B$76,2,FALSE)</f>
        <v>30</v>
      </c>
      <c r="K1121" s="16" t="str">
        <f>VLOOKUP(I1121,episodes!$A$1:$E$81,5,FALSE)</f>
        <v>Operation: Annihilate!</v>
      </c>
      <c r="L1121" s="16">
        <f>VLOOKUP(I1121,episodes!$A$1:$D$81,3,FALSE)</f>
        <v>1</v>
      </c>
      <c r="M1121" s="16">
        <f>VLOOKUP(I1121,episodes!$A$1:$D$81,4,FALSE)</f>
        <v>29</v>
      </c>
      <c r="N1121" s="14"/>
      <c r="O1121" s="14">
        <v>0</v>
      </c>
      <c r="P1121" s="24">
        <f>LEN(E1121)+LEN(K1121)</f>
        <v>103</v>
      </c>
      <c r="Q1121" s="24">
        <f>COUNTIFS(B:B,B1120)</f>
        <v>56</v>
      </c>
      <c r="R1121" s="24">
        <f>COUNTIFS(D:D,D1121)</f>
        <v>17</v>
      </c>
      <c r="S1121" s="1"/>
    </row>
    <row r="1122" spans="1:19" s="21" customFormat="1" x14ac:dyDescent="0.3">
      <c r="A1122" s="14">
        <v>1555</v>
      </c>
      <c r="B1122" s="21" t="s">
        <v>358</v>
      </c>
      <c r="C1122" s="21" t="s">
        <v>2905</v>
      </c>
      <c r="D1122" s="1" t="s">
        <v>2725</v>
      </c>
      <c r="E1122" s="1" t="s">
        <v>1722</v>
      </c>
      <c r="F1122" s="21" t="s">
        <v>8</v>
      </c>
      <c r="G1122" s="14">
        <v>0</v>
      </c>
      <c r="H1122" s="14">
        <v>1</v>
      </c>
      <c r="I1122" s="25">
        <v>108</v>
      </c>
      <c r="J1122" s="23">
        <f>VLOOKUP(I1122,episodes!$A$1:$B$76,2,FALSE)</f>
        <v>9</v>
      </c>
      <c r="K1122" s="16" t="str">
        <f>VLOOKUP(I1122,episodes!$A$1:$E$81,5,FALSE)</f>
        <v>Miri</v>
      </c>
      <c r="L1122" s="16">
        <f>VLOOKUP(I1122,episodes!$A$1:$D$81,3,FALSE)</f>
        <v>1</v>
      </c>
      <c r="M1122" s="16">
        <f>VLOOKUP(I1122,episodes!$A$1:$D$81,4,FALSE)</f>
        <v>8</v>
      </c>
      <c r="N1122" s="14"/>
      <c r="O1122" s="14">
        <v>0</v>
      </c>
      <c r="P1122" s="24">
        <f>LEN(E1122)+LEN(K1122)</f>
        <v>59</v>
      </c>
      <c r="Q1122" s="24">
        <f>COUNTIFS(B:B,B1121)</f>
        <v>56</v>
      </c>
      <c r="R1122" s="24">
        <f>COUNTIFS(D:D,D1122)</f>
        <v>17</v>
      </c>
      <c r="S1122" s="1"/>
    </row>
    <row r="1123" spans="1:19" s="21" customFormat="1" x14ac:dyDescent="0.3">
      <c r="A1123" s="14">
        <v>1527</v>
      </c>
      <c r="B1123" s="21" t="s">
        <v>358</v>
      </c>
      <c r="C1123" s="21" t="s">
        <v>2905</v>
      </c>
      <c r="D1123" s="1" t="s">
        <v>2725</v>
      </c>
      <c r="E1123" s="1" t="s">
        <v>1073</v>
      </c>
      <c r="F1123" s="21" t="s">
        <v>8</v>
      </c>
      <c r="G1123" s="14">
        <v>0</v>
      </c>
      <c r="H1123" s="14">
        <v>1</v>
      </c>
      <c r="I1123" s="25">
        <v>101</v>
      </c>
      <c r="J1123" s="23">
        <f>VLOOKUP(I1123,episodes!$A$1:$B$76,2,FALSE)</f>
        <v>2</v>
      </c>
      <c r="K1123" s="16" t="str">
        <f>VLOOKUP(I1123,episodes!$A$1:$E$81,5,FALSE)</f>
        <v>The Man Trap</v>
      </c>
      <c r="L1123" s="16">
        <f>VLOOKUP(I1123,episodes!$A$1:$D$81,3,FALSE)</f>
        <v>1</v>
      </c>
      <c r="M1123" s="16">
        <f>VLOOKUP(I1123,episodes!$A$1:$D$81,4,FALSE)</f>
        <v>1</v>
      </c>
      <c r="N1123" s="14"/>
      <c r="O1123" s="14">
        <v>0</v>
      </c>
      <c r="P1123" s="24">
        <f>LEN(E1123)+LEN(K1123)</f>
        <v>47</v>
      </c>
      <c r="Q1123" s="24">
        <f>COUNTIFS(B:B,B1122)</f>
        <v>56</v>
      </c>
      <c r="R1123" s="24">
        <f>COUNTIFS(D:D,D1123)</f>
        <v>17</v>
      </c>
      <c r="S1123" s="1"/>
    </row>
    <row r="1124" spans="1:19" s="21" customFormat="1" x14ac:dyDescent="0.3">
      <c r="A1124" s="14">
        <v>1574</v>
      </c>
      <c r="B1124" s="21" t="s">
        <v>358</v>
      </c>
      <c r="C1124" s="21" t="s">
        <v>2905</v>
      </c>
      <c r="D1124" s="1" t="s">
        <v>2725</v>
      </c>
      <c r="E1124" s="1" t="s">
        <v>680</v>
      </c>
      <c r="F1124" s="21" t="s">
        <v>8</v>
      </c>
      <c r="G1124" s="14">
        <v>0</v>
      </c>
      <c r="H1124" s="14">
        <v>1</v>
      </c>
      <c r="I1124" s="25">
        <v>116</v>
      </c>
      <c r="J1124" s="23">
        <f>VLOOKUP(I1124,episodes!$A$1:$B$76,2,FALSE)</f>
        <v>17</v>
      </c>
      <c r="K1124" s="16" t="str">
        <f>VLOOKUP(I1124,episodes!$A$1:$E$81,5,FALSE)</f>
        <v>The Galileo Seven</v>
      </c>
      <c r="L1124" s="16">
        <f>VLOOKUP(I1124,episodes!$A$1:$D$81,3,FALSE)</f>
        <v>1</v>
      </c>
      <c r="M1124" s="16">
        <f>VLOOKUP(I1124,episodes!$A$1:$D$81,4,FALSE)</f>
        <v>16</v>
      </c>
      <c r="N1124" s="14"/>
      <c r="O1124" s="14">
        <v>0</v>
      </c>
      <c r="P1124" s="24">
        <f>LEN(E1124)+LEN(K1124)</f>
        <v>84</v>
      </c>
      <c r="Q1124" s="24">
        <f>COUNTIFS(B:B,B1123)</f>
        <v>56</v>
      </c>
      <c r="R1124" s="24">
        <f>COUNTIFS(D:D,D1124)</f>
        <v>17</v>
      </c>
      <c r="S1124" s="1"/>
    </row>
    <row r="1125" spans="1:19" s="21" customFormat="1" x14ac:dyDescent="0.3">
      <c r="A1125" s="14">
        <v>1609</v>
      </c>
      <c r="B1125" s="21" t="s">
        <v>358</v>
      </c>
      <c r="C1125" s="21" t="s">
        <v>2905</v>
      </c>
      <c r="D1125" s="1" t="s">
        <v>2725</v>
      </c>
      <c r="E1125" s="1" t="s">
        <v>702</v>
      </c>
      <c r="F1125" s="21" t="s">
        <v>8</v>
      </c>
      <c r="G1125" s="14">
        <v>0</v>
      </c>
      <c r="H1125" s="14">
        <v>1</v>
      </c>
      <c r="I1125" s="22">
        <v>125</v>
      </c>
      <c r="J1125" s="23">
        <f>VLOOKUP(I1125,episodes!$A$1:$B$76,2,FALSE)</f>
        <v>26</v>
      </c>
      <c r="K1125" s="16" t="str">
        <f>VLOOKUP(I1125,episodes!$A$1:$E$81,5,FALSE)</f>
        <v>The Devil in the Dark</v>
      </c>
      <c r="L1125" s="16">
        <f>VLOOKUP(I1125,episodes!$A$1:$D$81,3,FALSE)</f>
        <v>1</v>
      </c>
      <c r="M1125" s="16">
        <f>VLOOKUP(I1125,episodes!$A$1:$D$81,4,FALSE)</f>
        <v>25</v>
      </c>
      <c r="N1125" s="14"/>
      <c r="O1125" s="14">
        <v>0</v>
      </c>
      <c r="P1125" s="24">
        <f>LEN(E1125)+LEN(K1125)</f>
        <v>65</v>
      </c>
      <c r="Q1125" s="24">
        <f>COUNTIFS(B:B,B1124)</f>
        <v>56</v>
      </c>
      <c r="R1125" s="24">
        <f>COUNTIFS(D:D,D1125)</f>
        <v>17</v>
      </c>
      <c r="S1125" s="1"/>
    </row>
    <row r="1126" spans="1:19" s="21" customFormat="1" x14ac:dyDescent="0.3">
      <c r="A1126" s="14">
        <v>1581</v>
      </c>
      <c r="B1126" s="21" t="s">
        <v>358</v>
      </c>
      <c r="C1126" s="21" t="s">
        <v>2905</v>
      </c>
      <c r="D1126" s="1" t="s">
        <v>2725</v>
      </c>
      <c r="E1126" s="1" t="s">
        <v>681</v>
      </c>
      <c r="F1126" s="21" t="s">
        <v>8</v>
      </c>
      <c r="G1126" s="14">
        <v>0</v>
      </c>
      <c r="H1126" s="14">
        <v>1</v>
      </c>
      <c r="I1126" s="22">
        <v>118</v>
      </c>
      <c r="J1126" s="23">
        <f>VLOOKUP(I1126,episodes!$A$1:$B$76,2,FALSE)</f>
        <v>19</v>
      </c>
      <c r="K1126" s="16" t="str">
        <f>VLOOKUP(I1126,episodes!$A$1:$E$81,5,FALSE)</f>
        <v>Arena</v>
      </c>
      <c r="L1126" s="16">
        <f>VLOOKUP(I1126,episodes!$A$1:$D$81,3,FALSE)</f>
        <v>1</v>
      </c>
      <c r="M1126" s="16">
        <f>VLOOKUP(I1126,episodes!$A$1:$D$81,4,FALSE)</f>
        <v>18</v>
      </c>
      <c r="N1126" s="14"/>
      <c r="O1126" s="14">
        <v>0</v>
      </c>
      <c r="P1126" s="24">
        <f>LEN(E1126)+LEN(K1126)</f>
        <v>83</v>
      </c>
      <c r="Q1126" s="24">
        <f>COUNTIFS(B:B,B1125)</f>
        <v>56</v>
      </c>
      <c r="R1126" s="24">
        <f>COUNTIFS(D:D,D1126)</f>
        <v>17</v>
      </c>
      <c r="S1126" s="1"/>
    </row>
    <row r="1127" spans="1:19" s="21" customFormat="1" x14ac:dyDescent="0.3">
      <c r="A1127" s="14">
        <v>1585</v>
      </c>
      <c r="B1127" s="21" t="s">
        <v>358</v>
      </c>
      <c r="C1127" s="21" t="s">
        <v>2905</v>
      </c>
      <c r="D1127" s="1" t="s">
        <v>2725</v>
      </c>
      <c r="E1127" s="1" t="s">
        <v>2137</v>
      </c>
      <c r="F1127" s="21" t="s">
        <v>8</v>
      </c>
      <c r="G1127" s="14">
        <v>0</v>
      </c>
      <c r="H1127" s="14">
        <v>1</v>
      </c>
      <c r="I1127" s="22">
        <v>121</v>
      </c>
      <c r="J1127" s="23">
        <f>VLOOKUP(I1127,episodes!$A$1:$B$76,2,FALSE)</f>
        <v>22</v>
      </c>
      <c r="K1127" s="16" t="str">
        <f>VLOOKUP(I1127,episodes!$A$1:$E$81,5,FALSE)</f>
        <v>The Return of the Archons</v>
      </c>
      <c r="L1127" s="16">
        <f>VLOOKUP(I1127,episodes!$A$1:$D$81,3,FALSE)</f>
        <v>1</v>
      </c>
      <c r="M1127" s="16">
        <f>VLOOKUP(I1127,episodes!$A$1:$D$81,4,FALSE)</f>
        <v>21</v>
      </c>
      <c r="N1127" s="14"/>
      <c r="O1127" s="14">
        <v>0</v>
      </c>
      <c r="P1127" s="24">
        <f>LEN(E1127)+LEN(K1127)</f>
        <v>90</v>
      </c>
      <c r="Q1127" s="24">
        <f>COUNTIFS(B:B,B1126)</f>
        <v>56</v>
      </c>
      <c r="R1127" s="24">
        <f>COUNTIFS(D:D,D1127)</f>
        <v>17</v>
      </c>
      <c r="S1127" s="1"/>
    </row>
    <row r="1128" spans="1:19" s="21" customFormat="1" x14ac:dyDescent="0.3">
      <c r="A1128" s="14">
        <v>1604</v>
      </c>
      <c r="B1128" s="21" t="s">
        <v>358</v>
      </c>
      <c r="C1128" s="21" t="s">
        <v>2905</v>
      </c>
      <c r="D1128" s="1" t="s">
        <v>2725</v>
      </c>
      <c r="E1128" s="1" t="s">
        <v>672</v>
      </c>
      <c r="F1128" s="21" t="s">
        <v>8</v>
      </c>
      <c r="G1128" s="14">
        <v>0</v>
      </c>
      <c r="H1128" s="14">
        <v>1</v>
      </c>
      <c r="I1128" s="22">
        <v>124</v>
      </c>
      <c r="J1128" s="23">
        <f>VLOOKUP(I1128,episodes!$A$1:$B$76,2,FALSE)</f>
        <v>25</v>
      </c>
      <c r="K1128" s="16" t="str">
        <f>VLOOKUP(I1128,episodes!$A$1:$E$81,5,FALSE)</f>
        <v>This Side of Paradise</v>
      </c>
      <c r="L1128" s="16">
        <f>VLOOKUP(I1128,episodes!$A$1:$D$81,3,FALSE)</f>
        <v>1</v>
      </c>
      <c r="M1128" s="16">
        <f>VLOOKUP(I1128,episodes!$A$1:$D$81,4,FALSE)</f>
        <v>24</v>
      </c>
      <c r="N1128" s="14"/>
      <c r="O1128" s="14">
        <v>0</v>
      </c>
      <c r="P1128" s="24">
        <f>LEN(E1128)+LEN(K1128)</f>
        <v>61</v>
      </c>
      <c r="Q1128" s="24">
        <f>COUNTIFS(B:B,B1127)</f>
        <v>56</v>
      </c>
      <c r="R1128" s="24">
        <f>COUNTIFS(D:D,D1128)</f>
        <v>17</v>
      </c>
      <c r="S1128" s="1"/>
    </row>
    <row r="1129" spans="1:19" s="21" customFormat="1" x14ac:dyDescent="0.3">
      <c r="A1129" s="14">
        <v>1625</v>
      </c>
      <c r="B1129" s="21" t="s">
        <v>358</v>
      </c>
      <c r="C1129" s="21" t="s">
        <v>2905</v>
      </c>
      <c r="D1129" s="1" t="s">
        <v>2725</v>
      </c>
      <c r="E1129" s="1" t="s">
        <v>799</v>
      </c>
      <c r="F1129" s="21" t="s">
        <v>8</v>
      </c>
      <c r="G1129" s="14">
        <v>0</v>
      </c>
      <c r="H1129" s="14">
        <v>1</v>
      </c>
      <c r="I1129" s="22">
        <v>129</v>
      </c>
      <c r="J1129" s="23">
        <f>VLOOKUP(I1129,episodes!$A$1:$B$76,2,FALSE)</f>
        <v>30</v>
      </c>
      <c r="K1129" s="16" t="str">
        <f>VLOOKUP(I1129,episodes!$A$1:$E$81,5,FALSE)</f>
        <v>Operation: Annihilate!</v>
      </c>
      <c r="L1129" s="16">
        <f>VLOOKUP(I1129,episodes!$A$1:$D$81,3,FALSE)</f>
        <v>1</v>
      </c>
      <c r="M1129" s="16">
        <f>VLOOKUP(I1129,episodes!$A$1:$D$81,4,FALSE)</f>
        <v>29</v>
      </c>
      <c r="N1129" s="14"/>
      <c r="O1129" s="14">
        <v>0</v>
      </c>
      <c r="P1129" s="24">
        <f>LEN(E1129)+LEN(K1129)</f>
        <v>85</v>
      </c>
      <c r="Q1129" s="24">
        <f>COUNTIFS(B:B,B1128)</f>
        <v>56</v>
      </c>
      <c r="R1129" s="24">
        <f>COUNTIFS(D:D,D1129)</f>
        <v>17</v>
      </c>
      <c r="S1129" s="1"/>
    </row>
    <row r="1130" spans="1:19" s="21" customFormat="1" x14ac:dyDescent="0.3">
      <c r="A1130" s="14">
        <v>1639</v>
      </c>
      <c r="B1130" s="21" t="s">
        <v>358</v>
      </c>
      <c r="C1130" s="21" t="s">
        <v>2905</v>
      </c>
      <c r="D1130" s="1" t="s">
        <v>2725</v>
      </c>
      <c r="E1130" s="1" t="s">
        <v>864</v>
      </c>
      <c r="F1130" s="21" t="s">
        <v>8</v>
      </c>
      <c r="G1130" s="14">
        <v>0</v>
      </c>
      <c r="H1130" s="14">
        <v>1</v>
      </c>
      <c r="I1130" s="22">
        <v>202</v>
      </c>
      <c r="J1130" s="23">
        <f>VLOOKUP(I1130,episodes!$A$1:$B$76,2,FALSE)</f>
        <v>32</v>
      </c>
      <c r="K1130" s="16" t="str">
        <f>VLOOKUP(I1130,episodes!$A$1:$E$81,5,FALSE)</f>
        <v>Who Mourns for Adonais?</v>
      </c>
      <c r="L1130" s="16">
        <f>VLOOKUP(I1130,episodes!$A$1:$D$81,3,FALSE)</f>
        <v>2</v>
      </c>
      <c r="M1130" s="16">
        <f>VLOOKUP(I1130,episodes!$A$1:$D$81,4,FALSE)</f>
        <v>2</v>
      </c>
      <c r="N1130" s="14"/>
      <c r="O1130" s="14">
        <v>0</v>
      </c>
      <c r="P1130" s="24">
        <f>LEN(E1130)+LEN(K1130)</f>
        <v>45</v>
      </c>
      <c r="Q1130" s="24">
        <f>COUNTIFS(B:B,B1129)</f>
        <v>56</v>
      </c>
      <c r="R1130" s="24">
        <f>COUNTIFS(D:D,D1130)</f>
        <v>17</v>
      </c>
      <c r="S1130" s="1"/>
    </row>
    <row r="1131" spans="1:19" s="21" customFormat="1" x14ac:dyDescent="0.3">
      <c r="A1131" s="14">
        <v>1610</v>
      </c>
      <c r="B1131" s="21" t="s">
        <v>358</v>
      </c>
      <c r="C1131" s="21" t="s">
        <v>2905</v>
      </c>
      <c r="D1131" s="1" t="s">
        <v>2725</v>
      </c>
      <c r="E1131" s="1" t="s">
        <v>703</v>
      </c>
      <c r="F1131" s="21" t="s">
        <v>8</v>
      </c>
      <c r="G1131" s="14">
        <v>0</v>
      </c>
      <c r="H1131" s="14">
        <v>1</v>
      </c>
      <c r="I1131" s="22">
        <v>125</v>
      </c>
      <c r="J1131" s="23">
        <f>VLOOKUP(I1131,episodes!$A$1:$B$76,2,FALSE)</f>
        <v>26</v>
      </c>
      <c r="K1131" s="16" t="str">
        <f>VLOOKUP(I1131,episodes!$A$1:$E$81,5,FALSE)</f>
        <v>The Devil in the Dark</v>
      </c>
      <c r="L1131" s="16">
        <f>VLOOKUP(I1131,episodes!$A$1:$D$81,3,FALSE)</f>
        <v>1</v>
      </c>
      <c r="M1131" s="16">
        <f>VLOOKUP(I1131,episodes!$A$1:$D$81,4,FALSE)</f>
        <v>25</v>
      </c>
      <c r="N1131" s="14"/>
      <c r="O1131" s="14">
        <v>0</v>
      </c>
      <c r="P1131" s="24">
        <f>LEN(E1131)+LEN(K1131)</f>
        <v>57</v>
      </c>
      <c r="Q1131" s="24">
        <f>COUNTIFS(B:B,B1130)</f>
        <v>56</v>
      </c>
      <c r="R1131" s="24">
        <f>COUNTIFS(D:D,D1131)</f>
        <v>17</v>
      </c>
      <c r="S1131" s="1"/>
    </row>
    <row r="1132" spans="1:19" s="21" customFormat="1" x14ac:dyDescent="0.3">
      <c r="A1132" s="14">
        <v>1586</v>
      </c>
      <c r="B1132" s="21" t="s">
        <v>358</v>
      </c>
      <c r="C1132" s="21" t="s">
        <v>2905</v>
      </c>
      <c r="D1132" s="1" t="s">
        <v>2725</v>
      </c>
      <c r="E1132" s="1" t="s">
        <v>454</v>
      </c>
      <c r="F1132" s="21" t="s">
        <v>8</v>
      </c>
      <c r="G1132" s="14">
        <v>0</v>
      </c>
      <c r="H1132" s="14">
        <v>1</v>
      </c>
      <c r="I1132" s="22">
        <v>121</v>
      </c>
      <c r="J1132" s="23">
        <f>VLOOKUP(I1132,episodes!$A$1:$B$76,2,FALSE)</f>
        <v>22</v>
      </c>
      <c r="K1132" s="16" t="str">
        <f>VLOOKUP(I1132,episodes!$A$1:$E$81,5,FALSE)</f>
        <v>The Return of the Archons</v>
      </c>
      <c r="L1132" s="16">
        <f>VLOOKUP(I1132,episodes!$A$1:$D$81,3,FALSE)</f>
        <v>1</v>
      </c>
      <c r="M1132" s="16">
        <f>VLOOKUP(I1132,episodes!$A$1:$D$81,4,FALSE)</f>
        <v>21</v>
      </c>
      <c r="N1132" s="14"/>
      <c r="O1132" s="14">
        <v>0</v>
      </c>
      <c r="P1132" s="24">
        <f>LEN(E1132)+LEN(K1132)</f>
        <v>57</v>
      </c>
      <c r="Q1132" s="24">
        <f>COUNTIFS(B:B,B1131)</f>
        <v>56</v>
      </c>
      <c r="R1132" s="24">
        <f>COUNTIFS(D:D,D1132)</f>
        <v>17</v>
      </c>
      <c r="S1132" s="1"/>
    </row>
    <row r="1133" spans="1:19" s="21" customFormat="1" x14ac:dyDescent="0.3">
      <c r="A1133" s="14">
        <v>1579</v>
      </c>
      <c r="B1133" s="21" t="s">
        <v>358</v>
      </c>
      <c r="C1133" s="21" t="s">
        <v>2905</v>
      </c>
      <c r="D1133" s="1" t="s">
        <v>2725</v>
      </c>
      <c r="E1133" s="1" t="s">
        <v>505</v>
      </c>
      <c r="F1133" s="21" t="s">
        <v>8</v>
      </c>
      <c r="G1133" s="14">
        <v>0</v>
      </c>
      <c r="H1133" s="14">
        <v>1</v>
      </c>
      <c r="I1133" s="25">
        <v>117</v>
      </c>
      <c r="J1133" s="23">
        <f>VLOOKUP(I1133,episodes!$A$1:$B$76,2,FALSE)</f>
        <v>18</v>
      </c>
      <c r="K1133" s="16" t="str">
        <f>VLOOKUP(I1133,episodes!$A$1:$E$81,5,FALSE)</f>
        <v>The Squire of Gothos</v>
      </c>
      <c r="L1133" s="16">
        <f>VLOOKUP(I1133,episodes!$A$1:$D$81,3,FALSE)</f>
        <v>1</v>
      </c>
      <c r="M1133" s="16">
        <f>VLOOKUP(I1133,episodes!$A$1:$D$81,4,FALSE)</f>
        <v>17</v>
      </c>
      <c r="N1133" s="14"/>
      <c r="O1133" s="14">
        <v>0</v>
      </c>
      <c r="P1133" s="24">
        <f>LEN(E1133)+LEN(K1133)</f>
        <v>58</v>
      </c>
      <c r="Q1133" s="24">
        <f>COUNTIFS(B:B,B1132)</f>
        <v>56</v>
      </c>
      <c r="R1133" s="24">
        <f>COUNTIFS(D:D,D1133)</f>
        <v>17</v>
      </c>
      <c r="S1133" s="1"/>
    </row>
    <row r="1134" spans="1:19" s="21" customFormat="1" x14ac:dyDescent="0.3">
      <c r="A1134" s="14">
        <v>2968</v>
      </c>
      <c r="B1134" s="21" t="s">
        <v>358</v>
      </c>
      <c r="C1134" s="21" t="s">
        <v>2905</v>
      </c>
      <c r="D1134" s="21" t="s">
        <v>2725</v>
      </c>
      <c r="E1134" s="4" t="s">
        <v>2794</v>
      </c>
      <c r="F1134" s="21" t="s">
        <v>8</v>
      </c>
      <c r="G1134" s="14">
        <v>0</v>
      </c>
      <c r="H1134" s="14">
        <v>1</v>
      </c>
      <c r="I1134" s="7">
        <v>211</v>
      </c>
      <c r="J1134" s="23">
        <f>VLOOKUP(I1134,episodes!$A$1:$B$81,2,FALSE)</f>
        <v>41</v>
      </c>
      <c r="K1134" s="16" t="str">
        <f>VLOOKUP(I1134,episodes!$A$1:$E$81,5,FALSE)</f>
        <v>Friday's Child</v>
      </c>
      <c r="L1134" s="16">
        <f>VLOOKUP(I1134,episodes!$A$1:$D$81,3,FALSE)</f>
        <v>2</v>
      </c>
      <c r="M1134" s="16">
        <f>VLOOKUP(I1134,episodes!$A$1:$D$81,4,FALSE)</f>
        <v>11</v>
      </c>
      <c r="N1134" s="14"/>
      <c r="O1134" s="14">
        <v>0</v>
      </c>
      <c r="P1134" s="24">
        <f>LEN(E1134)+LEN(K1134)</f>
        <v>49</v>
      </c>
      <c r="Q1134" s="24"/>
      <c r="R1134" s="24"/>
      <c r="S1134" s="1"/>
    </row>
    <row r="1135" spans="1:19" s="21" customFormat="1" x14ac:dyDescent="0.3">
      <c r="A1135" s="14">
        <v>1641</v>
      </c>
      <c r="B1135" s="21" t="s">
        <v>358</v>
      </c>
      <c r="C1135" s="21" t="s">
        <v>2905</v>
      </c>
      <c r="D1135" s="1" t="s">
        <v>2725</v>
      </c>
      <c r="E1135" s="1" t="s">
        <v>2158</v>
      </c>
      <c r="F1135" s="21" t="s">
        <v>8</v>
      </c>
      <c r="G1135" s="14">
        <v>0</v>
      </c>
      <c r="H1135" s="14">
        <v>1</v>
      </c>
      <c r="I1135" s="25">
        <v>203</v>
      </c>
      <c r="J1135" s="23">
        <f>VLOOKUP(I1135,episodes!$A$1:$B$76,2,FALSE)</f>
        <v>33</v>
      </c>
      <c r="K1135" s="16" t="str">
        <f>VLOOKUP(I1135,episodes!$A$1:$E$81,5,FALSE)</f>
        <v>The Changeling</v>
      </c>
      <c r="L1135" s="16">
        <f>VLOOKUP(I1135,episodes!$A$1:$D$81,3,FALSE)</f>
        <v>2</v>
      </c>
      <c r="M1135" s="16">
        <f>VLOOKUP(I1135,episodes!$A$1:$D$81,4,FALSE)</f>
        <v>3</v>
      </c>
      <c r="N1135" s="14"/>
      <c r="O1135" s="14">
        <v>0</v>
      </c>
      <c r="P1135" s="24">
        <f>LEN(E1135)+LEN(K1135)</f>
        <v>45</v>
      </c>
      <c r="Q1135" s="24">
        <f>COUNTIFS(B:B,B1134)</f>
        <v>56</v>
      </c>
      <c r="R1135" s="24">
        <f>COUNTIFS(D:D,D1135)</f>
        <v>17</v>
      </c>
      <c r="S1135" s="1"/>
    </row>
    <row r="1136" spans="1:19" s="21" customFormat="1" x14ac:dyDescent="0.3">
      <c r="A1136" s="14">
        <v>1658</v>
      </c>
      <c r="B1136" s="21" t="s">
        <v>358</v>
      </c>
      <c r="C1136" s="21" t="s">
        <v>2905</v>
      </c>
      <c r="D1136" s="21" t="s">
        <v>2726</v>
      </c>
      <c r="E1136" s="1" t="s">
        <v>1048</v>
      </c>
      <c r="F1136" s="21" t="s">
        <v>8</v>
      </c>
      <c r="G1136" s="14">
        <v>0</v>
      </c>
      <c r="H1136" s="14">
        <v>1</v>
      </c>
      <c r="I1136" s="14">
        <v>209</v>
      </c>
      <c r="J1136" s="23">
        <f>VLOOKUP(I1136,episodes!$A$1:$B$81,2,FALSE)</f>
        <v>39</v>
      </c>
      <c r="K1136" s="16" t="str">
        <f>VLOOKUP(I1136,episodes!$A$1:$E$81,5,FALSE)</f>
        <v>Metamorphosis</v>
      </c>
      <c r="L1136" s="16">
        <f>VLOOKUP(I1136,episodes!$A$1:$D$81,3,FALSE)</f>
        <v>2</v>
      </c>
      <c r="M1136" s="16">
        <f>VLOOKUP(I1136,episodes!$A$1:$D$81,4,FALSE)</f>
        <v>9</v>
      </c>
      <c r="N1136" s="14"/>
      <c r="O1136" s="14">
        <v>0</v>
      </c>
      <c r="P1136" s="24">
        <f>LEN(E1136)+LEN(K1136)</f>
        <v>78</v>
      </c>
      <c r="Q1136" s="24">
        <f>COUNTIFS(B:B,B1135)</f>
        <v>56</v>
      </c>
      <c r="R1136" s="24">
        <f>COUNTIFS(D:D,D1136)</f>
        <v>3</v>
      </c>
    </row>
    <row r="1137" spans="1:18" s="21" customFormat="1" x14ac:dyDescent="0.3">
      <c r="A1137" s="14">
        <v>1659</v>
      </c>
      <c r="B1137" s="21" t="s">
        <v>358</v>
      </c>
      <c r="C1137" s="21" t="s">
        <v>2905</v>
      </c>
      <c r="D1137" s="21" t="s">
        <v>2726</v>
      </c>
      <c r="E1137" s="1" t="s">
        <v>2195</v>
      </c>
      <c r="F1137" s="21" t="s">
        <v>8</v>
      </c>
      <c r="G1137" s="14">
        <v>0</v>
      </c>
      <c r="H1137" s="14">
        <v>1</v>
      </c>
      <c r="I1137" s="14">
        <v>209</v>
      </c>
      <c r="J1137" s="23">
        <f>VLOOKUP(I1137,episodes!$A$1:$B$81,2,FALSE)</f>
        <v>39</v>
      </c>
      <c r="K1137" s="16" t="str">
        <f>VLOOKUP(I1137,episodes!$A$1:$E$81,5,FALSE)</f>
        <v>Metamorphosis</v>
      </c>
      <c r="L1137" s="16">
        <f>VLOOKUP(I1137,episodes!$A$1:$D$81,3,FALSE)</f>
        <v>2</v>
      </c>
      <c r="M1137" s="16">
        <f>VLOOKUP(I1137,episodes!$A$1:$D$81,4,FALSE)</f>
        <v>9</v>
      </c>
      <c r="N1137" s="14"/>
      <c r="O1137" s="14">
        <v>0</v>
      </c>
      <c r="P1137" s="24">
        <f>LEN(E1137)+LEN(K1137)</f>
        <v>68</v>
      </c>
      <c r="Q1137" s="24">
        <f>COUNTIFS(B:B,B1136)</f>
        <v>56</v>
      </c>
      <c r="R1137" s="24">
        <f>COUNTIFS(D:D,D1137)</f>
        <v>3</v>
      </c>
    </row>
    <row r="1138" spans="1:18" s="21" customFormat="1" x14ac:dyDescent="0.3">
      <c r="A1138" s="14">
        <v>1660</v>
      </c>
      <c r="B1138" s="21" t="s">
        <v>358</v>
      </c>
      <c r="C1138" s="21" t="s">
        <v>2905</v>
      </c>
      <c r="D1138" s="21" t="s">
        <v>2726</v>
      </c>
      <c r="E1138" s="1" t="s">
        <v>2196</v>
      </c>
      <c r="F1138" s="21" t="s">
        <v>8</v>
      </c>
      <c r="G1138" s="14">
        <v>0</v>
      </c>
      <c r="H1138" s="14">
        <v>1</v>
      </c>
      <c r="I1138" s="14">
        <v>209</v>
      </c>
      <c r="J1138" s="23">
        <f>VLOOKUP(I1138,episodes!$A$1:$B$81,2,FALSE)</f>
        <v>39</v>
      </c>
      <c r="K1138" s="16" t="str">
        <f>VLOOKUP(I1138,episodes!$A$1:$E$81,5,FALSE)</f>
        <v>Metamorphosis</v>
      </c>
      <c r="L1138" s="16">
        <f>VLOOKUP(I1138,episodes!$A$1:$D$81,3,FALSE)</f>
        <v>2</v>
      </c>
      <c r="M1138" s="16">
        <f>VLOOKUP(I1138,episodes!$A$1:$D$81,4,FALSE)</f>
        <v>9</v>
      </c>
      <c r="N1138" s="14"/>
      <c r="O1138" s="14">
        <v>0</v>
      </c>
      <c r="P1138" s="24">
        <f>LEN(E1138)+LEN(K1138)</f>
        <v>74</v>
      </c>
      <c r="Q1138" s="24">
        <f>COUNTIFS(B:B,B1137)</f>
        <v>56</v>
      </c>
      <c r="R1138" s="24">
        <f>COUNTIFS(D:D,D1138)</f>
        <v>3</v>
      </c>
    </row>
    <row r="1139" spans="1:18" s="21" customFormat="1" x14ac:dyDescent="0.3">
      <c r="A1139" s="14">
        <v>96</v>
      </c>
      <c r="B1139" s="21" t="s">
        <v>358</v>
      </c>
      <c r="C1139" s="21" t="s">
        <v>2905</v>
      </c>
      <c r="D1139" s="1" t="s">
        <v>2727</v>
      </c>
      <c r="E1139" s="1" t="s">
        <v>1484</v>
      </c>
      <c r="F1139" s="21" t="s">
        <v>46</v>
      </c>
      <c r="G1139" s="14">
        <v>0</v>
      </c>
      <c r="H1139" s="14">
        <v>0</v>
      </c>
      <c r="I1139" s="25">
        <v>103</v>
      </c>
      <c r="J1139" s="23">
        <f>VLOOKUP(I1139,episodes!$A$1:$B$76,2,FALSE)</f>
        <v>4</v>
      </c>
      <c r="K1139" s="16" t="str">
        <f>VLOOKUP(I1139,episodes!$A$1:$E$81,5,FALSE)</f>
        <v>Where No Man Has Gone Before</v>
      </c>
      <c r="L1139" s="16">
        <f>VLOOKUP(I1139,episodes!$A$1:$D$81,3,FALSE)</f>
        <v>1</v>
      </c>
      <c r="M1139" s="16">
        <f>VLOOKUP(I1139,episodes!$A$1:$D$81,4,FALSE)</f>
        <v>3</v>
      </c>
      <c r="N1139" s="14"/>
      <c r="O1139" s="14">
        <v>0</v>
      </c>
      <c r="P1139" s="24">
        <f>LEN(E1139)+LEN(K1139)</f>
        <v>83</v>
      </c>
      <c r="Q1139" s="24">
        <f>COUNTIFS(B:B,B1138)</f>
        <v>56</v>
      </c>
      <c r="R1139" s="24">
        <f>COUNTIFS(D:D,D1139)</f>
        <v>32</v>
      </c>
    </row>
    <row r="1140" spans="1:18" s="21" customFormat="1" x14ac:dyDescent="0.3">
      <c r="A1140" s="14">
        <v>1628</v>
      </c>
      <c r="B1140" s="21" t="s">
        <v>358</v>
      </c>
      <c r="C1140" s="21" t="s">
        <v>2905</v>
      </c>
      <c r="D1140" s="1" t="s">
        <v>2727</v>
      </c>
      <c r="E1140" s="1" t="s">
        <v>800</v>
      </c>
      <c r="F1140" s="21" t="s">
        <v>8</v>
      </c>
      <c r="G1140" s="14">
        <v>0</v>
      </c>
      <c r="H1140" s="14">
        <v>1</v>
      </c>
      <c r="I1140" s="22">
        <v>129</v>
      </c>
      <c r="J1140" s="23">
        <f>VLOOKUP(I1140,episodes!$A$1:$B$76,2,FALSE)</f>
        <v>30</v>
      </c>
      <c r="K1140" s="16" t="str">
        <f>VLOOKUP(I1140,episodes!$A$1:$E$81,5,FALSE)</f>
        <v>Operation: Annihilate!</v>
      </c>
      <c r="L1140" s="16">
        <f>VLOOKUP(I1140,episodes!$A$1:$D$81,3,FALSE)</f>
        <v>1</v>
      </c>
      <c r="M1140" s="16">
        <f>VLOOKUP(I1140,episodes!$A$1:$D$81,4,FALSE)</f>
        <v>29</v>
      </c>
      <c r="N1140" s="14"/>
      <c r="O1140" s="14">
        <v>0</v>
      </c>
      <c r="P1140" s="24">
        <f>LEN(E1140)+LEN(K1140)</f>
        <v>81</v>
      </c>
      <c r="Q1140" s="24">
        <f>COUNTIFS(B:B,B1139)</f>
        <v>56</v>
      </c>
      <c r="R1140" s="24">
        <f>COUNTIFS(D:D,D1140)</f>
        <v>32</v>
      </c>
    </row>
    <row r="1141" spans="1:18" s="21" customFormat="1" x14ac:dyDescent="0.3">
      <c r="A1141" s="14">
        <v>1626</v>
      </c>
      <c r="B1141" s="21" t="s">
        <v>358</v>
      </c>
      <c r="C1141" s="21" t="s">
        <v>2905</v>
      </c>
      <c r="D1141" s="1" t="s">
        <v>2727</v>
      </c>
      <c r="E1141" s="1" t="s">
        <v>783</v>
      </c>
      <c r="F1141" s="21" t="s">
        <v>8</v>
      </c>
      <c r="G1141" s="14">
        <v>0</v>
      </c>
      <c r="H1141" s="14">
        <v>1</v>
      </c>
      <c r="I1141" s="22">
        <v>129</v>
      </c>
      <c r="J1141" s="23">
        <f>VLOOKUP(I1141,episodes!$A$1:$B$76,2,FALSE)</f>
        <v>30</v>
      </c>
      <c r="K1141" s="16" t="str">
        <f>VLOOKUP(I1141,episodes!$A$1:$E$81,5,FALSE)</f>
        <v>Operation: Annihilate!</v>
      </c>
      <c r="L1141" s="16">
        <f>VLOOKUP(I1141,episodes!$A$1:$D$81,3,FALSE)</f>
        <v>1</v>
      </c>
      <c r="M1141" s="16">
        <f>VLOOKUP(I1141,episodes!$A$1:$D$81,4,FALSE)</f>
        <v>29</v>
      </c>
      <c r="N1141" s="14"/>
      <c r="O1141" s="14">
        <v>0</v>
      </c>
      <c r="P1141" s="24">
        <f>LEN(E1141)+LEN(K1141)</f>
        <v>50</v>
      </c>
      <c r="Q1141" s="24">
        <f>COUNTIFS(B:B,B1140)</f>
        <v>56</v>
      </c>
      <c r="R1141" s="24">
        <f>COUNTIFS(D:D,D1141)</f>
        <v>32</v>
      </c>
    </row>
    <row r="1142" spans="1:18" s="21" customFormat="1" x14ac:dyDescent="0.3">
      <c r="A1142" s="14">
        <v>1583</v>
      </c>
      <c r="B1142" s="21" t="s">
        <v>358</v>
      </c>
      <c r="C1142" s="21" t="s">
        <v>2905</v>
      </c>
      <c r="D1142" s="1" t="s">
        <v>2727</v>
      </c>
      <c r="E1142" s="1" t="s">
        <v>509</v>
      </c>
      <c r="F1142" s="21" t="s">
        <v>8</v>
      </c>
      <c r="G1142" s="14">
        <v>0</v>
      </c>
      <c r="H1142" s="14">
        <v>1</v>
      </c>
      <c r="I1142" s="22">
        <v>119</v>
      </c>
      <c r="J1142" s="23">
        <f>VLOOKUP(I1142,episodes!$A$1:$B$76,2,FALSE)</f>
        <v>20</v>
      </c>
      <c r="K1142" s="16" t="str">
        <f>VLOOKUP(I1142,episodes!$A$1:$E$81,5,FALSE)</f>
        <v>Tomorrow Is Yesterday</v>
      </c>
      <c r="L1142" s="16">
        <f>VLOOKUP(I1142,episodes!$A$1:$D$81,3,FALSE)</f>
        <v>1</v>
      </c>
      <c r="M1142" s="16">
        <f>VLOOKUP(I1142,episodes!$A$1:$D$81,4,FALSE)</f>
        <v>19</v>
      </c>
      <c r="N1142" s="14"/>
      <c r="O1142" s="14">
        <v>0</v>
      </c>
      <c r="P1142" s="24">
        <f>LEN(E1142)+LEN(K1142)</f>
        <v>68</v>
      </c>
      <c r="Q1142" s="24">
        <f>COUNTIFS(B:B,B1141)</f>
        <v>56</v>
      </c>
      <c r="R1142" s="24">
        <f>COUNTIFS(D:D,D1142)</f>
        <v>32</v>
      </c>
    </row>
    <row r="1143" spans="1:18" s="21" customFormat="1" x14ac:dyDescent="0.3">
      <c r="A1143" s="14">
        <v>1530</v>
      </c>
      <c r="B1143" s="21" t="s">
        <v>358</v>
      </c>
      <c r="C1143" s="21" t="s">
        <v>2905</v>
      </c>
      <c r="D1143" s="1" t="s">
        <v>2727</v>
      </c>
      <c r="E1143" s="1" t="s">
        <v>446</v>
      </c>
      <c r="F1143" s="21" t="s">
        <v>8</v>
      </c>
      <c r="G1143" s="14">
        <v>0</v>
      </c>
      <c r="H1143" s="14">
        <v>1</v>
      </c>
      <c r="I1143" s="25">
        <v>102</v>
      </c>
      <c r="J1143" s="23">
        <f>VLOOKUP(I1143,episodes!$A$1:$B$76,2,FALSE)</f>
        <v>3</v>
      </c>
      <c r="K1143" s="16" t="str">
        <f>VLOOKUP(I1143,episodes!$A$1:$E$81,5,FALSE)</f>
        <v>Charlie X</v>
      </c>
      <c r="L1143" s="16">
        <f>VLOOKUP(I1143,episodes!$A$1:$D$81,3,FALSE)</f>
        <v>1</v>
      </c>
      <c r="M1143" s="16">
        <f>VLOOKUP(I1143,episodes!$A$1:$D$81,4,FALSE)</f>
        <v>2</v>
      </c>
      <c r="N1143" s="14"/>
      <c r="O1143" s="14">
        <v>0</v>
      </c>
      <c r="P1143" s="24">
        <f>LEN(E1143)+LEN(K1143)</f>
        <v>50</v>
      </c>
      <c r="Q1143" s="24">
        <f>COUNTIFS(B:B,B1142)</f>
        <v>56</v>
      </c>
      <c r="R1143" s="24">
        <f>COUNTIFS(D:D,D1143)</f>
        <v>32</v>
      </c>
    </row>
    <row r="1144" spans="1:18" s="21" customFormat="1" x14ac:dyDescent="0.3">
      <c r="A1144" s="14">
        <v>1582</v>
      </c>
      <c r="B1144" s="21" t="s">
        <v>358</v>
      </c>
      <c r="C1144" s="21" t="s">
        <v>2905</v>
      </c>
      <c r="D1144" s="1" t="s">
        <v>2727</v>
      </c>
      <c r="E1144" s="1" t="s">
        <v>507</v>
      </c>
      <c r="F1144" s="21" t="s">
        <v>8</v>
      </c>
      <c r="G1144" s="14">
        <v>0</v>
      </c>
      <c r="H1144" s="14">
        <v>1</v>
      </c>
      <c r="I1144" s="22">
        <v>118</v>
      </c>
      <c r="J1144" s="23">
        <f>VLOOKUP(I1144,episodes!$A$1:$B$76,2,FALSE)</f>
        <v>19</v>
      </c>
      <c r="K1144" s="16" t="str">
        <f>VLOOKUP(I1144,episodes!$A$1:$E$81,5,FALSE)</f>
        <v>Arena</v>
      </c>
      <c r="L1144" s="16">
        <f>VLOOKUP(I1144,episodes!$A$1:$D$81,3,FALSE)</f>
        <v>1</v>
      </c>
      <c r="M1144" s="16">
        <f>VLOOKUP(I1144,episodes!$A$1:$D$81,4,FALSE)</f>
        <v>18</v>
      </c>
      <c r="N1144" s="14"/>
      <c r="O1144" s="14">
        <v>0</v>
      </c>
      <c r="P1144" s="24">
        <f>LEN(E1144)+LEN(K1144)</f>
        <v>40</v>
      </c>
      <c r="Q1144" s="24">
        <f>COUNTIFS(B:B,B1143)</f>
        <v>56</v>
      </c>
      <c r="R1144" s="24">
        <f>COUNTIFS(D:D,D1144)</f>
        <v>32</v>
      </c>
    </row>
    <row r="1145" spans="1:18" s="21" customFormat="1" x14ac:dyDescent="0.3">
      <c r="A1145" s="14">
        <v>1528</v>
      </c>
      <c r="B1145" s="21" t="s">
        <v>358</v>
      </c>
      <c r="C1145" s="21" t="s">
        <v>2905</v>
      </c>
      <c r="D1145" s="1" t="s">
        <v>2727</v>
      </c>
      <c r="E1145" s="1" t="s">
        <v>2129</v>
      </c>
      <c r="F1145" s="21" t="s">
        <v>8</v>
      </c>
      <c r="G1145" s="14">
        <v>0</v>
      </c>
      <c r="H1145" s="14">
        <v>1</v>
      </c>
      <c r="I1145" s="25">
        <v>101</v>
      </c>
      <c r="J1145" s="23">
        <f>VLOOKUP(I1145,episodes!$A$1:$B$76,2,FALSE)</f>
        <v>2</v>
      </c>
      <c r="K1145" s="16" t="str">
        <f>VLOOKUP(I1145,episodes!$A$1:$E$81,5,FALSE)</f>
        <v>The Man Trap</v>
      </c>
      <c r="L1145" s="16">
        <f>VLOOKUP(I1145,episodes!$A$1:$D$81,3,FALSE)</f>
        <v>1</v>
      </c>
      <c r="M1145" s="16">
        <f>VLOOKUP(I1145,episodes!$A$1:$D$81,4,FALSE)</f>
        <v>1</v>
      </c>
      <c r="N1145" s="14"/>
      <c r="O1145" s="14">
        <v>0</v>
      </c>
      <c r="P1145" s="24">
        <f>LEN(E1145)+LEN(K1145)</f>
        <v>161</v>
      </c>
      <c r="Q1145" s="24">
        <f>COUNTIFS(B:B,B1144)</f>
        <v>56</v>
      </c>
      <c r="R1145" s="24">
        <f>COUNTIFS(D:D,D1145)</f>
        <v>32</v>
      </c>
    </row>
    <row r="1146" spans="1:18" s="21" customFormat="1" x14ac:dyDescent="0.3">
      <c r="A1146" s="14">
        <v>1540</v>
      </c>
      <c r="B1146" s="21" t="s">
        <v>358</v>
      </c>
      <c r="C1146" s="21" t="s">
        <v>2905</v>
      </c>
      <c r="D1146" s="1" t="s">
        <v>2727</v>
      </c>
      <c r="E1146" s="1" t="s">
        <v>1554</v>
      </c>
      <c r="F1146" s="21" t="s">
        <v>8</v>
      </c>
      <c r="G1146" s="14">
        <v>0</v>
      </c>
      <c r="H1146" s="14">
        <v>1</v>
      </c>
      <c r="I1146" s="25">
        <v>105</v>
      </c>
      <c r="J1146" s="23">
        <f>VLOOKUP(I1146,episodes!$A$1:$B$76,2,FALSE)</f>
        <v>6</v>
      </c>
      <c r="K1146" s="16" t="str">
        <f>VLOOKUP(I1146,episodes!$A$1:$E$81,5,FALSE)</f>
        <v>The Enemy Within</v>
      </c>
      <c r="L1146" s="16">
        <f>VLOOKUP(I1146,episodes!$A$1:$D$81,3,FALSE)</f>
        <v>1</v>
      </c>
      <c r="M1146" s="16">
        <f>VLOOKUP(I1146,episodes!$A$1:$D$81,4,FALSE)</f>
        <v>5</v>
      </c>
      <c r="N1146" s="14"/>
      <c r="O1146" s="14">
        <v>0</v>
      </c>
      <c r="P1146" s="24">
        <f>LEN(E1146)+LEN(K1146)</f>
        <v>115</v>
      </c>
      <c r="Q1146" s="24">
        <f>COUNTIFS(B:B,B1144)</f>
        <v>56</v>
      </c>
      <c r="R1146" s="24">
        <f>COUNTIFS(D:D,D1146)</f>
        <v>32</v>
      </c>
    </row>
    <row r="1147" spans="1:18" s="21" customFormat="1" x14ac:dyDescent="0.3">
      <c r="A1147" s="14">
        <v>1665</v>
      </c>
      <c r="B1147" s="21" t="s">
        <v>358</v>
      </c>
      <c r="C1147" s="21" t="s">
        <v>2905</v>
      </c>
      <c r="D1147" s="21" t="s">
        <v>2727</v>
      </c>
      <c r="E1147" s="1" t="s">
        <v>1904</v>
      </c>
      <c r="F1147" s="21" t="s">
        <v>8</v>
      </c>
      <c r="G1147" s="14">
        <v>0</v>
      </c>
      <c r="H1147" s="14">
        <v>1</v>
      </c>
      <c r="I1147" s="22">
        <v>210</v>
      </c>
      <c r="J1147" s="23">
        <f>VLOOKUP(I1147,episodes!$A$1:$B$81,2,FALSE)</f>
        <v>40</v>
      </c>
      <c r="K1147" s="16" t="str">
        <f>VLOOKUP(I1147,episodes!$A$1:$E$81,5,FALSE)</f>
        <v>Journey to Babel</v>
      </c>
      <c r="L1147" s="16">
        <f>VLOOKUP(I1147,episodes!$A$1:$D$81,3,FALSE)</f>
        <v>2</v>
      </c>
      <c r="M1147" s="16">
        <f>VLOOKUP(I1147,episodes!$A$1:$D$81,4,FALSE)</f>
        <v>10</v>
      </c>
      <c r="N1147" s="14"/>
      <c r="O1147" s="14">
        <v>0</v>
      </c>
      <c r="P1147" s="24">
        <f>LEN(E1147)+LEN(K1147)</f>
        <v>80</v>
      </c>
      <c r="Q1147" s="24">
        <f>COUNTIFS(B:B,B1145)</f>
        <v>56</v>
      </c>
      <c r="R1147" s="24">
        <f>COUNTIFS(D:D,D1147)</f>
        <v>32</v>
      </c>
    </row>
    <row r="1148" spans="1:18" s="21" customFormat="1" x14ac:dyDescent="0.3">
      <c r="A1148" s="14">
        <v>1541</v>
      </c>
      <c r="B1148" s="21" t="s">
        <v>358</v>
      </c>
      <c r="C1148" s="21" t="s">
        <v>2905</v>
      </c>
      <c r="D1148" s="1" t="s">
        <v>2727</v>
      </c>
      <c r="E1148" s="1" t="s">
        <v>459</v>
      </c>
      <c r="F1148" s="21" t="s">
        <v>8</v>
      </c>
      <c r="G1148" s="14">
        <v>0</v>
      </c>
      <c r="H1148" s="14">
        <v>1</v>
      </c>
      <c r="I1148" s="25">
        <v>105</v>
      </c>
      <c r="J1148" s="23">
        <f>VLOOKUP(I1148,episodes!$A$1:$B$76,2,FALSE)</f>
        <v>6</v>
      </c>
      <c r="K1148" s="16" t="str">
        <f>VLOOKUP(I1148,episodes!$A$1:$E$81,5,FALSE)</f>
        <v>The Enemy Within</v>
      </c>
      <c r="L1148" s="16">
        <f>VLOOKUP(I1148,episodes!$A$1:$D$81,3,FALSE)</f>
        <v>1</v>
      </c>
      <c r="M1148" s="16">
        <f>VLOOKUP(I1148,episodes!$A$1:$D$81,4,FALSE)</f>
        <v>5</v>
      </c>
      <c r="N1148" s="14"/>
      <c r="O1148" s="14">
        <v>0</v>
      </c>
      <c r="P1148" s="24">
        <f>LEN(E1148)+LEN(K1148)</f>
        <v>47</v>
      </c>
      <c r="Q1148" s="24">
        <f>COUNTIFS(B:B,B1146)</f>
        <v>56</v>
      </c>
      <c r="R1148" s="24">
        <f>COUNTIFS(D:D,D1148)</f>
        <v>32</v>
      </c>
    </row>
    <row r="1149" spans="1:18" s="21" customFormat="1" x14ac:dyDescent="0.3">
      <c r="A1149" s="14">
        <v>1558</v>
      </c>
      <c r="B1149" s="21" t="s">
        <v>358</v>
      </c>
      <c r="C1149" s="21" t="s">
        <v>2905</v>
      </c>
      <c r="D1149" s="1" t="s">
        <v>2727</v>
      </c>
      <c r="E1149" s="1" t="s">
        <v>1738</v>
      </c>
      <c r="F1149" s="21" t="s">
        <v>8</v>
      </c>
      <c r="G1149" s="14">
        <v>0</v>
      </c>
      <c r="H1149" s="14">
        <v>1</v>
      </c>
      <c r="I1149" s="25">
        <v>109</v>
      </c>
      <c r="J1149" s="23">
        <f>VLOOKUP(I1149,episodes!$A$1:$B$76,2,FALSE)</f>
        <v>10</v>
      </c>
      <c r="K1149" s="16" t="str">
        <f>VLOOKUP(I1149,episodes!$A$1:$E$81,5,FALSE)</f>
        <v>Dagger of the Mind</v>
      </c>
      <c r="L1149" s="16">
        <f>VLOOKUP(I1149,episodes!$A$1:$D$81,3,FALSE)</f>
        <v>1</v>
      </c>
      <c r="M1149" s="16">
        <f>VLOOKUP(I1149,episodes!$A$1:$D$81,4,FALSE)</f>
        <v>9</v>
      </c>
      <c r="N1149" s="14"/>
      <c r="O1149" s="14">
        <v>0</v>
      </c>
      <c r="P1149" s="24">
        <f>LEN(E1149)+LEN(K1149)</f>
        <v>93</v>
      </c>
      <c r="Q1149" s="24">
        <f>COUNTIFS(B:B,B1148)</f>
        <v>56</v>
      </c>
      <c r="R1149" s="24">
        <f>COUNTIFS(D:D,D1149)</f>
        <v>32</v>
      </c>
    </row>
    <row r="1150" spans="1:18" s="21" customFormat="1" x14ac:dyDescent="0.3">
      <c r="A1150" s="14">
        <v>1542</v>
      </c>
      <c r="B1150" s="21" t="s">
        <v>358</v>
      </c>
      <c r="C1150" s="21" t="s">
        <v>2905</v>
      </c>
      <c r="D1150" s="1" t="s">
        <v>2727</v>
      </c>
      <c r="E1150" s="1" t="s">
        <v>2881</v>
      </c>
      <c r="F1150" s="21" t="s">
        <v>8</v>
      </c>
      <c r="G1150" s="14">
        <v>0</v>
      </c>
      <c r="H1150" s="14">
        <v>1</v>
      </c>
      <c r="I1150" s="25">
        <v>105</v>
      </c>
      <c r="J1150" s="23">
        <f>VLOOKUP(I1150,episodes!$A$1:$B$76,2,FALSE)</f>
        <v>6</v>
      </c>
      <c r="K1150" s="16" t="str">
        <f>VLOOKUP(I1150,episodes!$A$1:$E$81,5,FALSE)</f>
        <v>The Enemy Within</v>
      </c>
      <c r="L1150" s="16">
        <f>VLOOKUP(I1150,episodes!$A$1:$D$81,3,FALSE)</f>
        <v>1</v>
      </c>
      <c r="M1150" s="16">
        <f>VLOOKUP(I1150,episodes!$A$1:$D$81,4,FALSE)</f>
        <v>5</v>
      </c>
      <c r="N1150" s="14"/>
      <c r="O1150" s="14">
        <v>0</v>
      </c>
      <c r="P1150" s="24">
        <f>LEN(E1150)+LEN(K1150)</f>
        <v>73</v>
      </c>
      <c r="Q1150" s="24">
        <f>COUNTIFS(B:B,B1149)</f>
        <v>56</v>
      </c>
      <c r="R1150" s="24">
        <f>COUNTIFS(D:D,D1150)</f>
        <v>32</v>
      </c>
    </row>
    <row r="1151" spans="1:18" s="21" customFormat="1" x14ac:dyDescent="0.3">
      <c r="A1151" s="14">
        <v>1543</v>
      </c>
      <c r="B1151" s="21" t="s">
        <v>358</v>
      </c>
      <c r="C1151" s="21" t="s">
        <v>2905</v>
      </c>
      <c r="D1151" s="1" t="s">
        <v>2727</v>
      </c>
      <c r="E1151" s="1" t="s">
        <v>2882</v>
      </c>
      <c r="F1151" s="21" t="s">
        <v>8</v>
      </c>
      <c r="G1151" s="14">
        <v>0</v>
      </c>
      <c r="H1151" s="14">
        <v>1</v>
      </c>
      <c r="I1151" s="25">
        <v>105</v>
      </c>
      <c r="J1151" s="23">
        <f>VLOOKUP(I1151,episodes!$A$1:$B$76,2,FALSE)</f>
        <v>6</v>
      </c>
      <c r="K1151" s="16" t="str">
        <f>VLOOKUP(I1151,episodes!$A$1:$E$81,5,FALSE)</f>
        <v>The Enemy Within</v>
      </c>
      <c r="L1151" s="16">
        <f>VLOOKUP(I1151,episodes!$A$1:$D$81,3,FALSE)</f>
        <v>1</v>
      </c>
      <c r="M1151" s="16">
        <f>VLOOKUP(I1151,episodes!$A$1:$D$81,4,FALSE)</f>
        <v>5</v>
      </c>
      <c r="N1151" s="14"/>
      <c r="O1151" s="14">
        <v>0</v>
      </c>
      <c r="P1151" s="24">
        <f>LEN(E1151)+LEN(K1151)</f>
        <v>73</v>
      </c>
      <c r="Q1151" s="24">
        <f>COUNTIFS(B:B,B1150)</f>
        <v>56</v>
      </c>
      <c r="R1151" s="24">
        <f>COUNTIFS(D:D,D1151)</f>
        <v>32</v>
      </c>
    </row>
    <row r="1152" spans="1:18" s="21" customFormat="1" x14ac:dyDescent="0.3">
      <c r="A1152" s="14">
        <v>1592</v>
      </c>
      <c r="B1152" s="21" t="s">
        <v>358</v>
      </c>
      <c r="C1152" s="21" t="s">
        <v>2905</v>
      </c>
      <c r="D1152" s="1" t="s">
        <v>2727</v>
      </c>
      <c r="E1152" s="1" t="s">
        <v>649</v>
      </c>
      <c r="F1152" s="21" t="s">
        <v>8</v>
      </c>
      <c r="G1152" s="14">
        <v>0</v>
      </c>
      <c r="H1152" s="14">
        <v>1</v>
      </c>
      <c r="I1152" s="22">
        <v>122</v>
      </c>
      <c r="J1152" s="23">
        <f>VLOOKUP(I1152,episodes!$A$1:$B$76,2,FALSE)</f>
        <v>23</v>
      </c>
      <c r="K1152" s="16" t="str">
        <f>VLOOKUP(I1152,episodes!$A$1:$E$81,5,FALSE)</f>
        <v>Space Seed</v>
      </c>
      <c r="L1152" s="16">
        <f>VLOOKUP(I1152,episodes!$A$1:$D$81,3,FALSE)</f>
        <v>1</v>
      </c>
      <c r="M1152" s="16">
        <f>VLOOKUP(I1152,episodes!$A$1:$D$81,4,FALSE)</f>
        <v>22</v>
      </c>
      <c r="N1152" s="14"/>
      <c r="O1152" s="14">
        <v>0</v>
      </c>
      <c r="P1152" s="24">
        <f>LEN(E1152)+LEN(K1152)</f>
        <v>54</v>
      </c>
      <c r="Q1152" s="24">
        <f>COUNTIFS(B:B,B1151)</f>
        <v>56</v>
      </c>
      <c r="R1152" s="24">
        <f>COUNTIFS(D:D,D1152)</f>
        <v>32</v>
      </c>
    </row>
    <row r="1153" spans="1:18" s="21" customFormat="1" x14ac:dyDescent="0.3">
      <c r="A1153" s="14">
        <v>1560</v>
      </c>
      <c r="B1153" s="21" t="s">
        <v>358</v>
      </c>
      <c r="C1153" s="21" t="s">
        <v>2905</v>
      </c>
      <c r="D1153" s="1" t="s">
        <v>2727</v>
      </c>
      <c r="E1153" s="1" t="s">
        <v>1755</v>
      </c>
      <c r="F1153" s="21" t="s">
        <v>8</v>
      </c>
      <c r="G1153" s="14">
        <v>0</v>
      </c>
      <c r="H1153" s="14">
        <v>1</v>
      </c>
      <c r="I1153" s="25">
        <v>110</v>
      </c>
      <c r="J1153" s="23">
        <f>VLOOKUP(I1153,episodes!$A$1:$B$76,2,FALSE)</f>
        <v>11</v>
      </c>
      <c r="K1153" s="16" t="str">
        <f>VLOOKUP(I1153,episodes!$A$1:$E$81,5,FALSE)</f>
        <v>The Corbomite Maneuver</v>
      </c>
      <c r="L1153" s="16">
        <f>VLOOKUP(I1153,episodes!$A$1:$D$81,3,FALSE)</f>
        <v>1</v>
      </c>
      <c r="M1153" s="16">
        <f>VLOOKUP(I1153,episodes!$A$1:$D$81,4,FALSE)</f>
        <v>10</v>
      </c>
      <c r="N1153" s="14"/>
      <c r="O1153" s="14">
        <v>0</v>
      </c>
      <c r="P1153" s="24">
        <f>LEN(E1153)+LEN(K1153)</f>
        <v>82</v>
      </c>
      <c r="Q1153" s="24">
        <f>COUNTIFS(B:B,B1152)</f>
        <v>56</v>
      </c>
      <c r="R1153" s="24">
        <f>COUNTIFS(D:D,D1153)</f>
        <v>32</v>
      </c>
    </row>
    <row r="1154" spans="1:18" s="21" customFormat="1" x14ac:dyDescent="0.3">
      <c r="A1154" s="14">
        <v>1611</v>
      </c>
      <c r="B1154" s="21" t="s">
        <v>358</v>
      </c>
      <c r="C1154" s="21" t="s">
        <v>2905</v>
      </c>
      <c r="D1154" s="1" t="s">
        <v>2727</v>
      </c>
      <c r="E1154" s="1" t="s">
        <v>2883</v>
      </c>
      <c r="F1154" s="21" t="s">
        <v>8</v>
      </c>
      <c r="G1154" s="14">
        <v>0</v>
      </c>
      <c r="H1154" s="14">
        <v>1</v>
      </c>
      <c r="I1154" s="22">
        <v>127</v>
      </c>
      <c r="J1154" s="23">
        <f>VLOOKUP(I1154,episodes!$A$1:$B$76,2,FALSE)</f>
        <v>28</v>
      </c>
      <c r="K1154" s="16" t="str">
        <f>VLOOKUP(I1154,episodes!$A$1:$E$81,5,FALSE)</f>
        <v>The Alternative Factor</v>
      </c>
      <c r="L1154" s="16">
        <f>VLOOKUP(I1154,episodes!$A$1:$D$81,3,FALSE)</f>
        <v>1</v>
      </c>
      <c r="M1154" s="16">
        <f>VLOOKUP(I1154,episodes!$A$1:$D$81,4,FALSE)</f>
        <v>27</v>
      </c>
      <c r="N1154" s="14"/>
      <c r="O1154" s="14">
        <v>0</v>
      </c>
      <c r="P1154" s="24">
        <f>LEN(E1154)+LEN(K1154)</f>
        <v>61</v>
      </c>
      <c r="Q1154" s="24">
        <f>COUNTIFS(B:B,B1153)</f>
        <v>56</v>
      </c>
      <c r="R1154" s="24">
        <f>COUNTIFS(D:D,D1154)</f>
        <v>32</v>
      </c>
    </row>
    <row r="1155" spans="1:18" s="21" customFormat="1" x14ac:dyDescent="0.3">
      <c r="A1155" s="14">
        <v>1612</v>
      </c>
      <c r="B1155" s="21" t="s">
        <v>358</v>
      </c>
      <c r="C1155" s="21" t="s">
        <v>2905</v>
      </c>
      <c r="D1155" s="1" t="s">
        <v>2727</v>
      </c>
      <c r="E1155" s="1" t="s">
        <v>2884</v>
      </c>
      <c r="F1155" s="21" t="s">
        <v>8</v>
      </c>
      <c r="G1155" s="14">
        <v>0</v>
      </c>
      <c r="H1155" s="14">
        <v>1</v>
      </c>
      <c r="I1155" s="22">
        <v>127</v>
      </c>
      <c r="J1155" s="23">
        <f>VLOOKUP(I1155,episodes!$A$1:$B$76,2,FALSE)</f>
        <v>28</v>
      </c>
      <c r="K1155" s="16" t="str">
        <f>VLOOKUP(I1155,episodes!$A$1:$E$81,5,FALSE)</f>
        <v>The Alternative Factor</v>
      </c>
      <c r="L1155" s="16">
        <f>VLOOKUP(I1155,episodes!$A$1:$D$81,3,FALSE)</f>
        <v>1</v>
      </c>
      <c r="M1155" s="16">
        <f>VLOOKUP(I1155,episodes!$A$1:$D$81,4,FALSE)</f>
        <v>27</v>
      </c>
      <c r="N1155" s="14"/>
      <c r="O1155" s="14">
        <v>0</v>
      </c>
      <c r="P1155" s="24">
        <f>LEN(E1155)+LEN(K1155)</f>
        <v>61</v>
      </c>
      <c r="Q1155" s="24">
        <f>COUNTIFS(B:B,B1154)</f>
        <v>56</v>
      </c>
      <c r="R1155" s="24">
        <f>COUNTIFS(D:D,D1155)</f>
        <v>32</v>
      </c>
    </row>
    <row r="1156" spans="1:18" s="21" customFormat="1" x14ac:dyDescent="0.3">
      <c r="A1156" s="14">
        <v>1567</v>
      </c>
      <c r="B1156" s="21" t="s">
        <v>358</v>
      </c>
      <c r="C1156" s="21" t="s">
        <v>2905</v>
      </c>
      <c r="D1156" s="1" t="s">
        <v>2727</v>
      </c>
      <c r="E1156" s="1" t="s">
        <v>2168</v>
      </c>
      <c r="F1156" s="21" t="s">
        <v>8</v>
      </c>
      <c r="G1156" s="14">
        <v>0</v>
      </c>
      <c r="H1156" s="14">
        <v>1</v>
      </c>
      <c r="I1156" s="22">
        <v>114</v>
      </c>
      <c r="J1156" s="23">
        <f>VLOOKUP(I1156,episodes!$A$1:$B$76,2,FALSE)</f>
        <v>15</v>
      </c>
      <c r="K1156" s="16" t="str">
        <f>VLOOKUP(I1156,episodes!$A$1:$E$81,5,FALSE)</f>
        <v>Balance of Terror</v>
      </c>
      <c r="L1156" s="16">
        <f>VLOOKUP(I1156,episodes!$A$1:$D$81,3,FALSE)</f>
        <v>1</v>
      </c>
      <c r="M1156" s="16">
        <f>VLOOKUP(I1156,episodes!$A$1:$D$81,4,FALSE)</f>
        <v>14</v>
      </c>
      <c r="N1156" s="14"/>
      <c r="O1156" s="14">
        <v>0</v>
      </c>
      <c r="P1156" s="24">
        <f>LEN(E1156)+LEN(K1156)</f>
        <v>93</v>
      </c>
      <c r="Q1156" s="24">
        <f>COUNTIFS(B:B,B1155)</f>
        <v>56</v>
      </c>
      <c r="R1156" s="24">
        <f>COUNTIFS(D:D,D1156)</f>
        <v>32</v>
      </c>
    </row>
    <row r="1157" spans="1:18" s="21" customFormat="1" x14ac:dyDescent="0.3">
      <c r="A1157" s="14">
        <v>1536</v>
      </c>
      <c r="B1157" s="21" t="s">
        <v>358</v>
      </c>
      <c r="C1157" s="21" t="s">
        <v>2905</v>
      </c>
      <c r="D1157" s="1" t="s">
        <v>2727</v>
      </c>
      <c r="E1157" s="1" t="s">
        <v>1505</v>
      </c>
      <c r="F1157" s="21" t="s">
        <v>8</v>
      </c>
      <c r="G1157" s="14">
        <v>0</v>
      </c>
      <c r="H1157" s="14">
        <v>1</v>
      </c>
      <c r="I1157" s="14">
        <v>104</v>
      </c>
      <c r="J1157" s="23">
        <f>VLOOKUP(I1157,episodes!$A$1:$B$76,2,FALSE)</f>
        <v>5</v>
      </c>
      <c r="K1157" s="16" t="str">
        <f>VLOOKUP(I1157,episodes!$A$1:$E$81,5,FALSE)</f>
        <v>The Naked Time</v>
      </c>
      <c r="L1157" s="16">
        <f>VLOOKUP(I1157,episodes!$A$1:$D$81,3,FALSE)</f>
        <v>1</v>
      </c>
      <c r="M1157" s="16">
        <f>VLOOKUP(I1157,episodes!$A$1:$D$81,4,FALSE)</f>
        <v>4</v>
      </c>
      <c r="N1157" s="14"/>
      <c r="O1157" s="14">
        <v>0</v>
      </c>
      <c r="P1157" s="24">
        <f>LEN(E1157)+LEN(K1157)</f>
        <v>77</v>
      </c>
      <c r="Q1157" s="24">
        <f>COUNTIFS(B:B,B1156)</f>
        <v>56</v>
      </c>
      <c r="R1157" s="24">
        <f>COUNTIFS(D:D,D1157)</f>
        <v>32</v>
      </c>
    </row>
    <row r="1158" spans="1:18" s="21" customFormat="1" x14ac:dyDescent="0.3">
      <c r="A1158" s="14">
        <v>1547</v>
      </c>
      <c r="B1158" s="21" t="s">
        <v>358</v>
      </c>
      <c r="C1158" s="21" t="s">
        <v>2905</v>
      </c>
      <c r="D1158" s="1" t="s">
        <v>2727</v>
      </c>
      <c r="E1158" s="1" t="s">
        <v>1575</v>
      </c>
      <c r="F1158" s="21" t="s">
        <v>8</v>
      </c>
      <c r="G1158" s="14">
        <v>0</v>
      </c>
      <c r="H1158" s="14">
        <v>1</v>
      </c>
      <c r="I1158" s="25">
        <v>106</v>
      </c>
      <c r="J1158" s="23">
        <f>VLOOKUP(I1158,episodes!$A$1:$B$76,2,FALSE)</f>
        <v>7</v>
      </c>
      <c r="K1158" s="16" t="str">
        <f>VLOOKUP(I1158,episodes!$A$1:$E$81,5,FALSE)</f>
        <v>Mudd's Women</v>
      </c>
      <c r="L1158" s="16">
        <f>VLOOKUP(I1158,episodes!$A$1:$D$81,3,FALSE)</f>
        <v>1</v>
      </c>
      <c r="M1158" s="16">
        <f>VLOOKUP(I1158,episodes!$A$1:$D$81,4,FALSE)</f>
        <v>6</v>
      </c>
      <c r="N1158" s="14"/>
      <c r="O1158" s="14">
        <v>0</v>
      </c>
      <c r="P1158" s="24">
        <f>LEN(E1158)+LEN(K1158)</f>
        <v>51</v>
      </c>
      <c r="Q1158" s="24">
        <f>COUNTIFS(B:B,B1157)</f>
        <v>56</v>
      </c>
      <c r="R1158" s="24">
        <f>COUNTIFS(D:D,D1158)</f>
        <v>32</v>
      </c>
    </row>
    <row r="1159" spans="1:18" s="21" customFormat="1" x14ac:dyDescent="0.3">
      <c r="A1159" s="14">
        <v>1645</v>
      </c>
      <c r="B1159" s="21" t="s">
        <v>358</v>
      </c>
      <c r="C1159" s="21" t="s">
        <v>2905</v>
      </c>
      <c r="D1159" s="1" t="s">
        <v>2727</v>
      </c>
      <c r="E1159" s="1" t="s">
        <v>910</v>
      </c>
      <c r="F1159" s="21" t="s">
        <v>8</v>
      </c>
      <c r="G1159" s="14">
        <v>0</v>
      </c>
      <c r="H1159" s="14">
        <v>1</v>
      </c>
      <c r="I1159" s="25">
        <v>204</v>
      </c>
      <c r="J1159" s="23">
        <f>VLOOKUP(I1159,episodes!$A$1:$B$81,2,FALSE)</f>
        <v>34</v>
      </c>
      <c r="K1159" s="16" t="str">
        <f>VLOOKUP(I1159,episodes!$A$1:$E$81,5,FALSE)</f>
        <v>Mirror, Mirror</v>
      </c>
      <c r="L1159" s="16">
        <f>VLOOKUP(I1159,episodes!$A$1:$D$81,3,FALSE)</f>
        <v>2</v>
      </c>
      <c r="M1159" s="16">
        <f>VLOOKUP(I1159,episodes!$A$1:$D$81,4,FALSE)</f>
        <v>4</v>
      </c>
      <c r="N1159" s="14"/>
      <c r="O1159" s="14">
        <v>0</v>
      </c>
      <c r="P1159" s="24">
        <f>LEN(E1159)+LEN(K1159)</f>
        <v>82</v>
      </c>
      <c r="Q1159" s="24">
        <f>COUNTIFS(B:B,B1158)</f>
        <v>56</v>
      </c>
      <c r="R1159" s="24">
        <f>COUNTIFS(D:D,D1159)</f>
        <v>32</v>
      </c>
    </row>
    <row r="1160" spans="1:18" s="21" customFormat="1" x14ac:dyDescent="0.3">
      <c r="A1160" s="14">
        <v>1566</v>
      </c>
      <c r="B1160" s="21" t="s">
        <v>358</v>
      </c>
      <c r="C1160" s="21" t="s">
        <v>2905</v>
      </c>
      <c r="D1160" s="1" t="s">
        <v>2727</v>
      </c>
      <c r="E1160" s="1" t="s">
        <v>2262</v>
      </c>
      <c r="F1160" s="21" t="s">
        <v>8</v>
      </c>
      <c r="G1160" s="14">
        <v>0</v>
      </c>
      <c r="H1160" s="14">
        <v>1</v>
      </c>
      <c r="I1160" s="25">
        <v>113</v>
      </c>
      <c r="J1160" s="23">
        <f>VLOOKUP(I1160,episodes!$A$1:$B$76,2,FALSE)</f>
        <v>14</v>
      </c>
      <c r="K1160" s="16" t="str">
        <f>VLOOKUP(I1160,episodes!$A$1:$E$81,5,FALSE)</f>
        <v>The Conscience of the King</v>
      </c>
      <c r="L1160" s="16">
        <f>VLOOKUP(I1160,episodes!$A$1:$D$81,3,FALSE)</f>
        <v>1</v>
      </c>
      <c r="M1160" s="16">
        <f>VLOOKUP(I1160,episodes!$A$1:$D$81,4,FALSE)</f>
        <v>13</v>
      </c>
      <c r="N1160" s="14"/>
      <c r="O1160" s="14">
        <v>0</v>
      </c>
      <c r="P1160" s="24">
        <f>LEN(E1160)+LEN(K1160)</f>
        <v>85</v>
      </c>
      <c r="Q1160" s="24">
        <f>COUNTIFS(B:B,B1159)</f>
        <v>56</v>
      </c>
      <c r="R1160" s="24">
        <f>COUNTIFS(D:D,D1160)</f>
        <v>32</v>
      </c>
    </row>
    <row r="1161" spans="1:18" s="21" customFormat="1" x14ac:dyDescent="0.3">
      <c r="A1161" s="14">
        <v>1666</v>
      </c>
      <c r="B1161" s="21" t="s">
        <v>358</v>
      </c>
      <c r="C1161" s="21" t="s">
        <v>2905</v>
      </c>
      <c r="D1161" s="21" t="s">
        <v>2727</v>
      </c>
      <c r="E1161" s="1" t="s">
        <v>2197</v>
      </c>
      <c r="F1161" s="21" t="s">
        <v>8</v>
      </c>
      <c r="G1161" s="14">
        <v>0</v>
      </c>
      <c r="H1161" s="14">
        <v>1</v>
      </c>
      <c r="I1161" s="22">
        <v>210</v>
      </c>
      <c r="J1161" s="23">
        <f>VLOOKUP(I1161,episodes!$A$1:$B$81,2,FALSE)</f>
        <v>40</v>
      </c>
      <c r="K1161" s="16" t="str">
        <f>VLOOKUP(I1161,episodes!$A$1:$E$81,5,FALSE)</f>
        <v>Journey to Babel</v>
      </c>
      <c r="L1161" s="16">
        <f>VLOOKUP(I1161,episodes!$A$1:$D$81,3,FALSE)</f>
        <v>2</v>
      </c>
      <c r="M1161" s="16">
        <f>VLOOKUP(I1161,episodes!$A$1:$D$81,4,FALSE)</f>
        <v>10</v>
      </c>
      <c r="N1161" s="14"/>
      <c r="O1161" s="14">
        <v>0</v>
      </c>
      <c r="P1161" s="24">
        <f>LEN(E1161)+LEN(K1161)</f>
        <v>70</v>
      </c>
      <c r="Q1161" s="24">
        <f>COUNTIFS(B:B,B1160)</f>
        <v>56</v>
      </c>
      <c r="R1161" s="24">
        <f>COUNTIFS(D:D,D1161)</f>
        <v>32</v>
      </c>
    </row>
    <row r="1162" spans="1:18" s="21" customFormat="1" x14ac:dyDescent="0.3">
      <c r="A1162" s="14">
        <v>1502</v>
      </c>
      <c r="B1162" s="21" t="s">
        <v>358</v>
      </c>
      <c r="C1162" s="21" t="s">
        <v>2905</v>
      </c>
      <c r="D1162" s="1" t="s">
        <v>2727</v>
      </c>
      <c r="E1162" s="1" t="s">
        <v>1648</v>
      </c>
      <c r="F1162" s="21" t="s">
        <v>8</v>
      </c>
      <c r="G1162" s="14">
        <v>0</v>
      </c>
      <c r="H1162" s="14">
        <v>1</v>
      </c>
      <c r="I1162" s="25">
        <v>101</v>
      </c>
      <c r="J1162" s="23">
        <f>VLOOKUP(I1162,episodes!$A$1:$B$76,2,FALSE)</f>
        <v>2</v>
      </c>
      <c r="K1162" s="16" t="str">
        <f>VLOOKUP(I1162,episodes!$A$1:$E$81,5,FALSE)</f>
        <v>The Man Trap</v>
      </c>
      <c r="L1162" s="16">
        <f>VLOOKUP(I1162,episodes!$A$1:$D$81,3,FALSE)</f>
        <v>1</v>
      </c>
      <c r="M1162" s="16">
        <f>VLOOKUP(I1162,episodes!$A$1:$D$81,4,FALSE)</f>
        <v>1</v>
      </c>
      <c r="N1162" s="14"/>
      <c r="O1162" s="14">
        <v>0</v>
      </c>
      <c r="P1162" s="24">
        <f>LEN(E1162)+LEN(K1162)</f>
        <v>207</v>
      </c>
      <c r="Q1162" s="24">
        <f>COUNTIFS(B:B,B1161)</f>
        <v>56</v>
      </c>
      <c r="R1162" s="24">
        <f>COUNTIFS(D:D,D1162)</f>
        <v>32</v>
      </c>
    </row>
    <row r="1163" spans="1:18" s="21" customFormat="1" x14ac:dyDescent="0.3">
      <c r="A1163" s="14">
        <v>1537</v>
      </c>
      <c r="B1163" s="21" t="s">
        <v>358</v>
      </c>
      <c r="C1163" s="21" t="s">
        <v>2905</v>
      </c>
      <c r="D1163" s="1" t="s">
        <v>2727</v>
      </c>
      <c r="E1163" s="1" t="s">
        <v>453</v>
      </c>
      <c r="F1163" s="21" t="s">
        <v>8</v>
      </c>
      <c r="G1163" s="14">
        <v>0</v>
      </c>
      <c r="H1163" s="14">
        <v>1</v>
      </c>
      <c r="I1163" s="14">
        <v>104</v>
      </c>
      <c r="J1163" s="23">
        <f>VLOOKUP(I1163,episodes!$A$1:$B$76,2,FALSE)</f>
        <v>5</v>
      </c>
      <c r="K1163" s="16" t="str">
        <f>VLOOKUP(I1163,episodes!$A$1:$E$81,5,FALSE)</f>
        <v>The Naked Time</v>
      </c>
      <c r="L1163" s="16">
        <f>VLOOKUP(I1163,episodes!$A$1:$D$81,3,FALSE)</f>
        <v>1</v>
      </c>
      <c r="M1163" s="16">
        <f>VLOOKUP(I1163,episodes!$A$1:$D$81,4,FALSE)</f>
        <v>4</v>
      </c>
      <c r="N1163" s="14"/>
      <c r="O1163" s="14">
        <v>0</v>
      </c>
      <c r="P1163" s="24">
        <f>LEN(E1163)+LEN(K1163)</f>
        <v>47</v>
      </c>
      <c r="Q1163" s="24">
        <f>COUNTIFS(B:B,B1162)</f>
        <v>56</v>
      </c>
      <c r="R1163" s="24">
        <f>COUNTIFS(D:D,D1163)</f>
        <v>32</v>
      </c>
    </row>
    <row r="1164" spans="1:18" s="21" customFormat="1" x14ac:dyDescent="0.3">
      <c r="A1164" s="14">
        <v>1635</v>
      </c>
      <c r="B1164" s="21" t="s">
        <v>358</v>
      </c>
      <c r="C1164" s="21" t="s">
        <v>2905</v>
      </c>
      <c r="D1164" s="1" t="s">
        <v>2727</v>
      </c>
      <c r="E1164" s="1" t="s">
        <v>453</v>
      </c>
      <c r="F1164" s="21" t="s">
        <v>8</v>
      </c>
      <c r="G1164" s="14">
        <v>0</v>
      </c>
      <c r="H1164" s="14">
        <v>1</v>
      </c>
      <c r="I1164" s="22">
        <v>201</v>
      </c>
      <c r="J1164" s="23">
        <f>VLOOKUP(I1164,episodes!$A$1:$B$76,2,FALSE)</f>
        <v>31</v>
      </c>
      <c r="K1164" s="16" t="str">
        <f>VLOOKUP(I1164,episodes!$A$1:$E$81,5,FALSE)</f>
        <v>Amok Time</v>
      </c>
      <c r="L1164" s="16">
        <f>VLOOKUP(I1164,episodes!$A$1:$D$81,3,FALSE)</f>
        <v>2</v>
      </c>
      <c r="M1164" s="16">
        <f>VLOOKUP(I1164,episodes!$A$1:$D$81,4,FALSE)</f>
        <v>1</v>
      </c>
      <c r="N1164" s="14"/>
      <c r="O1164" s="14">
        <v>0</v>
      </c>
      <c r="P1164" s="24">
        <f>LEN(E1164)+LEN(K1164)</f>
        <v>42</v>
      </c>
      <c r="Q1164" s="24">
        <f>COUNTIFS(B:B,B1163)</f>
        <v>56</v>
      </c>
      <c r="R1164" s="24">
        <f>COUNTIFS(D:D,D1164)</f>
        <v>32</v>
      </c>
    </row>
    <row r="1165" spans="1:18" s="21" customFormat="1" x14ac:dyDescent="0.3">
      <c r="A1165" s="14">
        <v>1538</v>
      </c>
      <c r="B1165" s="21" t="s">
        <v>358</v>
      </c>
      <c r="C1165" s="21" t="s">
        <v>2905</v>
      </c>
      <c r="D1165" s="1" t="s">
        <v>2727</v>
      </c>
      <c r="E1165" s="1" t="s">
        <v>1506</v>
      </c>
      <c r="F1165" s="21" t="s">
        <v>8</v>
      </c>
      <c r="G1165" s="14">
        <v>0</v>
      </c>
      <c r="H1165" s="14">
        <v>1</v>
      </c>
      <c r="I1165" s="14">
        <v>104</v>
      </c>
      <c r="J1165" s="23">
        <f>VLOOKUP(I1165,episodes!$A$1:$B$76,2,FALSE)</f>
        <v>5</v>
      </c>
      <c r="K1165" s="16" t="str">
        <f>VLOOKUP(I1165,episodes!$A$1:$E$81,5,FALSE)</f>
        <v>The Naked Time</v>
      </c>
      <c r="L1165" s="16">
        <f>VLOOKUP(I1165,episodes!$A$1:$D$81,3,FALSE)</f>
        <v>1</v>
      </c>
      <c r="M1165" s="16">
        <f>VLOOKUP(I1165,episodes!$A$1:$D$81,4,FALSE)</f>
        <v>4</v>
      </c>
      <c r="N1165" s="14"/>
      <c r="O1165" s="14">
        <v>0</v>
      </c>
      <c r="P1165" s="24">
        <f>LEN(E1165)+LEN(K1165)</f>
        <v>103</v>
      </c>
      <c r="Q1165" s="24">
        <f>COUNTIFS(B:B,B1164)</f>
        <v>56</v>
      </c>
      <c r="R1165" s="24">
        <f>COUNTIFS(D:D,D1165)</f>
        <v>32</v>
      </c>
    </row>
    <row r="1166" spans="1:18" s="21" customFormat="1" x14ac:dyDescent="0.3">
      <c r="A1166" s="14">
        <v>1544</v>
      </c>
      <c r="B1166" s="21" t="s">
        <v>358</v>
      </c>
      <c r="C1166" s="21" t="s">
        <v>2905</v>
      </c>
      <c r="D1166" s="1" t="s">
        <v>2727</v>
      </c>
      <c r="E1166" s="1" t="s">
        <v>1548</v>
      </c>
      <c r="F1166" s="21" t="s">
        <v>8</v>
      </c>
      <c r="G1166" s="14">
        <v>0</v>
      </c>
      <c r="H1166" s="14">
        <v>1</v>
      </c>
      <c r="I1166" s="25">
        <v>105</v>
      </c>
      <c r="J1166" s="23">
        <f>VLOOKUP(I1166,episodes!$A$1:$B$76,2,FALSE)</f>
        <v>6</v>
      </c>
      <c r="K1166" s="16" t="str">
        <f>VLOOKUP(I1166,episodes!$A$1:$E$81,5,FALSE)</f>
        <v>The Enemy Within</v>
      </c>
      <c r="L1166" s="16">
        <f>VLOOKUP(I1166,episodes!$A$1:$D$81,3,FALSE)</f>
        <v>1</v>
      </c>
      <c r="M1166" s="16">
        <f>VLOOKUP(I1166,episodes!$A$1:$D$81,4,FALSE)</f>
        <v>5</v>
      </c>
      <c r="N1166" s="14"/>
      <c r="O1166" s="14">
        <v>0</v>
      </c>
      <c r="P1166" s="24">
        <f>LEN(E1166)+LEN(K1166)</f>
        <v>89</v>
      </c>
      <c r="Q1166" s="24">
        <f>COUNTIFS(B:B,B1165)</f>
        <v>56</v>
      </c>
      <c r="R1166" s="24">
        <f>COUNTIFS(D:D,D1166)</f>
        <v>32</v>
      </c>
    </row>
    <row r="1167" spans="1:18" s="21" customFormat="1" x14ac:dyDescent="0.3">
      <c r="A1167" s="14">
        <v>1545</v>
      </c>
      <c r="B1167" s="21" t="s">
        <v>358</v>
      </c>
      <c r="C1167" s="21" t="s">
        <v>2905</v>
      </c>
      <c r="D1167" s="1" t="s">
        <v>2727</v>
      </c>
      <c r="E1167" s="1" t="s">
        <v>1547</v>
      </c>
      <c r="F1167" s="21" t="s">
        <v>8</v>
      </c>
      <c r="G1167" s="14">
        <v>0</v>
      </c>
      <c r="H1167" s="14">
        <v>1</v>
      </c>
      <c r="I1167" s="25">
        <v>105</v>
      </c>
      <c r="J1167" s="23">
        <f>VLOOKUP(I1167,episodes!$A$1:$B$76,2,FALSE)</f>
        <v>6</v>
      </c>
      <c r="K1167" s="16" t="str">
        <f>VLOOKUP(I1167,episodes!$A$1:$E$81,5,FALSE)</f>
        <v>The Enemy Within</v>
      </c>
      <c r="L1167" s="16">
        <f>VLOOKUP(I1167,episodes!$A$1:$D$81,3,FALSE)</f>
        <v>1</v>
      </c>
      <c r="M1167" s="16">
        <f>VLOOKUP(I1167,episodes!$A$1:$D$81,4,FALSE)</f>
        <v>5</v>
      </c>
      <c r="N1167" s="14"/>
      <c r="O1167" s="14">
        <v>0</v>
      </c>
      <c r="P1167" s="24">
        <f>LEN(E1167)+LEN(K1167)</f>
        <v>93</v>
      </c>
      <c r="Q1167" s="24">
        <f>COUNTIFS(B:B,B1166)</f>
        <v>56</v>
      </c>
      <c r="R1167" s="24">
        <f>COUNTIFS(D:D,D1167)</f>
        <v>32</v>
      </c>
    </row>
    <row r="1168" spans="1:18" s="21" customFormat="1" x14ac:dyDescent="0.3">
      <c r="A1168" s="14">
        <v>1627</v>
      </c>
      <c r="B1168" s="21" t="s">
        <v>358</v>
      </c>
      <c r="C1168" s="21" t="s">
        <v>2905</v>
      </c>
      <c r="D1168" s="1" t="s">
        <v>2727</v>
      </c>
      <c r="E1168" s="1" t="s">
        <v>784</v>
      </c>
      <c r="F1168" s="21" t="s">
        <v>8</v>
      </c>
      <c r="G1168" s="14">
        <v>0</v>
      </c>
      <c r="H1168" s="14">
        <v>1</v>
      </c>
      <c r="I1168" s="22">
        <v>129</v>
      </c>
      <c r="J1168" s="23">
        <f>VLOOKUP(I1168,episodes!$A$1:$B$76,2,FALSE)</f>
        <v>30</v>
      </c>
      <c r="K1168" s="16" t="str">
        <f>VLOOKUP(I1168,episodes!$A$1:$E$81,5,FALSE)</f>
        <v>Operation: Annihilate!</v>
      </c>
      <c r="L1168" s="16">
        <f>VLOOKUP(I1168,episodes!$A$1:$D$81,3,FALSE)</f>
        <v>1</v>
      </c>
      <c r="M1168" s="16">
        <f>VLOOKUP(I1168,episodes!$A$1:$D$81,4,FALSE)</f>
        <v>29</v>
      </c>
      <c r="N1168" s="14"/>
      <c r="O1168" s="14">
        <v>0</v>
      </c>
      <c r="P1168" s="24">
        <f>LEN(E1168)+LEN(K1168)</f>
        <v>46</v>
      </c>
      <c r="Q1168" s="24">
        <f>COUNTIFS(B:B,B1167)</f>
        <v>56</v>
      </c>
      <c r="R1168" s="24">
        <f>COUNTIFS(D:D,D1168)</f>
        <v>32</v>
      </c>
    </row>
    <row r="1169" spans="1:18" s="21" customFormat="1" x14ac:dyDescent="0.3">
      <c r="A1169" s="14">
        <v>1667</v>
      </c>
      <c r="B1169" s="21" t="s">
        <v>358</v>
      </c>
      <c r="C1169" s="21" t="s">
        <v>2905</v>
      </c>
      <c r="D1169" s="21" t="s">
        <v>2727</v>
      </c>
      <c r="E1169" s="1" t="s">
        <v>2198</v>
      </c>
      <c r="F1169" s="21" t="s">
        <v>8</v>
      </c>
      <c r="G1169" s="14">
        <v>0</v>
      </c>
      <c r="H1169" s="14">
        <v>1</v>
      </c>
      <c r="I1169" s="22">
        <v>210</v>
      </c>
      <c r="J1169" s="23">
        <f>VLOOKUP(I1169,episodes!$A$1:$B$81,2,FALSE)</f>
        <v>40</v>
      </c>
      <c r="K1169" s="16" t="str">
        <f>VLOOKUP(I1169,episodes!$A$1:$E$81,5,FALSE)</f>
        <v>Journey to Babel</v>
      </c>
      <c r="L1169" s="16">
        <f>VLOOKUP(I1169,episodes!$A$1:$D$81,3,FALSE)</f>
        <v>2</v>
      </c>
      <c r="M1169" s="16">
        <f>VLOOKUP(I1169,episodes!$A$1:$D$81,4,FALSE)</f>
        <v>10</v>
      </c>
      <c r="N1169" s="14"/>
      <c r="O1169" s="14">
        <v>0</v>
      </c>
      <c r="P1169" s="24">
        <f>LEN(E1169)+LEN(K1169)</f>
        <v>45</v>
      </c>
      <c r="Q1169" s="24">
        <f>COUNTIFS(B:B,B1168)</f>
        <v>56</v>
      </c>
      <c r="R1169" s="24">
        <f>COUNTIFS(D:D,D1169)</f>
        <v>32</v>
      </c>
    </row>
    <row r="1170" spans="1:18" s="21" customFormat="1" x14ac:dyDescent="0.3">
      <c r="A1170" s="14">
        <v>1668</v>
      </c>
      <c r="B1170" s="21" t="s">
        <v>358</v>
      </c>
      <c r="C1170" s="21" t="s">
        <v>2905</v>
      </c>
      <c r="D1170" s="21" t="s">
        <v>2727</v>
      </c>
      <c r="E1170" s="1" t="s">
        <v>2199</v>
      </c>
      <c r="F1170" s="21" t="s">
        <v>8</v>
      </c>
      <c r="G1170" s="14">
        <v>0</v>
      </c>
      <c r="H1170" s="14">
        <v>1</v>
      </c>
      <c r="I1170" s="22">
        <v>210</v>
      </c>
      <c r="J1170" s="23">
        <f>VLOOKUP(I1170,episodes!$A$1:$B$81,2,FALSE)</f>
        <v>40</v>
      </c>
      <c r="K1170" s="16" t="str">
        <f>VLOOKUP(I1170,episodes!$A$1:$E$81,5,FALSE)</f>
        <v>Journey to Babel</v>
      </c>
      <c r="L1170" s="16">
        <f>VLOOKUP(I1170,episodes!$A$1:$D$81,3,FALSE)</f>
        <v>2</v>
      </c>
      <c r="M1170" s="16">
        <f>VLOOKUP(I1170,episodes!$A$1:$D$81,4,FALSE)</f>
        <v>10</v>
      </c>
      <c r="N1170" s="14"/>
      <c r="O1170" s="14">
        <v>0</v>
      </c>
      <c r="P1170" s="24">
        <f>LEN(E1170)+LEN(K1170)</f>
        <v>75</v>
      </c>
      <c r="Q1170" s="24">
        <f>COUNTIFS(B:B,B1169)</f>
        <v>56</v>
      </c>
      <c r="R1170" s="24">
        <f>COUNTIFS(D:D,D1170)</f>
        <v>32</v>
      </c>
    </row>
    <row r="1171" spans="1:18" s="21" customFormat="1" x14ac:dyDescent="0.3">
      <c r="A1171" s="14">
        <v>1590</v>
      </c>
      <c r="B1171" s="21" t="s">
        <v>308</v>
      </c>
      <c r="C1171" s="21" t="s">
        <v>2905</v>
      </c>
      <c r="D1171" s="1" t="s">
        <v>2354</v>
      </c>
      <c r="E1171" s="1" t="s">
        <v>645</v>
      </c>
      <c r="F1171" s="21" t="s">
        <v>8</v>
      </c>
      <c r="G1171" s="14">
        <v>0</v>
      </c>
      <c r="H1171" s="14">
        <v>1</v>
      </c>
      <c r="I1171" s="14">
        <v>122</v>
      </c>
      <c r="J1171" s="23">
        <f>VLOOKUP(I1171,episodes!$A$1:$B$76,2,FALSE)</f>
        <v>23</v>
      </c>
      <c r="K1171" s="16" t="str">
        <f>VLOOKUP(I1171,episodes!$A$1:$E$81,5,FALSE)</f>
        <v>Space Seed</v>
      </c>
      <c r="L1171" s="16">
        <f>VLOOKUP(I1171,episodes!$A$1:$D$81,3,FALSE)</f>
        <v>1</v>
      </c>
      <c r="M1171" s="16">
        <f>VLOOKUP(I1171,episodes!$A$1:$D$81,4,FALSE)</f>
        <v>22</v>
      </c>
      <c r="N1171" s="14"/>
      <c r="O1171" s="14">
        <v>0</v>
      </c>
      <c r="P1171" s="24">
        <f>LEN(E1171)+LEN(K1171)</f>
        <v>84</v>
      </c>
      <c r="Q1171" s="24">
        <f>COUNTIFS(B:B,B1170)</f>
        <v>56</v>
      </c>
      <c r="R1171" s="24">
        <f>COUNTIFS(D:D,D1171)</f>
        <v>40</v>
      </c>
    </row>
    <row r="1172" spans="1:18" s="21" customFormat="1" x14ac:dyDescent="0.3">
      <c r="A1172" s="14">
        <v>1553</v>
      </c>
      <c r="B1172" s="21" t="s">
        <v>308</v>
      </c>
      <c r="C1172" s="21" t="s">
        <v>2905</v>
      </c>
      <c r="D1172" s="1" t="s">
        <v>2354</v>
      </c>
      <c r="E1172" s="1" t="s">
        <v>1825</v>
      </c>
      <c r="F1172" s="21" t="s">
        <v>8</v>
      </c>
      <c r="G1172" s="14">
        <v>0</v>
      </c>
      <c r="H1172" s="14">
        <v>1</v>
      </c>
      <c r="I1172" s="25">
        <v>108</v>
      </c>
      <c r="J1172" s="23">
        <f>VLOOKUP(I1172,episodes!$A$1:$B$76,2,FALSE)</f>
        <v>9</v>
      </c>
      <c r="K1172" s="16" t="str">
        <f>VLOOKUP(I1172,episodes!$A$1:$E$81,5,FALSE)</f>
        <v>Miri</v>
      </c>
      <c r="L1172" s="16">
        <f>VLOOKUP(I1172,episodes!$A$1:$D$81,3,FALSE)</f>
        <v>1</v>
      </c>
      <c r="M1172" s="16">
        <f>VLOOKUP(I1172,episodes!$A$1:$D$81,4,FALSE)</f>
        <v>8</v>
      </c>
      <c r="N1172" s="14"/>
      <c r="O1172" s="14">
        <v>0</v>
      </c>
      <c r="P1172" s="24">
        <f>LEN(E1172)+LEN(K1172)</f>
        <v>224</v>
      </c>
      <c r="Q1172" s="24">
        <f>COUNTIFS(B:B,B1171)</f>
        <v>10</v>
      </c>
      <c r="R1172" s="24">
        <f>COUNTIFS(D:D,D1172)</f>
        <v>40</v>
      </c>
    </row>
    <row r="1173" spans="1:18" s="21" customFormat="1" x14ac:dyDescent="0.3">
      <c r="A1173" s="14">
        <v>1614</v>
      </c>
      <c r="B1173" s="21" t="s">
        <v>308</v>
      </c>
      <c r="C1173" s="21" t="s">
        <v>2905</v>
      </c>
      <c r="D1173" s="1" t="s">
        <v>2354</v>
      </c>
      <c r="E1173" s="1" t="s">
        <v>1361</v>
      </c>
      <c r="F1173" s="21" t="s">
        <v>8</v>
      </c>
      <c r="G1173" s="14">
        <v>0</v>
      </c>
      <c r="H1173" s="14">
        <v>1</v>
      </c>
      <c r="I1173" s="25">
        <v>128</v>
      </c>
      <c r="J1173" s="23">
        <f>VLOOKUP(I1173,episodes!$A$1:$B$76,2,FALSE)</f>
        <v>29</v>
      </c>
      <c r="K1173" s="16" t="str">
        <f>VLOOKUP(I1173,episodes!$A$1:$E$81,5,FALSE)</f>
        <v>The City on the Edge of Forever</v>
      </c>
      <c r="L1173" s="16">
        <f>VLOOKUP(I1173,episodes!$A$1:$D$81,3,FALSE)</f>
        <v>1</v>
      </c>
      <c r="M1173" s="16">
        <f>VLOOKUP(I1173,episodes!$A$1:$D$81,4,FALSE)</f>
        <v>28</v>
      </c>
      <c r="N1173" s="14"/>
      <c r="O1173" s="14">
        <v>0</v>
      </c>
      <c r="P1173" s="24">
        <f>LEN(E1173)+LEN(K1173)</f>
        <v>77</v>
      </c>
      <c r="Q1173" s="24">
        <f>COUNTIFS(B:B,B1172)</f>
        <v>10</v>
      </c>
      <c r="R1173" s="24">
        <f>COUNTIFS(D:D,D1173)</f>
        <v>40</v>
      </c>
    </row>
    <row r="1174" spans="1:18" s="21" customFormat="1" x14ac:dyDescent="0.3">
      <c r="A1174" s="14">
        <v>1481</v>
      </c>
      <c r="B1174" s="21" t="s">
        <v>67</v>
      </c>
      <c r="C1174" s="21" t="s">
        <v>2905</v>
      </c>
      <c r="D1174" s="1" t="s">
        <v>2354</v>
      </c>
      <c r="E1174" s="1" t="s">
        <v>377</v>
      </c>
      <c r="F1174" s="21" t="s">
        <v>8</v>
      </c>
      <c r="G1174" s="14">
        <v>0</v>
      </c>
      <c r="H1174" s="14">
        <v>1</v>
      </c>
      <c r="I1174" s="25">
        <v>120</v>
      </c>
      <c r="J1174" s="23">
        <f>VLOOKUP(I1174,episodes!$A$1:$B$76,2,FALSE)</f>
        <v>21</v>
      </c>
      <c r="K1174" s="16" t="str">
        <f>VLOOKUP(I1174,episodes!$A$1:$E$81,5,FALSE)</f>
        <v>Court Martial</v>
      </c>
      <c r="L1174" s="16">
        <f>VLOOKUP(I1174,episodes!$A$1:$D$81,3,FALSE)</f>
        <v>1</v>
      </c>
      <c r="M1174" s="16">
        <f>VLOOKUP(I1174,episodes!$A$1:$D$81,4,FALSE)</f>
        <v>20</v>
      </c>
      <c r="N1174" s="14"/>
      <c r="O1174" s="14">
        <v>0</v>
      </c>
      <c r="P1174" s="24">
        <f>LEN(E1174)+LEN(K1174)</f>
        <v>31</v>
      </c>
      <c r="Q1174" s="24">
        <f>COUNTIFS(B:B,B1173)</f>
        <v>10</v>
      </c>
      <c r="R1174" s="24">
        <f>COUNTIFS(D:D,D1174)</f>
        <v>40</v>
      </c>
    </row>
    <row r="1175" spans="1:18" s="21" customFormat="1" x14ac:dyDescent="0.3">
      <c r="A1175" s="14">
        <v>1651</v>
      </c>
      <c r="B1175" s="21" t="s">
        <v>308</v>
      </c>
      <c r="C1175" s="21" t="s">
        <v>2905</v>
      </c>
      <c r="D1175" s="1" t="s">
        <v>2354</v>
      </c>
      <c r="E1175" s="1" t="s">
        <v>1416</v>
      </c>
      <c r="F1175" s="21" t="s">
        <v>8</v>
      </c>
      <c r="G1175" s="14">
        <v>0</v>
      </c>
      <c r="H1175" s="14">
        <v>1</v>
      </c>
      <c r="I1175" s="25">
        <v>206</v>
      </c>
      <c r="J1175" s="23">
        <f>VLOOKUP(I1175,episodes!$A$1:$B$81,2,FALSE)</f>
        <v>36</v>
      </c>
      <c r="K1175" s="16" t="str">
        <f>VLOOKUP(I1175,episodes!$A$1:$E$81,5,FALSE)</f>
        <v>The Doomsday Machine</v>
      </c>
      <c r="L1175" s="16">
        <f>VLOOKUP(I1175,episodes!$A$1:$D$81,3,FALSE)</f>
        <v>2</v>
      </c>
      <c r="M1175" s="16">
        <f>VLOOKUP(I1175,episodes!$A$1:$D$81,4,FALSE)</f>
        <v>6</v>
      </c>
      <c r="N1175" s="14"/>
      <c r="O1175" s="14">
        <v>0</v>
      </c>
      <c r="P1175" s="24">
        <f>LEN(E1175)+LEN(K1175)</f>
        <v>101</v>
      </c>
      <c r="Q1175" s="24">
        <f>COUNTIFS(B:B,B1174)</f>
        <v>19</v>
      </c>
      <c r="R1175" s="24">
        <f>COUNTIFS(D:D,D1175)</f>
        <v>40</v>
      </c>
    </row>
    <row r="1176" spans="1:18" s="21" customFormat="1" x14ac:dyDescent="0.3">
      <c r="A1176" s="14">
        <v>1533</v>
      </c>
      <c r="B1176" s="21" t="s">
        <v>308</v>
      </c>
      <c r="C1176" s="21" t="s">
        <v>2905</v>
      </c>
      <c r="D1176" s="1" t="s">
        <v>2354</v>
      </c>
      <c r="E1176" s="1" t="s">
        <v>1497</v>
      </c>
      <c r="F1176" s="21" t="s">
        <v>8</v>
      </c>
      <c r="G1176" s="14">
        <v>0</v>
      </c>
      <c r="H1176" s="14">
        <v>1</v>
      </c>
      <c r="I1176" s="25">
        <v>104</v>
      </c>
      <c r="J1176" s="23">
        <f>VLOOKUP(I1176,episodes!$A$1:$B$76,2,FALSE)</f>
        <v>5</v>
      </c>
      <c r="K1176" s="16" t="str">
        <f>VLOOKUP(I1176,episodes!$A$1:$E$81,5,FALSE)</f>
        <v>The Naked Time</v>
      </c>
      <c r="L1176" s="16">
        <f>VLOOKUP(I1176,episodes!$A$1:$D$81,3,FALSE)</f>
        <v>1</v>
      </c>
      <c r="M1176" s="16">
        <f>VLOOKUP(I1176,episodes!$A$1:$D$81,4,FALSE)</f>
        <v>4</v>
      </c>
      <c r="N1176" s="14"/>
      <c r="O1176" s="14">
        <v>0</v>
      </c>
      <c r="P1176" s="24">
        <f>LEN(E1176)+LEN(K1176)</f>
        <v>97</v>
      </c>
      <c r="Q1176" s="24">
        <f>COUNTIFS(B:B,B1175)</f>
        <v>10</v>
      </c>
      <c r="R1176" s="24">
        <f>COUNTIFS(D:D,D1176)</f>
        <v>40</v>
      </c>
    </row>
    <row r="1177" spans="1:18" s="21" customFormat="1" x14ac:dyDescent="0.3">
      <c r="A1177" s="14">
        <v>1644</v>
      </c>
      <c r="B1177" s="21" t="s">
        <v>308</v>
      </c>
      <c r="C1177" s="21" t="s">
        <v>2905</v>
      </c>
      <c r="D1177" s="1" t="s">
        <v>2354</v>
      </c>
      <c r="E1177" s="1" t="s">
        <v>907</v>
      </c>
      <c r="F1177" s="21" t="s">
        <v>8</v>
      </c>
      <c r="G1177" s="14">
        <v>0</v>
      </c>
      <c r="H1177" s="14">
        <v>1</v>
      </c>
      <c r="I1177" s="25">
        <v>204</v>
      </c>
      <c r="J1177" s="23">
        <f>VLOOKUP(I1177,episodes!$A$1:$B$81,2,FALSE)</f>
        <v>34</v>
      </c>
      <c r="K1177" s="16" t="str">
        <f>VLOOKUP(I1177,episodes!$A$1:$E$81,5,FALSE)</f>
        <v>Mirror, Mirror</v>
      </c>
      <c r="L1177" s="16">
        <f>VLOOKUP(I1177,episodes!$A$1:$D$81,3,FALSE)</f>
        <v>2</v>
      </c>
      <c r="M1177" s="16">
        <f>VLOOKUP(I1177,episodes!$A$1:$D$81,4,FALSE)</f>
        <v>4</v>
      </c>
      <c r="N1177" s="14"/>
      <c r="O1177" s="14">
        <v>0</v>
      </c>
      <c r="P1177" s="24">
        <f>LEN(E1177)+LEN(K1177)</f>
        <v>84</v>
      </c>
      <c r="Q1177" s="24">
        <f>COUNTIFS(B:B,B1176)</f>
        <v>10</v>
      </c>
      <c r="R1177" s="24">
        <f>COUNTIFS(D:D,D1177)</f>
        <v>40</v>
      </c>
    </row>
    <row r="1178" spans="1:18" s="21" customFormat="1" x14ac:dyDescent="0.3">
      <c r="A1178" s="14">
        <v>1640</v>
      </c>
      <c r="B1178" s="21" t="s">
        <v>308</v>
      </c>
      <c r="C1178" s="21" t="s">
        <v>2905</v>
      </c>
      <c r="D1178" s="1" t="s">
        <v>2354</v>
      </c>
      <c r="E1178" s="1" t="s">
        <v>898</v>
      </c>
      <c r="F1178" s="21" t="s">
        <v>8</v>
      </c>
      <c r="G1178" s="14">
        <v>0</v>
      </c>
      <c r="H1178" s="14">
        <v>1</v>
      </c>
      <c r="I1178" s="25">
        <v>203</v>
      </c>
      <c r="J1178" s="23">
        <f>VLOOKUP(I1178,episodes!$A$1:$B$76,2,FALSE)</f>
        <v>33</v>
      </c>
      <c r="K1178" s="16" t="str">
        <f>VLOOKUP(I1178,episodes!$A$1:$E$81,5,FALSE)</f>
        <v>The Changeling</v>
      </c>
      <c r="L1178" s="16">
        <f>VLOOKUP(I1178,episodes!$A$1:$D$81,3,FALSE)</f>
        <v>2</v>
      </c>
      <c r="M1178" s="16">
        <f>VLOOKUP(I1178,episodes!$A$1:$D$81,4,FALSE)</f>
        <v>3</v>
      </c>
      <c r="N1178" s="14"/>
      <c r="O1178" s="14">
        <v>0</v>
      </c>
      <c r="P1178" s="24">
        <f>LEN(E1178)+LEN(K1178)</f>
        <v>102</v>
      </c>
      <c r="Q1178" s="24">
        <f>COUNTIFS(B:B,B1177)</f>
        <v>10</v>
      </c>
      <c r="R1178" s="24">
        <f>COUNTIFS(D:D,D1178)</f>
        <v>40</v>
      </c>
    </row>
    <row r="1179" spans="1:18" s="21" customFormat="1" x14ac:dyDescent="0.3">
      <c r="A1179" s="14">
        <v>1648</v>
      </c>
      <c r="B1179" s="21" t="s">
        <v>308</v>
      </c>
      <c r="C1179" s="21" t="s">
        <v>2905</v>
      </c>
      <c r="D1179" s="1" t="s">
        <v>2354</v>
      </c>
      <c r="E1179" s="1" t="s">
        <v>2160</v>
      </c>
      <c r="F1179" s="21" t="s">
        <v>8</v>
      </c>
      <c r="G1179" s="14">
        <v>0</v>
      </c>
      <c r="H1179" s="14">
        <v>1</v>
      </c>
      <c r="I1179" s="25">
        <v>205</v>
      </c>
      <c r="J1179" s="23">
        <f>VLOOKUP(I1179,episodes!$A$1:$B$81,2,FALSE)</f>
        <v>35</v>
      </c>
      <c r="K1179" s="16" t="str">
        <f>VLOOKUP(I1179,episodes!$A$1:$E$81,5,FALSE)</f>
        <v>The Apple</v>
      </c>
      <c r="L1179" s="16">
        <f>VLOOKUP(I1179,episodes!$A$1:$D$81,3,FALSE)</f>
        <v>2</v>
      </c>
      <c r="M1179" s="16">
        <f>VLOOKUP(I1179,episodes!$A$1:$D$81,4,FALSE)</f>
        <v>5</v>
      </c>
      <c r="N1179" s="14"/>
      <c r="O1179" s="14">
        <v>0</v>
      </c>
      <c r="P1179" s="24">
        <f>LEN(E1179)+LEN(K1179)</f>
        <v>72</v>
      </c>
      <c r="Q1179" s="24">
        <f>COUNTIFS(B:B,B1178)</f>
        <v>10</v>
      </c>
      <c r="R1179" s="24">
        <f>COUNTIFS(D:D,D1179)</f>
        <v>40</v>
      </c>
    </row>
    <row r="1180" spans="1:18" s="21" customFormat="1" x14ac:dyDescent="0.3">
      <c r="A1180" s="14">
        <v>1535</v>
      </c>
      <c r="B1180" s="21" t="s">
        <v>308</v>
      </c>
      <c r="C1180" s="21" t="s">
        <v>2905</v>
      </c>
      <c r="D1180" s="1" t="s">
        <v>2354</v>
      </c>
      <c r="E1180" s="1" t="s">
        <v>1881</v>
      </c>
      <c r="F1180" s="21" t="s">
        <v>8</v>
      </c>
      <c r="G1180" s="14">
        <v>0</v>
      </c>
      <c r="H1180" s="14">
        <v>1</v>
      </c>
      <c r="I1180" s="25">
        <v>104</v>
      </c>
      <c r="J1180" s="23">
        <f>VLOOKUP(I1180,episodes!$A$1:$B$76,2,FALSE)</f>
        <v>5</v>
      </c>
      <c r="K1180" s="16" t="str">
        <f>VLOOKUP(I1180,episodes!$A$1:$E$81,5,FALSE)</f>
        <v>The Naked Time</v>
      </c>
      <c r="L1180" s="16">
        <f>VLOOKUP(I1180,episodes!$A$1:$D$81,3,FALSE)</f>
        <v>1</v>
      </c>
      <c r="M1180" s="16">
        <f>VLOOKUP(I1180,episodes!$A$1:$D$81,4,FALSE)</f>
        <v>4</v>
      </c>
      <c r="N1180" s="14"/>
      <c r="O1180" s="14">
        <v>0</v>
      </c>
      <c r="P1180" s="24">
        <f>LEN(E1180)+LEN(K1180)</f>
        <v>81</v>
      </c>
      <c r="Q1180" s="24">
        <f>COUNTIFS(B:B,B1179)</f>
        <v>10</v>
      </c>
      <c r="R1180" s="24">
        <f>COUNTIFS(D:D,D1180)</f>
        <v>40</v>
      </c>
    </row>
    <row r="1181" spans="1:18" s="21" customFormat="1" x14ac:dyDescent="0.3">
      <c r="A1181" s="14">
        <v>1534</v>
      </c>
      <c r="B1181" s="21" t="s">
        <v>308</v>
      </c>
      <c r="C1181" s="21" t="s">
        <v>2905</v>
      </c>
      <c r="D1181" s="1" t="s">
        <v>2354</v>
      </c>
      <c r="E1181" s="1" t="s">
        <v>1868</v>
      </c>
      <c r="F1181" s="21" t="s">
        <v>8</v>
      </c>
      <c r="G1181" s="14">
        <v>0</v>
      </c>
      <c r="H1181" s="14">
        <v>1</v>
      </c>
      <c r="I1181" s="25">
        <v>104</v>
      </c>
      <c r="J1181" s="23">
        <f>VLOOKUP(I1181,episodes!$A$1:$B$76,2,FALSE)</f>
        <v>5</v>
      </c>
      <c r="K1181" s="16" t="str">
        <f>VLOOKUP(I1181,episodes!$A$1:$E$81,5,FALSE)</f>
        <v>The Naked Time</v>
      </c>
      <c r="L1181" s="16">
        <f>VLOOKUP(I1181,episodes!$A$1:$D$81,3,FALSE)</f>
        <v>1</v>
      </c>
      <c r="M1181" s="16">
        <f>VLOOKUP(I1181,episodes!$A$1:$D$81,4,FALSE)</f>
        <v>4</v>
      </c>
      <c r="N1181" s="14"/>
      <c r="O1181" s="14">
        <v>0</v>
      </c>
      <c r="P1181" s="24">
        <f>LEN(E1181)+LEN(K1181)</f>
        <v>102</v>
      </c>
      <c r="Q1181" s="24">
        <f>COUNTIFS(B:B,B1180)</f>
        <v>10</v>
      </c>
      <c r="R1181" s="24">
        <f>COUNTIFS(D:D,D1181)</f>
        <v>40</v>
      </c>
    </row>
    <row r="1182" spans="1:18" s="21" customFormat="1" x14ac:dyDescent="0.3">
      <c r="A1182" s="14">
        <v>1511</v>
      </c>
      <c r="B1182" s="21" t="s">
        <v>299</v>
      </c>
      <c r="C1182" s="21" t="s">
        <v>2905</v>
      </c>
      <c r="D1182" s="1" t="s">
        <v>2354</v>
      </c>
      <c r="E1182" s="1" t="s">
        <v>428</v>
      </c>
      <c r="F1182" s="21" t="s">
        <v>8</v>
      </c>
      <c r="G1182" s="14">
        <v>0</v>
      </c>
      <c r="H1182" s="14">
        <v>1</v>
      </c>
      <c r="I1182" s="22">
        <v>129</v>
      </c>
      <c r="J1182" s="23">
        <f>VLOOKUP(I1182,episodes!$A$1:$B$76,2,FALSE)</f>
        <v>30</v>
      </c>
      <c r="K1182" s="16" t="str">
        <f>VLOOKUP(I1182,episodes!$A$1:$E$81,5,FALSE)</f>
        <v>Operation: Annihilate!</v>
      </c>
      <c r="L1182" s="16">
        <f>VLOOKUP(I1182,episodes!$A$1:$D$81,3,FALSE)</f>
        <v>1</v>
      </c>
      <c r="M1182" s="16">
        <f>VLOOKUP(I1182,episodes!$A$1:$D$81,4,FALSE)</f>
        <v>29</v>
      </c>
      <c r="N1182" s="14"/>
      <c r="O1182" s="14">
        <v>0</v>
      </c>
      <c r="P1182" s="24">
        <f>LEN(E1182)+LEN(K1182)</f>
        <v>49</v>
      </c>
      <c r="Q1182" s="24">
        <f>COUNTIFS(B:B,B1181)</f>
        <v>10</v>
      </c>
      <c r="R1182" s="24">
        <f>COUNTIFS(D:D,D1182)</f>
        <v>40</v>
      </c>
    </row>
    <row r="1183" spans="1:18" s="21" customFormat="1" x14ac:dyDescent="0.3">
      <c r="A1183" s="14">
        <v>1504</v>
      </c>
      <c r="B1183" s="21" t="s">
        <v>299</v>
      </c>
      <c r="C1183" s="21" t="s">
        <v>2905</v>
      </c>
      <c r="D1183" s="1" t="s">
        <v>2354</v>
      </c>
      <c r="E1183" s="1" t="s">
        <v>2517</v>
      </c>
      <c r="F1183" s="21" t="s">
        <v>8</v>
      </c>
      <c r="G1183" s="14">
        <v>0</v>
      </c>
      <c r="H1183" s="14">
        <v>1</v>
      </c>
      <c r="I1183" s="25">
        <v>109</v>
      </c>
      <c r="J1183" s="23">
        <f>VLOOKUP(I1183,episodes!$A$1:$B$76,2,FALSE)</f>
        <v>10</v>
      </c>
      <c r="K1183" s="16" t="str">
        <f>VLOOKUP(I1183,episodes!$A$1:$E$81,5,FALSE)</f>
        <v>Dagger of the Mind</v>
      </c>
      <c r="L1183" s="16">
        <f>VLOOKUP(I1183,episodes!$A$1:$D$81,3,FALSE)</f>
        <v>1</v>
      </c>
      <c r="M1183" s="16">
        <f>VLOOKUP(I1183,episodes!$A$1:$D$81,4,FALSE)</f>
        <v>9</v>
      </c>
      <c r="N1183" s="14"/>
      <c r="O1183" s="14">
        <v>0</v>
      </c>
      <c r="P1183" s="24">
        <f>LEN(E1183)+LEN(K1183)</f>
        <v>51</v>
      </c>
      <c r="Q1183" s="24">
        <f>COUNTIFS(B:B,B1182)</f>
        <v>11</v>
      </c>
      <c r="R1183" s="24">
        <f>COUNTIFS(D:D,D1183)</f>
        <v>40</v>
      </c>
    </row>
    <row r="1184" spans="1:18" s="21" customFormat="1" x14ac:dyDescent="0.3">
      <c r="A1184" s="14">
        <v>1505</v>
      </c>
      <c r="B1184" s="21" t="s">
        <v>299</v>
      </c>
      <c r="C1184" s="21" t="s">
        <v>2905</v>
      </c>
      <c r="D1184" s="1" t="s">
        <v>2354</v>
      </c>
      <c r="E1184" s="1" t="s">
        <v>2518</v>
      </c>
      <c r="F1184" s="21" t="s">
        <v>8</v>
      </c>
      <c r="G1184" s="14">
        <v>0</v>
      </c>
      <c r="H1184" s="14">
        <v>1</v>
      </c>
      <c r="I1184" s="25">
        <v>109</v>
      </c>
      <c r="J1184" s="23">
        <f>VLOOKUP(I1184,episodes!$A$1:$B$76,2,FALSE)</f>
        <v>10</v>
      </c>
      <c r="K1184" s="16" t="str">
        <f>VLOOKUP(I1184,episodes!$A$1:$E$81,5,FALSE)</f>
        <v>Dagger of the Mind</v>
      </c>
      <c r="L1184" s="16">
        <f>VLOOKUP(I1184,episodes!$A$1:$D$81,3,FALSE)</f>
        <v>1</v>
      </c>
      <c r="M1184" s="16">
        <f>VLOOKUP(I1184,episodes!$A$1:$D$81,4,FALSE)</f>
        <v>9</v>
      </c>
      <c r="N1184" s="14"/>
      <c r="O1184" s="14">
        <v>0</v>
      </c>
      <c r="P1184" s="24">
        <f>LEN(E1184)+LEN(K1184)</f>
        <v>51</v>
      </c>
      <c r="Q1184" s="24">
        <f>COUNTIFS(B:B,B1183)</f>
        <v>11</v>
      </c>
      <c r="R1184" s="24">
        <f>COUNTIFS(D:D,D1184)</f>
        <v>40</v>
      </c>
    </row>
    <row r="1185" spans="1:19" s="21" customFormat="1" x14ac:dyDescent="0.3">
      <c r="A1185" s="14">
        <v>1518</v>
      </c>
      <c r="B1185" s="21" t="s">
        <v>299</v>
      </c>
      <c r="C1185" s="21" t="s">
        <v>2905</v>
      </c>
      <c r="D1185" s="1" t="s">
        <v>2354</v>
      </c>
      <c r="E1185" s="1" t="s">
        <v>516</v>
      </c>
      <c r="F1185" s="21" t="s">
        <v>8</v>
      </c>
      <c r="G1185" s="14">
        <v>0</v>
      </c>
      <c r="H1185" s="14">
        <v>1</v>
      </c>
      <c r="I1185" s="25">
        <v>204</v>
      </c>
      <c r="J1185" s="23">
        <f>VLOOKUP(I1185,episodes!$A$1:$B$81,2,FALSE)</f>
        <v>34</v>
      </c>
      <c r="K1185" s="16" t="str">
        <f>VLOOKUP(I1185,episodes!$A$1:$E$81,5,FALSE)</f>
        <v>Mirror, Mirror</v>
      </c>
      <c r="L1185" s="16">
        <f>VLOOKUP(I1185,episodes!$A$1:$D$81,3,FALSE)</f>
        <v>2</v>
      </c>
      <c r="M1185" s="16">
        <f>VLOOKUP(I1185,episodes!$A$1:$D$81,4,FALSE)</f>
        <v>4</v>
      </c>
      <c r="N1185" s="14"/>
      <c r="O1185" s="14">
        <v>0</v>
      </c>
      <c r="P1185" s="24">
        <f>LEN(E1185)+LEN(K1185)</f>
        <v>58</v>
      </c>
      <c r="Q1185" s="24">
        <f>COUNTIFS(B:B,B1184)</f>
        <v>11</v>
      </c>
      <c r="R1185" s="24">
        <f>COUNTIFS(D:D,D1185)</f>
        <v>40</v>
      </c>
      <c r="S1185" s="1"/>
    </row>
    <row r="1186" spans="1:19" s="21" customFormat="1" x14ac:dyDescent="0.3">
      <c r="A1186" s="14">
        <v>1521</v>
      </c>
      <c r="B1186" s="21" t="s">
        <v>299</v>
      </c>
      <c r="C1186" s="21" t="s">
        <v>2905</v>
      </c>
      <c r="D1186" s="1" t="s">
        <v>2354</v>
      </c>
      <c r="E1186" s="1" t="s">
        <v>1030</v>
      </c>
      <c r="F1186" s="21" t="s">
        <v>8</v>
      </c>
      <c r="G1186" s="14">
        <v>0</v>
      </c>
      <c r="H1186" s="14">
        <v>1</v>
      </c>
      <c r="I1186" s="25">
        <v>208</v>
      </c>
      <c r="J1186" s="23">
        <f>VLOOKUP(I1186,episodes!$A$1:$B$81,2,FALSE)</f>
        <v>38</v>
      </c>
      <c r="K1186" s="16" t="str">
        <f>VLOOKUP(I1186,episodes!$A$1:$E$81,5,FALSE)</f>
        <v>I, Mudd</v>
      </c>
      <c r="L1186" s="16">
        <f>VLOOKUP(I1186,episodes!$A$1:$D$81,3,FALSE)</f>
        <v>2</v>
      </c>
      <c r="M1186" s="16">
        <f>VLOOKUP(I1186,episodes!$A$1:$D$81,4,FALSE)</f>
        <v>8</v>
      </c>
      <c r="N1186" s="14"/>
      <c r="O1186" s="14">
        <v>0</v>
      </c>
      <c r="P1186" s="24">
        <f>LEN(E1186)+LEN(K1186)</f>
        <v>91</v>
      </c>
      <c r="Q1186" s="24">
        <f>COUNTIFS(B:B,B1185)</f>
        <v>11</v>
      </c>
      <c r="R1186" s="24">
        <f>COUNTIFS(D:D,D1186)</f>
        <v>40</v>
      </c>
      <c r="S1186" s="1"/>
    </row>
    <row r="1187" spans="1:19" s="21" customFormat="1" x14ac:dyDescent="0.3">
      <c r="A1187" s="14">
        <v>1509</v>
      </c>
      <c r="B1187" s="21" t="s">
        <v>299</v>
      </c>
      <c r="C1187" s="21" t="s">
        <v>2905</v>
      </c>
      <c r="D1187" s="1" t="s">
        <v>2354</v>
      </c>
      <c r="E1187" s="1" t="s">
        <v>2297</v>
      </c>
      <c r="F1187" s="21" t="s">
        <v>8</v>
      </c>
      <c r="G1187" s="14">
        <v>0</v>
      </c>
      <c r="H1187" s="14">
        <v>1</v>
      </c>
      <c r="I1187" s="14">
        <v>127</v>
      </c>
      <c r="J1187" s="23">
        <f>VLOOKUP(I1187,episodes!$A$1:$B$76,2,FALSE)</f>
        <v>28</v>
      </c>
      <c r="K1187" s="16" t="str">
        <f>VLOOKUP(I1187,episodes!$A$1:$E$81,5,FALSE)</f>
        <v>The Alternative Factor</v>
      </c>
      <c r="L1187" s="16">
        <f>VLOOKUP(I1187,episodes!$A$1:$D$81,3,FALSE)</f>
        <v>1</v>
      </c>
      <c r="M1187" s="16">
        <f>VLOOKUP(I1187,episodes!$A$1:$D$81,4,FALSE)</f>
        <v>27</v>
      </c>
      <c r="N1187" s="14"/>
      <c r="O1187" s="14">
        <v>0</v>
      </c>
      <c r="P1187" s="24">
        <f>LEN(E1187)+LEN(K1187)</f>
        <v>44</v>
      </c>
      <c r="Q1187" s="24">
        <f>COUNTIFS(B:B,B1186)</f>
        <v>11</v>
      </c>
      <c r="R1187" s="24">
        <f>COUNTIFS(D:D,D1187)</f>
        <v>40</v>
      </c>
      <c r="S1187" s="1"/>
    </row>
    <row r="1188" spans="1:19" s="21" customFormat="1" x14ac:dyDescent="0.3">
      <c r="A1188" s="14">
        <v>1522</v>
      </c>
      <c r="B1188" s="21" t="s">
        <v>299</v>
      </c>
      <c r="C1188" s="21" t="s">
        <v>2905</v>
      </c>
      <c r="D1188" s="1" t="s">
        <v>2354</v>
      </c>
      <c r="E1188" s="1" t="s">
        <v>1041</v>
      </c>
      <c r="F1188" s="21" t="s">
        <v>8</v>
      </c>
      <c r="G1188" s="14">
        <v>0</v>
      </c>
      <c r="H1188" s="14">
        <v>1</v>
      </c>
      <c r="I1188" s="14">
        <v>209</v>
      </c>
      <c r="J1188" s="23">
        <f>VLOOKUP(I1188,episodes!$A$1:$B$81,2,FALSE)</f>
        <v>39</v>
      </c>
      <c r="K1188" s="16" t="str">
        <f>VLOOKUP(I1188,episodes!$A$1:$E$81,5,FALSE)</f>
        <v>Metamorphosis</v>
      </c>
      <c r="L1188" s="16">
        <f>VLOOKUP(I1188,episodes!$A$1:$D$81,3,FALSE)</f>
        <v>2</v>
      </c>
      <c r="M1188" s="16">
        <f>VLOOKUP(I1188,episodes!$A$1:$D$81,4,FALSE)</f>
        <v>9</v>
      </c>
      <c r="N1188" s="14"/>
      <c r="O1188" s="14">
        <v>0</v>
      </c>
      <c r="P1188" s="24">
        <f>LEN(E1188)+LEN(K1188)</f>
        <v>62</v>
      </c>
      <c r="Q1188" s="24">
        <f>COUNTIFS(B:B,B1187)</f>
        <v>11</v>
      </c>
      <c r="R1188" s="24">
        <f>COUNTIFS(D:D,D1188)</f>
        <v>40</v>
      </c>
      <c r="S1188" s="1"/>
    </row>
    <row r="1189" spans="1:19" s="21" customFormat="1" x14ac:dyDescent="0.3">
      <c r="A1189" s="14">
        <v>1512</v>
      </c>
      <c r="B1189" s="21" t="s">
        <v>299</v>
      </c>
      <c r="C1189" s="21" t="s">
        <v>2905</v>
      </c>
      <c r="D1189" s="1" t="s">
        <v>2354</v>
      </c>
      <c r="E1189" s="1" t="s">
        <v>2519</v>
      </c>
      <c r="F1189" s="21" t="s">
        <v>8</v>
      </c>
      <c r="G1189" s="14">
        <v>0</v>
      </c>
      <c r="H1189" s="14">
        <v>1</v>
      </c>
      <c r="I1189" s="22">
        <v>129</v>
      </c>
      <c r="J1189" s="23">
        <f>VLOOKUP(I1189,episodes!$A$1:$B$76,2,FALSE)</f>
        <v>30</v>
      </c>
      <c r="K1189" s="16" t="str">
        <f>VLOOKUP(I1189,episodes!$A$1:$E$81,5,FALSE)</f>
        <v>Operation: Annihilate!</v>
      </c>
      <c r="L1189" s="16">
        <f>VLOOKUP(I1189,episodes!$A$1:$D$81,3,FALSE)</f>
        <v>1</v>
      </c>
      <c r="M1189" s="16">
        <f>VLOOKUP(I1189,episodes!$A$1:$D$81,4,FALSE)</f>
        <v>29</v>
      </c>
      <c r="N1189" s="14"/>
      <c r="O1189" s="14">
        <v>0</v>
      </c>
      <c r="P1189" s="24">
        <f>LEN(E1189)+LEN(K1189)</f>
        <v>46</v>
      </c>
      <c r="Q1189" s="24">
        <f>COUNTIFS(B:B,B1188)</f>
        <v>11</v>
      </c>
      <c r="R1189" s="24">
        <f>COUNTIFS(D:D,D1189)</f>
        <v>40</v>
      </c>
      <c r="S1189" s="1"/>
    </row>
    <row r="1190" spans="1:19" s="21" customFormat="1" x14ac:dyDescent="0.3">
      <c r="A1190" s="14">
        <v>1513</v>
      </c>
      <c r="B1190" s="21" t="s">
        <v>299</v>
      </c>
      <c r="C1190" s="21" t="s">
        <v>2905</v>
      </c>
      <c r="D1190" s="1" t="s">
        <v>2354</v>
      </c>
      <c r="E1190" s="1" t="s">
        <v>2520</v>
      </c>
      <c r="F1190" s="21" t="s">
        <v>8</v>
      </c>
      <c r="G1190" s="14">
        <v>0</v>
      </c>
      <c r="H1190" s="14">
        <v>1</v>
      </c>
      <c r="I1190" s="22">
        <v>129</v>
      </c>
      <c r="J1190" s="23">
        <f>VLOOKUP(I1190,episodes!$A$1:$B$76,2,FALSE)</f>
        <v>30</v>
      </c>
      <c r="K1190" s="16" t="str">
        <f>VLOOKUP(I1190,episodes!$A$1:$E$81,5,FALSE)</f>
        <v>Operation: Annihilate!</v>
      </c>
      <c r="L1190" s="16">
        <f>VLOOKUP(I1190,episodes!$A$1:$D$81,3,FALSE)</f>
        <v>1</v>
      </c>
      <c r="M1190" s="16">
        <f>VLOOKUP(I1190,episodes!$A$1:$D$81,4,FALSE)</f>
        <v>29</v>
      </c>
      <c r="N1190" s="14"/>
      <c r="O1190" s="14">
        <v>0</v>
      </c>
      <c r="P1190" s="24">
        <f>LEN(E1190)+LEN(K1190)</f>
        <v>46</v>
      </c>
      <c r="Q1190" s="24">
        <f>COUNTIFS(B:B,B1189)</f>
        <v>11</v>
      </c>
      <c r="R1190" s="24">
        <f>COUNTIFS(D:D,D1190)</f>
        <v>40</v>
      </c>
      <c r="S1190" s="1"/>
    </row>
    <row r="1191" spans="1:19" s="21" customFormat="1" x14ac:dyDescent="0.3">
      <c r="A1191" s="14">
        <v>1514</v>
      </c>
      <c r="B1191" s="21" t="s">
        <v>299</v>
      </c>
      <c r="C1191" s="21" t="s">
        <v>2905</v>
      </c>
      <c r="D1191" s="1" t="s">
        <v>2354</v>
      </c>
      <c r="E1191" s="1" t="s">
        <v>2100</v>
      </c>
      <c r="F1191" s="21" t="s">
        <v>8</v>
      </c>
      <c r="G1191" s="14">
        <v>0</v>
      </c>
      <c r="H1191" s="14">
        <v>1</v>
      </c>
      <c r="I1191" s="25">
        <v>129</v>
      </c>
      <c r="J1191" s="23">
        <f>VLOOKUP(I1191,episodes!$A$1:$B$76,2,FALSE)</f>
        <v>30</v>
      </c>
      <c r="K1191" s="16" t="str">
        <f>VLOOKUP(I1191,episodes!$A$1:$E$81,5,FALSE)</f>
        <v>Operation: Annihilate!</v>
      </c>
      <c r="L1191" s="16">
        <f>VLOOKUP(I1191,episodes!$A$1:$D$81,3,FALSE)</f>
        <v>1</v>
      </c>
      <c r="M1191" s="16">
        <f>VLOOKUP(I1191,episodes!$A$1:$D$81,4,FALSE)</f>
        <v>29</v>
      </c>
      <c r="N1191" s="14"/>
      <c r="O1191" s="14">
        <v>0</v>
      </c>
      <c r="P1191" s="24">
        <f>LEN(E1191)+LEN(K1191)</f>
        <v>45</v>
      </c>
      <c r="Q1191" s="24">
        <f>COUNTIFS(B:B,B1190)</f>
        <v>11</v>
      </c>
      <c r="R1191" s="24">
        <f>COUNTIFS(D:D,D1191)</f>
        <v>40</v>
      </c>
      <c r="S1191" s="1"/>
    </row>
    <row r="1192" spans="1:19" s="21" customFormat="1" x14ac:dyDescent="0.3">
      <c r="A1192" s="14">
        <v>126</v>
      </c>
      <c r="B1192" s="21" t="s">
        <v>1914</v>
      </c>
      <c r="C1192" s="21" t="s">
        <v>2905</v>
      </c>
      <c r="D1192" s="1" t="s">
        <v>2354</v>
      </c>
      <c r="E1192" s="1" t="s">
        <v>1915</v>
      </c>
      <c r="F1192" s="21" t="s">
        <v>2258</v>
      </c>
      <c r="G1192" s="14">
        <v>0</v>
      </c>
      <c r="H1192" s="14">
        <v>2</v>
      </c>
      <c r="I1192" s="22">
        <v>210</v>
      </c>
      <c r="J1192" s="23">
        <f>VLOOKUP(I1192,episodes!$A$1:$B$81,2,FALSE)</f>
        <v>40</v>
      </c>
      <c r="K1192" s="16" t="str">
        <f>VLOOKUP(I1192,episodes!$A$1:$E$81,5,FALSE)</f>
        <v>Journey to Babel</v>
      </c>
      <c r="L1192" s="16">
        <f>VLOOKUP(I1192,episodes!$A$1:$D$81,3,FALSE)</f>
        <v>2</v>
      </c>
      <c r="M1192" s="16">
        <f>VLOOKUP(I1192,episodes!$A$1:$D$81,4,FALSE)</f>
        <v>10</v>
      </c>
      <c r="N1192" s="14"/>
      <c r="O1192" s="14">
        <v>0</v>
      </c>
      <c r="P1192" s="24">
        <f>LEN(E1192)+LEN(K1192)</f>
        <v>85</v>
      </c>
      <c r="Q1192" s="24">
        <f>COUNTIFS(B:B,B1191)</f>
        <v>11</v>
      </c>
      <c r="R1192" s="24">
        <f>COUNTIFS(D:D,D1192)</f>
        <v>40</v>
      </c>
      <c r="S1192" s="1"/>
    </row>
    <row r="1193" spans="1:19" s="21" customFormat="1" x14ac:dyDescent="0.3">
      <c r="A1193" s="14">
        <v>1483</v>
      </c>
      <c r="B1193" s="21" t="s">
        <v>67</v>
      </c>
      <c r="C1193" s="21" t="s">
        <v>2905</v>
      </c>
      <c r="D1193" s="1" t="s">
        <v>2354</v>
      </c>
      <c r="E1193" s="1"/>
      <c r="F1193" s="21" t="s">
        <v>8</v>
      </c>
      <c r="G1193" s="14">
        <v>0</v>
      </c>
      <c r="H1193" s="14">
        <v>1</v>
      </c>
      <c r="I1193" s="25">
        <v>214</v>
      </c>
      <c r="J1193" s="23">
        <f>VLOOKUP(I1193,episodes!$A$1:$B$81,2,FALSE)</f>
        <v>44</v>
      </c>
      <c r="K1193" s="16" t="str">
        <f>VLOOKUP(I1193,episodes!$A$1:$E$81,5,FALSE)</f>
        <v>Wolf in the Fold</v>
      </c>
      <c r="L1193" s="16">
        <f>VLOOKUP(I1193,episodes!$A$1:$D$81,3,FALSE)</f>
        <v>2</v>
      </c>
      <c r="M1193" s="16">
        <f>VLOOKUP(I1193,episodes!$A$1:$D$81,4,FALSE)</f>
        <v>14</v>
      </c>
      <c r="N1193" s="14"/>
      <c r="O1193" s="14">
        <v>0</v>
      </c>
      <c r="P1193" s="24">
        <f>LEN(E1193)+LEN(K1193)</f>
        <v>16</v>
      </c>
      <c r="Q1193" s="24">
        <f>COUNTIFS(B:B,B1195)</f>
        <v>19</v>
      </c>
      <c r="R1193" s="24">
        <f>COUNTIFS(D:D,D1196)</f>
        <v>40</v>
      </c>
    </row>
    <row r="1194" spans="1:19" s="21" customFormat="1" x14ac:dyDescent="0.3">
      <c r="A1194" s="14">
        <v>1484</v>
      </c>
      <c r="B1194" s="21" t="s">
        <v>67</v>
      </c>
      <c r="C1194" s="21" t="s">
        <v>2905</v>
      </c>
      <c r="D1194" s="1" t="s">
        <v>2354</v>
      </c>
      <c r="E1194" s="1"/>
      <c r="F1194" s="21" t="s">
        <v>8</v>
      </c>
      <c r="G1194" s="14">
        <v>0</v>
      </c>
      <c r="H1194" s="14">
        <v>1</v>
      </c>
      <c r="I1194" s="14">
        <v>218</v>
      </c>
      <c r="J1194" s="23">
        <f>VLOOKUP(I1194,episodes!$A$1:$B$81,2,FALSE)</f>
        <v>48</v>
      </c>
      <c r="K1194" s="16" t="str">
        <f>VLOOKUP(I1194,episodes!$A$1:$E$81,5,FALSE)</f>
        <v>The Immunity Syndrome</v>
      </c>
      <c r="L1194" s="16">
        <f>VLOOKUP(I1194,episodes!$A$1:$D$81,3,FALSE)</f>
        <v>2</v>
      </c>
      <c r="M1194" s="16">
        <f>VLOOKUP(I1194,episodes!$A$1:$D$81,4,FALSE)</f>
        <v>18</v>
      </c>
      <c r="N1194" s="14"/>
      <c r="O1194" s="14">
        <v>0</v>
      </c>
      <c r="P1194" s="24">
        <f>LEN(E1194)+LEN(K1194)</f>
        <v>21</v>
      </c>
      <c r="Q1194" s="24">
        <f>COUNTIFS(B:B,B1196)</f>
        <v>19</v>
      </c>
      <c r="R1194" s="24">
        <f>COUNTIFS(D:D,D1197)</f>
        <v>40</v>
      </c>
    </row>
    <row r="1195" spans="1:19" x14ac:dyDescent="0.3">
      <c r="A1195" s="14">
        <v>1485</v>
      </c>
      <c r="B1195" s="21" t="s">
        <v>67</v>
      </c>
      <c r="C1195" s="21" t="s">
        <v>2905</v>
      </c>
      <c r="D1195" s="1" t="s">
        <v>2354</v>
      </c>
      <c r="F1195" s="21" t="s">
        <v>8</v>
      </c>
      <c r="G1195" s="14">
        <v>0</v>
      </c>
      <c r="H1195" s="14">
        <v>1</v>
      </c>
      <c r="I1195" s="14">
        <v>219</v>
      </c>
      <c r="J1195" s="23">
        <f>VLOOKUP(I1195,episodes!$A$1:$B$81,2,FALSE)</f>
        <v>49</v>
      </c>
      <c r="K1195" s="16" t="str">
        <f>VLOOKUP(I1195,episodes!$A$1:$E$81,5,FALSE)</f>
        <v>A Private Little War</v>
      </c>
      <c r="L1195" s="16">
        <f>VLOOKUP(I1195,episodes!$A$1:$D$81,3,FALSE)</f>
        <v>2</v>
      </c>
      <c r="M1195" s="16">
        <f>VLOOKUP(I1195,episodes!$A$1:$D$81,4,FALSE)</f>
        <v>19</v>
      </c>
      <c r="O1195" s="14">
        <v>0</v>
      </c>
      <c r="P1195" s="24">
        <f>LEN(E1195)+LEN(K1195)</f>
        <v>20</v>
      </c>
      <c r="Q1195" s="24">
        <f>COUNTIFS(B:B,B1197)</f>
        <v>19</v>
      </c>
      <c r="R1195" s="24">
        <f>COUNTIFS(D:D,D1198)</f>
        <v>40</v>
      </c>
    </row>
    <row r="1196" spans="1:19" x14ac:dyDescent="0.3">
      <c r="A1196" s="14">
        <v>1486</v>
      </c>
      <c r="B1196" s="21" t="s">
        <v>67</v>
      </c>
      <c r="C1196" s="21" t="s">
        <v>2905</v>
      </c>
      <c r="D1196" s="1" t="s">
        <v>2354</v>
      </c>
      <c r="F1196" s="21" t="s">
        <v>8</v>
      </c>
      <c r="G1196" s="14">
        <v>0</v>
      </c>
      <c r="H1196" s="14">
        <v>1</v>
      </c>
      <c r="I1196" s="25">
        <v>220</v>
      </c>
      <c r="J1196" s="23">
        <f>VLOOKUP(I1196,episodes!$A$1:$B$81,2,FALSE)</f>
        <v>50</v>
      </c>
      <c r="K1196" s="16" t="str">
        <f>VLOOKUP(I1196,episodes!$A$1:$E$81,5,FALSE)</f>
        <v>Return to Tomorrow</v>
      </c>
      <c r="L1196" s="16">
        <f>VLOOKUP(I1196,episodes!$A$1:$D$81,3,FALSE)</f>
        <v>2</v>
      </c>
      <c r="M1196" s="16">
        <f>VLOOKUP(I1196,episodes!$A$1:$D$81,4,FALSE)</f>
        <v>20</v>
      </c>
      <c r="O1196" s="14">
        <v>0</v>
      </c>
      <c r="P1196" s="24">
        <f>LEN(E1196)+LEN(K1196)</f>
        <v>18</v>
      </c>
      <c r="Q1196" s="24">
        <f>COUNTIFS(B:B,B1198)</f>
        <v>19</v>
      </c>
      <c r="R1196" s="24">
        <f>COUNTIFS(D:D,D1199)</f>
        <v>40</v>
      </c>
    </row>
    <row r="1197" spans="1:19" x14ac:dyDescent="0.3">
      <c r="A1197" s="14">
        <v>1487</v>
      </c>
      <c r="B1197" s="21" t="s">
        <v>67</v>
      </c>
      <c r="C1197" s="21" t="s">
        <v>2905</v>
      </c>
      <c r="D1197" s="1" t="s">
        <v>2354</v>
      </c>
      <c r="F1197" s="21" t="s">
        <v>8</v>
      </c>
      <c r="G1197" s="14">
        <v>0</v>
      </c>
      <c r="H1197" s="14">
        <v>1</v>
      </c>
      <c r="I1197" s="14">
        <v>220</v>
      </c>
      <c r="J1197" s="23">
        <f>VLOOKUP(I1197,episodes!$A$1:$B$81,2,FALSE)</f>
        <v>50</v>
      </c>
      <c r="K1197" s="16" t="str">
        <f>VLOOKUP(I1197,episodes!$A$1:$E$81,5,FALSE)</f>
        <v>Return to Tomorrow</v>
      </c>
      <c r="L1197" s="16">
        <f>VLOOKUP(I1197,episodes!$A$1:$D$81,3,FALSE)</f>
        <v>2</v>
      </c>
      <c r="M1197" s="16">
        <f>VLOOKUP(I1197,episodes!$A$1:$D$81,4,FALSE)</f>
        <v>20</v>
      </c>
      <c r="O1197" s="14">
        <v>0</v>
      </c>
      <c r="P1197" s="24">
        <f>LEN(E1197)+LEN(K1197)</f>
        <v>18</v>
      </c>
      <c r="Q1197" s="24">
        <f>COUNTIFS(B:B,B1199)</f>
        <v>19</v>
      </c>
      <c r="R1197" s="24">
        <f>COUNTIFS(D:D,D1200)</f>
        <v>40</v>
      </c>
    </row>
    <row r="1198" spans="1:19" x14ac:dyDescent="0.3">
      <c r="A1198" s="14">
        <v>1488</v>
      </c>
      <c r="B1198" s="21" t="s">
        <v>67</v>
      </c>
      <c r="C1198" s="21" t="s">
        <v>2905</v>
      </c>
      <c r="D1198" s="1" t="s">
        <v>2354</v>
      </c>
      <c r="F1198" s="21" t="s">
        <v>8</v>
      </c>
      <c r="G1198" s="14">
        <v>0</v>
      </c>
      <c r="H1198" s="14">
        <v>1</v>
      </c>
      <c r="I1198" s="14">
        <v>221</v>
      </c>
      <c r="J1198" s="23">
        <f>VLOOKUP(I1198,episodes!$A$1:$B$81,2,FALSE)</f>
        <v>51</v>
      </c>
      <c r="K1198" s="16" t="str">
        <f>VLOOKUP(I1198,episodes!$A$1:$E$81,5,FALSE)</f>
        <v>Patterns of Force</v>
      </c>
      <c r="L1198" s="16">
        <f>VLOOKUP(I1198,episodes!$A$1:$D$81,3,FALSE)</f>
        <v>2</v>
      </c>
      <c r="M1198" s="16">
        <f>VLOOKUP(I1198,episodes!$A$1:$D$81,4,FALSE)</f>
        <v>21</v>
      </c>
      <c r="O1198" s="14">
        <v>0</v>
      </c>
      <c r="P1198" s="24">
        <f>LEN(E1198)+LEN(K1198)</f>
        <v>17</v>
      </c>
      <c r="Q1198" s="24">
        <f>COUNTIFS(B:B,B1199)</f>
        <v>19</v>
      </c>
      <c r="R1198" s="24">
        <f>COUNTIFS(D:D,D1201)</f>
        <v>40</v>
      </c>
    </row>
    <row r="1199" spans="1:19" x14ac:dyDescent="0.3">
      <c r="A1199" s="14">
        <v>1489</v>
      </c>
      <c r="B1199" s="21" t="s">
        <v>67</v>
      </c>
      <c r="C1199" s="21" t="s">
        <v>2905</v>
      </c>
      <c r="D1199" s="1" t="s">
        <v>2354</v>
      </c>
      <c r="F1199" s="21" t="s">
        <v>8</v>
      </c>
      <c r="G1199" s="14">
        <v>0</v>
      </c>
      <c r="H1199" s="14">
        <v>1</v>
      </c>
      <c r="I1199" s="25">
        <v>222</v>
      </c>
      <c r="J1199" s="23">
        <f>VLOOKUP(I1199,episodes!$A$1:$B$81,2,FALSE)</f>
        <v>52</v>
      </c>
      <c r="K1199" s="16" t="str">
        <f>VLOOKUP(I1199,episodes!$A$1:$E$81,5,FALSE)</f>
        <v>By Any Other Name</v>
      </c>
      <c r="L1199" s="16">
        <f>VLOOKUP(I1199,episodes!$A$1:$D$81,3,FALSE)</f>
        <v>2</v>
      </c>
      <c r="M1199" s="16">
        <f>VLOOKUP(I1199,episodes!$A$1:$D$81,4,FALSE)</f>
        <v>22</v>
      </c>
      <c r="O1199" s="14">
        <v>0</v>
      </c>
      <c r="P1199" s="24">
        <f>LEN(E1199)+LEN(K1199)</f>
        <v>17</v>
      </c>
      <c r="Q1199" s="24">
        <f>COUNTIFS(B:B,B1201)</f>
        <v>19</v>
      </c>
      <c r="R1199" s="24">
        <f>COUNTIFS(D:D,D1202)</f>
        <v>40</v>
      </c>
    </row>
    <row r="1200" spans="1:19" x14ac:dyDescent="0.3">
      <c r="A1200" s="14">
        <v>1490</v>
      </c>
      <c r="B1200" s="21" t="s">
        <v>67</v>
      </c>
      <c r="C1200" s="21" t="s">
        <v>2905</v>
      </c>
      <c r="D1200" s="1" t="s">
        <v>2354</v>
      </c>
      <c r="F1200" s="21" t="s">
        <v>8</v>
      </c>
      <c r="G1200" s="14">
        <v>0</v>
      </c>
      <c r="H1200" s="14">
        <v>1</v>
      </c>
      <c r="I1200" s="14">
        <v>222</v>
      </c>
      <c r="J1200" s="23">
        <f>VLOOKUP(I1200,episodes!$A$1:$B$81,2,FALSE)</f>
        <v>52</v>
      </c>
      <c r="K1200" s="16" t="str">
        <f>VLOOKUP(I1200,episodes!$A$1:$E$81,5,FALSE)</f>
        <v>By Any Other Name</v>
      </c>
      <c r="L1200" s="16">
        <f>VLOOKUP(I1200,episodes!$A$1:$D$81,3,FALSE)</f>
        <v>2</v>
      </c>
      <c r="M1200" s="16">
        <f>VLOOKUP(I1200,episodes!$A$1:$D$81,4,FALSE)</f>
        <v>22</v>
      </c>
      <c r="O1200" s="14">
        <v>0</v>
      </c>
      <c r="P1200" s="24">
        <f>LEN(E1200)+LEN(K1200)</f>
        <v>17</v>
      </c>
      <c r="Q1200" s="24">
        <f>COUNTIFS(B:B,B1202)</f>
        <v>19</v>
      </c>
      <c r="R1200" s="24">
        <f>COUNTIFS(D:D,D1203)</f>
        <v>40</v>
      </c>
    </row>
    <row r="1201" spans="1:18" x14ac:dyDescent="0.3">
      <c r="A1201" s="14">
        <v>1491</v>
      </c>
      <c r="B1201" s="21" t="s">
        <v>67</v>
      </c>
      <c r="C1201" s="21" t="s">
        <v>2905</v>
      </c>
      <c r="D1201" s="1" t="s">
        <v>2354</v>
      </c>
      <c r="F1201" s="21" t="s">
        <v>8</v>
      </c>
      <c r="G1201" s="14">
        <v>0</v>
      </c>
      <c r="H1201" s="14">
        <v>1</v>
      </c>
      <c r="I1201" s="14">
        <v>303</v>
      </c>
      <c r="J1201" s="23">
        <f>VLOOKUP(I1201,episodes!$A$1:$B$81,2,FALSE)</f>
        <v>59</v>
      </c>
      <c r="K1201" s="16" t="str">
        <f>VLOOKUP(I1201,episodes!$A$1:$E$81,5,FALSE)</f>
        <v>The Paradise Syndrome</v>
      </c>
      <c r="L1201" s="16">
        <f>VLOOKUP(I1201,episodes!$A$1:$D$81,3,FALSE)</f>
        <v>3</v>
      </c>
      <c r="M1201" s="16">
        <f>VLOOKUP(I1201,episodes!$A$1:$D$81,4,FALSE)</f>
        <v>3</v>
      </c>
      <c r="O1201" s="14">
        <v>0</v>
      </c>
      <c r="P1201" s="24">
        <f>LEN(E1201)+LEN(K1201)</f>
        <v>21</v>
      </c>
      <c r="Q1201" s="24">
        <f>COUNTIFS(B:B,B1203)</f>
        <v>19</v>
      </c>
      <c r="R1201" s="24">
        <f>COUNTIFS(D:D,D1204)</f>
        <v>40</v>
      </c>
    </row>
    <row r="1202" spans="1:18" x14ac:dyDescent="0.3">
      <c r="A1202" s="14">
        <v>1492</v>
      </c>
      <c r="B1202" s="21" t="s">
        <v>67</v>
      </c>
      <c r="C1202" s="21" t="s">
        <v>2905</v>
      </c>
      <c r="D1202" s="1" t="s">
        <v>2354</v>
      </c>
      <c r="F1202" s="21" t="s">
        <v>8</v>
      </c>
      <c r="G1202" s="14">
        <v>0</v>
      </c>
      <c r="H1202" s="14">
        <v>1</v>
      </c>
      <c r="I1202" s="25">
        <v>304</v>
      </c>
      <c r="J1202" s="23">
        <f>VLOOKUP(I1202,episodes!$A$1:$B$81,2,FALSE)</f>
        <v>60</v>
      </c>
      <c r="K1202" s="16" t="str">
        <f>VLOOKUP(I1202,episodes!$A$1:$E$81,5,FALSE)</f>
        <v>And the Children Shall Lead</v>
      </c>
      <c r="L1202" s="16">
        <f>VLOOKUP(I1202,episodes!$A$1:$D$81,3,FALSE)</f>
        <v>3</v>
      </c>
      <c r="M1202" s="16">
        <f>VLOOKUP(I1202,episodes!$A$1:$D$81,4,FALSE)</f>
        <v>4</v>
      </c>
      <c r="O1202" s="14">
        <v>0</v>
      </c>
      <c r="P1202" s="24">
        <f>LEN(E1202)+LEN(K1202)</f>
        <v>27</v>
      </c>
      <c r="Q1202" s="24"/>
      <c r="R1202" s="24"/>
    </row>
    <row r="1203" spans="1:18" x14ac:dyDescent="0.3">
      <c r="A1203" s="14">
        <v>1493</v>
      </c>
      <c r="B1203" s="21" t="s">
        <v>67</v>
      </c>
      <c r="C1203" s="21" t="s">
        <v>2905</v>
      </c>
      <c r="D1203" s="1" t="s">
        <v>2354</v>
      </c>
      <c r="F1203" s="21" t="s">
        <v>8</v>
      </c>
      <c r="G1203" s="14">
        <v>0</v>
      </c>
      <c r="H1203" s="14">
        <v>1</v>
      </c>
      <c r="I1203" s="14">
        <v>308</v>
      </c>
      <c r="J1203" s="23">
        <f>VLOOKUP(I1203,episodes!$A$1:$B$81,2,FALSE)</f>
        <v>64</v>
      </c>
      <c r="K1203" s="16" t="str">
        <f>VLOOKUP(I1203,episodes!$A$1:$E$81,5,FALSE)</f>
        <v>For the World Is Hollow and I Have Touched the Sky</v>
      </c>
      <c r="L1203" s="16">
        <f>VLOOKUP(I1203,episodes!$A$1:$D$81,3,FALSE)</f>
        <v>3</v>
      </c>
      <c r="M1203" s="16">
        <f>VLOOKUP(I1203,episodes!$A$1:$D$81,4,FALSE)</f>
        <v>8</v>
      </c>
      <c r="O1203" s="14">
        <v>0</v>
      </c>
      <c r="P1203" s="24">
        <f>LEN(E1203)+LEN(K1203)</f>
        <v>50</v>
      </c>
      <c r="Q1203" s="24"/>
      <c r="R1203" s="24"/>
    </row>
    <row r="1204" spans="1:18" x14ac:dyDescent="0.3">
      <c r="A1204" s="14">
        <v>1494</v>
      </c>
      <c r="B1204" s="21" t="s">
        <v>67</v>
      </c>
      <c r="C1204" s="21" t="s">
        <v>2905</v>
      </c>
      <c r="D1204" s="1" t="s">
        <v>2354</v>
      </c>
      <c r="F1204" s="21" t="s">
        <v>8</v>
      </c>
      <c r="G1204" s="14">
        <v>0</v>
      </c>
      <c r="H1204" s="14">
        <v>1</v>
      </c>
      <c r="I1204" s="25">
        <v>309</v>
      </c>
      <c r="J1204" s="23">
        <f>VLOOKUP(I1204,episodes!$A$1:$B$81,2,FALSE)</f>
        <v>65</v>
      </c>
      <c r="K1204" s="16" t="str">
        <f>VLOOKUP(I1204,episodes!$A$1:$E$81,5,FALSE)</f>
        <v>The Tholian Web</v>
      </c>
      <c r="L1204" s="16">
        <f>VLOOKUP(I1204,episodes!$A$1:$D$81,3,FALSE)</f>
        <v>3</v>
      </c>
      <c r="M1204" s="16">
        <f>VLOOKUP(I1204,episodes!$A$1:$D$81,4,FALSE)</f>
        <v>9</v>
      </c>
      <c r="O1204" s="14">
        <v>0</v>
      </c>
      <c r="P1204" s="24">
        <f>LEN(E1204)+LEN(K1204)</f>
        <v>15</v>
      </c>
      <c r="Q1204" s="24">
        <f>COUNTIFS(B:B,B1205)</f>
        <v>19</v>
      </c>
      <c r="R1204" s="24">
        <f>COUNTIFS(D:D,D1207)</f>
        <v>40</v>
      </c>
    </row>
    <row r="1205" spans="1:18" x14ac:dyDescent="0.3">
      <c r="A1205" s="14">
        <v>1495</v>
      </c>
      <c r="B1205" s="21" t="s">
        <v>67</v>
      </c>
      <c r="C1205" s="21" t="s">
        <v>2905</v>
      </c>
      <c r="D1205" s="1" t="s">
        <v>2354</v>
      </c>
      <c r="F1205" s="21" t="s">
        <v>8</v>
      </c>
      <c r="G1205" s="14">
        <v>0</v>
      </c>
      <c r="H1205" s="14">
        <v>1</v>
      </c>
      <c r="I1205" s="25">
        <v>310</v>
      </c>
      <c r="J1205" s="23">
        <f>VLOOKUP(I1205,episodes!$A$1:$B$81,2,FALSE)</f>
        <v>66</v>
      </c>
      <c r="K1205" s="16" t="str">
        <f>VLOOKUP(I1205,episodes!$A$1:$E$81,5,FALSE)</f>
        <v>Plato's Stepchildren</v>
      </c>
      <c r="L1205" s="16">
        <f>VLOOKUP(I1205,episodes!$A$1:$D$81,3,FALSE)</f>
        <v>3</v>
      </c>
      <c r="M1205" s="16">
        <f>VLOOKUP(I1205,episodes!$A$1:$D$81,4,FALSE)</f>
        <v>10</v>
      </c>
      <c r="O1205" s="14">
        <v>0</v>
      </c>
      <c r="P1205" s="24">
        <f>LEN(E1205)+LEN(K1205)</f>
        <v>20</v>
      </c>
      <c r="Q1205" s="24">
        <f>COUNTIFS(B:B,B1207)</f>
        <v>19</v>
      </c>
      <c r="R1205" s="24">
        <f>COUNTIFS(D:D,D1208)</f>
        <v>40</v>
      </c>
    </row>
    <row r="1206" spans="1:18" x14ac:dyDescent="0.3">
      <c r="A1206" s="14">
        <v>1496</v>
      </c>
      <c r="B1206" s="21" t="s">
        <v>67</v>
      </c>
      <c r="C1206" s="21" t="s">
        <v>2905</v>
      </c>
      <c r="D1206" s="1" t="s">
        <v>2354</v>
      </c>
      <c r="F1206" s="21" t="s">
        <v>8</v>
      </c>
      <c r="G1206" s="14">
        <v>0</v>
      </c>
      <c r="H1206" s="14">
        <v>1</v>
      </c>
      <c r="I1206" s="25">
        <v>312</v>
      </c>
      <c r="J1206" s="23">
        <f>VLOOKUP(I1206,episodes!$A$1:$B$81,2,FALSE)</f>
        <v>68</v>
      </c>
      <c r="K1206" s="16" t="str">
        <f>VLOOKUP(I1206,episodes!$A$1:$E$81,5,FALSE)</f>
        <v>The Empath</v>
      </c>
      <c r="L1206" s="16">
        <f>VLOOKUP(I1206,episodes!$A$1:$D$81,3,FALSE)</f>
        <v>3</v>
      </c>
      <c r="M1206" s="16">
        <f>VLOOKUP(I1206,episodes!$A$1:$D$81,4,FALSE)</f>
        <v>12</v>
      </c>
      <c r="O1206" s="14">
        <v>0</v>
      </c>
      <c r="P1206" s="24">
        <f>LEN(E1206)+LEN(K1206)</f>
        <v>10</v>
      </c>
      <c r="Q1206" s="24">
        <f>COUNTIFS(B:B,#REF!)</f>
        <v>0</v>
      </c>
      <c r="R1206" s="24">
        <f>COUNTIFS(D:D,D1209)</f>
        <v>40</v>
      </c>
    </row>
    <row r="1207" spans="1:18" x14ac:dyDescent="0.3">
      <c r="A1207" s="14">
        <v>1497</v>
      </c>
      <c r="B1207" s="21" t="s">
        <v>67</v>
      </c>
      <c r="C1207" s="21" t="s">
        <v>2905</v>
      </c>
      <c r="D1207" s="1" t="s">
        <v>2354</v>
      </c>
      <c r="F1207" s="21" t="s">
        <v>8</v>
      </c>
      <c r="G1207" s="14">
        <v>0</v>
      </c>
      <c r="H1207" s="14">
        <v>1</v>
      </c>
      <c r="I1207" s="14">
        <v>314</v>
      </c>
      <c r="J1207" s="23">
        <f>VLOOKUP(I1207,episodes!$A$1:$B$81,2,FALSE)</f>
        <v>70</v>
      </c>
      <c r="K1207" s="16" t="str">
        <f>VLOOKUP(I1207,episodes!$A$1:$E$81,5,FALSE)</f>
        <v>Whom Gods Destroy</v>
      </c>
      <c r="L1207" s="16">
        <f>VLOOKUP(I1207,episodes!$A$1:$D$81,3,FALSE)</f>
        <v>3</v>
      </c>
      <c r="M1207" s="16">
        <f>VLOOKUP(I1207,episodes!$A$1:$D$81,4,FALSE)</f>
        <v>14</v>
      </c>
      <c r="O1207" s="14">
        <v>0</v>
      </c>
      <c r="P1207" s="24">
        <f>LEN(E1207)+LEN(K1207)</f>
        <v>17</v>
      </c>
      <c r="Q1207" s="24">
        <f>COUNTIFS(B:B,B1209)</f>
        <v>19</v>
      </c>
      <c r="R1207" s="24">
        <f>COUNTIFS(D:D,D1210)</f>
        <v>40</v>
      </c>
    </row>
    <row r="1208" spans="1:18" x14ac:dyDescent="0.3">
      <c r="A1208" s="14">
        <v>1498</v>
      </c>
      <c r="B1208" s="21" t="s">
        <v>67</v>
      </c>
      <c r="C1208" s="21" t="s">
        <v>2905</v>
      </c>
      <c r="D1208" s="1" t="s">
        <v>2354</v>
      </c>
      <c r="F1208" s="21" t="s">
        <v>8</v>
      </c>
      <c r="G1208" s="14">
        <v>0</v>
      </c>
      <c r="H1208" s="14">
        <v>1</v>
      </c>
      <c r="I1208" s="14">
        <v>315</v>
      </c>
      <c r="J1208" s="23">
        <f>VLOOKUP(I1208,episodes!$A$1:$B$81,2,FALSE)</f>
        <v>71</v>
      </c>
      <c r="K1208" s="16" t="str">
        <f>VLOOKUP(I1208,episodes!$A$1:$E$81,5,FALSE)</f>
        <v>Let That Be Your Last Battlefield</v>
      </c>
      <c r="L1208" s="16">
        <f>VLOOKUP(I1208,episodes!$A$1:$D$81,3,FALSE)</f>
        <v>3</v>
      </c>
      <c r="M1208" s="16">
        <f>VLOOKUP(I1208,episodes!$A$1:$D$81,4,FALSE)</f>
        <v>15</v>
      </c>
      <c r="O1208" s="14">
        <v>0</v>
      </c>
      <c r="P1208" s="24">
        <f>LEN(E1208)+LEN(K1208)</f>
        <v>33</v>
      </c>
      <c r="Q1208" s="24">
        <f>COUNTIFS(B:B,B1210)</f>
        <v>19</v>
      </c>
      <c r="R1208" s="24">
        <f>COUNTIFS(D:D,D1211)</f>
        <v>1</v>
      </c>
    </row>
    <row r="1209" spans="1:18" x14ac:dyDescent="0.3">
      <c r="A1209" s="14">
        <v>1499</v>
      </c>
      <c r="B1209" s="21" t="s">
        <v>67</v>
      </c>
      <c r="C1209" s="21" t="s">
        <v>2905</v>
      </c>
      <c r="D1209" s="1" t="s">
        <v>2354</v>
      </c>
      <c r="F1209" s="21" t="s">
        <v>8</v>
      </c>
      <c r="G1209" s="14">
        <v>0</v>
      </c>
      <c r="H1209" s="14">
        <v>1</v>
      </c>
      <c r="I1209" s="14">
        <v>319</v>
      </c>
      <c r="J1209" s="23">
        <f>VLOOKUP(I1209,episodes!$A$1:$B$81,2,FALSE)</f>
        <v>75</v>
      </c>
      <c r="K1209" s="16" t="str">
        <f>VLOOKUP(I1209,episodes!$A$1:$E$81,5,FALSE)</f>
        <v>Requiem for Methuselah</v>
      </c>
      <c r="L1209" s="16">
        <f>VLOOKUP(I1209,episodes!$A$1:$D$81,3,FALSE)</f>
        <v>3</v>
      </c>
      <c r="M1209" s="16">
        <f>VLOOKUP(I1209,episodes!$A$1:$D$81,4,FALSE)</f>
        <v>19</v>
      </c>
      <c r="O1209" s="14">
        <v>0</v>
      </c>
      <c r="P1209" s="24">
        <f>LEN(E1209)+LEN(K1209)</f>
        <v>22</v>
      </c>
      <c r="Q1209" s="24">
        <f>COUNTIFS(B:B,B1211)</f>
        <v>56</v>
      </c>
      <c r="R1209" s="24">
        <f>COUNTIFS(D:D,D1212)</f>
        <v>3</v>
      </c>
    </row>
    <row r="1210" spans="1:18" x14ac:dyDescent="0.3">
      <c r="A1210" s="14">
        <v>1500</v>
      </c>
      <c r="B1210" s="21" t="s">
        <v>67</v>
      </c>
      <c r="C1210" s="21" t="s">
        <v>2905</v>
      </c>
      <c r="D1210" s="1" t="s">
        <v>2354</v>
      </c>
      <c r="F1210" s="21" t="s">
        <v>8</v>
      </c>
      <c r="G1210" s="14">
        <v>0</v>
      </c>
      <c r="H1210" s="14">
        <v>1</v>
      </c>
      <c r="I1210" s="25">
        <v>324</v>
      </c>
      <c r="J1210" s="23">
        <f>VLOOKUP(I1210,episodes!$A$1:$B$81,2,FALSE)</f>
        <v>80</v>
      </c>
      <c r="K1210" s="16" t="str">
        <f>VLOOKUP(I1210,episodes!$A$1:$E$81,5,FALSE)</f>
        <v>Turnabout Intruder</v>
      </c>
      <c r="L1210" s="16">
        <f>VLOOKUP(I1210,episodes!$A$1:$D$81,3,FALSE)</f>
        <v>3</v>
      </c>
      <c r="M1210" s="16">
        <f>VLOOKUP(I1210,episodes!$A$1:$D$81,4,FALSE)</f>
        <v>24</v>
      </c>
      <c r="O1210" s="14">
        <v>0</v>
      </c>
      <c r="P1210" s="24">
        <f>LEN(E1210)+LEN(K1210)</f>
        <v>18</v>
      </c>
      <c r="Q1210" s="24">
        <f>COUNTIFS(B:B,B1212)</f>
        <v>56</v>
      </c>
      <c r="R1210" s="24">
        <f>COUNTIFS(D:D,D1213)</f>
        <v>3</v>
      </c>
    </row>
    <row r="1211" spans="1:18" x14ac:dyDescent="0.3">
      <c r="A1211" s="14">
        <v>2977</v>
      </c>
      <c r="B1211" s="21" t="s">
        <v>358</v>
      </c>
      <c r="C1211" s="21" t="s">
        <v>2905</v>
      </c>
      <c r="D1211" s="21" t="s">
        <v>2937</v>
      </c>
      <c r="E1211" s="4" t="s">
        <v>2803</v>
      </c>
      <c r="F1211" s="21" t="s">
        <v>8</v>
      </c>
      <c r="G1211" s="14">
        <v>0</v>
      </c>
      <c r="H1211" s="14">
        <v>1</v>
      </c>
      <c r="I1211" s="7">
        <v>211</v>
      </c>
      <c r="J1211" s="23">
        <f>VLOOKUP(I1211,episodes!$A$1:$B$81,2,FALSE)</f>
        <v>41</v>
      </c>
      <c r="K1211" s="16" t="str">
        <f>VLOOKUP(I1211,episodes!$A$1:$E$81,5,FALSE)</f>
        <v>Friday's Child</v>
      </c>
      <c r="L1211" s="16">
        <f>VLOOKUP(I1211,episodes!$A$1:$D$81,3,FALSE)</f>
        <v>2</v>
      </c>
      <c r="M1211" s="16">
        <f>VLOOKUP(I1211,episodes!$A$1:$D$81,4,FALSE)</f>
        <v>11</v>
      </c>
      <c r="O1211" s="14">
        <v>0</v>
      </c>
      <c r="P1211" s="24">
        <f>LEN(E1211)+LEN(K1211)</f>
        <v>53</v>
      </c>
      <c r="Q1211" s="24"/>
      <c r="R1211" s="24"/>
    </row>
    <row r="1212" spans="1:18" x14ac:dyDescent="0.3">
      <c r="A1212" s="14">
        <v>1652</v>
      </c>
      <c r="B1212" s="21" t="s">
        <v>358</v>
      </c>
      <c r="C1212" s="21" t="s">
        <v>2905</v>
      </c>
      <c r="D1212" s="1" t="s">
        <v>2728</v>
      </c>
      <c r="E1212" s="1" t="s">
        <v>928</v>
      </c>
      <c r="F1212" s="21" t="s">
        <v>8</v>
      </c>
      <c r="G1212" s="14">
        <v>0</v>
      </c>
      <c r="H1212" s="14">
        <v>1</v>
      </c>
      <c r="I1212" s="22">
        <v>206</v>
      </c>
      <c r="J1212" s="23">
        <f>VLOOKUP(I1212,episodes!$A$1:$B$76,2,FALSE)</f>
        <v>36</v>
      </c>
      <c r="K1212" s="16" t="str">
        <f>VLOOKUP(I1212,episodes!$A$1:$E$81,5,FALSE)</f>
        <v>The Doomsday Machine</v>
      </c>
      <c r="L1212" s="16">
        <f>VLOOKUP(I1212,episodes!$A$1:$D$81,3,FALSE)</f>
        <v>2</v>
      </c>
      <c r="M1212" s="16">
        <f>VLOOKUP(I1212,episodes!$A$1:$D$81,4,FALSE)</f>
        <v>6</v>
      </c>
      <c r="O1212" s="14">
        <v>0</v>
      </c>
      <c r="P1212" s="24">
        <f>LEN(E1212)+LEN(K1212)</f>
        <v>68</v>
      </c>
      <c r="Q1212" s="24">
        <f>COUNTIFS(B:B,B1211)</f>
        <v>56</v>
      </c>
      <c r="R1212" s="24">
        <f>COUNTIFS(D:D,D1212)</f>
        <v>3</v>
      </c>
    </row>
    <row r="1213" spans="1:18" x14ac:dyDescent="0.3">
      <c r="A1213" s="14">
        <v>1539</v>
      </c>
      <c r="B1213" s="21" t="s">
        <v>358</v>
      </c>
      <c r="C1213" s="21" t="s">
        <v>2905</v>
      </c>
      <c r="D1213" s="1" t="s">
        <v>2728</v>
      </c>
      <c r="E1213" s="1" t="s">
        <v>825</v>
      </c>
      <c r="F1213" s="21" t="s">
        <v>8</v>
      </c>
      <c r="G1213" s="14">
        <v>0</v>
      </c>
      <c r="H1213" s="14">
        <v>1</v>
      </c>
      <c r="I1213" s="14">
        <v>104</v>
      </c>
      <c r="J1213" s="23">
        <f>VLOOKUP(I1213,episodes!$A$1:$B$76,2,FALSE)</f>
        <v>5</v>
      </c>
      <c r="K1213" s="16" t="str">
        <f>VLOOKUP(I1213,episodes!$A$1:$E$81,5,FALSE)</f>
        <v>The Naked Time</v>
      </c>
      <c r="L1213" s="16">
        <f>VLOOKUP(I1213,episodes!$A$1:$D$81,3,FALSE)</f>
        <v>1</v>
      </c>
      <c r="M1213" s="16">
        <f>VLOOKUP(I1213,episodes!$A$1:$D$81,4,FALSE)</f>
        <v>4</v>
      </c>
      <c r="O1213" s="14">
        <v>0</v>
      </c>
      <c r="P1213" s="24">
        <f>LEN(E1213)+LEN(K1213)</f>
        <v>98</v>
      </c>
      <c r="Q1213" s="24">
        <f>COUNTIFS(B:B,B1212)</f>
        <v>56</v>
      </c>
      <c r="R1213" s="24">
        <f>COUNTIFS(D:D,D1213)</f>
        <v>3</v>
      </c>
    </row>
    <row r="1214" spans="1:18" x14ac:dyDescent="0.3">
      <c r="A1214" s="14">
        <v>1593</v>
      </c>
      <c r="B1214" s="21" t="s">
        <v>358</v>
      </c>
      <c r="C1214" s="21" t="s">
        <v>2905</v>
      </c>
      <c r="D1214" s="1" t="s">
        <v>2728</v>
      </c>
      <c r="E1214" s="1" t="s">
        <v>650</v>
      </c>
      <c r="F1214" s="21" t="s">
        <v>8</v>
      </c>
      <c r="G1214" s="14">
        <v>0</v>
      </c>
      <c r="H1214" s="14">
        <v>1</v>
      </c>
      <c r="I1214" s="22">
        <v>122</v>
      </c>
      <c r="J1214" s="23">
        <f>VLOOKUP(I1214,episodes!$A$1:$B$76,2,FALSE)</f>
        <v>23</v>
      </c>
      <c r="K1214" s="16" t="str">
        <f>VLOOKUP(I1214,episodes!$A$1:$E$81,5,FALSE)</f>
        <v>Space Seed</v>
      </c>
      <c r="L1214" s="16">
        <f>VLOOKUP(I1214,episodes!$A$1:$D$81,3,FALSE)</f>
        <v>1</v>
      </c>
      <c r="M1214" s="16">
        <f>VLOOKUP(I1214,episodes!$A$1:$D$81,4,FALSE)</f>
        <v>22</v>
      </c>
      <c r="O1214" s="14">
        <v>0</v>
      </c>
      <c r="P1214" s="24">
        <f>LEN(E1214)+LEN(K1214)</f>
        <v>58</v>
      </c>
      <c r="Q1214" s="24">
        <f>COUNTIFS(B:B,B1213)</f>
        <v>56</v>
      </c>
      <c r="R1214" s="24">
        <f>COUNTIFS(D:D,D1214)</f>
        <v>3</v>
      </c>
    </row>
    <row r="1215" spans="1:18" x14ac:dyDescent="0.3">
      <c r="A1215" s="14">
        <v>2734</v>
      </c>
      <c r="B1215" s="21" t="s">
        <v>326</v>
      </c>
      <c r="C1215" s="21" t="s">
        <v>2905</v>
      </c>
      <c r="D1215" s="1" t="s">
        <v>2724</v>
      </c>
      <c r="E1215" s="1" t="s">
        <v>475</v>
      </c>
      <c r="F1215" s="21" t="s">
        <v>2225</v>
      </c>
      <c r="G1215" s="14">
        <v>0</v>
      </c>
      <c r="H1215" s="14">
        <v>0</v>
      </c>
      <c r="I1215" s="25">
        <v>108</v>
      </c>
      <c r="J1215" s="23">
        <f>VLOOKUP(I1215,episodes!$A$1:$B$76,2,FALSE)</f>
        <v>9</v>
      </c>
      <c r="K1215" s="16" t="str">
        <f>VLOOKUP(I1215,episodes!$A$1:$E$81,5,FALSE)</f>
        <v>Miri</v>
      </c>
      <c r="L1215" s="16">
        <f>VLOOKUP(I1215,episodes!$A$1:$D$81,3,FALSE)</f>
        <v>1</v>
      </c>
      <c r="M1215" s="16">
        <f>VLOOKUP(I1215,episodes!$A$1:$D$81,4,FALSE)</f>
        <v>8</v>
      </c>
      <c r="O1215" s="14">
        <v>0</v>
      </c>
      <c r="P1215" s="24">
        <f>LEN(E1215)+LEN(K1215)</f>
        <v>38</v>
      </c>
      <c r="Q1215" s="24">
        <f>COUNTIFS(B:B,B1214)</f>
        <v>56</v>
      </c>
      <c r="R1215" s="24">
        <f>COUNTIFS(D:D,D1215)</f>
        <v>2</v>
      </c>
    </row>
    <row r="1216" spans="1:18" x14ac:dyDescent="0.3">
      <c r="A1216" s="14">
        <v>2721</v>
      </c>
      <c r="B1216" s="21" t="s">
        <v>326</v>
      </c>
      <c r="C1216" s="21" t="s">
        <v>2905</v>
      </c>
      <c r="D1216" s="1" t="s">
        <v>2724</v>
      </c>
      <c r="E1216" s="1" t="s">
        <v>1504</v>
      </c>
      <c r="F1216" s="21" t="s">
        <v>2225</v>
      </c>
      <c r="G1216" s="14">
        <v>0</v>
      </c>
      <c r="H1216" s="14">
        <v>0</v>
      </c>
      <c r="I1216" s="14">
        <v>104</v>
      </c>
      <c r="J1216" s="23">
        <f>VLOOKUP(I1216,episodes!$A$1:$B$76,2,FALSE)</f>
        <v>5</v>
      </c>
      <c r="K1216" s="16" t="str">
        <f>VLOOKUP(I1216,episodes!$A$1:$E$81,5,FALSE)</f>
        <v>The Naked Time</v>
      </c>
      <c r="L1216" s="16">
        <f>VLOOKUP(I1216,episodes!$A$1:$D$81,3,FALSE)</f>
        <v>1</v>
      </c>
      <c r="M1216" s="16">
        <f>VLOOKUP(I1216,episodes!$A$1:$D$81,4,FALSE)</f>
        <v>4</v>
      </c>
      <c r="O1216" s="14">
        <v>0</v>
      </c>
      <c r="P1216" s="24">
        <f>LEN(E1216)+LEN(K1216)</f>
        <v>88</v>
      </c>
      <c r="Q1216" s="24">
        <f>COUNTIFS(B:B,B1215)</f>
        <v>2</v>
      </c>
      <c r="R1216" s="24">
        <f>COUNTIFS(D:D,D1216)</f>
        <v>2</v>
      </c>
    </row>
    <row r="1217" spans="1:18" x14ac:dyDescent="0.3">
      <c r="A1217" s="14">
        <v>1634</v>
      </c>
      <c r="B1217" s="21" t="s">
        <v>355</v>
      </c>
      <c r="C1217" s="21" t="s">
        <v>2905</v>
      </c>
      <c r="D1217" s="21" t="s">
        <v>2707</v>
      </c>
      <c r="E1217" s="1" t="s">
        <v>810</v>
      </c>
      <c r="F1217" s="21" t="s">
        <v>8</v>
      </c>
      <c r="G1217" s="14">
        <v>0</v>
      </c>
      <c r="H1217" s="14">
        <v>1</v>
      </c>
      <c r="I1217" s="22">
        <v>201</v>
      </c>
      <c r="J1217" s="23">
        <f>VLOOKUP(I1217,episodes!$A$1:$B$76,2,FALSE)</f>
        <v>31</v>
      </c>
      <c r="K1217" s="16" t="str">
        <f>VLOOKUP(I1217,episodes!$A$1:$E$81,5,FALSE)</f>
        <v>Amok Time</v>
      </c>
      <c r="L1217" s="16">
        <f>VLOOKUP(I1217,episodes!$A$1:$D$81,3,FALSE)</f>
        <v>2</v>
      </c>
      <c r="M1217" s="16">
        <f>VLOOKUP(I1217,episodes!$A$1:$D$81,4,FALSE)</f>
        <v>1</v>
      </c>
      <c r="O1217" s="14">
        <v>0</v>
      </c>
      <c r="P1217" s="24">
        <f>LEN(E1217)+LEN(K1217)</f>
        <v>155</v>
      </c>
      <c r="Q1217" s="24">
        <f>COUNTIFS(B:B,B1216)</f>
        <v>2</v>
      </c>
      <c r="R1217" s="24">
        <f>COUNTIFS(D:D,D1217)</f>
        <v>2</v>
      </c>
    </row>
    <row r="1218" spans="1:18" x14ac:dyDescent="0.3">
      <c r="A1218" s="14">
        <v>3033</v>
      </c>
      <c r="B1218" s="21" t="s">
        <v>522</v>
      </c>
      <c r="C1218" s="21" t="s">
        <v>2905</v>
      </c>
      <c r="E1218" s="1" t="s">
        <v>2904</v>
      </c>
      <c r="F1218" s="21" t="s">
        <v>8</v>
      </c>
      <c r="G1218" s="14">
        <v>0</v>
      </c>
      <c r="H1218" s="14">
        <v>1</v>
      </c>
      <c r="I1218" s="14">
        <v>125</v>
      </c>
      <c r="J1218" s="23">
        <f>VLOOKUP(I1218,episodes!$A$1:$B$81,2,FALSE)</f>
        <v>26</v>
      </c>
      <c r="K1218" s="16" t="str">
        <f>VLOOKUP(I1218,episodes!$A$1:$E$81,5,FALSE)</f>
        <v>The Devil in the Dark</v>
      </c>
      <c r="L1218" s="16">
        <f>VLOOKUP(I1218,episodes!$A$1:$D$81,3,FALSE)</f>
        <v>1</v>
      </c>
      <c r="M1218" s="16">
        <f>VLOOKUP(I1218,episodes!$A$1:$D$81,4,FALSE)</f>
        <v>25</v>
      </c>
      <c r="P1218" s="24"/>
      <c r="Q1218" s="24"/>
      <c r="R1218" s="24"/>
    </row>
    <row r="1219" spans="1:18" x14ac:dyDescent="0.3">
      <c r="A1219" s="14">
        <v>1633</v>
      </c>
      <c r="B1219" s="21" t="s">
        <v>345</v>
      </c>
      <c r="C1219" s="21" t="s">
        <v>2905</v>
      </c>
      <c r="D1219" s="21"/>
      <c r="E1219" s="1" t="s">
        <v>1458</v>
      </c>
      <c r="F1219" s="21" t="s">
        <v>8</v>
      </c>
      <c r="G1219" s="14">
        <v>0</v>
      </c>
      <c r="H1219" s="14">
        <v>1</v>
      </c>
      <c r="I1219" s="22">
        <v>201</v>
      </c>
      <c r="J1219" s="23">
        <f>VLOOKUP(I1219,episodes!$A$1:$B$76,2,FALSE)</f>
        <v>31</v>
      </c>
      <c r="K1219" s="16" t="str">
        <f>VLOOKUP(I1219,episodes!$A$1:$E$81,5,FALSE)</f>
        <v>Amok Time</v>
      </c>
      <c r="L1219" s="16">
        <f>VLOOKUP(I1219,episodes!$A$1:$D$81,3,FALSE)</f>
        <v>2</v>
      </c>
      <c r="M1219" s="16">
        <f>VLOOKUP(I1219,episodes!$A$1:$D$81,4,FALSE)</f>
        <v>1</v>
      </c>
      <c r="O1219" s="14">
        <v>0</v>
      </c>
      <c r="P1219" s="24">
        <f>LEN(E1219)+LEN(K1219)</f>
        <v>127</v>
      </c>
      <c r="Q1219" s="24">
        <f>COUNTIFS(B:B,B1218)</f>
        <v>7</v>
      </c>
      <c r="R1219" s="24">
        <f>COUNTIFS(D:D,D1219)</f>
        <v>0</v>
      </c>
    </row>
    <row r="1220" spans="1:18" x14ac:dyDescent="0.3">
      <c r="A1220" s="14">
        <v>1922</v>
      </c>
      <c r="B1220" s="21" t="s">
        <v>348</v>
      </c>
      <c r="C1220" s="21" t="s">
        <v>2935</v>
      </c>
      <c r="D1220" s="21" t="s">
        <v>2391</v>
      </c>
      <c r="E1220" s="1" t="s">
        <v>1171</v>
      </c>
      <c r="F1220" s="21" t="s">
        <v>2228</v>
      </c>
      <c r="G1220" s="14">
        <v>0</v>
      </c>
      <c r="H1220" s="14">
        <v>0</v>
      </c>
      <c r="I1220" s="25">
        <v>107</v>
      </c>
      <c r="J1220" s="23">
        <f>VLOOKUP(I1220,episodes!$A$1:$B$76,2,FALSE)</f>
        <v>8</v>
      </c>
      <c r="K1220" s="16" t="str">
        <f>VLOOKUP(I1220,episodes!$A$1:$E$81,5,FALSE)</f>
        <v>What Are Little Girls Made Of?</v>
      </c>
      <c r="L1220" s="16">
        <f>VLOOKUP(I1220,episodes!$A$1:$D$81,3,FALSE)</f>
        <v>1</v>
      </c>
      <c r="M1220" s="16">
        <f>VLOOKUP(I1220,episodes!$A$1:$D$81,4,FALSE)</f>
        <v>7</v>
      </c>
      <c r="O1220" s="14">
        <v>0</v>
      </c>
      <c r="P1220" s="24">
        <f>LEN(E1220)+LEN(K1220)</f>
        <v>84</v>
      </c>
      <c r="Q1220" s="24">
        <f>COUNTIFS(B:B,B1219)</f>
        <v>1</v>
      </c>
      <c r="R1220" s="24">
        <f>COUNTIFS(D:D,D1220)</f>
        <v>1</v>
      </c>
    </row>
    <row r="1221" spans="1:18" x14ac:dyDescent="0.3">
      <c r="A1221" s="14">
        <v>2397</v>
      </c>
      <c r="B1221" s="21" t="s">
        <v>263</v>
      </c>
      <c r="C1221" s="21" t="s">
        <v>922</v>
      </c>
      <c r="D1221" s="1" t="s">
        <v>2885</v>
      </c>
      <c r="E1221" s="1" t="s">
        <v>578</v>
      </c>
      <c r="F1221" s="21" t="s">
        <v>1861</v>
      </c>
      <c r="G1221" s="14">
        <v>0</v>
      </c>
      <c r="H1221" s="14">
        <v>1</v>
      </c>
      <c r="I1221" s="22">
        <v>114</v>
      </c>
      <c r="J1221" s="23">
        <f>VLOOKUP(I1221,episodes!$A$1:$B$76,2,FALSE)</f>
        <v>15</v>
      </c>
      <c r="K1221" s="16" t="str">
        <f>VLOOKUP(I1221,episodes!$A$1:$E$81,5,FALSE)</f>
        <v>Balance of Terror</v>
      </c>
      <c r="L1221" s="16">
        <f>VLOOKUP(I1221,episodes!$A$1:$D$81,3,FALSE)</f>
        <v>1</v>
      </c>
      <c r="M1221" s="16">
        <f>VLOOKUP(I1221,episodes!$A$1:$D$81,4,FALSE)</f>
        <v>14</v>
      </c>
      <c r="O1221" s="14">
        <v>0</v>
      </c>
      <c r="P1221" s="24">
        <f>LEN(E1221)+LEN(K1221)</f>
        <v>43</v>
      </c>
      <c r="Q1221" s="24"/>
      <c r="R1221" s="24"/>
    </row>
    <row r="1222" spans="1:18" x14ac:dyDescent="0.3">
      <c r="A1222" s="14">
        <v>102</v>
      </c>
      <c r="B1222" s="21" t="s">
        <v>263</v>
      </c>
      <c r="C1222" s="21" t="s">
        <v>922</v>
      </c>
      <c r="D1222" s="1" t="s">
        <v>2617</v>
      </c>
      <c r="E1222" s="1" t="s">
        <v>2036</v>
      </c>
      <c r="F1222" s="1" t="s">
        <v>46</v>
      </c>
      <c r="G1222" s="14">
        <v>0</v>
      </c>
      <c r="H1222" s="14">
        <v>0</v>
      </c>
      <c r="I1222" s="25">
        <v>206</v>
      </c>
      <c r="J1222" s="23">
        <f>VLOOKUP(I1222,episodes!$A$1:$B$81,2,FALSE)</f>
        <v>36</v>
      </c>
      <c r="K1222" s="16" t="str">
        <f>VLOOKUP(I1222,episodes!$A$1:$E$81,5,FALSE)</f>
        <v>The Doomsday Machine</v>
      </c>
      <c r="L1222" s="16">
        <f>VLOOKUP(I1222,episodes!$A$1:$D$81,3,FALSE)</f>
        <v>2</v>
      </c>
      <c r="M1222" s="16">
        <f>VLOOKUP(I1222,episodes!$A$1:$D$81,4,FALSE)</f>
        <v>6</v>
      </c>
      <c r="O1222" s="14">
        <v>0</v>
      </c>
      <c r="P1222" s="24">
        <f>LEN(E1222)+LEN(K1222)</f>
        <v>61</v>
      </c>
      <c r="Q1222" s="24">
        <f>COUNTIFS(B:B,B1221)</f>
        <v>154</v>
      </c>
      <c r="R1222" s="24">
        <f>COUNTIFS(D:D,D1222)</f>
        <v>18</v>
      </c>
    </row>
    <row r="1223" spans="1:18" x14ac:dyDescent="0.3">
      <c r="A1223" s="14">
        <v>240</v>
      </c>
      <c r="B1223" s="21" t="s">
        <v>263</v>
      </c>
      <c r="C1223" s="21" t="s">
        <v>922</v>
      </c>
      <c r="D1223" s="1" t="s">
        <v>2617</v>
      </c>
      <c r="E1223" s="1" t="s">
        <v>2563</v>
      </c>
      <c r="F1223" s="1" t="s">
        <v>2285</v>
      </c>
      <c r="G1223" s="14">
        <v>0</v>
      </c>
      <c r="H1223" s="14">
        <v>0</v>
      </c>
      <c r="I1223" s="22">
        <v>201</v>
      </c>
      <c r="J1223" s="23">
        <f>VLOOKUP(I1223,episodes!$A$1:$B$76,2,FALSE)</f>
        <v>31</v>
      </c>
      <c r="K1223" s="16" t="str">
        <f>VLOOKUP(I1223,episodes!$A$1:$E$81,5,FALSE)</f>
        <v>Amok Time</v>
      </c>
      <c r="L1223" s="16">
        <f>VLOOKUP(I1223,episodes!$A$1:$D$81,3,FALSE)</f>
        <v>2</v>
      </c>
      <c r="M1223" s="16">
        <f>VLOOKUP(I1223,episodes!$A$1:$D$81,4,FALSE)</f>
        <v>1</v>
      </c>
      <c r="O1223" s="14">
        <v>0</v>
      </c>
      <c r="P1223" s="24">
        <f>LEN(E1223)+LEN(K1223)</f>
        <v>39</v>
      </c>
      <c r="Q1223" s="24">
        <f>COUNTIFS(B:B,B1222)</f>
        <v>154</v>
      </c>
      <c r="R1223" s="24">
        <f>COUNTIFS(D:D,D1223)</f>
        <v>18</v>
      </c>
    </row>
    <row r="1224" spans="1:18" x14ac:dyDescent="0.3">
      <c r="A1224" s="14">
        <v>727</v>
      </c>
      <c r="B1224" s="21" t="s">
        <v>263</v>
      </c>
      <c r="C1224" s="21" t="s">
        <v>922</v>
      </c>
      <c r="D1224" s="1" t="s">
        <v>2617</v>
      </c>
      <c r="E1224" s="1" t="s">
        <v>1888</v>
      </c>
      <c r="F1224" s="21" t="s">
        <v>4</v>
      </c>
      <c r="G1224" s="14">
        <v>1</v>
      </c>
      <c r="H1224" s="14">
        <v>0</v>
      </c>
      <c r="I1224" s="22">
        <v>116</v>
      </c>
      <c r="J1224" s="23">
        <f>VLOOKUP(I1224,episodes!$A$1:$B$76,2,FALSE)</f>
        <v>17</v>
      </c>
      <c r="K1224" s="16" t="str">
        <f>VLOOKUP(I1224,episodes!$A$1:$E$81,5,FALSE)</f>
        <v>The Galileo Seven</v>
      </c>
      <c r="L1224" s="16">
        <f>VLOOKUP(I1224,episodes!$A$1:$D$81,3,FALSE)</f>
        <v>1</v>
      </c>
      <c r="M1224" s="16">
        <f>VLOOKUP(I1224,episodes!$A$1:$D$81,4,FALSE)</f>
        <v>16</v>
      </c>
      <c r="O1224" s="14">
        <v>0</v>
      </c>
      <c r="P1224" s="24">
        <f>LEN(E1224)+LEN(K1224)</f>
        <v>50</v>
      </c>
      <c r="Q1224" s="24">
        <f>COUNTIFS(B:B,#REF!)</f>
        <v>0</v>
      </c>
      <c r="R1224" s="24">
        <f>COUNTIFS(D:D,D1224)</f>
        <v>18</v>
      </c>
    </row>
    <row r="1225" spans="1:18" x14ac:dyDescent="0.3">
      <c r="A1225" s="14">
        <v>1152</v>
      </c>
      <c r="B1225" s="21" t="s">
        <v>263</v>
      </c>
      <c r="C1225" s="21" t="s">
        <v>922</v>
      </c>
      <c r="D1225" s="1" t="s">
        <v>2617</v>
      </c>
      <c r="E1225" s="1" t="s">
        <v>586</v>
      </c>
      <c r="F1225" s="21" t="s">
        <v>2233</v>
      </c>
      <c r="G1225" s="14">
        <v>0</v>
      </c>
      <c r="H1225" s="14">
        <v>0</v>
      </c>
      <c r="I1225" s="22">
        <v>202</v>
      </c>
      <c r="J1225" s="23">
        <f>VLOOKUP(I1225,episodes!$A$1:$B$76,2,FALSE)</f>
        <v>32</v>
      </c>
      <c r="K1225" s="16" t="str">
        <f>VLOOKUP(I1225,episodes!$A$1:$E$81,5,FALSE)</f>
        <v>Who Mourns for Adonais?</v>
      </c>
      <c r="L1225" s="16">
        <f>VLOOKUP(I1225,episodes!$A$1:$D$81,3,FALSE)</f>
        <v>2</v>
      </c>
      <c r="M1225" s="16">
        <f>VLOOKUP(I1225,episodes!$A$1:$D$81,4,FALSE)</f>
        <v>2</v>
      </c>
      <c r="O1225" s="14">
        <v>0</v>
      </c>
      <c r="P1225" s="24">
        <f>LEN(E1225)+LEN(K1225)</f>
        <v>86</v>
      </c>
      <c r="Q1225" s="24"/>
      <c r="R1225" s="24"/>
    </row>
    <row r="1226" spans="1:18" x14ac:dyDescent="0.3">
      <c r="A1226" s="14">
        <v>1478</v>
      </c>
      <c r="B1226" s="21" t="s">
        <v>263</v>
      </c>
      <c r="C1226" s="21" t="s">
        <v>922</v>
      </c>
      <c r="D1226" s="1" t="s">
        <v>2617</v>
      </c>
      <c r="E1226" s="1" t="s">
        <v>600</v>
      </c>
      <c r="F1226" s="21" t="s">
        <v>2288</v>
      </c>
      <c r="G1226" s="14">
        <v>0</v>
      </c>
      <c r="H1226" s="14">
        <v>0</v>
      </c>
      <c r="I1226" s="22">
        <v>127</v>
      </c>
      <c r="J1226" s="23">
        <f>VLOOKUP(I1226,episodes!$A$1:$B$76,2,FALSE)</f>
        <v>28</v>
      </c>
      <c r="K1226" s="16" t="str">
        <f>VLOOKUP(I1226,episodes!$A$1:$E$81,5,FALSE)</f>
        <v>The Alternative Factor</v>
      </c>
      <c r="L1226" s="16">
        <f>VLOOKUP(I1226,episodes!$A$1:$D$81,3,FALSE)</f>
        <v>1</v>
      </c>
      <c r="M1226" s="16">
        <f>VLOOKUP(I1226,episodes!$A$1:$D$81,4,FALSE)</f>
        <v>27</v>
      </c>
      <c r="O1226" s="14">
        <v>0</v>
      </c>
      <c r="P1226" s="24">
        <f>LEN(E1226)+LEN(K1226)</f>
        <v>61</v>
      </c>
      <c r="Q1226" s="24">
        <f>COUNTIFS(B:B,B1225)</f>
        <v>154</v>
      </c>
      <c r="R1226" s="24">
        <f>COUNTIFS(D:D,D1226)</f>
        <v>18</v>
      </c>
    </row>
    <row r="1227" spans="1:18" x14ac:dyDescent="0.3">
      <c r="A1227" s="14">
        <v>1822</v>
      </c>
      <c r="B1227" s="21" t="s">
        <v>263</v>
      </c>
      <c r="C1227" s="21" t="s">
        <v>922</v>
      </c>
      <c r="D1227" s="1" t="s">
        <v>2617</v>
      </c>
      <c r="E1227" s="1" t="s">
        <v>2037</v>
      </c>
      <c r="F1227" s="21" t="s">
        <v>2281</v>
      </c>
      <c r="G1227" s="14">
        <v>0</v>
      </c>
      <c r="H1227" s="14">
        <v>0</v>
      </c>
      <c r="I1227" s="25">
        <v>206</v>
      </c>
      <c r="J1227" s="23">
        <f>VLOOKUP(I1227,episodes!$A$1:$B$81,2,FALSE)</f>
        <v>36</v>
      </c>
      <c r="K1227" s="16" t="str">
        <f>VLOOKUP(I1227,episodes!$A$1:$E$81,5,FALSE)</f>
        <v>The Doomsday Machine</v>
      </c>
      <c r="L1227" s="16">
        <f>VLOOKUP(I1227,episodes!$A$1:$D$81,3,FALSE)</f>
        <v>2</v>
      </c>
      <c r="M1227" s="16">
        <f>VLOOKUP(I1227,episodes!$A$1:$D$81,4,FALSE)</f>
        <v>6</v>
      </c>
      <c r="O1227" s="14">
        <v>0</v>
      </c>
      <c r="P1227" s="24">
        <f>LEN(E1227)+LEN(K1227)</f>
        <v>84</v>
      </c>
      <c r="Q1227" s="24">
        <f>COUNTIFS(B:B,B1225)</f>
        <v>154</v>
      </c>
      <c r="R1227" s="24">
        <f>COUNTIFS(D:D,D1227)</f>
        <v>18</v>
      </c>
    </row>
    <row r="1228" spans="1:18" x14ac:dyDescent="0.3">
      <c r="A1228" s="14">
        <v>1692</v>
      </c>
      <c r="B1228" s="21" t="s">
        <v>263</v>
      </c>
      <c r="C1228" s="21" t="s">
        <v>922</v>
      </c>
      <c r="D1228" s="1" t="s">
        <v>2617</v>
      </c>
      <c r="E1228" s="1" t="s">
        <v>585</v>
      </c>
      <c r="F1228" s="21" t="s">
        <v>2258</v>
      </c>
      <c r="G1228" s="14">
        <v>0</v>
      </c>
      <c r="H1228" s="14">
        <v>2</v>
      </c>
      <c r="I1228" s="22">
        <v>201</v>
      </c>
      <c r="J1228" s="23">
        <f>VLOOKUP(I1228,episodes!$A$1:$B$76,2,FALSE)</f>
        <v>31</v>
      </c>
      <c r="K1228" s="16" t="str">
        <f>VLOOKUP(I1228,episodes!$A$1:$E$81,5,FALSE)</f>
        <v>Amok Time</v>
      </c>
      <c r="L1228" s="16">
        <f>VLOOKUP(I1228,episodes!$A$1:$D$81,3,FALSE)</f>
        <v>2</v>
      </c>
      <c r="M1228" s="16">
        <f>VLOOKUP(I1228,episodes!$A$1:$D$81,4,FALSE)</f>
        <v>1</v>
      </c>
      <c r="O1228" s="14">
        <v>0</v>
      </c>
      <c r="P1228" s="24">
        <f>LEN(E1228)+LEN(K1228)</f>
        <v>42</v>
      </c>
      <c r="Q1228" s="24"/>
      <c r="R1228" s="24"/>
    </row>
    <row r="1229" spans="1:18" x14ac:dyDescent="0.3">
      <c r="A1229" s="14">
        <v>122</v>
      </c>
      <c r="B1229" s="21" t="s">
        <v>263</v>
      </c>
      <c r="C1229" s="21" t="s">
        <v>922</v>
      </c>
      <c r="D1229" s="1" t="s">
        <v>2617</v>
      </c>
      <c r="E1229" s="1" t="s">
        <v>577</v>
      </c>
      <c r="F1229" s="21" t="s">
        <v>2258</v>
      </c>
      <c r="G1229" s="14">
        <v>0</v>
      </c>
      <c r="H1229" s="14">
        <v>2</v>
      </c>
      <c r="I1229" s="22">
        <v>129</v>
      </c>
      <c r="J1229" s="23">
        <f>VLOOKUP(I1229,episodes!$A$1:$B$76,2,FALSE)</f>
        <v>30</v>
      </c>
      <c r="K1229" s="16" t="str">
        <f>VLOOKUP(I1229,episodes!$A$1:$E$81,5,FALSE)</f>
        <v>Operation: Annihilate!</v>
      </c>
      <c r="L1229" s="16">
        <f>VLOOKUP(I1229,episodes!$A$1:$D$81,3,FALSE)</f>
        <v>1</v>
      </c>
      <c r="M1229" s="16">
        <f>VLOOKUP(I1229,episodes!$A$1:$D$81,4,FALSE)</f>
        <v>29</v>
      </c>
      <c r="O1229" s="14">
        <v>0</v>
      </c>
      <c r="P1229" s="24">
        <f>LEN(E1229)+LEN(K1229)</f>
        <v>50</v>
      </c>
      <c r="Q1229" s="24">
        <f>COUNTIFS(B:B,B1228)</f>
        <v>154</v>
      </c>
      <c r="R1229" s="24">
        <f>COUNTIFS(D:D,D1229)</f>
        <v>18</v>
      </c>
    </row>
    <row r="1230" spans="1:18" x14ac:dyDescent="0.3">
      <c r="A1230" s="14">
        <v>897</v>
      </c>
      <c r="B1230" s="21" t="s">
        <v>263</v>
      </c>
      <c r="C1230" s="21" t="s">
        <v>922</v>
      </c>
      <c r="D1230" s="1" t="s">
        <v>2617</v>
      </c>
      <c r="E1230" s="1" t="s">
        <v>1384</v>
      </c>
      <c r="F1230" s="21" t="s">
        <v>4</v>
      </c>
      <c r="G1230" s="14">
        <v>1</v>
      </c>
      <c r="H1230" s="14">
        <v>0</v>
      </c>
      <c r="I1230" s="22">
        <v>202</v>
      </c>
      <c r="J1230" s="23">
        <f>VLOOKUP(I1230,episodes!$A$1:$B$76,2,FALSE)</f>
        <v>32</v>
      </c>
      <c r="K1230" s="16" t="str">
        <f>VLOOKUP(I1230,episodes!$A$1:$E$81,5,FALSE)</f>
        <v>Who Mourns for Adonais?</v>
      </c>
      <c r="L1230" s="16">
        <f>VLOOKUP(I1230,episodes!$A$1:$D$81,3,FALSE)</f>
        <v>2</v>
      </c>
      <c r="M1230" s="16">
        <f>VLOOKUP(I1230,episodes!$A$1:$D$81,4,FALSE)</f>
        <v>2</v>
      </c>
      <c r="O1230" s="14">
        <v>0</v>
      </c>
      <c r="P1230" s="24">
        <f>LEN(E1230)+LEN(K1230)</f>
        <v>67</v>
      </c>
      <c r="Q1230" s="24">
        <f>COUNTIFS(B:B,B1229)</f>
        <v>154</v>
      </c>
      <c r="R1230" s="24">
        <f>COUNTIFS(D:D,D1230)</f>
        <v>18</v>
      </c>
    </row>
    <row r="1231" spans="1:18" x14ac:dyDescent="0.3">
      <c r="A1231" s="14">
        <v>1891</v>
      </c>
      <c r="B1231" s="21" t="s">
        <v>263</v>
      </c>
      <c r="C1231" s="21" t="s">
        <v>922</v>
      </c>
      <c r="D1231" s="1" t="s">
        <v>2617</v>
      </c>
      <c r="E1231" s="1" t="s">
        <v>801</v>
      </c>
      <c r="F1231" s="21" t="s">
        <v>45</v>
      </c>
      <c r="G1231" s="14">
        <v>0</v>
      </c>
      <c r="H1231" s="14">
        <v>0</v>
      </c>
      <c r="I1231" s="22">
        <v>201</v>
      </c>
      <c r="J1231" s="23">
        <f>VLOOKUP(I1231,episodes!$A$1:$B$76,2,FALSE)</f>
        <v>31</v>
      </c>
      <c r="K1231" s="16" t="str">
        <f>VLOOKUP(I1231,episodes!$A$1:$E$81,5,FALSE)</f>
        <v>Amok Time</v>
      </c>
      <c r="L1231" s="16">
        <f>VLOOKUP(I1231,episodes!$A$1:$D$81,3,FALSE)</f>
        <v>2</v>
      </c>
      <c r="M1231" s="16">
        <f>VLOOKUP(I1231,episodes!$A$1:$D$81,4,FALSE)</f>
        <v>1</v>
      </c>
      <c r="O1231" s="14">
        <v>0</v>
      </c>
      <c r="P1231" s="24">
        <f>LEN(E1231)+LEN(K1231)</f>
        <v>40</v>
      </c>
      <c r="Q1231" s="24">
        <f>COUNTIFS(B:B,B1230)</f>
        <v>154</v>
      </c>
      <c r="R1231" s="24">
        <f>COUNTIFS(D:D,D1231)</f>
        <v>18</v>
      </c>
    </row>
    <row r="1232" spans="1:18" x14ac:dyDescent="0.3">
      <c r="A1232" s="14">
        <v>1975</v>
      </c>
      <c r="B1232" s="21" t="s">
        <v>263</v>
      </c>
      <c r="C1232" s="21" t="s">
        <v>922</v>
      </c>
      <c r="D1232" s="1" t="s">
        <v>2617</v>
      </c>
      <c r="E1232" s="1" t="s">
        <v>779</v>
      </c>
      <c r="F1232" s="21" t="s">
        <v>6</v>
      </c>
      <c r="G1232" s="14">
        <v>0</v>
      </c>
      <c r="H1232" s="14">
        <v>1</v>
      </c>
      <c r="I1232" s="22">
        <v>129</v>
      </c>
      <c r="J1232" s="23">
        <f>VLOOKUP(I1232,episodes!$A$1:$B$76,2,FALSE)</f>
        <v>30</v>
      </c>
      <c r="K1232" s="16" t="str">
        <f>VLOOKUP(I1232,episodes!$A$1:$E$81,5,FALSE)</f>
        <v>Operation: Annihilate!</v>
      </c>
      <c r="L1232" s="16">
        <f>VLOOKUP(I1232,episodes!$A$1:$D$81,3,FALSE)</f>
        <v>1</v>
      </c>
      <c r="M1232" s="16">
        <f>VLOOKUP(I1232,episodes!$A$1:$D$81,4,FALSE)</f>
        <v>29</v>
      </c>
      <c r="O1232" s="14">
        <v>0</v>
      </c>
      <c r="P1232" s="24">
        <f>LEN(E1232)+LEN(K1232)</f>
        <v>57</v>
      </c>
      <c r="Q1232" s="24">
        <f>COUNTIFS(B:B,B1231)</f>
        <v>154</v>
      </c>
      <c r="R1232" s="24">
        <f>COUNTIFS(D:D,D1232)</f>
        <v>18</v>
      </c>
    </row>
    <row r="1233" spans="1:19" x14ac:dyDescent="0.3">
      <c r="A1233" s="14">
        <v>2351</v>
      </c>
      <c r="B1233" s="21" t="s">
        <v>263</v>
      </c>
      <c r="C1233" s="21" t="s">
        <v>922</v>
      </c>
      <c r="D1233" s="1" t="s">
        <v>2617</v>
      </c>
      <c r="E1233" s="1" t="s">
        <v>2032</v>
      </c>
      <c r="F1233" s="21" t="s">
        <v>5</v>
      </c>
      <c r="G1233" s="14">
        <v>1</v>
      </c>
      <c r="H1233" s="14">
        <v>0</v>
      </c>
      <c r="I1233" s="22">
        <v>202</v>
      </c>
      <c r="J1233" s="23">
        <f>VLOOKUP(I1233,episodes!$A$1:$B$76,2,FALSE)</f>
        <v>32</v>
      </c>
      <c r="K1233" s="16" t="str">
        <f>VLOOKUP(I1233,episodes!$A$1:$E$81,5,FALSE)</f>
        <v>Who Mourns for Adonais?</v>
      </c>
      <c r="L1233" s="16">
        <f>VLOOKUP(I1233,episodes!$A$1:$D$81,3,FALSE)</f>
        <v>2</v>
      </c>
      <c r="M1233" s="16">
        <f>VLOOKUP(I1233,episodes!$A$1:$D$81,4,FALSE)</f>
        <v>2</v>
      </c>
      <c r="O1233" s="14">
        <v>0</v>
      </c>
      <c r="P1233" s="24">
        <f>LEN(E1233)+LEN(K1233)</f>
        <v>110</v>
      </c>
      <c r="Q1233" s="24">
        <f>COUNTIFS(B:B,B1232)</f>
        <v>154</v>
      </c>
      <c r="R1233" s="24">
        <f>COUNTIFS(D:D,D1233)</f>
        <v>18</v>
      </c>
    </row>
    <row r="1234" spans="1:19" x14ac:dyDescent="0.3">
      <c r="A1234" s="14">
        <v>2230</v>
      </c>
      <c r="B1234" s="21" t="s">
        <v>263</v>
      </c>
      <c r="C1234" s="21" t="s">
        <v>922</v>
      </c>
      <c r="D1234" s="1" t="s">
        <v>2617</v>
      </c>
      <c r="E1234" s="1" t="s">
        <v>2033</v>
      </c>
      <c r="F1234" s="21" t="s">
        <v>5</v>
      </c>
      <c r="G1234" s="14">
        <v>1</v>
      </c>
      <c r="H1234" s="14">
        <v>0</v>
      </c>
      <c r="I1234" s="22">
        <v>202</v>
      </c>
      <c r="J1234" s="23">
        <f>VLOOKUP(I1234,episodes!$A$1:$B$76,2,FALSE)</f>
        <v>32</v>
      </c>
      <c r="K1234" s="16" t="str">
        <f>VLOOKUP(I1234,episodes!$A$1:$E$81,5,FALSE)</f>
        <v>Who Mourns for Adonais?</v>
      </c>
      <c r="L1234" s="16">
        <f>VLOOKUP(I1234,episodes!$A$1:$D$81,3,FALSE)</f>
        <v>2</v>
      </c>
      <c r="M1234" s="16">
        <f>VLOOKUP(I1234,episodes!$A$1:$D$81,4,FALSE)</f>
        <v>2</v>
      </c>
      <c r="O1234" s="14">
        <v>0</v>
      </c>
      <c r="P1234" s="24">
        <f>LEN(E1234)+LEN(K1234)</f>
        <v>91</v>
      </c>
      <c r="Q1234" s="24">
        <f>COUNTIFS(B:B,B1233)</f>
        <v>154</v>
      </c>
      <c r="R1234" s="24">
        <f>COUNTIFS(D:D,D1234)</f>
        <v>18</v>
      </c>
    </row>
    <row r="1235" spans="1:19" x14ac:dyDescent="0.3">
      <c r="A1235" s="14">
        <v>2522</v>
      </c>
      <c r="B1235" s="21" t="s">
        <v>263</v>
      </c>
      <c r="C1235" s="21" t="s">
        <v>922</v>
      </c>
      <c r="D1235" s="1" t="s">
        <v>2617</v>
      </c>
      <c r="E1235" s="1" t="s">
        <v>574</v>
      </c>
      <c r="F1235" s="21" t="s">
        <v>1863</v>
      </c>
      <c r="G1235" s="14">
        <v>1</v>
      </c>
      <c r="H1235" s="14">
        <v>0</v>
      </c>
      <c r="I1235" s="22">
        <v>128</v>
      </c>
      <c r="J1235" s="23">
        <f>VLOOKUP(I1235,episodes!$A$1:$B$76,2,FALSE)</f>
        <v>29</v>
      </c>
      <c r="K1235" s="16" t="str">
        <f>VLOOKUP(I1235,episodes!$A$1:$E$81,5,FALSE)</f>
        <v>The City on the Edge of Forever</v>
      </c>
      <c r="L1235" s="16">
        <f>VLOOKUP(I1235,episodes!$A$1:$D$81,3,FALSE)</f>
        <v>1</v>
      </c>
      <c r="M1235" s="16">
        <f>VLOOKUP(I1235,episodes!$A$1:$D$81,4,FALSE)</f>
        <v>28</v>
      </c>
      <c r="O1235" s="14">
        <v>0</v>
      </c>
      <c r="P1235" s="24">
        <f>LEN(E1235)+LEN(K1235)</f>
        <v>67</v>
      </c>
      <c r="Q1235" s="24">
        <f>COUNTIFS(B:B,B1234)</f>
        <v>154</v>
      </c>
      <c r="R1235" s="24">
        <f>COUNTIFS(D:D,D1235)</f>
        <v>18</v>
      </c>
    </row>
    <row r="1236" spans="1:19" x14ac:dyDescent="0.3">
      <c r="A1236" s="14">
        <v>2533</v>
      </c>
      <c r="B1236" s="21" t="s">
        <v>263</v>
      </c>
      <c r="C1236" s="21" t="s">
        <v>922</v>
      </c>
      <c r="D1236" s="1" t="s">
        <v>2617</v>
      </c>
      <c r="E1236" s="1" t="s">
        <v>897</v>
      </c>
      <c r="F1236" s="21" t="s">
        <v>1863</v>
      </c>
      <c r="G1236" s="14">
        <v>1</v>
      </c>
      <c r="H1236" s="14">
        <v>0</v>
      </c>
      <c r="I1236" s="25">
        <v>203</v>
      </c>
      <c r="J1236" s="23">
        <f>VLOOKUP(I1236,episodes!$A$1:$B$76,2,FALSE)</f>
        <v>33</v>
      </c>
      <c r="K1236" s="16" t="str">
        <f>VLOOKUP(I1236,episodes!$A$1:$E$81,5,FALSE)</f>
        <v>The Changeling</v>
      </c>
      <c r="L1236" s="16">
        <f>VLOOKUP(I1236,episodes!$A$1:$D$81,3,FALSE)</f>
        <v>2</v>
      </c>
      <c r="M1236" s="16">
        <f>VLOOKUP(I1236,episodes!$A$1:$D$81,4,FALSE)</f>
        <v>3</v>
      </c>
      <c r="O1236" s="14">
        <v>0</v>
      </c>
      <c r="P1236" s="24">
        <f>LEN(E1236)+LEN(K1236)</f>
        <v>73</v>
      </c>
      <c r="Q1236" s="24">
        <f>COUNTIFS(B:B,B1235)</f>
        <v>154</v>
      </c>
      <c r="R1236" s="24">
        <f>COUNTIFS(D:D,D1236)</f>
        <v>18</v>
      </c>
    </row>
    <row r="1237" spans="1:19" x14ac:dyDescent="0.3">
      <c r="A1237" s="14">
        <v>2530</v>
      </c>
      <c r="B1237" s="21" t="s">
        <v>263</v>
      </c>
      <c r="C1237" s="21" t="s">
        <v>922</v>
      </c>
      <c r="D1237" s="1" t="s">
        <v>2617</v>
      </c>
      <c r="E1237" s="1" t="s">
        <v>567</v>
      </c>
      <c r="F1237" s="21" t="s">
        <v>1863</v>
      </c>
      <c r="G1237" s="14">
        <v>1</v>
      </c>
      <c r="H1237" s="14">
        <v>0</v>
      </c>
      <c r="I1237" s="22">
        <v>202</v>
      </c>
      <c r="J1237" s="23">
        <f>VLOOKUP(I1237,episodes!$A$1:$B$76,2,FALSE)</f>
        <v>32</v>
      </c>
      <c r="K1237" s="16" t="str">
        <f>VLOOKUP(I1237,episodes!$A$1:$E$81,5,FALSE)</f>
        <v>Who Mourns for Adonais?</v>
      </c>
      <c r="L1237" s="16">
        <f>VLOOKUP(I1237,episodes!$A$1:$D$81,3,FALSE)</f>
        <v>2</v>
      </c>
      <c r="M1237" s="16">
        <f>VLOOKUP(I1237,episodes!$A$1:$D$81,4,FALSE)</f>
        <v>2</v>
      </c>
      <c r="O1237" s="14">
        <v>0</v>
      </c>
      <c r="P1237" s="24">
        <f>LEN(E1237)+LEN(K1237)</f>
        <v>49</v>
      </c>
      <c r="Q1237" s="24">
        <f>COUNTIFS(B:B,B1236)</f>
        <v>154</v>
      </c>
      <c r="R1237" s="24">
        <f>COUNTIFS(D:D,D1237)</f>
        <v>18</v>
      </c>
    </row>
    <row r="1238" spans="1:19" x14ac:dyDescent="0.3">
      <c r="A1238" s="14">
        <v>89</v>
      </c>
      <c r="B1238" s="21" t="s">
        <v>263</v>
      </c>
      <c r="C1238" s="21" t="s">
        <v>922</v>
      </c>
      <c r="D1238" s="1" t="s">
        <v>2617</v>
      </c>
      <c r="E1238" s="1" t="s">
        <v>598</v>
      </c>
      <c r="F1238" s="1" t="s">
        <v>2240</v>
      </c>
      <c r="G1238" s="14">
        <v>0</v>
      </c>
      <c r="H1238" s="14">
        <v>0</v>
      </c>
      <c r="I1238" s="22">
        <v>115</v>
      </c>
      <c r="J1238" s="23">
        <f>VLOOKUP(I1238,episodes!$A$1:$B$76,2,FALSE)</f>
        <v>16</v>
      </c>
      <c r="K1238" s="16" t="str">
        <f>VLOOKUP(I1238,episodes!$A$1:$E$81,5,FALSE)</f>
        <v>Shore Leave</v>
      </c>
      <c r="L1238" s="16">
        <f>VLOOKUP(I1238,episodes!$A$1:$D$81,3,FALSE)</f>
        <v>1</v>
      </c>
      <c r="M1238" s="16">
        <f>VLOOKUP(I1238,episodes!$A$1:$D$81,4,FALSE)</f>
        <v>15</v>
      </c>
      <c r="O1238" s="14">
        <v>0</v>
      </c>
      <c r="P1238" s="24">
        <f>LEN(E1238)+LEN(K1238)</f>
        <v>44</v>
      </c>
      <c r="Q1238" s="24">
        <f>COUNTIFS(B:B,B1237)</f>
        <v>154</v>
      </c>
      <c r="R1238" s="24">
        <f>COUNTIFS(D:D,D1238)</f>
        <v>18</v>
      </c>
    </row>
    <row r="1239" spans="1:19" x14ac:dyDescent="0.3">
      <c r="A1239" s="14">
        <v>2896</v>
      </c>
      <c r="B1239" s="21" t="s">
        <v>263</v>
      </c>
      <c r="C1239" s="21" t="s">
        <v>922</v>
      </c>
      <c r="D1239" s="1" t="s">
        <v>2617</v>
      </c>
      <c r="E1239" s="1" t="s">
        <v>572</v>
      </c>
      <c r="F1239" s="1" t="s">
        <v>2239</v>
      </c>
      <c r="G1239" s="14">
        <v>0</v>
      </c>
      <c r="H1239" s="14">
        <v>0</v>
      </c>
      <c r="I1239" s="22">
        <v>127</v>
      </c>
      <c r="J1239" s="23">
        <f>VLOOKUP(I1239,episodes!$A$1:$B$76,2,FALSE)</f>
        <v>28</v>
      </c>
      <c r="K1239" s="16" t="str">
        <f>VLOOKUP(I1239,episodes!$A$1:$E$81,5,FALSE)</f>
        <v>The Alternative Factor</v>
      </c>
      <c r="L1239" s="16">
        <f>VLOOKUP(I1239,episodes!$A$1:$D$81,3,FALSE)</f>
        <v>1</v>
      </c>
      <c r="M1239" s="16">
        <f>VLOOKUP(I1239,episodes!$A$1:$D$81,4,FALSE)</f>
        <v>27</v>
      </c>
      <c r="O1239" s="14">
        <v>0</v>
      </c>
      <c r="P1239" s="24">
        <f>LEN(E1239)+LEN(K1239)</f>
        <v>55</v>
      </c>
      <c r="Q1239" s="24">
        <f>COUNTIFS(B:B,B1238)</f>
        <v>154</v>
      </c>
      <c r="R1239" s="24">
        <f>COUNTIFS(D:D,D1239)</f>
        <v>18</v>
      </c>
    </row>
    <row r="1240" spans="1:19" x14ac:dyDescent="0.3">
      <c r="A1240" s="14">
        <v>100</v>
      </c>
      <c r="B1240" s="21" t="s">
        <v>263</v>
      </c>
      <c r="C1240" s="21" t="s">
        <v>922</v>
      </c>
      <c r="E1240" s="1" t="s">
        <v>634</v>
      </c>
      <c r="F1240" s="1" t="s">
        <v>46</v>
      </c>
      <c r="G1240" s="14">
        <v>0</v>
      </c>
      <c r="H1240" s="14">
        <v>0</v>
      </c>
      <c r="I1240" s="22">
        <v>121</v>
      </c>
      <c r="J1240" s="23">
        <f>VLOOKUP(I1240,episodes!$A$1:$B$76,2,FALSE)</f>
        <v>22</v>
      </c>
      <c r="K1240" s="16" t="str">
        <f>VLOOKUP(I1240,episodes!$A$1:$E$81,5,FALSE)</f>
        <v>The Return of the Archons</v>
      </c>
      <c r="L1240" s="16">
        <f>VLOOKUP(I1240,episodes!$A$1:$D$81,3,FALSE)</f>
        <v>1</v>
      </c>
      <c r="M1240" s="16">
        <f>VLOOKUP(I1240,episodes!$A$1:$D$81,4,FALSE)</f>
        <v>21</v>
      </c>
      <c r="O1240" s="14">
        <v>0</v>
      </c>
      <c r="P1240" s="24">
        <f>LEN(E1240)+LEN(K1240)</f>
        <v>74</v>
      </c>
      <c r="Q1240" s="24">
        <f>COUNTIFS(B:B,B1239)</f>
        <v>154</v>
      </c>
      <c r="R1240" s="24">
        <f>COUNTIFS(D:D,D1240)</f>
        <v>0</v>
      </c>
    </row>
    <row r="1241" spans="1:19" s="21" customFormat="1" x14ac:dyDescent="0.3">
      <c r="A1241" s="14">
        <v>110</v>
      </c>
      <c r="B1241" s="21" t="s">
        <v>263</v>
      </c>
      <c r="C1241" s="21" t="s">
        <v>922</v>
      </c>
      <c r="D1241" s="1"/>
      <c r="E1241" s="1" t="s">
        <v>2576</v>
      </c>
      <c r="F1241" s="1" t="s">
        <v>2284</v>
      </c>
      <c r="G1241" s="26">
        <v>0</v>
      </c>
      <c r="H1241" s="14">
        <v>0</v>
      </c>
      <c r="I1241" s="22">
        <v>201</v>
      </c>
      <c r="J1241" s="23">
        <f>VLOOKUP(I1241,episodes!$A$1:$B$76,2,FALSE)</f>
        <v>31</v>
      </c>
      <c r="K1241" s="16" t="str">
        <f>VLOOKUP(I1241,episodes!$A$1:$E$81,5,FALSE)</f>
        <v>Amok Time</v>
      </c>
      <c r="L1241" s="16">
        <f>VLOOKUP(I1241,episodes!$A$1:$D$81,3,FALSE)</f>
        <v>2</v>
      </c>
      <c r="M1241" s="16">
        <f>VLOOKUP(I1241,episodes!$A$1:$D$81,4,FALSE)</f>
        <v>1</v>
      </c>
      <c r="N1241" s="14"/>
      <c r="O1241" s="14">
        <v>0</v>
      </c>
      <c r="P1241" s="24">
        <f>LEN(E1241)+LEN(K1241)</f>
        <v>42</v>
      </c>
      <c r="Q1241" s="24">
        <f>COUNTIFS(B:B,B1240)</f>
        <v>154</v>
      </c>
      <c r="R1241" s="24">
        <f>COUNTIFS(D:D,D1241)</f>
        <v>0</v>
      </c>
    </row>
    <row r="1242" spans="1:19" s="21" customFormat="1" x14ac:dyDescent="0.3">
      <c r="A1242" s="14">
        <v>114</v>
      </c>
      <c r="B1242" s="21" t="s">
        <v>263</v>
      </c>
      <c r="C1242" s="21" t="s">
        <v>922</v>
      </c>
      <c r="E1242" s="1" t="s">
        <v>2580</v>
      </c>
      <c r="F1242" s="21" t="s">
        <v>2284</v>
      </c>
      <c r="G1242" s="14">
        <v>0</v>
      </c>
      <c r="H1242" s="14">
        <v>0</v>
      </c>
      <c r="I1242" s="25">
        <v>210</v>
      </c>
      <c r="J1242" s="23">
        <f>VLOOKUP(I1242,episodes!$A$1:$B$81,2,FALSE)</f>
        <v>40</v>
      </c>
      <c r="K1242" s="16" t="str">
        <f>VLOOKUP(I1242,episodes!$A$1:$E$81,5,FALSE)</f>
        <v>Journey to Babel</v>
      </c>
      <c r="L1242" s="16">
        <f>VLOOKUP(I1242,episodes!$A$1:$D$81,3,FALSE)</f>
        <v>2</v>
      </c>
      <c r="M1242" s="16">
        <f>VLOOKUP(I1242,episodes!$A$1:$D$81,4,FALSE)</f>
        <v>10</v>
      </c>
      <c r="N1242" s="14"/>
      <c r="O1242" s="14">
        <v>0</v>
      </c>
      <c r="P1242" s="24">
        <f>LEN(E1242)+LEN(K1242)</f>
        <v>49</v>
      </c>
      <c r="Q1242" s="24">
        <f>COUNTIFS(B:B,B1241)</f>
        <v>154</v>
      </c>
      <c r="R1242" s="24">
        <f>COUNTIFS(D:D,D1242)</f>
        <v>0</v>
      </c>
    </row>
    <row r="1243" spans="1:19" s="21" customFormat="1" x14ac:dyDescent="0.3">
      <c r="A1243" s="14">
        <v>113</v>
      </c>
      <c r="B1243" s="21" t="s">
        <v>263</v>
      </c>
      <c r="C1243" s="21" t="s">
        <v>922</v>
      </c>
      <c r="D1243" s="1"/>
      <c r="E1243" s="1" t="s">
        <v>2577</v>
      </c>
      <c r="F1243" s="1" t="s">
        <v>2284</v>
      </c>
      <c r="G1243" s="26">
        <v>0</v>
      </c>
      <c r="H1243" s="26">
        <v>0</v>
      </c>
      <c r="I1243" s="22">
        <v>206</v>
      </c>
      <c r="J1243" s="23">
        <f>VLOOKUP(I1243,episodes!$A$1:$B$76,2,FALSE)</f>
        <v>36</v>
      </c>
      <c r="K1243" s="16" t="str">
        <f>VLOOKUP(I1243,episodes!$A$1:$E$81,5,FALSE)</f>
        <v>The Doomsday Machine</v>
      </c>
      <c r="L1243" s="16">
        <f>VLOOKUP(I1243,episodes!$A$1:$D$81,3,FALSE)</f>
        <v>2</v>
      </c>
      <c r="M1243" s="16">
        <f>VLOOKUP(I1243,episodes!$A$1:$D$81,4,FALSE)</f>
        <v>6</v>
      </c>
      <c r="N1243" s="14"/>
      <c r="O1243" s="14">
        <v>0</v>
      </c>
      <c r="P1243" s="24">
        <f>LEN(E1243)+LEN(K1243)</f>
        <v>54</v>
      </c>
      <c r="Q1243" s="24">
        <f>COUNTIFS(B:B,B1242)</f>
        <v>154</v>
      </c>
      <c r="R1243" s="24">
        <f>COUNTIFS(D:D,D1243)</f>
        <v>0</v>
      </c>
    </row>
    <row r="1244" spans="1:19" s="21" customFormat="1" x14ac:dyDescent="0.3">
      <c r="A1244" s="14">
        <v>111</v>
      </c>
      <c r="B1244" s="21" t="s">
        <v>263</v>
      </c>
      <c r="C1244" s="21" t="s">
        <v>922</v>
      </c>
      <c r="D1244" s="1"/>
      <c r="E1244" s="1" t="s">
        <v>2578</v>
      </c>
      <c r="F1244" s="1" t="s">
        <v>2284</v>
      </c>
      <c r="G1244" s="14">
        <v>0</v>
      </c>
      <c r="H1244" s="14">
        <v>0</v>
      </c>
      <c r="I1244" s="22">
        <v>202</v>
      </c>
      <c r="J1244" s="23">
        <f>VLOOKUP(I1244,episodes!$A$1:$B$76,2,FALSE)</f>
        <v>32</v>
      </c>
      <c r="K1244" s="16" t="str">
        <f>VLOOKUP(I1244,episodes!$A$1:$E$81,5,FALSE)</f>
        <v>Who Mourns for Adonais?</v>
      </c>
      <c r="L1244" s="16">
        <f>VLOOKUP(I1244,episodes!$A$1:$D$81,3,FALSE)</f>
        <v>2</v>
      </c>
      <c r="M1244" s="16">
        <f>VLOOKUP(I1244,episodes!$A$1:$D$81,4,FALSE)</f>
        <v>2</v>
      </c>
      <c r="N1244" s="14"/>
      <c r="O1244" s="14">
        <v>0</v>
      </c>
      <c r="P1244" s="24">
        <f>LEN(E1244)+LEN(K1244)</f>
        <v>58</v>
      </c>
      <c r="Q1244" s="24">
        <f>COUNTIFS(B:B,B1243)</f>
        <v>154</v>
      </c>
      <c r="R1244" s="24">
        <f>COUNTIFS(D:D,D1244)</f>
        <v>0</v>
      </c>
    </row>
    <row r="1245" spans="1:19" s="21" customFormat="1" x14ac:dyDescent="0.3">
      <c r="A1245" s="14">
        <v>296</v>
      </c>
      <c r="B1245" s="21" t="s">
        <v>263</v>
      </c>
      <c r="C1245" s="21" t="s">
        <v>922</v>
      </c>
      <c r="D1245" s="1"/>
      <c r="E1245" s="1" t="s">
        <v>2030</v>
      </c>
      <c r="F1245" s="1" t="s">
        <v>2224</v>
      </c>
      <c r="G1245" s="14">
        <v>0</v>
      </c>
      <c r="H1245" s="14">
        <v>0</v>
      </c>
      <c r="I1245" s="22">
        <v>119</v>
      </c>
      <c r="J1245" s="23">
        <f>VLOOKUP(I1245,episodes!$A$1:$B$76,2,FALSE)</f>
        <v>20</v>
      </c>
      <c r="K1245" s="16" t="str">
        <f>VLOOKUP(I1245,episodes!$A$1:$E$81,5,FALSE)</f>
        <v>Tomorrow Is Yesterday</v>
      </c>
      <c r="L1245" s="16">
        <f>VLOOKUP(I1245,episodes!$A$1:$D$81,3,FALSE)</f>
        <v>1</v>
      </c>
      <c r="M1245" s="16">
        <f>VLOOKUP(I1245,episodes!$A$1:$D$81,4,FALSE)</f>
        <v>19</v>
      </c>
      <c r="N1245" s="14"/>
      <c r="O1245" s="14">
        <v>0</v>
      </c>
      <c r="P1245" s="24">
        <f>LEN(E1245)+LEN(K1245)</f>
        <v>83</v>
      </c>
      <c r="Q1245" s="24">
        <f>COUNTIFS(B:B,B1244)</f>
        <v>154</v>
      </c>
      <c r="R1245" s="24">
        <f>COUNTIFS(D:D,D1245)</f>
        <v>0</v>
      </c>
      <c r="S1245" s="1"/>
    </row>
    <row r="1246" spans="1:19" s="21" customFormat="1" x14ac:dyDescent="0.3">
      <c r="A1246" s="14">
        <v>179</v>
      </c>
      <c r="B1246" s="21" t="s">
        <v>263</v>
      </c>
      <c r="C1246" s="21" t="s">
        <v>922</v>
      </c>
      <c r="D1246" s="1"/>
      <c r="E1246" s="1" t="s">
        <v>599</v>
      </c>
      <c r="F1246" s="1" t="s">
        <v>2255</v>
      </c>
      <c r="G1246" s="14">
        <v>0</v>
      </c>
      <c r="H1246" s="14">
        <v>0</v>
      </c>
      <c r="I1246" s="22">
        <v>116</v>
      </c>
      <c r="J1246" s="23">
        <f>VLOOKUP(I1246,episodes!$A$1:$B$76,2,FALSE)</f>
        <v>17</v>
      </c>
      <c r="K1246" s="16" t="str">
        <f>VLOOKUP(I1246,episodes!$A$1:$E$81,5,FALSE)</f>
        <v>The Galileo Seven</v>
      </c>
      <c r="L1246" s="16">
        <f>VLOOKUP(I1246,episodes!$A$1:$D$81,3,FALSE)</f>
        <v>1</v>
      </c>
      <c r="M1246" s="16">
        <f>VLOOKUP(I1246,episodes!$A$1:$D$81,4,FALSE)</f>
        <v>16</v>
      </c>
      <c r="N1246" s="14"/>
      <c r="O1246" s="14">
        <v>0</v>
      </c>
      <c r="P1246" s="24">
        <f>LEN(E1246)+LEN(K1246)</f>
        <v>56</v>
      </c>
      <c r="Q1246" s="24">
        <f>COUNTIFS(B:B,B1245)</f>
        <v>154</v>
      </c>
      <c r="R1246" s="24">
        <f>COUNTIFS(D:D,D1246)</f>
        <v>0</v>
      </c>
      <c r="S1246" s="1"/>
    </row>
    <row r="1247" spans="1:19" s="21" customFormat="1" x14ac:dyDescent="0.3">
      <c r="A1247" s="14">
        <v>177</v>
      </c>
      <c r="B1247" s="21" t="s">
        <v>263</v>
      </c>
      <c r="C1247" s="21" t="s">
        <v>922</v>
      </c>
      <c r="D1247" s="1"/>
      <c r="E1247" s="1" t="s">
        <v>558</v>
      </c>
      <c r="F1247" s="1" t="s">
        <v>2255</v>
      </c>
      <c r="G1247" s="14">
        <v>0</v>
      </c>
      <c r="H1247" s="14">
        <v>0</v>
      </c>
      <c r="I1247" s="25">
        <v>111</v>
      </c>
      <c r="J1247" s="23">
        <f>VLOOKUP(I1247,episodes!$A$1:$B$76,2,FALSE)</f>
        <v>12</v>
      </c>
      <c r="K1247" s="16" t="str">
        <f>VLOOKUP(I1247,episodes!$A$1:$E$81,5,FALSE)</f>
        <v>The Menagerie, Part I</v>
      </c>
      <c r="L1247" s="16">
        <f>VLOOKUP(I1247,episodes!$A$1:$D$81,3,FALSE)</f>
        <v>1</v>
      </c>
      <c r="M1247" s="16">
        <f>VLOOKUP(I1247,episodes!$A$1:$D$81,4,FALSE)</f>
        <v>11</v>
      </c>
      <c r="N1247" s="14"/>
      <c r="O1247" s="14">
        <v>0</v>
      </c>
      <c r="P1247" s="24">
        <f>LEN(E1247)+LEN(K1247)</f>
        <v>62</v>
      </c>
      <c r="Q1247" s="24">
        <f>COUNTIFS(B:B,B1246)</f>
        <v>154</v>
      </c>
      <c r="R1247" s="24">
        <f>COUNTIFS(D:D,D1247)</f>
        <v>0</v>
      </c>
    </row>
    <row r="1248" spans="1:19" s="21" customFormat="1" x14ac:dyDescent="0.3">
      <c r="A1248" s="14">
        <v>236</v>
      </c>
      <c r="B1248" s="21" t="s">
        <v>263</v>
      </c>
      <c r="C1248" s="21" t="s">
        <v>922</v>
      </c>
      <c r="E1248" s="1" t="s">
        <v>2038</v>
      </c>
      <c r="F1248" s="21" t="s">
        <v>56</v>
      </c>
      <c r="G1248" s="14">
        <v>0</v>
      </c>
      <c r="H1248" s="14">
        <v>0</v>
      </c>
      <c r="I1248" s="25">
        <v>210</v>
      </c>
      <c r="J1248" s="23">
        <f>VLOOKUP(I1248,episodes!$A$1:$B$81,2,FALSE)</f>
        <v>40</v>
      </c>
      <c r="K1248" s="16" t="str">
        <f>VLOOKUP(I1248,episodes!$A$1:$E$81,5,FALSE)</f>
        <v>Journey to Babel</v>
      </c>
      <c r="L1248" s="16">
        <f>VLOOKUP(I1248,episodes!$A$1:$D$81,3,FALSE)</f>
        <v>2</v>
      </c>
      <c r="M1248" s="16">
        <f>VLOOKUP(I1248,episodes!$A$1:$D$81,4,FALSE)</f>
        <v>10</v>
      </c>
      <c r="N1248" s="14"/>
      <c r="O1248" s="14">
        <v>0</v>
      </c>
      <c r="P1248" s="24">
        <f>LEN(E1248)+LEN(K1248)</f>
        <v>46</v>
      </c>
      <c r="Q1248" s="24">
        <f>COUNTIFS(B:B,B1247)</f>
        <v>154</v>
      </c>
      <c r="R1248" s="24">
        <f>COUNTIFS(D:D,D1248)</f>
        <v>0</v>
      </c>
    </row>
    <row r="1249" spans="1:18" s="21" customFormat="1" x14ac:dyDescent="0.3">
      <c r="A1249" s="14">
        <v>223</v>
      </c>
      <c r="B1249" s="21" t="s">
        <v>263</v>
      </c>
      <c r="C1249" s="21" t="s">
        <v>922</v>
      </c>
      <c r="D1249" s="1"/>
      <c r="E1249" s="1" t="s">
        <v>565</v>
      </c>
      <c r="F1249" s="21" t="s">
        <v>56</v>
      </c>
      <c r="G1249" s="14">
        <v>0</v>
      </c>
      <c r="H1249" s="14">
        <v>0</v>
      </c>
      <c r="I1249" s="22">
        <v>121</v>
      </c>
      <c r="J1249" s="23">
        <f>VLOOKUP(I1249,episodes!$A$1:$B$76,2,FALSE)</f>
        <v>22</v>
      </c>
      <c r="K1249" s="16" t="str">
        <f>VLOOKUP(I1249,episodes!$A$1:$E$81,5,FALSE)</f>
        <v>The Return of the Archons</v>
      </c>
      <c r="L1249" s="16">
        <f>VLOOKUP(I1249,episodes!$A$1:$D$81,3,FALSE)</f>
        <v>1</v>
      </c>
      <c r="M1249" s="16">
        <f>VLOOKUP(I1249,episodes!$A$1:$D$81,4,FALSE)</f>
        <v>21</v>
      </c>
      <c r="N1249" s="14"/>
      <c r="O1249" s="14">
        <v>0</v>
      </c>
      <c r="P1249" s="24">
        <f>LEN(E1249)+LEN(K1249)</f>
        <v>45</v>
      </c>
      <c r="Q1249" s="24">
        <f>COUNTIFS(B:B,B1248)</f>
        <v>154</v>
      </c>
      <c r="R1249" s="24">
        <f>COUNTIFS(D:D,D1249)</f>
        <v>0</v>
      </c>
    </row>
    <row r="1250" spans="1:18" s="21" customFormat="1" x14ac:dyDescent="0.3">
      <c r="A1250" s="14">
        <v>1026</v>
      </c>
      <c r="B1250" s="21" t="s">
        <v>263</v>
      </c>
      <c r="C1250" s="21" t="s">
        <v>922</v>
      </c>
      <c r="D1250" s="1"/>
      <c r="E1250" s="1" t="s">
        <v>2562</v>
      </c>
      <c r="F1250" s="21" t="s">
        <v>2285</v>
      </c>
      <c r="G1250" s="14">
        <v>0</v>
      </c>
      <c r="H1250" s="14">
        <v>0</v>
      </c>
      <c r="I1250" s="22">
        <v>127</v>
      </c>
      <c r="J1250" s="23">
        <f>VLOOKUP(I1250,episodes!$A$1:$B$76,2,FALSE)</f>
        <v>28</v>
      </c>
      <c r="K1250" s="16" t="str">
        <f>VLOOKUP(I1250,episodes!$A$1:$E$81,5,FALSE)</f>
        <v>The Alternative Factor</v>
      </c>
      <c r="L1250" s="16">
        <f>VLOOKUP(I1250,episodes!$A$1:$D$81,3,FALSE)</f>
        <v>1</v>
      </c>
      <c r="M1250" s="16">
        <f>VLOOKUP(I1250,episodes!$A$1:$D$81,4,FALSE)</f>
        <v>27</v>
      </c>
      <c r="N1250" s="14"/>
      <c r="O1250" s="14">
        <v>0</v>
      </c>
      <c r="P1250" s="24">
        <f>LEN(E1250)+LEN(K1250)</f>
        <v>60</v>
      </c>
      <c r="Q1250" s="24"/>
      <c r="R1250" s="24"/>
    </row>
    <row r="1251" spans="1:18" s="21" customFormat="1" x14ac:dyDescent="0.3">
      <c r="A1251" s="14">
        <v>238</v>
      </c>
      <c r="B1251" s="21" t="s">
        <v>263</v>
      </c>
      <c r="C1251" s="21" t="s">
        <v>922</v>
      </c>
      <c r="D1251" s="1"/>
      <c r="E1251" s="1" t="s">
        <v>2563</v>
      </c>
      <c r="F1251" s="21" t="s">
        <v>2285</v>
      </c>
      <c r="G1251" s="14">
        <v>0</v>
      </c>
      <c r="H1251" s="14">
        <v>0</v>
      </c>
      <c r="I1251" s="22">
        <v>116</v>
      </c>
      <c r="J1251" s="23">
        <f>VLOOKUP(I1251,episodes!$A$1:$B$76,2,FALSE)</f>
        <v>17</v>
      </c>
      <c r="K1251" s="16" t="str">
        <f>VLOOKUP(I1251,episodes!$A$1:$E$81,5,FALSE)</f>
        <v>The Galileo Seven</v>
      </c>
      <c r="L1251" s="16">
        <f>VLOOKUP(I1251,episodes!$A$1:$D$81,3,FALSE)</f>
        <v>1</v>
      </c>
      <c r="M1251" s="16">
        <f>VLOOKUP(I1251,episodes!$A$1:$D$81,4,FALSE)</f>
        <v>16</v>
      </c>
      <c r="N1251" s="14"/>
      <c r="O1251" s="14">
        <v>0</v>
      </c>
      <c r="P1251" s="24">
        <f>LEN(E1251)+LEN(K1251)</f>
        <v>47</v>
      </c>
      <c r="Q1251" s="24">
        <f>COUNTIFS(B:B,B1250)</f>
        <v>154</v>
      </c>
      <c r="R1251" s="24">
        <f>COUNTIFS(D:D,D1251)</f>
        <v>0</v>
      </c>
    </row>
    <row r="1252" spans="1:18" s="21" customFormat="1" x14ac:dyDescent="0.3">
      <c r="A1252" s="14">
        <v>239</v>
      </c>
      <c r="B1252" s="21" t="s">
        <v>263</v>
      </c>
      <c r="C1252" s="21" t="s">
        <v>922</v>
      </c>
      <c r="D1252" s="1"/>
      <c r="E1252" s="1" t="s">
        <v>2563</v>
      </c>
      <c r="F1252" s="21" t="s">
        <v>2285</v>
      </c>
      <c r="G1252" s="14">
        <v>0</v>
      </c>
      <c r="H1252" s="14">
        <v>0</v>
      </c>
      <c r="I1252" s="22">
        <v>201</v>
      </c>
      <c r="J1252" s="23">
        <f>VLOOKUP(I1252,episodes!$A$1:$B$76,2,FALSE)</f>
        <v>31</v>
      </c>
      <c r="K1252" s="16" t="str">
        <f>VLOOKUP(I1252,episodes!$A$1:$E$81,5,FALSE)</f>
        <v>Amok Time</v>
      </c>
      <c r="L1252" s="16">
        <f>VLOOKUP(I1252,episodes!$A$1:$D$81,3,FALSE)</f>
        <v>2</v>
      </c>
      <c r="M1252" s="16">
        <f>VLOOKUP(I1252,episodes!$A$1:$D$81,4,FALSE)</f>
        <v>1</v>
      </c>
      <c r="N1252" s="14"/>
      <c r="O1252" s="14">
        <v>0</v>
      </c>
      <c r="P1252" s="24">
        <f>LEN(E1252)+LEN(K1252)</f>
        <v>39</v>
      </c>
      <c r="Q1252" s="24">
        <f>COUNTIFS(B:B,B1251)</f>
        <v>154</v>
      </c>
      <c r="R1252" s="24">
        <f>COUNTIFS(D:D,D1252)</f>
        <v>0</v>
      </c>
    </row>
    <row r="1253" spans="1:18" s="21" customFormat="1" x14ac:dyDescent="0.3">
      <c r="A1253" s="14">
        <v>241</v>
      </c>
      <c r="B1253" s="21" t="s">
        <v>263</v>
      </c>
      <c r="C1253" s="21" t="s">
        <v>922</v>
      </c>
      <c r="D1253" s="1"/>
      <c r="E1253" s="1" t="s">
        <v>2563</v>
      </c>
      <c r="F1253" s="21" t="s">
        <v>2285</v>
      </c>
      <c r="G1253" s="14">
        <v>0</v>
      </c>
      <c r="H1253" s="14">
        <v>0</v>
      </c>
      <c r="I1253" s="25">
        <v>203</v>
      </c>
      <c r="J1253" s="23">
        <f>VLOOKUP(I1253,episodes!$A$1:$B$76,2,FALSE)</f>
        <v>33</v>
      </c>
      <c r="K1253" s="16" t="str">
        <f>VLOOKUP(I1253,episodes!$A$1:$E$81,5,FALSE)</f>
        <v>The Changeling</v>
      </c>
      <c r="L1253" s="16">
        <f>VLOOKUP(I1253,episodes!$A$1:$D$81,3,FALSE)</f>
        <v>2</v>
      </c>
      <c r="M1253" s="16">
        <f>VLOOKUP(I1253,episodes!$A$1:$D$81,4,FALSE)</f>
        <v>3</v>
      </c>
      <c r="N1253" s="14"/>
      <c r="O1253" s="14">
        <v>0</v>
      </c>
      <c r="P1253" s="24">
        <f>LEN(E1253)+LEN(K1253)</f>
        <v>44</v>
      </c>
      <c r="Q1253" s="24">
        <f>COUNTIFS(B:B,B1252)</f>
        <v>154</v>
      </c>
      <c r="R1253" s="24">
        <f>COUNTIFS(D:D,D1253)</f>
        <v>0</v>
      </c>
    </row>
    <row r="1254" spans="1:18" s="21" customFormat="1" x14ac:dyDescent="0.3">
      <c r="A1254" s="14">
        <v>242</v>
      </c>
      <c r="B1254" s="21" t="s">
        <v>263</v>
      </c>
      <c r="C1254" s="21" t="s">
        <v>922</v>
      </c>
      <c r="D1254" s="1"/>
      <c r="E1254" s="1" t="s">
        <v>2563</v>
      </c>
      <c r="F1254" s="21" t="s">
        <v>2285</v>
      </c>
      <c r="G1254" s="14">
        <v>0</v>
      </c>
      <c r="H1254" s="14">
        <v>0</v>
      </c>
      <c r="I1254" s="22">
        <v>206</v>
      </c>
      <c r="J1254" s="23">
        <f>VLOOKUP(I1254,episodes!$A$1:$B$76,2,FALSE)</f>
        <v>36</v>
      </c>
      <c r="K1254" s="16" t="str">
        <f>VLOOKUP(I1254,episodes!$A$1:$E$81,5,FALSE)</f>
        <v>The Doomsday Machine</v>
      </c>
      <c r="L1254" s="16">
        <f>VLOOKUP(I1254,episodes!$A$1:$D$81,3,FALSE)</f>
        <v>2</v>
      </c>
      <c r="M1254" s="16">
        <f>VLOOKUP(I1254,episodes!$A$1:$D$81,4,FALSE)</f>
        <v>6</v>
      </c>
      <c r="N1254" s="14"/>
      <c r="O1254" s="14">
        <v>0</v>
      </c>
      <c r="P1254" s="24">
        <f>LEN(E1254)+LEN(K1254)</f>
        <v>50</v>
      </c>
      <c r="Q1254" s="24">
        <f>COUNTIFS(B:B,B1253)</f>
        <v>154</v>
      </c>
      <c r="R1254" s="24">
        <f>COUNTIFS(D:D,D1254)</f>
        <v>0</v>
      </c>
    </row>
    <row r="1255" spans="1:18" s="21" customFormat="1" x14ac:dyDescent="0.3">
      <c r="A1255" s="14">
        <v>691</v>
      </c>
      <c r="B1255" s="21" t="s">
        <v>263</v>
      </c>
      <c r="C1255" s="21" t="s">
        <v>922</v>
      </c>
      <c r="D1255" s="1"/>
      <c r="E1255" s="1" t="s">
        <v>561</v>
      </c>
      <c r="F1255" s="21" t="s">
        <v>4</v>
      </c>
      <c r="G1255" s="14">
        <v>1</v>
      </c>
      <c r="H1255" s="14">
        <v>0</v>
      </c>
      <c r="I1255" s="25">
        <v>113</v>
      </c>
      <c r="J1255" s="23">
        <f>VLOOKUP(I1255,episodes!$A$1:$B$76,2,FALSE)</f>
        <v>14</v>
      </c>
      <c r="K1255" s="16" t="str">
        <f>VLOOKUP(I1255,episodes!$A$1:$E$81,5,FALSE)</f>
        <v>The Conscience of the King</v>
      </c>
      <c r="L1255" s="16">
        <f>VLOOKUP(I1255,episodes!$A$1:$D$81,3,FALSE)</f>
        <v>1</v>
      </c>
      <c r="M1255" s="16">
        <f>VLOOKUP(I1255,episodes!$A$1:$D$81,4,FALSE)</f>
        <v>13</v>
      </c>
      <c r="N1255" s="14"/>
      <c r="O1255" s="14">
        <v>0</v>
      </c>
      <c r="P1255" s="24">
        <f>LEN(E1255)+LEN(K1255)</f>
        <v>52</v>
      </c>
      <c r="Q1255" s="24">
        <f>COUNTIFS(B:B,B1254)</f>
        <v>154</v>
      </c>
      <c r="R1255" s="24">
        <f>COUNTIFS(D:D,D1255)</f>
        <v>0</v>
      </c>
    </row>
    <row r="1256" spans="1:18" s="21" customFormat="1" x14ac:dyDescent="0.3">
      <c r="A1256" s="14">
        <v>1183</v>
      </c>
      <c r="B1256" s="21" t="s">
        <v>263</v>
      </c>
      <c r="C1256" s="21" t="s">
        <v>922</v>
      </c>
      <c r="D1256" s="1"/>
      <c r="E1256" s="1" t="s">
        <v>2564</v>
      </c>
      <c r="F1256" s="21" t="s">
        <v>4</v>
      </c>
      <c r="G1256" s="14">
        <v>1</v>
      </c>
      <c r="H1256" s="14">
        <v>0</v>
      </c>
      <c r="I1256" s="22">
        <v>126</v>
      </c>
      <c r="J1256" s="23">
        <f>VLOOKUP(I1256,episodes!$A$1:$B$76,2,FALSE)</f>
        <v>27</v>
      </c>
      <c r="K1256" s="16" t="str">
        <f>VLOOKUP(I1256,episodes!$A$1:$E$81,5,FALSE)</f>
        <v>Errand of Mercy</v>
      </c>
      <c r="L1256" s="16">
        <f>VLOOKUP(I1256,episodes!$A$1:$D$81,3,FALSE)</f>
        <v>1</v>
      </c>
      <c r="M1256" s="16">
        <f>VLOOKUP(I1256,episodes!$A$1:$D$81,4,FALSE)</f>
        <v>26</v>
      </c>
      <c r="N1256" s="14"/>
      <c r="O1256" s="14">
        <v>0</v>
      </c>
      <c r="P1256" s="24">
        <f>LEN(E1256)+LEN(K1256)</f>
        <v>74</v>
      </c>
      <c r="Q1256" s="24">
        <f>COUNTIFS(B:B,B1254)</f>
        <v>154</v>
      </c>
      <c r="R1256" s="24">
        <f>COUNTIFS(D:D,D1256)</f>
        <v>0</v>
      </c>
    </row>
    <row r="1257" spans="1:18" s="21" customFormat="1" x14ac:dyDescent="0.3">
      <c r="A1257" s="14">
        <v>1362</v>
      </c>
      <c r="B1257" s="21" t="s">
        <v>263</v>
      </c>
      <c r="C1257" s="21" t="s">
        <v>922</v>
      </c>
      <c r="D1257" s="1"/>
      <c r="E1257" s="1" t="s">
        <v>546</v>
      </c>
      <c r="F1257" s="21" t="s">
        <v>4</v>
      </c>
      <c r="G1257" s="14">
        <v>1</v>
      </c>
      <c r="H1257" s="14">
        <v>0</v>
      </c>
      <c r="I1257" s="25">
        <v>102</v>
      </c>
      <c r="J1257" s="23">
        <f>VLOOKUP(I1257,episodes!$A$1:$B$76,2,FALSE)</f>
        <v>3</v>
      </c>
      <c r="K1257" s="16" t="str">
        <f>VLOOKUP(I1257,episodes!$A$1:$E$81,5,FALSE)</f>
        <v>Charlie X</v>
      </c>
      <c r="L1257" s="16">
        <f>VLOOKUP(I1257,episodes!$A$1:$D$81,3,FALSE)</f>
        <v>1</v>
      </c>
      <c r="M1257" s="16">
        <f>VLOOKUP(I1257,episodes!$A$1:$D$81,4,FALSE)</f>
        <v>2</v>
      </c>
      <c r="N1257" s="14"/>
      <c r="O1257" s="14">
        <v>0</v>
      </c>
      <c r="P1257" s="24">
        <f>LEN(E1257)+LEN(K1257)</f>
        <v>61</v>
      </c>
      <c r="Q1257" s="24">
        <f>COUNTIFS(B:B,B1256)</f>
        <v>154</v>
      </c>
      <c r="R1257" s="24">
        <f>COUNTIFS(D:D,D1257)</f>
        <v>0</v>
      </c>
    </row>
    <row r="1258" spans="1:18" s="21" customFormat="1" x14ac:dyDescent="0.3">
      <c r="A1258" s="14">
        <v>1023</v>
      </c>
      <c r="B1258" s="21" t="s">
        <v>263</v>
      </c>
      <c r="C1258" s="21" t="s">
        <v>922</v>
      </c>
      <c r="D1258" s="1"/>
      <c r="E1258" s="1" t="s">
        <v>1879</v>
      </c>
      <c r="F1258" s="21" t="s">
        <v>4</v>
      </c>
      <c r="G1258" s="14">
        <v>1</v>
      </c>
      <c r="H1258" s="14">
        <v>0</v>
      </c>
      <c r="I1258" s="14">
        <v>104</v>
      </c>
      <c r="J1258" s="23">
        <f>VLOOKUP(I1258,episodes!$A$1:$B$76,2,FALSE)</f>
        <v>5</v>
      </c>
      <c r="K1258" s="16" t="str">
        <f>VLOOKUP(I1258,episodes!$A$1:$E$81,5,FALSE)</f>
        <v>The Naked Time</v>
      </c>
      <c r="L1258" s="16">
        <f>VLOOKUP(I1258,episodes!$A$1:$D$81,3,FALSE)</f>
        <v>1</v>
      </c>
      <c r="M1258" s="16">
        <f>VLOOKUP(I1258,episodes!$A$1:$D$81,4,FALSE)</f>
        <v>4</v>
      </c>
      <c r="N1258" s="14"/>
      <c r="O1258" s="14">
        <v>0</v>
      </c>
      <c r="P1258" s="24">
        <f>LEN(E1258)+LEN(K1258)</f>
        <v>52</v>
      </c>
      <c r="Q1258" s="24">
        <f>COUNTIFS(B:B,#REF!)</f>
        <v>0</v>
      </c>
      <c r="R1258" s="24">
        <f>COUNTIFS(D:D,D1258)</f>
        <v>0</v>
      </c>
    </row>
    <row r="1259" spans="1:18" s="21" customFormat="1" x14ac:dyDescent="0.3">
      <c r="A1259" s="14">
        <v>623</v>
      </c>
      <c r="B1259" s="21" t="s">
        <v>263</v>
      </c>
      <c r="C1259" s="21" t="s">
        <v>922</v>
      </c>
      <c r="D1259" s="1"/>
      <c r="E1259" s="1" t="s">
        <v>1014</v>
      </c>
      <c r="F1259" s="21" t="s">
        <v>4</v>
      </c>
      <c r="G1259" s="14">
        <v>1</v>
      </c>
      <c r="H1259" s="14">
        <v>0</v>
      </c>
      <c r="I1259" s="25">
        <v>107</v>
      </c>
      <c r="J1259" s="23">
        <f>VLOOKUP(I1259,episodes!$A$1:$B$76,2,FALSE)</f>
        <v>8</v>
      </c>
      <c r="K1259" s="16" t="str">
        <f>VLOOKUP(I1259,episodes!$A$1:$E$81,5,FALSE)</f>
        <v>What Are Little Girls Made Of?</v>
      </c>
      <c r="L1259" s="16">
        <f>VLOOKUP(I1259,episodes!$A$1:$D$81,3,FALSE)</f>
        <v>1</v>
      </c>
      <c r="M1259" s="16">
        <f>VLOOKUP(I1259,episodes!$A$1:$D$81,4,FALSE)</f>
        <v>7</v>
      </c>
      <c r="N1259" s="14"/>
      <c r="O1259" s="14">
        <v>0</v>
      </c>
      <c r="P1259" s="24">
        <f>LEN(E1259)+LEN(K1259)</f>
        <v>45</v>
      </c>
      <c r="Q1259" s="24">
        <f>COUNTIFS(B:B,B1258)</f>
        <v>154</v>
      </c>
      <c r="R1259" s="24">
        <f>COUNTIFS(D:D,D1259)</f>
        <v>0</v>
      </c>
    </row>
    <row r="1260" spans="1:18" s="21" customFormat="1" x14ac:dyDescent="0.3">
      <c r="A1260" s="14">
        <v>680</v>
      </c>
      <c r="B1260" s="21" t="s">
        <v>263</v>
      </c>
      <c r="C1260" s="21" t="s">
        <v>922</v>
      </c>
      <c r="D1260" s="1"/>
      <c r="E1260" s="1" t="s">
        <v>1014</v>
      </c>
      <c r="F1260" s="21" t="s">
        <v>4</v>
      </c>
      <c r="G1260" s="14">
        <v>1</v>
      </c>
      <c r="H1260" s="14">
        <v>0</v>
      </c>
      <c r="I1260" s="25">
        <v>111</v>
      </c>
      <c r="J1260" s="23">
        <f>VLOOKUP(I1260,episodes!$A$1:$B$76,2,FALSE)</f>
        <v>12</v>
      </c>
      <c r="K1260" s="16" t="str">
        <f>VLOOKUP(I1260,episodes!$A$1:$E$81,5,FALSE)</f>
        <v>The Menagerie, Part I</v>
      </c>
      <c r="L1260" s="16">
        <f>VLOOKUP(I1260,episodes!$A$1:$D$81,3,FALSE)</f>
        <v>1</v>
      </c>
      <c r="M1260" s="16">
        <f>VLOOKUP(I1260,episodes!$A$1:$D$81,4,FALSE)</f>
        <v>11</v>
      </c>
      <c r="N1260" s="14"/>
      <c r="O1260" s="14">
        <v>0</v>
      </c>
      <c r="P1260" s="24">
        <f>LEN(E1260)+LEN(K1260)</f>
        <v>36</v>
      </c>
      <c r="Q1260" s="24">
        <f>COUNTIFS(B:B,B1259)</f>
        <v>154</v>
      </c>
      <c r="R1260" s="24">
        <f>COUNTIFS(D:D,D1260)</f>
        <v>0</v>
      </c>
    </row>
    <row r="1261" spans="1:18" s="21" customFormat="1" x14ac:dyDescent="0.3">
      <c r="A1261" s="14">
        <v>692</v>
      </c>
      <c r="B1261" s="21" t="s">
        <v>263</v>
      </c>
      <c r="C1261" s="21" t="s">
        <v>922</v>
      </c>
      <c r="D1261" s="1"/>
      <c r="E1261" s="1" t="s">
        <v>1014</v>
      </c>
      <c r="F1261" s="21" t="s">
        <v>4</v>
      </c>
      <c r="G1261" s="14">
        <v>1</v>
      </c>
      <c r="H1261" s="14">
        <v>0</v>
      </c>
      <c r="I1261" s="25">
        <v>113</v>
      </c>
      <c r="J1261" s="23">
        <f>VLOOKUP(I1261,episodes!$A$1:$B$76,2,FALSE)</f>
        <v>14</v>
      </c>
      <c r="K1261" s="16" t="str">
        <f>VLOOKUP(I1261,episodes!$A$1:$E$81,5,FALSE)</f>
        <v>The Conscience of the King</v>
      </c>
      <c r="L1261" s="16">
        <f>VLOOKUP(I1261,episodes!$A$1:$D$81,3,FALSE)</f>
        <v>1</v>
      </c>
      <c r="M1261" s="16">
        <f>VLOOKUP(I1261,episodes!$A$1:$D$81,4,FALSE)</f>
        <v>13</v>
      </c>
      <c r="N1261" s="14"/>
      <c r="O1261" s="14">
        <v>0</v>
      </c>
      <c r="P1261" s="24">
        <f>LEN(E1261)+LEN(K1261)</f>
        <v>41</v>
      </c>
      <c r="Q1261" s="24">
        <f>COUNTIFS(B:B,B1260)</f>
        <v>154</v>
      </c>
      <c r="R1261" s="24">
        <f>COUNTIFS(D:D,D1261)</f>
        <v>0</v>
      </c>
    </row>
    <row r="1262" spans="1:18" s="21" customFormat="1" x14ac:dyDescent="0.3">
      <c r="A1262" s="14">
        <v>735</v>
      </c>
      <c r="B1262" s="21" t="s">
        <v>263</v>
      </c>
      <c r="C1262" s="21" t="s">
        <v>922</v>
      </c>
      <c r="D1262" s="1"/>
      <c r="E1262" s="1" t="s">
        <v>1014</v>
      </c>
      <c r="F1262" s="21" t="s">
        <v>4</v>
      </c>
      <c r="G1262" s="14">
        <v>1</v>
      </c>
      <c r="H1262" s="14">
        <v>0</v>
      </c>
      <c r="I1262" s="22">
        <v>117</v>
      </c>
      <c r="J1262" s="23">
        <f>VLOOKUP(I1262,episodes!$A$1:$B$76,2,FALSE)</f>
        <v>18</v>
      </c>
      <c r="K1262" s="16" t="str">
        <f>VLOOKUP(I1262,episodes!$A$1:$E$81,5,FALSE)</f>
        <v>The Squire of Gothos</v>
      </c>
      <c r="L1262" s="16">
        <f>VLOOKUP(I1262,episodes!$A$1:$D$81,3,FALSE)</f>
        <v>1</v>
      </c>
      <c r="M1262" s="16">
        <f>VLOOKUP(I1262,episodes!$A$1:$D$81,4,FALSE)</f>
        <v>17</v>
      </c>
      <c r="N1262" s="14"/>
      <c r="O1262" s="14">
        <v>0</v>
      </c>
      <c r="P1262" s="24">
        <f>LEN(E1262)+LEN(K1262)</f>
        <v>35</v>
      </c>
      <c r="Q1262" s="24">
        <f>COUNTIFS(B:B,B1261)</f>
        <v>154</v>
      </c>
      <c r="R1262" s="24">
        <f>COUNTIFS(D:D,D1262)</f>
        <v>0</v>
      </c>
    </row>
    <row r="1263" spans="1:18" s="21" customFormat="1" x14ac:dyDescent="0.3">
      <c r="A1263" s="14">
        <v>888</v>
      </c>
      <c r="B1263" s="21" t="s">
        <v>263</v>
      </c>
      <c r="C1263" s="21" t="s">
        <v>922</v>
      </c>
      <c r="D1263" s="1"/>
      <c r="E1263" s="1" t="s">
        <v>1014</v>
      </c>
      <c r="F1263" s="21" t="s">
        <v>4</v>
      </c>
      <c r="G1263" s="14">
        <v>1</v>
      </c>
      <c r="H1263" s="14">
        <v>0</v>
      </c>
      <c r="I1263" s="22">
        <v>201</v>
      </c>
      <c r="J1263" s="23">
        <f>VLOOKUP(I1263,episodes!$A$1:$B$76,2,FALSE)</f>
        <v>31</v>
      </c>
      <c r="K1263" s="16" t="str">
        <f>VLOOKUP(I1263,episodes!$A$1:$E$81,5,FALSE)</f>
        <v>Amok Time</v>
      </c>
      <c r="L1263" s="16">
        <f>VLOOKUP(I1263,episodes!$A$1:$D$81,3,FALSE)</f>
        <v>2</v>
      </c>
      <c r="M1263" s="16">
        <f>VLOOKUP(I1263,episodes!$A$1:$D$81,4,FALSE)</f>
        <v>1</v>
      </c>
      <c r="N1263" s="14"/>
      <c r="O1263" s="14">
        <v>0</v>
      </c>
      <c r="P1263" s="24">
        <f>LEN(E1263)+LEN(K1263)</f>
        <v>24</v>
      </c>
      <c r="Q1263" s="24">
        <f>COUNTIFS(B:B,B1262)</f>
        <v>154</v>
      </c>
      <c r="R1263" s="24">
        <f>COUNTIFS(D:D,D1263)</f>
        <v>0</v>
      </c>
    </row>
    <row r="1264" spans="1:18" s="21" customFormat="1" x14ac:dyDescent="0.3">
      <c r="A1264" s="14">
        <v>1181</v>
      </c>
      <c r="B1264" s="21" t="s">
        <v>263</v>
      </c>
      <c r="C1264" s="21" t="s">
        <v>922</v>
      </c>
      <c r="D1264" s="1"/>
      <c r="E1264" s="1" t="s">
        <v>2565</v>
      </c>
      <c r="F1264" s="21" t="s">
        <v>4</v>
      </c>
      <c r="G1264" s="14">
        <v>1</v>
      </c>
      <c r="H1264" s="14">
        <v>0</v>
      </c>
      <c r="I1264" s="22">
        <v>122</v>
      </c>
      <c r="J1264" s="23">
        <f>VLOOKUP(I1264,episodes!$A$1:$B$76,2,FALSE)</f>
        <v>23</v>
      </c>
      <c r="K1264" s="16" t="str">
        <f>VLOOKUP(I1264,episodes!$A$1:$E$81,5,FALSE)</f>
        <v>Space Seed</v>
      </c>
      <c r="L1264" s="16">
        <f>VLOOKUP(I1264,episodes!$A$1:$D$81,3,FALSE)</f>
        <v>1</v>
      </c>
      <c r="M1264" s="16">
        <f>VLOOKUP(I1264,episodes!$A$1:$D$81,4,FALSE)</f>
        <v>22</v>
      </c>
      <c r="N1264" s="14"/>
      <c r="O1264" s="14">
        <v>0</v>
      </c>
      <c r="P1264" s="24">
        <f>LEN(E1264)+LEN(K1264)</f>
        <v>52</v>
      </c>
      <c r="Q1264" s="24">
        <f>COUNTIFS(B:B,B1262)</f>
        <v>154</v>
      </c>
      <c r="R1264" s="24">
        <f>COUNTIFS(D:D,D1264)</f>
        <v>0</v>
      </c>
    </row>
    <row r="1265" spans="1:18" s="21" customFormat="1" x14ac:dyDescent="0.3">
      <c r="A1265" s="14">
        <v>563</v>
      </c>
      <c r="B1265" s="21" t="s">
        <v>263</v>
      </c>
      <c r="C1265" s="21" t="s">
        <v>922</v>
      </c>
      <c r="D1265" s="1"/>
      <c r="E1265" s="1" t="s">
        <v>1074</v>
      </c>
      <c r="F1265" s="21" t="s">
        <v>4</v>
      </c>
      <c r="G1265" s="14">
        <v>1</v>
      </c>
      <c r="H1265" s="14">
        <v>0</v>
      </c>
      <c r="I1265" s="25">
        <v>102</v>
      </c>
      <c r="J1265" s="23">
        <f>VLOOKUP(I1265,episodes!$A$1:$B$76,2,FALSE)</f>
        <v>3</v>
      </c>
      <c r="K1265" s="16" t="str">
        <f>VLOOKUP(I1265,episodes!$A$1:$E$81,5,FALSE)</f>
        <v>Charlie X</v>
      </c>
      <c r="L1265" s="16">
        <f>VLOOKUP(I1265,episodes!$A$1:$D$81,3,FALSE)</f>
        <v>1</v>
      </c>
      <c r="M1265" s="16">
        <f>VLOOKUP(I1265,episodes!$A$1:$D$81,4,FALSE)</f>
        <v>2</v>
      </c>
      <c r="N1265" s="14"/>
      <c r="O1265" s="14">
        <v>0</v>
      </c>
      <c r="P1265" s="24">
        <f>LEN(E1265)+LEN(K1265)</f>
        <v>25</v>
      </c>
      <c r="Q1265" s="24">
        <f>COUNTIFS(B:B,#REF!)</f>
        <v>0</v>
      </c>
      <c r="R1265" s="24">
        <f>COUNTIFS(D:D,D1265)</f>
        <v>0</v>
      </c>
    </row>
    <row r="1266" spans="1:18" s="21" customFormat="1" x14ac:dyDescent="0.3">
      <c r="A1266" s="14">
        <v>582</v>
      </c>
      <c r="B1266" s="21" t="s">
        <v>263</v>
      </c>
      <c r="C1266" s="21" t="s">
        <v>922</v>
      </c>
      <c r="D1266" s="1"/>
      <c r="E1266" s="1" t="s">
        <v>1074</v>
      </c>
      <c r="F1266" s="21" t="s">
        <v>4</v>
      </c>
      <c r="G1266" s="14">
        <v>1</v>
      </c>
      <c r="H1266" s="14">
        <v>0</v>
      </c>
      <c r="I1266" s="14">
        <v>104</v>
      </c>
      <c r="J1266" s="23">
        <f>VLOOKUP(I1266,episodes!$A$1:$B$76,2,FALSE)</f>
        <v>5</v>
      </c>
      <c r="K1266" s="16" t="str">
        <f>VLOOKUP(I1266,episodes!$A$1:$E$81,5,FALSE)</f>
        <v>The Naked Time</v>
      </c>
      <c r="L1266" s="16">
        <f>VLOOKUP(I1266,episodes!$A$1:$D$81,3,FALSE)</f>
        <v>1</v>
      </c>
      <c r="M1266" s="16">
        <f>VLOOKUP(I1266,episodes!$A$1:$D$81,4,FALSE)</f>
        <v>4</v>
      </c>
      <c r="N1266" s="14"/>
      <c r="O1266" s="14">
        <v>0</v>
      </c>
      <c r="P1266" s="24">
        <f>LEN(E1266)+LEN(K1266)</f>
        <v>30</v>
      </c>
      <c r="Q1266" s="24">
        <f>COUNTIFS(B:B,B1265)</f>
        <v>154</v>
      </c>
      <c r="R1266" s="24">
        <f>COUNTIFS(D:D,D1266)</f>
        <v>0</v>
      </c>
    </row>
    <row r="1267" spans="1:18" s="21" customFormat="1" x14ac:dyDescent="0.3">
      <c r="A1267" s="14">
        <v>2934</v>
      </c>
      <c r="B1267" s="21" t="s">
        <v>263</v>
      </c>
      <c r="C1267" s="21" t="s">
        <v>922</v>
      </c>
      <c r="D1267" s="1"/>
      <c r="E1267" s="4" t="s">
        <v>2886</v>
      </c>
      <c r="F1267" s="21" t="s">
        <v>4</v>
      </c>
      <c r="G1267" s="14">
        <v>1</v>
      </c>
      <c r="H1267" s="14">
        <v>0</v>
      </c>
      <c r="I1267" s="7">
        <v>211</v>
      </c>
      <c r="J1267" s="23">
        <f>VLOOKUP(I1267,episodes!$A$1:$B$81,2,FALSE)</f>
        <v>41</v>
      </c>
      <c r="K1267" s="16" t="str">
        <f>VLOOKUP(I1267,episodes!$A$1:$E$81,5,FALSE)</f>
        <v>Friday's Child</v>
      </c>
      <c r="L1267" s="16">
        <f>VLOOKUP(I1267,episodes!$A$1:$D$81,3,FALSE)</f>
        <v>2</v>
      </c>
      <c r="M1267" s="16">
        <f>VLOOKUP(I1267,episodes!$A$1:$D$81,4,FALSE)</f>
        <v>11</v>
      </c>
      <c r="N1267" s="14"/>
      <c r="O1267" s="14">
        <v>0</v>
      </c>
      <c r="P1267" s="24">
        <f>LEN(E1267)+LEN(K1267)</f>
        <v>28</v>
      </c>
      <c r="Q1267" s="24"/>
      <c r="R1267" s="24"/>
    </row>
    <row r="1268" spans="1:18" s="21" customFormat="1" x14ac:dyDescent="0.3">
      <c r="A1268" s="14">
        <v>609</v>
      </c>
      <c r="B1268" s="21" t="s">
        <v>263</v>
      </c>
      <c r="C1268" s="21" t="s">
        <v>922</v>
      </c>
      <c r="D1268" s="1"/>
      <c r="E1268" s="1" t="s">
        <v>549</v>
      </c>
      <c r="F1268" s="21" t="s">
        <v>4</v>
      </c>
      <c r="G1268" s="14">
        <v>1</v>
      </c>
      <c r="H1268" s="14">
        <v>0</v>
      </c>
      <c r="I1268" s="25">
        <v>106</v>
      </c>
      <c r="J1268" s="23">
        <f>VLOOKUP(I1268,episodes!$A$1:$B$76,2,FALSE)</f>
        <v>7</v>
      </c>
      <c r="K1268" s="16" t="str">
        <f>VLOOKUP(I1268,episodes!$A$1:$E$81,5,FALSE)</f>
        <v>Mudd's Women</v>
      </c>
      <c r="L1268" s="16">
        <f>VLOOKUP(I1268,episodes!$A$1:$D$81,3,FALSE)</f>
        <v>1</v>
      </c>
      <c r="M1268" s="16">
        <f>VLOOKUP(I1268,episodes!$A$1:$D$81,4,FALSE)</f>
        <v>6</v>
      </c>
      <c r="N1268" s="14"/>
      <c r="O1268" s="14">
        <v>0</v>
      </c>
      <c r="P1268" s="24">
        <f>LEN(E1268)+LEN(K1268)</f>
        <v>37</v>
      </c>
      <c r="Q1268" s="24">
        <f>COUNTIFS(B:B,B1267)</f>
        <v>154</v>
      </c>
      <c r="R1268" s="24">
        <f>COUNTIFS(D:D,D1268)</f>
        <v>0</v>
      </c>
    </row>
    <row r="1269" spans="1:18" s="21" customFormat="1" x14ac:dyDescent="0.3">
      <c r="A1269" s="14">
        <v>610</v>
      </c>
      <c r="B1269" s="21" t="s">
        <v>263</v>
      </c>
      <c r="C1269" s="21" t="s">
        <v>922</v>
      </c>
      <c r="D1269" s="1"/>
      <c r="E1269" s="1" t="s">
        <v>549</v>
      </c>
      <c r="F1269" s="21" t="s">
        <v>4</v>
      </c>
      <c r="G1269" s="14">
        <v>1</v>
      </c>
      <c r="H1269" s="14">
        <v>0</v>
      </c>
      <c r="I1269" s="25">
        <v>106</v>
      </c>
      <c r="J1269" s="23">
        <f>VLOOKUP(I1269,episodes!$A$1:$B$76,2,FALSE)</f>
        <v>7</v>
      </c>
      <c r="K1269" s="16" t="str">
        <f>VLOOKUP(I1269,episodes!$A$1:$E$81,5,FALSE)</f>
        <v>Mudd's Women</v>
      </c>
      <c r="L1269" s="16">
        <f>VLOOKUP(I1269,episodes!$A$1:$D$81,3,FALSE)</f>
        <v>1</v>
      </c>
      <c r="M1269" s="16">
        <f>VLOOKUP(I1269,episodes!$A$1:$D$81,4,FALSE)</f>
        <v>6</v>
      </c>
      <c r="N1269" s="14"/>
      <c r="O1269" s="14">
        <v>0</v>
      </c>
      <c r="P1269" s="24">
        <f>LEN(E1269)+LEN(K1269)</f>
        <v>37</v>
      </c>
      <c r="Q1269" s="24">
        <f>COUNTIFS(B:B,B1268)</f>
        <v>154</v>
      </c>
      <c r="R1269" s="24">
        <f>COUNTIFS(D:D,D1269)</f>
        <v>0</v>
      </c>
    </row>
    <row r="1270" spans="1:18" s="21" customFormat="1" x14ac:dyDescent="0.3">
      <c r="A1270" s="14">
        <v>681</v>
      </c>
      <c r="B1270" s="21" t="s">
        <v>263</v>
      </c>
      <c r="C1270" s="21" t="s">
        <v>922</v>
      </c>
      <c r="D1270" s="1"/>
      <c r="E1270" s="1" t="s">
        <v>1883</v>
      </c>
      <c r="F1270" s="21" t="s">
        <v>4</v>
      </c>
      <c r="G1270" s="14">
        <v>1</v>
      </c>
      <c r="H1270" s="14">
        <v>0</v>
      </c>
      <c r="I1270" s="25">
        <v>111</v>
      </c>
      <c r="J1270" s="23">
        <f>VLOOKUP(I1270,episodes!$A$1:$B$76,2,FALSE)</f>
        <v>12</v>
      </c>
      <c r="K1270" s="16" t="str">
        <f>VLOOKUP(I1270,episodes!$A$1:$E$81,5,FALSE)</f>
        <v>The Menagerie, Part I</v>
      </c>
      <c r="L1270" s="16">
        <f>VLOOKUP(I1270,episodes!$A$1:$D$81,3,FALSE)</f>
        <v>1</v>
      </c>
      <c r="M1270" s="16">
        <f>VLOOKUP(I1270,episodes!$A$1:$D$81,4,FALSE)</f>
        <v>11</v>
      </c>
      <c r="N1270" s="14"/>
      <c r="O1270" s="14">
        <v>0</v>
      </c>
      <c r="P1270" s="24">
        <f>LEN(E1270)+LEN(K1270)</f>
        <v>54</v>
      </c>
      <c r="Q1270" s="24">
        <f>COUNTIFS(B:B,B1269)</f>
        <v>154</v>
      </c>
      <c r="R1270" s="24">
        <f>COUNTIFS(D:D,D1270)</f>
        <v>0</v>
      </c>
    </row>
    <row r="1271" spans="1:18" s="21" customFormat="1" x14ac:dyDescent="0.3">
      <c r="A1271" s="14">
        <v>684</v>
      </c>
      <c r="B1271" s="21" t="s">
        <v>263</v>
      </c>
      <c r="C1271" s="21" t="s">
        <v>922</v>
      </c>
      <c r="D1271" s="1"/>
      <c r="E1271" s="1" t="s">
        <v>1883</v>
      </c>
      <c r="F1271" s="21" t="s">
        <v>4</v>
      </c>
      <c r="G1271" s="14">
        <v>1</v>
      </c>
      <c r="H1271" s="14">
        <v>0</v>
      </c>
      <c r="I1271" s="25">
        <v>112</v>
      </c>
      <c r="J1271" s="23">
        <f>VLOOKUP(I1271,episodes!$A$1:$B$76,2,FALSE)</f>
        <v>13</v>
      </c>
      <c r="K1271" s="16" t="str">
        <f>VLOOKUP(I1271,episodes!$A$1:$E$81,5,FALSE)</f>
        <v>The Menagerie, Part II</v>
      </c>
      <c r="L1271" s="16">
        <f>VLOOKUP(I1271,episodes!$A$1:$D$81,3,FALSE)</f>
        <v>1</v>
      </c>
      <c r="M1271" s="16">
        <f>VLOOKUP(I1271,episodes!$A$1:$D$81,4,FALSE)</f>
        <v>12</v>
      </c>
      <c r="N1271" s="14"/>
      <c r="O1271" s="14">
        <v>0</v>
      </c>
      <c r="P1271" s="24">
        <f>LEN(E1271)+LEN(K1271)</f>
        <v>55</v>
      </c>
      <c r="Q1271" s="24">
        <f>COUNTIFS(B:B,B1270)</f>
        <v>154</v>
      </c>
      <c r="R1271" s="24">
        <f>COUNTIFS(D:D,D1271)</f>
        <v>0</v>
      </c>
    </row>
    <row r="1272" spans="1:18" s="21" customFormat="1" x14ac:dyDescent="0.3">
      <c r="A1272" s="14">
        <v>611</v>
      </c>
      <c r="B1272" s="21" t="s">
        <v>263</v>
      </c>
      <c r="C1272" s="21" t="s">
        <v>922</v>
      </c>
      <c r="D1272" s="1"/>
      <c r="E1272" s="1" t="s">
        <v>550</v>
      </c>
      <c r="F1272" s="21" t="s">
        <v>4</v>
      </c>
      <c r="G1272" s="14">
        <v>1</v>
      </c>
      <c r="H1272" s="14">
        <v>0</v>
      </c>
      <c r="I1272" s="25">
        <v>106</v>
      </c>
      <c r="J1272" s="23">
        <f>VLOOKUP(I1272,episodes!$A$1:$B$76,2,FALSE)</f>
        <v>7</v>
      </c>
      <c r="K1272" s="16" t="str">
        <f>VLOOKUP(I1272,episodes!$A$1:$E$81,5,FALSE)</f>
        <v>Mudd's Women</v>
      </c>
      <c r="L1272" s="16">
        <f>VLOOKUP(I1272,episodes!$A$1:$D$81,3,FALSE)</f>
        <v>1</v>
      </c>
      <c r="M1272" s="16">
        <f>VLOOKUP(I1272,episodes!$A$1:$D$81,4,FALSE)</f>
        <v>6</v>
      </c>
      <c r="N1272" s="14"/>
      <c r="O1272" s="14">
        <v>0</v>
      </c>
      <c r="P1272" s="24">
        <f>LEN(E1272)+LEN(K1272)</f>
        <v>67</v>
      </c>
      <c r="Q1272" s="24">
        <f>COUNTIFS(B:B,B1271)</f>
        <v>154</v>
      </c>
      <c r="R1272" s="24">
        <f>COUNTIFS(D:D,D1272)</f>
        <v>0</v>
      </c>
    </row>
    <row r="1273" spans="1:18" s="21" customFormat="1" x14ac:dyDescent="0.3">
      <c r="A1273" s="14">
        <v>763</v>
      </c>
      <c r="B1273" s="21" t="s">
        <v>263</v>
      </c>
      <c r="C1273" s="21" t="s">
        <v>922</v>
      </c>
      <c r="D1273" s="1"/>
      <c r="E1273" s="1" t="s">
        <v>563</v>
      </c>
      <c r="F1273" s="21" t="s">
        <v>4</v>
      </c>
      <c r="G1273" s="14">
        <v>1</v>
      </c>
      <c r="H1273" s="14">
        <v>0</v>
      </c>
      <c r="I1273" s="22">
        <v>119</v>
      </c>
      <c r="J1273" s="23">
        <f>VLOOKUP(I1273,episodes!$A$1:$B$76,2,FALSE)</f>
        <v>20</v>
      </c>
      <c r="K1273" s="16" t="str">
        <f>VLOOKUP(I1273,episodes!$A$1:$E$81,5,FALSE)</f>
        <v>Tomorrow Is Yesterday</v>
      </c>
      <c r="L1273" s="16">
        <f>VLOOKUP(I1273,episodes!$A$1:$D$81,3,FALSE)</f>
        <v>1</v>
      </c>
      <c r="M1273" s="16">
        <f>VLOOKUP(I1273,episodes!$A$1:$D$81,4,FALSE)</f>
        <v>19</v>
      </c>
      <c r="N1273" s="14"/>
      <c r="O1273" s="14">
        <v>0</v>
      </c>
      <c r="P1273" s="24">
        <f>LEN(E1273)+LEN(K1273)</f>
        <v>61</v>
      </c>
      <c r="Q1273" s="24">
        <f>COUNTIFS(B:B,B1272)</f>
        <v>154</v>
      </c>
      <c r="R1273" s="24">
        <f>COUNTIFS(D:D,D1273)</f>
        <v>0</v>
      </c>
    </row>
    <row r="1274" spans="1:18" s="21" customFormat="1" x14ac:dyDescent="0.3">
      <c r="A1274" s="14">
        <v>583</v>
      </c>
      <c r="B1274" s="21" t="s">
        <v>263</v>
      </c>
      <c r="C1274" s="21" t="s">
        <v>922</v>
      </c>
      <c r="D1274" s="1"/>
      <c r="E1274" s="1" t="s">
        <v>547</v>
      </c>
      <c r="F1274" s="21" t="s">
        <v>4</v>
      </c>
      <c r="G1274" s="14">
        <v>1</v>
      </c>
      <c r="H1274" s="14">
        <v>0</v>
      </c>
      <c r="I1274" s="14">
        <v>104</v>
      </c>
      <c r="J1274" s="23">
        <f>VLOOKUP(I1274,episodes!$A$1:$B$76,2,FALSE)</f>
        <v>5</v>
      </c>
      <c r="K1274" s="16" t="str">
        <f>VLOOKUP(I1274,episodes!$A$1:$E$81,5,FALSE)</f>
        <v>The Naked Time</v>
      </c>
      <c r="L1274" s="16">
        <f>VLOOKUP(I1274,episodes!$A$1:$D$81,3,FALSE)</f>
        <v>1</v>
      </c>
      <c r="M1274" s="16">
        <f>VLOOKUP(I1274,episodes!$A$1:$D$81,4,FALSE)</f>
        <v>4</v>
      </c>
      <c r="N1274" s="14"/>
      <c r="O1274" s="14">
        <v>0</v>
      </c>
      <c r="P1274" s="24">
        <f>LEN(E1274)+LEN(K1274)</f>
        <v>29</v>
      </c>
      <c r="Q1274" s="24">
        <f>COUNTIFS(B:B,B1273)</f>
        <v>154</v>
      </c>
      <c r="R1274" s="24">
        <f>COUNTIFS(D:D,D1274)</f>
        <v>0</v>
      </c>
    </row>
    <row r="1275" spans="1:18" s="21" customFormat="1" x14ac:dyDescent="0.3">
      <c r="A1275" s="14">
        <v>584</v>
      </c>
      <c r="B1275" s="21" t="s">
        <v>263</v>
      </c>
      <c r="C1275" s="21" t="s">
        <v>922</v>
      </c>
      <c r="D1275" s="1"/>
      <c r="E1275" s="1" t="s">
        <v>547</v>
      </c>
      <c r="F1275" s="21" t="s">
        <v>4</v>
      </c>
      <c r="G1275" s="14">
        <v>1</v>
      </c>
      <c r="H1275" s="14">
        <v>0</v>
      </c>
      <c r="I1275" s="14">
        <v>104</v>
      </c>
      <c r="J1275" s="23">
        <f>VLOOKUP(I1275,episodes!$A$1:$B$76,2,FALSE)</f>
        <v>5</v>
      </c>
      <c r="K1275" s="16" t="str">
        <f>VLOOKUP(I1275,episodes!$A$1:$E$81,5,FALSE)</f>
        <v>The Naked Time</v>
      </c>
      <c r="L1275" s="16">
        <f>VLOOKUP(I1275,episodes!$A$1:$D$81,3,FALSE)</f>
        <v>1</v>
      </c>
      <c r="M1275" s="16">
        <f>VLOOKUP(I1275,episodes!$A$1:$D$81,4,FALSE)</f>
        <v>4</v>
      </c>
      <c r="N1275" s="14"/>
      <c r="O1275" s="14">
        <v>0</v>
      </c>
      <c r="P1275" s="24">
        <f>LEN(E1275)+LEN(K1275)</f>
        <v>29</v>
      </c>
      <c r="Q1275" s="24">
        <f>COUNTIFS(B:B,B1274)</f>
        <v>154</v>
      </c>
      <c r="R1275" s="24">
        <f>COUNTIFS(D:D,D1275)</f>
        <v>0</v>
      </c>
    </row>
    <row r="1276" spans="1:18" s="21" customFormat="1" x14ac:dyDescent="0.3">
      <c r="A1276" s="14">
        <v>726</v>
      </c>
      <c r="B1276" s="21" t="s">
        <v>263</v>
      </c>
      <c r="C1276" s="21" t="s">
        <v>922</v>
      </c>
      <c r="D1276" s="1"/>
      <c r="E1276" s="1" t="s">
        <v>1885</v>
      </c>
      <c r="F1276" s="21" t="s">
        <v>4</v>
      </c>
      <c r="G1276" s="14">
        <v>1</v>
      </c>
      <c r="H1276" s="14">
        <v>0</v>
      </c>
      <c r="I1276" s="22">
        <v>116</v>
      </c>
      <c r="J1276" s="23">
        <f>VLOOKUP(I1276,episodes!$A$1:$B$76,2,FALSE)</f>
        <v>17</v>
      </c>
      <c r="K1276" s="16" t="str">
        <f>VLOOKUP(I1276,episodes!$A$1:$E$81,5,FALSE)</f>
        <v>The Galileo Seven</v>
      </c>
      <c r="L1276" s="16">
        <f>VLOOKUP(I1276,episodes!$A$1:$D$81,3,FALSE)</f>
        <v>1</v>
      </c>
      <c r="M1276" s="16">
        <f>VLOOKUP(I1276,episodes!$A$1:$D$81,4,FALSE)</f>
        <v>16</v>
      </c>
      <c r="N1276" s="14"/>
      <c r="O1276" s="14">
        <v>0</v>
      </c>
      <c r="P1276" s="24">
        <f>LEN(E1276)+LEN(K1276)</f>
        <v>46</v>
      </c>
      <c r="Q1276" s="24">
        <f>COUNTIFS(B:B,B1275)</f>
        <v>154</v>
      </c>
      <c r="R1276" s="24">
        <f>COUNTIFS(D:D,D1276)</f>
        <v>0</v>
      </c>
    </row>
    <row r="1277" spans="1:18" s="21" customFormat="1" x14ac:dyDescent="0.3">
      <c r="A1277" s="14">
        <v>1460</v>
      </c>
      <c r="B1277" s="21" t="s">
        <v>263</v>
      </c>
      <c r="C1277" s="21" t="s">
        <v>922</v>
      </c>
      <c r="D1277" s="1"/>
      <c r="E1277" s="1" t="s">
        <v>872</v>
      </c>
      <c r="F1277" s="21" t="s">
        <v>2373</v>
      </c>
      <c r="G1277" s="14">
        <v>0</v>
      </c>
      <c r="H1277" s="14">
        <v>0</v>
      </c>
      <c r="I1277" s="25">
        <v>205</v>
      </c>
      <c r="J1277" s="23">
        <f>VLOOKUP(I1277,episodes!$A$1:$B$81,2,FALSE)</f>
        <v>35</v>
      </c>
      <c r="K1277" s="16" t="str">
        <f>VLOOKUP(I1277,episodes!$A$1:$E$81,5,FALSE)</f>
        <v>The Apple</v>
      </c>
      <c r="L1277" s="16">
        <f>VLOOKUP(I1277,episodes!$A$1:$D$81,3,FALSE)</f>
        <v>2</v>
      </c>
      <c r="M1277" s="16">
        <f>VLOOKUP(I1277,episodes!$A$1:$D$81,4,FALSE)</f>
        <v>5</v>
      </c>
      <c r="N1277" s="14"/>
      <c r="O1277" s="14">
        <v>0</v>
      </c>
      <c r="P1277" s="24">
        <f>LEN(E1277)+LEN(K1277)</f>
        <v>46</v>
      </c>
      <c r="Q1277" s="24">
        <f>COUNTIFS(B:B,B1276)</f>
        <v>154</v>
      </c>
      <c r="R1277" s="24">
        <f>COUNTIFS(D:D,D1277)</f>
        <v>0</v>
      </c>
    </row>
    <row r="1278" spans="1:18" s="21" customFormat="1" x14ac:dyDescent="0.3">
      <c r="A1278" s="14">
        <v>213</v>
      </c>
      <c r="B1278" s="21" t="s">
        <v>263</v>
      </c>
      <c r="C1278" s="21" t="s">
        <v>922</v>
      </c>
      <c r="D1278" s="1"/>
      <c r="E1278" s="1" t="s">
        <v>554</v>
      </c>
      <c r="F1278" s="21" t="s">
        <v>56</v>
      </c>
      <c r="G1278" s="14">
        <v>0</v>
      </c>
      <c r="H1278" s="14">
        <v>0</v>
      </c>
      <c r="I1278" s="25">
        <v>110</v>
      </c>
      <c r="J1278" s="23">
        <f>VLOOKUP(I1278,episodes!$A$1:$B$76,2,FALSE)</f>
        <v>11</v>
      </c>
      <c r="K1278" s="16" t="str">
        <f>VLOOKUP(I1278,episodes!$A$1:$E$81,5,FALSE)</f>
        <v>The Corbomite Maneuver</v>
      </c>
      <c r="L1278" s="16">
        <f>VLOOKUP(I1278,episodes!$A$1:$D$81,3,FALSE)</f>
        <v>1</v>
      </c>
      <c r="M1278" s="16">
        <f>VLOOKUP(I1278,episodes!$A$1:$D$81,4,FALSE)</f>
        <v>10</v>
      </c>
      <c r="N1278" s="14"/>
      <c r="O1278" s="14">
        <v>0</v>
      </c>
      <c r="P1278" s="24">
        <f>LEN(E1278)+LEN(K1278)</f>
        <v>66</v>
      </c>
      <c r="Q1278" s="24">
        <f>COUNTIFS(B:B,B1277)</f>
        <v>154</v>
      </c>
      <c r="R1278" s="24">
        <f>COUNTIFS(D:D,D1278)</f>
        <v>0</v>
      </c>
    </row>
    <row r="1279" spans="1:18" s="21" customFormat="1" x14ac:dyDescent="0.3">
      <c r="A1279" s="14">
        <v>214</v>
      </c>
      <c r="B1279" s="21" t="s">
        <v>263</v>
      </c>
      <c r="C1279" s="21" t="s">
        <v>922</v>
      </c>
      <c r="D1279" s="1"/>
      <c r="E1279" s="1" t="s">
        <v>555</v>
      </c>
      <c r="F1279" s="21" t="s">
        <v>56</v>
      </c>
      <c r="G1279" s="14">
        <v>0</v>
      </c>
      <c r="H1279" s="14">
        <v>0</v>
      </c>
      <c r="I1279" s="25">
        <v>110</v>
      </c>
      <c r="J1279" s="23">
        <f>VLOOKUP(I1279,episodes!$A$1:$B$76,2,FALSE)</f>
        <v>11</v>
      </c>
      <c r="K1279" s="16" t="str">
        <f>VLOOKUP(I1279,episodes!$A$1:$E$81,5,FALSE)</f>
        <v>The Corbomite Maneuver</v>
      </c>
      <c r="L1279" s="16">
        <f>VLOOKUP(I1279,episodes!$A$1:$D$81,3,FALSE)</f>
        <v>1</v>
      </c>
      <c r="M1279" s="16">
        <f>VLOOKUP(I1279,episodes!$A$1:$D$81,4,FALSE)</f>
        <v>10</v>
      </c>
      <c r="N1279" s="14"/>
      <c r="O1279" s="14">
        <v>0</v>
      </c>
      <c r="P1279" s="24">
        <f>LEN(E1279)+LEN(K1279)</f>
        <v>48</v>
      </c>
      <c r="Q1279" s="24">
        <f>COUNTIFS(B:B,B1278)</f>
        <v>154</v>
      </c>
      <c r="R1279" s="24">
        <f>COUNTIFS(D:D,D1279)</f>
        <v>0</v>
      </c>
    </row>
    <row r="1280" spans="1:18" s="21" customFormat="1" x14ac:dyDescent="0.3">
      <c r="A1280" s="14">
        <v>1475</v>
      </c>
      <c r="B1280" s="21" t="s">
        <v>263</v>
      </c>
      <c r="C1280" s="21" t="s">
        <v>922</v>
      </c>
      <c r="D1280" s="1"/>
      <c r="E1280" s="1" t="s">
        <v>569</v>
      </c>
      <c r="F1280" s="21" t="s">
        <v>2288</v>
      </c>
      <c r="G1280" s="14">
        <v>0</v>
      </c>
      <c r="H1280" s="14">
        <v>0</v>
      </c>
      <c r="I1280" s="22">
        <v>127</v>
      </c>
      <c r="J1280" s="23">
        <f>VLOOKUP(I1280,episodes!$A$1:$B$76,2,FALSE)</f>
        <v>28</v>
      </c>
      <c r="K1280" s="16" t="str">
        <f>VLOOKUP(I1280,episodes!$A$1:$E$81,5,FALSE)</f>
        <v>The Alternative Factor</v>
      </c>
      <c r="L1280" s="16">
        <f>VLOOKUP(I1280,episodes!$A$1:$D$81,3,FALSE)</f>
        <v>1</v>
      </c>
      <c r="M1280" s="16">
        <f>VLOOKUP(I1280,episodes!$A$1:$D$81,4,FALSE)</f>
        <v>27</v>
      </c>
      <c r="N1280" s="14"/>
      <c r="O1280" s="14">
        <v>0</v>
      </c>
      <c r="P1280" s="24">
        <f>LEN(E1280)+LEN(K1280)</f>
        <v>63</v>
      </c>
      <c r="Q1280" s="24">
        <f>COUNTIFS(B:B,#REF!)</f>
        <v>0</v>
      </c>
      <c r="R1280" s="24">
        <f>COUNTIFS(D:D,D1280)</f>
        <v>0</v>
      </c>
    </row>
    <row r="1281" spans="1:19" s="31" customFormat="1" x14ac:dyDescent="0.3">
      <c r="A1281" s="14">
        <v>1476</v>
      </c>
      <c r="B1281" s="21" t="s">
        <v>263</v>
      </c>
      <c r="C1281" s="21" t="s">
        <v>922</v>
      </c>
      <c r="D1281" s="1"/>
      <c r="E1281" s="1" t="s">
        <v>713</v>
      </c>
      <c r="F1281" s="21" t="s">
        <v>2288</v>
      </c>
      <c r="G1281" s="14">
        <v>0</v>
      </c>
      <c r="H1281" s="14">
        <v>0</v>
      </c>
      <c r="I1281" s="22">
        <v>127</v>
      </c>
      <c r="J1281" s="23">
        <f>VLOOKUP(I1281,episodes!$A$1:$B$76,2,FALSE)</f>
        <v>28</v>
      </c>
      <c r="K1281" s="16" t="str">
        <f>VLOOKUP(I1281,episodes!$A$1:$E$81,5,FALSE)</f>
        <v>The Alternative Factor</v>
      </c>
      <c r="L1281" s="16">
        <f>VLOOKUP(I1281,episodes!$A$1:$D$81,3,FALSE)</f>
        <v>1</v>
      </c>
      <c r="M1281" s="16">
        <f>VLOOKUP(I1281,episodes!$A$1:$D$81,4,FALSE)</f>
        <v>27</v>
      </c>
      <c r="N1281" s="14"/>
      <c r="O1281" s="14">
        <v>0</v>
      </c>
      <c r="P1281" s="24">
        <f>LEN(E1281)+LEN(K1281)</f>
        <v>62</v>
      </c>
      <c r="Q1281" s="24">
        <f>COUNTIFS(B:B,B1280)</f>
        <v>154</v>
      </c>
      <c r="R1281" s="24">
        <f>COUNTIFS(D:D,D1281)</f>
        <v>0</v>
      </c>
    </row>
    <row r="1282" spans="1:19" s="31" customFormat="1" x14ac:dyDescent="0.3">
      <c r="A1282" s="14">
        <v>1477</v>
      </c>
      <c r="B1282" s="21" t="s">
        <v>263</v>
      </c>
      <c r="C1282" s="21" t="s">
        <v>922</v>
      </c>
      <c r="D1282" s="1"/>
      <c r="E1282" s="1" t="s">
        <v>570</v>
      </c>
      <c r="F1282" s="21" t="s">
        <v>2288</v>
      </c>
      <c r="G1282" s="14">
        <v>0</v>
      </c>
      <c r="H1282" s="14">
        <v>0</v>
      </c>
      <c r="I1282" s="22">
        <v>127</v>
      </c>
      <c r="J1282" s="23">
        <f>VLOOKUP(I1282,episodes!$A$1:$B$76,2,FALSE)</f>
        <v>28</v>
      </c>
      <c r="K1282" s="16" t="str">
        <f>VLOOKUP(I1282,episodes!$A$1:$E$81,5,FALSE)</f>
        <v>The Alternative Factor</v>
      </c>
      <c r="L1282" s="16">
        <f>VLOOKUP(I1282,episodes!$A$1:$D$81,3,FALSE)</f>
        <v>1</v>
      </c>
      <c r="M1282" s="16">
        <f>VLOOKUP(I1282,episodes!$A$1:$D$81,4,FALSE)</f>
        <v>27</v>
      </c>
      <c r="N1282" s="14"/>
      <c r="O1282" s="14">
        <v>0</v>
      </c>
      <c r="P1282" s="24">
        <f>LEN(E1282)+LEN(K1282)</f>
        <v>90</v>
      </c>
      <c r="Q1282" s="24">
        <f>COUNTIFS(B:B,B1281)</f>
        <v>154</v>
      </c>
      <c r="R1282" s="24">
        <f>COUNTIFS(D:D,D1282)</f>
        <v>0</v>
      </c>
    </row>
    <row r="1283" spans="1:19" s="31" customFormat="1" x14ac:dyDescent="0.3">
      <c r="A1283" s="14">
        <v>1124</v>
      </c>
      <c r="B1283" s="21" t="s">
        <v>263</v>
      </c>
      <c r="C1283" s="21" t="s">
        <v>922</v>
      </c>
      <c r="D1283" s="1"/>
      <c r="E1283" s="1" t="s">
        <v>904</v>
      </c>
      <c r="F1283" s="21" t="s">
        <v>2546</v>
      </c>
      <c r="G1283" s="14">
        <v>0</v>
      </c>
      <c r="H1283" s="14">
        <v>0</v>
      </c>
      <c r="I1283" s="25">
        <v>204</v>
      </c>
      <c r="J1283" s="23">
        <f>VLOOKUP(I1283,episodes!$A$1:$B$81,2,FALSE)</f>
        <v>34</v>
      </c>
      <c r="K1283" s="16" t="str">
        <f>VLOOKUP(I1283,episodes!$A$1:$E$81,5,FALSE)</f>
        <v>Mirror, Mirror</v>
      </c>
      <c r="L1283" s="16">
        <f>VLOOKUP(I1283,episodes!$A$1:$D$81,3,FALSE)</f>
        <v>2</v>
      </c>
      <c r="M1283" s="16">
        <f>VLOOKUP(I1283,episodes!$A$1:$D$81,4,FALSE)</f>
        <v>4</v>
      </c>
      <c r="N1283" s="14"/>
      <c r="O1283" s="14">
        <v>0</v>
      </c>
      <c r="P1283" s="24">
        <f>LEN(E1283)+LEN(K1283)</f>
        <v>148</v>
      </c>
      <c r="Q1283" s="24"/>
      <c r="R1283" s="24"/>
    </row>
    <row r="1284" spans="1:19" s="31" customFormat="1" x14ac:dyDescent="0.3">
      <c r="A1284" s="14">
        <v>2483</v>
      </c>
      <c r="B1284" s="21" t="s">
        <v>263</v>
      </c>
      <c r="C1284" s="21" t="s">
        <v>922</v>
      </c>
      <c r="D1284" s="1"/>
      <c r="E1284" s="1" t="s">
        <v>2031</v>
      </c>
      <c r="F1284" s="21" t="s">
        <v>2287</v>
      </c>
      <c r="G1284" s="14">
        <v>0</v>
      </c>
      <c r="H1284" s="14">
        <v>0</v>
      </c>
      <c r="I1284" s="25">
        <v>203</v>
      </c>
      <c r="J1284" s="23">
        <f>VLOOKUP(I1284,episodes!$A$1:$B$76,2,FALSE)</f>
        <v>33</v>
      </c>
      <c r="K1284" s="16" t="str">
        <f>VLOOKUP(I1284,episodes!$A$1:$E$81,5,FALSE)</f>
        <v>The Changeling</v>
      </c>
      <c r="L1284" s="16">
        <f>VLOOKUP(I1284,episodes!$A$1:$D$81,3,FALSE)</f>
        <v>2</v>
      </c>
      <c r="M1284" s="16">
        <f>VLOOKUP(I1284,episodes!$A$1:$D$81,4,FALSE)</f>
        <v>3</v>
      </c>
      <c r="N1284" s="14"/>
      <c r="O1284" s="14">
        <v>0</v>
      </c>
      <c r="P1284" s="24">
        <f>LEN(E1284)+LEN(K1284)</f>
        <v>55</v>
      </c>
      <c r="Q1284" s="24">
        <f>COUNTIFS(B:B,B1283)</f>
        <v>154</v>
      </c>
      <c r="R1284" s="24">
        <f>COUNTIFS(D:D,D1284)</f>
        <v>0</v>
      </c>
    </row>
    <row r="1285" spans="1:19" s="31" customFormat="1" x14ac:dyDescent="0.3">
      <c r="A1285" s="14">
        <v>1599</v>
      </c>
      <c r="B1285" s="21" t="s">
        <v>263</v>
      </c>
      <c r="C1285" s="21" t="s">
        <v>922</v>
      </c>
      <c r="D1285" s="1"/>
      <c r="E1285" s="1" t="s">
        <v>660</v>
      </c>
      <c r="F1285" s="21" t="s">
        <v>8</v>
      </c>
      <c r="G1285" s="14">
        <v>0</v>
      </c>
      <c r="H1285" s="14">
        <v>1</v>
      </c>
      <c r="I1285" s="22">
        <v>124</v>
      </c>
      <c r="J1285" s="23">
        <f>VLOOKUP(I1285,episodes!$A$1:$B$76,2,FALSE)</f>
        <v>25</v>
      </c>
      <c r="K1285" s="16" t="str">
        <f>VLOOKUP(I1285,episodes!$A$1:$E$81,5,FALSE)</f>
        <v>This Side of Paradise</v>
      </c>
      <c r="L1285" s="16">
        <f>VLOOKUP(I1285,episodes!$A$1:$D$81,3,FALSE)</f>
        <v>1</v>
      </c>
      <c r="M1285" s="16">
        <f>VLOOKUP(I1285,episodes!$A$1:$D$81,4,FALSE)</f>
        <v>24</v>
      </c>
      <c r="N1285" s="14"/>
      <c r="O1285" s="14">
        <v>0</v>
      </c>
      <c r="P1285" s="24">
        <f>LEN(E1285)+LEN(K1285)</f>
        <v>69</v>
      </c>
      <c r="Q1285" s="24">
        <f>COUNTIFS(B:B,B1284)</f>
        <v>154</v>
      </c>
      <c r="R1285" s="24">
        <f>COUNTIFS(D:D,D1285)</f>
        <v>0</v>
      </c>
      <c r="S1285" s="1"/>
    </row>
    <row r="1286" spans="1:19" s="31" customFormat="1" x14ac:dyDescent="0.3">
      <c r="A1286" s="14">
        <v>1600</v>
      </c>
      <c r="B1286" s="21" t="s">
        <v>263</v>
      </c>
      <c r="C1286" s="21" t="s">
        <v>922</v>
      </c>
      <c r="D1286" s="1"/>
      <c r="E1286" s="1" t="s">
        <v>568</v>
      </c>
      <c r="F1286" s="21" t="s">
        <v>8</v>
      </c>
      <c r="G1286" s="14">
        <v>0</v>
      </c>
      <c r="H1286" s="14">
        <v>1</v>
      </c>
      <c r="I1286" s="22">
        <v>124</v>
      </c>
      <c r="J1286" s="23">
        <f>VLOOKUP(I1286,episodes!$A$1:$B$76,2,FALSE)</f>
        <v>25</v>
      </c>
      <c r="K1286" s="16" t="str">
        <f>VLOOKUP(I1286,episodes!$A$1:$E$81,5,FALSE)</f>
        <v>This Side of Paradise</v>
      </c>
      <c r="L1286" s="16">
        <f>VLOOKUP(I1286,episodes!$A$1:$D$81,3,FALSE)</f>
        <v>1</v>
      </c>
      <c r="M1286" s="16">
        <f>VLOOKUP(I1286,episodes!$A$1:$D$81,4,FALSE)</f>
        <v>24</v>
      </c>
      <c r="N1286" s="14"/>
      <c r="O1286" s="14">
        <v>0</v>
      </c>
      <c r="P1286" s="24">
        <f>LEN(E1286)+LEN(K1286)</f>
        <v>63</v>
      </c>
      <c r="Q1286" s="24">
        <f>COUNTIFS(B:B,B1285)</f>
        <v>154</v>
      </c>
      <c r="R1286" s="24">
        <f>COUNTIFS(D:D,D1286)</f>
        <v>0</v>
      </c>
    </row>
    <row r="1287" spans="1:19" s="31" customFormat="1" x14ac:dyDescent="0.3">
      <c r="A1287" s="14">
        <v>1557</v>
      </c>
      <c r="B1287" s="21" t="s">
        <v>263</v>
      </c>
      <c r="C1287" s="21" t="s">
        <v>922</v>
      </c>
      <c r="D1287" s="1"/>
      <c r="E1287" s="1" t="s">
        <v>552</v>
      </c>
      <c r="F1287" s="21" t="s">
        <v>8</v>
      </c>
      <c r="G1287" s="14">
        <v>0</v>
      </c>
      <c r="H1287" s="14">
        <v>1</v>
      </c>
      <c r="I1287" s="25">
        <v>109</v>
      </c>
      <c r="J1287" s="23">
        <f>VLOOKUP(I1287,episodes!$A$1:$B$76,2,FALSE)</f>
        <v>10</v>
      </c>
      <c r="K1287" s="16" t="str">
        <f>VLOOKUP(I1287,episodes!$A$1:$E$81,5,FALSE)</f>
        <v>Dagger of the Mind</v>
      </c>
      <c r="L1287" s="16">
        <f>VLOOKUP(I1287,episodes!$A$1:$D$81,3,FALSE)</f>
        <v>1</v>
      </c>
      <c r="M1287" s="16">
        <f>VLOOKUP(I1287,episodes!$A$1:$D$81,4,FALSE)</f>
        <v>9</v>
      </c>
      <c r="N1287" s="14"/>
      <c r="O1287" s="14">
        <v>0</v>
      </c>
      <c r="P1287" s="24">
        <f>LEN(E1287)+LEN(K1287)</f>
        <v>46</v>
      </c>
      <c r="Q1287" s="24">
        <f>COUNTIFS(B:B,B1286)</f>
        <v>154</v>
      </c>
      <c r="R1287" s="24">
        <f>COUNTIFS(D:D,D1287)</f>
        <v>0</v>
      </c>
      <c r="S1287" s="1"/>
    </row>
    <row r="1288" spans="1:19" s="31" customFormat="1" x14ac:dyDescent="0.3">
      <c r="A1288" s="14">
        <v>1562</v>
      </c>
      <c r="B1288" s="21" t="s">
        <v>263</v>
      </c>
      <c r="C1288" s="21" t="s">
        <v>922</v>
      </c>
      <c r="D1288" s="1"/>
      <c r="E1288" s="1" t="s">
        <v>552</v>
      </c>
      <c r="F1288" s="21" t="s">
        <v>8</v>
      </c>
      <c r="G1288" s="14">
        <v>0</v>
      </c>
      <c r="H1288" s="14">
        <v>1</v>
      </c>
      <c r="I1288" s="25">
        <v>113</v>
      </c>
      <c r="J1288" s="23">
        <f>VLOOKUP(I1288,episodes!$A$1:$B$76,2,FALSE)</f>
        <v>14</v>
      </c>
      <c r="K1288" s="16" t="str">
        <f>VLOOKUP(I1288,episodes!$A$1:$E$81,5,FALSE)</f>
        <v>The Conscience of the King</v>
      </c>
      <c r="L1288" s="16">
        <f>VLOOKUP(I1288,episodes!$A$1:$D$81,3,FALSE)</f>
        <v>1</v>
      </c>
      <c r="M1288" s="16">
        <f>VLOOKUP(I1288,episodes!$A$1:$D$81,4,FALSE)</f>
        <v>13</v>
      </c>
      <c r="N1288" s="14"/>
      <c r="O1288" s="14">
        <v>0</v>
      </c>
      <c r="P1288" s="24">
        <f>LEN(E1288)+LEN(K1288)</f>
        <v>54</v>
      </c>
      <c r="Q1288" s="24">
        <f>COUNTIFS(B:B,B1287)</f>
        <v>154</v>
      </c>
      <c r="R1288" s="24">
        <f>COUNTIFS(D:D,D1288)</f>
        <v>0</v>
      </c>
    </row>
    <row r="1289" spans="1:19" s="31" customFormat="1" x14ac:dyDescent="0.3">
      <c r="A1289" s="14">
        <v>1563</v>
      </c>
      <c r="B1289" s="21" t="s">
        <v>263</v>
      </c>
      <c r="C1289" s="21" t="s">
        <v>922</v>
      </c>
      <c r="D1289" s="1"/>
      <c r="E1289" s="1" t="s">
        <v>552</v>
      </c>
      <c r="F1289" s="21" t="s">
        <v>8</v>
      </c>
      <c r="G1289" s="14">
        <v>0</v>
      </c>
      <c r="H1289" s="14">
        <v>1</v>
      </c>
      <c r="I1289" s="25">
        <v>113</v>
      </c>
      <c r="J1289" s="23">
        <f>VLOOKUP(I1289,episodes!$A$1:$B$76,2,FALSE)</f>
        <v>14</v>
      </c>
      <c r="K1289" s="16" t="str">
        <f>VLOOKUP(I1289,episodes!$A$1:$E$81,5,FALSE)</f>
        <v>The Conscience of the King</v>
      </c>
      <c r="L1289" s="16">
        <f>VLOOKUP(I1289,episodes!$A$1:$D$81,3,FALSE)</f>
        <v>1</v>
      </c>
      <c r="M1289" s="16">
        <f>VLOOKUP(I1289,episodes!$A$1:$D$81,4,FALSE)</f>
        <v>13</v>
      </c>
      <c r="N1289" s="14"/>
      <c r="O1289" s="14">
        <v>0</v>
      </c>
      <c r="P1289" s="24">
        <f>LEN(E1289)+LEN(K1289)</f>
        <v>54</v>
      </c>
      <c r="Q1289" s="24">
        <f>COUNTIFS(B:B,B1288)</f>
        <v>154</v>
      </c>
      <c r="R1289" s="24">
        <f>COUNTIFS(D:D,D1289)</f>
        <v>0</v>
      </c>
    </row>
    <row r="1290" spans="1:19" s="31" customFormat="1" x14ac:dyDescent="0.3">
      <c r="A1290" s="14">
        <v>1630</v>
      </c>
      <c r="B1290" s="21" t="s">
        <v>263</v>
      </c>
      <c r="C1290" s="21" t="s">
        <v>922</v>
      </c>
      <c r="D1290" s="1"/>
      <c r="E1290" s="1" t="s">
        <v>581</v>
      </c>
      <c r="F1290" s="21" t="s">
        <v>8</v>
      </c>
      <c r="G1290" s="14">
        <v>0</v>
      </c>
      <c r="H1290" s="14">
        <v>1</v>
      </c>
      <c r="I1290" s="22">
        <v>201</v>
      </c>
      <c r="J1290" s="23">
        <f>VLOOKUP(I1290,episodes!$A$1:$B$76,2,FALSE)</f>
        <v>31</v>
      </c>
      <c r="K1290" s="16" t="str">
        <f>VLOOKUP(I1290,episodes!$A$1:$E$81,5,FALSE)</f>
        <v>Amok Time</v>
      </c>
      <c r="L1290" s="16">
        <f>VLOOKUP(I1290,episodes!$A$1:$D$81,3,FALSE)</f>
        <v>2</v>
      </c>
      <c r="M1290" s="16">
        <f>VLOOKUP(I1290,episodes!$A$1:$D$81,4,FALSE)</f>
        <v>1</v>
      </c>
      <c r="N1290" s="14"/>
      <c r="O1290" s="14">
        <v>0</v>
      </c>
      <c r="P1290" s="24">
        <f>LEN(E1290)+LEN(K1290)</f>
        <v>45</v>
      </c>
      <c r="Q1290" s="24">
        <f>COUNTIFS(B:B,B1289)</f>
        <v>154</v>
      </c>
      <c r="R1290" s="24">
        <f>COUNTIFS(D:D,D1290)</f>
        <v>0</v>
      </c>
    </row>
    <row r="1291" spans="1:19" s="31" customFormat="1" x14ac:dyDescent="0.3">
      <c r="A1291" s="14">
        <v>1587</v>
      </c>
      <c r="B1291" s="21" t="s">
        <v>263</v>
      </c>
      <c r="C1291" s="21" t="s">
        <v>922</v>
      </c>
      <c r="D1291" s="1"/>
      <c r="E1291" s="1" t="s">
        <v>403</v>
      </c>
      <c r="F1291" s="21" t="s">
        <v>8</v>
      </c>
      <c r="G1291" s="14">
        <v>0</v>
      </c>
      <c r="H1291" s="14">
        <v>1</v>
      </c>
      <c r="I1291" s="22">
        <v>122</v>
      </c>
      <c r="J1291" s="23">
        <f>VLOOKUP(I1291,episodes!$A$1:$B$76,2,FALSE)</f>
        <v>23</v>
      </c>
      <c r="K1291" s="16" t="str">
        <f>VLOOKUP(I1291,episodes!$A$1:$E$81,5,FALSE)</f>
        <v>Space Seed</v>
      </c>
      <c r="L1291" s="16">
        <f>VLOOKUP(I1291,episodes!$A$1:$D$81,3,FALSE)</f>
        <v>1</v>
      </c>
      <c r="M1291" s="16">
        <f>VLOOKUP(I1291,episodes!$A$1:$D$81,4,FALSE)</f>
        <v>22</v>
      </c>
      <c r="N1291" s="14"/>
      <c r="O1291" s="14">
        <v>0</v>
      </c>
      <c r="P1291" s="24">
        <f>LEN(E1291)+LEN(K1291)</f>
        <v>30</v>
      </c>
      <c r="Q1291" s="24">
        <f>COUNTIFS(B:B,#REF!)</f>
        <v>0</v>
      </c>
      <c r="R1291" s="24">
        <f>COUNTIFS(D:D,D1291)</f>
        <v>0</v>
      </c>
    </row>
    <row r="1292" spans="1:19" s="31" customFormat="1" x14ac:dyDescent="0.3">
      <c r="A1292" s="14">
        <v>1631</v>
      </c>
      <c r="B1292" s="21" t="s">
        <v>263</v>
      </c>
      <c r="C1292" s="21" t="s">
        <v>922</v>
      </c>
      <c r="D1292" s="1"/>
      <c r="E1292" s="1" t="s">
        <v>582</v>
      </c>
      <c r="F1292" s="21" t="s">
        <v>8</v>
      </c>
      <c r="G1292" s="14">
        <v>0</v>
      </c>
      <c r="H1292" s="14">
        <v>1</v>
      </c>
      <c r="I1292" s="22">
        <v>201</v>
      </c>
      <c r="J1292" s="23">
        <f>VLOOKUP(I1292,episodes!$A$1:$B$76,2,FALSE)</f>
        <v>31</v>
      </c>
      <c r="K1292" s="16" t="str">
        <f>VLOOKUP(I1292,episodes!$A$1:$E$81,5,FALSE)</f>
        <v>Amok Time</v>
      </c>
      <c r="L1292" s="16">
        <f>VLOOKUP(I1292,episodes!$A$1:$D$81,3,FALSE)</f>
        <v>2</v>
      </c>
      <c r="M1292" s="16">
        <f>VLOOKUP(I1292,episodes!$A$1:$D$81,4,FALSE)</f>
        <v>1</v>
      </c>
      <c r="N1292" s="14"/>
      <c r="O1292" s="14">
        <v>0</v>
      </c>
      <c r="P1292" s="24">
        <f>LEN(E1292)+LEN(K1292)</f>
        <v>42</v>
      </c>
      <c r="Q1292" s="24">
        <f>COUNTIFS(B:B,B1291)</f>
        <v>154</v>
      </c>
      <c r="R1292" s="24">
        <f>COUNTIFS(D:D,D1292)</f>
        <v>0</v>
      </c>
    </row>
    <row r="1293" spans="1:19" s="31" customFormat="1" x14ac:dyDescent="0.3">
      <c r="A1293" s="14">
        <v>1619</v>
      </c>
      <c r="B1293" s="21" t="s">
        <v>263</v>
      </c>
      <c r="C1293" s="21" t="s">
        <v>922</v>
      </c>
      <c r="D1293" s="1"/>
      <c r="E1293" s="1" t="s">
        <v>575</v>
      </c>
      <c r="F1293" s="21" t="s">
        <v>8</v>
      </c>
      <c r="G1293" s="14">
        <v>0</v>
      </c>
      <c r="H1293" s="14">
        <v>1</v>
      </c>
      <c r="I1293" s="22">
        <v>129</v>
      </c>
      <c r="J1293" s="23">
        <f>VLOOKUP(I1293,episodes!$A$1:$B$76,2,FALSE)</f>
        <v>30</v>
      </c>
      <c r="K1293" s="16" t="str">
        <f>VLOOKUP(I1293,episodes!$A$1:$E$81,5,FALSE)</f>
        <v>Operation: Annihilate!</v>
      </c>
      <c r="L1293" s="16">
        <f>VLOOKUP(I1293,episodes!$A$1:$D$81,3,FALSE)</f>
        <v>1</v>
      </c>
      <c r="M1293" s="16">
        <f>VLOOKUP(I1293,episodes!$A$1:$D$81,4,FALSE)</f>
        <v>29</v>
      </c>
      <c r="N1293" s="14"/>
      <c r="O1293" s="14">
        <v>0</v>
      </c>
      <c r="P1293" s="24">
        <f>LEN(E1293)+LEN(K1293)</f>
        <v>43</v>
      </c>
      <c r="Q1293" s="24">
        <f>COUNTIFS(B:B,B1292)</f>
        <v>154</v>
      </c>
      <c r="R1293" s="24">
        <f>COUNTIFS(D:D,D1293)</f>
        <v>0</v>
      </c>
      <c r="S1293" s="1"/>
    </row>
    <row r="1294" spans="1:19" s="21" customFormat="1" x14ac:dyDescent="0.3">
      <c r="A1294" s="14">
        <v>120</v>
      </c>
      <c r="B1294" s="21" t="s">
        <v>263</v>
      </c>
      <c r="C1294" s="21" t="s">
        <v>922</v>
      </c>
      <c r="D1294" s="1"/>
      <c r="E1294" s="1" t="s">
        <v>576</v>
      </c>
      <c r="F1294" s="21" t="s">
        <v>2258</v>
      </c>
      <c r="G1294" s="14">
        <v>0</v>
      </c>
      <c r="H1294" s="14">
        <v>2</v>
      </c>
      <c r="I1294" s="22">
        <v>129</v>
      </c>
      <c r="J1294" s="23">
        <f>VLOOKUP(I1294,episodes!$A$1:$B$76,2,FALSE)</f>
        <v>30</v>
      </c>
      <c r="K1294" s="16" t="str">
        <f>VLOOKUP(I1294,episodes!$A$1:$E$81,5,FALSE)</f>
        <v>Operation: Annihilate!</v>
      </c>
      <c r="L1294" s="16">
        <f>VLOOKUP(I1294,episodes!$A$1:$D$81,3,FALSE)</f>
        <v>1</v>
      </c>
      <c r="M1294" s="16">
        <f>VLOOKUP(I1294,episodes!$A$1:$D$81,4,FALSE)</f>
        <v>29</v>
      </c>
      <c r="N1294" s="14"/>
      <c r="O1294" s="14">
        <v>0</v>
      </c>
      <c r="P1294" s="24">
        <f>LEN(E1294)+LEN(K1294)</f>
        <v>57</v>
      </c>
      <c r="Q1294" s="24">
        <f>COUNTIFS(B:B,B1293)</f>
        <v>154</v>
      </c>
      <c r="R1294" s="24">
        <f>COUNTIFS(D:D,D1294)</f>
        <v>0</v>
      </c>
      <c r="S1294" s="1"/>
    </row>
    <row r="1295" spans="1:19" s="21" customFormat="1" x14ac:dyDescent="0.3">
      <c r="A1295" s="14">
        <v>125</v>
      </c>
      <c r="B1295" s="21" t="s">
        <v>263</v>
      </c>
      <c r="C1295" s="21" t="s">
        <v>922</v>
      </c>
      <c r="E1295" s="1" t="s">
        <v>576</v>
      </c>
      <c r="F1295" s="21" t="s">
        <v>2258</v>
      </c>
      <c r="G1295" s="14">
        <v>0</v>
      </c>
      <c r="H1295" s="14">
        <v>2</v>
      </c>
      <c r="I1295" s="25">
        <v>210</v>
      </c>
      <c r="J1295" s="23">
        <f>VLOOKUP(I1295,episodes!$A$1:$B$81,2,FALSE)</f>
        <v>40</v>
      </c>
      <c r="K1295" s="16" t="str">
        <f>VLOOKUP(I1295,episodes!$A$1:$E$81,5,FALSE)</f>
        <v>Journey to Babel</v>
      </c>
      <c r="L1295" s="16">
        <f>VLOOKUP(I1295,episodes!$A$1:$D$81,3,FALSE)</f>
        <v>2</v>
      </c>
      <c r="M1295" s="16">
        <f>VLOOKUP(I1295,episodes!$A$1:$D$81,4,FALSE)</f>
        <v>10</v>
      </c>
      <c r="N1295" s="14"/>
      <c r="O1295" s="14">
        <v>0</v>
      </c>
      <c r="P1295" s="24">
        <f>LEN(E1295)+LEN(K1295)</f>
        <v>51</v>
      </c>
      <c r="Q1295" s="24">
        <f>COUNTIFS(B:B,B1294)</f>
        <v>154</v>
      </c>
      <c r="R1295" s="24">
        <f>COUNTIFS(D:D,D1295)</f>
        <v>0</v>
      </c>
      <c r="S1295" s="1"/>
    </row>
    <row r="1296" spans="1:19" s="21" customFormat="1" x14ac:dyDescent="0.3">
      <c r="A1296" s="14">
        <v>116</v>
      </c>
      <c r="B1296" s="21" t="s">
        <v>263</v>
      </c>
      <c r="C1296" s="21" t="s">
        <v>922</v>
      </c>
      <c r="D1296" s="1"/>
      <c r="E1296" s="1" t="s">
        <v>1880</v>
      </c>
      <c r="F1296" s="21" t="s">
        <v>2258</v>
      </c>
      <c r="G1296" s="14">
        <v>0</v>
      </c>
      <c r="H1296" s="14">
        <v>2</v>
      </c>
      <c r="I1296" s="14">
        <v>104</v>
      </c>
      <c r="J1296" s="23">
        <f>VLOOKUP(I1296,episodes!$A$1:$B$76,2,FALSE)</f>
        <v>5</v>
      </c>
      <c r="K1296" s="16" t="str">
        <f>VLOOKUP(I1296,episodes!$A$1:$E$81,5,FALSE)</f>
        <v>The Naked Time</v>
      </c>
      <c r="L1296" s="16">
        <f>VLOOKUP(I1296,episodes!$A$1:$D$81,3,FALSE)</f>
        <v>1</v>
      </c>
      <c r="M1296" s="16">
        <f>VLOOKUP(I1296,episodes!$A$1:$D$81,4,FALSE)</f>
        <v>4</v>
      </c>
      <c r="N1296" s="14"/>
      <c r="O1296" s="14">
        <v>0</v>
      </c>
      <c r="P1296" s="24">
        <f>LEN(E1296)+LEN(K1296)</f>
        <v>80</v>
      </c>
      <c r="Q1296" s="24">
        <f>COUNTIFS(B:B,B1295)</f>
        <v>154</v>
      </c>
      <c r="R1296" s="24">
        <f>COUNTIFS(D:D,D1296)</f>
        <v>0</v>
      </c>
      <c r="S1296" s="1"/>
    </row>
    <row r="1297" spans="1:19" s="21" customFormat="1" x14ac:dyDescent="0.3">
      <c r="A1297" s="14">
        <v>1690</v>
      </c>
      <c r="B1297" s="21" t="s">
        <v>263</v>
      </c>
      <c r="C1297" s="21" t="s">
        <v>922</v>
      </c>
      <c r="D1297" s="1"/>
      <c r="E1297" s="1" t="s">
        <v>1877</v>
      </c>
      <c r="F1297" s="21" t="s">
        <v>2258</v>
      </c>
      <c r="G1297" s="14">
        <v>0</v>
      </c>
      <c r="H1297" s="14">
        <v>2</v>
      </c>
      <c r="I1297" s="14">
        <v>104</v>
      </c>
      <c r="J1297" s="23">
        <f>VLOOKUP(I1297,episodes!$A$1:$B$76,2,FALSE)</f>
        <v>5</v>
      </c>
      <c r="K1297" s="16" t="str">
        <f>VLOOKUP(I1297,episodes!$A$1:$E$81,5,FALSE)</f>
        <v>The Naked Time</v>
      </c>
      <c r="L1297" s="16">
        <f>VLOOKUP(I1297,episodes!$A$1:$D$81,3,FALSE)</f>
        <v>1</v>
      </c>
      <c r="M1297" s="16">
        <f>VLOOKUP(I1297,episodes!$A$1:$D$81,4,FALSE)</f>
        <v>4</v>
      </c>
      <c r="N1297" s="14"/>
      <c r="O1297" s="14">
        <v>0</v>
      </c>
      <c r="P1297" s="24">
        <f>LEN(E1297)+LEN(K1297)</f>
        <v>61</v>
      </c>
      <c r="Q1297" s="24"/>
      <c r="R1297" s="24"/>
      <c r="S1297" s="1"/>
    </row>
    <row r="1298" spans="1:19" s="21" customFormat="1" x14ac:dyDescent="0.3">
      <c r="A1298" s="14">
        <v>123</v>
      </c>
      <c r="B1298" s="21" t="s">
        <v>263</v>
      </c>
      <c r="C1298" s="21" t="s">
        <v>922</v>
      </c>
      <c r="D1298" s="1"/>
      <c r="E1298" s="1" t="s">
        <v>583</v>
      </c>
      <c r="F1298" s="21" t="s">
        <v>2258</v>
      </c>
      <c r="G1298" s="14">
        <v>0</v>
      </c>
      <c r="H1298" s="14">
        <v>2</v>
      </c>
      <c r="I1298" s="22">
        <v>201</v>
      </c>
      <c r="J1298" s="23">
        <f>VLOOKUP(I1298,episodes!$A$1:$B$76,2,FALSE)</f>
        <v>31</v>
      </c>
      <c r="K1298" s="16" t="str">
        <f>VLOOKUP(I1298,episodes!$A$1:$E$81,5,FALSE)</f>
        <v>Amok Time</v>
      </c>
      <c r="L1298" s="16">
        <f>VLOOKUP(I1298,episodes!$A$1:$D$81,3,FALSE)</f>
        <v>2</v>
      </c>
      <c r="M1298" s="16">
        <f>VLOOKUP(I1298,episodes!$A$1:$D$81,4,FALSE)</f>
        <v>1</v>
      </c>
      <c r="N1298" s="14"/>
      <c r="O1298" s="14">
        <v>0</v>
      </c>
      <c r="P1298" s="24">
        <f>LEN(E1298)+LEN(K1298)</f>
        <v>57</v>
      </c>
      <c r="Q1298" s="24">
        <f>COUNTIFS(B:B,#REF!)</f>
        <v>0</v>
      </c>
      <c r="R1298" s="24">
        <f>COUNTIFS(D:D,D1298)</f>
        <v>0</v>
      </c>
    </row>
    <row r="1299" spans="1:19" s="21" customFormat="1" x14ac:dyDescent="0.3">
      <c r="A1299" s="14">
        <v>121</v>
      </c>
      <c r="B1299" s="21" t="s">
        <v>263</v>
      </c>
      <c r="C1299" s="21" t="s">
        <v>922</v>
      </c>
      <c r="D1299" s="1"/>
      <c r="E1299" s="1" t="s">
        <v>577</v>
      </c>
      <c r="F1299" s="21" t="s">
        <v>2258</v>
      </c>
      <c r="G1299" s="14">
        <v>0</v>
      </c>
      <c r="H1299" s="14">
        <v>2</v>
      </c>
      <c r="I1299" s="22">
        <v>129</v>
      </c>
      <c r="J1299" s="23">
        <f>VLOOKUP(I1299,episodes!$A$1:$B$76,2,FALSE)</f>
        <v>30</v>
      </c>
      <c r="K1299" s="16" t="str">
        <f>VLOOKUP(I1299,episodes!$A$1:$E$81,5,FALSE)</f>
        <v>Operation: Annihilate!</v>
      </c>
      <c r="L1299" s="16">
        <f>VLOOKUP(I1299,episodes!$A$1:$D$81,3,FALSE)</f>
        <v>1</v>
      </c>
      <c r="M1299" s="16">
        <f>VLOOKUP(I1299,episodes!$A$1:$D$81,4,FALSE)</f>
        <v>29</v>
      </c>
      <c r="N1299" s="14"/>
      <c r="O1299" s="14">
        <v>0</v>
      </c>
      <c r="P1299" s="24">
        <f>LEN(E1299)+LEN(K1299)</f>
        <v>50</v>
      </c>
      <c r="Q1299" s="24">
        <f>COUNTIFS(B:B,B1298)</f>
        <v>154</v>
      </c>
      <c r="R1299" s="24">
        <f>COUNTIFS(D:D,D1299)</f>
        <v>0</v>
      </c>
    </row>
    <row r="1300" spans="1:19" s="21" customFormat="1" x14ac:dyDescent="0.3">
      <c r="A1300" s="14">
        <v>176</v>
      </c>
      <c r="B1300" s="21" t="s">
        <v>263</v>
      </c>
      <c r="C1300" s="21" t="s">
        <v>922</v>
      </c>
      <c r="D1300" s="1"/>
      <c r="E1300" s="1" t="s">
        <v>386</v>
      </c>
      <c r="F1300" s="1" t="s">
        <v>2255</v>
      </c>
      <c r="G1300" s="26">
        <v>0</v>
      </c>
      <c r="H1300" s="26">
        <v>0</v>
      </c>
      <c r="I1300" s="25">
        <v>110</v>
      </c>
      <c r="J1300" s="23">
        <f>VLOOKUP(I1300,episodes!$A$1:$B$76,2,FALSE)</f>
        <v>11</v>
      </c>
      <c r="K1300" s="16" t="str">
        <f>VLOOKUP(I1300,episodes!$A$1:$E$81,5,FALSE)</f>
        <v>The Corbomite Maneuver</v>
      </c>
      <c r="L1300" s="16">
        <f>VLOOKUP(I1300,episodes!$A$1:$D$81,3,FALSE)</f>
        <v>1</v>
      </c>
      <c r="M1300" s="16">
        <f>VLOOKUP(I1300,episodes!$A$1:$D$81,4,FALSE)</f>
        <v>10</v>
      </c>
      <c r="N1300" s="14"/>
      <c r="O1300" s="14">
        <v>0</v>
      </c>
      <c r="P1300" s="24">
        <f>LEN(E1300)+LEN(K1300)</f>
        <v>50</v>
      </c>
      <c r="Q1300" s="24">
        <f>COUNTIFS(B:B,B1299)</f>
        <v>154</v>
      </c>
      <c r="R1300" s="24">
        <f>COUNTIFS(D:D,D1300)</f>
        <v>0</v>
      </c>
    </row>
    <row r="1301" spans="1:19" s="21" customFormat="1" x14ac:dyDescent="0.3">
      <c r="A1301" s="14">
        <v>776</v>
      </c>
      <c r="B1301" s="21" t="s">
        <v>263</v>
      </c>
      <c r="C1301" s="21" t="s">
        <v>922</v>
      </c>
      <c r="D1301" s="1"/>
      <c r="E1301" s="1" t="s">
        <v>1304</v>
      </c>
      <c r="F1301" s="21" t="s">
        <v>4</v>
      </c>
      <c r="G1301" s="14">
        <v>1</v>
      </c>
      <c r="H1301" s="14">
        <v>0</v>
      </c>
      <c r="I1301" s="22">
        <v>120</v>
      </c>
      <c r="J1301" s="23">
        <f>VLOOKUP(I1301,episodes!$A$1:$B$76,2,FALSE)</f>
        <v>21</v>
      </c>
      <c r="K1301" s="16" t="str">
        <f>VLOOKUP(I1301,episodes!$A$1:$E$81,5,FALSE)</f>
        <v>Court Martial</v>
      </c>
      <c r="L1301" s="16">
        <f>VLOOKUP(I1301,episodes!$A$1:$D$81,3,FALSE)</f>
        <v>1</v>
      </c>
      <c r="M1301" s="16">
        <f>VLOOKUP(I1301,episodes!$A$1:$D$81,4,FALSE)</f>
        <v>20</v>
      </c>
      <c r="N1301" s="14"/>
      <c r="O1301" s="14">
        <v>0</v>
      </c>
      <c r="P1301" s="24">
        <f>LEN(E1301)+LEN(K1301)</f>
        <v>49</v>
      </c>
      <c r="Q1301" s="24">
        <f>COUNTIFS(B:B,B1300)</f>
        <v>154</v>
      </c>
      <c r="R1301" s="24">
        <f>COUNTIFS(D:D,D1301)</f>
        <v>0</v>
      </c>
      <c r="S1301" s="1"/>
    </row>
    <row r="1302" spans="1:19" s="21" customFormat="1" x14ac:dyDescent="0.3">
      <c r="A1302" s="14">
        <v>612</v>
      </c>
      <c r="B1302" s="21" t="s">
        <v>263</v>
      </c>
      <c r="C1302" s="21" t="s">
        <v>922</v>
      </c>
      <c r="D1302" s="1"/>
      <c r="E1302" s="1" t="s">
        <v>1564</v>
      </c>
      <c r="F1302" s="21" t="s">
        <v>4</v>
      </c>
      <c r="G1302" s="14">
        <v>1</v>
      </c>
      <c r="H1302" s="14">
        <v>0</v>
      </c>
      <c r="I1302" s="25">
        <v>106</v>
      </c>
      <c r="J1302" s="23">
        <f>VLOOKUP(I1302,episodes!$A$1:$B$76,2,FALSE)</f>
        <v>7</v>
      </c>
      <c r="K1302" s="16" t="str">
        <f>VLOOKUP(I1302,episodes!$A$1:$E$81,5,FALSE)</f>
        <v>Mudd's Women</v>
      </c>
      <c r="L1302" s="16">
        <f>VLOOKUP(I1302,episodes!$A$1:$D$81,3,FALSE)</f>
        <v>1</v>
      </c>
      <c r="M1302" s="16">
        <f>VLOOKUP(I1302,episodes!$A$1:$D$81,4,FALSE)</f>
        <v>6</v>
      </c>
      <c r="N1302" s="14"/>
      <c r="O1302" s="14">
        <v>0</v>
      </c>
      <c r="P1302" s="24">
        <f>LEN(E1302)+LEN(K1302)</f>
        <v>79</v>
      </c>
      <c r="Q1302" s="24">
        <f>COUNTIFS(B:B,B1301)</f>
        <v>154</v>
      </c>
      <c r="R1302" s="24">
        <f>COUNTIFS(D:D,D1302)</f>
        <v>0</v>
      </c>
      <c r="S1302" s="1"/>
    </row>
    <row r="1303" spans="1:19" s="21" customFormat="1" x14ac:dyDescent="0.3">
      <c r="A1303" s="14">
        <v>1620</v>
      </c>
      <c r="B1303" s="21" t="s">
        <v>263</v>
      </c>
      <c r="C1303" s="21" t="s">
        <v>922</v>
      </c>
      <c r="D1303" s="1"/>
      <c r="E1303" s="1" t="s">
        <v>424</v>
      </c>
      <c r="F1303" s="1" t="s">
        <v>8</v>
      </c>
      <c r="G1303" s="14">
        <v>0</v>
      </c>
      <c r="H1303" s="14">
        <v>1</v>
      </c>
      <c r="I1303" s="22">
        <v>129</v>
      </c>
      <c r="J1303" s="23">
        <f>VLOOKUP(I1303,episodes!$A$1:$B$76,2,FALSE)</f>
        <v>30</v>
      </c>
      <c r="K1303" s="16" t="str">
        <f>VLOOKUP(I1303,episodes!$A$1:$E$81,5,FALSE)</f>
        <v>Operation: Annihilate!</v>
      </c>
      <c r="L1303" s="16">
        <f>VLOOKUP(I1303,episodes!$A$1:$D$81,3,FALSE)</f>
        <v>1</v>
      </c>
      <c r="M1303" s="16">
        <f>VLOOKUP(I1303,episodes!$A$1:$D$81,4,FALSE)</f>
        <v>29</v>
      </c>
      <c r="N1303" s="14"/>
      <c r="O1303" s="14">
        <v>0</v>
      </c>
      <c r="P1303" s="24">
        <f>LEN(E1303)+LEN(K1303)</f>
        <v>47</v>
      </c>
      <c r="Q1303" s="24">
        <f>COUNTIFS(B:B,B1302)</f>
        <v>154</v>
      </c>
      <c r="R1303" s="24">
        <f>COUNTIFS(D:D,D1303)</f>
        <v>0</v>
      </c>
    </row>
    <row r="1304" spans="1:19" s="21" customFormat="1" x14ac:dyDescent="0.3">
      <c r="A1304" s="14">
        <v>2221</v>
      </c>
      <c r="B1304" s="21" t="s">
        <v>263</v>
      </c>
      <c r="C1304" s="21" t="s">
        <v>922</v>
      </c>
      <c r="D1304" s="1"/>
      <c r="E1304" s="1" t="s">
        <v>2034</v>
      </c>
      <c r="F1304" s="21" t="s">
        <v>5</v>
      </c>
      <c r="G1304" s="14">
        <v>1</v>
      </c>
      <c r="H1304" s="14">
        <v>0</v>
      </c>
      <c r="I1304" s="22">
        <v>201</v>
      </c>
      <c r="J1304" s="23">
        <f>VLOOKUP(I1304,episodes!$A$1:$B$76,2,FALSE)</f>
        <v>31</v>
      </c>
      <c r="K1304" s="16" t="str">
        <f>VLOOKUP(I1304,episodes!$A$1:$E$81,5,FALSE)</f>
        <v>Amok Time</v>
      </c>
      <c r="L1304" s="16">
        <f>VLOOKUP(I1304,episodes!$A$1:$D$81,3,FALSE)</f>
        <v>2</v>
      </c>
      <c r="M1304" s="16">
        <f>VLOOKUP(I1304,episodes!$A$1:$D$81,4,FALSE)</f>
        <v>1</v>
      </c>
      <c r="N1304" s="14"/>
      <c r="O1304" s="14">
        <v>0</v>
      </c>
      <c r="P1304" s="24">
        <f>LEN(E1304)+LEN(K1304)</f>
        <v>42</v>
      </c>
      <c r="Q1304" s="24">
        <f>COUNTIFS(B:B,B1303)</f>
        <v>154</v>
      </c>
      <c r="R1304" s="24">
        <f>COUNTIFS(D:D,D1304)</f>
        <v>0</v>
      </c>
    </row>
    <row r="1305" spans="1:19" s="21" customFormat="1" x14ac:dyDescent="0.3">
      <c r="A1305" s="14">
        <v>2222</v>
      </c>
      <c r="B1305" s="21" t="s">
        <v>263</v>
      </c>
      <c r="C1305" s="21" t="s">
        <v>922</v>
      </c>
      <c r="D1305" s="1"/>
      <c r="E1305" s="1" t="s">
        <v>2034</v>
      </c>
      <c r="F1305" s="21" t="s">
        <v>5</v>
      </c>
      <c r="G1305" s="14">
        <v>1</v>
      </c>
      <c r="H1305" s="14">
        <v>0</v>
      </c>
      <c r="I1305" s="22">
        <v>201</v>
      </c>
      <c r="J1305" s="23">
        <f>VLOOKUP(I1305,episodes!$A$1:$B$76,2,FALSE)</f>
        <v>31</v>
      </c>
      <c r="K1305" s="16" t="str">
        <f>VLOOKUP(I1305,episodes!$A$1:$E$81,5,FALSE)</f>
        <v>Amok Time</v>
      </c>
      <c r="L1305" s="16">
        <f>VLOOKUP(I1305,episodes!$A$1:$D$81,3,FALSE)</f>
        <v>2</v>
      </c>
      <c r="M1305" s="16">
        <f>VLOOKUP(I1305,episodes!$A$1:$D$81,4,FALSE)</f>
        <v>1</v>
      </c>
      <c r="N1305" s="14"/>
      <c r="O1305" s="14">
        <v>0</v>
      </c>
      <c r="P1305" s="24">
        <f>LEN(E1305)+LEN(K1305)</f>
        <v>42</v>
      </c>
      <c r="Q1305" s="24">
        <f>COUNTIFS(B:B,B1304)</f>
        <v>154</v>
      </c>
      <c r="R1305" s="24">
        <f>COUNTIFS(D:D,D1305)</f>
        <v>0</v>
      </c>
    </row>
    <row r="1306" spans="1:19" s="21" customFormat="1" x14ac:dyDescent="0.3">
      <c r="A1306" s="14">
        <v>178</v>
      </c>
      <c r="B1306" s="21" t="s">
        <v>263</v>
      </c>
      <c r="C1306" s="21" t="s">
        <v>922</v>
      </c>
      <c r="D1306" s="1"/>
      <c r="E1306" s="1" t="s">
        <v>387</v>
      </c>
      <c r="F1306" s="1" t="s">
        <v>2255</v>
      </c>
      <c r="G1306" s="26">
        <v>0</v>
      </c>
      <c r="H1306" s="26">
        <v>0</v>
      </c>
      <c r="I1306" s="25">
        <v>111</v>
      </c>
      <c r="J1306" s="23">
        <f>VLOOKUP(I1306,episodes!$A$1:$B$76,2,FALSE)</f>
        <v>12</v>
      </c>
      <c r="K1306" s="16" t="str">
        <f>VLOOKUP(I1306,episodes!$A$1:$E$81,5,FALSE)</f>
        <v>The Menagerie, Part I</v>
      </c>
      <c r="L1306" s="16">
        <f>VLOOKUP(I1306,episodes!$A$1:$D$81,3,FALSE)</f>
        <v>1</v>
      </c>
      <c r="M1306" s="16">
        <f>VLOOKUP(I1306,episodes!$A$1:$D$81,4,FALSE)</f>
        <v>11</v>
      </c>
      <c r="N1306" s="14"/>
      <c r="O1306" s="14">
        <v>0</v>
      </c>
      <c r="P1306" s="24">
        <f>LEN(E1306)+LEN(K1306)</f>
        <v>69</v>
      </c>
      <c r="Q1306" s="24">
        <f>COUNTIFS(B:B,B1305)</f>
        <v>154</v>
      </c>
      <c r="R1306" s="24">
        <f>COUNTIFS(D:D,D1306)</f>
        <v>0</v>
      </c>
    </row>
    <row r="1307" spans="1:19" s="21" customFormat="1" x14ac:dyDescent="0.3">
      <c r="A1307" s="14">
        <v>319</v>
      </c>
      <c r="B1307" s="21" t="s">
        <v>263</v>
      </c>
      <c r="C1307" s="21" t="s">
        <v>922</v>
      </c>
      <c r="D1307" s="1"/>
      <c r="E1307" s="1" t="s">
        <v>661</v>
      </c>
      <c r="F1307" s="1" t="s">
        <v>2224</v>
      </c>
      <c r="G1307" s="14">
        <v>0</v>
      </c>
      <c r="H1307" s="14">
        <v>0</v>
      </c>
      <c r="I1307" s="22">
        <v>124</v>
      </c>
      <c r="J1307" s="23">
        <f>VLOOKUP(I1307,episodes!$A$1:$B$76,2,FALSE)</f>
        <v>25</v>
      </c>
      <c r="K1307" s="16" t="str">
        <f>VLOOKUP(I1307,episodes!$A$1:$E$81,5,FALSE)</f>
        <v>This Side of Paradise</v>
      </c>
      <c r="L1307" s="16">
        <f>VLOOKUP(I1307,episodes!$A$1:$D$81,3,FALSE)</f>
        <v>1</v>
      </c>
      <c r="M1307" s="16">
        <f>VLOOKUP(I1307,episodes!$A$1:$D$81,4,FALSE)</f>
        <v>24</v>
      </c>
      <c r="N1307" s="14"/>
      <c r="O1307" s="14">
        <v>0</v>
      </c>
      <c r="P1307" s="24">
        <f>LEN(E1307)+LEN(K1307)</f>
        <v>64</v>
      </c>
      <c r="Q1307" s="24">
        <f>COUNTIFS(B:B,B1306)</f>
        <v>154</v>
      </c>
      <c r="R1307" s="24">
        <f>COUNTIFS(D:D,D1307)</f>
        <v>0</v>
      </c>
    </row>
    <row r="1308" spans="1:19" s="21" customFormat="1" x14ac:dyDescent="0.3">
      <c r="A1308" s="14">
        <v>2506</v>
      </c>
      <c r="B1308" s="21" t="s">
        <v>263</v>
      </c>
      <c r="C1308" s="21" t="s">
        <v>922</v>
      </c>
      <c r="D1308" s="1"/>
      <c r="E1308" s="1" t="s">
        <v>388</v>
      </c>
      <c r="F1308" s="21" t="s">
        <v>1863</v>
      </c>
      <c r="G1308" s="14">
        <v>1</v>
      </c>
      <c r="H1308" s="14">
        <v>0</v>
      </c>
      <c r="I1308" s="25">
        <v>111</v>
      </c>
      <c r="J1308" s="23">
        <f>VLOOKUP(I1308,episodes!$A$1:$B$76,2,FALSE)</f>
        <v>12</v>
      </c>
      <c r="K1308" s="16" t="str">
        <f>VLOOKUP(I1308,episodes!$A$1:$E$81,5,FALSE)</f>
        <v>The Menagerie, Part I</v>
      </c>
      <c r="L1308" s="16">
        <f>VLOOKUP(I1308,episodes!$A$1:$D$81,3,FALSE)</f>
        <v>1</v>
      </c>
      <c r="M1308" s="16">
        <f>VLOOKUP(I1308,episodes!$A$1:$D$81,4,FALSE)</f>
        <v>11</v>
      </c>
      <c r="N1308" s="14"/>
      <c r="O1308" s="14">
        <v>0</v>
      </c>
      <c r="P1308" s="24">
        <f>LEN(E1308)+LEN(K1308)</f>
        <v>52</v>
      </c>
      <c r="Q1308" s="24">
        <f>COUNTIFS(B:B,B1307)</f>
        <v>154</v>
      </c>
      <c r="R1308" s="24">
        <f>COUNTIFS(D:D,D1308)</f>
        <v>0</v>
      </c>
    </row>
    <row r="1309" spans="1:19" s="21" customFormat="1" x14ac:dyDescent="0.3">
      <c r="A1309" s="14">
        <v>182</v>
      </c>
      <c r="B1309" s="21" t="s">
        <v>263</v>
      </c>
      <c r="C1309" s="21" t="s">
        <v>922</v>
      </c>
      <c r="D1309" s="1"/>
      <c r="E1309" s="1" t="s">
        <v>435</v>
      </c>
      <c r="F1309" s="1" t="s">
        <v>2255</v>
      </c>
      <c r="G1309" s="14">
        <v>0</v>
      </c>
      <c r="H1309" s="14">
        <v>0</v>
      </c>
      <c r="I1309" s="25">
        <v>203</v>
      </c>
      <c r="J1309" s="23">
        <f>VLOOKUP(I1309,episodes!$A$1:$B$76,2,FALSE)</f>
        <v>33</v>
      </c>
      <c r="K1309" s="16" t="str">
        <f>VLOOKUP(I1309,episodes!$A$1:$E$81,5,FALSE)</f>
        <v>The Changeling</v>
      </c>
      <c r="L1309" s="16">
        <f>VLOOKUP(I1309,episodes!$A$1:$D$81,3,FALSE)</f>
        <v>2</v>
      </c>
      <c r="M1309" s="16">
        <f>VLOOKUP(I1309,episodes!$A$1:$D$81,4,FALSE)</f>
        <v>3</v>
      </c>
      <c r="N1309" s="14"/>
      <c r="O1309" s="14">
        <v>0</v>
      </c>
      <c r="P1309" s="24">
        <f>LEN(E1309)+LEN(K1309)</f>
        <v>47</v>
      </c>
      <c r="Q1309" s="24">
        <f>COUNTIFS(B:B,B1308)</f>
        <v>154</v>
      </c>
      <c r="R1309" s="24">
        <f>COUNTIFS(D:D,D1309)</f>
        <v>0</v>
      </c>
    </row>
    <row r="1310" spans="1:19" s="21" customFormat="1" x14ac:dyDescent="0.3">
      <c r="A1310" s="14">
        <v>1825</v>
      </c>
      <c r="B1310" s="21" t="s">
        <v>263</v>
      </c>
      <c r="C1310" s="21" t="s">
        <v>922</v>
      </c>
      <c r="D1310" s="1"/>
      <c r="E1310" s="1" t="s">
        <v>1013</v>
      </c>
      <c r="F1310" s="21" t="s">
        <v>2231</v>
      </c>
      <c r="G1310" s="14">
        <v>0</v>
      </c>
      <c r="H1310" s="14">
        <v>0</v>
      </c>
      <c r="I1310" s="25">
        <v>100</v>
      </c>
      <c r="J1310" s="23">
        <f>VLOOKUP(I1310,episodes!$A$1:$B$76,2,FALSE)</f>
        <v>1</v>
      </c>
      <c r="K1310" s="16" t="str">
        <f>VLOOKUP(I1310,episodes!$A$1:$E$81,5,FALSE)</f>
        <v>The Cage</v>
      </c>
      <c r="L1310" s="16">
        <f>VLOOKUP(I1310,episodes!$A$1:$D$81,3,FALSE)</f>
        <v>1</v>
      </c>
      <c r="M1310" s="16">
        <f>VLOOKUP(I1310,episodes!$A$1:$D$81,4,FALSE)</f>
        <v>0</v>
      </c>
      <c r="N1310" s="14"/>
      <c r="O1310" s="14">
        <v>0</v>
      </c>
      <c r="P1310" s="24">
        <f>LEN(E1310)+LEN(K1310)</f>
        <v>24</v>
      </c>
      <c r="Q1310" s="24">
        <f>COUNTIFS(B:B,B1309)</f>
        <v>154</v>
      </c>
      <c r="R1310" s="24">
        <f>COUNTIFS(D:D,D1310)</f>
        <v>0</v>
      </c>
    </row>
    <row r="1311" spans="1:19" s="21" customFormat="1" x14ac:dyDescent="0.3">
      <c r="A1311" s="14">
        <v>1892</v>
      </c>
      <c r="B1311" s="21" t="s">
        <v>263</v>
      </c>
      <c r="C1311" s="21" t="s">
        <v>922</v>
      </c>
      <c r="D1311" s="1"/>
      <c r="E1311" s="1" t="s">
        <v>896</v>
      </c>
      <c r="F1311" s="21" t="s">
        <v>45</v>
      </c>
      <c r="G1311" s="14">
        <v>0</v>
      </c>
      <c r="H1311" s="14">
        <v>0</v>
      </c>
      <c r="I1311" s="25">
        <v>203</v>
      </c>
      <c r="J1311" s="23">
        <f>VLOOKUP(I1311,episodes!$A$1:$B$76,2,FALSE)</f>
        <v>33</v>
      </c>
      <c r="K1311" s="16" t="str">
        <f>VLOOKUP(I1311,episodes!$A$1:$E$81,5,FALSE)</f>
        <v>The Changeling</v>
      </c>
      <c r="L1311" s="16">
        <f>VLOOKUP(I1311,episodes!$A$1:$D$81,3,FALSE)</f>
        <v>2</v>
      </c>
      <c r="M1311" s="16">
        <f>VLOOKUP(I1311,episodes!$A$1:$D$81,4,FALSE)</f>
        <v>3</v>
      </c>
      <c r="N1311" s="14"/>
      <c r="O1311" s="14">
        <v>0</v>
      </c>
      <c r="P1311" s="24">
        <f>LEN(E1311)+LEN(K1311)</f>
        <v>64</v>
      </c>
      <c r="Q1311" s="24">
        <f>COUNTIFS(B:B,B1310)</f>
        <v>154</v>
      </c>
      <c r="R1311" s="24">
        <f>COUNTIFS(D:D,D1311)</f>
        <v>0</v>
      </c>
    </row>
    <row r="1312" spans="1:19" s="21" customFormat="1" x14ac:dyDescent="0.3">
      <c r="A1312" s="14">
        <v>3012</v>
      </c>
      <c r="B1312" s="21" t="s">
        <v>263</v>
      </c>
      <c r="C1312" s="21" t="s">
        <v>922</v>
      </c>
      <c r="D1312" s="1"/>
      <c r="E1312" s="4" t="s">
        <v>2828</v>
      </c>
      <c r="F1312" s="21" t="s">
        <v>45</v>
      </c>
      <c r="G1312" s="14">
        <v>0</v>
      </c>
      <c r="H1312" s="14">
        <v>0</v>
      </c>
      <c r="I1312" s="7">
        <v>211</v>
      </c>
      <c r="J1312" s="23">
        <f>VLOOKUP(I1312,episodes!$A$1:$B$81,2,FALSE)</f>
        <v>41</v>
      </c>
      <c r="K1312" s="16" t="str">
        <f>VLOOKUP(I1312,episodes!$A$1:$E$81,5,FALSE)</f>
        <v>Friday's Child</v>
      </c>
      <c r="L1312" s="16">
        <f>VLOOKUP(I1312,episodes!$A$1:$D$81,3,FALSE)</f>
        <v>2</v>
      </c>
      <c r="M1312" s="16">
        <f>VLOOKUP(I1312,episodes!$A$1:$D$81,4,FALSE)</f>
        <v>11</v>
      </c>
      <c r="N1312" s="14"/>
      <c r="O1312" s="14">
        <v>0</v>
      </c>
      <c r="P1312" s="24">
        <f>LEN(E1312)+LEN(K1312)</f>
        <v>49</v>
      </c>
      <c r="Q1312" s="24"/>
      <c r="R1312" s="24"/>
    </row>
    <row r="1313" spans="1:18" s="21" customFormat="1" x14ac:dyDescent="0.3">
      <c r="A1313" s="14">
        <v>1887</v>
      </c>
      <c r="B1313" s="21" t="s">
        <v>263</v>
      </c>
      <c r="C1313" s="21" t="s">
        <v>922</v>
      </c>
      <c r="D1313" s="1"/>
      <c r="E1313" s="1" t="s">
        <v>556</v>
      </c>
      <c r="F1313" s="21" t="s">
        <v>45</v>
      </c>
      <c r="G1313" s="14">
        <v>0</v>
      </c>
      <c r="H1313" s="14">
        <v>0</v>
      </c>
      <c r="I1313" s="25">
        <v>110</v>
      </c>
      <c r="J1313" s="23">
        <f>VLOOKUP(I1313,episodes!$A$1:$B$76,2,FALSE)</f>
        <v>11</v>
      </c>
      <c r="K1313" s="16" t="str">
        <f>VLOOKUP(I1313,episodes!$A$1:$E$81,5,FALSE)</f>
        <v>The Corbomite Maneuver</v>
      </c>
      <c r="L1313" s="16">
        <f>VLOOKUP(I1313,episodes!$A$1:$D$81,3,FALSE)</f>
        <v>1</v>
      </c>
      <c r="M1313" s="16">
        <f>VLOOKUP(I1313,episodes!$A$1:$D$81,4,FALSE)</f>
        <v>10</v>
      </c>
      <c r="N1313" s="14"/>
      <c r="O1313" s="14">
        <v>0</v>
      </c>
      <c r="P1313" s="24">
        <f>LEN(E1313)+LEN(K1313)</f>
        <v>51</v>
      </c>
      <c r="Q1313" s="24">
        <f>COUNTIFS(B:B,B1312)</f>
        <v>154</v>
      </c>
      <c r="R1313" s="24">
        <f>COUNTIFS(D:D,D1313)</f>
        <v>0</v>
      </c>
    </row>
    <row r="1314" spans="1:18" s="21" customFormat="1" x14ac:dyDescent="0.3">
      <c r="A1314" s="14">
        <v>1889</v>
      </c>
      <c r="B1314" s="21" t="s">
        <v>263</v>
      </c>
      <c r="C1314" s="21" t="s">
        <v>922</v>
      </c>
      <c r="D1314" s="1"/>
      <c r="E1314" s="1" t="s">
        <v>556</v>
      </c>
      <c r="F1314" s="21" t="s">
        <v>45</v>
      </c>
      <c r="G1314" s="14">
        <v>0</v>
      </c>
      <c r="H1314" s="14">
        <v>0</v>
      </c>
      <c r="I1314" s="22">
        <v>124</v>
      </c>
      <c r="J1314" s="23">
        <f>VLOOKUP(I1314,episodes!$A$1:$B$76,2,FALSE)</f>
        <v>25</v>
      </c>
      <c r="K1314" s="16" t="str">
        <f>VLOOKUP(I1314,episodes!$A$1:$E$81,5,FALSE)</f>
        <v>This Side of Paradise</v>
      </c>
      <c r="L1314" s="16">
        <f>VLOOKUP(I1314,episodes!$A$1:$D$81,3,FALSE)</f>
        <v>1</v>
      </c>
      <c r="M1314" s="16">
        <f>VLOOKUP(I1314,episodes!$A$1:$D$81,4,FALSE)</f>
        <v>24</v>
      </c>
      <c r="N1314" s="14"/>
      <c r="O1314" s="14">
        <v>0</v>
      </c>
      <c r="P1314" s="24">
        <f>LEN(E1314)+LEN(K1314)</f>
        <v>50</v>
      </c>
      <c r="Q1314" s="24">
        <f>COUNTIFS(B:B,B1313)</f>
        <v>154</v>
      </c>
      <c r="R1314" s="24">
        <f>COUNTIFS(D:D,D1314)</f>
        <v>0</v>
      </c>
    </row>
    <row r="1315" spans="1:18" s="21" customFormat="1" x14ac:dyDescent="0.3">
      <c r="A1315" s="14">
        <v>1911</v>
      </c>
      <c r="B1315" s="21" t="s">
        <v>263</v>
      </c>
      <c r="C1315" s="21" t="s">
        <v>922</v>
      </c>
      <c r="D1315" s="1"/>
      <c r="E1315" s="1" t="s">
        <v>2566</v>
      </c>
      <c r="F1315" s="21" t="s">
        <v>146</v>
      </c>
      <c r="G1315" s="14">
        <v>0</v>
      </c>
      <c r="H1315" s="14">
        <v>0</v>
      </c>
      <c r="I1315" s="22">
        <v>206</v>
      </c>
      <c r="J1315" s="23">
        <f>VLOOKUP(I1315,episodes!$A$1:$B$76,2,FALSE)</f>
        <v>36</v>
      </c>
      <c r="K1315" s="16" t="str">
        <f>VLOOKUP(I1315,episodes!$A$1:$E$81,5,FALSE)</f>
        <v>The Doomsday Machine</v>
      </c>
      <c r="L1315" s="16">
        <f>VLOOKUP(I1315,episodes!$A$1:$D$81,3,FALSE)</f>
        <v>2</v>
      </c>
      <c r="M1315" s="16">
        <f>VLOOKUP(I1315,episodes!$A$1:$D$81,4,FALSE)</f>
        <v>6</v>
      </c>
      <c r="N1315" s="14"/>
      <c r="O1315" s="14">
        <v>0</v>
      </c>
      <c r="P1315" s="24">
        <f>LEN(E1315)+LEN(K1315)</f>
        <v>64</v>
      </c>
      <c r="Q1315" s="24">
        <f>COUNTIFS(B:B,B1314)</f>
        <v>154</v>
      </c>
      <c r="R1315" s="24">
        <f>COUNTIFS(D:D,D1315)</f>
        <v>0</v>
      </c>
    </row>
    <row r="1316" spans="1:18" s="21" customFormat="1" x14ac:dyDescent="0.3">
      <c r="A1316" s="14">
        <v>2013</v>
      </c>
      <c r="B1316" s="21" t="s">
        <v>263</v>
      </c>
      <c r="C1316" s="21" t="s">
        <v>922</v>
      </c>
      <c r="D1316" s="1"/>
      <c r="E1316" s="1" t="s">
        <v>2567</v>
      </c>
      <c r="F1316" s="21" t="s">
        <v>146</v>
      </c>
      <c r="G1316" s="14">
        <v>0</v>
      </c>
      <c r="H1316" s="14">
        <v>0</v>
      </c>
      <c r="I1316" s="25">
        <v>205</v>
      </c>
      <c r="J1316" s="23">
        <f>VLOOKUP(I1316,episodes!$A$1:$B$81,2,FALSE)</f>
        <v>35</v>
      </c>
      <c r="K1316" s="16" t="str">
        <f>VLOOKUP(I1316,episodes!$A$1:$E$81,5,FALSE)</f>
        <v>The Apple</v>
      </c>
      <c r="L1316" s="16">
        <f>VLOOKUP(I1316,episodes!$A$1:$D$81,3,FALSE)</f>
        <v>2</v>
      </c>
      <c r="M1316" s="16">
        <f>VLOOKUP(I1316,episodes!$A$1:$D$81,4,FALSE)</f>
        <v>5</v>
      </c>
      <c r="N1316" s="14"/>
      <c r="O1316" s="14">
        <v>0</v>
      </c>
      <c r="P1316" s="24">
        <f>LEN(E1316)+LEN(K1316)</f>
        <v>39</v>
      </c>
      <c r="Q1316" s="24"/>
      <c r="R1316" s="24"/>
    </row>
    <row r="1317" spans="1:18" s="21" customFormat="1" x14ac:dyDescent="0.3">
      <c r="A1317" s="14">
        <v>1903</v>
      </c>
      <c r="B1317" s="21" t="s">
        <v>263</v>
      </c>
      <c r="C1317" s="21" t="s">
        <v>922</v>
      </c>
      <c r="D1317" s="1"/>
      <c r="E1317" s="1" t="s">
        <v>2568</v>
      </c>
      <c r="F1317" s="21" t="s">
        <v>146</v>
      </c>
      <c r="G1317" s="14">
        <v>0</v>
      </c>
      <c r="H1317" s="14">
        <v>0</v>
      </c>
      <c r="I1317" s="25">
        <v>111</v>
      </c>
      <c r="J1317" s="23">
        <f>VLOOKUP(I1317,episodes!$A$1:$B$76,2,FALSE)</f>
        <v>12</v>
      </c>
      <c r="K1317" s="16" t="str">
        <f>VLOOKUP(I1317,episodes!$A$1:$E$81,5,FALSE)</f>
        <v>The Menagerie, Part I</v>
      </c>
      <c r="L1317" s="16">
        <f>VLOOKUP(I1317,episodes!$A$1:$D$81,3,FALSE)</f>
        <v>1</v>
      </c>
      <c r="M1317" s="16">
        <f>VLOOKUP(I1317,episodes!$A$1:$D$81,4,FALSE)</f>
        <v>11</v>
      </c>
      <c r="N1317" s="14"/>
      <c r="O1317" s="14">
        <v>0</v>
      </c>
      <c r="P1317" s="24">
        <f>LEN(E1317)+LEN(K1317)</f>
        <v>75</v>
      </c>
      <c r="Q1317" s="24">
        <f>COUNTIFS(B:B,B1316)</f>
        <v>154</v>
      </c>
      <c r="R1317" s="24">
        <f>COUNTIFS(D:D,D1317)</f>
        <v>0</v>
      </c>
    </row>
    <row r="1318" spans="1:18" s="21" customFormat="1" x14ac:dyDescent="0.3">
      <c r="A1318" s="14">
        <v>2995</v>
      </c>
      <c r="B1318" s="21" t="s">
        <v>263</v>
      </c>
      <c r="C1318" s="21" t="s">
        <v>922</v>
      </c>
      <c r="D1318" s="1"/>
      <c r="E1318" s="4" t="s">
        <v>2887</v>
      </c>
      <c r="F1318" s="21" t="s">
        <v>146</v>
      </c>
      <c r="G1318" s="14">
        <v>0</v>
      </c>
      <c r="H1318" s="14">
        <v>0</v>
      </c>
      <c r="I1318" s="7">
        <v>211</v>
      </c>
      <c r="J1318" s="23">
        <f>VLOOKUP(I1318,episodes!$A$1:$B$81,2,FALSE)</f>
        <v>41</v>
      </c>
      <c r="K1318" s="16" t="str">
        <f>VLOOKUP(I1318,episodes!$A$1:$E$81,5,FALSE)</f>
        <v>Friday's Child</v>
      </c>
      <c r="L1318" s="16">
        <f>VLOOKUP(I1318,episodes!$A$1:$D$81,3,FALSE)</f>
        <v>2</v>
      </c>
      <c r="M1318" s="16">
        <f>VLOOKUP(I1318,episodes!$A$1:$D$81,4,FALSE)</f>
        <v>11</v>
      </c>
      <c r="N1318" s="14"/>
      <c r="O1318" s="14">
        <v>0</v>
      </c>
      <c r="P1318" s="24">
        <f>LEN(E1318)+LEN(K1318)</f>
        <v>54</v>
      </c>
      <c r="Q1318" s="24"/>
      <c r="R1318" s="24"/>
    </row>
    <row r="1319" spans="1:18" s="21" customFormat="1" x14ac:dyDescent="0.3">
      <c r="A1319" s="14">
        <v>3011</v>
      </c>
      <c r="B1319" s="21" t="s">
        <v>263</v>
      </c>
      <c r="C1319" s="21" t="s">
        <v>922</v>
      </c>
      <c r="D1319" s="1"/>
      <c r="E1319" s="4" t="s">
        <v>2888</v>
      </c>
      <c r="F1319" s="21" t="s">
        <v>146</v>
      </c>
      <c r="G1319" s="14">
        <v>0</v>
      </c>
      <c r="H1319" s="14">
        <v>0</v>
      </c>
      <c r="I1319" s="7">
        <v>211</v>
      </c>
      <c r="J1319" s="23">
        <f>VLOOKUP(I1319,episodes!$A$1:$B$81,2,FALSE)</f>
        <v>41</v>
      </c>
      <c r="K1319" s="16" t="str">
        <f>VLOOKUP(I1319,episodes!$A$1:$E$81,5,FALSE)</f>
        <v>Friday's Child</v>
      </c>
      <c r="L1319" s="16">
        <f>VLOOKUP(I1319,episodes!$A$1:$D$81,3,FALSE)</f>
        <v>2</v>
      </c>
      <c r="M1319" s="16">
        <f>VLOOKUP(I1319,episodes!$A$1:$D$81,4,FALSE)</f>
        <v>11</v>
      </c>
      <c r="N1319" s="14"/>
      <c r="O1319" s="14">
        <v>0</v>
      </c>
      <c r="P1319" s="24">
        <f>LEN(E1319)+LEN(K1319)</f>
        <v>54</v>
      </c>
      <c r="Q1319" s="24"/>
      <c r="R1319" s="24"/>
    </row>
    <row r="1320" spans="1:18" s="21" customFormat="1" x14ac:dyDescent="0.3">
      <c r="A1320" s="14">
        <v>1906</v>
      </c>
      <c r="B1320" s="21" t="s">
        <v>263</v>
      </c>
      <c r="C1320" s="21" t="s">
        <v>922</v>
      </c>
      <c r="D1320" s="1"/>
      <c r="E1320" s="1" t="s">
        <v>2569</v>
      </c>
      <c r="F1320" s="21" t="s">
        <v>146</v>
      </c>
      <c r="G1320" s="14">
        <v>0</v>
      </c>
      <c r="H1320" s="14">
        <v>0</v>
      </c>
      <c r="I1320" s="22">
        <v>125</v>
      </c>
      <c r="J1320" s="23">
        <f>VLOOKUP(I1320,episodes!$A$1:$B$76,2,FALSE)</f>
        <v>26</v>
      </c>
      <c r="K1320" s="16" t="str">
        <f>VLOOKUP(I1320,episodes!$A$1:$E$81,5,FALSE)</f>
        <v>The Devil in the Dark</v>
      </c>
      <c r="L1320" s="16">
        <f>VLOOKUP(I1320,episodes!$A$1:$D$81,3,FALSE)</f>
        <v>1</v>
      </c>
      <c r="M1320" s="16">
        <f>VLOOKUP(I1320,episodes!$A$1:$D$81,4,FALSE)</f>
        <v>25</v>
      </c>
      <c r="N1320" s="14"/>
      <c r="O1320" s="14">
        <v>0</v>
      </c>
      <c r="P1320" s="24">
        <f>LEN(E1320)+LEN(K1320)</f>
        <v>51</v>
      </c>
      <c r="Q1320" s="24">
        <f>COUNTIFS(B:B,B1319)</f>
        <v>154</v>
      </c>
      <c r="R1320" s="24">
        <f>COUNTIFS(D:D,D1320)</f>
        <v>0</v>
      </c>
    </row>
    <row r="1321" spans="1:18" s="21" customFormat="1" x14ac:dyDescent="0.3">
      <c r="A1321" s="14">
        <v>1912</v>
      </c>
      <c r="B1321" s="21" t="s">
        <v>263</v>
      </c>
      <c r="C1321" s="21" t="s">
        <v>922</v>
      </c>
      <c r="E1321" s="1" t="s">
        <v>2569</v>
      </c>
      <c r="F1321" s="21" t="s">
        <v>146</v>
      </c>
      <c r="G1321" s="14">
        <v>0</v>
      </c>
      <c r="H1321" s="14">
        <v>0</v>
      </c>
      <c r="I1321" s="22">
        <v>207</v>
      </c>
      <c r="J1321" s="23">
        <f>VLOOKUP(I1321,episodes!$A$1:$B$81,2,FALSE)</f>
        <v>37</v>
      </c>
      <c r="K1321" s="16" t="str">
        <f>VLOOKUP(I1321,episodes!$A$1:$E$81,5,FALSE)</f>
        <v>Catspaw</v>
      </c>
      <c r="L1321" s="16">
        <f>VLOOKUP(I1321,episodes!$A$1:$D$81,3,FALSE)</f>
        <v>2</v>
      </c>
      <c r="M1321" s="16">
        <f>VLOOKUP(I1321,episodes!$A$1:$D$81,4,FALSE)</f>
        <v>7</v>
      </c>
      <c r="N1321" s="14"/>
      <c r="O1321" s="14">
        <v>0</v>
      </c>
      <c r="P1321" s="24">
        <f>LEN(E1321)+LEN(K1321)</f>
        <v>37</v>
      </c>
      <c r="Q1321" s="24">
        <f>COUNTIFS(B:B,B1320)</f>
        <v>154</v>
      </c>
      <c r="R1321" s="24">
        <f>COUNTIFS(D:D,D1321)</f>
        <v>0</v>
      </c>
    </row>
    <row r="1322" spans="1:18" s="21" customFormat="1" x14ac:dyDescent="0.3">
      <c r="A1322" s="14">
        <v>1913</v>
      </c>
      <c r="B1322" s="21" t="s">
        <v>263</v>
      </c>
      <c r="C1322" s="21" t="s">
        <v>922</v>
      </c>
      <c r="E1322" s="1" t="s">
        <v>2569</v>
      </c>
      <c r="F1322" s="21" t="s">
        <v>146</v>
      </c>
      <c r="G1322" s="14">
        <v>0</v>
      </c>
      <c r="H1322" s="14">
        <v>0</v>
      </c>
      <c r="I1322" s="25">
        <v>210</v>
      </c>
      <c r="J1322" s="23">
        <f>VLOOKUP(I1322,episodes!$A$1:$B$81,2,FALSE)</f>
        <v>40</v>
      </c>
      <c r="K1322" s="16" t="str">
        <f>VLOOKUP(I1322,episodes!$A$1:$E$81,5,FALSE)</f>
        <v>Journey to Babel</v>
      </c>
      <c r="L1322" s="16">
        <f>VLOOKUP(I1322,episodes!$A$1:$D$81,3,FALSE)</f>
        <v>2</v>
      </c>
      <c r="M1322" s="16">
        <f>VLOOKUP(I1322,episodes!$A$1:$D$81,4,FALSE)</f>
        <v>10</v>
      </c>
      <c r="N1322" s="14"/>
      <c r="O1322" s="14">
        <v>0</v>
      </c>
      <c r="P1322" s="24">
        <f>LEN(E1322)+LEN(K1322)</f>
        <v>46</v>
      </c>
      <c r="Q1322" s="24">
        <f>COUNTIFS(B:B,B1321)</f>
        <v>154</v>
      </c>
      <c r="R1322" s="24">
        <f>COUNTIFS(D:D,D1322)</f>
        <v>0</v>
      </c>
    </row>
    <row r="1323" spans="1:18" s="21" customFormat="1" x14ac:dyDescent="0.3">
      <c r="A1323" s="14">
        <v>1914</v>
      </c>
      <c r="B1323" s="21" t="s">
        <v>263</v>
      </c>
      <c r="C1323" s="21" t="s">
        <v>922</v>
      </c>
      <c r="E1323" s="1" t="s">
        <v>2570</v>
      </c>
      <c r="F1323" s="21" t="s">
        <v>146</v>
      </c>
      <c r="G1323" s="14">
        <v>0</v>
      </c>
      <c r="H1323" s="14">
        <v>0</v>
      </c>
      <c r="I1323" s="25">
        <v>210</v>
      </c>
      <c r="J1323" s="23">
        <f>VLOOKUP(I1323,episodes!$A$1:$B$81,2,FALSE)</f>
        <v>40</v>
      </c>
      <c r="K1323" s="16" t="str">
        <f>VLOOKUP(I1323,episodes!$A$1:$E$81,5,FALSE)</f>
        <v>Journey to Babel</v>
      </c>
      <c r="L1323" s="16">
        <f>VLOOKUP(I1323,episodes!$A$1:$D$81,3,FALSE)</f>
        <v>2</v>
      </c>
      <c r="M1323" s="16">
        <f>VLOOKUP(I1323,episodes!$A$1:$D$81,4,FALSE)</f>
        <v>10</v>
      </c>
      <c r="N1323" s="14"/>
      <c r="O1323" s="14">
        <v>0</v>
      </c>
      <c r="P1323" s="24">
        <f>LEN(E1323)+LEN(K1323)</f>
        <v>52</v>
      </c>
      <c r="Q1323" s="24">
        <f>COUNTIFS(B:B,B1322)</f>
        <v>154</v>
      </c>
      <c r="R1323" s="24">
        <f>COUNTIFS(D:D,D1323)</f>
        <v>0</v>
      </c>
    </row>
    <row r="1324" spans="1:18" s="21" customFormat="1" x14ac:dyDescent="0.3">
      <c r="A1324" s="14">
        <v>2957</v>
      </c>
      <c r="B1324" s="21" t="s">
        <v>263</v>
      </c>
      <c r="C1324" s="21" t="s">
        <v>922</v>
      </c>
      <c r="D1324" s="1"/>
      <c r="E1324" s="4" t="s">
        <v>2786</v>
      </c>
      <c r="F1324" s="21" t="s">
        <v>6</v>
      </c>
      <c r="G1324" s="14">
        <v>0</v>
      </c>
      <c r="H1324" s="14">
        <v>1</v>
      </c>
      <c r="I1324" s="7">
        <v>211</v>
      </c>
      <c r="J1324" s="23">
        <f>VLOOKUP(I1324,episodes!$A$1:$B$81,2,FALSE)</f>
        <v>41</v>
      </c>
      <c r="K1324" s="16" t="str">
        <f>VLOOKUP(I1324,episodes!$A$1:$E$81,5,FALSE)</f>
        <v>Friday's Child</v>
      </c>
      <c r="L1324" s="16">
        <f>VLOOKUP(I1324,episodes!$A$1:$D$81,3,FALSE)</f>
        <v>2</v>
      </c>
      <c r="M1324" s="16">
        <f>VLOOKUP(I1324,episodes!$A$1:$D$81,4,FALSE)</f>
        <v>11</v>
      </c>
      <c r="N1324" s="14"/>
      <c r="O1324" s="14">
        <v>0</v>
      </c>
      <c r="P1324" s="24">
        <f>LEN(E1324)+LEN(K1324)</f>
        <v>73</v>
      </c>
      <c r="Q1324" s="24"/>
      <c r="R1324" s="24"/>
    </row>
    <row r="1325" spans="1:18" s="21" customFormat="1" x14ac:dyDescent="0.3">
      <c r="A1325" s="14">
        <v>2933</v>
      </c>
      <c r="B1325" s="21" t="s">
        <v>263</v>
      </c>
      <c r="C1325" s="21" t="s">
        <v>922</v>
      </c>
      <c r="D1325" s="1"/>
      <c r="E1325" s="4" t="s">
        <v>2766</v>
      </c>
      <c r="F1325" s="21" t="s">
        <v>6</v>
      </c>
      <c r="G1325" s="14">
        <v>0</v>
      </c>
      <c r="H1325" s="14">
        <v>1</v>
      </c>
      <c r="I1325" s="7">
        <v>211</v>
      </c>
      <c r="J1325" s="23">
        <f>VLOOKUP(I1325,episodes!$A$1:$B$81,2,FALSE)</f>
        <v>41</v>
      </c>
      <c r="K1325" s="16" t="str">
        <f>VLOOKUP(I1325,episodes!$A$1:$E$81,5,FALSE)</f>
        <v>Friday's Child</v>
      </c>
      <c r="L1325" s="16">
        <f>VLOOKUP(I1325,episodes!$A$1:$D$81,3,FALSE)</f>
        <v>2</v>
      </c>
      <c r="M1325" s="16">
        <f>VLOOKUP(I1325,episodes!$A$1:$D$81,4,FALSE)</f>
        <v>11</v>
      </c>
      <c r="N1325" s="14"/>
      <c r="O1325" s="14">
        <v>0</v>
      </c>
      <c r="P1325" s="24">
        <f>LEN(E1325)+LEN(K1325)</f>
        <v>59</v>
      </c>
      <c r="Q1325" s="24"/>
      <c r="R1325" s="24"/>
    </row>
    <row r="1326" spans="1:18" s="21" customFormat="1" x14ac:dyDescent="0.3">
      <c r="A1326" s="14">
        <v>1968</v>
      </c>
      <c r="B1326" s="21" t="s">
        <v>263</v>
      </c>
      <c r="C1326" s="21" t="s">
        <v>922</v>
      </c>
      <c r="D1326" s="1"/>
      <c r="E1326" s="1" t="s">
        <v>557</v>
      </c>
      <c r="F1326" s="21" t="s">
        <v>6</v>
      </c>
      <c r="G1326" s="14">
        <v>0</v>
      </c>
      <c r="H1326" s="14">
        <v>1</v>
      </c>
      <c r="I1326" s="25">
        <v>110</v>
      </c>
      <c r="J1326" s="23">
        <f>VLOOKUP(I1326,episodes!$A$1:$B$76,2,FALSE)</f>
        <v>11</v>
      </c>
      <c r="K1326" s="16" t="str">
        <f>VLOOKUP(I1326,episodes!$A$1:$E$81,5,FALSE)</f>
        <v>The Corbomite Maneuver</v>
      </c>
      <c r="L1326" s="16">
        <f>VLOOKUP(I1326,episodes!$A$1:$D$81,3,FALSE)</f>
        <v>1</v>
      </c>
      <c r="M1326" s="16">
        <f>VLOOKUP(I1326,episodes!$A$1:$D$81,4,FALSE)</f>
        <v>10</v>
      </c>
      <c r="N1326" s="14"/>
      <c r="O1326" s="14">
        <v>0</v>
      </c>
      <c r="P1326" s="24">
        <f>LEN(E1326)+LEN(K1326)</f>
        <v>44</v>
      </c>
      <c r="Q1326" s="24">
        <f>COUNTIFS(B:B,B1325)</f>
        <v>154</v>
      </c>
      <c r="R1326" s="24">
        <f>COUNTIFS(D:D,D1326)</f>
        <v>0</v>
      </c>
    </row>
    <row r="1327" spans="1:18" s="21" customFormat="1" x14ac:dyDescent="0.3">
      <c r="A1327" s="14">
        <v>2347</v>
      </c>
      <c r="B1327" s="21" t="s">
        <v>263</v>
      </c>
      <c r="C1327" s="21" t="s">
        <v>922</v>
      </c>
      <c r="D1327" s="1"/>
      <c r="E1327" s="1" t="s">
        <v>2177</v>
      </c>
      <c r="F1327" s="21" t="s">
        <v>5</v>
      </c>
      <c r="G1327" s="14">
        <v>1</v>
      </c>
      <c r="H1327" s="14">
        <v>0</v>
      </c>
      <c r="I1327" s="25">
        <v>203</v>
      </c>
      <c r="J1327" s="23">
        <f>VLOOKUP(I1327,episodes!$A$1:$B$76,2,FALSE)</f>
        <v>33</v>
      </c>
      <c r="K1327" s="16" t="str">
        <f>VLOOKUP(I1327,episodes!$A$1:$E$81,5,FALSE)</f>
        <v>The Changeling</v>
      </c>
      <c r="L1327" s="16">
        <f>VLOOKUP(I1327,episodes!$A$1:$D$81,3,FALSE)</f>
        <v>2</v>
      </c>
      <c r="M1327" s="16">
        <f>VLOOKUP(I1327,episodes!$A$1:$D$81,4,FALSE)</f>
        <v>3</v>
      </c>
      <c r="N1327" s="14"/>
      <c r="O1327" s="14">
        <v>0</v>
      </c>
      <c r="P1327" s="24">
        <f>LEN(E1327)+LEN(K1327)</f>
        <v>71</v>
      </c>
      <c r="Q1327" s="24">
        <f>COUNTIFS(B:B,B1326)</f>
        <v>154</v>
      </c>
      <c r="R1327" s="24">
        <f>COUNTIFS(D:D,D1327)</f>
        <v>0</v>
      </c>
    </row>
    <row r="1328" spans="1:18" s="21" customFormat="1" x14ac:dyDescent="0.3">
      <c r="A1328" s="14">
        <v>2133</v>
      </c>
      <c r="B1328" s="21" t="s">
        <v>263</v>
      </c>
      <c r="C1328" s="21" t="s">
        <v>922</v>
      </c>
      <c r="D1328" s="1"/>
      <c r="E1328" s="1" t="s">
        <v>566</v>
      </c>
      <c r="F1328" s="21" t="s">
        <v>5</v>
      </c>
      <c r="G1328" s="14">
        <v>1</v>
      </c>
      <c r="H1328" s="14">
        <v>0</v>
      </c>
      <c r="I1328" s="22">
        <v>122</v>
      </c>
      <c r="J1328" s="23">
        <f>VLOOKUP(I1328,episodes!$A$1:$B$76,2,FALSE)</f>
        <v>23</v>
      </c>
      <c r="K1328" s="16" t="str">
        <f>VLOOKUP(I1328,episodes!$A$1:$E$81,5,FALSE)</f>
        <v>Space Seed</v>
      </c>
      <c r="L1328" s="16">
        <f>VLOOKUP(I1328,episodes!$A$1:$D$81,3,FALSE)</f>
        <v>1</v>
      </c>
      <c r="M1328" s="16">
        <f>VLOOKUP(I1328,episodes!$A$1:$D$81,4,FALSE)</f>
        <v>22</v>
      </c>
      <c r="N1328" s="14"/>
      <c r="O1328" s="14">
        <v>0</v>
      </c>
      <c r="P1328" s="24">
        <f>LEN(E1328)+LEN(K1328)</f>
        <v>27</v>
      </c>
      <c r="Q1328" s="24">
        <f>COUNTIFS(B:B,B1327)</f>
        <v>154</v>
      </c>
      <c r="R1328" s="24">
        <f>COUNTIFS(D:D,D1328)</f>
        <v>0</v>
      </c>
    </row>
    <row r="1329" spans="1:18" s="21" customFormat="1" x14ac:dyDescent="0.3">
      <c r="A1329" s="14">
        <v>2346</v>
      </c>
      <c r="B1329" s="21" t="s">
        <v>263</v>
      </c>
      <c r="C1329" s="21" t="s">
        <v>922</v>
      </c>
      <c r="D1329" s="1"/>
      <c r="E1329" s="1" t="s">
        <v>1615</v>
      </c>
      <c r="F1329" s="21" t="s">
        <v>4</v>
      </c>
      <c r="G1329" s="14">
        <v>1</v>
      </c>
      <c r="H1329" s="14">
        <v>0</v>
      </c>
      <c r="I1329" s="22">
        <v>115</v>
      </c>
      <c r="J1329" s="23">
        <f>VLOOKUP(I1329,episodes!$A$1:$B$76,2,FALSE)</f>
        <v>16</v>
      </c>
      <c r="K1329" s="16" t="str">
        <f>VLOOKUP(I1329,episodes!$A$1:$E$81,5,FALSE)</f>
        <v>Shore Leave</v>
      </c>
      <c r="L1329" s="16">
        <f>VLOOKUP(I1329,episodes!$A$1:$D$81,3,FALSE)</f>
        <v>1</v>
      </c>
      <c r="M1329" s="16">
        <f>VLOOKUP(I1329,episodes!$A$1:$D$81,4,FALSE)</f>
        <v>15</v>
      </c>
      <c r="N1329" s="14"/>
      <c r="O1329" s="14">
        <v>0</v>
      </c>
      <c r="P1329" s="24">
        <f>LEN(E1329)+LEN(K1329)</f>
        <v>124</v>
      </c>
      <c r="Q1329" s="24"/>
      <c r="R1329" s="24"/>
    </row>
    <row r="1330" spans="1:18" s="21" customFormat="1" x14ac:dyDescent="0.3">
      <c r="A1330" s="14">
        <v>2327</v>
      </c>
      <c r="B1330" s="21" t="s">
        <v>263</v>
      </c>
      <c r="C1330" s="21" t="s">
        <v>922</v>
      </c>
      <c r="E1330" s="1" t="s">
        <v>2581</v>
      </c>
      <c r="F1330" s="21" t="s">
        <v>5</v>
      </c>
      <c r="G1330" s="14">
        <v>1</v>
      </c>
      <c r="H1330" s="14">
        <v>0</v>
      </c>
      <c r="I1330" s="25">
        <v>210</v>
      </c>
      <c r="J1330" s="23">
        <f>VLOOKUP(I1330,episodes!$A$1:$B$81,2,FALSE)</f>
        <v>40</v>
      </c>
      <c r="K1330" s="16" t="str">
        <f>VLOOKUP(I1330,episodes!$A$1:$E$81,5,FALSE)</f>
        <v>Journey to Babel</v>
      </c>
      <c r="L1330" s="16">
        <f>VLOOKUP(I1330,episodes!$A$1:$D$81,3,FALSE)</f>
        <v>2</v>
      </c>
      <c r="M1330" s="16">
        <f>VLOOKUP(I1330,episodes!$A$1:$D$81,4,FALSE)</f>
        <v>10</v>
      </c>
      <c r="N1330" s="14"/>
      <c r="O1330" s="14">
        <v>0</v>
      </c>
      <c r="P1330" s="24">
        <f>LEN(E1330)+LEN(K1330)</f>
        <v>65</v>
      </c>
      <c r="Q1330" s="24">
        <f>COUNTIFS(B:B,B1329)</f>
        <v>154</v>
      </c>
      <c r="R1330" s="24">
        <f>COUNTIFS(D:D,D1330)</f>
        <v>0</v>
      </c>
    </row>
    <row r="1331" spans="1:18" s="21" customFormat="1" x14ac:dyDescent="0.3">
      <c r="A1331" s="14">
        <v>2398</v>
      </c>
      <c r="B1331" s="21" t="s">
        <v>263</v>
      </c>
      <c r="C1331" s="21" t="s">
        <v>922</v>
      </c>
      <c r="D1331" s="1"/>
      <c r="E1331" s="1" t="s">
        <v>2180</v>
      </c>
      <c r="F1331" s="21" t="s">
        <v>5</v>
      </c>
      <c r="G1331" s="14">
        <v>1</v>
      </c>
      <c r="H1331" s="14">
        <v>0</v>
      </c>
      <c r="I1331" s="22">
        <v>206</v>
      </c>
      <c r="J1331" s="23">
        <f>VLOOKUP(I1331,episodes!$A$1:$B$76,2,FALSE)</f>
        <v>36</v>
      </c>
      <c r="K1331" s="16" t="str">
        <f>VLOOKUP(I1331,episodes!$A$1:$E$81,5,FALSE)</f>
        <v>The Doomsday Machine</v>
      </c>
      <c r="L1331" s="16">
        <f>VLOOKUP(I1331,episodes!$A$1:$D$81,3,FALSE)</f>
        <v>2</v>
      </c>
      <c r="M1331" s="16">
        <f>VLOOKUP(I1331,episodes!$A$1:$D$81,4,FALSE)</f>
        <v>6</v>
      </c>
      <c r="N1331" s="14"/>
      <c r="O1331" s="14">
        <v>0</v>
      </c>
      <c r="P1331" s="24">
        <f>LEN(E1331)+LEN(K1331)</f>
        <v>87</v>
      </c>
      <c r="Q1331" s="24">
        <f>COUNTIFS(B:B,B1329)</f>
        <v>154</v>
      </c>
      <c r="R1331" s="24">
        <f>COUNTIFS(D:D,D1331)</f>
        <v>0</v>
      </c>
    </row>
    <row r="1332" spans="1:18" s="21" customFormat="1" x14ac:dyDescent="0.3">
      <c r="A1332" s="14">
        <v>2396</v>
      </c>
      <c r="B1332" s="21" t="s">
        <v>263</v>
      </c>
      <c r="C1332" s="21" t="s">
        <v>922</v>
      </c>
      <c r="D1332" s="1"/>
      <c r="E1332" s="1" t="s">
        <v>578</v>
      </c>
      <c r="F1332" s="21" t="s">
        <v>5</v>
      </c>
      <c r="G1332" s="14">
        <v>1</v>
      </c>
      <c r="H1332" s="14">
        <v>0</v>
      </c>
      <c r="I1332" s="22">
        <v>114</v>
      </c>
      <c r="J1332" s="23">
        <f>VLOOKUP(I1332,episodes!$A$1:$B$76,2,FALSE)</f>
        <v>15</v>
      </c>
      <c r="K1332" s="16" t="str">
        <f>VLOOKUP(I1332,episodes!$A$1:$E$81,5,FALSE)</f>
        <v>Balance of Terror</v>
      </c>
      <c r="L1332" s="16">
        <f>VLOOKUP(I1332,episodes!$A$1:$D$81,3,FALSE)</f>
        <v>1</v>
      </c>
      <c r="M1332" s="16">
        <f>VLOOKUP(I1332,episodes!$A$1:$D$81,4,FALSE)</f>
        <v>14</v>
      </c>
      <c r="N1332" s="14"/>
      <c r="O1332" s="14">
        <v>0</v>
      </c>
      <c r="P1332" s="24">
        <f>LEN(E1332)+LEN(K1332)</f>
        <v>43</v>
      </c>
      <c r="Q1332" s="24">
        <f>COUNTIFS(B:B,B1330)</f>
        <v>154</v>
      </c>
      <c r="R1332" s="24">
        <f>COUNTIFS(D:D,D1332)</f>
        <v>0</v>
      </c>
    </row>
    <row r="1333" spans="1:18" s="21" customFormat="1" x14ac:dyDescent="0.3">
      <c r="A1333" s="14">
        <v>2200</v>
      </c>
      <c r="B1333" s="21" t="s">
        <v>263</v>
      </c>
      <c r="C1333" s="21" t="s">
        <v>922</v>
      </c>
      <c r="D1333" s="1"/>
      <c r="E1333" s="1" t="s">
        <v>578</v>
      </c>
      <c r="F1333" s="21" t="s">
        <v>5</v>
      </c>
      <c r="G1333" s="14">
        <v>1</v>
      </c>
      <c r="H1333" s="14">
        <v>0</v>
      </c>
      <c r="I1333" s="22">
        <v>129</v>
      </c>
      <c r="J1333" s="23">
        <f>VLOOKUP(I1333,episodes!$A$1:$B$76,2,FALSE)</f>
        <v>30</v>
      </c>
      <c r="K1333" s="16" t="str">
        <f>VLOOKUP(I1333,episodes!$A$1:$E$81,5,FALSE)</f>
        <v>Operation: Annihilate!</v>
      </c>
      <c r="L1333" s="16">
        <f>VLOOKUP(I1333,episodes!$A$1:$D$81,3,FALSE)</f>
        <v>1</v>
      </c>
      <c r="M1333" s="16">
        <f>VLOOKUP(I1333,episodes!$A$1:$D$81,4,FALSE)</f>
        <v>29</v>
      </c>
      <c r="N1333" s="14"/>
      <c r="O1333" s="14">
        <v>0</v>
      </c>
      <c r="P1333" s="24">
        <f>LEN(E1333)+LEN(K1333)</f>
        <v>48</v>
      </c>
      <c r="Q1333" s="24">
        <f>COUNTIFS(B:B,B1332)</f>
        <v>154</v>
      </c>
      <c r="R1333" s="24">
        <f>COUNTIFS(D:D,D1333)</f>
        <v>0</v>
      </c>
    </row>
    <row r="1334" spans="1:18" s="21" customFormat="1" x14ac:dyDescent="0.3">
      <c r="A1334" s="14">
        <v>2081</v>
      </c>
      <c r="B1334" s="21" t="s">
        <v>263</v>
      </c>
      <c r="C1334" s="21" t="s">
        <v>922</v>
      </c>
      <c r="D1334" s="1"/>
      <c r="E1334" s="1" t="s">
        <v>559</v>
      </c>
      <c r="F1334" s="21" t="s">
        <v>5</v>
      </c>
      <c r="G1334" s="14">
        <v>1</v>
      </c>
      <c r="H1334" s="14">
        <v>0</v>
      </c>
      <c r="I1334" s="25">
        <v>111</v>
      </c>
      <c r="J1334" s="23">
        <f>VLOOKUP(I1334,episodes!$A$1:$B$76,2,FALSE)</f>
        <v>12</v>
      </c>
      <c r="K1334" s="16" t="str">
        <f>VLOOKUP(I1334,episodes!$A$1:$E$81,5,FALSE)</f>
        <v>The Menagerie, Part I</v>
      </c>
      <c r="L1334" s="16">
        <f>VLOOKUP(I1334,episodes!$A$1:$D$81,3,FALSE)</f>
        <v>1</v>
      </c>
      <c r="M1334" s="16">
        <f>VLOOKUP(I1334,episodes!$A$1:$D$81,4,FALSE)</f>
        <v>11</v>
      </c>
      <c r="N1334" s="14"/>
      <c r="O1334" s="14">
        <v>0</v>
      </c>
      <c r="P1334" s="24">
        <f>LEN(E1334)+LEN(K1334)</f>
        <v>55</v>
      </c>
      <c r="Q1334" s="24">
        <f>COUNTIFS(B:B,B1333)</f>
        <v>154</v>
      </c>
      <c r="R1334" s="24">
        <f>COUNTIFS(D:D,D1334)</f>
        <v>0</v>
      </c>
    </row>
    <row r="1335" spans="1:18" s="21" customFormat="1" x14ac:dyDescent="0.3">
      <c r="A1335" s="14">
        <v>2087</v>
      </c>
      <c r="B1335" s="21" t="s">
        <v>263</v>
      </c>
      <c r="C1335" s="21" t="s">
        <v>922</v>
      </c>
      <c r="D1335" s="1"/>
      <c r="E1335" s="1" t="s">
        <v>559</v>
      </c>
      <c r="F1335" s="21" t="s">
        <v>5</v>
      </c>
      <c r="G1335" s="14">
        <v>1</v>
      </c>
      <c r="H1335" s="14">
        <v>0</v>
      </c>
      <c r="I1335" s="25">
        <v>112</v>
      </c>
      <c r="J1335" s="23">
        <f>VLOOKUP(I1335,episodes!$A$1:$B$76,2,FALSE)</f>
        <v>13</v>
      </c>
      <c r="K1335" s="16" t="str">
        <f>VLOOKUP(I1335,episodes!$A$1:$E$81,5,FALSE)</f>
        <v>The Menagerie, Part II</v>
      </c>
      <c r="L1335" s="16">
        <f>VLOOKUP(I1335,episodes!$A$1:$D$81,3,FALSE)</f>
        <v>1</v>
      </c>
      <c r="M1335" s="16">
        <f>VLOOKUP(I1335,episodes!$A$1:$D$81,4,FALSE)</f>
        <v>12</v>
      </c>
      <c r="N1335" s="14"/>
      <c r="O1335" s="14">
        <v>0</v>
      </c>
      <c r="P1335" s="24">
        <f>LEN(E1335)+LEN(K1335)</f>
        <v>56</v>
      </c>
      <c r="Q1335" s="24">
        <f>COUNTIFS(B:B,B1334)</f>
        <v>154</v>
      </c>
      <c r="R1335" s="24">
        <f>COUNTIFS(D:D,D1335)</f>
        <v>0</v>
      </c>
    </row>
    <row r="1336" spans="1:18" s="21" customFormat="1" x14ac:dyDescent="0.3">
      <c r="A1336" s="14">
        <v>2223</v>
      </c>
      <c r="B1336" s="21" t="s">
        <v>263</v>
      </c>
      <c r="C1336" s="21" t="s">
        <v>922</v>
      </c>
      <c r="D1336" s="1"/>
      <c r="E1336" s="1" t="s">
        <v>2035</v>
      </c>
      <c r="F1336" s="21" t="s">
        <v>5</v>
      </c>
      <c r="G1336" s="14">
        <v>1</v>
      </c>
      <c r="H1336" s="14">
        <v>0</v>
      </c>
      <c r="I1336" s="22">
        <v>201</v>
      </c>
      <c r="J1336" s="23">
        <f>VLOOKUP(I1336,episodes!$A$1:$B$76,2,FALSE)</f>
        <v>31</v>
      </c>
      <c r="K1336" s="16" t="str">
        <f>VLOOKUP(I1336,episodes!$A$1:$E$81,5,FALSE)</f>
        <v>Amok Time</v>
      </c>
      <c r="L1336" s="16">
        <f>VLOOKUP(I1336,episodes!$A$1:$D$81,3,FALSE)</f>
        <v>2</v>
      </c>
      <c r="M1336" s="16">
        <f>VLOOKUP(I1336,episodes!$A$1:$D$81,4,FALSE)</f>
        <v>1</v>
      </c>
      <c r="N1336" s="14"/>
      <c r="O1336" s="14">
        <v>0</v>
      </c>
      <c r="P1336" s="24">
        <f>LEN(E1336)+LEN(K1336)</f>
        <v>49</v>
      </c>
      <c r="Q1336" s="24">
        <f>COUNTIFS(B:B,B1335)</f>
        <v>154</v>
      </c>
      <c r="R1336" s="24">
        <f>COUNTIFS(D:D,D1336)</f>
        <v>0</v>
      </c>
    </row>
    <row r="1337" spans="1:18" s="21" customFormat="1" x14ac:dyDescent="0.3">
      <c r="A1337" s="14">
        <v>2067</v>
      </c>
      <c r="B1337" s="21" t="s">
        <v>263</v>
      </c>
      <c r="C1337" s="21" t="s">
        <v>922</v>
      </c>
      <c r="D1337" s="1"/>
      <c r="E1337" s="1" t="s">
        <v>551</v>
      </c>
      <c r="F1337" s="21" t="s">
        <v>5</v>
      </c>
      <c r="G1337" s="14">
        <v>1</v>
      </c>
      <c r="H1337" s="14">
        <v>0</v>
      </c>
      <c r="I1337" s="25">
        <v>107</v>
      </c>
      <c r="J1337" s="23">
        <f>VLOOKUP(I1337,episodes!$A$1:$B$76,2,FALSE)</f>
        <v>8</v>
      </c>
      <c r="K1337" s="16" t="str">
        <f>VLOOKUP(I1337,episodes!$A$1:$E$81,5,FALSE)</f>
        <v>What Are Little Girls Made Of?</v>
      </c>
      <c r="L1337" s="16">
        <f>VLOOKUP(I1337,episodes!$A$1:$D$81,3,FALSE)</f>
        <v>1</v>
      </c>
      <c r="M1337" s="16">
        <f>VLOOKUP(I1337,episodes!$A$1:$D$81,4,FALSE)</f>
        <v>7</v>
      </c>
      <c r="N1337" s="14"/>
      <c r="O1337" s="14">
        <v>0</v>
      </c>
      <c r="P1337" s="24">
        <f>LEN(E1337)+LEN(K1337)</f>
        <v>46</v>
      </c>
      <c r="Q1337" s="24">
        <f>COUNTIFS(B:B,B1336)</f>
        <v>154</v>
      </c>
      <c r="R1337" s="24">
        <f>COUNTIFS(D:D,D1337)</f>
        <v>0</v>
      </c>
    </row>
    <row r="1338" spans="1:18" s="21" customFormat="1" x14ac:dyDescent="0.3">
      <c r="A1338" s="14">
        <v>2082</v>
      </c>
      <c r="B1338" s="21" t="s">
        <v>263</v>
      </c>
      <c r="C1338" s="21" t="s">
        <v>922</v>
      </c>
      <c r="D1338" s="1"/>
      <c r="E1338" s="1" t="s">
        <v>1882</v>
      </c>
      <c r="F1338" s="1" t="s">
        <v>5</v>
      </c>
      <c r="G1338" s="14">
        <v>1</v>
      </c>
      <c r="H1338" s="14">
        <v>0</v>
      </c>
      <c r="I1338" s="25">
        <v>111</v>
      </c>
      <c r="J1338" s="23">
        <f>VLOOKUP(I1338,episodes!$A$1:$B$76,2,FALSE)</f>
        <v>12</v>
      </c>
      <c r="K1338" s="16" t="str">
        <f>VLOOKUP(I1338,episodes!$A$1:$E$81,5,FALSE)</f>
        <v>The Menagerie, Part I</v>
      </c>
      <c r="L1338" s="16">
        <f>VLOOKUP(I1338,episodes!$A$1:$D$81,3,FALSE)</f>
        <v>1</v>
      </c>
      <c r="M1338" s="16">
        <f>VLOOKUP(I1338,episodes!$A$1:$D$81,4,FALSE)</f>
        <v>11</v>
      </c>
      <c r="N1338" s="14"/>
      <c r="O1338" s="14">
        <v>0</v>
      </c>
      <c r="P1338" s="24">
        <f>LEN(E1338)+LEN(K1338)</f>
        <v>68</v>
      </c>
      <c r="Q1338" s="24">
        <f>COUNTIFS(B:B,B1337)</f>
        <v>154</v>
      </c>
      <c r="R1338" s="24">
        <f>COUNTIFS(D:D,D1338)</f>
        <v>0</v>
      </c>
    </row>
    <row r="1339" spans="1:18" s="21" customFormat="1" x14ac:dyDescent="0.3">
      <c r="A1339" s="14">
        <v>2325</v>
      </c>
      <c r="B1339" s="21" t="s">
        <v>263</v>
      </c>
      <c r="C1339" s="21" t="s">
        <v>922</v>
      </c>
      <c r="D1339" s="1"/>
      <c r="E1339" s="1" t="s">
        <v>2579</v>
      </c>
      <c r="F1339" s="21" t="s">
        <v>5</v>
      </c>
      <c r="G1339" s="14">
        <v>1</v>
      </c>
      <c r="H1339" s="14">
        <v>0</v>
      </c>
      <c r="I1339" s="25">
        <v>206</v>
      </c>
      <c r="J1339" s="23">
        <f>VLOOKUP(I1339,episodes!$A$1:$B$81,2,FALSE)</f>
        <v>36</v>
      </c>
      <c r="K1339" s="16" t="str">
        <f>VLOOKUP(I1339,episodes!$A$1:$E$81,5,FALSE)</f>
        <v>The Doomsday Machine</v>
      </c>
      <c r="L1339" s="16">
        <f>VLOOKUP(I1339,episodes!$A$1:$D$81,3,FALSE)</f>
        <v>2</v>
      </c>
      <c r="M1339" s="16">
        <f>VLOOKUP(I1339,episodes!$A$1:$D$81,4,FALSE)</f>
        <v>6</v>
      </c>
      <c r="N1339" s="14"/>
      <c r="O1339" s="14">
        <v>0</v>
      </c>
      <c r="P1339" s="24">
        <f>LEN(E1339)+LEN(K1339)</f>
        <v>65</v>
      </c>
      <c r="Q1339" s="24">
        <f>COUNTIFS(B:B,#REF!)</f>
        <v>0</v>
      </c>
      <c r="R1339" s="24">
        <f>COUNTIFS(D:D,D1339)</f>
        <v>0</v>
      </c>
    </row>
    <row r="1340" spans="1:18" s="21" customFormat="1" x14ac:dyDescent="0.3">
      <c r="A1340" s="14">
        <v>2402</v>
      </c>
      <c r="B1340" s="21" t="s">
        <v>263</v>
      </c>
      <c r="C1340" s="21" t="s">
        <v>922</v>
      </c>
      <c r="D1340" s="1"/>
      <c r="E1340" s="1" t="s">
        <v>579</v>
      </c>
      <c r="F1340" s="21" t="s">
        <v>5</v>
      </c>
      <c r="G1340" s="14">
        <v>1</v>
      </c>
      <c r="H1340" s="14">
        <v>0</v>
      </c>
      <c r="I1340" s="22">
        <v>129</v>
      </c>
      <c r="J1340" s="23">
        <f>VLOOKUP(I1340,episodes!$A$1:$B$76,2,FALSE)</f>
        <v>30</v>
      </c>
      <c r="K1340" s="16" t="str">
        <f>VLOOKUP(I1340,episodes!$A$1:$E$81,5,FALSE)</f>
        <v>Operation: Annihilate!</v>
      </c>
      <c r="L1340" s="16">
        <f>VLOOKUP(I1340,episodes!$A$1:$D$81,3,FALSE)</f>
        <v>1</v>
      </c>
      <c r="M1340" s="16">
        <f>VLOOKUP(I1340,episodes!$A$1:$D$81,4,FALSE)</f>
        <v>29</v>
      </c>
      <c r="N1340" s="14"/>
      <c r="O1340" s="14">
        <v>0</v>
      </c>
      <c r="P1340" s="24">
        <f>LEN(E1340)+LEN(K1340)</f>
        <v>67</v>
      </c>
      <c r="Q1340" s="24">
        <f>COUNTIFS(B:B,B1338)</f>
        <v>154</v>
      </c>
      <c r="R1340" s="24">
        <f>COUNTIFS(D:D,D1340)</f>
        <v>0</v>
      </c>
    </row>
    <row r="1341" spans="1:18" s="21" customFormat="1" x14ac:dyDescent="0.3">
      <c r="A1341" s="14">
        <v>2390</v>
      </c>
      <c r="B1341" s="21" t="s">
        <v>263</v>
      </c>
      <c r="C1341" s="21" t="s">
        <v>922</v>
      </c>
      <c r="D1341" s="1"/>
      <c r="E1341" s="1" t="s">
        <v>548</v>
      </c>
      <c r="F1341" s="21" t="s">
        <v>5</v>
      </c>
      <c r="G1341" s="14">
        <v>1</v>
      </c>
      <c r="H1341" s="14">
        <v>0</v>
      </c>
      <c r="I1341" s="25">
        <v>105</v>
      </c>
      <c r="J1341" s="23">
        <f>VLOOKUP(I1341,episodes!$A$1:$B$76,2,FALSE)</f>
        <v>6</v>
      </c>
      <c r="K1341" s="16" t="str">
        <f>VLOOKUP(I1341,episodes!$A$1:$E$81,5,FALSE)</f>
        <v>The Enemy Within</v>
      </c>
      <c r="L1341" s="16">
        <f>VLOOKUP(I1341,episodes!$A$1:$D$81,3,FALSE)</f>
        <v>1</v>
      </c>
      <c r="M1341" s="16">
        <f>VLOOKUP(I1341,episodes!$A$1:$D$81,4,FALSE)</f>
        <v>5</v>
      </c>
      <c r="N1341" s="14"/>
      <c r="O1341" s="14">
        <v>0</v>
      </c>
      <c r="P1341" s="24">
        <f>LEN(E1341)+LEN(K1341)</f>
        <v>62</v>
      </c>
      <c r="Q1341" s="24">
        <f>COUNTIFS(B:B,B1340)</f>
        <v>154</v>
      </c>
      <c r="R1341" s="24">
        <f>COUNTIFS(D:D,D1341)</f>
        <v>0</v>
      </c>
    </row>
    <row r="1342" spans="1:18" s="21" customFormat="1" x14ac:dyDescent="0.3">
      <c r="A1342" s="14">
        <v>2046</v>
      </c>
      <c r="B1342" s="21" t="s">
        <v>263</v>
      </c>
      <c r="C1342" s="21" t="s">
        <v>922</v>
      </c>
      <c r="D1342" s="1"/>
      <c r="E1342" s="1" t="s">
        <v>545</v>
      </c>
      <c r="F1342" s="21" t="s">
        <v>5</v>
      </c>
      <c r="G1342" s="14">
        <v>1</v>
      </c>
      <c r="H1342" s="14">
        <v>0</v>
      </c>
      <c r="I1342" s="25">
        <v>101</v>
      </c>
      <c r="J1342" s="23">
        <f>VLOOKUP(I1342,episodes!$A$1:$B$76,2,FALSE)</f>
        <v>2</v>
      </c>
      <c r="K1342" s="16" t="str">
        <f>VLOOKUP(I1342,episodes!$A$1:$E$81,5,FALSE)</f>
        <v>The Man Trap</v>
      </c>
      <c r="L1342" s="16">
        <f>VLOOKUP(I1342,episodes!$A$1:$D$81,3,FALSE)</f>
        <v>1</v>
      </c>
      <c r="M1342" s="16">
        <f>VLOOKUP(I1342,episodes!$A$1:$D$81,4,FALSE)</f>
        <v>1</v>
      </c>
      <c r="N1342" s="14"/>
      <c r="O1342" s="14">
        <v>0</v>
      </c>
      <c r="P1342" s="24">
        <f>LEN(E1342)+LEN(K1342)</f>
        <v>33</v>
      </c>
      <c r="Q1342" s="24">
        <f>COUNTIFS(B:B,B1341)</f>
        <v>154</v>
      </c>
      <c r="R1342" s="24">
        <f>COUNTIFS(D:D,D1342)</f>
        <v>0</v>
      </c>
    </row>
    <row r="1343" spans="1:18" s="21" customFormat="1" x14ac:dyDescent="0.3">
      <c r="A1343" s="14">
        <v>2080</v>
      </c>
      <c r="B1343" s="21" t="s">
        <v>263</v>
      </c>
      <c r="C1343" s="21" t="s">
        <v>922</v>
      </c>
      <c r="D1343" s="1"/>
      <c r="E1343" s="1" t="s">
        <v>545</v>
      </c>
      <c r="F1343" s="21" t="s">
        <v>5</v>
      </c>
      <c r="G1343" s="14">
        <v>1</v>
      </c>
      <c r="H1343" s="14">
        <v>0</v>
      </c>
      <c r="I1343" s="25">
        <v>110</v>
      </c>
      <c r="J1343" s="23">
        <f>VLOOKUP(I1343,episodes!$A$1:$B$76,2,FALSE)</f>
        <v>11</v>
      </c>
      <c r="K1343" s="16" t="str">
        <f>VLOOKUP(I1343,episodes!$A$1:$E$81,5,FALSE)</f>
        <v>The Corbomite Maneuver</v>
      </c>
      <c r="L1343" s="16">
        <f>VLOOKUP(I1343,episodes!$A$1:$D$81,3,FALSE)</f>
        <v>1</v>
      </c>
      <c r="M1343" s="16">
        <f>VLOOKUP(I1343,episodes!$A$1:$D$81,4,FALSE)</f>
        <v>10</v>
      </c>
      <c r="N1343" s="14"/>
      <c r="O1343" s="14">
        <v>0</v>
      </c>
      <c r="P1343" s="24">
        <f>LEN(E1343)+LEN(K1343)</f>
        <v>43</v>
      </c>
      <c r="Q1343" s="24">
        <f>COUNTIFS(B:B,B1342)</f>
        <v>154</v>
      </c>
      <c r="R1343" s="24">
        <f>COUNTIFS(D:D,D1343)</f>
        <v>0</v>
      </c>
    </row>
    <row r="1344" spans="1:18" s="21" customFormat="1" x14ac:dyDescent="0.3">
      <c r="A1344" s="14">
        <v>2104</v>
      </c>
      <c r="B1344" s="21" t="s">
        <v>263</v>
      </c>
      <c r="C1344" s="21" t="s">
        <v>922</v>
      </c>
      <c r="D1344" s="1"/>
      <c r="E1344" s="1" t="s">
        <v>545</v>
      </c>
      <c r="F1344" s="21" t="s">
        <v>5</v>
      </c>
      <c r="G1344" s="14">
        <v>1</v>
      </c>
      <c r="H1344" s="14">
        <v>0</v>
      </c>
      <c r="I1344" s="22">
        <v>117</v>
      </c>
      <c r="J1344" s="23">
        <f>VLOOKUP(I1344,episodes!$A$1:$B$76,2,FALSE)</f>
        <v>18</v>
      </c>
      <c r="K1344" s="16" t="str">
        <f>VLOOKUP(I1344,episodes!$A$1:$E$81,5,FALSE)</f>
        <v>The Squire of Gothos</v>
      </c>
      <c r="L1344" s="16">
        <f>VLOOKUP(I1344,episodes!$A$1:$D$81,3,FALSE)</f>
        <v>1</v>
      </c>
      <c r="M1344" s="16">
        <f>VLOOKUP(I1344,episodes!$A$1:$D$81,4,FALSE)</f>
        <v>17</v>
      </c>
      <c r="N1344" s="14"/>
      <c r="O1344" s="14">
        <v>0</v>
      </c>
      <c r="P1344" s="24">
        <f>LEN(E1344)+LEN(K1344)</f>
        <v>41</v>
      </c>
      <c r="Q1344" s="24">
        <f>COUNTIFS(B:B,B1343)</f>
        <v>154</v>
      </c>
      <c r="R1344" s="24">
        <f>COUNTIFS(D:D,D1344)</f>
        <v>0</v>
      </c>
    </row>
    <row r="1345" spans="1:18" s="21" customFormat="1" x14ac:dyDescent="0.3">
      <c r="A1345" s="14">
        <v>2146</v>
      </c>
      <c r="B1345" s="21" t="s">
        <v>263</v>
      </c>
      <c r="C1345" s="21" t="s">
        <v>922</v>
      </c>
      <c r="D1345" s="1"/>
      <c r="E1345" s="1" t="s">
        <v>545</v>
      </c>
      <c r="F1345" s="21" t="s">
        <v>5</v>
      </c>
      <c r="G1345" s="14">
        <v>1</v>
      </c>
      <c r="H1345" s="14">
        <v>0</v>
      </c>
      <c r="I1345" s="22">
        <v>124</v>
      </c>
      <c r="J1345" s="23">
        <f>VLOOKUP(I1345,episodes!$A$1:$B$76,2,FALSE)</f>
        <v>25</v>
      </c>
      <c r="K1345" s="16" t="str">
        <f>VLOOKUP(I1345,episodes!$A$1:$E$81,5,FALSE)</f>
        <v>This Side of Paradise</v>
      </c>
      <c r="L1345" s="16">
        <f>VLOOKUP(I1345,episodes!$A$1:$D$81,3,FALSE)</f>
        <v>1</v>
      </c>
      <c r="M1345" s="16">
        <f>VLOOKUP(I1345,episodes!$A$1:$D$81,4,FALSE)</f>
        <v>24</v>
      </c>
      <c r="N1345" s="14"/>
      <c r="O1345" s="14">
        <v>0</v>
      </c>
      <c r="P1345" s="24">
        <f>LEN(E1345)+LEN(K1345)</f>
        <v>42</v>
      </c>
      <c r="Q1345" s="24">
        <f>COUNTIFS(B:B,B1344)</f>
        <v>154</v>
      </c>
      <c r="R1345" s="24">
        <f>COUNTIFS(D:D,D1345)</f>
        <v>0</v>
      </c>
    </row>
    <row r="1346" spans="1:18" s="21" customFormat="1" x14ac:dyDescent="0.3">
      <c r="A1346" s="14">
        <v>2166</v>
      </c>
      <c r="B1346" s="21" t="s">
        <v>263</v>
      </c>
      <c r="C1346" s="21" t="s">
        <v>922</v>
      </c>
      <c r="D1346" s="1"/>
      <c r="E1346" s="1" t="s">
        <v>545</v>
      </c>
      <c r="F1346" s="21" t="s">
        <v>5</v>
      </c>
      <c r="G1346" s="14">
        <v>1</v>
      </c>
      <c r="H1346" s="14">
        <v>0</v>
      </c>
      <c r="I1346" s="22">
        <v>126</v>
      </c>
      <c r="J1346" s="23">
        <f>VLOOKUP(I1346,episodes!$A$1:$B$76,2,FALSE)</f>
        <v>27</v>
      </c>
      <c r="K1346" s="16" t="str">
        <f>VLOOKUP(I1346,episodes!$A$1:$E$81,5,FALSE)</f>
        <v>Errand of Mercy</v>
      </c>
      <c r="L1346" s="16">
        <f>VLOOKUP(I1346,episodes!$A$1:$D$81,3,FALSE)</f>
        <v>1</v>
      </c>
      <c r="M1346" s="16">
        <f>VLOOKUP(I1346,episodes!$A$1:$D$81,4,FALSE)</f>
        <v>26</v>
      </c>
      <c r="N1346" s="14"/>
      <c r="O1346" s="14">
        <v>0</v>
      </c>
      <c r="P1346" s="24">
        <f>LEN(E1346)+LEN(K1346)</f>
        <v>36</v>
      </c>
      <c r="Q1346" s="24">
        <f>COUNTIFS(B:B,#REF!)</f>
        <v>0</v>
      </c>
      <c r="R1346" s="24">
        <f>COUNTIFS(D:D,D1346)</f>
        <v>0</v>
      </c>
    </row>
    <row r="1347" spans="1:18" s="21" customFormat="1" x14ac:dyDescent="0.3">
      <c r="A1347" s="14">
        <v>2465</v>
      </c>
      <c r="B1347" s="21" t="s">
        <v>263</v>
      </c>
      <c r="C1347" s="21" t="s">
        <v>922</v>
      </c>
      <c r="D1347" s="1"/>
      <c r="E1347" s="1" t="s">
        <v>2165</v>
      </c>
      <c r="F1347" s="21" t="s">
        <v>1861</v>
      </c>
      <c r="G1347" s="14">
        <v>0</v>
      </c>
      <c r="H1347" s="14">
        <v>1</v>
      </c>
      <c r="I1347" s="25">
        <v>101</v>
      </c>
      <c r="J1347" s="23">
        <f>VLOOKUP(I1347,episodes!$A$1:$B$76,2,FALSE)</f>
        <v>2</v>
      </c>
      <c r="K1347" s="16" t="str">
        <f>VLOOKUP(I1347,episodes!$A$1:$E$81,5,FALSE)</f>
        <v>The Man Trap</v>
      </c>
      <c r="L1347" s="16">
        <f>VLOOKUP(I1347,episodes!$A$1:$D$81,3,FALSE)</f>
        <v>1</v>
      </c>
      <c r="M1347" s="16">
        <f>VLOOKUP(I1347,episodes!$A$1:$D$81,4,FALSE)</f>
        <v>1</v>
      </c>
      <c r="N1347" s="14"/>
      <c r="O1347" s="14">
        <v>0</v>
      </c>
      <c r="P1347" s="24">
        <f>LEN(E1347)+LEN(K1347)</f>
        <v>64</v>
      </c>
      <c r="Q1347" s="24">
        <f>COUNTIFS(B:B,B1345)</f>
        <v>154</v>
      </c>
      <c r="R1347" s="24">
        <f>COUNTIFS(D:D,D1347)</f>
        <v>0</v>
      </c>
    </row>
    <row r="1348" spans="1:18" s="21" customFormat="1" x14ac:dyDescent="0.3">
      <c r="A1348" s="14">
        <v>2484</v>
      </c>
      <c r="B1348" s="21" t="s">
        <v>263</v>
      </c>
      <c r="C1348" s="21" t="s">
        <v>922</v>
      </c>
      <c r="D1348" s="1"/>
      <c r="E1348" s="1" t="s">
        <v>873</v>
      </c>
      <c r="F1348" s="1" t="s">
        <v>2287</v>
      </c>
      <c r="G1348" s="14">
        <v>0</v>
      </c>
      <c r="H1348" s="14">
        <v>0</v>
      </c>
      <c r="I1348" s="25">
        <v>205</v>
      </c>
      <c r="J1348" s="23">
        <f>VLOOKUP(I1348,episodes!$A$1:$B$81,2,FALSE)</f>
        <v>35</v>
      </c>
      <c r="K1348" s="16" t="str">
        <f>VLOOKUP(I1348,episodes!$A$1:$E$81,5,FALSE)</f>
        <v>The Apple</v>
      </c>
      <c r="L1348" s="16">
        <f>VLOOKUP(I1348,episodes!$A$1:$D$81,3,FALSE)</f>
        <v>2</v>
      </c>
      <c r="M1348" s="16">
        <f>VLOOKUP(I1348,episodes!$A$1:$D$81,4,FALSE)</f>
        <v>5</v>
      </c>
      <c r="N1348" s="14"/>
      <c r="O1348" s="14">
        <v>0</v>
      </c>
      <c r="P1348" s="24">
        <f>LEN(E1348)+LEN(K1348)</f>
        <v>39</v>
      </c>
      <c r="Q1348" s="24">
        <f>COUNTIFS(B:B,#REF!)</f>
        <v>0</v>
      </c>
      <c r="R1348" s="24">
        <f>COUNTIFS(D:D,D1348)</f>
        <v>0</v>
      </c>
    </row>
    <row r="1349" spans="1:18" s="21" customFormat="1" x14ac:dyDescent="0.3">
      <c r="A1349" s="14">
        <v>2486</v>
      </c>
      <c r="B1349" s="21" t="s">
        <v>263</v>
      </c>
      <c r="C1349" s="21" t="s">
        <v>922</v>
      </c>
      <c r="D1349" s="1"/>
      <c r="E1349" s="1" t="s">
        <v>553</v>
      </c>
      <c r="F1349" s="1" t="s">
        <v>2286</v>
      </c>
      <c r="G1349" s="14">
        <v>0</v>
      </c>
      <c r="H1349" s="14">
        <v>0</v>
      </c>
      <c r="I1349" s="25">
        <v>109</v>
      </c>
      <c r="J1349" s="23">
        <f>VLOOKUP(I1349,episodes!$A$1:$B$76,2,FALSE)</f>
        <v>10</v>
      </c>
      <c r="K1349" s="16" t="str">
        <f>VLOOKUP(I1349,episodes!$A$1:$E$81,5,FALSE)</f>
        <v>Dagger of the Mind</v>
      </c>
      <c r="L1349" s="16">
        <f>VLOOKUP(I1349,episodes!$A$1:$D$81,3,FALSE)</f>
        <v>1</v>
      </c>
      <c r="M1349" s="16">
        <f>VLOOKUP(I1349,episodes!$A$1:$D$81,4,FALSE)</f>
        <v>9</v>
      </c>
      <c r="N1349" s="14"/>
      <c r="O1349" s="14">
        <v>0</v>
      </c>
      <c r="P1349" s="24">
        <f>LEN(E1349)+LEN(K1349)</f>
        <v>43</v>
      </c>
      <c r="Q1349" s="24">
        <f>COUNTIFS(B:B,B1348)</f>
        <v>154</v>
      </c>
      <c r="R1349" s="24">
        <f>COUNTIFS(D:D,D1349)</f>
        <v>0</v>
      </c>
    </row>
    <row r="1350" spans="1:18" s="21" customFormat="1" x14ac:dyDescent="0.3">
      <c r="A1350" s="14">
        <v>2513</v>
      </c>
      <c r="B1350" s="21" t="s">
        <v>263</v>
      </c>
      <c r="C1350" s="21" t="s">
        <v>922</v>
      </c>
      <c r="D1350" s="1"/>
      <c r="E1350" s="1" t="s">
        <v>564</v>
      </c>
      <c r="F1350" s="21" t="s">
        <v>1863</v>
      </c>
      <c r="G1350" s="14">
        <v>1</v>
      </c>
      <c r="H1350" s="14">
        <v>0</v>
      </c>
      <c r="I1350" s="22">
        <v>120</v>
      </c>
      <c r="J1350" s="23">
        <f>VLOOKUP(I1350,episodes!$A$1:$B$76,2,FALSE)</f>
        <v>21</v>
      </c>
      <c r="K1350" s="16" t="str">
        <f>VLOOKUP(I1350,episodes!$A$1:$E$81,5,FALSE)</f>
        <v>Court Martial</v>
      </c>
      <c r="L1350" s="16">
        <f>VLOOKUP(I1350,episodes!$A$1:$D$81,3,FALSE)</f>
        <v>1</v>
      </c>
      <c r="M1350" s="16">
        <f>VLOOKUP(I1350,episodes!$A$1:$D$81,4,FALSE)</f>
        <v>20</v>
      </c>
      <c r="N1350" s="14"/>
      <c r="O1350" s="14">
        <v>0</v>
      </c>
      <c r="P1350" s="24">
        <f>LEN(E1350)+LEN(K1350)</f>
        <v>40</v>
      </c>
      <c r="Q1350" s="24">
        <f>COUNTIFS(B:B,B1349)</f>
        <v>154</v>
      </c>
      <c r="R1350" s="24">
        <f>COUNTIFS(D:D,D1350)</f>
        <v>0</v>
      </c>
    </row>
    <row r="1351" spans="1:18" s="21" customFormat="1" x14ac:dyDescent="0.3">
      <c r="A1351" s="14">
        <v>2672</v>
      </c>
      <c r="B1351" s="21" t="s">
        <v>263</v>
      </c>
      <c r="C1351" s="21" t="s">
        <v>922</v>
      </c>
      <c r="D1351" s="1"/>
      <c r="E1351" s="1" t="s">
        <v>905</v>
      </c>
      <c r="F1351" s="21" t="s">
        <v>1863</v>
      </c>
      <c r="G1351" s="14">
        <v>1</v>
      </c>
      <c r="H1351" s="14">
        <v>0</v>
      </c>
      <c r="I1351" s="25">
        <v>204</v>
      </c>
      <c r="J1351" s="23">
        <f>VLOOKUP(I1351,episodes!$A$1:$B$81,2,FALSE)</f>
        <v>34</v>
      </c>
      <c r="K1351" s="16" t="str">
        <f>VLOOKUP(I1351,episodes!$A$1:$E$81,5,FALSE)</f>
        <v>Mirror, Mirror</v>
      </c>
      <c r="L1351" s="16">
        <f>VLOOKUP(I1351,episodes!$A$1:$D$81,3,FALSE)</f>
        <v>2</v>
      </c>
      <c r="M1351" s="16">
        <f>VLOOKUP(I1351,episodes!$A$1:$D$81,4,FALSE)</f>
        <v>4</v>
      </c>
      <c r="N1351" s="14"/>
      <c r="O1351" s="14">
        <v>0</v>
      </c>
      <c r="P1351" s="24">
        <f>LEN(E1351)+LEN(K1351)</f>
        <v>38</v>
      </c>
      <c r="Q1351" s="24">
        <f>COUNTIFS(B:B,#REF!)</f>
        <v>0</v>
      </c>
      <c r="R1351" s="24">
        <f>COUNTIFS(D:D,D1351)</f>
        <v>0</v>
      </c>
    </row>
    <row r="1352" spans="1:18" s="21" customFormat="1" x14ac:dyDescent="0.3">
      <c r="A1352" s="14">
        <v>2532</v>
      </c>
      <c r="B1352" s="21" t="s">
        <v>263</v>
      </c>
      <c r="C1352" s="21" t="s">
        <v>922</v>
      </c>
      <c r="D1352" s="1"/>
      <c r="E1352" s="1" t="s">
        <v>587</v>
      </c>
      <c r="F1352" s="21" t="s">
        <v>1863</v>
      </c>
      <c r="G1352" s="14">
        <v>1</v>
      </c>
      <c r="H1352" s="14">
        <v>0</v>
      </c>
      <c r="I1352" s="25">
        <v>203</v>
      </c>
      <c r="J1352" s="23">
        <f>VLOOKUP(I1352,episodes!$A$1:$B$76,2,FALSE)</f>
        <v>33</v>
      </c>
      <c r="K1352" s="16" t="str">
        <f>VLOOKUP(I1352,episodes!$A$1:$E$81,5,FALSE)</f>
        <v>The Changeling</v>
      </c>
      <c r="L1352" s="16">
        <f>VLOOKUP(I1352,episodes!$A$1:$D$81,3,FALSE)</f>
        <v>2</v>
      </c>
      <c r="M1352" s="16">
        <f>VLOOKUP(I1352,episodes!$A$1:$D$81,4,FALSE)</f>
        <v>3</v>
      </c>
      <c r="N1352" s="14"/>
      <c r="O1352" s="14">
        <v>0</v>
      </c>
      <c r="P1352" s="24">
        <f>LEN(E1352)+LEN(K1352)</f>
        <v>64</v>
      </c>
      <c r="Q1352" s="24">
        <f>COUNTIFS(B:B,B1351)</f>
        <v>154</v>
      </c>
      <c r="R1352" s="24">
        <f>COUNTIFS(D:D,D1352)</f>
        <v>0</v>
      </c>
    </row>
    <row r="1353" spans="1:18" s="21" customFormat="1" x14ac:dyDescent="0.3">
      <c r="A1353" s="14">
        <v>2511</v>
      </c>
      <c r="B1353" s="21" t="s">
        <v>263</v>
      </c>
      <c r="C1353" s="21" t="s">
        <v>922</v>
      </c>
      <c r="D1353" s="1"/>
      <c r="E1353" s="1" t="s">
        <v>1887</v>
      </c>
      <c r="F1353" s="21" t="s">
        <v>1863</v>
      </c>
      <c r="G1353" s="14">
        <v>1</v>
      </c>
      <c r="H1353" s="14">
        <v>0</v>
      </c>
      <c r="I1353" s="22">
        <v>116</v>
      </c>
      <c r="J1353" s="23">
        <f>VLOOKUP(I1353,episodes!$A$1:$B$76,2,FALSE)</f>
        <v>17</v>
      </c>
      <c r="K1353" s="16" t="str">
        <f>VLOOKUP(I1353,episodes!$A$1:$E$81,5,FALSE)</f>
        <v>The Galileo Seven</v>
      </c>
      <c r="L1353" s="16">
        <f>VLOOKUP(I1353,episodes!$A$1:$D$81,3,FALSE)</f>
        <v>1</v>
      </c>
      <c r="M1353" s="16">
        <f>VLOOKUP(I1353,episodes!$A$1:$D$81,4,FALSE)</f>
        <v>16</v>
      </c>
      <c r="N1353" s="14"/>
      <c r="O1353" s="14">
        <v>0</v>
      </c>
      <c r="P1353" s="24">
        <f>LEN(E1353)+LEN(K1353)</f>
        <v>57</v>
      </c>
      <c r="Q1353" s="24">
        <f>COUNTIFS(B:B,B1352)</f>
        <v>154</v>
      </c>
      <c r="R1353" s="24">
        <f>COUNTIFS(D:D,D1353)</f>
        <v>0</v>
      </c>
    </row>
    <row r="1354" spans="1:18" s="21" customFormat="1" x14ac:dyDescent="0.3">
      <c r="A1354" s="14">
        <v>2543</v>
      </c>
      <c r="B1354" s="21" t="s">
        <v>263</v>
      </c>
      <c r="C1354" s="21" t="s">
        <v>922</v>
      </c>
      <c r="D1354" s="1"/>
      <c r="E1354" s="1" t="s">
        <v>1887</v>
      </c>
      <c r="F1354" s="21" t="s">
        <v>1863</v>
      </c>
      <c r="G1354" s="14">
        <v>1</v>
      </c>
      <c r="H1354" s="14">
        <v>0</v>
      </c>
      <c r="I1354" s="14">
        <v>209</v>
      </c>
      <c r="J1354" s="23">
        <f>VLOOKUP(I1354,episodes!$A$1:$B$81,2,FALSE)</f>
        <v>39</v>
      </c>
      <c r="K1354" s="16" t="str">
        <f>VLOOKUP(I1354,episodes!$A$1:$E$81,5,FALSE)</f>
        <v>Metamorphosis</v>
      </c>
      <c r="L1354" s="16">
        <f>VLOOKUP(I1354,episodes!$A$1:$D$81,3,FALSE)</f>
        <v>2</v>
      </c>
      <c r="M1354" s="16">
        <f>VLOOKUP(I1354,episodes!$A$1:$D$81,4,FALSE)</f>
        <v>9</v>
      </c>
      <c r="N1354" s="14"/>
      <c r="O1354" s="14">
        <v>0</v>
      </c>
      <c r="P1354" s="24">
        <f>LEN(E1354)+LEN(K1354)</f>
        <v>53</v>
      </c>
      <c r="Q1354" s="24">
        <f>COUNTIFS(B:B,B1353)</f>
        <v>154</v>
      </c>
      <c r="R1354" s="24">
        <f>COUNTIFS(D:D,D1354)</f>
        <v>0</v>
      </c>
    </row>
    <row r="1355" spans="1:18" s="21" customFormat="1" x14ac:dyDescent="0.3">
      <c r="A1355" s="14">
        <v>2544</v>
      </c>
      <c r="B1355" s="21" t="s">
        <v>263</v>
      </c>
      <c r="C1355" s="21" t="s">
        <v>922</v>
      </c>
      <c r="E1355" s="1" t="s">
        <v>2216</v>
      </c>
      <c r="F1355" s="21" t="s">
        <v>1863</v>
      </c>
      <c r="G1355" s="14">
        <v>1</v>
      </c>
      <c r="H1355" s="14">
        <v>0</v>
      </c>
      <c r="I1355" s="25">
        <v>210</v>
      </c>
      <c r="J1355" s="23">
        <f>VLOOKUP(I1355,episodes!$A$1:$B$81,2,FALSE)</f>
        <v>40</v>
      </c>
      <c r="K1355" s="16" t="str">
        <f>VLOOKUP(I1355,episodes!$A$1:$E$81,5,FALSE)</f>
        <v>Journey to Babel</v>
      </c>
      <c r="L1355" s="16">
        <f>VLOOKUP(I1355,episodes!$A$1:$D$81,3,FALSE)</f>
        <v>2</v>
      </c>
      <c r="M1355" s="16">
        <f>VLOOKUP(I1355,episodes!$A$1:$D$81,4,FALSE)</f>
        <v>10</v>
      </c>
      <c r="N1355" s="14"/>
      <c r="O1355" s="14">
        <v>0</v>
      </c>
      <c r="P1355" s="24">
        <f>LEN(E1355)+LEN(K1355)</f>
        <v>61</v>
      </c>
      <c r="Q1355" s="24">
        <f>COUNTIFS(B:B,B1354)</f>
        <v>154</v>
      </c>
      <c r="R1355" s="24">
        <f>COUNTIFS(D:D,D1355)</f>
        <v>0</v>
      </c>
    </row>
    <row r="1356" spans="1:18" s="21" customFormat="1" x14ac:dyDescent="0.3">
      <c r="A1356" s="14">
        <v>2545</v>
      </c>
      <c r="B1356" s="21" t="s">
        <v>263</v>
      </c>
      <c r="C1356" s="21" t="s">
        <v>922</v>
      </c>
      <c r="E1356" s="1" t="s">
        <v>2217</v>
      </c>
      <c r="F1356" s="21" t="s">
        <v>1863</v>
      </c>
      <c r="G1356" s="14">
        <v>1</v>
      </c>
      <c r="H1356" s="14">
        <v>0</v>
      </c>
      <c r="I1356" s="25">
        <v>210</v>
      </c>
      <c r="J1356" s="23">
        <f>VLOOKUP(I1356,episodes!$A$1:$B$81,2,FALSE)</f>
        <v>40</v>
      </c>
      <c r="K1356" s="16" t="str">
        <f>VLOOKUP(I1356,episodes!$A$1:$E$81,5,FALSE)</f>
        <v>Journey to Babel</v>
      </c>
      <c r="L1356" s="16">
        <f>VLOOKUP(I1356,episodes!$A$1:$D$81,3,FALSE)</f>
        <v>2</v>
      </c>
      <c r="M1356" s="16">
        <f>VLOOKUP(I1356,episodes!$A$1:$D$81,4,FALSE)</f>
        <v>10</v>
      </c>
      <c r="N1356" s="14"/>
      <c r="O1356" s="14">
        <v>0</v>
      </c>
      <c r="P1356" s="24">
        <f>LEN(E1356)+LEN(K1356)</f>
        <v>61</v>
      </c>
      <c r="Q1356" s="24">
        <f>COUNTIFS(B:B,B1355)</f>
        <v>154</v>
      </c>
      <c r="R1356" s="24">
        <f>COUNTIFS(D:D,D1356)</f>
        <v>0</v>
      </c>
    </row>
    <row r="1357" spans="1:18" s="21" customFormat="1" x14ac:dyDescent="0.3">
      <c r="A1357" s="14">
        <v>2539</v>
      </c>
      <c r="B1357" s="21" t="s">
        <v>263</v>
      </c>
      <c r="C1357" s="21" t="s">
        <v>922</v>
      </c>
      <c r="D1357" s="1"/>
      <c r="E1357" s="1" t="s">
        <v>2190</v>
      </c>
      <c r="F1357" s="21" t="s">
        <v>1863</v>
      </c>
      <c r="G1357" s="14">
        <v>1</v>
      </c>
      <c r="H1357" s="14">
        <v>0</v>
      </c>
      <c r="I1357" s="22">
        <v>208</v>
      </c>
      <c r="J1357" s="23">
        <f>VLOOKUP(I1357,episodes!$A$1:$B$81,2,FALSE)</f>
        <v>38</v>
      </c>
      <c r="K1357" s="16" t="str">
        <f>VLOOKUP(I1357,episodes!$A$1:$E$81,5,FALSE)</f>
        <v>I, Mudd</v>
      </c>
      <c r="L1357" s="16">
        <f>VLOOKUP(I1357,episodes!$A$1:$D$81,3,FALSE)</f>
        <v>2</v>
      </c>
      <c r="M1357" s="16">
        <f>VLOOKUP(I1357,episodes!$A$1:$D$81,4,FALSE)</f>
        <v>8</v>
      </c>
      <c r="N1357" s="14"/>
      <c r="O1357" s="14">
        <v>0</v>
      </c>
      <c r="P1357" s="24">
        <f>LEN(E1357)+LEN(K1357)</f>
        <v>32</v>
      </c>
      <c r="Q1357" s="24">
        <f>COUNTIFS(B:B,B1356)</f>
        <v>154</v>
      </c>
      <c r="R1357" s="24">
        <f>COUNTIFS(D:D,D1357)</f>
        <v>0</v>
      </c>
    </row>
    <row r="1358" spans="1:18" s="21" customFormat="1" x14ac:dyDescent="0.3">
      <c r="A1358" s="14">
        <v>2992</v>
      </c>
      <c r="B1358" s="21" t="s">
        <v>263</v>
      </c>
      <c r="C1358" s="21" t="s">
        <v>922</v>
      </c>
      <c r="D1358" s="1"/>
      <c r="E1358" s="4" t="s">
        <v>2190</v>
      </c>
      <c r="F1358" s="21" t="s">
        <v>1863</v>
      </c>
      <c r="G1358" s="14">
        <v>1</v>
      </c>
      <c r="H1358" s="14">
        <v>0</v>
      </c>
      <c r="I1358" s="7">
        <v>211</v>
      </c>
      <c r="J1358" s="23">
        <f>VLOOKUP(I1358,episodes!$A$1:$B$81,2,FALSE)</f>
        <v>41</v>
      </c>
      <c r="K1358" s="16" t="str">
        <f>VLOOKUP(I1358,episodes!$A$1:$E$81,5,FALSE)</f>
        <v>Friday's Child</v>
      </c>
      <c r="L1358" s="16">
        <f>VLOOKUP(I1358,episodes!$A$1:$D$81,3,FALSE)</f>
        <v>2</v>
      </c>
      <c r="M1358" s="16">
        <f>VLOOKUP(I1358,episodes!$A$1:$D$81,4,FALSE)</f>
        <v>11</v>
      </c>
      <c r="N1358" s="14"/>
      <c r="O1358" s="14">
        <v>0</v>
      </c>
      <c r="P1358" s="24">
        <f>LEN(E1358)+LEN(K1358)</f>
        <v>39</v>
      </c>
      <c r="Q1358" s="24"/>
      <c r="R1358" s="24"/>
    </row>
    <row r="1359" spans="1:18" s="21" customFormat="1" x14ac:dyDescent="0.3">
      <c r="A1359" s="14">
        <v>2528</v>
      </c>
      <c r="B1359" s="21" t="s">
        <v>263</v>
      </c>
      <c r="C1359" s="21" t="s">
        <v>922</v>
      </c>
      <c r="D1359" s="1"/>
      <c r="E1359" s="1" t="s">
        <v>584</v>
      </c>
      <c r="F1359" s="21" t="s">
        <v>1863</v>
      </c>
      <c r="G1359" s="14">
        <v>1</v>
      </c>
      <c r="H1359" s="14">
        <v>0</v>
      </c>
      <c r="I1359" s="22">
        <v>201</v>
      </c>
      <c r="J1359" s="23">
        <f>VLOOKUP(I1359,episodes!$A$1:$B$76,2,FALSE)</f>
        <v>31</v>
      </c>
      <c r="K1359" s="16" t="str">
        <f>VLOOKUP(I1359,episodes!$A$1:$E$81,5,FALSE)</f>
        <v>Amok Time</v>
      </c>
      <c r="L1359" s="16">
        <f>VLOOKUP(I1359,episodes!$A$1:$D$81,3,FALSE)</f>
        <v>2</v>
      </c>
      <c r="M1359" s="16">
        <f>VLOOKUP(I1359,episodes!$A$1:$D$81,4,FALSE)</f>
        <v>1</v>
      </c>
      <c r="N1359" s="14"/>
      <c r="O1359" s="14">
        <v>0</v>
      </c>
      <c r="P1359" s="24">
        <f>LEN(E1359)+LEN(K1359)</f>
        <v>43</v>
      </c>
      <c r="Q1359" s="24">
        <f>COUNTIFS(B:B,B1358)</f>
        <v>154</v>
      </c>
      <c r="R1359" s="24">
        <f>COUNTIFS(D:D,D1359)</f>
        <v>0</v>
      </c>
    </row>
    <row r="1360" spans="1:18" s="21" customFormat="1" x14ac:dyDescent="0.3">
      <c r="A1360" s="14">
        <v>2514</v>
      </c>
      <c r="B1360" s="21" t="s">
        <v>263</v>
      </c>
      <c r="C1360" s="21" t="s">
        <v>922</v>
      </c>
      <c r="D1360" s="1"/>
      <c r="E1360" s="1" t="s">
        <v>567</v>
      </c>
      <c r="F1360" s="21" t="s">
        <v>1863</v>
      </c>
      <c r="G1360" s="14">
        <v>1</v>
      </c>
      <c r="H1360" s="14">
        <v>0</v>
      </c>
      <c r="I1360" s="22">
        <v>122</v>
      </c>
      <c r="J1360" s="23">
        <f>VLOOKUP(I1360,episodes!$A$1:$B$76,2,FALSE)</f>
        <v>23</v>
      </c>
      <c r="K1360" s="16" t="str">
        <f>VLOOKUP(I1360,episodes!$A$1:$E$81,5,FALSE)</f>
        <v>Space Seed</v>
      </c>
      <c r="L1360" s="16">
        <f>VLOOKUP(I1360,episodes!$A$1:$D$81,3,FALSE)</f>
        <v>1</v>
      </c>
      <c r="M1360" s="16">
        <f>VLOOKUP(I1360,episodes!$A$1:$D$81,4,FALSE)</f>
        <v>22</v>
      </c>
      <c r="N1360" s="14"/>
      <c r="O1360" s="14">
        <v>0</v>
      </c>
      <c r="P1360" s="24">
        <f>LEN(E1360)+LEN(K1360)</f>
        <v>36</v>
      </c>
      <c r="Q1360" s="24">
        <f>COUNTIFS(B:B,B1359)</f>
        <v>154</v>
      </c>
      <c r="R1360" s="24">
        <f>COUNTIFS(D:D,D1360)</f>
        <v>0</v>
      </c>
    </row>
    <row r="1361" spans="1:18" s="21" customFormat="1" x14ac:dyDescent="0.3">
      <c r="A1361" s="14">
        <v>2527</v>
      </c>
      <c r="B1361" s="21" t="s">
        <v>263</v>
      </c>
      <c r="C1361" s="21" t="s">
        <v>922</v>
      </c>
      <c r="D1361" s="1"/>
      <c r="E1361" s="1" t="s">
        <v>567</v>
      </c>
      <c r="F1361" s="21" t="s">
        <v>1863</v>
      </c>
      <c r="G1361" s="14">
        <v>1</v>
      </c>
      <c r="H1361" s="14">
        <v>0</v>
      </c>
      <c r="I1361" s="22">
        <v>129</v>
      </c>
      <c r="J1361" s="23">
        <f>VLOOKUP(I1361,episodes!$A$1:$B$76,2,FALSE)</f>
        <v>30</v>
      </c>
      <c r="K1361" s="16" t="str">
        <f>VLOOKUP(I1361,episodes!$A$1:$E$81,5,FALSE)</f>
        <v>Operation: Annihilate!</v>
      </c>
      <c r="L1361" s="16">
        <f>VLOOKUP(I1361,episodes!$A$1:$D$81,3,FALSE)</f>
        <v>1</v>
      </c>
      <c r="M1361" s="16">
        <f>VLOOKUP(I1361,episodes!$A$1:$D$81,4,FALSE)</f>
        <v>29</v>
      </c>
      <c r="N1361" s="14"/>
      <c r="O1361" s="14">
        <v>0</v>
      </c>
      <c r="P1361" s="24">
        <f>LEN(E1361)+LEN(K1361)</f>
        <v>48</v>
      </c>
      <c r="Q1361" s="24">
        <f>COUNTIFS(B:B,B1360)</f>
        <v>154</v>
      </c>
      <c r="R1361" s="24">
        <f>COUNTIFS(D:D,D1361)</f>
        <v>0</v>
      </c>
    </row>
    <row r="1362" spans="1:18" s="21" customFormat="1" x14ac:dyDescent="0.3">
      <c r="A1362" s="14">
        <v>2529</v>
      </c>
      <c r="B1362" s="21" t="s">
        <v>263</v>
      </c>
      <c r="C1362" s="21" t="s">
        <v>922</v>
      </c>
      <c r="D1362" s="1"/>
      <c r="E1362" s="1" t="s">
        <v>567</v>
      </c>
      <c r="F1362" s="21" t="s">
        <v>1863</v>
      </c>
      <c r="G1362" s="14">
        <v>1</v>
      </c>
      <c r="H1362" s="14">
        <v>0</v>
      </c>
      <c r="I1362" s="22">
        <v>202</v>
      </c>
      <c r="J1362" s="23">
        <f>VLOOKUP(I1362,episodes!$A$1:$B$76,2,FALSE)</f>
        <v>32</v>
      </c>
      <c r="K1362" s="16" t="str">
        <f>VLOOKUP(I1362,episodes!$A$1:$E$81,5,FALSE)</f>
        <v>Who Mourns for Adonais?</v>
      </c>
      <c r="L1362" s="16">
        <f>VLOOKUP(I1362,episodes!$A$1:$D$81,3,FALSE)</f>
        <v>2</v>
      </c>
      <c r="M1362" s="16">
        <f>VLOOKUP(I1362,episodes!$A$1:$D$81,4,FALSE)</f>
        <v>2</v>
      </c>
      <c r="N1362" s="14"/>
      <c r="O1362" s="14">
        <v>0</v>
      </c>
      <c r="P1362" s="24">
        <f>LEN(E1362)+LEN(K1362)</f>
        <v>49</v>
      </c>
      <c r="Q1362" s="24">
        <f>COUNTIFS(B:B,B1361)</f>
        <v>154</v>
      </c>
      <c r="R1362" s="24">
        <f>COUNTIFS(D:D,D1362)</f>
        <v>0</v>
      </c>
    </row>
    <row r="1363" spans="1:18" s="21" customFormat="1" x14ac:dyDescent="0.3">
      <c r="A1363" s="14">
        <v>2515</v>
      </c>
      <c r="B1363" s="21" t="s">
        <v>263</v>
      </c>
      <c r="C1363" s="21" t="s">
        <v>922</v>
      </c>
      <c r="D1363" s="1"/>
      <c r="E1363" s="1" t="s">
        <v>2964</v>
      </c>
      <c r="F1363" s="21" t="s">
        <v>1863</v>
      </c>
      <c r="G1363" s="14">
        <v>1</v>
      </c>
      <c r="H1363" s="14">
        <v>0</v>
      </c>
      <c r="I1363" s="22">
        <v>127</v>
      </c>
      <c r="J1363" s="23">
        <f>VLOOKUP(I1363,episodes!$A$1:$B$76,2,FALSE)</f>
        <v>28</v>
      </c>
      <c r="K1363" s="16" t="str">
        <f>VLOOKUP(I1363,episodes!$A$1:$E$81,5,FALSE)</f>
        <v>The Alternative Factor</v>
      </c>
      <c r="L1363" s="16">
        <f>VLOOKUP(I1363,episodes!$A$1:$D$81,3,FALSE)</f>
        <v>1</v>
      </c>
      <c r="M1363" s="16">
        <f>VLOOKUP(I1363,episodes!$A$1:$D$81,4,FALSE)</f>
        <v>27</v>
      </c>
      <c r="N1363" s="14"/>
      <c r="O1363" s="14">
        <v>0</v>
      </c>
      <c r="P1363" s="24">
        <f>LEN(E1363)+LEN(K1363)</f>
        <v>52</v>
      </c>
      <c r="Q1363" s="24">
        <f>COUNTIFS(B:B,B1362)</f>
        <v>154</v>
      </c>
      <c r="R1363" s="24">
        <f>COUNTIFS(D:D,D1363)</f>
        <v>0</v>
      </c>
    </row>
    <row r="1364" spans="1:18" s="21" customFormat="1" x14ac:dyDescent="0.3">
      <c r="A1364" s="14">
        <v>2516</v>
      </c>
      <c r="B1364" s="21" t="s">
        <v>263</v>
      </c>
      <c r="C1364" s="21" t="s">
        <v>922</v>
      </c>
      <c r="D1364" s="1"/>
      <c r="E1364" s="1" t="s">
        <v>2965</v>
      </c>
      <c r="F1364" s="21" t="s">
        <v>1863</v>
      </c>
      <c r="G1364" s="14">
        <v>1</v>
      </c>
      <c r="H1364" s="14">
        <v>0</v>
      </c>
      <c r="I1364" s="22">
        <v>127</v>
      </c>
      <c r="J1364" s="23">
        <f>VLOOKUP(I1364,episodes!$A$1:$B$76,2,FALSE)</f>
        <v>28</v>
      </c>
      <c r="K1364" s="16" t="str">
        <f>VLOOKUP(I1364,episodes!$A$1:$E$81,5,FALSE)</f>
        <v>The Alternative Factor</v>
      </c>
      <c r="L1364" s="16">
        <f>VLOOKUP(I1364,episodes!$A$1:$D$81,3,FALSE)</f>
        <v>1</v>
      </c>
      <c r="M1364" s="16">
        <f>VLOOKUP(I1364,episodes!$A$1:$D$81,4,FALSE)</f>
        <v>27</v>
      </c>
      <c r="N1364" s="14"/>
      <c r="O1364" s="14">
        <v>0</v>
      </c>
      <c r="P1364" s="24">
        <f>LEN(E1364)+LEN(K1364)</f>
        <v>52</v>
      </c>
      <c r="Q1364" s="24">
        <f>COUNTIFS(B:B,B1363)</f>
        <v>154</v>
      </c>
      <c r="R1364" s="24">
        <f>COUNTIFS(D:D,D1364)</f>
        <v>0</v>
      </c>
    </row>
    <row r="1365" spans="1:18" x14ac:dyDescent="0.3">
      <c r="A1365" s="14">
        <v>2507</v>
      </c>
      <c r="B1365" s="21" t="s">
        <v>263</v>
      </c>
      <c r="C1365" s="21" t="s">
        <v>922</v>
      </c>
      <c r="E1365" s="1" t="s">
        <v>560</v>
      </c>
      <c r="F1365" s="21" t="s">
        <v>1863</v>
      </c>
      <c r="G1365" s="14">
        <v>1</v>
      </c>
      <c r="H1365" s="14">
        <v>0</v>
      </c>
      <c r="I1365" s="25">
        <v>111</v>
      </c>
      <c r="J1365" s="23">
        <f>VLOOKUP(I1365,episodes!$A$1:$B$76,2,FALSE)</f>
        <v>12</v>
      </c>
      <c r="K1365" s="16" t="str">
        <f>VLOOKUP(I1365,episodes!$A$1:$E$81,5,FALSE)</f>
        <v>The Menagerie, Part I</v>
      </c>
      <c r="L1365" s="16">
        <f>VLOOKUP(I1365,episodes!$A$1:$D$81,3,FALSE)</f>
        <v>1</v>
      </c>
      <c r="M1365" s="16">
        <f>VLOOKUP(I1365,episodes!$A$1:$D$81,4,FALSE)</f>
        <v>11</v>
      </c>
      <c r="O1365" s="14">
        <v>0</v>
      </c>
      <c r="P1365" s="24">
        <f>LEN(E1365)+LEN(K1365)</f>
        <v>60</v>
      </c>
      <c r="Q1365" s="24">
        <f>COUNTIFS(B:B,B1364)</f>
        <v>154</v>
      </c>
      <c r="R1365" s="24">
        <f>COUNTIFS(D:D,D1365)</f>
        <v>0</v>
      </c>
    </row>
    <row r="1366" spans="1:18" s="21" customFormat="1" x14ac:dyDescent="0.3">
      <c r="A1366" s="14">
        <v>2566</v>
      </c>
      <c r="B1366" s="21" t="s">
        <v>263</v>
      </c>
      <c r="C1366" s="21" t="s">
        <v>922</v>
      </c>
      <c r="D1366" s="1"/>
      <c r="E1366" s="1" t="s">
        <v>1878</v>
      </c>
      <c r="F1366" s="21" t="s">
        <v>1863</v>
      </c>
      <c r="G1366" s="14">
        <v>1</v>
      </c>
      <c r="H1366" s="14">
        <v>0</v>
      </c>
      <c r="I1366" s="14">
        <v>104</v>
      </c>
      <c r="J1366" s="23">
        <f>VLOOKUP(I1366,episodes!$A$1:$B$76,2,FALSE)</f>
        <v>5</v>
      </c>
      <c r="K1366" s="16" t="str">
        <f>VLOOKUP(I1366,episodes!$A$1:$E$81,5,FALSE)</f>
        <v>The Naked Time</v>
      </c>
      <c r="L1366" s="16">
        <f>VLOOKUP(I1366,episodes!$A$1:$D$81,3,FALSE)</f>
        <v>1</v>
      </c>
      <c r="M1366" s="16">
        <f>VLOOKUP(I1366,episodes!$A$1:$D$81,4,FALSE)</f>
        <v>4</v>
      </c>
      <c r="N1366" s="14"/>
      <c r="O1366" s="14">
        <v>0</v>
      </c>
      <c r="P1366" s="24">
        <f>LEN(E1366)+LEN(K1366)</f>
        <v>53</v>
      </c>
      <c r="Q1366" s="24">
        <f>COUNTIFS(B:B,B1365)</f>
        <v>154</v>
      </c>
      <c r="R1366" s="24">
        <f>COUNTIFS(D:D,D1366)</f>
        <v>0</v>
      </c>
    </row>
    <row r="1367" spans="1:18" s="21" customFormat="1" x14ac:dyDescent="0.3">
      <c r="A1367" s="14">
        <v>2932</v>
      </c>
      <c r="B1367" s="21" t="s">
        <v>263</v>
      </c>
      <c r="C1367" s="21" t="s">
        <v>922</v>
      </c>
      <c r="D1367" s="1"/>
      <c r="E1367" s="4" t="s">
        <v>2765</v>
      </c>
      <c r="F1367" s="21" t="s">
        <v>1863</v>
      </c>
      <c r="G1367" s="14">
        <v>1</v>
      </c>
      <c r="H1367" s="14">
        <v>0</v>
      </c>
      <c r="I1367" s="7">
        <v>211</v>
      </c>
      <c r="J1367" s="23">
        <f>VLOOKUP(I1367,episodes!$A$1:$B$81,2,FALSE)</f>
        <v>41</v>
      </c>
      <c r="K1367" s="16" t="str">
        <f>VLOOKUP(I1367,episodes!$A$1:$E$81,5,FALSE)</f>
        <v>Friday's Child</v>
      </c>
      <c r="L1367" s="16">
        <f>VLOOKUP(I1367,episodes!$A$1:$D$81,3,FALSE)</f>
        <v>2</v>
      </c>
      <c r="M1367" s="16">
        <f>VLOOKUP(I1367,episodes!$A$1:$D$81,4,FALSE)</f>
        <v>11</v>
      </c>
      <c r="N1367" s="14"/>
      <c r="O1367" s="14">
        <v>0</v>
      </c>
      <c r="P1367" s="24">
        <f>LEN(E1367)+LEN(K1367)</f>
        <v>50</v>
      </c>
      <c r="Q1367" s="24"/>
      <c r="R1367" s="24"/>
    </row>
    <row r="1368" spans="1:18" s="21" customFormat="1" x14ac:dyDescent="0.3">
      <c r="A1368" s="14">
        <v>2642</v>
      </c>
      <c r="B1368" s="21" t="s">
        <v>263</v>
      </c>
      <c r="C1368" s="21" t="s">
        <v>922</v>
      </c>
      <c r="D1368" s="1"/>
      <c r="E1368" s="1" t="s">
        <v>573</v>
      </c>
      <c r="F1368" s="21" t="s">
        <v>1863</v>
      </c>
      <c r="G1368" s="14">
        <v>1</v>
      </c>
      <c r="H1368" s="14">
        <v>0</v>
      </c>
      <c r="I1368" s="22">
        <v>128</v>
      </c>
      <c r="J1368" s="23">
        <f>VLOOKUP(I1368,episodes!$A$1:$B$76,2,FALSE)</f>
        <v>29</v>
      </c>
      <c r="K1368" s="16" t="str">
        <f>VLOOKUP(I1368,episodes!$A$1:$E$81,5,FALSE)</f>
        <v>The City on the Edge of Forever</v>
      </c>
      <c r="L1368" s="16">
        <f>VLOOKUP(I1368,episodes!$A$1:$D$81,3,FALSE)</f>
        <v>1</v>
      </c>
      <c r="M1368" s="16">
        <f>VLOOKUP(I1368,episodes!$A$1:$D$81,4,FALSE)</f>
        <v>28</v>
      </c>
      <c r="N1368" s="14"/>
      <c r="O1368" s="14">
        <v>0</v>
      </c>
      <c r="P1368" s="24">
        <f>LEN(E1368)+LEN(K1368)</f>
        <v>68</v>
      </c>
      <c r="Q1368" s="24">
        <f>COUNTIFS(B:B,B1367)</f>
        <v>154</v>
      </c>
      <c r="R1368" s="24">
        <f>COUNTIFS(D:D,D1368)</f>
        <v>0</v>
      </c>
    </row>
    <row r="1369" spans="1:18" s="21" customFormat="1" x14ac:dyDescent="0.3">
      <c r="A1369" s="14">
        <v>2517</v>
      </c>
      <c r="B1369" s="21" t="s">
        <v>263</v>
      </c>
      <c r="C1369" s="21" t="s">
        <v>922</v>
      </c>
      <c r="D1369" s="1"/>
      <c r="E1369" s="1" t="s">
        <v>571</v>
      </c>
      <c r="F1369" s="21" t="s">
        <v>1863</v>
      </c>
      <c r="G1369" s="14">
        <v>1</v>
      </c>
      <c r="H1369" s="14">
        <v>0</v>
      </c>
      <c r="I1369" s="22">
        <v>127</v>
      </c>
      <c r="J1369" s="23">
        <f>VLOOKUP(I1369,episodes!$A$1:$B$76,2,FALSE)</f>
        <v>28</v>
      </c>
      <c r="K1369" s="16" t="str">
        <f>VLOOKUP(I1369,episodes!$A$1:$E$81,5,FALSE)</f>
        <v>The Alternative Factor</v>
      </c>
      <c r="L1369" s="16">
        <f>VLOOKUP(I1369,episodes!$A$1:$D$81,3,FALSE)</f>
        <v>1</v>
      </c>
      <c r="M1369" s="16">
        <f>VLOOKUP(I1369,episodes!$A$1:$D$81,4,FALSE)</f>
        <v>27</v>
      </c>
      <c r="N1369" s="14"/>
      <c r="O1369" s="14">
        <v>0</v>
      </c>
      <c r="P1369" s="24">
        <f>LEN(E1369)+LEN(K1369)</f>
        <v>53</v>
      </c>
      <c r="Q1369" s="24">
        <f>COUNTIFS(B:B,B1368)</f>
        <v>154</v>
      </c>
      <c r="R1369" s="24">
        <f>COUNTIFS(D:D,D1369)</f>
        <v>0</v>
      </c>
    </row>
    <row r="1370" spans="1:18" s="21" customFormat="1" x14ac:dyDescent="0.3">
      <c r="A1370" s="14">
        <v>2509</v>
      </c>
      <c r="B1370" s="21" t="s">
        <v>263</v>
      </c>
      <c r="C1370" s="21" t="s">
        <v>922</v>
      </c>
      <c r="D1370" s="1"/>
      <c r="E1370" s="1" t="s">
        <v>562</v>
      </c>
      <c r="F1370" s="21" t="s">
        <v>1863</v>
      </c>
      <c r="G1370" s="14">
        <v>1</v>
      </c>
      <c r="H1370" s="14">
        <v>0</v>
      </c>
      <c r="I1370" s="25">
        <v>113</v>
      </c>
      <c r="J1370" s="23">
        <f>VLOOKUP(I1370,episodes!$A$1:$B$76,2,FALSE)</f>
        <v>14</v>
      </c>
      <c r="K1370" s="16" t="str">
        <f>VLOOKUP(I1370,episodes!$A$1:$E$81,5,FALSE)</f>
        <v>The Conscience of the King</v>
      </c>
      <c r="L1370" s="16">
        <f>VLOOKUP(I1370,episodes!$A$1:$D$81,3,FALSE)</f>
        <v>1</v>
      </c>
      <c r="M1370" s="16">
        <f>VLOOKUP(I1370,episodes!$A$1:$D$81,4,FALSE)</f>
        <v>13</v>
      </c>
      <c r="N1370" s="14"/>
      <c r="O1370" s="14">
        <v>0</v>
      </c>
      <c r="P1370" s="24">
        <f>LEN(E1370)+LEN(K1370)</f>
        <v>47</v>
      </c>
      <c r="Q1370" s="24">
        <f>COUNTIFS(B:B,B1369)</f>
        <v>154</v>
      </c>
      <c r="R1370" s="24">
        <f>COUNTIFS(D:D,D1370)</f>
        <v>0</v>
      </c>
    </row>
    <row r="1371" spans="1:18" s="21" customFormat="1" x14ac:dyDescent="0.3">
      <c r="A1371" s="14">
        <v>2521</v>
      </c>
      <c r="B1371" s="21" t="s">
        <v>263</v>
      </c>
      <c r="C1371" s="21" t="s">
        <v>922</v>
      </c>
      <c r="D1371" s="1"/>
      <c r="E1371" s="1" t="s">
        <v>562</v>
      </c>
      <c r="F1371" s="21" t="s">
        <v>1863</v>
      </c>
      <c r="G1371" s="14">
        <v>1</v>
      </c>
      <c r="H1371" s="14">
        <v>0</v>
      </c>
      <c r="I1371" s="22">
        <v>128</v>
      </c>
      <c r="J1371" s="23">
        <f>VLOOKUP(I1371,episodes!$A$1:$B$76,2,FALSE)</f>
        <v>29</v>
      </c>
      <c r="K1371" s="16" t="str">
        <f>VLOOKUP(I1371,episodes!$A$1:$E$81,5,FALSE)</f>
        <v>The City on the Edge of Forever</v>
      </c>
      <c r="L1371" s="16">
        <f>VLOOKUP(I1371,episodes!$A$1:$D$81,3,FALSE)</f>
        <v>1</v>
      </c>
      <c r="M1371" s="16">
        <f>VLOOKUP(I1371,episodes!$A$1:$D$81,4,FALSE)</f>
        <v>28</v>
      </c>
      <c r="N1371" s="14"/>
      <c r="O1371" s="14">
        <v>0</v>
      </c>
      <c r="P1371" s="24">
        <f>LEN(E1371)+LEN(K1371)</f>
        <v>52</v>
      </c>
      <c r="Q1371" s="24">
        <f>COUNTIFS(B:B,B1370)</f>
        <v>154</v>
      </c>
      <c r="R1371" s="24">
        <f>COUNTIFS(D:D,D1371)</f>
        <v>0</v>
      </c>
    </row>
    <row r="1372" spans="1:18" s="21" customFormat="1" x14ac:dyDescent="0.3">
      <c r="A1372" s="14">
        <v>421</v>
      </c>
      <c r="B1372" s="21" t="s">
        <v>263</v>
      </c>
      <c r="C1372" s="21" t="s">
        <v>922</v>
      </c>
      <c r="D1372" s="1"/>
      <c r="E1372" s="1" t="s">
        <v>580</v>
      </c>
      <c r="F1372" s="1" t="s">
        <v>2236</v>
      </c>
      <c r="G1372" s="14">
        <v>0</v>
      </c>
      <c r="H1372" s="14">
        <v>0</v>
      </c>
      <c r="I1372" s="22">
        <v>129</v>
      </c>
      <c r="J1372" s="23">
        <f>VLOOKUP(I1372,episodes!$A$1:$B$76,2,FALSE)</f>
        <v>30</v>
      </c>
      <c r="K1372" s="16" t="str">
        <f>VLOOKUP(I1372,episodes!$A$1:$E$81,5,FALSE)</f>
        <v>Operation: Annihilate!</v>
      </c>
      <c r="L1372" s="16">
        <f>VLOOKUP(I1372,episodes!$A$1:$D$81,3,FALSE)</f>
        <v>1</v>
      </c>
      <c r="M1372" s="16">
        <f>VLOOKUP(I1372,episodes!$A$1:$D$81,4,FALSE)</f>
        <v>29</v>
      </c>
      <c r="N1372" s="14"/>
      <c r="O1372" s="14">
        <v>0</v>
      </c>
      <c r="P1372" s="24">
        <f>LEN(E1372)+LEN(K1372)</f>
        <v>55</v>
      </c>
      <c r="Q1372" s="24">
        <f>COUNTIFS(B:B,B1371)</f>
        <v>154</v>
      </c>
      <c r="R1372" s="24">
        <f>COUNTIFS(D:D,D1372)</f>
        <v>0</v>
      </c>
    </row>
    <row r="1373" spans="1:18" s="21" customFormat="1" x14ac:dyDescent="0.3">
      <c r="A1373" s="14">
        <v>2481</v>
      </c>
      <c r="B1373" s="21" t="s">
        <v>263</v>
      </c>
      <c r="C1373" s="21" t="s">
        <v>922</v>
      </c>
      <c r="D1373" s="1"/>
      <c r="E1373" s="1" t="s">
        <v>651</v>
      </c>
      <c r="F1373" s="1" t="s">
        <v>2238</v>
      </c>
      <c r="G1373" s="14">
        <v>0</v>
      </c>
      <c r="H1373" s="14">
        <v>0</v>
      </c>
      <c r="I1373" s="22">
        <v>123</v>
      </c>
      <c r="J1373" s="23">
        <f>VLOOKUP(I1373,episodes!$A$1:$B$76,2,FALSE)</f>
        <v>24</v>
      </c>
      <c r="K1373" s="16" t="str">
        <f>VLOOKUP(I1373,episodes!$A$1:$E$81,5,FALSE)</f>
        <v>A Taste of Armageddon</v>
      </c>
      <c r="L1373" s="16">
        <f>VLOOKUP(I1373,episodes!$A$1:$D$81,3,FALSE)</f>
        <v>1</v>
      </c>
      <c r="M1373" s="16">
        <f>VLOOKUP(I1373,episodes!$A$1:$D$81,4,FALSE)</f>
        <v>23</v>
      </c>
      <c r="N1373" s="14"/>
      <c r="O1373" s="14">
        <v>0</v>
      </c>
      <c r="P1373" s="24">
        <f>LEN(E1373)+LEN(K1373)</f>
        <v>46</v>
      </c>
      <c r="Q1373" s="24">
        <f>COUNTIFS(B:B,B1372)</f>
        <v>154</v>
      </c>
      <c r="R1373" s="24">
        <f>COUNTIFS(D:D,D1373)</f>
        <v>0</v>
      </c>
    </row>
    <row r="1374" spans="1:18" s="21" customFormat="1" x14ac:dyDescent="0.3">
      <c r="A1374" s="14">
        <v>2897</v>
      </c>
      <c r="B1374" s="21" t="s">
        <v>263</v>
      </c>
      <c r="C1374" s="21" t="s">
        <v>922</v>
      </c>
      <c r="D1374" s="1"/>
      <c r="E1374" s="1" t="s">
        <v>572</v>
      </c>
      <c r="F1374" s="1" t="s">
        <v>2239</v>
      </c>
      <c r="G1374" s="14">
        <v>0</v>
      </c>
      <c r="H1374" s="14">
        <v>0</v>
      </c>
      <c r="I1374" s="22">
        <v>129</v>
      </c>
      <c r="J1374" s="23">
        <f>VLOOKUP(I1374,episodes!$A$1:$B$76,2,FALSE)</f>
        <v>30</v>
      </c>
      <c r="K1374" s="16" t="str">
        <f>VLOOKUP(I1374,episodes!$A$1:$E$81,5,FALSE)</f>
        <v>Operation: Annihilate!</v>
      </c>
      <c r="L1374" s="16">
        <f>VLOOKUP(I1374,episodes!$A$1:$D$81,3,FALSE)</f>
        <v>1</v>
      </c>
      <c r="M1374" s="16">
        <f>VLOOKUP(I1374,episodes!$A$1:$D$81,4,FALSE)</f>
        <v>29</v>
      </c>
      <c r="N1374" s="14"/>
      <c r="O1374" s="14">
        <v>0</v>
      </c>
      <c r="P1374" s="24">
        <f>LEN(E1374)+LEN(K1374)</f>
        <v>55</v>
      </c>
      <c r="Q1374" s="24">
        <f>COUNTIFS(B:B,B1373)</f>
        <v>154</v>
      </c>
      <c r="R1374" s="24">
        <f>COUNTIFS(D:D,D1374)</f>
        <v>0</v>
      </c>
    </row>
    <row r="1375" spans="1:18" s="21" customFormat="1" x14ac:dyDescent="0.3">
      <c r="A1375" s="14">
        <v>2828</v>
      </c>
      <c r="B1375" s="21" t="s">
        <v>1845</v>
      </c>
      <c r="C1375" s="21" t="s">
        <v>930</v>
      </c>
      <c r="D1375" s="21" t="s">
        <v>2</v>
      </c>
      <c r="E1375" s="1" t="s">
        <v>1847</v>
      </c>
      <c r="F1375" s="21" t="s">
        <v>2225</v>
      </c>
      <c r="G1375" s="14">
        <v>0</v>
      </c>
      <c r="H1375" s="14">
        <v>0</v>
      </c>
      <c r="I1375" s="22">
        <v>205</v>
      </c>
      <c r="J1375" s="23">
        <f>VLOOKUP(I1375,episodes!$A$1:$B$76,2,FALSE)</f>
        <v>35</v>
      </c>
      <c r="K1375" s="16" t="str">
        <f>VLOOKUP(I1375,episodes!$A$1:$E$81,5,FALSE)</f>
        <v>The Apple</v>
      </c>
      <c r="L1375" s="16">
        <f>VLOOKUP(I1375,episodes!$A$1:$D$81,3,FALSE)</f>
        <v>2</v>
      </c>
      <c r="M1375" s="16">
        <f>VLOOKUP(I1375,episodes!$A$1:$D$81,4,FALSE)</f>
        <v>5</v>
      </c>
      <c r="N1375" s="14"/>
      <c r="O1375" s="14">
        <v>0</v>
      </c>
      <c r="P1375" s="24">
        <f>LEN(E1375)+LEN(K1375)</f>
        <v>136</v>
      </c>
      <c r="Q1375" s="24">
        <f>COUNTIFS(B:B,B1374)</f>
        <v>154</v>
      </c>
      <c r="R1375" s="24">
        <f>COUNTIFS(D:D,D1375)</f>
        <v>33</v>
      </c>
    </row>
    <row r="1376" spans="1:18" s="21" customFormat="1" x14ac:dyDescent="0.3">
      <c r="A1376" s="14">
        <v>190</v>
      </c>
      <c r="B1376" s="21" t="s">
        <v>307</v>
      </c>
      <c r="C1376" s="21" t="s">
        <v>930</v>
      </c>
      <c r="D1376" s="21" t="s">
        <v>2</v>
      </c>
      <c r="E1376" s="1" t="s">
        <v>1872</v>
      </c>
      <c r="F1376" s="21" t="s">
        <v>2241</v>
      </c>
      <c r="G1376" s="14">
        <v>0</v>
      </c>
      <c r="H1376" s="14">
        <v>0</v>
      </c>
      <c r="I1376" s="25">
        <v>313</v>
      </c>
      <c r="J1376" s="23">
        <f>VLOOKUP(I1376,episodes!$A$1:$B$81,2,FALSE)</f>
        <v>69</v>
      </c>
      <c r="K1376" s="16" t="str">
        <f>VLOOKUP(I1376,episodes!$A$1:$E$81,5,FALSE)</f>
        <v>Elaan of Troyius</v>
      </c>
      <c r="L1376" s="16">
        <f>VLOOKUP(I1376,episodes!$A$1:$D$81,3,FALSE)</f>
        <v>3</v>
      </c>
      <c r="M1376" s="16">
        <f>VLOOKUP(I1376,episodes!$A$1:$D$81,4,FALSE)</f>
        <v>13</v>
      </c>
      <c r="N1376" s="14"/>
      <c r="O1376" s="14">
        <v>0</v>
      </c>
      <c r="P1376" s="24">
        <f>LEN(E1376)+LEN(K1376)</f>
        <v>62</v>
      </c>
      <c r="Q1376" s="24">
        <f>COUNTIFS(B:B,B1378)</f>
        <v>5</v>
      </c>
      <c r="R1376" s="24">
        <f>COUNTIFS(D:D,D1379)</f>
        <v>33</v>
      </c>
    </row>
    <row r="1377" spans="1:18" s="21" customFormat="1" x14ac:dyDescent="0.3">
      <c r="A1377" s="14">
        <v>2706</v>
      </c>
      <c r="B1377" s="21" t="s">
        <v>318</v>
      </c>
      <c r="C1377" s="21" t="s">
        <v>930</v>
      </c>
      <c r="D1377" s="21" t="s">
        <v>2</v>
      </c>
      <c r="E1377" s="1" t="s">
        <v>1054</v>
      </c>
      <c r="F1377" s="21" t="s">
        <v>2225</v>
      </c>
      <c r="G1377" s="14">
        <v>0</v>
      </c>
      <c r="H1377" s="14">
        <v>0</v>
      </c>
      <c r="I1377" s="25">
        <v>100</v>
      </c>
      <c r="J1377" s="23">
        <f>VLOOKUP(I1377,episodes!$A$1:$B$76,2,FALSE)</f>
        <v>1</v>
      </c>
      <c r="K1377" s="16" t="str">
        <f>VLOOKUP(I1377,episodes!$A$1:$E$81,5,FALSE)</f>
        <v>The Cage</v>
      </c>
      <c r="L1377" s="16">
        <f>VLOOKUP(I1377,episodes!$A$1:$D$81,3,FALSE)</f>
        <v>1</v>
      </c>
      <c r="M1377" s="16">
        <f>VLOOKUP(I1377,episodes!$A$1:$D$81,4,FALSE)</f>
        <v>0</v>
      </c>
      <c r="N1377" s="14"/>
      <c r="O1377" s="14">
        <v>0</v>
      </c>
      <c r="P1377" s="24">
        <f>LEN(E1377)+LEN(K1377)</f>
        <v>95</v>
      </c>
      <c r="Q1377" s="24">
        <f>COUNTIFS(B:B,B1376)</f>
        <v>2</v>
      </c>
      <c r="R1377" s="24">
        <f>COUNTIFS(D:D,D1377)</f>
        <v>33</v>
      </c>
    </row>
    <row r="1378" spans="1:18" s="21" customFormat="1" x14ac:dyDescent="0.3">
      <c r="A1378" s="14">
        <v>2820</v>
      </c>
      <c r="B1378" s="21" t="s">
        <v>318</v>
      </c>
      <c r="C1378" s="21" t="s">
        <v>930</v>
      </c>
      <c r="D1378" s="21" t="s">
        <v>2</v>
      </c>
      <c r="E1378" s="1" t="s">
        <v>817</v>
      </c>
      <c r="F1378" s="21" t="s">
        <v>2225</v>
      </c>
      <c r="G1378" s="14">
        <v>0</v>
      </c>
      <c r="H1378" s="14">
        <v>0</v>
      </c>
      <c r="I1378" s="14">
        <v>202</v>
      </c>
      <c r="J1378" s="23">
        <f>VLOOKUP(I1378,episodes!$A$1:$B$76,2,FALSE)</f>
        <v>32</v>
      </c>
      <c r="K1378" s="16" t="str">
        <f>VLOOKUP(I1378,episodes!$A$1:$E$81,5,FALSE)</f>
        <v>Who Mourns for Adonais?</v>
      </c>
      <c r="L1378" s="16">
        <f>VLOOKUP(I1378,episodes!$A$1:$D$81,3,FALSE)</f>
        <v>2</v>
      </c>
      <c r="M1378" s="16">
        <f>VLOOKUP(I1378,episodes!$A$1:$D$81,4,FALSE)</f>
        <v>2</v>
      </c>
      <c r="N1378" s="14"/>
      <c r="O1378" s="14">
        <v>0</v>
      </c>
      <c r="P1378" s="24">
        <f>LEN(E1378)+LEN(K1378)</f>
        <v>88</v>
      </c>
      <c r="Q1378" s="24">
        <f>COUNTIFS(B:B,B1377)</f>
        <v>5</v>
      </c>
      <c r="R1378" s="24">
        <f>COUNTIFS(D:D,D1378)</f>
        <v>33</v>
      </c>
    </row>
    <row r="1379" spans="1:18" s="21" customFormat="1" x14ac:dyDescent="0.3">
      <c r="A1379" s="14">
        <v>32</v>
      </c>
      <c r="B1379" s="21" t="s">
        <v>1845</v>
      </c>
      <c r="C1379" s="21" t="s">
        <v>930</v>
      </c>
      <c r="D1379" s="21" t="s">
        <v>2</v>
      </c>
      <c r="E1379" s="1" t="s">
        <v>1846</v>
      </c>
      <c r="F1379" s="21" t="s">
        <v>2</v>
      </c>
      <c r="G1379" s="14">
        <v>0</v>
      </c>
      <c r="H1379" s="14">
        <v>0</v>
      </c>
      <c r="I1379" s="22">
        <v>128</v>
      </c>
      <c r="J1379" s="23">
        <f>VLOOKUP(I1379,episodes!$A$1:$B$76,2,FALSE)</f>
        <v>29</v>
      </c>
      <c r="K1379" s="16" t="str">
        <f>VLOOKUP(I1379,episodes!$A$1:$E$81,5,FALSE)</f>
        <v>The City on the Edge of Forever</v>
      </c>
      <c r="L1379" s="16">
        <f>VLOOKUP(I1379,episodes!$A$1:$D$81,3,FALSE)</f>
        <v>1</v>
      </c>
      <c r="M1379" s="16">
        <f>VLOOKUP(I1379,episodes!$A$1:$D$81,4,FALSE)</f>
        <v>28</v>
      </c>
      <c r="N1379" s="14"/>
      <c r="O1379" s="14">
        <v>0</v>
      </c>
      <c r="P1379" s="24">
        <f>LEN(E1379)+LEN(K1379)</f>
        <v>266</v>
      </c>
      <c r="Q1379" s="24">
        <f>COUNTIFS(B:B,B1378)</f>
        <v>5</v>
      </c>
      <c r="R1379" s="24">
        <f>COUNTIFS(D:D,D1379)</f>
        <v>33</v>
      </c>
    </row>
    <row r="1380" spans="1:18" s="21" customFormat="1" x14ac:dyDescent="0.3">
      <c r="A1380" s="14">
        <v>29</v>
      </c>
      <c r="B1380" s="21" t="s">
        <v>1845</v>
      </c>
      <c r="C1380" s="21" t="s">
        <v>930</v>
      </c>
      <c r="D1380" s="21" t="s">
        <v>2</v>
      </c>
      <c r="E1380" s="1" t="s">
        <v>1849</v>
      </c>
      <c r="F1380" s="21" t="s">
        <v>2</v>
      </c>
      <c r="G1380" s="14">
        <v>0</v>
      </c>
      <c r="H1380" s="14">
        <v>0</v>
      </c>
      <c r="I1380" s="22">
        <v>126</v>
      </c>
      <c r="J1380" s="23">
        <f>VLOOKUP(I1380,episodes!$A$1:$B$76,2,FALSE)</f>
        <v>27</v>
      </c>
      <c r="K1380" s="16" t="str">
        <f>VLOOKUP(I1380,episodes!$A$1:$E$81,5,FALSE)</f>
        <v>Errand of Mercy</v>
      </c>
      <c r="L1380" s="16">
        <f>VLOOKUP(I1380,episodes!$A$1:$D$81,3,FALSE)</f>
        <v>1</v>
      </c>
      <c r="M1380" s="16">
        <f>VLOOKUP(I1380,episodes!$A$1:$D$81,4,FALSE)</f>
        <v>26</v>
      </c>
      <c r="N1380" s="14"/>
      <c r="O1380" s="14">
        <v>0</v>
      </c>
      <c r="P1380" s="24">
        <f>LEN(E1380)+LEN(K1380)</f>
        <v>232</v>
      </c>
      <c r="Q1380" s="24">
        <f>COUNTIFS(B:B,B1379)</f>
        <v>5</v>
      </c>
      <c r="R1380" s="24">
        <f>COUNTIFS(D:D,D1380)</f>
        <v>33</v>
      </c>
    </row>
    <row r="1381" spans="1:18" s="21" customFormat="1" x14ac:dyDescent="0.3">
      <c r="A1381" s="14">
        <v>68</v>
      </c>
      <c r="B1381" s="21" t="s">
        <v>1845</v>
      </c>
      <c r="C1381" s="21" t="s">
        <v>930</v>
      </c>
      <c r="D1381" s="21" t="s">
        <v>2</v>
      </c>
      <c r="E1381" s="1" t="s">
        <v>1848</v>
      </c>
      <c r="F1381" s="21" t="s">
        <v>2</v>
      </c>
      <c r="G1381" s="14">
        <v>0</v>
      </c>
      <c r="H1381" s="14">
        <v>0</v>
      </c>
      <c r="I1381" s="22">
        <v>303</v>
      </c>
      <c r="J1381" s="23">
        <f>VLOOKUP(I1381,episodes!$A$1:$B$76,2,FALSE)</f>
        <v>59</v>
      </c>
      <c r="K1381" s="16" t="str">
        <f>VLOOKUP(I1381,episodes!$A$1:$E$81,5,FALSE)</f>
        <v>The Paradise Syndrome</v>
      </c>
      <c r="L1381" s="16">
        <f>VLOOKUP(I1381,episodes!$A$1:$D$81,3,FALSE)</f>
        <v>3</v>
      </c>
      <c r="M1381" s="16">
        <f>VLOOKUP(I1381,episodes!$A$1:$D$81,4,FALSE)</f>
        <v>3</v>
      </c>
      <c r="N1381" s="14"/>
      <c r="O1381" s="14">
        <v>0</v>
      </c>
      <c r="P1381" s="24">
        <f>LEN(E1381)+LEN(K1381)</f>
        <v>166</v>
      </c>
      <c r="Q1381" s="24">
        <f>COUNTIFS(B:B,B1383)</f>
        <v>5</v>
      </c>
      <c r="R1381" s="24">
        <f>COUNTIFS(D:D,D1384)</f>
        <v>2</v>
      </c>
    </row>
    <row r="1382" spans="1:18" s="21" customFormat="1" x14ac:dyDescent="0.3">
      <c r="A1382" s="14">
        <v>2480</v>
      </c>
      <c r="B1382" s="21" t="s">
        <v>1845</v>
      </c>
      <c r="C1382" s="21" t="s">
        <v>930</v>
      </c>
      <c r="D1382" s="21" t="s">
        <v>2</v>
      </c>
      <c r="E1382" s="1" t="s">
        <v>2127</v>
      </c>
      <c r="F1382" s="21" t="s">
        <v>2247</v>
      </c>
      <c r="G1382" s="14">
        <v>0</v>
      </c>
      <c r="H1382" s="14">
        <v>0</v>
      </c>
      <c r="I1382" s="22">
        <v>100</v>
      </c>
      <c r="J1382" s="23">
        <f>VLOOKUP(I1382,episodes!$A$1:$B$76,2,FALSE)</f>
        <v>1</v>
      </c>
      <c r="K1382" s="16" t="str">
        <f>VLOOKUP(I1382,episodes!$A$1:$E$81,5,FALSE)</f>
        <v>The Cage</v>
      </c>
      <c r="L1382" s="16">
        <f>VLOOKUP(I1382,episodes!$A$1:$D$81,3,FALSE)</f>
        <v>1</v>
      </c>
      <c r="M1382" s="16">
        <f>VLOOKUP(I1382,episodes!$A$1:$D$81,4,FALSE)</f>
        <v>0</v>
      </c>
      <c r="N1382" s="14"/>
      <c r="O1382" s="14">
        <v>0</v>
      </c>
      <c r="P1382" s="24">
        <f>LEN(E1382)+LEN(K1382)</f>
        <v>266</v>
      </c>
      <c r="Q1382" s="24">
        <f>COUNTIFS(B:B,B1381)</f>
        <v>5</v>
      </c>
      <c r="R1382" s="24">
        <f>COUNTIFS(D:D,D1382)</f>
        <v>33</v>
      </c>
    </row>
    <row r="1383" spans="1:18" s="21" customFormat="1" x14ac:dyDescent="0.3">
      <c r="A1383" s="14">
        <v>2769</v>
      </c>
      <c r="B1383" s="21" t="s">
        <v>318</v>
      </c>
      <c r="C1383" s="21" t="s">
        <v>930</v>
      </c>
      <c r="D1383" s="21" t="s">
        <v>2</v>
      </c>
      <c r="E1383" s="1" t="s">
        <v>2111</v>
      </c>
      <c r="F1383" s="21" t="s">
        <v>2225</v>
      </c>
      <c r="G1383" s="14">
        <v>0</v>
      </c>
      <c r="H1383" s="14">
        <v>0</v>
      </c>
      <c r="I1383" s="22">
        <v>117</v>
      </c>
      <c r="J1383" s="23">
        <f>VLOOKUP(I1383,episodes!$A$1:$B$76,2,FALSE)</f>
        <v>18</v>
      </c>
      <c r="K1383" s="16" t="str">
        <f>VLOOKUP(I1383,episodes!$A$1:$E$81,5,FALSE)</f>
        <v>The Squire of Gothos</v>
      </c>
      <c r="L1383" s="16">
        <f>VLOOKUP(I1383,episodes!$A$1:$D$81,3,FALSE)</f>
        <v>1</v>
      </c>
      <c r="M1383" s="16">
        <f>VLOOKUP(I1383,episodes!$A$1:$D$81,4,FALSE)</f>
        <v>17</v>
      </c>
      <c r="N1383" s="14"/>
      <c r="O1383" s="14">
        <v>0</v>
      </c>
      <c r="P1383" s="24">
        <f>LEN(E1383)+LEN(K1383)</f>
        <v>78</v>
      </c>
      <c r="Q1383" s="24">
        <f>COUNTIFS(B:B,B1382)</f>
        <v>5</v>
      </c>
      <c r="R1383" s="24">
        <f>COUNTIFS(D:D,D1383)</f>
        <v>33</v>
      </c>
    </row>
    <row r="1384" spans="1:18" s="21" customFormat="1" x14ac:dyDescent="0.3">
      <c r="A1384" s="14">
        <v>341</v>
      </c>
      <c r="B1384" s="21" t="s">
        <v>327</v>
      </c>
      <c r="C1384" s="21" t="s">
        <v>930</v>
      </c>
      <c r="D1384" s="1" t="s">
        <v>2699</v>
      </c>
      <c r="E1384" s="1" t="s">
        <v>1354</v>
      </c>
      <c r="F1384" s="21" t="s">
        <v>2224</v>
      </c>
      <c r="G1384" s="14">
        <v>0</v>
      </c>
      <c r="H1384" s="14">
        <v>0</v>
      </c>
      <c r="I1384" s="22">
        <v>127</v>
      </c>
      <c r="J1384" s="23">
        <f>VLOOKUP(I1384,episodes!$A$1:$B$76,2,FALSE)</f>
        <v>28</v>
      </c>
      <c r="K1384" s="16" t="str">
        <f>VLOOKUP(I1384,episodes!$A$1:$E$81,5,FALSE)</f>
        <v>The Alternative Factor</v>
      </c>
      <c r="L1384" s="16">
        <f>VLOOKUP(I1384,episodes!$A$1:$D$81,3,FALSE)</f>
        <v>1</v>
      </c>
      <c r="M1384" s="16">
        <f>VLOOKUP(I1384,episodes!$A$1:$D$81,4,FALSE)</f>
        <v>27</v>
      </c>
      <c r="N1384" s="14"/>
      <c r="O1384" s="14">
        <v>0</v>
      </c>
      <c r="P1384" s="24">
        <f>LEN(E1384)+LEN(K1384)</f>
        <v>72</v>
      </c>
      <c r="Q1384" s="24">
        <f>COUNTIFS(B:B,B1383)</f>
        <v>5</v>
      </c>
      <c r="R1384" s="24">
        <f>COUNTIFS(D:D,D1384)</f>
        <v>2</v>
      </c>
    </row>
    <row r="1385" spans="1:18" s="21" customFormat="1" x14ac:dyDescent="0.3">
      <c r="A1385" s="14">
        <v>30</v>
      </c>
      <c r="B1385" s="21" t="s">
        <v>327</v>
      </c>
      <c r="C1385" s="21" t="s">
        <v>930</v>
      </c>
      <c r="D1385" s="1" t="s">
        <v>2699</v>
      </c>
      <c r="E1385" s="1" t="s">
        <v>857</v>
      </c>
      <c r="F1385" s="21" t="s">
        <v>2</v>
      </c>
      <c r="G1385" s="14">
        <v>0</v>
      </c>
      <c r="H1385" s="14">
        <v>0</v>
      </c>
      <c r="I1385" s="14">
        <v>128</v>
      </c>
      <c r="J1385" s="23">
        <f>VLOOKUP(I1385,episodes!$A$1:$B$76,2,FALSE)</f>
        <v>29</v>
      </c>
      <c r="K1385" s="16" t="str">
        <f>VLOOKUP(I1385,episodes!$A$1:$E$81,5,FALSE)</f>
        <v>The City on the Edge of Forever</v>
      </c>
      <c r="L1385" s="16">
        <f>VLOOKUP(I1385,episodes!$A$1:$D$81,3,FALSE)</f>
        <v>1</v>
      </c>
      <c r="M1385" s="16">
        <f>VLOOKUP(I1385,episodes!$A$1:$D$81,4,FALSE)</f>
        <v>28</v>
      </c>
      <c r="N1385" s="14"/>
      <c r="O1385" s="14">
        <v>0</v>
      </c>
      <c r="P1385" s="24">
        <f>LEN(E1385)+LEN(K1385)</f>
        <v>160</v>
      </c>
      <c r="Q1385" s="24">
        <f>COUNTIFS(B:B,B1384)</f>
        <v>2</v>
      </c>
      <c r="R1385" s="24">
        <f>COUNTIFS(D:D,D1385)</f>
        <v>2</v>
      </c>
    </row>
    <row r="1386" spans="1:18" s="21" customFormat="1" x14ac:dyDescent="0.3">
      <c r="A1386" s="14">
        <v>187</v>
      </c>
      <c r="B1386" s="21" t="s">
        <v>1830</v>
      </c>
      <c r="C1386" s="21" t="s">
        <v>930</v>
      </c>
      <c r="D1386" s="1" t="s">
        <v>2618</v>
      </c>
      <c r="E1386" s="1" t="s">
        <v>1833</v>
      </c>
      <c r="F1386" s="21" t="s">
        <v>2245</v>
      </c>
      <c r="G1386" s="14">
        <v>0</v>
      </c>
      <c r="H1386" s="14">
        <v>0</v>
      </c>
      <c r="I1386" s="14">
        <v>207</v>
      </c>
      <c r="J1386" s="23">
        <f>VLOOKUP(I1386,episodes!$A$1:$B$76,2,FALSE)</f>
        <v>37</v>
      </c>
      <c r="K1386" s="16" t="str">
        <f>VLOOKUP(I1386,episodes!$A$1:$E$81,5,FALSE)</f>
        <v>Catspaw</v>
      </c>
      <c r="L1386" s="16">
        <f>VLOOKUP(I1386,episodes!$A$1:$D$81,3,FALSE)</f>
        <v>2</v>
      </c>
      <c r="M1386" s="16">
        <f>VLOOKUP(I1386,episodes!$A$1:$D$81,4,FALSE)</f>
        <v>7</v>
      </c>
      <c r="N1386" s="14"/>
      <c r="O1386" s="14">
        <v>0</v>
      </c>
      <c r="P1386" s="24">
        <f>LEN(E1386)+LEN(K1386)</f>
        <v>117</v>
      </c>
      <c r="Q1386" s="24">
        <f>COUNTIFS(B:B,B1385)</f>
        <v>2</v>
      </c>
      <c r="R1386" s="24">
        <f>COUNTIFS(D:D,D1386)</f>
        <v>5</v>
      </c>
    </row>
    <row r="1387" spans="1:18" s="21" customFormat="1" x14ac:dyDescent="0.3">
      <c r="A1387" s="14">
        <v>2014</v>
      </c>
      <c r="B1387" s="21" t="s">
        <v>1830</v>
      </c>
      <c r="C1387" s="21" t="s">
        <v>930</v>
      </c>
      <c r="D1387" s="1" t="s">
        <v>2618</v>
      </c>
      <c r="E1387" s="1" t="s">
        <v>1831</v>
      </c>
      <c r="F1387" s="21" t="s">
        <v>6</v>
      </c>
      <c r="G1387" s="14">
        <v>0</v>
      </c>
      <c r="H1387" s="14">
        <v>1</v>
      </c>
      <c r="I1387" s="14">
        <v>203</v>
      </c>
      <c r="J1387" s="23">
        <f>VLOOKUP(I1387,episodes!$A$1:$B$76,2,FALSE)</f>
        <v>33</v>
      </c>
      <c r="K1387" s="16" t="str">
        <f>VLOOKUP(I1387,episodes!$A$1:$E$81,5,FALSE)</f>
        <v>The Changeling</v>
      </c>
      <c r="L1387" s="16">
        <f>VLOOKUP(I1387,episodes!$A$1:$D$81,3,FALSE)</f>
        <v>2</v>
      </c>
      <c r="M1387" s="16">
        <f>VLOOKUP(I1387,episodes!$A$1:$D$81,4,FALSE)</f>
        <v>3</v>
      </c>
      <c r="N1387" s="14"/>
      <c r="O1387" s="14">
        <v>0</v>
      </c>
      <c r="P1387" s="24">
        <f>LEN(E1387)+LEN(K1387)</f>
        <v>94</v>
      </c>
      <c r="Q1387" s="24">
        <f>COUNTIFS(B:B,B1386)</f>
        <v>5</v>
      </c>
      <c r="R1387" s="24">
        <f>COUNTIFS(D:D,D1387)</f>
        <v>5</v>
      </c>
    </row>
    <row r="1388" spans="1:18" s="21" customFormat="1" x14ac:dyDescent="0.3">
      <c r="A1388" s="14">
        <v>2403</v>
      </c>
      <c r="B1388" s="21" t="s">
        <v>1830</v>
      </c>
      <c r="C1388" s="21" t="s">
        <v>930</v>
      </c>
      <c r="D1388" s="1" t="s">
        <v>2618</v>
      </c>
      <c r="E1388" s="1" t="s">
        <v>1834</v>
      </c>
      <c r="F1388" s="21" t="s">
        <v>5</v>
      </c>
      <c r="G1388" s="14">
        <v>1</v>
      </c>
      <c r="H1388" s="14">
        <v>0</v>
      </c>
      <c r="I1388" s="14">
        <v>309</v>
      </c>
      <c r="J1388" s="23">
        <f>VLOOKUP(I1388,episodes!$A$1:$B$76,2,FALSE)</f>
        <v>65</v>
      </c>
      <c r="K1388" s="16" t="str">
        <f>VLOOKUP(I1388,episodes!$A$1:$E$81,5,FALSE)</f>
        <v>The Tholian Web</v>
      </c>
      <c r="L1388" s="16">
        <f>VLOOKUP(I1388,episodes!$A$1:$D$81,3,FALSE)</f>
        <v>3</v>
      </c>
      <c r="M1388" s="16">
        <f>VLOOKUP(I1388,episodes!$A$1:$D$81,4,FALSE)</f>
        <v>9</v>
      </c>
      <c r="N1388" s="14"/>
      <c r="O1388" s="14">
        <v>0</v>
      </c>
      <c r="P1388" s="24">
        <f>LEN(E1388)+LEN(K1388)</f>
        <v>124</v>
      </c>
      <c r="Q1388" s="24">
        <f>COUNTIFS(B:B,#REF!)</f>
        <v>0</v>
      </c>
      <c r="R1388" s="24">
        <f>COUNTIFS(D:D,D1390)</f>
        <v>5</v>
      </c>
    </row>
    <row r="1389" spans="1:18" s="21" customFormat="1" x14ac:dyDescent="0.3">
      <c r="A1389" s="14">
        <v>1942</v>
      </c>
      <c r="B1389" s="21" t="s">
        <v>1830</v>
      </c>
      <c r="C1389" s="21" t="s">
        <v>930</v>
      </c>
      <c r="D1389" s="1" t="s">
        <v>2618</v>
      </c>
      <c r="E1389" s="1" t="s">
        <v>1832</v>
      </c>
      <c r="F1389" s="21" t="s">
        <v>1867</v>
      </c>
      <c r="G1389" s="14">
        <v>0</v>
      </c>
      <c r="H1389" s="14">
        <v>0</v>
      </c>
      <c r="I1389" s="14">
        <v>114</v>
      </c>
      <c r="J1389" s="23">
        <f>VLOOKUP(I1389,episodes!$A$1:$B$76,2,FALSE)</f>
        <v>15</v>
      </c>
      <c r="K1389" s="16" t="str">
        <f>VLOOKUP(I1389,episodes!$A$1:$E$81,5,FALSE)</f>
        <v>Balance of Terror</v>
      </c>
      <c r="L1389" s="16">
        <f>VLOOKUP(I1389,episodes!$A$1:$D$81,3,FALSE)</f>
        <v>1</v>
      </c>
      <c r="M1389" s="16">
        <f>VLOOKUP(I1389,episodes!$A$1:$D$81,4,FALSE)</f>
        <v>14</v>
      </c>
      <c r="N1389" s="14"/>
      <c r="O1389" s="14">
        <v>0</v>
      </c>
      <c r="P1389" s="24">
        <f>LEN(E1389)+LEN(K1389)</f>
        <v>205</v>
      </c>
      <c r="Q1389" s="24">
        <f>COUNTIFS(B:B,B1388)</f>
        <v>5</v>
      </c>
      <c r="R1389" s="24">
        <f>COUNTIFS(D:D,D1389)</f>
        <v>5</v>
      </c>
    </row>
    <row r="1390" spans="1:18" s="21" customFormat="1" x14ac:dyDescent="0.3">
      <c r="A1390" s="14">
        <v>2031</v>
      </c>
      <c r="B1390" s="21" t="s">
        <v>1830</v>
      </c>
      <c r="C1390" s="21" t="s">
        <v>930</v>
      </c>
      <c r="D1390" s="1" t="s">
        <v>2618</v>
      </c>
      <c r="E1390" s="1" t="s">
        <v>1835</v>
      </c>
      <c r="F1390" s="21" t="s">
        <v>5</v>
      </c>
      <c r="G1390" s="14">
        <v>1</v>
      </c>
      <c r="H1390" s="14">
        <v>0</v>
      </c>
      <c r="I1390" s="14">
        <v>218</v>
      </c>
      <c r="J1390" s="23">
        <f>VLOOKUP(I1390,episodes!$A$1:$B$76,2,FALSE)</f>
        <v>48</v>
      </c>
      <c r="K1390" s="16" t="str">
        <f>VLOOKUP(I1390,episodes!$A$1:$E$81,5,FALSE)</f>
        <v>The Immunity Syndrome</v>
      </c>
      <c r="L1390" s="16">
        <f>VLOOKUP(I1390,episodes!$A$1:$D$81,3,FALSE)</f>
        <v>2</v>
      </c>
      <c r="M1390" s="16">
        <f>VLOOKUP(I1390,episodes!$A$1:$D$81,4,FALSE)</f>
        <v>18</v>
      </c>
      <c r="N1390" s="14"/>
      <c r="O1390" s="14">
        <v>0</v>
      </c>
      <c r="P1390" s="24">
        <f>LEN(E1390)+LEN(K1390)</f>
        <v>117</v>
      </c>
      <c r="Q1390" s="24">
        <f>COUNTIFS(B:B,B1392)</f>
        <v>7</v>
      </c>
      <c r="R1390" s="24">
        <f>COUNTIFS(D:D,D1393)</f>
        <v>3</v>
      </c>
    </row>
    <row r="1391" spans="1:18" s="21" customFormat="1" x14ac:dyDescent="0.3">
      <c r="A1391" s="14">
        <v>2931</v>
      </c>
      <c r="B1391" s="21" t="s">
        <v>522</v>
      </c>
      <c r="C1391" s="21" t="s">
        <v>930</v>
      </c>
      <c r="D1391" s="1" t="s">
        <v>2907</v>
      </c>
      <c r="E1391" s="1" t="s">
        <v>2703</v>
      </c>
      <c r="F1391" s="21" t="s">
        <v>8</v>
      </c>
      <c r="G1391" s="14">
        <v>0</v>
      </c>
      <c r="H1391" s="14">
        <v>1</v>
      </c>
      <c r="I1391" s="14">
        <v>129</v>
      </c>
      <c r="J1391" s="23">
        <f>VLOOKUP(I1391,episodes!$A$1:$B$81,2,FALSE)</f>
        <v>30</v>
      </c>
      <c r="K1391" s="16" t="str">
        <f>VLOOKUP(I1391,episodes!$A$1:$E$81,5,FALSE)</f>
        <v>Operation: Annihilate!</v>
      </c>
      <c r="L1391" s="16">
        <f>VLOOKUP(I1391,episodes!$A$1:$D$81,3,FALSE)</f>
        <v>1</v>
      </c>
      <c r="M1391" s="16">
        <f>VLOOKUP(I1391,episodes!$A$1:$D$81,4,FALSE)</f>
        <v>29</v>
      </c>
      <c r="N1391" s="14"/>
      <c r="O1391" s="14">
        <v>0</v>
      </c>
      <c r="P1391" s="24">
        <f>LEN(E1391)+LEN(K1391)</f>
        <v>115</v>
      </c>
      <c r="Q1391" s="24"/>
      <c r="R1391" s="24"/>
    </row>
    <row r="1392" spans="1:18" s="21" customFormat="1" x14ac:dyDescent="0.3">
      <c r="A1392" s="14">
        <v>2281</v>
      </c>
      <c r="B1392" s="21" t="s">
        <v>522</v>
      </c>
      <c r="C1392" s="21" t="s">
        <v>930</v>
      </c>
      <c r="D1392" s="1" t="s">
        <v>2907</v>
      </c>
      <c r="E1392" s="1" t="s">
        <v>1046</v>
      </c>
      <c r="F1392" s="21" t="s">
        <v>5</v>
      </c>
      <c r="G1392" s="14">
        <v>1</v>
      </c>
      <c r="H1392" s="14">
        <v>0</v>
      </c>
      <c r="I1392" s="14">
        <v>209</v>
      </c>
      <c r="J1392" s="23">
        <f>VLOOKUP(I1392,episodes!$A$1:$B$81,2,FALSE)</f>
        <v>39</v>
      </c>
      <c r="K1392" s="16" t="str">
        <f>VLOOKUP(I1392,episodes!$A$1:$E$81,5,FALSE)</f>
        <v>Metamorphosis</v>
      </c>
      <c r="L1392" s="16">
        <f>VLOOKUP(I1392,episodes!$A$1:$D$81,3,FALSE)</f>
        <v>2</v>
      </c>
      <c r="M1392" s="16">
        <f>VLOOKUP(I1392,episodes!$A$1:$D$81,4,FALSE)</f>
        <v>9</v>
      </c>
      <c r="N1392" s="14"/>
      <c r="O1392" s="14">
        <v>0</v>
      </c>
      <c r="P1392" s="24">
        <f>LEN(E1392)+LEN(K1392)</f>
        <v>78</v>
      </c>
      <c r="Q1392" s="24">
        <f>COUNTIFS(B:B,B1391)</f>
        <v>7</v>
      </c>
      <c r="R1392" s="24">
        <f>COUNTIFS(D:D,D1392)</f>
        <v>3</v>
      </c>
    </row>
    <row r="1393" spans="1:18" s="21" customFormat="1" x14ac:dyDescent="0.3">
      <c r="A1393" s="14">
        <v>2349</v>
      </c>
      <c r="B1393" s="21" t="s">
        <v>522</v>
      </c>
      <c r="C1393" s="21" t="s">
        <v>930</v>
      </c>
      <c r="D1393" s="1" t="s">
        <v>2907</v>
      </c>
      <c r="E1393" s="1" t="s">
        <v>1603</v>
      </c>
      <c r="F1393" s="21" t="s">
        <v>5</v>
      </c>
      <c r="G1393" s="14">
        <v>1</v>
      </c>
      <c r="H1393" s="14">
        <v>0</v>
      </c>
      <c r="I1393" s="14">
        <v>209</v>
      </c>
      <c r="J1393" s="23">
        <f>VLOOKUP(I1393,episodes!$A$1:$B$81,2,FALSE)</f>
        <v>39</v>
      </c>
      <c r="K1393" s="16" t="str">
        <f>VLOOKUP(I1393,episodes!$A$1:$E$81,5,FALSE)</f>
        <v>Metamorphosis</v>
      </c>
      <c r="L1393" s="16">
        <f>VLOOKUP(I1393,episodes!$A$1:$D$81,3,FALSE)</f>
        <v>2</v>
      </c>
      <c r="M1393" s="16">
        <f>VLOOKUP(I1393,episodes!$A$1:$D$81,4,FALSE)</f>
        <v>9</v>
      </c>
      <c r="N1393" s="14"/>
      <c r="O1393" s="14">
        <v>0</v>
      </c>
      <c r="P1393" s="24">
        <f>LEN(E1393)+LEN(K1393)</f>
        <v>158</v>
      </c>
      <c r="Q1393" s="24">
        <f>COUNTIFS(B:B,B1392)</f>
        <v>7</v>
      </c>
      <c r="R1393" s="24">
        <f>COUNTIFS(D:D,D1393)</f>
        <v>3</v>
      </c>
    </row>
    <row r="1394" spans="1:18" s="21" customFormat="1" x14ac:dyDescent="0.3">
      <c r="A1394" s="14">
        <v>1615</v>
      </c>
      <c r="B1394" s="21" t="s">
        <v>1158</v>
      </c>
      <c r="C1394" s="21" t="s">
        <v>930</v>
      </c>
      <c r="D1394" s="1" t="s">
        <v>2708</v>
      </c>
      <c r="E1394" s="1" t="s">
        <v>2116</v>
      </c>
      <c r="F1394" s="21" t="s">
        <v>8</v>
      </c>
      <c r="G1394" s="14">
        <v>0</v>
      </c>
      <c r="H1394" s="14">
        <v>1</v>
      </c>
      <c r="I1394" s="25">
        <v>128</v>
      </c>
      <c r="J1394" s="23">
        <f>VLOOKUP(I1394,episodes!$A$1:$B$76,2,FALSE)</f>
        <v>29</v>
      </c>
      <c r="K1394" s="16" t="str">
        <f>VLOOKUP(I1394,episodes!$A$1:$E$81,5,FALSE)</f>
        <v>The City on the Edge of Forever</v>
      </c>
      <c r="L1394" s="16">
        <f>VLOOKUP(I1394,episodes!$A$1:$D$81,3,FALSE)</f>
        <v>1</v>
      </c>
      <c r="M1394" s="16">
        <f>VLOOKUP(I1394,episodes!$A$1:$D$81,4,FALSE)</f>
        <v>28</v>
      </c>
      <c r="N1394" s="14"/>
      <c r="O1394" s="14">
        <v>0</v>
      </c>
      <c r="P1394" s="24">
        <f>LEN(E1394)+LEN(K1394)</f>
        <v>165</v>
      </c>
      <c r="Q1394" s="24">
        <f>COUNTIFS(B:B,B1393)</f>
        <v>7</v>
      </c>
      <c r="R1394" s="24">
        <f>COUNTIFS(D:D,D1394)</f>
        <v>1</v>
      </c>
    </row>
    <row r="1395" spans="1:18" s="21" customFormat="1" x14ac:dyDescent="0.3">
      <c r="A1395" s="14">
        <v>1938</v>
      </c>
      <c r="B1395" s="21" t="s">
        <v>338</v>
      </c>
      <c r="C1395" s="21" t="s">
        <v>930</v>
      </c>
      <c r="D1395" s="21" t="s">
        <v>2228</v>
      </c>
      <c r="E1395" s="1" t="s">
        <v>1114</v>
      </c>
      <c r="F1395" s="1" t="s">
        <v>2228</v>
      </c>
      <c r="G1395" s="14">
        <v>0</v>
      </c>
      <c r="H1395" s="14">
        <v>0</v>
      </c>
      <c r="I1395" s="25">
        <v>208</v>
      </c>
      <c r="J1395" s="23">
        <f>VLOOKUP(I1395,episodes!$A$1:$B$81,2,FALSE)</f>
        <v>38</v>
      </c>
      <c r="K1395" s="16" t="str">
        <f>VLOOKUP(I1395,episodes!$A$1:$E$81,5,FALSE)</f>
        <v>I, Mudd</v>
      </c>
      <c r="L1395" s="16">
        <f>VLOOKUP(I1395,episodes!$A$1:$D$81,3,FALSE)</f>
        <v>2</v>
      </c>
      <c r="M1395" s="16">
        <f>VLOOKUP(I1395,episodes!$A$1:$D$81,4,FALSE)</f>
        <v>8</v>
      </c>
      <c r="N1395" s="14"/>
      <c r="O1395" s="14">
        <v>0</v>
      </c>
      <c r="P1395" s="24">
        <f>LEN(E1395)+LEN(K1395)</f>
        <v>68</v>
      </c>
      <c r="Q1395" s="24">
        <f>COUNTIFS(B:B,B1394)</f>
        <v>1</v>
      </c>
      <c r="R1395" s="24">
        <f>COUNTIFS(D:D,D1395)</f>
        <v>18</v>
      </c>
    </row>
    <row r="1396" spans="1:18" s="21" customFormat="1" x14ac:dyDescent="0.3">
      <c r="A1396" s="14">
        <v>85</v>
      </c>
      <c r="B1396" s="21" t="s">
        <v>338</v>
      </c>
      <c r="C1396" s="21" t="s">
        <v>930</v>
      </c>
      <c r="D1396" s="21" t="s">
        <v>2228</v>
      </c>
      <c r="E1396" s="1" t="s">
        <v>469</v>
      </c>
      <c r="F1396" s="1" t="s">
        <v>2234</v>
      </c>
      <c r="G1396" s="14">
        <v>0</v>
      </c>
      <c r="H1396" s="14">
        <v>0</v>
      </c>
      <c r="I1396" s="25">
        <v>107</v>
      </c>
      <c r="J1396" s="23">
        <f>VLOOKUP(I1396,episodes!$A$1:$B$76,2,FALSE)</f>
        <v>8</v>
      </c>
      <c r="K1396" s="16" t="str">
        <f>VLOOKUP(I1396,episodes!$A$1:$E$81,5,FALSE)</f>
        <v>What Are Little Girls Made Of?</v>
      </c>
      <c r="L1396" s="16">
        <f>VLOOKUP(I1396,episodes!$A$1:$D$81,3,FALSE)</f>
        <v>1</v>
      </c>
      <c r="M1396" s="16">
        <f>VLOOKUP(I1396,episodes!$A$1:$D$81,4,FALSE)</f>
        <v>7</v>
      </c>
      <c r="N1396" s="14"/>
      <c r="O1396" s="14">
        <v>0</v>
      </c>
      <c r="P1396" s="24">
        <f>LEN(E1396)+LEN(K1396)</f>
        <v>84</v>
      </c>
      <c r="Q1396" s="24">
        <f>COUNTIFS(B:B,B1395)</f>
        <v>3</v>
      </c>
      <c r="R1396" s="24">
        <f>COUNTIFS(D:D,D1396)</f>
        <v>18</v>
      </c>
    </row>
    <row r="1397" spans="1:18" s="21" customFormat="1" x14ac:dyDescent="0.3">
      <c r="A1397" s="14">
        <v>1915</v>
      </c>
      <c r="B1397" s="21" t="s">
        <v>1094</v>
      </c>
      <c r="C1397" s="21" t="s">
        <v>930</v>
      </c>
      <c r="D1397" s="1" t="s">
        <v>2228</v>
      </c>
      <c r="E1397" s="1" t="s">
        <v>1173</v>
      </c>
      <c r="F1397" s="21" t="s">
        <v>2228</v>
      </c>
      <c r="G1397" s="14">
        <v>0</v>
      </c>
      <c r="H1397" s="14">
        <v>0</v>
      </c>
      <c r="I1397" s="25">
        <v>101</v>
      </c>
      <c r="J1397" s="23">
        <f>VLOOKUP(I1397,episodes!$A$1:$B$76,2,FALSE)</f>
        <v>2</v>
      </c>
      <c r="K1397" s="16" t="str">
        <f>VLOOKUP(I1397,episodes!$A$1:$E$81,5,FALSE)</f>
        <v>The Man Trap</v>
      </c>
      <c r="L1397" s="16">
        <f>VLOOKUP(I1397,episodes!$A$1:$D$81,3,FALSE)</f>
        <v>1</v>
      </c>
      <c r="M1397" s="16">
        <f>VLOOKUP(I1397,episodes!$A$1:$D$81,4,FALSE)</f>
        <v>1</v>
      </c>
      <c r="N1397" s="14"/>
      <c r="O1397" s="14">
        <v>0</v>
      </c>
      <c r="P1397" s="24">
        <f>LEN(E1397)+LEN(K1397)</f>
        <v>133</v>
      </c>
      <c r="Q1397" s="24">
        <f>COUNTIFS(B:B,B1396)</f>
        <v>3</v>
      </c>
      <c r="R1397" s="24">
        <f>COUNTIFS(D:D,D1397)</f>
        <v>18</v>
      </c>
    </row>
    <row r="1398" spans="1:18" s="21" customFormat="1" x14ac:dyDescent="0.3">
      <c r="A1398" s="14">
        <v>1917</v>
      </c>
      <c r="B1398" s="21" t="s">
        <v>1094</v>
      </c>
      <c r="C1398" s="21" t="s">
        <v>930</v>
      </c>
      <c r="D1398" s="1" t="s">
        <v>2228</v>
      </c>
      <c r="E1398" s="1" t="s">
        <v>1633</v>
      </c>
      <c r="F1398" s="21" t="s">
        <v>2228</v>
      </c>
      <c r="G1398" s="14">
        <v>0</v>
      </c>
      <c r="H1398" s="14">
        <v>0</v>
      </c>
      <c r="I1398" s="25">
        <v>107</v>
      </c>
      <c r="J1398" s="23">
        <f>VLOOKUP(I1398,episodes!$A$1:$B$76,2,FALSE)</f>
        <v>8</v>
      </c>
      <c r="K1398" s="16" t="str">
        <f>VLOOKUP(I1398,episodes!$A$1:$E$81,5,FALSE)</f>
        <v>What Are Little Girls Made Of?</v>
      </c>
      <c r="L1398" s="16">
        <f>VLOOKUP(I1398,episodes!$A$1:$D$81,3,FALSE)</f>
        <v>1</v>
      </c>
      <c r="M1398" s="16">
        <f>VLOOKUP(I1398,episodes!$A$1:$D$81,4,FALSE)</f>
        <v>7</v>
      </c>
      <c r="N1398" s="14"/>
      <c r="O1398" s="14">
        <v>0</v>
      </c>
      <c r="P1398" s="24">
        <f>LEN(E1398)+LEN(K1398)</f>
        <v>157</v>
      </c>
      <c r="Q1398" s="24">
        <f>COUNTIFS(B:B,B1397)</f>
        <v>11</v>
      </c>
      <c r="R1398" s="24">
        <f>COUNTIFS(D:D,D1398)</f>
        <v>18</v>
      </c>
    </row>
    <row r="1399" spans="1:18" s="21" customFormat="1" x14ac:dyDescent="0.3">
      <c r="A1399" s="14">
        <v>381</v>
      </c>
      <c r="B1399" s="21" t="s">
        <v>1146</v>
      </c>
      <c r="C1399" s="21" t="s">
        <v>930</v>
      </c>
      <c r="D1399" s="21" t="s">
        <v>2228</v>
      </c>
      <c r="E1399" s="1" t="s">
        <v>1113</v>
      </c>
      <c r="F1399" s="1" t="s">
        <v>2224</v>
      </c>
      <c r="G1399" s="14">
        <v>0</v>
      </c>
      <c r="H1399" s="14">
        <v>0</v>
      </c>
      <c r="I1399" s="14">
        <v>319</v>
      </c>
      <c r="J1399" s="23">
        <f>VLOOKUP(I1399,episodes!$A$1:$B$81,2,FALSE)</f>
        <v>75</v>
      </c>
      <c r="K1399" s="16" t="str">
        <f>VLOOKUP(I1399,episodes!$A$1:$E$81,5,FALSE)</f>
        <v>Requiem for Methuselah</v>
      </c>
      <c r="L1399" s="16">
        <f>VLOOKUP(I1399,episodes!$A$1:$D$81,3,FALSE)</f>
        <v>3</v>
      </c>
      <c r="M1399" s="16">
        <f>VLOOKUP(I1399,episodes!$A$1:$D$81,4,FALSE)</f>
        <v>19</v>
      </c>
      <c r="N1399" s="14"/>
      <c r="O1399" s="14">
        <v>0</v>
      </c>
      <c r="P1399" s="24">
        <f>LEN(E1399)+LEN(K1399)</f>
        <v>90</v>
      </c>
      <c r="Q1399" s="24">
        <f>COUNTIFS(B:B,B1401)</f>
        <v>6</v>
      </c>
      <c r="R1399" s="24">
        <f>COUNTIFS(D:D,D1402)</f>
        <v>18</v>
      </c>
    </row>
    <row r="1400" spans="1:18" s="21" customFormat="1" x14ac:dyDescent="0.3">
      <c r="A1400" s="14">
        <v>1931</v>
      </c>
      <c r="B1400" s="21" t="s">
        <v>1093</v>
      </c>
      <c r="C1400" s="21" t="s">
        <v>930</v>
      </c>
      <c r="D1400" s="21" t="s">
        <v>2228</v>
      </c>
      <c r="E1400" s="1" t="s">
        <v>1143</v>
      </c>
      <c r="F1400" s="21" t="s">
        <v>2228</v>
      </c>
      <c r="G1400" s="14">
        <v>0</v>
      </c>
      <c r="H1400" s="14">
        <v>0</v>
      </c>
      <c r="I1400" s="22">
        <v>208</v>
      </c>
      <c r="J1400" s="23">
        <f>VLOOKUP(I1400,episodes!$A$1:$B$81,2,FALSE)</f>
        <v>38</v>
      </c>
      <c r="K1400" s="16" t="str">
        <f>VLOOKUP(I1400,episodes!$A$1:$E$81,5,FALSE)</f>
        <v>I, Mudd</v>
      </c>
      <c r="L1400" s="16">
        <f>VLOOKUP(I1400,episodes!$A$1:$D$81,3,FALSE)</f>
        <v>2</v>
      </c>
      <c r="M1400" s="16">
        <f>VLOOKUP(I1400,episodes!$A$1:$D$81,4,FALSE)</f>
        <v>8</v>
      </c>
      <c r="N1400" s="14"/>
      <c r="O1400" s="14">
        <v>0</v>
      </c>
      <c r="P1400" s="24">
        <f>LEN(E1400)+LEN(K1400)</f>
        <v>76</v>
      </c>
      <c r="Q1400" s="24">
        <f>COUNTIFS(B:B,B1399)</f>
        <v>1</v>
      </c>
      <c r="R1400" s="24">
        <f>COUNTIFS(D:D,D1400)</f>
        <v>18</v>
      </c>
    </row>
    <row r="1401" spans="1:18" s="21" customFormat="1" x14ac:dyDescent="0.3">
      <c r="A1401" s="14">
        <v>1935</v>
      </c>
      <c r="B1401" s="21" t="s">
        <v>276</v>
      </c>
      <c r="C1401" s="21" t="s">
        <v>930</v>
      </c>
      <c r="D1401" s="21" t="s">
        <v>2228</v>
      </c>
      <c r="E1401" s="1" t="s">
        <v>2064</v>
      </c>
      <c r="F1401" s="21" t="s">
        <v>2228</v>
      </c>
      <c r="G1401" s="14">
        <v>0</v>
      </c>
      <c r="H1401" s="14">
        <v>0</v>
      </c>
      <c r="I1401" s="22">
        <v>208</v>
      </c>
      <c r="J1401" s="23">
        <f>VLOOKUP(I1401,episodes!$A$1:$B$81,2,FALSE)</f>
        <v>38</v>
      </c>
      <c r="K1401" s="16" t="str">
        <f>VLOOKUP(I1401,episodes!$A$1:$E$81,5,FALSE)</f>
        <v>I, Mudd</v>
      </c>
      <c r="L1401" s="16">
        <f>VLOOKUP(I1401,episodes!$A$1:$D$81,3,FALSE)</f>
        <v>2</v>
      </c>
      <c r="M1401" s="16">
        <f>VLOOKUP(I1401,episodes!$A$1:$D$81,4,FALSE)</f>
        <v>8</v>
      </c>
      <c r="N1401" s="14"/>
      <c r="O1401" s="14">
        <v>0</v>
      </c>
      <c r="P1401" s="24">
        <f>LEN(E1401)+LEN(K1401)</f>
        <v>93</v>
      </c>
      <c r="Q1401" s="24">
        <f>COUNTIFS(B:B,B1400)</f>
        <v>26</v>
      </c>
      <c r="R1401" s="24">
        <f>COUNTIFS(D:D,D1401)</f>
        <v>18</v>
      </c>
    </row>
    <row r="1402" spans="1:18" s="21" customFormat="1" x14ac:dyDescent="0.3">
      <c r="A1402" s="14">
        <v>1883</v>
      </c>
      <c r="B1402" s="21" t="s">
        <v>338</v>
      </c>
      <c r="C1402" s="21" t="s">
        <v>930</v>
      </c>
      <c r="D1402" s="21" t="s">
        <v>2228</v>
      </c>
      <c r="E1402" s="1" t="s">
        <v>1115</v>
      </c>
      <c r="F1402" s="1" t="s">
        <v>2322</v>
      </c>
      <c r="G1402" s="14">
        <v>0</v>
      </c>
      <c r="H1402" s="14">
        <v>0</v>
      </c>
      <c r="I1402" s="25">
        <v>319</v>
      </c>
      <c r="J1402" s="23">
        <f>VLOOKUP(I1402,episodes!$A$1:$B$81,2,FALSE)</f>
        <v>75</v>
      </c>
      <c r="K1402" s="16" t="str">
        <f>VLOOKUP(I1402,episodes!$A$1:$E$81,5,FALSE)</f>
        <v>Requiem for Methuselah</v>
      </c>
      <c r="L1402" s="16">
        <f>VLOOKUP(I1402,episodes!$A$1:$D$81,3,FALSE)</f>
        <v>3</v>
      </c>
      <c r="M1402" s="16">
        <f>VLOOKUP(I1402,episodes!$A$1:$D$81,4,FALSE)</f>
        <v>19</v>
      </c>
      <c r="N1402" s="14"/>
      <c r="O1402" s="14">
        <v>0</v>
      </c>
      <c r="P1402" s="24">
        <f>LEN(E1402)+LEN(K1402)</f>
        <v>80</v>
      </c>
      <c r="Q1402" s="24">
        <f>COUNTIFS(B:B,B1404)</f>
        <v>1</v>
      </c>
      <c r="R1402" s="24">
        <f>COUNTIFS(D:D,D1405)</f>
        <v>36</v>
      </c>
    </row>
    <row r="1403" spans="1:18" s="21" customFormat="1" x14ac:dyDescent="0.3">
      <c r="A1403" s="14">
        <v>1930</v>
      </c>
      <c r="B1403" s="21" t="s">
        <v>1093</v>
      </c>
      <c r="C1403" s="21" t="s">
        <v>930</v>
      </c>
      <c r="D1403" s="21" t="s">
        <v>2228</v>
      </c>
      <c r="E1403" s="1" t="s">
        <v>1142</v>
      </c>
      <c r="F1403" s="21" t="s">
        <v>2228</v>
      </c>
      <c r="G1403" s="26">
        <v>0</v>
      </c>
      <c r="H1403" s="14">
        <v>0</v>
      </c>
      <c r="I1403" s="22">
        <v>206</v>
      </c>
      <c r="J1403" s="23">
        <f>VLOOKUP(I1403,episodes!$A$1:$B$76,2,FALSE)</f>
        <v>36</v>
      </c>
      <c r="K1403" s="16" t="str">
        <f>VLOOKUP(I1403,episodes!$A$1:$E$81,5,FALSE)</f>
        <v>The Doomsday Machine</v>
      </c>
      <c r="L1403" s="16">
        <f>VLOOKUP(I1403,episodes!$A$1:$D$81,3,FALSE)</f>
        <v>2</v>
      </c>
      <c r="M1403" s="16">
        <f>VLOOKUP(I1403,episodes!$A$1:$D$81,4,FALSE)</f>
        <v>6</v>
      </c>
      <c r="N1403" s="14"/>
      <c r="O1403" s="14">
        <v>0</v>
      </c>
      <c r="P1403" s="24">
        <f>LEN(E1403)+LEN(K1403)</f>
        <v>79</v>
      </c>
      <c r="Q1403" s="24">
        <f>COUNTIFS(B:B,B1402)</f>
        <v>3</v>
      </c>
      <c r="R1403" s="24">
        <f>COUNTIFS(D:D,D1403)</f>
        <v>18</v>
      </c>
    </row>
    <row r="1404" spans="1:18" s="21" customFormat="1" x14ac:dyDescent="0.3">
      <c r="A1404" s="14">
        <v>2866</v>
      </c>
      <c r="B1404" s="21" t="s">
        <v>1836</v>
      </c>
      <c r="C1404" s="21" t="s">
        <v>930</v>
      </c>
      <c r="D1404" s="1" t="s">
        <v>145</v>
      </c>
      <c r="E1404" s="1" t="s">
        <v>2040</v>
      </c>
      <c r="F1404" s="21" t="s">
        <v>2225</v>
      </c>
      <c r="G1404" s="14">
        <v>0</v>
      </c>
      <c r="H1404" s="14">
        <v>0</v>
      </c>
      <c r="I1404" s="14">
        <v>303</v>
      </c>
      <c r="J1404" s="23">
        <f>VLOOKUP(I1404,episodes!$A$1:$B$76,2,FALSE)</f>
        <v>59</v>
      </c>
      <c r="K1404" s="16" t="str">
        <f>VLOOKUP(I1404,episodes!$A$1:$E$81,5,FALSE)</f>
        <v>The Paradise Syndrome</v>
      </c>
      <c r="L1404" s="16">
        <f>VLOOKUP(I1404,episodes!$A$1:$D$81,3,FALSE)</f>
        <v>3</v>
      </c>
      <c r="M1404" s="16">
        <f>VLOOKUP(I1404,episodes!$A$1:$D$81,4,FALSE)</f>
        <v>3</v>
      </c>
      <c r="N1404" s="14"/>
      <c r="O1404" s="14">
        <v>0</v>
      </c>
      <c r="P1404" s="24">
        <f>LEN(E1404)+LEN(K1404)</f>
        <v>137</v>
      </c>
      <c r="Q1404" s="24">
        <f>COUNTIFS(B:B,B1406)</f>
        <v>1</v>
      </c>
      <c r="R1404" s="24">
        <f>COUNTIFS(D:D,D1407)</f>
        <v>36</v>
      </c>
    </row>
    <row r="1405" spans="1:18" s="21" customFormat="1" x14ac:dyDescent="0.3">
      <c r="A1405" s="14">
        <v>2865</v>
      </c>
      <c r="B1405" s="21" t="s">
        <v>1828</v>
      </c>
      <c r="C1405" s="21" t="s">
        <v>930</v>
      </c>
      <c r="D1405" s="1" t="s">
        <v>145</v>
      </c>
      <c r="E1405" s="1" t="s">
        <v>1829</v>
      </c>
      <c r="F1405" s="21" t="s">
        <v>2225</v>
      </c>
      <c r="G1405" s="14">
        <v>0</v>
      </c>
      <c r="H1405" s="14">
        <v>0</v>
      </c>
      <c r="I1405" s="25">
        <v>301</v>
      </c>
      <c r="J1405" s="23">
        <f>VLOOKUP(I1405,episodes!$A$1:$B$76,2,FALSE)</f>
        <v>57</v>
      </c>
      <c r="K1405" s="16" t="str">
        <f>VLOOKUP(I1405,episodes!$A$1:$E$81,5,FALSE)</f>
        <v>Spock's Brain</v>
      </c>
      <c r="L1405" s="16">
        <f>VLOOKUP(I1405,episodes!$A$1:$D$81,3,FALSE)</f>
        <v>3</v>
      </c>
      <c r="M1405" s="16">
        <f>VLOOKUP(I1405,episodes!$A$1:$D$81,4,FALSE)</f>
        <v>1</v>
      </c>
      <c r="N1405" s="14"/>
      <c r="O1405" s="14">
        <v>0</v>
      </c>
      <c r="P1405" s="24">
        <f>LEN(E1405)+LEN(K1405)</f>
        <v>161</v>
      </c>
      <c r="Q1405" s="24">
        <f>COUNTIFS(B:B,B1407)</f>
        <v>5</v>
      </c>
      <c r="R1405" s="24">
        <f>COUNTIFS(D:D,D1408)</f>
        <v>36</v>
      </c>
    </row>
    <row r="1406" spans="1:18" s="21" customFormat="1" x14ac:dyDescent="0.3">
      <c r="A1406" s="14">
        <v>2762</v>
      </c>
      <c r="B1406" s="21" t="s">
        <v>295</v>
      </c>
      <c r="C1406" s="21" t="s">
        <v>930</v>
      </c>
      <c r="D1406" s="1" t="s">
        <v>145</v>
      </c>
      <c r="E1406" s="1" t="s">
        <v>1797</v>
      </c>
      <c r="F1406" s="21" t="s">
        <v>2225</v>
      </c>
      <c r="G1406" s="14">
        <v>0</v>
      </c>
      <c r="H1406" s="14">
        <v>0</v>
      </c>
      <c r="I1406" s="22">
        <v>115</v>
      </c>
      <c r="J1406" s="23">
        <f>VLOOKUP(I1406,episodes!$A$1:$B$76,2,FALSE)</f>
        <v>16</v>
      </c>
      <c r="K1406" s="16" t="str">
        <f>VLOOKUP(I1406,episodes!$A$1:$E$81,5,FALSE)</f>
        <v>Shore Leave</v>
      </c>
      <c r="L1406" s="16">
        <f>VLOOKUP(I1406,episodes!$A$1:$D$81,3,FALSE)</f>
        <v>1</v>
      </c>
      <c r="M1406" s="16">
        <f>VLOOKUP(I1406,episodes!$A$1:$D$81,4,FALSE)</f>
        <v>15</v>
      </c>
      <c r="N1406" s="14"/>
      <c r="O1406" s="14">
        <v>0</v>
      </c>
      <c r="P1406" s="24">
        <f>LEN(E1406)+LEN(K1406)</f>
        <v>74</v>
      </c>
      <c r="Q1406" s="24">
        <f>COUNTIFS(B:B,B1405)</f>
        <v>1</v>
      </c>
      <c r="R1406" s="24">
        <f>COUNTIFS(D:D,D1406)</f>
        <v>36</v>
      </c>
    </row>
    <row r="1407" spans="1:18" s="21" customFormat="1" x14ac:dyDescent="0.3">
      <c r="A1407" s="14">
        <v>2716</v>
      </c>
      <c r="B1407" s="21" t="s">
        <v>318</v>
      </c>
      <c r="C1407" s="21" t="s">
        <v>930</v>
      </c>
      <c r="D1407" s="21" t="s">
        <v>145</v>
      </c>
      <c r="E1407" s="1" t="s">
        <v>1084</v>
      </c>
      <c r="F1407" s="21" t="s">
        <v>2225</v>
      </c>
      <c r="G1407" s="14">
        <v>0</v>
      </c>
      <c r="H1407" s="14">
        <v>0</v>
      </c>
      <c r="I1407" s="25">
        <v>103</v>
      </c>
      <c r="J1407" s="23">
        <f>VLOOKUP(I1407,episodes!$A$1:$B$76,2,FALSE)</f>
        <v>4</v>
      </c>
      <c r="K1407" s="16" t="str">
        <f>VLOOKUP(I1407,episodes!$A$1:$E$81,5,FALSE)</f>
        <v>Where No Man Has Gone Before</v>
      </c>
      <c r="L1407" s="16">
        <f>VLOOKUP(I1407,episodes!$A$1:$D$81,3,FALSE)</f>
        <v>1</v>
      </c>
      <c r="M1407" s="16">
        <f>VLOOKUP(I1407,episodes!$A$1:$D$81,4,FALSE)</f>
        <v>3</v>
      </c>
      <c r="N1407" s="14"/>
      <c r="O1407" s="14">
        <v>0</v>
      </c>
      <c r="P1407" s="24">
        <f>LEN(E1407)+LEN(K1407)</f>
        <v>112</v>
      </c>
      <c r="Q1407" s="24">
        <f>COUNTIFS(B:B,#REF!)</f>
        <v>0</v>
      </c>
      <c r="R1407" s="24">
        <f>COUNTIFS(D:D,D1407)</f>
        <v>36</v>
      </c>
    </row>
    <row r="1408" spans="1:18" s="21" customFormat="1" x14ac:dyDescent="0.3">
      <c r="A1408" s="14">
        <v>78</v>
      </c>
      <c r="B1408" s="21" t="s">
        <v>1093</v>
      </c>
      <c r="C1408" s="21" t="s">
        <v>930</v>
      </c>
      <c r="D1408" s="21" t="s">
        <v>145</v>
      </c>
      <c r="E1408" s="1" t="s">
        <v>1910</v>
      </c>
      <c r="F1408" s="21" t="s">
        <v>2274</v>
      </c>
      <c r="G1408" s="14">
        <v>0</v>
      </c>
      <c r="H1408" s="14">
        <v>0</v>
      </c>
      <c r="I1408" s="22">
        <v>210</v>
      </c>
      <c r="J1408" s="23">
        <f>VLOOKUP(I1408,episodes!$A$1:$B$81,2,FALSE)</f>
        <v>40</v>
      </c>
      <c r="K1408" s="16" t="str">
        <f>VLOOKUP(I1408,episodes!$A$1:$E$81,5,FALSE)</f>
        <v>Journey to Babel</v>
      </c>
      <c r="L1408" s="16">
        <f>VLOOKUP(I1408,episodes!$A$1:$D$81,3,FALSE)</f>
        <v>2</v>
      </c>
      <c r="M1408" s="16">
        <f>VLOOKUP(I1408,episodes!$A$1:$D$81,4,FALSE)</f>
        <v>10</v>
      </c>
      <c r="N1408" s="14"/>
      <c r="O1408" s="14">
        <v>0</v>
      </c>
      <c r="P1408" s="24">
        <f>LEN(E1408)+LEN(K1408)</f>
        <v>53</v>
      </c>
      <c r="Q1408" s="24">
        <f>COUNTIFS(B:B,B1407)</f>
        <v>5</v>
      </c>
      <c r="R1408" s="24">
        <f>COUNTIFS(D:D,D1408)</f>
        <v>36</v>
      </c>
    </row>
    <row r="1409" spans="1:18" s="21" customFormat="1" x14ac:dyDescent="0.3">
      <c r="A1409" s="14">
        <v>38</v>
      </c>
      <c r="B1409" s="21" t="s">
        <v>1850</v>
      </c>
      <c r="C1409" s="21" t="s">
        <v>930</v>
      </c>
      <c r="D1409" s="1" t="s">
        <v>145</v>
      </c>
      <c r="E1409" s="1" t="s">
        <v>1851</v>
      </c>
      <c r="F1409" s="21" t="s">
        <v>2</v>
      </c>
      <c r="G1409" s="14">
        <v>0</v>
      </c>
      <c r="H1409" s="14">
        <v>0</v>
      </c>
      <c r="I1409" s="22">
        <v>202</v>
      </c>
      <c r="J1409" s="23">
        <f>VLOOKUP(I1409,episodes!$A$1:$B$76,2,FALSE)</f>
        <v>32</v>
      </c>
      <c r="K1409" s="16" t="str">
        <f>VLOOKUP(I1409,episodes!$A$1:$E$81,5,FALSE)</f>
        <v>Who Mourns for Adonais?</v>
      </c>
      <c r="L1409" s="16">
        <f>VLOOKUP(I1409,episodes!$A$1:$D$81,3,FALSE)</f>
        <v>2</v>
      </c>
      <c r="M1409" s="16">
        <f>VLOOKUP(I1409,episodes!$A$1:$D$81,4,FALSE)</f>
        <v>2</v>
      </c>
      <c r="N1409" s="14"/>
      <c r="O1409" s="14">
        <v>0</v>
      </c>
      <c r="P1409" s="24">
        <f>LEN(E1409)+LEN(K1409)</f>
        <v>109</v>
      </c>
      <c r="Q1409" s="24">
        <f>COUNTIFS(B:B,B1408)</f>
        <v>26</v>
      </c>
      <c r="R1409" s="24">
        <f>COUNTIFS(D:D,D1409)</f>
        <v>36</v>
      </c>
    </row>
    <row r="1410" spans="1:18" s="21" customFormat="1" x14ac:dyDescent="0.3">
      <c r="A1410" s="14">
        <v>2809</v>
      </c>
      <c r="B1410" s="21" t="s">
        <v>1093</v>
      </c>
      <c r="C1410" s="21" t="s">
        <v>930</v>
      </c>
      <c r="D1410" s="21" t="s">
        <v>145</v>
      </c>
      <c r="E1410" s="1" t="s">
        <v>729</v>
      </c>
      <c r="F1410" s="21" t="s">
        <v>2225</v>
      </c>
      <c r="G1410" s="14">
        <v>0</v>
      </c>
      <c r="H1410" s="14">
        <v>0</v>
      </c>
      <c r="I1410" s="22">
        <v>128</v>
      </c>
      <c r="J1410" s="23">
        <f>VLOOKUP(I1410,episodes!$A$1:$B$76,2,FALSE)</f>
        <v>29</v>
      </c>
      <c r="K1410" s="16" t="str">
        <f>VLOOKUP(I1410,episodes!$A$1:$E$81,5,FALSE)</f>
        <v>The City on the Edge of Forever</v>
      </c>
      <c r="L1410" s="16">
        <f>VLOOKUP(I1410,episodes!$A$1:$D$81,3,FALSE)</f>
        <v>1</v>
      </c>
      <c r="M1410" s="16">
        <f>VLOOKUP(I1410,episodes!$A$1:$D$81,4,FALSE)</f>
        <v>28</v>
      </c>
      <c r="N1410" s="14"/>
      <c r="O1410" s="14">
        <v>0</v>
      </c>
      <c r="P1410" s="24">
        <f>LEN(E1410)+LEN(K1410)</f>
        <v>78</v>
      </c>
      <c r="Q1410" s="24">
        <f>COUNTIFS(B:B,B1409)</f>
        <v>4</v>
      </c>
      <c r="R1410" s="24">
        <f>COUNTIFS(D:D,D1410)</f>
        <v>36</v>
      </c>
    </row>
    <row r="1411" spans="1:18" s="21" customFormat="1" x14ac:dyDescent="0.3">
      <c r="A1411" s="14">
        <v>2791</v>
      </c>
      <c r="B1411" s="21" t="s">
        <v>276</v>
      </c>
      <c r="C1411" s="21" t="s">
        <v>930</v>
      </c>
      <c r="D1411" s="1" t="s">
        <v>145</v>
      </c>
      <c r="E1411" s="1" t="s">
        <v>658</v>
      </c>
      <c r="F1411" s="21" t="s">
        <v>2225</v>
      </c>
      <c r="G1411" s="14">
        <v>0</v>
      </c>
      <c r="H1411" s="14">
        <v>0</v>
      </c>
      <c r="I1411" s="25">
        <v>123</v>
      </c>
      <c r="J1411" s="23">
        <f>VLOOKUP(I1411,episodes!$A$1:$B$76,2,FALSE)</f>
        <v>24</v>
      </c>
      <c r="K1411" s="16" t="str">
        <f>VLOOKUP(I1411,episodes!$A$1:$E$81,5,FALSE)</f>
        <v>A Taste of Armageddon</v>
      </c>
      <c r="L1411" s="16">
        <f>VLOOKUP(I1411,episodes!$A$1:$D$81,3,FALSE)</f>
        <v>1</v>
      </c>
      <c r="M1411" s="16">
        <f>VLOOKUP(I1411,episodes!$A$1:$D$81,4,FALSE)</f>
        <v>23</v>
      </c>
      <c r="N1411" s="14"/>
      <c r="O1411" s="14">
        <v>0</v>
      </c>
      <c r="P1411" s="24">
        <f>LEN(E1411)+LEN(K1411)</f>
        <v>76</v>
      </c>
      <c r="Q1411" s="24">
        <f>COUNTIFS(B:B,B1410)</f>
        <v>26</v>
      </c>
      <c r="R1411" s="24">
        <f>COUNTIFS(D:D,D1411)</f>
        <v>36</v>
      </c>
    </row>
    <row r="1412" spans="1:18" s="21" customFormat="1" x14ac:dyDescent="0.3">
      <c r="A1412" s="14">
        <v>2848</v>
      </c>
      <c r="B1412" s="21" t="s">
        <v>1093</v>
      </c>
      <c r="C1412" s="21" t="s">
        <v>930</v>
      </c>
      <c r="D1412" s="21" t="s">
        <v>145</v>
      </c>
      <c r="E1412" s="1" t="s">
        <v>1122</v>
      </c>
      <c r="F1412" s="21" t="s">
        <v>2225</v>
      </c>
      <c r="G1412" s="14">
        <v>0</v>
      </c>
      <c r="H1412" s="14">
        <v>0</v>
      </c>
      <c r="I1412" s="14">
        <v>209</v>
      </c>
      <c r="J1412" s="23">
        <f>VLOOKUP(I1412,episodes!$A$1:$B$81,2,FALSE)</f>
        <v>39</v>
      </c>
      <c r="K1412" s="16" t="str">
        <f>VLOOKUP(I1412,episodes!$A$1:$E$81,5,FALSE)</f>
        <v>Metamorphosis</v>
      </c>
      <c r="L1412" s="16">
        <f>VLOOKUP(I1412,episodes!$A$1:$D$81,3,FALSE)</f>
        <v>2</v>
      </c>
      <c r="M1412" s="16">
        <f>VLOOKUP(I1412,episodes!$A$1:$D$81,4,FALSE)</f>
        <v>9</v>
      </c>
      <c r="N1412" s="14"/>
      <c r="O1412" s="14">
        <v>0</v>
      </c>
      <c r="P1412" s="24">
        <f>LEN(E1412)+LEN(K1412)</f>
        <v>85</v>
      </c>
      <c r="Q1412" s="24">
        <f>COUNTIFS(B:B,B1411)</f>
        <v>6</v>
      </c>
      <c r="R1412" s="24">
        <f>COUNTIFS(D:D,D1412)</f>
        <v>36</v>
      </c>
    </row>
    <row r="1413" spans="1:18" s="21" customFormat="1" x14ac:dyDescent="0.3">
      <c r="A1413" s="14">
        <v>2871</v>
      </c>
      <c r="B1413" s="21" t="s">
        <v>1843</v>
      </c>
      <c r="C1413" s="21" t="s">
        <v>930</v>
      </c>
      <c r="D1413" s="1" t="s">
        <v>145</v>
      </c>
      <c r="E1413" s="1" t="s">
        <v>1844</v>
      </c>
      <c r="F1413" s="21" t="s">
        <v>2225</v>
      </c>
      <c r="G1413" s="14">
        <v>0</v>
      </c>
      <c r="H1413" s="14">
        <v>0</v>
      </c>
      <c r="I1413" s="14">
        <v>999</v>
      </c>
      <c r="J1413" s="23">
        <v>0</v>
      </c>
      <c r="K1413" s="16" t="s">
        <v>1929</v>
      </c>
      <c r="L1413" s="16">
        <v>0</v>
      </c>
      <c r="M1413" s="16">
        <v>0</v>
      </c>
      <c r="N1413" s="14"/>
      <c r="O1413" s="14">
        <v>0</v>
      </c>
      <c r="P1413" s="24">
        <f>LEN(E1413)+LEN(K1413)</f>
        <v>328</v>
      </c>
      <c r="Q1413" s="24">
        <f>COUNTIFS(B:B,B1415)</f>
        <v>1</v>
      </c>
      <c r="R1413" s="24">
        <f>COUNTIFS(D:D,D1416)</f>
        <v>36</v>
      </c>
    </row>
    <row r="1414" spans="1:18" s="21" customFormat="1" x14ac:dyDescent="0.3">
      <c r="A1414" s="14">
        <v>378</v>
      </c>
      <c r="B1414" s="21" t="s">
        <v>1842</v>
      </c>
      <c r="C1414" s="21" t="s">
        <v>930</v>
      </c>
      <c r="D1414" s="1" t="s">
        <v>145</v>
      </c>
      <c r="E1414" s="1" t="s">
        <v>2201</v>
      </c>
      <c r="F1414" s="21" t="s">
        <v>2224</v>
      </c>
      <c r="G1414" s="14">
        <v>0</v>
      </c>
      <c r="H1414" s="14">
        <v>0</v>
      </c>
      <c r="I1414" s="14">
        <v>314</v>
      </c>
      <c r="J1414" s="23">
        <f>VLOOKUP(I1414,episodes!$A$1:$B$76,2,FALSE)</f>
        <v>70</v>
      </c>
      <c r="K1414" s="16" t="str">
        <f>VLOOKUP(I1414,episodes!$A$1:$E$81,5,FALSE)</f>
        <v>Whom Gods Destroy</v>
      </c>
      <c r="L1414" s="16">
        <f>VLOOKUP(I1414,episodes!$A$1:$D$81,3,FALSE)</f>
        <v>3</v>
      </c>
      <c r="M1414" s="16">
        <f>VLOOKUP(I1414,episodes!$A$1:$D$81,4,FALSE)</f>
        <v>14</v>
      </c>
      <c r="N1414" s="14"/>
      <c r="O1414" s="14">
        <v>0</v>
      </c>
      <c r="P1414" s="24">
        <f>LEN(E1414)+LEN(K1414)</f>
        <v>240</v>
      </c>
      <c r="Q1414" s="24">
        <f>COUNTIFS(B:B,B1416)</f>
        <v>11</v>
      </c>
      <c r="R1414" s="24">
        <f>COUNTIFS(D:D,D1417)</f>
        <v>36</v>
      </c>
    </row>
    <row r="1415" spans="1:18" s="21" customFormat="1" x14ac:dyDescent="0.3">
      <c r="A1415" s="14">
        <v>2863</v>
      </c>
      <c r="B1415" s="21" t="s">
        <v>1854</v>
      </c>
      <c r="C1415" s="21" t="s">
        <v>930</v>
      </c>
      <c r="D1415" s="21" t="s">
        <v>145</v>
      </c>
      <c r="E1415" s="1" t="s">
        <v>1855</v>
      </c>
      <c r="F1415" s="21" t="s">
        <v>2225</v>
      </c>
      <c r="G1415" s="14">
        <v>0</v>
      </c>
      <c r="H1415" s="14">
        <v>0</v>
      </c>
      <c r="I1415" s="22">
        <v>226</v>
      </c>
      <c r="J1415" s="23">
        <f>VLOOKUP(I1415,episodes!$A$1:$B$76,2,FALSE)</f>
        <v>56</v>
      </c>
      <c r="K1415" s="16" t="str">
        <f>VLOOKUP(I1415,episodes!$A$1:$E$81,5,FALSE)</f>
        <v>Assignment: Earth</v>
      </c>
      <c r="L1415" s="16">
        <f>VLOOKUP(I1415,episodes!$A$1:$D$81,3,FALSE)</f>
        <v>2</v>
      </c>
      <c r="M1415" s="16">
        <f>VLOOKUP(I1415,episodes!$A$1:$D$81,4,FALSE)</f>
        <v>26</v>
      </c>
      <c r="N1415" s="14"/>
      <c r="O1415" s="14">
        <v>0</v>
      </c>
      <c r="P1415" s="24">
        <f>LEN(E1415)+LEN(K1415)</f>
        <v>121</v>
      </c>
      <c r="Q1415" s="24">
        <f>COUNTIFS(B:B,B1417)</f>
        <v>2</v>
      </c>
      <c r="R1415" s="24">
        <f>COUNTIFS(D:D,D1418)</f>
        <v>36</v>
      </c>
    </row>
    <row r="1416" spans="1:18" s="21" customFormat="1" x14ac:dyDescent="0.3">
      <c r="A1416" s="14">
        <v>2797</v>
      </c>
      <c r="B1416" s="21" t="s">
        <v>1094</v>
      </c>
      <c r="C1416" s="21" t="s">
        <v>930</v>
      </c>
      <c r="D1416" s="1" t="s">
        <v>145</v>
      </c>
      <c r="E1416" s="1" t="s">
        <v>667</v>
      </c>
      <c r="F1416" s="21" t="s">
        <v>2225</v>
      </c>
      <c r="G1416" s="14">
        <v>0</v>
      </c>
      <c r="H1416" s="14">
        <v>0</v>
      </c>
      <c r="I1416" s="22">
        <v>124</v>
      </c>
      <c r="J1416" s="23">
        <f>VLOOKUP(I1416,episodes!$A$1:$B$76,2,FALSE)</f>
        <v>25</v>
      </c>
      <c r="K1416" s="16" t="str">
        <f>VLOOKUP(I1416,episodes!$A$1:$E$81,5,FALSE)</f>
        <v>This Side of Paradise</v>
      </c>
      <c r="L1416" s="16">
        <f>VLOOKUP(I1416,episodes!$A$1:$D$81,3,FALSE)</f>
        <v>1</v>
      </c>
      <c r="M1416" s="16">
        <f>VLOOKUP(I1416,episodes!$A$1:$D$81,4,FALSE)</f>
        <v>24</v>
      </c>
      <c r="N1416" s="14"/>
      <c r="O1416" s="14">
        <v>0</v>
      </c>
      <c r="P1416" s="24">
        <f>LEN(E1416)+LEN(K1416)</f>
        <v>245</v>
      </c>
      <c r="Q1416" s="24">
        <f>COUNTIFS(B:B,B1415)</f>
        <v>1</v>
      </c>
      <c r="R1416" s="24">
        <f>COUNTIFS(D:D,D1416)</f>
        <v>36</v>
      </c>
    </row>
    <row r="1417" spans="1:18" s="21" customFormat="1" x14ac:dyDescent="0.3">
      <c r="A1417" s="14">
        <v>741</v>
      </c>
      <c r="B1417" s="21" t="s">
        <v>248</v>
      </c>
      <c r="C1417" s="21" t="s">
        <v>930</v>
      </c>
      <c r="D1417" s="1" t="s">
        <v>145</v>
      </c>
      <c r="E1417" s="1" t="s">
        <v>1874</v>
      </c>
      <c r="F1417" s="21" t="s">
        <v>4</v>
      </c>
      <c r="G1417" s="14">
        <v>1</v>
      </c>
      <c r="H1417" s="14">
        <v>0</v>
      </c>
      <c r="I1417" s="22">
        <v>118</v>
      </c>
      <c r="J1417" s="23">
        <f>VLOOKUP(I1417,episodes!$A$1:$B$76,2,FALSE)</f>
        <v>19</v>
      </c>
      <c r="K1417" s="16" t="str">
        <f>VLOOKUP(I1417,episodes!$A$1:$E$81,5,FALSE)</f>
        <v>Arena</v>
      </c>
      <c r="L1417" s="16">
        <f>VLOOKUP(I1417,episodes!$A$1:$D$81,3,FALSE)</f>
        <v>1</v>
      </c>
      <c r="M1417" s="16">
        <f>VLOOKUP(I1417,episodes!$A$1:$D$81,4,FALSE)</f>
        <v>18</v>
      </c>
      <c r="N1417" s="14"/>
      <c r="O1417" s="14">
        <v>0</v>
      </c>
      <c r="P1417" s="24">
        <f>LEN(E1417)+LEN(K1417)</f>
        <v>88</v>
      </c>
      <c r="Q1417" s="24">
        <f>COUNTIFS(B:B,B1416)</f>
        <v>11</v>
      </c>
      <c r="R1417" s="24">
        <f>COUNTIFS(D:D,D1417)</f>
        <v>36</v>
      </c>
    </row>
    <row r="1418" spans="1:18" s="21" customFormat="1" x14ac:dyDescent="0.3">
      <c r="A1418" s="14">
        <v>2475</v>
      </c>
      <c r="B1418" s="21" t="s">
        <v>1850</v>
      </c>
      <c r="C1418" s="21" t="s">
        <v>930</v>
      </c>
      <c r="D1418" s="1" t="s">
        <v>145</v>
      </c>
      <c r="E1418" s="1" t="s">
        <v>1852</v>
      </c>
      <c r="F1418" s="21" t="s">
        <v>2316</v>
      </c>
      <c r="G1418" s="14">
        <v>0</v>
      </c>
      <c r="H1418" s="14">
        <v>0</v>
      </c>
      <c r="I1418" s="22">
        <v>207</v>
      </c>
      <c r="J1418" s="23">
        <f>VLOOKUP(I1418,episodes!$A$1:$B$76,2,FALSE)</f>
        <v>37</v>
      </c>
      <c r="K1418" s="16" t="str">
        <f>VLOOKUP(I1418,episodes!$A$1:$E$81,5,FALSE)</f>
        <v>Catspaw</v>
      </c>
      <c r="L1418" s="16">
        <f>VLOOKUP(I1418,episodes!$A$1:$D$81,3,FALSE)</f>
        <v>2</v>
      </c>
      <c r="M1418" s="16">
        <f>VLOOKUP(I1418,episodes!$A$1:$D$81,4,FALSE)</f>
        <v>7</v>
      </c>
      <c r="N1418" s="14"/>
      <c r="O1418" s="14">
        <v>0</v>
      </c>
      <c r="P1418" s="24">
        <f>LEN(E1418)+LEN(K1418)</f>
        <v>86</v>
      </c>
      <c r="Q1418" s="24">
        <f>COUNTIFS(B:B,#REF!)</f>
        <v>0</v>
      </c>
      <c r="R1418" s="24">
        <f>COUNTIFS(D:D,D1418)</f>
        <v>36</v>
      </c>
    </row>
    <row r="1419" spans="1:18" s="21" customFormat="1" x14ac:dyDescent="0.3">
      <c r="A1419" s="14">
        <v>166</v>
      </c>
      <c r="B1419" s="21" t="s">
        <v>235</v>
      </c>
      <c r="C1419" s="21" t="s">
        <v>930</v>
      </c>
      <c r="D1419" s="1" t="s">
        <v>145</v>
      </c>
      <c r="E1419" s="1" t="s">
        <v>1972</v>
      </c>
      <c r="F1419" s="21" t="s">
        <v>2276</v>
      </c>
      <c r="G1419" s="14">
        <v>0</v>
      </c>
      <c r="H1419" s="14">
        <v>0</v>
      </c>
      <c r="I1419" s="22">
        <v>121</v>
      </c>
      <c r="J1419" s="23">
        <f>VLOOKUP(I1419,episodes!$A$1:$B$76,2,FALSE)</f>
        <v>22</v>
      </c>
      <c r="K1419" s="16" t="str">
        <f>VLOOKUP(I1419,episodes!$A$1:$E$81,5,FALSE)</f>
        <v>The Return of the Archons</v>
      </c>
      <c r="L1419" s="16">
        <f>VLOOKUP(I1419,episodes!$A$1:$D$81,3,FALSE)</f>
        <v>1</v>
      </c>
      <c r="M1419" s="16">
        <f>VLOOKUP(I1419,episodes!$A$1:$D$81,4,FALSE)</f>
        <v>21</v>
      </c>
      <c r="N1419" s="14"/>
      <c r="O1419" s="14">
        <v>0</v>
      </c>
      <c r="P1419" s="24">
        <f>LEN(E1419)+LEN(K1419)</f>
        <v>79</v>
      </c>
      <c r="Q1419" s="24">
        <f>COUNTIFS(B:B,B1418)</f>
        <v>4</v>
      </c>
      <c r="R1419" s="24">
        <f>COUNTIFS(D:D,D1419)</f>
        <v>36</v>
      </c>
    </row>
    <row r="1420" spans="1:18" s="21" customFormat="1" x14ac:dyDescent="0.3">
      <c r="A1420" s="14">
        <v>1554</v>
      </c>
      <c r="B1420" s="21" t="s">
        <v>354</v>
      </c>
      <c r="C1420" s="21" t="s">
        <v>930</v>
      </c>
      <c r="D1420" s="1" t="s">
        <v>145</v>
      </c>
      <c r="E1420" s="1" t="s">
        <v>829</v>
      </c>
      <c r="F1420" s="21" t="s">
        <v>8</v>
      </c>
      <c r="G1420" s="14">
        <v>0</v>
      </c>
      <c r="H1420" s="14">
        <v>1</v>
      </c>
      <c r="I1420" s="22">
        <v>108</v>
      </c>
      <c r="J1420" s="23">
        <f>VLOOKUP(I1420,episodes!$A$1:$B$76,2,FALSE)</f>
        <v>9</v>
      </c>
      <c r="K1420" s="16" t="str">
        <f>VLOOKUP(I1420,episodes!$A$1:$E$81,5,FALSE)</f>
        <v>Miri</v>
      </c>
      <c r="L1420" s="16">
        <f>VLOOKUP(I1420,episodes!$A$1:$D$81,3,FALSE)</f>
        <v>1</v>
      </c>
      <c r="M1420" s="16">
        <f>VLOOKUP(I1420,episodes!$A$1:$D$81,4,FALSE)</f>
        <v>8</v>
      </c>
      <c r="N1420" s="14"/>
      <c r="O1420" s="14">
        <v>0</v>
      </c>
      <c r="P1420" s="24">
        <f>LEN(E1420)+LEN(K1420)</f>
        <v>87</v>
      </c>
      <c r="Q1420" s="24">
        <f>COUNTIFS(B:B,#REF!)</f>
        <v>0</v>
      </c>
      <c r="R1420" s="24">
        <f>COUNTIFS(D:D,D1420)</f>
        <v>36</v>
      </c>
    </row>
    <row r="1421" spans="1:18" s="21" customFormat="1" x14ac:dyDescent="0.3">
      <c r="A1421" s="14">
        <v>1664</v>
      </c>
      <c r="B1421" s="21" t="s">
        <v>1093</v>
      </c>
      <c r="C1421" s="21" t="s">
        <v>930</v>
      </c>
      <c r="D1421" s="1" t="s">
        <v>145</v>
      </c>
      <c r="E1421" s="1" t="s">
        <v>1908</v>
      </c>
      <c r="F1421" s="21" t="s">
        <v>8</v>
      </c>
      <c r="G1421" s="14">
        <v>0</v>
      </c>
      <c r="H1421" s="14">
        <v>1</v>
      </c>
      <c r="I1421" s="22">
        <v>210</v>
      </c>
      <c r="J1421" s="23">
        <f>VLOOKUP(I1421,episodes!$A$1:$B$81,2,FALSE)</f>
        <v>40</v>
      </c>
      <c r="K1421" s="16" t="str">
        <f>VLOOKUP(I1421,episodes!$A$1:$E$81,5,FALSE)</f>
        <v>Journey to Babel</v>
      </c>
      <c r="L1421" s="16">
        <f>VLOOKUP(I1421,episodes!$A$1:$D$81,3,FALSE)</f>
        <v>2</v>
      </c>
      <c r="M1421" s="16">
        <f>VLOOKUP(I1421,episodes!$A$1:$D$81,4,FALSE)</f>
        <v>10</v>
      </c>
      <c r="N1421" s="14"/>
      <c r="O1421" s="14">
        <v>0</v>
      </c>
      <c r="P1421" s="24">
        <f>LEN(E1421)+LEN(K1421)</f>
        <v>130</v>
      </c>
      <c r="Q1421" s="24">
        <f>COUNTIFS(B:B,B1420)</f>
        <v>2</v>
      </c>
      <c r="R1421" s="24">
        <f>COUNTIFS(D:D,D1421)</f>
        <v>36</v>
      </c>
    </row>
    <row r="1422" spans="1:18" s="21" customFormat="1" x14ac:dyDescent="0.3">
      <c r="A1422" s="14">
        <v>2826</v>
      </c>
      <c r="B1422" s="21" t="s">
        <v>354</v>
      </c>
      <c r="C1422" s="21" t="s">
        <v>930</v>
      </c>
      <c r="D1422" s="1" t="s">
        <v>145</v>
      </c>
      <c r="E1422" s="1" t="s">
        <v>533</v>
      </c>
      <c r="F1422" s="21" t="s">
        <v>2225</v>
      </c>
      <c r="G1422" s="14">
        <v>0</v>
      </c>
      <c r="H1422" s="14">
        <v>0</v>
      </c>
      <c r="I1422" s="22">
        <v>204</v>
      </c>
      <c r="J1422" s="23">
        <f>VLOOKUP(I1422,episodes!$A$1:$B$76,2,FALSE)</f>
        <v>34</v>
      </c>
      <c r="K1422" s="16" t="str">
        <f>VLOOKUP(I1422,episodes!$A$1:$E$81,5,FALSE)</f>
        <v>Mirror, Mirror</v>
      </c>
      <c r="L1422" s="16">
        <f>VLOOKUP(I1422,episodes!$A$1:$D$81,3,FALSE)</f>
        <v>2</v>
      </c>
      <c r="M1422" s="16">
        <f>VLOOKUP(I1422,episodes!$A$1:$D$81,4,FALSE)</f>
        <v>4</v>
      </c>
      <c r="N1422" s="14"/>
      <c r="O1422" s="14">
        <v>0</v>
      </c>
      <c r="P1422" s="24">
        <f>LEN(E1422)+LEN(K1422)</f>
        <v>91</v>
      </c>
      <c r="Q1422" s="24">
        <f>COUNTIFS(B:B,B1421)</f>
        <v>26</v>
      </c>
      <c r="R1422" s="24">
        <f>COUNTIFS(D:D,D1422)</f>
        <v>36</v>
      </c>
    </row>
    <row r="1423" spans="1:18" s="21" customFormat="1" x14ac:dyDescent="0.3">
      <c r="A1423" s="14">
        <v>1923</v>
      </c>
      <c r="B1423" s="21" t="s">
        <v>1094</v>
      </c>
      <c r="C1423" s="21" t="s">
        <v>930</v>
      </c>
      <c r="D1423" s="1" t="s">
        <v>145</v>
      </c>
      <c r="E1423" s="1" t="s">
        <v>1160</v>
      </c>
      <c r="F1423" s="21" t="s">
        <v>2228</v>
      </c>
      <c r="G1423" s="14">
        <v>0</v>
      </c>
      <c r="H1423" s="14">
        <v>0</v>
      </c>
      <c r="I1423" s="25">
        <v>203</v>
      </c>
      <c r="J1423" s="23">
        <f>VLOOKUP(I1423,episodes!$A$1:$B$76,2,FALSE)</f>
        <v>33</v>
      </c>
      <c r="K1423" s="16" t="str">
        <f>VLOOKUP(I1423,episodes!$A$1:$E$81,5,FALSE)</f>
        <v>The Changeling</v>
      </c>
      <c r="L1423" s="16">
        <f>VLOOKUP(I1423,episodes!$A$1:$D$81,3,FALSE)</f>
        <v>2</v>
      </c>
      <c r="M1423" s="16">
        <f>VLOOKUP(I1423,episodes!$A$1:$D$81,4,FALSE)</f>
        <v>3</v>
      </c>
      <c r="N1423" s="14"/>
      <c r="O1423" s="14">
        <v>0</v>
      </c>
      <c r="P1423" s="24">
        <f>LEN(E1423)+LEN(K1423)</f>
        <v>100</v>
      </c>
      <c r="Q1423" s="24">
        <f>COUNTIFS(B:B,B1422)</f>
        <v>2</v>
      </c>
      <c r="R1423" s="24">
        <f>COUNTIFS(D:D,D1423)</f>
        <v>36</v>
      </c>
    </row>
    <row r="1424" spans="1:18" s="21" customFormat="1" x14ac:dyDescent="0.3">
      <c r="A1424" s="14">
        <v>276</v>
      </c>
      <c r="B1424" s="21" t="s">
        <v>1094</v>
      </c>
      <c r="C1424" s="21" t="s">
        <v>930</v>
      </c>
      <c r="D1424" s="1" t="s">
        <v>145</v>
      </c>
      <c r="E1424" s="1" t="s">
        <v>1794</v>
      </c>
      <c r="F1424" s="21" t="s">
        <v>2224</v>
      </c>
      <c r="G1424" s="14">
        <v>0</v>
      </c>
      <c r="H1424" s="14">
        <v>0</v>
      </c>
      <c r="I1424" s="25">
        <v>115</v>
      </c>
      <c r="J1424" s="23">
        <f>VLOOKUP(I1424,episodes!$A$1:$B$76,2,FALSE)</f>
        <v>16</v>
      </c>
      <c r="K1424" s="16" t="str">
        <f>VLOOKUP(I1424,episodes!$A$1:$E$81,5,FALSE)</f>
        <v>Shore Leave</v>
      </c>
      <c r="L1424" s="16">
        <f>VLOOKUP(I1424,episodes!$A$1:$D$81,3,FALSE)</f>
        <v>1</v>
      </c>
      <c r="M1424" s="16">
        <f>VLOOKUP(I1424,episodes!$A$1:$D$81,4,FALSE)</f>
        <v>15</v>
      </c>
      <c r="N1424" s="14"/>
      <c r="O1424" s="14">
        <v>0</v>
      </c>
      <c r="P1424" s="24">
        <f>LEN(E1424)+LEN(K1424)</f>
        <v>115</v>
      </c>
      <c r="Q1424" s="24">
        <f>COUNTIFS(B:B,B1423)</f>
        <v>11</v>
      </c>
      <c r="R1424" s="24">
        <f>COUNTIFS(D:D,D1424)</f>
        <v>36</v>
      </c>
    </row>
    <row r="1425" spans="1:18" s="21" customFormat="1" x14ac:dyDescent="0.3">
      <c r="A1425" s="14">
        <v>2798</v>
      </c>
      <c r="B1425" s="21" t="s">
        <v>1093</v>
      </c>
      <c r="C1425" s="21" t="s">
        <v>930</v>
      </c>
      <c r="D1425" s="21" t="s">
        <v>145</v>
      </c>
      <c r="E1425" s="1" t="s">
        <v>851</v>
      </c>
      <c r="F1425" s="21" t="s">
        <v>2225</v>
      </c>
      <c r="G1425" s="14">
        <v>0</v>
      </c>
      <c r="H1425" s="14">
        <v>0</v>
      </c>
      <c r="I1425" s="22">
        <v>125</v>
      </c>
      <c r="J1425" s="23">
        <f>VLOOKUP(I1425,episodes!$A$1:$B$76,2,FALSE)</f>
        <v>26</v>
      </c>
      <c r="K1425" s="16" t="str">
        <f>VLOOKUP(I1425,episodes!$A$1:$E$81,5,FALSE)</f>
        <v>The Devil in the Dark</v>
      </c>
      <c r="L1425" s="16">
        <f>VLOOKUP(I1425,episodes!$A$1:$D$81,3,FALSE)</f>
        <v>1</v>
      </c>
      <c r="M1425" s="16">
        <f>VLOOKUP(I1425,episodes!$A$1:$D$81,4,FALSE)</f>
        <v>25</v>
      </c>
      <c r="N1425" s="14"/>
      <c r="O1425" s="14">
        <v>0</v>
      </c>
      <c r="P1425" s="24">
        <f>LEN(E1425)+LEN(K1425)</f>
        <v>61</v>
      </c>
      <c r="Q1425" s="24">
        <f>COUNTIFS(B:B,B1424)</f>
        <v>11</v>
      </c>
      <c r="R1425" s="24">
        <f>COUNTIFS(D:D,D1425)</f>
        <v>36</v>
      </c>
    </row>
    <row r="1426" spans="1:18" s="21" customFormat="1" x14ac:dyDescent="0.3">
      <c r="A1426" s="14">
        <v>2753</v>
      </c>
      <c r="B1426" s="21" t="s">
        <v>1093</v>
      </c>
      <c r="C1426" s="21" t="s">
        <v>930</v>
      </c>
      <c r="D1426" s="21" t="s">
        <v>145</v>
      </c>
      <c r="E1426" s="1" t="s">
        <v>493</v>
      </c>
      <c r="F1426" s="21" t="s">
        <v>2225</v>
      </c>
      <c r="G1426" s="14">
        <v>0</v>
      </c>
      <c r="H1426" s="14">
        <v>0</v>
      </c>
      <c r="I1426" s="22">
        <v>114</v>
      </c>
      <c r="J1426" s="23">
        <f>VLOOKUP(I1426,episodes!$A$1:$B$76,2,FALSE)</f>
        <v>15</v>
      </c>
      <c r="K1426" s="16" t="str">
        <f>VLOOKUP(I1426,episodes!$A$1:$E$81,5,FALSE)</f>
        <v>Balance of Terror</v>
      </c>
      <c r="L1426" s="16">
        <f>VLOOKUP(I1426,episodes!$A$1:$D$81,3,FALSE)</f>
        <v>1</v>
      </c>
      <c r="M1426" s="16">
        <f>VLOOKUP(I1426,episodes!$A$1:$D$81,4,FALSE)</f>
        <v>14</v>
      </c>
      <c r="N1426" s="14"/>
      <c r="O1426" s="14">
        <v>0</v>
      </c>
      <c r="P1426" s="24">
        <f>LEN(E1426)+LEN(K1426)</f>
        <v>54</v>
      </c>
      <c r="Q1426" s="24">
        <f>COUNTIFS(B:B,B1425)</f>
        <v>26</v>
      </c>
      <c r="R1426" s="24">
        <f>COUNTIFS(D:D,D1426)</f>
        <v>36</v>
      </c>
    </row>
    <row r="1427" spans="1:18" s="21" customFormat="1" x14ac:dyDescent="0.3">
      <c r="A1427" s="14">
        <v>1997</v>
      </c>
      <c r="B1427" s="21" t="s">
        <v>1094</v>
      </c>
      <c r="C1427" s="21" t="s">
        <v>930</v>
      </c>
      <c r="D1427" s="1" t="s">
        <v>145</v>
      </c>
      <c r="E1427" s="1" t="s">
        <v>1460</v>
      </c>
      <c r="F1427" s="21" t="s">
        <v>6</v>
      </c>
      <c r="G1427" s="14">
        <v>0</v>
      </c>
      <c r="H1427" s="14">
        <v>1</v>
      </c>
      <c r="I1427" s="22">
        <v>208</v>
      </c>
      <c r="J1427" s="23">
        <f>VLOOKUP(I1427,episodes!$A$1:$B$81,2,FALSE)</f>
        <v>38</v>
      </c>
      <c r="K1427" s="16" t="str">
        <f>VLOOKUP(I1427,episodes!$A$1:$E$81,5,FALSE)</f>
        <v>I, Mudd</v>
      </c>
      <c r="L1427" s="16">
        <f>VLOOKUP(I1427,episodes!$A$1:$D$81,3,FALSE)</f>
        <v>2</v>
      </c>
      <c r="M1427" s="16">
        <f>VLOOKUP(I1427,episodes!$A$1:$D$81,4,FALSE)</f>
        <v>8</v>
      </c>
      <c r="N1427" s="14"/>
      <c r="O1427" s="14">
        <v>0</v>
      </c>
      <c r="P1427" s="24">
        <f>LEN(E1427)+LEN(K1427)</f>
        <v>87</v>
      </c>
      <c r="Q1427" s="24">
        <f>COUNTIFS(B:B,B1426)</f>
        <v>26</v>
      </c>
      <c r="R1427" s="24">
        <f>COUNTIFS(D:D,D1427)</f>
        <v>36</v>
      </c>
    </row>
    <row r="1428" spans="1:18" s="21" customFormat="1" x14ac:dyDescent="0.3">
      <c r="A1428" s="14">
        <v>2181</v>
      </c>
      <c r="B1428" s="21" t="s">
        <v>248</v>
      </c>
      <c r="C1428" s="21" t="s">
        <v>930</v>
      </c>
      <c r="D1428" s="1" t="s">
        <v>145</v>
      </c>
      <c r="E1428" s="1" t="s">
        <v>1355</v>
      </c>
      <c r="F1428" s="21" t="s">
        <v>5</v>
      </c>
      <c r="G1428" s="14">
        <v>1</v>
      </c>
      <c r="H1428" s="14">
        <v>0</v>
      </c>
      <c r="I1428" s="22">
        <v>128</v>
      </c>
      <c r="J1428" s="23">
        <f>VLOOKUP(I1428,episodes!$A$1:$B$81,2,FALSE)</f>
        <v>29</v>
      </c>
      <c r="K1428" s="16" t="str">
        <f>VLOOKUP(I1428,episodes!$A$1:$E$81,5,FALSE)</f>
        <v>The City on the Edge of Forever</v>
      </c>
      <c r="L1428" s="16">
        <f>VLOOKUP(I1428,episodes!$A$1:$D$81,3,FALSE)</f>
        <v>1</v>
      </c>
      <c r="M1428" s="16">
        <f>VLOOKUP(I1428,episodes!$A$1:$D$81,4,FALSE)</f>
        <v>28</v>
      </c>
      <c r="N1428" s="14"/>
      <c r="O1428" s="14">
        <v>0</v>
      </c>
      <c r="P1428" s="24">
        <f>LEN(E1428)+LEN(K1428)</f>
        <v>238</v>
      </c>
      <c r="Q1428" s="24">
        <f>COUNTIFS(B:B,B1427)</f>
        <v>11</v>
      </c>
      <c r="R1428" s="24">
        <f>COUNTIFS(D:D,D1428)</f>
        <v>36</v>
      </c>
    </row>
    <row r="1429" spans="1:18" s="21" customFormat="1" x14ac:dyDescent="0.3">
      <c r="A1429" s="14">
        <v>2889</v>
      </c>
      <c r="B1429" s="21" t="s">
        <v>318</v>
      </c>
      <c r="C1429" s="21" t="s">
        <v>930</v>
      </c>
      <c r="D1429" s="21" t="s">
        <v>145</v>
      </c>
      <c r="E1429" s="1" t="s">
        <v>2112</v>
      </c>
      <c r="F1429" s="21" t="s">
        <v>2225</v>
      </c>
      <c r="G1429" s="14">
        <v>0</v>
      </c>
      <c r="H1429" s="14">
        <v>0</v>
      </c>
      <c r="I1429" s="14">
        <v>209</v>
      </c>
      <c r="J1429" s="23">
        <f>VLOOKUP(I1429,episodes!$A$1:$B$81,2,FALSE)</f>
        <v>39</v>
      </c>
      <c r="K1429" s="16" t="str">
        <f>VLOOKUP(I1429,episodes!$A$1:$E$81,5,FALSE)</f>
        <v>Metamorphosis</v>
      </c>
      <c r="L1429" s="16">
        <f>VLOOKUP(I1429,episodes!$A$1:$D$81,3,FALSE)</f>
        <v>2</v>
      </c>
      <c r="M1429" s="16">
        <f>VLOOKUP(I1429,episodes!$A$1:$D$81,4,FALSE)</f>
        <v>9</v>
      </c>
      <c r="N1429" s="14"/>
      <c r="O1429" s="14">
        <v>0</v>
      </c>
      <c r="P1429" s="24">
        <f>LEN(E1429)+LEN(K1429)</f>
        <v>56</v>
      </c>
      <c r="Q1429" s="24">
        <f>COUNTIFS(B:B,B1428)</f>
        <v>2</v>
      </c>
      <c r="R1429" s="24">
        <f>COUNTIFS(D:D,D1429)</f>
        <v>36</v>
      </c>
    </row>
    <row r="1430" spans="1:18" s="21" customFormat="1" x14ac:dyDescent="0.3">
      <c r="A1430" s="14">
        <v>2292</v>
      </c>
      <c r="B1430" s="21" t="s">
        <v>363</v>
      </c>
      <c r="C1430" s="21" t="s">
        <v>930</v>
      </c>
      <c r="D1430" s="21" t="s">
        <v>145</v>
      </c>
      <c r="E1430" s="1" t="s">
        <v>1905</v>
      </c>
      <c r="F1430" s="21" t="s">
        <v>5</v>
      </c>
      <c r="G1430" s="14">
        <v>1</v>
      </c>
      <c r="H1430" s="14">
        <v>0</v>
      </c>
      <c r="I1430" s="22">
        <v>210</v>
      </c>
      <c r="J1430" s="23">
        <f>VLOOKUP(I1430,episodes!$A$1:$B$81,2,FALSE)</f>
        <v>40</v>
      </c>
      <c r="K1430" s="16" t="str">
        <f>VLOOKUP(I1430,episodes!$A$1:$E$81,5,FALSE)</f>
        <v>Journey to Babel</v>
      </c>
      <c r="L1430" s="16">
        <f>VLOOKUP(I1430,episodes!$A$1:$D$81,3,FALSE)</f>
        <v>2</v>
      </c>
      <c r="M1430" s="16">
        <f>VLOOKUP(I1430,episodes!$A$1:$D$81,4,FALSE)</f>
        <v>10</v>
      </c>
      <c r="N1430" s="14"/>
      <c r="O1430" s="14">
        <v>0</v>
      </c>
      <c r="P1430" s="24">
        <f>LEN(E1430)+LEN(K1430)</f>
        <v>80</v>
      </c>
      <c r="Q1430" s="24">
        <f>COUNTIFS(B:B,B1429)</f>
        <v>5</v>
      </c>
      <c r="R1430" s="24">
        <f>COUNTIFS(D:D,D1430)</f>
        <v>36</v>
      </c>
    </row>
    <row r="1431" spans="1:18" s="21" customFormat="1" x14ac:dyDescent="0.3">
      <c r="A1431" s="14">
        <v>2032</v>
      </c>
      <c r="B1431" s="21" t="s">
        <v>1839</v>
      </c>
      <c r="C1431" s="21" t="s">
        <v>930</v>
      </c>
      <c r="D1431" s="1" t="s">
        <v>145</v>
      </c>
      <c r="E1431" s="1" t="s">
        <v>1840</v>
      </c>
      <c r="F1431" s="21" t="s">
        <v>5</v>
      </c>
      <c r="G1431" s="14">
        <v>1</v>
      </c>
      <c r="H1431" s="14">
        <v>0</v>
      </c>
      <c r="I1431" s="14">
        <v>301</v>
      </c>
      <c r="J1431" s="23">
        <f>VLOOKUP(I1431,episodes!$A$1:$B$76,2,FALSE)</f>
        <v>57</v>
      </c>
      <c r="K1431" s="16" t="str">
        <f>VLOOKUP(I1431,episodes!$A$1:$E$81,5,FALSE)</f>
        <v>Spock's Brain</v>
      </c>
      <c r="L1431" s="16">
        <f>VLOOKUP(I1431,episodes!$A$1:$D$81,3,FALSE)</f>
        <v>3</v>
      </c>
      <c r="M1431" s="16">
        <f>VLOOKUP(I1431,episodes!$A$1:$D$81,4,FALSE)</f>
        <v>1</v>
      </c>
      <c r="N1431" s="14"/>
      <c r="O1431" s="14">
        <v>0</v>
      </c>
      <c r="P1431" s="24">
        <f>LEN(E1431)+LEN(K1431)</f>
        <v>217</v>
      </c>
      <c r="Q1431" s="24">
        <f>COUNTIFS(B:B,B1433)</f>
        <v>2</v>
      </c>
      <c r="R1431" s="24">
        <f>COUNTIFS(D:D,D1434)</f>
        <v>36</v>
      </c>
    </row>
    <row r="1432" spans="1:18" s="21" customFormat="1" x14ac:dyDescent="0.3">
      <c r="A1432" s="14">
        <v>2477</v>
      </c>
      <c r="B1432" s="21" t="s">
        <v>1093</v>
      </c>
      <c r="C1432" s="21" t="s">
        <v>930</v>
      </c>
      <c r="D1432" s="21" t="s">
        <v>145</v>
      </c>
      <c r="E1432" s="1" t="s">
        <v>1055</v>
      </c>
      <c r="F1432" s="21" t="s">
        <v>2247</v>
      </c>
      <c r="G1432" s="14">
        <v>0</v>
      </c>
      <c r="H1432" s="14">
        <v>0</v>
      </c>
      <c r="I1432" s="25">
        <v>100</v>
      </c>
      <c r="J1432" s="23">
        <f>VLOOKUP(I1432,episodes!$A$1:$B$76,2,FALSE)</f>
        <v>1</v>
      </c>
      <c r="K1432" s="16" t="str">
        <f>VLOOKUP(I1432,episodes!$A$1:$E$81,5,FALSE)</f>
        <v>The Cage</v>
      </c>
      <c r="L1432" s="16">
        <f>VLOOKUP(I1432,episodes!$A$1:$D$81,3,FALSE)</f>
        <v>1</v>
      </c>
      <c r="M1432" s="16">
        <f>VLOOKUP(I1432,episodes!$A$1:$D$81,4,FALSE)</f>
        <v>0</v>
      </c>
      <c r="N1432" s="14"/>
      <c r="O1432" s="14">
        <v>0</v>
      </c>
      <c r="P1432" s="24">
        <f>LEN(E1432)+LEN(K1432)</f>
        <v>89</v>
      </c>
      <c r="Q1432" s="24">
        <f>COUNTIFS(B:B,B1430)</f>
        <v>8</v>
      </c>
      <c r="R1432" s="24">
        <f>COUNTIFS(D:D,D1432)</f>
        <v>36</v>
      </c>
    </row>
    <row r="1433" spans="1:18" s="21" customFormat="1" x14ac:dyDescent="0.3">
      <c r="A1433" s="14">
        <v>377</v>
      </c>
      <c r="B1433" s="21" t="s">
        <v>1839</v>
      </c>
      <c r="C1433" s="21" t="s">
        <v>930</v>
      </c>
      <c r="D1433" s="1" t="s">
        <v>145</v>
      </c>
      <c r="E1433" s="1" t="s">
        <v>1841</v>
      </c>
      <c r="F1433" s="21" t="s">
        <v>2224</v>
      </c>
      <c r="G1433" s="14">
        <v>0</v>
      </c>
      <c r="H1433" s="14">
        <v>0</v>
      </c>
      <c r="I1433" s="14">
        <v>301</v>
      </c>
      <c r="J1433" s="23">
        <f>VLOOKUP(I1433,episodes!$A$1:$B$76,2,FALSE)</f>
        <v>57</v>
      </c>
      <c r="K1433" s="16" t="str">
        <f>VLOOKUP(I1433,episodes!$A$1:$E$81,5,FALSE)</f>
        <v>Spock's Brain</v>
      </c>
      <c r="L1433" s="16">
        <f>VLOOKUP(I1433,episodes!$A$1:$D$81,3,FALSE)</f>
        <v>3</v>
      </c>
      <c r="M1433" s="16">
        <f>VLOOKUP(I1433,episodes!$A$1:$D$81,4,FALSE)</f>
        <v>1</v>
      </c>
      <c r="N1433" s="14"/>
      <c r="O1433" s="14">
        <v>0</v>
      </c>
      <c r="P1433" s="24">
        <f>LEN(E1433)+LEN(K1433)</f>
        <v>122</v>
      </c>
      <c r="Q1433" s="24">
        <f>COUNTIFS(B:B,B1435)</f>
        <v>26</v>
      </c>
      <c r="R1433" s="24">
        <f>COUNTIFS(D:D,D1436)</f>
        <v>36</v>
      </c>
    </row>
    <row r="1434" spans="1:18" s="21" customFormat="1" x14ac:dyDescent="0.3">
      <c r="A1434" s="14">
        <v>2825</v>
      </c>
      <c r="B1434" s="21" t="s">
        <v>1826</v>
      </c>
      <c r="C1434" s="21" t="s">
        <v>930</v>
      </c>
      <c r="D1434" s="1" t="s">
        <v>145</v>
      </c>
      <c r="E1434" s="1" t="s">
        <v>1827</v>
      </c>
      <c r="F1434" s="21" t="s">
        <v>2225</v>
      </c>
      <c r="G1434" s="14">
        <v>0</v>
      </c>
      <c r="H1434" s="14">
        <v>0</v>
      </c>
      <c r="I1434" s="25">
        <v>204</v>
      </c>
      <c r="J1434" s="23">
        <f>VLOOKUP(I1434,episodes!$A$1:$B$76,2,FALSE)</f>
        <v>34</v>
      </c>
      <c r="K1434" s="16" t="str">
        <f>VLOOKUP(I1434,episodes!$A$1:$E$81,5,FALSE)</f>
        <v>Mirror, Mirror</v>
      </c>
      <c r="L1434" s="16">
        <f>VLOOKUP(I1434,episodes!$A$1:$D$81,3,FALSE)</f>
        <v>2</v>
      </c>
      <c r="M1434" s="16">
        <f>VLOOKUP(I1434,episodes!$A$1:$D$81,4,FALSE)</f>
        <v>4</v>
      </c>
      <c r="N1434" s="14"/>
      <c r="O1434" s="14">
        <v>0</v>
      </c>
      <c r="P1434" s="24">
        <f>LEN(E1434)+LEN(K1434)</f>
        <v>94</v>
      </c>
      <c r="Q1434" s="24">
        <f>COUNTIFS(B:B,B1433)</f>
        <v>2</v>
      </c>
      <c r="R1434" s="24">
        <f>COUNTIFS(D:D,D1434)</f>
        <v>36</v>
      </c>
    </row>
    <row r="1435" spans="1:18" s="21" customFormat="1" x14ac:dyDescent="0.3">
      <c r="A1435" s="14">
        <v>2736</v>
      </c>
      <c r="B1435" s="21" t="s">
        <v>1093</v>
      </c>
      <c r="C1435" s="21" t="s">
        <v>930</v>
      </c>
      <c r="D1435" s="21" t="s">
        <v>145</v>
      </c>
      <c r="E1435" s="1" t="s">
        <v>1740</v>
      </c>
      <c r="F1435" s="21" t="s">
        <v>2225</v>
      </c>
      <c r="G1435" s="14">
        <v>0</v>
      </c>
      <c r="H1435" s="14">
        <v>0</v>
      </c>
      <c r="I1435" s="22">
        <v>109</v>
      </c>
      <c r="J1435" s="23">
        <f>VLOOKUP(I1435,episodes!$A$1:$B$76,2,FALSE)</f>
        <v>10</v>
      </c>
      <c r="K1435" s="16" t="str">
        <f>VLOOKUP(I1435,episodes!$A$1:$E$81,5,FALSE)</f>
        <v>Dagger of the Mind</v>
      </c>
      <c r="L1435" s="16">
        <f>VLOOKUP(I1435,episodes!$A$1:$D$81,3,FALSE)</f>
        <v>1</v>
      </c>
      <c r="M1435" s="16">
        <f>VLOOKUP(I1435,episodes!$A$1:$D$81,4,FALSE)</f>
        <v>9</v>
      </c>
      <c r="N1435" s="14"/>
      <c r="O1435" s="14">
        <v>0</v>
      </c>
      <c r="P1435" s="24">
        <f>LEN(E1435)+LEN(K1435)</f>
        <v>92</v>
      </c>
      <c r="Q1435" s="24">
        <f>COUNTIFS(B:B,B1434)</f>
        <v>1</v>
      </c>
      <c r="R1435" s="24">
        <f>COUNTIFS(D:D,D1435)</f>
        <v>36</v>
      </c>
    </row>
    <row r="1436" spans="1:18" s="21" customFormat="1" x14ac:dyDescent="0.3">
      <c r="A1436" s="14">
        <v>65</v>
      </c>
      <c r="B1436" s="21" t="s">
        <v>1837</v>
      </c>
      <c r="C1436" s="21" t="s">
        <v>930</v>
      </c>
      <c r="D1436" s="1" t="s">
        <v>145</v>
      </c>
      <c r="E1436" s="1" t="s">
        <v>1838</v>
      </c>
      <c r="F1436" s="21" t="s">
        <v>2</v>
      </c>
      <c r="G1436" s="14">
        <v>0</v>
      </c>
      <c r="H1436" s="14">
        <v>0</v>
      </c>
      <c r="I1436" s="14">
        <v>218</v>
      </c>
      <c r="J1436" s="23">
        <f>VLOOKUP(I1436,episodes!$A$1:$B$76,2,FALSE)</f>
        <v>48</v>
      </c>
      <c r="K1436" s="16" t="str">
        <f>VLOOKUP(I1436,episodes!$A$1:$E$81,5,FALSE)</f>
        <v>The Immunity Syndrome</v>
      </c>
      <c r="L1436" s="16">
        <f>VLOOKUP(I1436,episodes!$A$1:$D$81,3,FALSE)</f>
        <v>2</v>
      </c>
      <c r="M1436" s="16">
        <f>VLOOKUP(I1436,episodes!$A$1:$D$81,4,FALSE)</f>
        <v>18</v>
      </c>
      <c r="N1436" s="14"/>
      <c r="O1436" s="14">
        <v>0</v>
      </c>
      <c r="P1436" s="24">
        <f>LEN(E1436)+LEN(K1436)</f>
        <v>73</v>
      </c>
      <c r="Q1436" s="24">
        <f>COUNTIFS(B:B,B1438)</f>
        <v>11</v>
      </c>
      <c r="R1436" s="24">
        <f>COUNTIFS(D:D,D1439)</f>
        <v>5</v>
      </c>
    </row>
    <row r="1437" spans="1:18" s="21" customFormat="1" x14ac:dyDescent="0.3">
      <c r="A1437" s="14">
        <v>15</v>
      </c>
      <c r="B1437" s="21" t="s">
        <v>1850</v>
      </c>
      <c r="C1437" s="21" t="s">
        <v>930</v>
      </c>
      <c r="D1437" s="1" t="s">
        <v>145</v>
      </c>
      <c r="E1437" s="1" t="s">
        <v>1853</v>
      </c>
      <c r="F1437" s="21" t="s">
        <v>2</v>
      </c>
      <c r="G1437" s="14">
        <v>0</v>
      </c>
      <c r="H1437" s="14">
        <v>0</v>
      </c>
      <c r="I1437" s="22">
        <v>117</v>
      </c>
      <c r="J1437" s="23">
        <f>VLOOKUP(I1437,episodes!$A$1:$B$76,2,FALSE)</f>
        <v>18</v>
      </c>
      <c r="K1437" s="16" t="str">
        <f>VLOOKUP(I1437,episodes!$A$1:$E$81,5,FALSE)</f>
        <v>The Squire of Gothos</v>
      </c>
      <c r="L1437" s="16">
        <f>VLOOKUP(I1437,episodes!$A$1:$D$81,3,FALSE)</f>
        <v>1</v>
      </c>
      <c r="M1437" s="16">
        <f>VLOOKUP(I1437,episodes!$A$1:$D$81,4,FALSE)</f>
        <v>17</v>
      </c>
      <c r="N1437" s="14"/>
      <c r="O1437" s="14">
        <v>0</v>
      </c>
      <c r="P1437" s="24">
        <f>LEN(E1437)+LEN(K1437)</f>
        <v>87</v>
      </c>
      <c r="Q1437" s="24">
        <f>COUNTIFS(B:B,B1436)</f>
        <v>1</v>
      </c>
      <c r="R1437" s="24">
        <f>COUNTIFS(D:D,D1437)</f>
        <v>36</v>
      </c>
    </row>
    <row r="1438" spans="1:18" s="21" customFormat="1" x14ac:dyDescent="0.3">
      <c r="A1438" s="14">
        <v>2729</v>
      </c>
      <c r="B1438" s="21" t="s">
        <v>1094</v>
      </c>
      <c r="C1438" s="21" t="s">
        <v>930</v>
      </c>
      <c r="D1438" s="1" t="s">
        <v>145</v>
      </c>
      <c r="E1438" s="1" t="s">
        <v>1229</v>
      </c>
      <c r="F1438" s="21" t="s">
        <v>2225</v>
      </c>
      <c r="G1438" s="14">
        <v>0</v>
      </c>
      <c r="H1438" s="14">
        <v>0</v>
      </c>
      <c r="I1438" s="25">
        <v>106</v>
      </c>
      <c r="J1438" s="23">
        <f>VLOOKUP(I1438,episodes!$A$1:$B$76,2,FALSE)</f>
        <v>7</v>
      </c>
      <c r="K1438" s="16" t="str">
        <f>VLOOKUP(I1438,episodes!$A$1:$E$81,5,FALSE)</f>
        <v>Mudd's Women</v>
      </c>
      <c r="L1438" s="16">
        <f>VLOOKUP(I1438,episodes!$A$1:$D$81,3,FALSE)</f>
        <v>1</v>
      </c>
      <c r="M1438" s="16">
        <f>VLOOKUP(I1438,episodes!$A$1:$D$81,4,FALSE)</f>
        <v>6</v>
      </c>
      <c r="N1438" s="14"/>
      <c r="O1438" s="14">
        <v>0</v>
      </c>
      <c r="P1438" s="24">
        <f>LEN(E1438)+LEN(K1438)</f>
        <v>69</v>
      </c>
      <c r="Q1438" s="24">
        <f>COUNTIFS(B:B,B1437)</f>
        <v>4</v>
      </c>
      <c r="R1438" s="24">
        <f>COUNTIFS(D:D,D1438)</f>
        <v>36</v>
      </c>
    </row>
    <row r="1439" spans="1:18" s="21" customFormat="1" x14ac:dyDescent="0.3">
      <c r="A1439" s="14">
        <v>1961</v>
      </c>
      <c r="B1439" s="21" t="s">
        <v>342</v>
      </c>
      <c r="C1439" s="21" t="s">
        <v>930</v>
      </c>
      <c r="D1439" s="1" t="s">
        <v>1147</v>
      </c>
      <c r="E1439" s="1" t="s">
        <v>1857</v>
      </c>
      <c r="F1439" s="21" t="s">
        <v>6</v>
      </c>
      <c r="G1439" s="14">
        <v>0</v>
      </c>
      <c r="H1439" s="14">
        <v>1</v>
      </c>
      <c r="I1439" s="25">
        <v>222</v>
      </c>
      <c r="J1439" s="23">
        <f>VLOOKUP(I1439,episodes!$A$1:$B$76,2,FALSE)</f>
        <v>52</v>
      </c>
      <c r="K1439" s="16" t="str">
        <f>VLOOKUP(I1439,episodes!$A$1:$E$81,5,FALSE)</f>
        <v>By Any Other Name</v>
      </c>
      <c r="L1439" s="16">
        <f>VLOOKUP(I1439,episodes!$A$1:$D$81,3,FALSE)</f>
        <v>2</v>
      </c>
      <c r="M1439" s="16">
        <f>VLOOKUP(I1439,episodes!$A$1:$D$81,4,FALSE)</f>
        <v>22</v>
      </c>
      <c r="N1439" s="14"/>
      <c r="O1439" s="14">
        <v>0</v>
      </c>
      <c r="P1439" s="24">
        <f>LEN(E1439)+LEN(K1439)</f>
        <v>141</v>
      </c>
      <c r="Q1439" s="24">
        <f>COUNTIFS(B:B,B1441)</f>
        <v>6</v>
      </c>
      <c r="R1439" s="24">
        <f>COUNTIFS(D:D,D1442)</f>
        <v>5</v>
      </c>
    </row>
    <row r="1440" spans="1:18" s="21" customFormat="1" x14ac:dyDescent="0.3">
      <c r="A1440" s="14">
        <v>1960</v>
      </c>
      <c r="B1440" s="21" t="s">
        <v>342</v>
      </c>
      <c r="C1440" s="21" t="s">
        <v>930</v>
      </c>
      <c r="D1440" s="1" t="s">
        <v>1147</v>
      </c>
      <c r="E1440" s="1" t="s">
        <v>2162</v>
      </c>
      <c r="F1440" s="21" t="s">
        <v>6</v>
      </c>
      <c r="G1440" s="14">
        <v>0</v>
      </c>
      <c r="H1440" s="14">
        <v>1</v>
      </c>
      <c r="I1440" s="25">
        <v>206</v>
      </c>
      <c r="J1440" s="23">
        <f>VLOOKUP(I1440,episodes!$A$1:$B$76,2,FALSE)</f>
        <v>36</v>
      </c>
      <c r="K1440" s="16" t="str">
        <f>VLOOKUP(I1440,episodes!$A$1:$E$81,5,FALSE)</f>
        <v>The Doomsday Machine</v>
      </c>
      <c r="L1440" s="16">
        <f>VLOOKUP(I1440,episodes!$A$1:$D$81,3,FALSE)</f>
        <v>2</v>
      </c>
      <c r="M1440" s="16">
        <f>VLOOKUP(I1440,episodes!$A$1:$D$81,4,FALSE)</f>
        <v>6</v>
      </c>
      <c r="N1440" s="14"/>
      <c r="O1440" s="14">
        <v>0</v>
      </c>
      <c r="P1440" s="24">
        <f>LEN(E1440)+LEN(K1440)</f>
        <v>377</v>
      </c>
      <c r="Q1440" s="24">
        <f>COUNTIFS(B:B,B1439)</f>
        <v>6</v>
      </c>
      <c r="R1440" s="24">
        <f>COUNTIFS(D:D,D1440)</f>
        <v>5</v>
      </c>
    </row>
    <row r="1441" spans="1:18" s="21" customFormat="1" x14ac:dyDescent="0.3">
      <c r="A1441" s="14">
        <v>376</v>
      </c>
      <c r="B1441" s="21" t="s">
        <v>342</v>
      </c>
      <c r="C1441" s="21" t="s">
        <v>930</v>
      </c>
      <c r="D1441" s="1" t="s">
        <v>1147</v>
      </c>
      <c r="E1441" s="1" t="s">
        <v>1858</v>
      </c>
      <c r="F1441" s="21" t="s">
        <v>2224</v>
      </c>
      <c r="G1441" s="14">
        <v>0</v>
      </c>
      <c r="H1441" s="14">
        <v>0</v>
      </c>
      <c r="I1441" s="25">
        <v>226</v>
      </c>
      <c r="J1441" s="23">
        <f>VLOOKUP(I1441,episodes!$A$1:$B$76,2,FALSE)</f>
        <v>56</v>
      </c>
      <c r="K1441" s="16" t="str">
        <f>VLOOKUP(I1441,episodes!$A$1:$E$81,5,FALSE)</f>
        <v>Assignment: Earth</v>
      </c>
      <c r="L1441" s="16">
        <f>VLOOKUP(I1441,episodes!$A$1:$D$81,3,FALSE)</f>
        <v>2</v>
      </c>
      <c r="M1441" s="16">
        <f>VLOOKUP(I1441,episodes!$A$1:$D$81,4,FALSE)</f>
        <v>26</v>
      </c>
      <c r="N1441" s="14"/>
      <c r="O1441" s="14">
        <v>0</v>
      </c>
      <c r="P1441" s="24">
        <f>LEN(E1441)+LEN(K1441)</f>
        <v>249</v>
      </c>
      <c r="Q1441" s="24">
        <f>COUNTIFS(B:B,B1443)</f>
        <v>6</v>
      </c>
      <c r="R1441" s="24">
        <f>COUNTIFS(D:D,D1444)</f>
        <v>1</v>
      </c>
    </row>
    <row r="1442" spans="1:18" s="21" customFormat="1" x14ac:dyDescent="0.3">
      <c r="A1442" s="14">
        <v>379</v>
      </c>
      <c r="B1442" s="21" t="s">
        <v>342</v>
      </c>
      <c r="C1442" s="21" t="s">
        <v>930</v>
      </c>
      <c r="D1442" s="1" t="s">
        <v>1147</v>
      </c>
      <c r="E1442" s="1" t="s">
        <v>2323</v>
      </c>
      <c r="F1442" s="21" t="s">
        <v>2224</v>
      </c>
      <c r="G1442" s="14">
        <v>0</v>
      </c>
      <c r="H1442" s="14">
        <v>0</v>
      </c>
      <c r="I1442" s="25">
        <v>315</v>
      </c>
      <c r="J1442" s="23">
        <f>VLOOKUP(I1442,episodes!$A$1:$B$76,2,FALSE)</f>
        <v>71</v>
      </c>
      <c r="K1442" s="16" t="str">
        <f>VLOOKUP(I1442,episodes!$A$1:$E$81,5,FALSE)</f>
        <v>Let That Be Your Last Battlefield</v>
      </c>
      <c r="L1442" s="16">
        <f>VLOOKUP(I1442,episodes!$A$1:$D$81,3,FALSE)</f>
        <v>3</v>
      </c>
      <c r="M1442" s="16">
        <f>VLOOKUP(I1442,episodes!$A$1:$D$81,4,FALSE)</f>
        <v>15</v>
      </c>
      <c r="N1442" s="14"/>
      <c r="O1442" s="14">
        <v>0</v>
      </c>
      <c r="P1442" s="24">
        <f>LEN(E1442)+LEN(K1442)</f>
        <v>155</v>
      </c>
      <c r="Q1442" s="24">
        <f>COUNTIFS(B:B,B1444)</f>
        <v>6</v>
      </c>
      <c r="R1442" s="24">
        <f>COUNTIFS(D:D,D1445)</f>
        <v>21</v>
      </c>
    </row>
    <row r="1443" spans="1:18" s="21" customFormat="1" x14ac:dyDescent="0.3">
      <c r="A1443" s="14">
        <v>2718</v>
      </c>
      <c r="B1443" s="21" t="s">
        <v>342</v>
      </c>
      <c r="C1443" s="21" t="s">
        <v>930</v>
      </c>
      <c r="D1443" s="1" t="s">
        <v>1147</v>
      </c>
      <c r="E1443" s="1" t="s">
        <v>451</v>
      </c>
      <c r="F1443" s="21" t="s">
        <v>2225</v>
      </c>
      <c r="G1443" s="14">
        <v>0</v>
      </c>
      <c r="H1443" s="14">
        <v>0</v>
      </c>
      <c r="I1443" s="25">
        <v>103</v>
      </c>
      <c r="J1443" s="23">
        <f>VLOOKUP(I1443,episodes!$A$1:$B$76,2,FALSE)</f>
        <v>4</v>
      </c>
      <c r="K1443" s="16" t="str">
        <f>VLOOKUP(I1443,episodes!$A$1:$E$81,5,FALSE)</f>
        <v>Where No Man Has Gone Before</v>
      </c>
      <c r="L1443" s="16">
        <f>VLOOKUP(I1443,episodes!$A$1:$D$81,3,FALSE)</f>
        <v>1</v>
      </c>
      <c r="M1443" s="16">
        <f>VLOOKUP(I1443,episodes!$A$1:$D$81,4,FALSE)</f>
        <v>3</v>
      </c>
      <c r="N1443" s="14"/>
      <c r="O1443" s="14">
        <v>0</v>
      </c>
      <c r="P1443" s="24">
        <f>LEN(E1443)+LEN(K1443)</f>
        <v>111</v>
      </c>
      <c r="Q1443" s="24">
        <f>COUNTIFS(B:B,B1442)</f>
        <v>6</v>
      </c>
      <c r="R1443" s="24">
        <f>COUNTIFS(D:D,D1443)</f>
        <v>5</v>
      </c>
    </row>
    <row r="1444" spans="1:18" s="21" customFormat="1" x14ac:dyDescent="0.3">
      <c r="A1444" s="14">
        <v>1948</v>
      </c>
      <c r="B1444" s="21" t="s">
        <v>342</v>
      </c>
      <c r="C1444" s="21" t="s">
        <v>930</v>
      </c>
      <c r="D1444" s="1" t="s">
        <v>2273</v>
      </c>
      <c r="E1444" s="1" t="s">
        <v>1859</v>
      </c>
      <c r="F1444" s="21" t="s">
        <v>1867</v>
      </c>
      <c r="G1444" s="14">
        <v>0</v>
      </c>
      <c r="H1444" s="14">
        <v>0</v>
      </c>
      <c r="I1444" s="25">
        <v>114</v>
      </c>
      <c r="J1444" s="23">
        <f>VLOOKUP(I1444,episodes!$A$1:$B$76,2,FALSE)</f>
        <v>15</v>
      </c>
      <c r="K1444" s="16" t="str">
        <f>VLOOKUP(I1444,episodes!$A$1:$E$81,5,FALSE)</f>
        <v>Balance of Terror</v>
      </c>
      <c r="L1444" s="16">
        <f>VLOOKUP(I1444,episodes!$A$1:$D$81,3,FALSE)</f>
        <v>1</v>
      </c>
      <c r="M1444" s="16">
        <f>VLOOKUP(I1444,episodes!$A$1:$D$81,4,FALSE)</f>
        <v>14</v>
      </c>
      <c r="N1444" s="14"/>
      <c r="O1444" s="14">
        <v>0</v>
      </c>
      <c r="P1444" s="24">
        <f>LEN(E1444)+LEN(K1444)</f>
        <v>271</v>
      </c>
      <c r="Q1444" s="24">
        <f>COUNTIFS(B:B,B1443)</f>
        <v>6</v>
      </c>
      <c r="R1444" s="24">
        <f>COUNTIFS(D:D,D1444)</f>
        <v>1</v>
      </c>
    </row>
    <row r="1445" spans="1:18" s="21" customFormat="1" x14ac:dyDescent="0.3">
      <c r="A1445" s="14">
        <v>49</v>
      </c>
      <c r="B1445" s="21" t="s">
        <v>1093</v>
      </c>
      <c r="C1445" s="21" t="s">
        <v>930</v>
      </c>
      <c r="D1445" s="1" t="s">
        <v>2700</v>
      </c>
      <c r="E1445" s="1" t="s">
        <v>1925</v>
      </c>
      <c r="F1445" s="21" t="s">
        <v>2</v>
      </c>
      <c r="G1445" s="14">
        <v>0</v>
      </c>
      <c r="H1445" s="14">
        <v>0</v>
      </c>
      <c r="I1445" s="22">
        <v>210</v>
      </c>
      <c r="J1445" s="23">
        <f>VLOOKUP(I1445,episodes!$A$1:$B$81,2,FALSE)</f>
        <v>40</v>
      </c>
      <c r="K1445" s="16" t="str">
        <f>VLOOKUP(I1445,episodes!$A$1:$E$81,5,FALSE)</f>
        <v>Journey to Babel</v>
      </c>
      <c r="L1445" s="16">
        <f>VLOOKUP(I1445,episodes!$A$1:$D$81,3,FALSE)</f>
        <v>2</v>
      </c>
      <c r="M1445" s="16">
        <f>VLOOKUP(I1445,episodes!$A$1:$D$81,4,FALSE)</f>
        <v>10</v>
      </c>
      <c r="N1445" s="14"/>
      <c r="O1445" s="14">
        <v>0</v>
      </c>
      <c r="P1445" s="24">
        <f>LEN(E1445)+LEN(K1445)</f>
        <v>89</v>
      </c>
      <c r="Q1445" s="24">
        <f>COUNTIFS(B:B,B1444)</f>
        <v>6</v>
      </c>
      <c r="R1445" s="24">
        <f>COUNTIFS(D:D,D1445)</f>
        <v>21</v>
      </c>
    </row>
    <row r="1446" spans="1:18" s="21" customFormat="1" x14ac:dyDescent="0.3">
      <c r="A1446" s="14">
        <v>2742</v>
      </c>
      <c r="B1446" s="21" t="s">
        <v>1093</v>
      </c>
      <c r="C1446" s="21" t="s">
        <v>930</v>
      </c>
      <c r="D1446" s="21" t="s">
        <v>2700</v>
      </c>
      <c r="E1446" s="1" t="s">
        <v>1744</v>
      </c>
      <c r="F1446" s="21" t="s">
        <v>2225</v>
      </c>
      <c r="G1446" s="14">
        <v>0</v>
      </c>
      <c r="H1446" s="14">
        <v>0</v>
      </c>
      <c r="I1446" s="25">
        <v>110</v>
      </c>
      <c r="J1446" s="23">
        <f>VLOOKUP(I1446,episodes!$A$1:$B$76,2,FALSE)</f>
        <v>11</v>
      </c>
      <c r="K1446" s="16" t="str">
        <f>VLOOKUP(I1446,episodes!$A$1:$E$81,5,FALSE)</f>
        <v>The Corbomite Maneuver</v>
      </c>
      <c r="L1446" s="16">
        <f>VLOOKUP(I1446,episodes!$A$1:$D$81,3,FALSE)</f>
        <v>1</v>
      </c>
      <c r="M1446" s="16">
        <f>VLOOKUP(I1446,episodes!$A$1:$D$81,4,FALSE)</f>
        <v>10</v>
      </c>
      <c r="N1446" s="14"/>
      <c r="O1446" s="14">
        <v>0</v>
      </c>
      <c r="P1446" s="24">
        <f>LEN(E1446)+LEN(K1446)</f>
        <v>140</v>
      </c>
      <c r="Q1446" s="24">
        <f>COUNTIFS(B:B,B1445)</f>
        <v>26</v>
      </c>
      <c r="R1446" s="24">
        <f>COUNTIFS(D:D,D1446)</f>
        <v>21</v>
      </c>
    </row>
    <row r="1447" spans="1:18" s="21" customFormat="1" x14ac:dyDescent="0.3">
      <c r="A1447" s="14">
        <v>2811</v>
      </c>
      <c r="B1447" s="21" t="s">
        <v>276</v>
      </c>
      <c r="C1447" s="21" t="s">
        <v>930</v>
      </c>
      <c r="D1447" s="1" t="s">
        <v>2700</v>
      </c>
      <c r="E1447" s="1" t="s">
        <v>419</v>
      </c>
      <c r="F1447" s="21" t="s">
        <v>2225</v>
      </c>
      <c r="G1447" s="14">
        <v>0</v>
      </c>
      <c r="H1447" s="14">
        <v>0</v>
      </c>
      <c r="I1447" s="22">
        <v>128</v>
      </c>
      <c r="J1447" s="23">
        <f>VLOOKUP(I1447,episodes!$A$1:$B$76,2,FALSE)</f>
        <v>29</v>
      </c>
      <c r="K1447" s="16" t="str">
        <f>VLOOKUP(I1447,episodes!$A$1:$E$81,5,FALSE)</f>
        <v>The City on the Edge of Forever</v>
      </c>
      <c r="L1447" s="16">
        <f>VLOOKUP(I1447,episodes!$A$1:$D$81,3,FALSE)</f>
        <v>1</v>
      </c>
      <c r="M1447" s="16">
        <f>VLOOKUP(I1447,episodes!$A$1:$D$81,4,FALSE)</f>
        <v>28</v>
      </c>
      <c r="N1447" s="14"/>
      <c r="O1447" s="14">
        <v>0</v>
      </c>
      <c r="P1447" s="24">
        <f>LEN(E1447)+LEN(K1447)</f>
        <v>93</v>
      </c>
      <c r="Q1447" s="24">
        <f>COUNTIFS(B:B,B1446)</f>
        <v>26</v>
      </c>
      <c r="R1447" s="24">
        <f>COUNTIFS(D:D,D1447)</f>
        <v>21</v>
      </c>
    </row>
    <row r="1448" spans="1:18" s="21" customFormat="1" x14ac:dyDescent="0.3">
      <c r="A1448" s="14">
        <v>2715</v>
      </c>
      <c r="B1448" s="21" t="s">
        <v>276</v>
      </c>
      <c r="C1448" s="21" t="s">
        <v>930</v>
      </c>
      <c r="D1448" s="1" t="s">
        <v>2700</v>
      </c>
      <c r="E1448" s="1" t="s">
        <v>1082</v>
      </c>
      <c r="F1448" s="21" t="s">
        <v>2225</v>
      </c>
      <c r="G1448" s="14">
        <v>0</v>
      </c>
      <c r="H1448" s="14">
        <v>0</v>
      </c>
      <c r="I1448" s="25">
        <v>103</v>
      </c>
      <c r="J1448" s="23">
        <f>VLOOKUP(I1448,episodes!$A$1:$B$76,2,FALSE)</f>
        <v>4</v>
      </c>
      <c r="K1448" s="16" t="str">
        <f>VLOOKUP(I1448,episodes!$A$1:$E$81,5,FALSE)</f>
        <v>Where No Man Has Gone Before</v>
      </c>
      <c r="L1448" s="16">
        <f>VLOOKUP(I1448,episodes!$A$1:$D$81,3,FALSE)</f>
        <v>1</v>
      </c>
      <c r="M1448" s="16">
        <f>VLOOKUP(I1448,episodes!$A$1:$D$81,4,FALSE)</f>
        <v>3</v>
      </c>
      <c r="N1448" s="14"/>
      <c r="O1448" s="14">
        <v>0</v>
      </c>
      <c r="P1448" s="24">
        <f>LEN(E1448)+LEN(K1448)</f>
        <v>108</v>
      </c>
      <c r="Q1448" s="24">
        <f>COUNTIFS(B:B,B1447)</f>
        <v>6</v>
      </c>
      <c r="R1448" s="24">
        <f>COUNTIFS(D:D,D1448)</f>
        <v>21</v>
      </c>
    </row>
    <row r="1449" spans="1:18" s="21" customFormat="1" x14ac:dyDescent="0.3">
      <c r="A1449" s="14">
        <v>225</v>
      </c>
      <c r="B1449" s="21" t="s">
        <v>1093</v>
      </c>
      <c r="C1449" s="21" t="s">
        <v>930</v>
      </c>
      <c r="D1449" s="21" t="s">
        <v>2700</v>
      </c>
      <c r="E1449" s="1" t="s">
        <v>1979</v>
      </c>
      <c r="F1449" s="21" t="s">
        <v>56</v>
      </c>
      <c r="G1449" s="14">
        <v>0</v>
      </c>
      <c r="H1449" s="14">
        <v>0</v>
      </c>
      <c r="I1449" s="22">
        <v>206</v>
      </c>
      <c r="J1449" s="23">
        <f>VLOOKUP(I1449,episodes!$A$1:$B$76,2,FALSE)</f>
        <v>36</v>
      </c>
      <c r="K1449" s="16" t="str">
        <f>VLOOKUP(I1449,episodes!$A$1:$E$81,5,FALSE)</f>
        <v>The Doomsday Machine</v>
      </c>
      <c r="L1449" s="16">
        <f>VLOOKUP(I1449,episodes!$A$1:$D$81,3,FALSE)</f>
        <v>2</v>
      </c>
      <c r="M1449" s="16">
        <f>VLOOKUP(I1449,episodes!$A$1:$D$81,4,FALSE)</f>
        <v>6</v>
      </c>
      <c r="N1449" s="14"/>
      <c r="O1449" s="14">
        <v>0</v>
      </c>
      <c r="P1449" s="24">
        <f>LEN(E1449)+LEN(K1449)</f>
        <v>107</v>
      </c>
      <c r="Q1449" s="24">
        <f>COUNTIFS(B:B,B1448)</f>
        <v>6</v>
      </c>
      <c r="R1449" s="24">
        <f>COUNTIFS(D:D,D1449)</f>
        <v>21</v>
      </c>
    </row>
    <row r="1450" spans="1:18" s="21" customFormat="1" x14ac:dyDescent="0.3">
      <c r="A1450" s="14">
        <v>47</v>
      </c>
      <c r="B1450" s="21" t="s">
        <v>276</v>
      </c>
      <c r="C1450" s="21" t="s">
        <v>930</v>
      </c>
      <c r="D1450" s="21" t="s">
        <v>2700</v>
      </c>
      <c r="E1450" s="1" t="s">
        <v>1044</v>
      </c>
      <c r="F1450" s="21" t="s">
        <v>2</v>
      </c>
      <c r="G1450" s="14">
        <v>0</v>
      </c>
      <c r="H1450" s="14">
        <v>0</v>
      </c>
      <c r="I1450" s="14">
        <v>209</v>
      </c>
      <c r="J1450" s="23">
        <f>VLOOKUP(I1450,episodes!$A$1:$B$81,2,FALSE)</f>
        <v>39</v>
      </c>
      <c r="K1450" s="16" t="str">
        <f>VLOOKUP(I1450,episodes!$A$1:$E$81,5,FALSE)</f>
        <v>Metamorphosis</v>
      </c>
      <c r="L1450" s="16">
        <f>VLOOKUP(I1450,episodes!$A$1:$D$81,3,FALSE)</f>
        <v>2</v>
      </c>
      <c r="M1450" s="16">
        <f>VLOOKUP(I1450,episodes!$A$1:$D$81,4,FALSE)</f>
        <v>9</v>
      </c>
      <c r="N1450" s="14"/>
      <c r="O1450" s="14">
        <v>0</v>
      </c>
      <c r="P1450" s="24">
        <f>LEN(E1450)+LEN(K1450)</f>
        <v>89</v>
      </c>
      <c r="Q1450" s="24">
        <f>COUNTIFS(B:B,B1449)</f>
        <v>26</v>
      </c>
      <c r="R1450" s="24">
        <f>COUNTIFS(D:D,D1450)</f>
        <v>21</v>
      </c>
    </row>
    <row r="1451" spans="1:18" s="21" customFormat="1" x14ac:dyDescent="0.3">
      <c r="A1451" s="14">
        <v>2853</v>
      </c>
      <c r="B1451" s="21" t="s">
        <v>363</v>
      </c>
      <c r="C1451" s="21" t="s">
        <v>930</v>
      </c>
      <c r="D1451" s="21" t="s">
        <v>2700</v>
      </c>
      <c r="E1451" s="1" t="s">
        <v>2222</v>
      </c>
      <c r="F1451" s="21" t="s">
        <v>2225</v>
      </c>
      <c r="G1451" s="14">
        <v>0</v>
      </c>
      <c r="H1451" s="14">
        <v>0</v>
      </c>
      <c r="I1451" s="22">
        <v>210</v>
      </c>
      <c r="J1451" s="23">
        <f>VLOOKUP(I1451,episodes!$A$1:$B$81,2,FALSE)</f>
        <v>40</v>
      </c>
      <c r="K1451" s="16" t="str">
        <f>VLOOKUP(I1451,episodes!$A$1:$E$81,5,FALSE)</f>
        <v>Journey to Babel</v>
      </c>
      <c r="L1451" s="16">
        <f>VLOOKUP(I1451,episodes!$A$1:$D$81,3,FALSE)</f>
        <v>2</v>
      </c>
      <c r="M1451" s="16">
        <f>VLOOKUP(I1451,episodes!$A$1:$D$81,4,FALSE)</f>
        <v>10</v>
      </c>
      <c r="N1451" s="14"/>
      <c r="O1451" s="14">
        <v>0</v>
      </c>
      <c r="P1451" s="24">
        <f>LEN(E1451)+LEN(K1451)</f>
        <v>53</v>
      </c>
      <c r="Q1451" s="24">
        <f>COUNTIFS(B:B,#REF!)</f>
        <v>0</v>
      </c>
      <c r="R1451" s="24">
        <f>COUNTIFS(D:D,D1451)</f>
        <v>21</v>
      </c>
    </row>
    <row r="1452" spans="1:18" s="21" customFormat="1" x14ac:dyDescent="0.3">
      <c r="A1452" s="14">
        <v>2829</v>
      </c>
      <c r="B1452" s="21" t="s">
        <v>1093</v>
      </c>
      <c r="C1452" s="21" t="s">
        <v>930</v>
      </c>
      <c r="D1452" s="21" t="s">
        <v>2700</v>
      </c>
      <c r="E1452" s="1" t="s">
        <v>1140</v>
      </c>
      <c r="F1452" s="21" t="s">
        <v>2225</v>
      </c>
      <c r="G1452" s="26">
        <v>0</v>
      </c>
      <c r="H1452" s="14">
        <v>0</v>
      </c>
      <c r="I1452" s="22">
        <v>206</v>
      </c>
      <c r="J1452" s="23">
        <f>VLOOKUP(I1452,episodes!$A$1:$B$76,2,FALSE)</f>
        <v>36</v>
      </c>
      <c r="K1452" s="16" t="str">
        <f>VLOOKUP(I1452,episodes!$A$1:$E$81,5,FALSE)</f>
        <v>The Doomsday Machine</v>
      </c>
      <c r="L1452" s="16">
        <f>VLOOKUP(I1452,episodes!$A$1:$D$81,3,FALSE)</f>
        <v>2</v>
      </c>
      <c r="M1452" s="16">
        <f>VLOOKUP(I1452,episodes!$A$1:$D$81,4,FALSE)</f>
        <v>6</v>
      </c>
      <c r="N1452" s="14"/>
      <c r="O1452" s="14">
        <v>0</v>
      </c>
      <c r="P1452" s="24">
        <f>LEN(E1452)+LEN(K1452)</f>
        <v>106</v>
      </c>
      <c r="Q1452" s="24">
        <f>COUNTIFS(B:B,B1451)</f>
        <v>8</v>
      </c>
      <c r="R1452" s="24">
        <f>COUNTIFS(D:D,D1452)</f>
        <v>21</v>
      </c>
    </row>
    <row r="1453" spans="1:18" s="21" customFormat="1" x14ac:dyDescent="0.3">
      <c r="A1453" s="14">
        <v>2830</v>
      </c>
      <c r="B1453" s="21" t="s">
        <v>1093</v>
      </c>
      <c r="C1453" s="21" t="s">
        <v>930</v>
      </c>
      <c r="D1453" s="21" t="s">
        <v>2700</v>
      </c>
      <c r="E1453" s="1" t="s">
        <v>1141</v>
      </c>
      <c r="F1453" s="21" t="s">
        <v>2225</v>
      </c>
      <c r="G1453" s="26">
        <v>0</v>
      </c>
      <c r="H1453" s="14">
        <v>0</v>
      </c>
      <c r="I1453" s="22">
        <v>206</v>
      </c>
      <c r="J1453" s="23">
        <f>VLOOKUP(I1453,episodes!$A$1:$B$76,2,FALSE)</f>
        <v>36</v>
      </c>
      <c r="K1453" s="16" t="str">
        <f>VLOOKUP(I1453,episodes!$A$1:$E$81,5,FALSE)</f>
        <v>The Doomsday Machine</v>
      </c>
      <c r="L1453" s="16">
        <f>VLOOKUP(I1453,episodes!$A$1:$D$81,3,FALSE)</f>
        <v>2</v>
      </c>
      <c r="M1453" s="16">
        <f>VLOOKUP(I1453,episodes!$A$1:$D$81,4,FALSE)</f>
        <v>6</v>
      </c>
      <c r="N1453" s="14"/>
      <c r="O1453" s="14">
        <v>0</v>
      </c>
      <c r="P1453" s="24">
        <f>LEN(E1453)+LEN(K1453)</f>
        <v>68</v>
      </c>
      <c r="Q1453" s="24">
        <f>COUNTIFS(B:B,B1452)</f>
        <v>26</v>
      </c>
      <c r="R1453" s="24">
        <f>COUNTIFS(D:D,D1453)</f>
        <v>21</v>
      </c>
    </row>
    <row r="1454" spans="1:18" s="21" customFormat="1" x14ac:dyDescent="0.3">
      <c r="A1454" s="14">
        <v>2749</v>
      </c>
      <c r="B1454" s="21" t="s">
        <v>1093</v>
      </c>
      <c r="C1454" s="21" t="s">
        <v>930</v>
      </c>
      <c r="D1454" s="21" t="s">
        <v>2700</v>
      </c>
      <c r="E1454" s="1" t="s">
        <v>485</v>
      </c>
      <c r="F1454" s="21" t="s">
        <v>2225</v>
      </c>
      <c r="G1454" s="14">
        <v>0</v>
      </c>
      <c r="H1454" s="14">
        <v>0</v>
      </c>
      <c r="I1454" s="25">
        <v>111</v>
      </c>
      <c r="J1454" s="23">
        <f>VLOOKUP(I1454,episodes!$A$1:$B$76,2,FALSE)</f>
        <v>12</v>
      </c>
      <c r="K1454" s="16" t="str">
        <f>VLOOKUP(I1454,episodes!$A$1:$E$81,5,FALSE)</f>
        <v>The Menagerie, Part I</v>
      </c>
      <c r="L1454" s="16">
        <f>VLOOKUP(I1454,episodes!$A$1:$D$81,3,FALSE)</f>
        <v>1</v>
      </c>
      <c r="M1454" s="16">
        <f>VLOOKUP(I1454,episodes!$A$1:$D$81,4,FALSE)</f>
        <v>11</v>
      </c>
      <c r="N1454" s="14"/>
      <c r="O1454" s="14">
        <v>0</v>
      </c>
      <c r="P1454" s="24">
        <f>LEN(E1454)+LEN(K1454)</f>
        <v>73</v>
      </c>
      <c r="Q1454" s="24">
        <f>COUNTIFS(B:B,B1453)</f>
        <v>26</v>
      </c>
      <c r="R1454" s="24">
        <f>COUNTIFS(D:D,D1454)</f>
        <v>21</v>
      </c>
    </row>
    <row r="1455" spans="1:18" s="21" customFormat="1" x14ac:dyDescent="0.3">
      <c r="A1455" s="14">
        <v>2775</v>
      </c>
      <c r="B1455" s="21" t="s">
        <v>1093</v>
      </c>
      <c r="C1455" s="21" t="s">
        <v>930</v>
      </c>
      <c r="D1455" s="21" t="s">
        <v>2700</v>
      </c>
      <c r="E1455" s="1" t="s">
        <v>1980</v>
      </c>
      <c r="F1455" s="21" t="s">
        <v>2225</v>
      </c>
      <c r="G1455" s="14">
        <v>0</v>
      </c>
      <c r="H1455" s="14">
        <v>0</v>
      </c>
      <c r="I1455" s="22">
        <v>119</v>
      </c>
      <c r="J1455" s="23">
        <f>VLOOKUP(I1455,episodes!$A$1:$B$76,2,FALSE)</f>
        <v>20</v>
      </c>
      <c r="K1455" s="16" t="str">
        <f>VLOOKUP(I1455,episodes!$A$1:$E$81,5,FALSE)</f>
        <v>Tomorrow Is Yesterday</v>
      </c>
      <c r="L1455" s="16">
        <f>VLOOKUP(I1455,episodes!$A$1:$D$81,3,FALSE)</f>
        <v>1</v>
      </c>
      <c r="M1455" s="16">
        <f>VLOOKUP(I1455,episodes!$A$1:$D$81,4,FALSE)</f>
        <v>19</v>
      </c>
      <c r="N1455" s="14"/>
      <c r="O1455" s="14">
        <v>0</v>
      </c>
      <c r="P1455" s="24">
        <f>LEN(E1455)+LEN(K1455)</f>
        <v>80</v>
      </c>
      <c r="Q1455" s="24">
        <f>COUNTIFS(B:B,B1454)</f>
        <v>26</v>
      </c>
      <c r="R1455" s="24">
        <f>COUNTIFS(D:D,D1455)</f>
        <v>21</v>
      </c>
    </row>
    <row r="1456" spans="1:18" s="21" customFormat="1" x14ac:dyDescent="0.3">
      <c r="A1456" s="14">
        <v>2831</v>
      </c>
      <c r="B1456" s="21" t="s">
        <v>1093</v>
      </c>
      <c r="C1456" s="21" t="s">
        <v>930</v>
      </c>
      <c r="D1456" s="1" t="s">
        <v>2700</v>
      </c>
      <c r="E1456" s="1" t="s">
        <v>1981</v>
      </c>
      <c r="F1456" s="21" t="s">
        <v>2225</v>
      </c>
      <c r="G1456" s="14">
        <v>0</v>
      </c>
      <c r="H1456" s="14">
        <v>0</v>
      </c>
      <c r="I1456" s="14">
        <v>206</v>
      </c>
      <c r="J1456" s="23">
        <f>VLOOKUP(I1456,episodes!$A$1:$B$76,2,FALSE)</f>
        <v>36</v>
      </c>
      <c r="K1456" s="16" t="str">
        <f>VLOOKUP(I1456,episodes!$A$1:$E$81,5,FALSE)</f>
        <v>The Doomsday Machine</v>
      </c>
      <c r="L1456" s="16">
        <f>VLOOKUP(I1456,episodes!$A$1:$D$81,3,FALSE)</f>
        <v>2</v>
      </c>
      <c r="M1456" s="16">
        <f>VLOOKUP(I1456,episodes!$A$1:$D$81,4,FALSE)</f>
        <v>6</v>
      </c>
      <c r="N1456" s="14"/>
      <c r="O1456" s="14">
        <v>0</v>
      </c>
      <c r="P1456" s="24">
        <f>LEN(E1456)+LEN(K1456)</f>
        <v>95</v>
      </c>
      <c r="Q1456" s="24">
        <f>COUNTIFS(B:B,B1455)</f>
        <v>26</v>
      </c>
      <c r="R1456" s="24">
        <f>COUNTIFS(D:D,D1456)</f>
        <v>21</v>
      </c>
    </row>
    <row r="1457" spans="1:18" s="21" customFormat="1" x14ac:dyDescent="0.3">
      <c r="A1457" s="14">
        <v>1950</v>
      </c>
      <c r="B1457" s="21" t="s">
        <v>1093</v>
      </c>
      <c r="C1457" s="21" t="s">
        <v>930</v>
      </c>
      <c r="D1457" s="21" t="s">
        <v>2700</v>
      </c>
      <c r="E1457" s="1" t="s">
        <v>492</v>
      </c>
      <c r="F1457" s="21" t="s">
        <v>1867</v>
      </c>
      <c r="G1457" s="14">
        <v>0</v>
      </c>
      <c r="H1457" s="14">
        <v>0</v>
      </c>
      <c r="I1457" s="22">
        <v>114</v>
      </c>
      <c r="J1457" s="23">
        <f>VLOOKUP(I1457,episodes!$A$1:$B$76,2,FALSE)</f>
        <v>15</v>
      </c>
      <c r="K1457" s="16" t="str">
        <f>VLOOKUP(I1457,episodes!$A$1:$E$81,5,FALSE)</f>
        <v>Balance of Terror</v>
      </c>
      <c r="L1457" s="16">
        <f>VLOOKUP(I1457,episodes!$A$1:$D$81,3,FALSE)</f>
        <v>1</v>
      </c>
      <c r="M1457" s="16">
        <f>VLOOKUP(I1457,episodes!$A$1:$D$81,4,FALSE)</f>
        <v>14</v>
      </c>
      <c r="N1457" s="14"/>
      <c r="O1457" s="14">
        <v>0</v>
      </c>
      <c r="P1457" s="24">
        <f>LEN(E1457)+LEN(K1457)</f>
        <v>65</v>
      </c>
      <c r="Q1457" s="24">
        <f>COUNTIFS(B:B,B1456)</f>
        <v>26</v>
      </c>
      <c r="R1457" s="24">
        <f>COUNTIFS(D:D,D1457)</f>
        <v>21</v>
      </c>
    </row>
    <row r="1458" spans="1:18" s="21" customFormat="1" x14ac:dyDescent="0.3">
      <c r="A1458" s="14">
        <v>2887</v>
      </c>
      <c r="B1458" s="21" t="s">
        <v>1093</v>
      </c>
      <c r="C1458" s="21" t="s">
        <v>930</v>
      </c>
      <c r="D1458" s="21" t="s">
        <v>2700</v>
      </c>
      <c r="E1458" s="1" t="s">
        <v>2226</v>
      </c>
      <c r="F1458" s="21" t="s">
        <v>2225</v>
      </c>
      <c r="G1458" s="14">
        <v>0</v>
      </c>
      <c r="H1458" s="14">
        <v>0</v>
      </c>
      <c r="I1458" s="22">
        <v>202</v>
      </c>
      <c r="J1458" s="23">
        <f>VLOOKUP(I1458,episodes!$A$1:$B$76,2,FALSE)</f>
        <v>32</v>
      </c>
      <c r="K1458" s="16" t="str">
        <f>VLOOKUP(I1458,episodes!$A$1:$E$81,5,FALSE)</f>
        <v>Who Mourns for Adonais?</v>
      </c>
      <c r="L1458" s="16">
        <f>VLOOKUP(I1458,episodes!$A$1:$D$81,3,FALSE)</f>
        <v>2</v>
      </c>
      <c r="M1458" s="16">
        <f>VLOOKUP(I1458,episodes!$A$1:$D$81,4,FALSE)</f>
        <v>2</v>
      </c>
      <c r="N1458" s="14"/>
      <c r="O1458" s="14">
        <v>0</v>
      </c>
      <c r="P1458" s="24">
        <f>LEN(E1458)+LEN(K1458)</f>
        <v>63</v>
      </c>
      <c r="Q1458" s="24">
        <f>COUNTIFS(B:B,B1457)</f>
        <v>26</v>
      </c>
      <c r="R1458" s="24">
        <f>COUNTIFS(D:D,D1458)</f>
        <v>21</v>
      </c>
    </row>
    <row r="1459" spans="1:18" s="21" customFormat="1" x14ac:dyDescent="0.3">
      <c r="A1459" s="14">
        <v>2881</v>
      </c>
      <c r="B1459" s="21" t="s">
        <v>1093</v>
      </c>
      <c r="C1459" s="21" t="s">
        <v>930</v>
      </c>
      <c r="D1459" s="21" t="s">
        <v>2700</v>
      </c>
      <c r="E1459" s="1" t="s">
        <v>534</v>
      </c>
      <c r="F1459" s="21" t="s">
        <v>2225</v>
      </c>
      <c r="G1459" s="14">
        <v>0</v>
      </c>
      <c r="H1459" s="14">
        <v>0</v>
      </c>
      <c r="I1459" s="25">
        <v>111</v>
      </c>
      <c r="J1459" s="23">
        <f>VLOOKUP(I1459,episodes!$A$1:$B$76,2,FALSE)</f>
        <v>12</v>
      </c>
      <c r="K1459" s="16" t="str">
        <f>VLOOKUP(I1459,episodes!$A$1:$E$81,5,FALSE)</f>
        <v>The Menagerie, Part I</v>
      </c>
      <c r="L1459" s="16">
        <f>VLOOKUP(I1459,episodes!$A$1:$D$81,3,FALSE)</f>
        <v>1</v>
      </c>
      <c r="M1459" s="16">
        <f>VLOOKUP(I1459,episodes!$A$1:$D$81,4,FALSE)</f>
        <v>11</v>
      </c>
      <c r="N1459" s="14"/>
      <c r="O1459" s="14">
        <v>0</v>
      </c>
      <c r="P1459" s="24">
        <f>LEN(E1459)+LEN(K1459)</f>
        <v>99</v>
      </c>
      <c r="Q1459" s="24">
        <f>COUNTIFS(B:B,B1458)</f>
        <v>26</v>
      </c>
      <c r="R1459" s="24">
        <f>COUNTIFS(D:D,D1459)</f>
        <v>21</v>
      </c>
    </row>
    <row r="1460" spans="1:18" s="21" customFormat="1" x14ac:dyDescent="0.3">
      <c r="A1460" s="14">
        <v>1944</v>
      </c>
      <c r="B1460" s="21" t="s">
        <v>1094</v>
      </c>
      <c r="C1460" s="21" t="s">
        <v>930</v>
      </c>
      <c r="D1460" s="1" t="s">
        <v>2700</v>
      </c>
      <c r="E1460" s="1" t="s">
        <v>494</v>
      </c>
      <c r="F1460" s="21" t="s">
        <v>1867</v>
      </c>
      <c r="G1460" s="14">
        <v>0</v>
      </c>
      <c r="H1460" s="14">
        <v>0</v>
      </c>
      <c r="I1460" s="22">
        <v>114</v>
      </c>
      <c r="J1460" s="23">
        <f>VLOOKUP(I1460,episodes!$A$1:$B$76,2,FALSE)</f>
        <v>15</v>
      </c>
      <c r="K1460" s="16" t="str">
        <f>VLOOKUP(I1460,episodes!$A$1:$E$81,5,FALSE)</f>
        <v>Balance of Terror</v>
      </c>
      <c r="L1460" s="16">
        <f>VLOOKUP(I1460,episodes!$A$1:$D$81,3,FALSE)</f>
        <v>1</v>
      </c>
      <c r="M1460" s="16">
        <f>VLOOKUP(I1460,episodes!$A$1:$D$81,4,FALSE)</f>
        <v>14</v>
      </c>
      <c r="N1460" s="14"/>
      <c r="O1460" s="14">
        <v>0</v>
      </c>
      <c r="P1460" s="24">
        <f>LEN(E1460)+LEN(K1460)</f>
        <v>61</v>
      </c>
      <c r="Q1460" s="24">
        <f>COUNTIFS(B:B,B1459)</f>
        <v>26</v>
      </c>
      <c r="R1460" s="24">
        <f>COUNTIFS(D:D,D1460)</f>
        <v>21</v>
      </c>
    </row>
    <row r="1461" spans="1:18" s="21" customFormat="1" x14ac:dyDescent="0.3">
      <c r="A1461" s="14">
        <v>2850</v>
      </c>
      <c r="B1461" s="21" t="s">
        <v>1093</v>
      </c>
      <c r="C1461" s="21" t="s">
        <v>930</v>
      </c>
      <c r="D1461" s="21" t="s">
        <v>2700</v>
      </c>
      <c r="E1461" s="1" t="s">
        <v>1892</v>
      </c>
      <c r="F1461" s="21" t="s">
        <v>2225</v>
      </c>
      <c r="G1461" s="14">
        <v>0</v>
      </c>
      <c r="H1461" s="14">
        <v>0</v>
      </c>
      <c r="I1461" s="22">
        <v>210</v>
      </c>
      <c r="J1461" s="23">
        <f>VLOOKUP(I1461,episodes!$A$1:$B$81,2,FALSE)</f>
        <v>40</v>
      </c>
      <c r="K1461" s="16" t="str">
        <f>VLOOKUP(I1461,episodes!$A$1:$E$81,5,FALSE)</f>
        <v>Journey to Babel</v>
      </c>
      <c r="L1461" s="16">
        <f>VLOOKUP(I1461,episodes!$A$1:$D$81,3,FALSE)</f>
        <v>2</v>
      </c>
      <c r="M1461" s="16">
        <f>VLOOKUP(I1461,episodes!$A$1:$D$81,4,FALSE)</f>
        <v>10</v>
      </c>
      <c r="N1461" s="14"/>
      <c r="O1461" s="14">
        <v>0</v>
      </c>
      <c r="P1461" s="24">
        <f>LEN(E1461)+LEN(K1461)</f>
        <v>77</v>
      </c>
      <c r="Q1461" s="24">
        <f>COUNTIFS(B:B,B1460)</f>
        <v>11</v>
      </c>
      <c r="R1461" s="24">
        <f>COUNTIFS(D:D,D1461)</f>
        <v>21</v>
      </c>
    </row>
    <row r="1462" spans="1:18" s="21" customFormat="1" x14ac:dyDescent="0.3">
      <c r="A1462" s="14">
        <v>2765</v>
      </c>
      <c r="B1462" s="21" t="s">
        <v>1093</v>
      </c>
      <c r="C1462" s="21" t="s">
        <v>930</v>
      </c>
      <c r="D1462" s="21" t="s">
        <v>2700</v>
      </c>
      <c r="E1462" s="1" t="s">
        <v>835</v>
      </c>
      <c r="F1462" s="21" t="s">
        <v>2225</v>
      </c>
      <c r="G1462" s="14">
        <v>0</v>
      </c>
      <c r="H1462" s="14">
        <v>0</v>
      </c>
      <c r="I1462" s="22">
        <v>116</v>
      </c>
      <c r="J1462" s="23">
        <f>VLOOKUP(I1462,episodes!$A$1:$B$76,2,FALSE)</f>
        <v>17</v>
      </c>
      <c r="K1462" s="16" t="str">
        <f>VLOOKUP(I1462,episodes!$A$1:$E$81,5,FALSE)</f>
        <v>The Galileo Seven</v>
      </c>
      <c r="L1462" s="16">
        <f>VLOOKUP(I1462,episodes!$A$1:$D$81,3,FALSE)</f>
        <v>1</v>
      </c>
      <c r="M1462" s="16">
        <f>VLOOKUP(I1462,episodes!$A$1:$D$81,4,FALSE)</f>
        <v>16</v>
      </c>
      <c r="N1462" s="14"/>
      <c r="O1462" s="14">
        <v>0</v>
      </c>
      <c r="P1462" s="24">
        <f>LEN(E1462)+LEN(K1462)</f>
        <v>39</v>
      </c>
      <c r="Q1462" s="24">
        <f>COUNTIFS(B:B,B1461)</f>
        <v>26</v>
      </c>
      <c r="R1462" s="24">
        <f>COUNTIFS(D:D,D1462)</f>
        <v>21</v>
      </c>
    </row>
    <row r="1463" spans="1:18" s="21" customFormat="1" x14ac:dyDescent="0.3">
      <c r="A1463" s="14">
        <v>2766</v>
      </c>
      <c r="B1463" s="21" t="s">
        <v>1093</v>
      </c>
      <c r="C1463" s="21" t="s">
        <v>930</v>
      </c>
      <c r="D1463" s="21" t="s">
        <v>2700</v>
      </c>
      <c r="E1463" s="1" t="s">
        <v>1812</v>
      </c>
      <c r="F1463" s="21" t="s">
        <v>2225</v>
      </c>
      <c r="G1463" s="14">
        <v>0</v>
      </c>
      <c r="H1463" s="14">
        <v>0</v>
      </c>
      <c r="I1463" s="22">
        <v>116</v>
      </c>
      <c r="J1463" s="23">
        <f>VLOOKUP(I1463,episodes!$A$1:$B$76,2,FALSE)</f>
        <v>17</v>
      </c>
      <c r="K1463" s="16" t="str">
        <f>VLOOKUP(I1463,episodes!$A$1:$E$81,5,FALSE)</f>
        <v>The Galileo Seven</v>
      </c>
      <c r="L1463" s="16">
        <f>VLOOKUP(I1463,episodes!$A$1:$D$81,3,FALSE)</f>
        <v>1</v>
      </c>
      <c r="M1463" s="16">
        <f>VLOOKUP(I1463,episodes!$A$1:$D$81,4,FALSE)</f>
        <v>16</v>
      </c>
      <c r="N1463" s="14"/>
      <c r="O1463" s="14">
        <v>0</v>
      </c>
      <c r="P1463" s="24">
        <f>LEN(E1463)+LEN(K1463)</f>
        <v>103</v>
      </c>
      <c r="Q1463" s="24">
        <f>COUNTIFS(B:B,B1462)</f>
        <v>26</v>
      </c>
      <c r="R1463" s="24">
        <f>COUNTIFS(D:D,D1463)</f>
        <v>21</v>
      </c>
    </row>
    <row r="1464" spans="1:18" s="21" customFormat="1" x14ac:dyDescent="0.3">
      <c r="A1464" s="14">
        <v>1272</v>
      </c>
      <c r="B1464" s="21" t="s">
        <v>1093</v>
      </c>
      <c r="C1464" s="21" t="s">
        <v>930</v>
      </c>
      <c r="D1464" s="21" t="s">
        <v>2700</v>
      </c>
      <c r="E1464" s="1" t="s">
        <v>1037</v>
      </c>
      <c r="G1464" s="14">
        <v>0</v>
      </c>
      <c r="H1464" s="14">
        <v>0</v>
      </c>
      <c r="I1464" s="14">
        <v>209</v>
      </c>
      <c r="J1464" s="23">
        <f>VLOOKUP(I1464,episodes!$A$1:$B$81,2,FALSE)</f>
        <v>39</v>
      </c>
      <c r="K1464" s="16" t="str">
        <f>VLOOKUP(I1464,episodes!$A$1:$E$81,5,FALSE)</f>
        <v>Metamorphosis</v>
      </c>
      <c r="L1464" s="16">
        <f>VLOOKUP(I1464,episodes!$A$1:$D$81,3,FALSE)</f>
        <v>2</v>
      </c>
      <c r="M1464" s="16">
        <f>VLOOKUP(I1464,episodes!$A$1:$D$81,4,FALSE)</f>
        <v>9</v>
      </c>
      <c r="N1464" s="14"/>
      <c r="O1464" s="14">
        <v>0</v>
      </c>
      <c r="P1464" s="24">
        <f>LEN(E1464)+LEN(K1464)</f>
        <v>100</v>
      </c>
      <c r="Q1464" s="24"/>
      <c r="R1464" s="24"/>
    </row>
    <row r="1465" spans="1:18" s="21" customFormat="1" x14ac:dyDescent="0.3">
      <c r="A1465" s="14">
        <v>2832</v>
      </c>
      <c r="B1465" s="21" t="s">
        <v>276</v>
      </c>
      <c r="C1465" s="21" t="s">
        <v>930</v>
      </c>
      <c r="D1465" s="21" t="s">
        <v>2700</v>
      </c>
      <c r="E1465" s="1" t="s">
        <v>2343</v>
      </c>
      <c r="F1465" s="21" t="s">
        <v>2225</v>
      </c>
      <c r="G1465" s="14">
        <v>0</v>
      </c>
      <c r="H1465" s="14">
        <v>0</v>
      </c>
      <c r="I1465" s="25">
        <v>206</v>
      </c>
      <c r="J1465" s="23">
        <f>VLOOKUP(I1465,episodes!$A$1:$B$81,2,FALSE)</f>
        <v>36</v>
      </c>
      <c r="K1465" s="16" t="str">
        <f>VLOOKUP(I1465,episodes!$A$1:$E$81,5,FALSE)</f>
        <v>The Doomsday Machine</v>
      </c>
      <c r="L1465" s="16">
        <f>VLOOKUP(I1465,episodes!$A$1:$D$81,3,FALSE)</f>
        <v>2</v>
      </c>
      <c r="M1465" s="16">
        <f>VLOOKUP(I1465,episodes!$A$1:$D$81,4,FALSE)</f>
        <v>6</v>
      </c>
      <c r="N1465" s="14"/>
      <c r="O1465" s="14">
        <v>0</v>
      </c>
      <c r="P1465" s="24">
        <f>LEN(E1465)+LEN(K1465)</f>
        <v>81</v>
      </c>
      <c r="Q1465" s="24">
        <f>COUNTIFS(B:B,B1464)</f>
        <v>26</v>
      </c>
      <c r="R1465" s="24">
        <f>COUNTIFS(D:D,D1465)</f>
        <v>21</v>
      </c>
    </row>
    <row r="1466" spans="1:18" s="21" customFormat="1" x14ac:dyDescent="0.3">
      <c r="A1466" s="14">
        <v>2777</v>
      </c>
      <c r="B1466" s="21" t="s">
        <v>1094</v>
      </c>
      <c r="C1466" s="21" t="s">
        <v>930</v>
      </c>
      <c r="D1466" s="1" t="s">
        <v>2701</v>
      </c>
      <c r="E1466" s="1" t="s">
        <v>1302</v>
      </c>
      <c r="F1466" s="21" t="s">
        <v>2225</v>
      </c>
      <c r="G1466" s="14">
        <v>0</v>
      </c>
      <c r="H1466" s="14">
        <v>0</v>
      </c>
      <c r="I1466" s="14">
        <v>119</v>
      </c>
      <c r="J1466" s="23">
        <f>VLOOKUP(I1466,episodes!$A$1:$B$76,2,FALSE)</f>
        <v>20</v>
      </c>
      <c r="K1466" s="16" t="str">
        <f>VLOOKUP(I1466,episodes!$A$1:$E$81,5,FALSE)</f>
        <v>Tomorrow Is Yesterday</v>
      </c>
      <c r="L1466" s="16">
        <f>VLOOKUP(I1466,episodes!$A$1:$D$81,3,FALSE)</f>
        <v>1</v>
      </c>
      <c r="M1466" s="16">
        <f>VLOOKUP(I1466,episodes!$A$1:$D$81,4,FALSE)</f>
        <v>19</v>
      </c>
      <c r="N1466" s="14"/>
      <c r="O1466" s="14">
        <v>0</v>
      </c>
      <c r="P1466" s="24">
        <f>LEN(E1466)+LEN(K1466)</f>
        <v>168</v>
      </c>
      <c r="Q1466" s="24">
        <f>COUNTIFS(B:B,B1465)</f>
        <v>6</v>
      </c>
      <c r="R1466" s="24">
        <f>COUNTIFS(D:D,D1466)</f>
        <v>4</v>
      </c>
    </row>
    <row r="1467" spans="1:18" s="21" customFormat="1" x14ac:dyDescent="0.3">
      <c r="A1467" s="14">
        <v>2877</v>
      </c>
      <c r="B1467" s="21" t="s">
        <v>1094</v>
      </c>
      <c r="C1467" s="21" t="s">
        <v>930</v>
      </c>
      <c r="D1467" s="1" t="s">
        <v>2701</v>
      </c>
      <c r="E1467" s="1" t="s">
        <v>1495</v>
      </c>
      <c r="F1467" s="21" t="s">
        <v>2225</v>
      </c>
      <c r="G1467" s="14">
        <v>0</v>
      </c>
      <c r="H1467" s="14">
        <v>0</v>
      </c>
      <c r="I1467" s="14">
        <v>104</v>
      </c>
      <c r="J1467" s="23">
        <f>VLOOKUP(I1467,episodes!$A$1:$B$76,2,FALSE)</f>
        <v>5</v>
      </c>
      <c r="K1467" s="16" t="str">
        <f>VLOOKUP(I1467,episodes!$A$1:$E$81,5,FALSE)</f>
        <v>The Naked Time</v>
      </c>
      <c r="L1467" s="16">
        <f>VLOOKUP(I1467,episodes!$A$1:$D$81,3,FALSE)</f>
        <v>1</v>
      </c>
      <c r="M1467" s="16">
        <f>VLOOKUP(I1467,episodes!$A$1:$D$81,4,FALSE)</f>
        <v>4</v>
      </c>
      <c r="N1467" s="14"/>
      <c r="O1467" s="14">
        <v>0</v>
      </c>
      <c r="P1467" s="24">
        <f>LEN(E1467)+LEN(K1467)</f>
        <v>150</v>
      </c>
      <c r="Q1467" s="24">
        <f>COUNTIFS(B:B,B1466)</f>
        <v>11</v>
      </c>
      <c r="R1467" s="24">
        <f>COUNTIFS(D:D,D1467)</f>
        <v>4</v>
      </c>
    </row>
    <row r="1468" spans="1:18" s="21" customFormat="1" x14ac:dyDescent="0.3">
      <c r="A1468" s="14">
        <v>2812</v>
      </c>
      <c r="B1468" s="21" t="s">
        <v>1094</v>
      </c>
      <c r="C1468" s="21" t="s">
        <v>930</v>
      </c>
      <c r="D1468" s="1" t="s">
        <v>2701</v>
      </c>
      <c r="E1468" s="1" t="s">
        <v>1360</v>
      </c>
      <c r="F1468" s="21" t="s">
        <v>2225</v>
      </c>
      <c r="G1468" s="14">
        <v>0</v>
      </c>
      <c r="H1468" s="14">
        <v>0</v>
      </c>
      <c r="I1468" s="14">
        <v>128</v>
      </c>
      <c r="J1468" s="23">
        <f>VLOOKUP(I1468,episodes!$A$1:$B$76,2,FALSE)</f>
        <v>29</v>
      </c>
      <c r="K1468" s="16" t="str">
        <f>VLOOKUP(I1468,episodes!$A$1:$E$81,5,FALSE)</f>
        <v>The City on the Edge of Forever</v>
      </c>
      <c r="L1468" s="16">
        <f>VLOOKUP(I1468,episodes!$A$1:$D$81,3,FALSE)</f>
        <v>1</v>
      </c>
      <c r="M1468" s="16">
        <f>VLOOKUP(I1468,episodes!$A$1:$D$81,4,FALSE)</f>
        <v>28</v>
      </c>
      <c r="N1468" s="14"/>
      <c r="O1468" s="14">
        <v>0</v>
      </c>
      <c r="P1468" s="24">
        <f>LEN(E1468)+LEN(K1468)</f>
        <v>106</v>
      </c>
      <c r="Q1468" s="24">
        <f>COUNTIFS(B:B,B1467)</f>
        <v>11</v>
      </c>
      <c r="R1468" s="24">
        <f>COUNTIFS(D:D,D1468)</f>
        <v>4</v>
      </c>
    </row>
    <row r="1469" spans="1:18" s="21" customFormat="1" x14ac:dyDescent="0.3">
      <c r="A1469" s="14">
        <v>2870</v>
      </c>
      <c r="B1469" s="21" t="s">
        <v>1093</v>
      </c>
      <c r="C1469" s="21" t="s">
        <v>930</v>
      </c>
      <c r="D1469" s="21" t="s">
        <v>2701</v>
      </c>
      <c r="E1469" s="1" t="s">
        <v>1429</v>
      </c>
      <c r="F1469" s="21" t="s">
        <v>2225</v>
      </c>
      <c r="G1469" s="14">
        <v>0</v>
      </c>
      <c r="H1469" s="14">
        <v>0</v>
      </c>
      <c r="I1469" s="14">
        <v>323</v>
      </c>
      <c r="J1469" s="23">
        <f>VLOOKUP(I1469,episodes!$A$1:$B$81,2,FALSE)</f>
        <v>79</v>
      </c>
      <c r="K1469" s="16" t="str">
        <f>VLOOKUP(I1469,episodes!$A$1:$E$81,5,FALSE)</f>
        <v>All Our Yesterdays</v>
      </c>
      <c r="L1469" s="16">
        <f>VLOOKUP(I1469,episodes!$A$1:$D$81,3,FALSE)</f>
        <v>3</v>
      </c>
      <c r="M1469" s="16">
        <f>VLOOKUP(I1469,episodes!$A$1:$D$81,4,FALSE)</f>
        <v>23</v>
      </c>
      <c r="N1469" s="14"/>
      <c r="O1469" s="14">
        <v>0</v>
      </c>
      <c r="P1469" s="24">
        <f>LEN(E1469)+LEN(K1469)</f>
        <v>107</v>
      </c>
      <c r="Q1469" s="24">
        <f>COUNTIFS(B:B,B1471)</f>
        <v>8</v>
      </c>
      <c r="R1469" s="24">
        <f>COUNTIFS(D:D,D1472)</f>
        <v>5</v>
      </c>
    </row>
    <row r="1470" spans="1:18" s="21" customFormat="1" x14ac:dyDescent="0.3">
      <c r="A1470" s="14">
        <v>2748</v>
      </c>
      <c r="B1470" s="21" t="s">
        <v>363</v>
      </c>
      <c r="C1470" s="21" t="s">
        <v>930</v>
      </c>
      <c r="D1470" s="21" t="s">
        <v>2702</v>
      </c>
      <c r="E1470" s="1" t="s">
        <v>484</v>
      </c>
      <c r="F1470" s="21" t="s">
        <v>2225</v>
      </c>
      <c r="G1470" s="14">
        <v>0</v>
      </c>
      <c r="H1470" s="14">
        <v>0</v>
      </c>
      <c r="I1470" s="22">
        <v>110</v>
      </c>
      <c r="J1470" s="23">
        <f>VLOOKUP(I1470,episodes!$A$1:$B$76,2,FALSE)</f>
        <v>11</v>
      </c>
      <c r="K1470" s="16" t="str">
        <f>VLOOKUP(I1470,episodes!$A$1:$E$81,5,FALSE)</f>
        <v>The Corbomite Maneuver</v>
      </c>
      <c r="L1470" s="16">
        <f>VLOOKUP(I1470,episodes!$A$1:$D$81,3,FALSE)</f>
        <v>1</v>
      </c>
      <c r="M1470" s="16">
        <f>VLOOKUP(I1470,episodes!$A$1:$D$81,4,FALSE)</f>
        <v>10</v>
      </c>
      <c r="N1470" s="14"/>
      <c r="O1470" s="14">
        <v>0</v>
      </c>
      <c r="P1470" s="24">
        <f>LEN(E1470)+LEN(K1470)</f>
        <v>108</v>
      </c>
      <c r="Q1470" s="24">
        <f>COUNTIFS(B:B,B1469)</f>
        <v>26</v>
      </c>
      <c r="R1470" s="24">
        <f>COUNTIFS(D:D,D1470)</f>
        <v>5</v>
      </c>
    </row>
    <row r="1471" spans="1:18" s="21" customFormat="1" x14ac:dyDescent="0.3">
      <c r="A1471" s="14">
        <v>2872</v>
      </c>
      <c r="B1471" s="21" t="s">
        <v>363</v>
      </c>
      <c r="C1471" s="21" t="s">
        <v>930</v>
      </c>
      <c r="D1471" s="21" t="s">
        <v>2702</v>
      </c>
      <c r="E1471" s="1" t="s">
        <v>892</v>
      </c>
      <c r="F1471" s="21" t="s">
        <v>2225</v>
      </c>
      <c r="G1471" s="14">
        <v>0</v>
      </c>
      <c r="H1471" s="14">
        <v>0</v>
      </c>
      <c r="I1471" s="25">
        <v>999</v>
      </c>
      <c r="J1471" s="23">
        <v>0</v>
      </c>
      <c r="K1471" s="16" t="s">
        <v>1929</v>
      </c>
      <c r="L1471" s="16">
        <v>0</v>
      </c>
      <c r="M1471" s="16">
        <v>0</v>
      </c>
      <c r="N1471" s="14"/>
      <c r="O1471" s="14">
        <v>0</v>
      </c>
      <c r="P1471" s="24">
        <f>LEN(E1471)+LEN(K1471)</f>
        <v>59</v>
      </c>
      <c r="Q1471" s="17"/>
      <c r="R1471" s="17"/>
    </row>
    <row r="1472" spans="1:18" s="21" customFormat="1" x14ac:dyDescent="0.3">
      <c r="A1472" s="14">
        <v>2842</v>
      </c>
      <c r="B1472" s="21" t="s">
        <v>363</v>
      </c>
      <c r="C1472" s="21" t="s">
        <v>930</v>
      </c>
      <c r="D1472" s="21" t="s">
        <v>2702</v>
      </c>
      <c r="E1472" s="1" t="s">
        <v>1417</v>
      </c>
      <c r="F1472" s="21" t="s">
        <v>2225</v>
      </c>
      <c r="G1472" s="14">
        <v>0</v>
      </c>
      <c r="H1472" s="14">
        <v>0</v>
      </c>
      <c r="I1472" s="22">
        <v>206</v>
      </c>
      <c r="J1472" s="23">
        <f>VLOOKUP(I1472,episodes!$A$1:$B$81,2,FALSE)</f>
        <v>36</v>
      </c>
      <c r="K1472" s="16" t="str">
        <f>VLOOKUP(I1472,episodes!$A$1:$E$81,5,FALSE)</f>
        <v>The Doomsday Machine</v>
      </c>
      <c r="L1472" s="16">
        <f>VLOOKUP(I1472,episodes!$A$1:$D$81,3,FALSE)</f>
        <v>2</v>
      </c>
      <c r="M1472" s="16">
        <f>VLOOKUP(I1472,episodes!$A$1:$D$81,4,FALSE)</f>
        <v>6</v>
      </c>
      <c r="N1472" s="14"/>
      <c r="O1472" s="14">
        <v>0</v>
      </c>
      <c r="P1472" s="24">
        <f>LEN(E1472)+LEN(K1472)</f>
        <v>62</v>
      </c>
      <c r="Q1472" s="24">
        <f>COUNTIFS(B:B,B1471)</f>
        <v>8</v>
      </c>
      <c r="R1472" s="24">
        <f>COUNTIFS(D:D,D1472)</f>
        <v>5</v>
      </c>
    </row>
    <row r="1473" spans="1:18" s="21" customFormat="1" x14ac:dyDescent="0.3">
      <c r="A1473" s="14">
        <v>2857</v>
      </c>
      <c r="B1473" s="21" t="s">
        <v>363</v>
      </c>
      <c r="C1473" s="21" t="s">
        <v>930</v>
      </c>
      <c r="D1473" s="21" t="s">
        <v>2702</v>
      </c>
      <c r="E1473" s="1" t="s">
        <v>1824</v>
      </c>
      <c r="F1473" s="21" t="s">
        <v>2225</v>
      </c>
      <c r="G1473" s="14">
        <v>0</v>
      </c>
      <c r="H1473" s="14">
        <v>0</v>
      </c>
      <c r="I1473" s="22">
        <v>217</v>
      </c>
      <c r="J1473" s="23">
        <f>VLOOKUP(I1473,episodes!$A$1:$B$81,2,FALSE)</f>
        <v>47</v>
      </c>
      <c r="K1473" s="16" t="str">
        <f>VLOOKUP(I1473,episodes!$A$1:$E$81,5,FALSE)</f>
        <v>A Piece of the Action</v>
      </c>
      <c r="L1473" s="16">
        <f>VLOOKUP(I1473,episodes!$A$1:$D$81,3,FALSE)</f>
        <v>2</v>
      </c>
      <c r="M1473" s="16">
        <f>VLOOKUP(I1473,episodes!$A$1:$D$81,4,FALSE)</f>
        <v>17</v>
      </c>
      <c r="N1473" s="14"/>
      <c r="O1473" s="14">
        <v>0</v>
      </c>
      <c r="P1473" s="24">
        <f>LEN(E1473)+LEN(K1473)</f>
        <v>35</v>
      </c>
      <c r="Q1473" s="24">
        <f>COUNTIFS(B:B,B1475)</f>
        <v>8</v>
      </c>
      <c r="R1473" s="24">
        <f>COUNTIFS(D:D,D1476)</f>
        <v>3</v>
      </c>
    </row>
    <row r="1474" spans="1:18" s="21" customFormat="1" x14ac:dyDescent="0.3">
      <c r="A1474" s="14">
        <v>2855</v>
      </c>
      <c r="B1474" s="21" t="s">
        <v>363</v>
      </c>
      <c r="C1474" s="21" t="s">
        <v>930</v>
      </c>
      <c r="D1474" s="21" t="s">
        <v>2702</v>
      </c>
      <c r="E1474" s="1" t="s">
        <v>2585</v>
      </c>
      <c r="F1474" s="21" t="s">
        <v>2225</v>
      </c>
      <c r="G1474" s="14">
        <v>0</v>
      </c>
      <c r="H1474" s="14">
        <v>0</v>
      </c>
      <c r="I1474" s="22">
        <v>213</v>
      </c>
      <c r="J1474" s="23">
        <f>VLOOKUP(I1474,episodes!$A$1:$B$81,2,FALSE)</f>
        <v>43</v>
      </c>
      <c r="K1474" s="16" t="str">
        <f>VLOOKUP(I1474,episodes!$A$1:$E$81,5,FALSE)</f>
        <v>Obsession</v>
      </c>
      <c r="L1474" s="16">
        <f>VLOOKUP(I1474,episodes!$A$1:$D$81,3,FALSE)</f>
        <v>2</v>
      </c>
      <c r="M1474" s="16">
        <f>VLOOKUP(I1474,episodes!$A$1:$D$81,4,FALSE)</f>
        <v>13</v>
      </c>
      <c r="N1474" s="14"/>
      <c r="O1474" s="14">
        <v>0</v>
      </c>
      <c r="P1474" s="24">
        <f>LEN(E1474)+LEN(K1474)</f>
        <v>30</v>
      </c>
      <c r="Q1474" s="24">
        <f>COUNTIFS(B:B,B1476)</f>
        <v>4</v>
      </c>
      <c r="R1474" s="24">
        <f>COUNTIFS(D:D,D1477)</f>
        <v>3</v>
      </c>
    </row>
    <row r="1475" spans="1:18" s="21" customFormat="1" x14ac:dyDescent="0.3">
      <c r="A1475" s="14">
        <v>2941</v>
      </c>
      <c r="B1475" s="21" t="s">
        <v>363</v>
      </c>
      <c r="C1475" s="21" t="s">
        <v>930</v>
      </c>
      <c r="D1475" s="1"/>
      <c r="E1475" s="4" t="s">
        <v>2772</v>
      </c>
      <c r="F1475" s="21" t="s">
        <v>2225</v>
      </c>
      <c r="G1475" s="14">
        <v>0</v>
      </c>
      <c r="H1475" s="14">
        <v>0</v>
      </c>
      <c r="I1475" s="7">
        <v>211</v>
      </c>
      <c r="J1475" s="23">
        <f>VLOOKUP(I1475,episodes!$A$1:$B$81,2,FALSE)</f>
        <v>41</v>
      </c>
      <c r="K1475" s="16" t="str">
        <f>VLOOKUP(I1475,episodes!$A$1:$E$81,5,FALSE)</f>
        <v>Friday's Child</v>
      </c>
      <c r="L1475" s="16">
        <f>VLOOKUP(I1475,episodes!$A$1:$D$81,3,FALSE)</f>
        <v>2</v>
      </c>
      <c r="M1475" s="16">
        <f>VLOOKUP(I1475,episodes!$A$1:$D$81,4,FALSE)</f>
        <v>11</v>
      </c>
      <c r="N1475" s="14"/>
      <c r="O1475" s="14">
        <v>0</v>
      </c>
      <c r="P1475" s="24">
        <f>LEN(E1475)+LEN(K1475)</f>
        <v>108</v>
      </c>
      <c r="Q1475" s="24"/>
      <c r="R1475" s="24"/>
    </row>
    <row r="1476" spans="1:18" s="21" customFormat="1" x14ac:dyDescent="0.3">
      <c r="A1476" s="14">
        <v>249</v>
      </c>
      <c r="B1476" s="21" t="s">
        <v>329</v>
      </c>
      <c r="C1476" s="21" t="s">
        <v>151</v>
      </c>
      <c r="D1476" s="1" t="s">
        <v>151</v>
      </c>
      <c r="E1476" s="1" t="s">
        <v>1193</v>
      </c>
      <c r="F1476" s="21" t="s">
        <v>2224</v>
      </c>
      <c r="G1476" s="14">
        <v>0</v>
      </c>
      <c r="H1476" s="14">
        <v>0</v>
      </c>
      <c r="I1476" s="14">
        <v>102</v>
      </c>
      <c r="J1476" s="23">
        <f>VLOOKUP(I1476,episodes!$A$1:$B$76,2,FALSE)</f>
        <v>3</v>
      </c>
      <c r="K1476" s="16" t="str">
        <f>VLOOKUP(I1476,episodes!$A$1:$E$81,5,FALSE)</f>
        <v>Charlie X</v>
      </c>
      <c r="L1476" s="16">
        <f>VLOOKUP(I1476,episodes!$A$1:$D$81,3,FALSE)</f>
        <v>1</v>
      </c>
      <c r="M1476" s="16">
        <f>VLOOKUP(I1476,episodes!$A$1:$D$81,4,FALSE)</f>
        <v>2</v>
      </c>
      <c r="N1476" s="14"/>
      <c r="O1476" s="14">
        <v>0</v>
      </c>
      <c r="P1476" s="24">
        <f>LEN(E1476)+LEN(K1476)</f>
        <v>74</v>
      </c>
      <c r="Q1476" s="24">
        <f>COUNTIFS(B:B,B1475)</f>
        <v>8</v>
      </c>
      <c r="R1476" s="24">
        <f>COUNTIFS(D:D,D1476)</f>
        <v>3</v>
      </c>
    </row>
    <row r="1477" spans="1:18" s="21" customFormat="1" x14ac:dyDescent="0.3">
      <c r="A1477" s="14">
        <v>1745</v>
      </c>
      <c r="B1477" s="21" t="s">
        <v>329</v>
      </c>
      <c r="C1477" s="21" t="s">
        <v>151</v>
      </c>
      <c r="D1477" s="1" t="s">
        <v>151</v>
      </c>
      <c r="E1477" s="1" t="s">
        <v>1481</v>
      </c>
      <c r="F1477" s="21" t="s">
        <v>2298</v>
      </c>
      <c r="G1477" s="14">
        <v>0</v>
      </c>
      <c r="H1477" s="14">
        <v>0</v>
      </c>
      <c r="I1477" s="25">
        <v>103</v>
      </c>
      <c r="J1477" s="23">
        <f>VLOOKUP(I1477,episodes!$A$1:$B$76,2,FALSE)</f>
        <v>4</v>
      </c>
      <c r="K1477" s="16" t="str">
        <f>VLOOKUP(I1477,episodes!$A$1:$E$81,5,FALSE)</f>
        <v>Where No Man Has Gone Before</v>
      </c>
      <c r="L1477" s="16">
        <f>VLOOKUP(I1477,episodes!$A$1:$D$81,3,FALSE)</f>
        <v>1</v>
      </c>
      <c r="M1477" s="16">
        <f>VLOOKUP(I1477,episodes!$A$1:$D$81,4,FALSE)</f>
        <v>3</v>
      </c>
      <c r="N1477" s="14"/>
      <c r="O1477" s="14">
        <v>0</v>
      </c>
      <c r="P1477" s="24">
        <f>LEN(E1477)+LEN(K1477)</f>
        <v>114</v>
      </c>
      <c r="Q1477" s="24">
        <f>COUNTIFS(B:B,B1476)</f>
        <v>4</v>
      </c>
      <c r="R1477" s="24">
        <f>COUNTIFS(D:D,D1477)</f>
        <v>3</v>
      </c>
    </row>
    <row r="1478" spans="1:18" s="21" customFormat="1" x14ac:dyDescent="0.3">
      <c r="A1478" s="14">
        <v>2479</v>
      </c>
      <c r="B1478" s="21" t="s">
        <v>329</v>
      </c>
      <c r="C1478" s="21" t="s">
        <v>151</v>
      </c>
      <c r="D1478" s="1" t="s">
        <v>2932</v>
      </c>
      <c r="E1478" s="1" t="s">
        <v>1182</v>
      </c>
      <c r="F1478" s="21" t="s">
        <v>2247</v>
      </c>
      <c r="G1478" s="14">
        <v>0</v>
      </c>
      <c r="H1478" s="14">
        <v>0</v>
      </c>
      <c r="I1478" s="25">
        <v>100</v>
      </c>
      <c r="J1478" s="23">
        <f>VLOOKUP(I1478,episodes!$A$1:$B$76,2,FALSE)</f>
        <v>1</v>
      </c>
      <c r="K1478" s="16" t="str">
        <f>VLOOKUP(I1478,episodes!$A$1:$E$81,5,FALSE)</f>
        <v>The Cage</v>
      </c>
      <c r="L1478" s="16">
        <f>VLOOKUP(I1478,episodes!$A$1:$D$81,3,FALSE)</f>
        <v>1</v>
      </c>
      <c r="M1478" s="16">
        <f>VLOOKUP(I1478,episodes!$A$1:$D$81,4,FALSE)</f>
        <v>0</v>
      </c>
      <c r="N1478" s="14"/>
      <c r="O1478" s="14">
        <v>0</v>
      </c>
      <c r="P1478" s="24">
        <f>LEN(E1478)+LEN(K1478)</f>
        <v>113</v>
      </c>
      <c r="Q1478" s="24">
        <f>COUNTIFS(B:B,B1477)</f>
        <v>4</v>
      </c>
      <c r="R1478" s="24">
        <f>COUNTIFS(D:D,D1478)</f>
        <v>1</v>
      </c>
    </row>
    <row r="1479" spans="1:18" s="21" customFormat="1" x14ac:dyDescent="0.3">
      <c r="A1479" s="14">
        <v>977</v>
      </c>
      <c r="B1479" s="21" t="s">
        <v>1850</v>
      </c>
      <c r="C1479" s="21" t="s">
        <v>151</v>
      </c>
      <c r="D1479" s="1"/>
      <c r="E1479" s="1" t="s">
        <v>818</v>
      </c>
      <c r="F1479" s="21" t="s">
        <v>4</v>
      </c>
      <c r="G1479" s="14">
        <v>1</v>
      </c>
      <c r="H1479" s="14">
        <v>0</v>
      </c>
      <c r="I1479" s="14">
        <v>202</v>
      </c>
      <c r="J1479" s="23">
        <f>VLOOKUP(I1479,episodes!$A$1:$B$76,2,FALSE)</f>
        <v>32</v>
      </c>
      <c r="K1479" s="16" t="str">
        <f>VLOOKUP(I1479,episodes!$A$1:$E$81,5,FALSE)</f>
        <v>Who Mourns for Adonais?</v>
      </c>
      <c r="L1479" s="16">
        <f>VLOOKUP(I1479,episodes!$A$1:$D$81,3,FALSE)</f>
        <v>2</v>
      </c>
      <c r="M1479" s="16">
        <f>VLOOKUP(I1479,episodes!$A$1:$D$81,4,FALSE)</f>
        <v>2</v>
      </c>
      <c r="N1479" s="14"/>
      <c r="O1479" s="14">
        <v>0</v>
      </c>
      <c r="P1479" s="24">
        <f>LEN(E1479)+LEN(K1479)</f>
        <v>105</v>
      </c>
      <c r="Q1479" s="24">
        <f>COUNTIFS(B:B,#REF!)</f>
        <v>0</v>
      </c>
      <c r="R1479" s="24">
        <f>COUNTIFS(D:D,D1479)</f>
        <v>0</v>
      </c>
    </row>
    <row r="1480" spans="1:18" s="21" customFormat="1" x14ac:dyDescent="0.3">
      <c r="A1480" s="14">
        <v>1972</v>
      </c>
      <c r="B1480" s="21" t="s">
        <v>1148</v>
      </c>
      <c r="C1480" s="21" t="s">
        <v>6</v>
      </c>
      <c r="D1480" s="21" t="s">
        <v>2355</v>
      </c>
      <c r="E1480" s="1" t="s">
        <v>2142</v>
      </c>
      <c r="F1480" s="21" t="s">
        <v>6</v>
      </c>
      <c r="G1480" s="14">
        <v>0</v>
      </c>
      <c r="H1480" s="14">
        <v>1</v>
      </c>
      <c r="I1480" s="22">
        <v>123</v>
      </c>
      <c r="J1480" s="23">
        <f>VLOOKUP(I1480,episodes!$A$1:$B$76,2,FALSE)</f>
        <v>24</v>
      </c>
      <c r="K1480" s="16" t="str">
        <f>VLOOKUP(I1480,episodes!$A$1:$E$81,5,FALSE)</f>
        <v>A Taste of Armageddon</v>
      </c>
      <c r="L1480" s="16">
        <f>VLOOKUP(I1480,episodes!$A$1:$D$81,3,FALSE)</f>
        <v>1</v>
      </c>
      <c r="M1480" s="16">
        <f>VLOOKUP(I1480,episodes!$A$1:$D$81,4,FALSE)</f>
        <v>23</v>
      </c>
      <c r="N1480" s="14"/>
      <c r="O1480" s="14">
        <v>0</v>
      </c>
      <c r="P1480" s="24">
        <f>LEN(E1480)+LEN(K1480)</f>
        <v>140</v>
      </c>
      <c r="Q1480" s="24">
        <f>COUNTIFS(B:B,B1479)</f>
        <v>4</v>
      </c>
      <c r="R1480" s="24">
        <f>COUNTIFS(D:D,D1480)</f>
        <v>1</v>
      </c>
    </row>
    <row r="1481" spans="1:18" s="21" customFormat="1" x14ac:dyDescent="0.3">
      <c r="A1481" s="14">
        <v>1964</v>
      </c>
      <c r="B1481" s="21" t="s">
        <v>522</v>
      </c>
      <c r="C1481" s="21" t="s">
        <v>6</v>
      </c>
      <c r="E1481" s="1" t="s">
        <v>1091</v>
      </c>
      <c r="F1481" s="21" t="s">
        <v>6</v>
      </c>
      <c r="G1481" s="14">
        <v>0</v>
      </c>
      <c r="H1481" s="14">
        <v>1</v>
      </c>
      <c r="I1481" s="25">
        <v>104</v>
      </c>
      <c r="J1481" s="23">
        <f>VLOOKUP(I1481,episodes!$A$1:$B$76,2,FALSE)</f>
        <v>5</v>
      </c>
      <c r="K1481" s="16" t="str">
        <f>VLOOKUP(I1481,episodes!$A$1:$E$81,5,FALSE)</f>
        <v>The Naked Time</v>
      </c>
      <c r="L1481" s="16">
        <f>VLOOKUP(I1481,episodes!$A$1:$D$81,3,FALSE)</f>
        <v>1</v>
      </c>
      <c r="M1481" s="16">
        <f>VLOOKUP(I1481,episodes!$A$1:$D$81,4,FALSE)</f>
        <v>4</v>
      </c>
      <c r="N1481" s="14"/>
      <c r="O1481" s="14">
        <v>0</v>
      </c>
      <c r="P1481" s="24">
        <f>LEN(E1481)+LEN(K1481)</f>
        <v>101</v>
      </c>
      <c r="Q1481" s="24">
        <f>COUNTIFS(B:B,B1479)</f>
        <v>4</v>
      </c>
      <c r="R1481" s="24">
        <f>COUNTIFS(D:D,#REF!)</f>
        <v>0</v>
      </c>
    </row>
    <row r="1482" spans="1:18" s="21" customFormat="1" x14ac:dyDescent="0.3">
      <c r="A1482" s="14">
        <v>1969</v>
      </c>
      <c r="B1482" s="21" t="s">
        <v>522</v>
      </c>
      <c r="C1482" s="21" t="s">
        <v>6</v>
      </c>
      <c r="E1482" s="1" t="s">
        <v>1278</v>
      </c>
      <c r="F1482" s="21" t="s">
        <v>6</v>
      </c>
      <c r="G1482" s="14">
        <v>0</v>
      </c>
      <c r="H1482" s="14">
        <v>1</v>
      </c>
      <c r="I1482" s="25">
        <v>116</v>
      </c>
      <c r="J1482" s="23">
        <f>VLOOKUP(I1482,episodes!$A$1:$B$76,2,FALSE)</f>
        <v>17</v>
      </c>
      <c r="K1482" s="16" t="str">
        <f>VLOOKUP(I1482,episodes!$A$1:$E$81,5,FALSE)</f>
        <v>The Galileo Seven</v>
      </c>
      <c r="L1482" s="16">
        <f>VLOOKUP(I1482,episodes!$A$1:$D$81,3,FALSE)</f>
        <v>1</v>
      </c>
      <c r="M1482" s="16">
        <f>VLOOKUP(I1482,episodes!$A$1:$D$81,4,FALSE)</f>
        <v>16</v>
      </c>
      <c r="N1482" s="14"/>
      <c r="O1482" s="14">
        <v>0</v>
      </c>
      <c r="P1482" s="24">
        <f>LEN(E1482)+LEN(K1482)</f>
        <v>94</v>
      </c>
      <c r="Q1482" s="24">
        <f>COUNTIFS(B:B,B1481)</f>
        <v>7</v>
      </c>
      <c r="R1482" s="24">
        <f>COUNTIFS(D:D,#REF!)</f>
        <v>0</v>
      </c>
    </row>
    <row r="1483" spans="1:18" s="21" customFormat="1" x14ac:dyDescent="0.3">
      <c r="A1483" s="14">
        <v>1988</v>
      </c>
      <c r="B1483" s="21" t="s">
        <v>522</v>
      </c>
      <c r="C1483" s="21" t="s">
        <v>6</v>
      </c>
      <c r="E1483" s="1" t="s">
        <v>908</v>
      </c>
      <c r="F1483" s="21" t="s">
        <v>6</v>
      </c>
      <c r="G1483" s="14">
        <v>0</v>
      </c>
      <c r="H1483" s="14">
        <v>1</v>
      </c>
      <c r="I1483" s="25">
        <v>204</v>
      </c>
      <c r="J1483" s="23">
        <f>VLOOKUP(I1483,episodes!$A$1:$B$81,2,FALSE)</f>
        <v>34</v>
      </c>
      <c r="K1483" s="16" t="str">
        <f>VLOOKUP(I1483,episodes!$A$1:$E$81,5,FALSE)</f>
        <v>Mirror, Mirror</v>
      </c>
      <c r="L1483" s="16">
        <f>VLOOKUP(I1483,episodes!$A$1:$D$81,3,FALSE)</f>
        <v>2</v>
      </c>
      <c r="M1483" s="16">
        <f>VLOOKUP(I1483,episodes!$A$1:$D$81,4,FALSE)</f>
        <v>4</v>
      </c>
      <c r="N1483" s="14"/>
      <c r="O1483" s="14">
        <v>0</v>
      </c>
      <c r="P1483" s="24">
        <f>LEN(E1483)+LEN(K1483)</f>
        <v>72</v>
      </c>
      <c r="Q1483" s="24">
        <f>COUNTIFS(B:B,B1482)</f>
        <v>7</v>
      </c>
      <c r="R1483" s="24">
        <f>COUNTIFS(D:D,D1483)</f>
        <v>0</v>
      </c>
    </row>
    <row r="1484" spans="1:18" s="21" customFormat="1" x14ac:dyDescent="0.3">
      <c r="A1484" s="14">
        <v>2805</v>
      </c>
      <c r="B1484" s="21" t="s">
        <v>346</v>
      </c>
      <c r="C1484" s="21" t="s">
        <v>2795</v>
      </c>
      <c r="D1484" s="21" t="s">
        <v>2721</v>
      </c>
      <c r="E1484" s="1" t="s">
        <v>856</v>
      </c>
      <c r="F1484" s="21" t="s">
        <v>2225</v>
      </c>
      <c r="G1484" s="14">
        <v>0</v>
      </c>
      <c r="H1484" s="14">
        <v>0</v>
      </c>
      <c r="I1484" s="22">
        <v>127</v>
      </c>
      <c r="J1484" s="23">
        <f>VLOOKUP(I1484,episodes!$A$1:$B$76,2,FALSE)</f>
        <v>28</v>
      </c>
      <c r="K1484" s="16" t="str">
        <f>VLOOKUP(I1484,episodes!$A$1:$E$81,5,FALSE)</f>
        <v>The Alternative Factor</v>
      </c>
      <c r="L1484" s="16">
        <f>VLOOKUP(I1484,episodes!$A$1:$D$81,3,FALSE)</f>
        <v>1</v>
      </c>
      <c r="M1484" s="16">
        <f>VLOOKUP(I1484,episodes!$A$1:$D$81,4,FALSE)</f>
        <v>27</v>
      </c>
      <c r="N1484" s="14"/>
      <c r="O1484" s="14">
        <v>0</v>
      </c>
      <c r="P1484" s="24">
        <f>LEN(E1484)+LEN(K1484)</f>
        <v>60</v>
      </c>
      <c r="Q1484" s="24">
        <f>COUNTIFS(B:B,B1483)</f>
        <v>7</v>
      </c>
      <c r="R1484" s="24">
        <f>COUNTIFS(D:D,D1484)</f>
        <v>1</v>
      </c>
    </row>
    <row r="1485" spans="1:18" s="21" customFormat="1" x14ac:dyDescent="0.3">
      <c r="A1485" s="14">
        <v>2713</v>
      </c>
      <c r="B1485" s="21" t="s">
        <v>346</v>
      </c>
      <c r="C1485" s="21" t="s">
        <v>2795</v>
      </c>
      <c r="D1485" s="21" t="s">
        <v>2722</v>
      </c>
      <c r="E1485" s="1" t="s">
        <v>823</v>
      </c>
      <c r="F1485" s="21" t="s">
        <v>2225</v>
      </c>
      <c r="G1485" s="14">
        <v>0</v>
      </c>
      <c r="H1485" s="14">
        <v>0</v>
      </c>
      <c r="I1485" s="25">
        <v>102</v>
      </c>
      <c r="J1485" s="23">
        <f>VLOOKUP(I1485,episodes!$A$1:$B$76,2,FALSE)</f>
        <v>3</v>
      </c>
      <c r="K1485" s="16" t="str">
        <f>VLOOKUP(I1485,episodes!$A$1:$E$81,5,FALSE)</f>
        <v>Charlie X</v>
      </c>
      <c r="L1485" s="16">
        <f>VLOOKUP(I1485,episodes!$A$1:$D$81,3,FALSE)</f>
        <v>1</v>
      </c>
      <c r="M1485" s="16">
        <f>VLOOKUP(I1485,episodes!$A$1:$D$81,4,FALSE)</f>
        <v>2</v>
      </c>
      <c r="N1485" s="14"/>
      <c r="O1485" s="14">
        <v>0</v>
      </c>
      <c r="P1485" s="24">
        <f>LEN(E1485)+LEN(K1485)</f>
        <v>51</v>
      </c>
      <c r="Q1485" s="24">
        <f>COUNTIFS(B:B,B1484)</f>
        <v>13</v>
      </c>
      <c r="R1485" s="24">
        <f>COUNTIFS(D:D,D1485)</f>
        <v>12</v>
      </c>
    </row>
    <row r="1486" spans="1:18" s="21" customFormat="1" x14ac:dyDescent="0.3">
      <c r="A1486" s="14">
        <v>2890</v>
      </c>
      <c r="B1486" s="21" t="s">
        <v>346</v>
      </c>
      <c r="C1486" s="21" t="s">
        <v>2795</v>
      </c>
      <c r="D1486" s="21" t="s">
        <v>2722</v>
      </c>
      <c r="E1486" s="1" t="s">
        <v>2223</v>
      </c>
      <c r="F1486" s="21" t="s">
        <v>2225</v>
      </c>
      <c r="G1486" s="14">
        <v>0</v>
      </c>
      <c r="H1486" s="14">
        <v>0</v>
      </c>
      <c r="I1486" s="22">
        <v>210</v>
      </c>
      <c r="J1486" s="23">
        <f>VLOOKUP(I1486,episodes!$A$1:$B$81,2,FALSE)</f>
        <v>40</v>
      </c>
      <c r="K1486" s="16" t="str">
        <f>VLOOKUP(I1486,episodes!$A$1:$E$81,5,FALSE)</f>
        <v>Journey to Babel</v>
      </c>
      <c r="L1486" s="16">
        <f>VLOOKUP(I1486,episodes!$A$1:$D$81,3,FALSE)</f>
        <v>2</v>
      </c>
      <c r="M1486" s="16">
        <f>VLOOKUP(I1486,episodes!$A$1:$D$81,4,FALSE)</f>
        <v>10</v>
      </c>
      <c r="N1486" s="14"/>
      <c r="O1486" s="14">
        <v>0</v>
      </c>
      <c r="P1486" s="24">
        <f>LEN(E1486)+LEN(K1486)</f>
        <v>57</v>
      </c>
      <c r="Q1486" s="24">
        <f>COUNTIFS(B:B,B1485)</f>
        <v>13</v>
      </c>
      <c r="R1486" s="24">
        <f>COUNTIFS(D:D,D1486)</f>
        <v>12</v>
      </c>
    </row>
    <row r="1487" spans="1:18" s="21" customFormat="1" x14ac:dyDescent="0.3">
      <c r="A1487" s="14">
        <v>2723</v>
      </c>
      <c r="B1487" s="21" t="s">
        <v>346</v>
      </c>
      <c r="C1487" s="21" t="s">
        <v>2795</v>
      </c>
      <c r="D1487" s="21" t="s">
        <v>2722</v>
      </c>
      <c r="E1487" s="1" t="s">
        <v>452</v>
      </c>
      <c r="F1487" s="21" t="s">
        <v>2225</v>
      </c>
      <c r="G1487" s="14">
        <v>0</v>
      </c>
      <c r="H1487" s="14">
        <v>0</v>
      </c>
      <c r="I1487" s="25">
        <v>104</v>
      </c>
      <c r="J1487" s="23">
        <f>VLOOKUP(I1487,episodes!$A$1:$B$76,2,FALSE)</f>
        <v>5</v>
      </c>
      <c r="K1487" s="16" t="str">
        <f>VLOOKUP(I1487,episodes!$A$1:$E$81,5,FALSE)</f>
        <v>The Naked Time</v>
      </c>
      <c r="L1487" s="16">
        <f>VLOOKUP(I1487,episodes!$A$1:$D$81,3,FALSE)</f>
        <v>1</v>
      </c>
      <c r="M1487" s="16">
        <f>VLOOKUP(I1487,episodes!$A$1:$D$81,4,FALSE)</f>
        <v>4</v>
      </c>
      <c r="N1487" s="14"/>
      <c r="O1487" s="14">
        <v>0</v>
      </c>
      <c r="P1487" s="24">
        <f>LEN(E1487)+LEN(K1487)</f>
        <v>54</v>
      </c>
      <c r="Q1487" s="24">
        <f>COUNTIFS(B:B,B1486)</f>
        <v>13</v>
      </c>
      <c r="R1487" s="24">
        <f>COUNTIFS(D:D,D1487)</f>
        <v>12</v>
      </c>
    </row>
    <row r="1488" spans="1:18" s="21" customFormat="1" x14ac:dyDescent="0.3">
      <c r="A1488" s="14">
        <v>2744</v>
      </c>
      <c r="B1488" s="21" t="s">
        <v>346</v>
      </c>
      <c r="C1488" s="21" t="s">
        <v>2795</v>
      </c>
      <c r="D1488" s="21" t="s">
        <v>2722</v>
      </c>
      <c r="E1488" s="1" t="s">
        <v>452</v>
      </c>
      <c r="F1488" s="21" t="s">
        <v>2225</v>
      </c>
      <c r="G1488" s="14">
        <v>0</v>
      </c>
      <c r="H1488" s="14">
        <v>0</v>
      </c>
      <c r="I1488" s="25">
        <v>110</v>
      </c>
      <c r="J1488" s="23">
        <f>VLOOKUP(I1488,episodes!$A$1:$B$76,2,FALSE)</f>
        <v>11</v>
      </c>
      <c r="K1488" s="16" t="str">
        <f>VLOOKUP(I1488,episodes!$A$1:$E$81,5,FALSE)</f>
        <v>The Corbomite Maneuver</v>
      </c>
      <c r="L1488" s="16">
        <f>VLOOKUP(I1488,episodes!$A$1:$D$81,3,FALSE)</f>
        <v>1</v>
      </c>
      <c r="M1488" s="16">
        <f>VLOOKUP(I1488,episodes!$A$1:$D$81,4,FALSE)</f>
        <v>10</v>
      </c>
      <c r="N1488" s="14"/>
      <c r="O1488" s="14">
        <v>0</v>
      </c>
      <c r="P1488" s="24">
        <f>LEN(E1488)+LEN(K1488)</f>
        <v>62</v>
      </c>
      <c r="Q1488" s="24">
        <f>COUNTIFS(B:B,B1487)</f>
        <v>13</v>
      </c>
      <c r="R1488" s="24">
        <f>COUNTIFS(D:D,D1488)</f>
        <v>12</v>
      </c>
    </row>
    <row r="1489" spans="1:19" s="21" customFormat="1" x14ac:dyDescent="0.3">
      <c r="A1489" s="14">
        <v>2752</v>
      </c>
      <c r="B1489" s="21" t="s">
        <v>346</v>
      </c>
      <c r="C1489" s="21" t="s">
        <v>2795</v>
      </c>
      <c r="D1489" s="21" t="s">
        <v>2722</v>
      </c>
      <c r="E1489" s="1" t="s">
        <v>452</v>
      </c>
      <c r="F1489" s="21" t="s">
        <v>2225</v>
      </c>
      <c r="G1489" s="14">
        <v>0</v>
      </c>
      <c r="H1489" s="14">
        <v>0</v>
      </c>
      <c r="I1489" s="25">
        <v>113</v>
      </c>
      <c r="J1489" s="23">
        <f>VLOOKUP(I1489,episodes!$A$1:$B$76,2,FALSE)</f>
        <v>14</v>
      </c>
      <c r="K1489" s="16" t="str">
        <f>VLOOKUP(I1489,episodes!$A$1:$E$81,5,FALSE)</f>
        <v>The Conscience of the King</v>
      </c>
      <c r="L1489" s="16">
        <f>VLOOKUP(I1489,episodes!$A$1:$D$81,3,FALSE)</f>
        <v>1</v>
      </c>
      <c r="M1489" s="16">
        <f>VLOOKUP(I1489,episodes!$A$1:$D$81,4,FALSE)</f>
        <v>13</v>
      </c>
      <c r="N1489" s="14"/>
      <c r="O1489" s="14">
        <v>0</v>
      </c>
      <c r="P1489" s="24">
        <f>LEN(E1489)+LEN(K1489)</f>
        <v>66</v>
      </c>
      <c r="Q1489" s="24">
        <f>COUNTIFS(B:B,B1488)</f>
        <v>13</v>
      </c>
      <c r="R1489" s="24">
        <f>COUNTIFS(D:D,D1489)</f>
        <v>12</v>
      </c>
    </row>
    <row r="1490" spans="1:19" s="21" customFormat="1" x14ac:dyDescent="0.3">
      <c r="A1490" s="14">
        <v>2806</v>
      </c>
      <c r="B1490" s="21" t="s">
        <v>346</v>
      </c>
      <c r="C1490" s="21" t="s">
        <v>2795</v>
      </c>
      <c r="D1490" s="21" t="s">
        <v>2722</v>
      </c>
      <c r="E1490" s="1" t="s">
        <v>452</v>
      </c>
      <c r="F1490" s="21" t="s">
        <v>2225</v>
      </c>
      <c r="G1490" s="14">
        <v>0</v>
      </c>
      <c r="H1490" s="14">
        <v>0</v>
      </c>
      <c r="I1490" s="22">
        <v>127</v>
      </c>
      <c r="J1490" s="23">
        <f>VLOOKUP(I1490,episodes!$A$1:$B$76,2,FALSE)</f>
        <v>28</v>
      </c>
      <c r="K1490" s="16" t="str">
        <f>VLOOKUP(I1490,episodes!$A$1:$E$81,5,FALSE)</f>
        <v>The Alternative Factor</v>
      </c>
      <c r="L1490" s="16">
        <f>VLOOKUP(I1490,episodes!$A$1:$D$81,3,FALSE)</f>
        <v>1</v>
      </c>
      <c r="M1490" s="16">
        <f>VLOOKUP(I1490,episodes!$A$1:$D$81,4,FALSE)</f>
        <v>27</v>
      </c>
      <c r="N1490" s="14"/>
      <c r="O1490" s="14">
        <v>0</v>
      </c>
      <c r="P1490" s="24">
        <f>LEN(E1490)+LEN(K1490)</f>
        <v>62</v>
      </c>
      <c r="Q1490" s="24">
        <f>COUNTIFS(B:B,B1489)</f>
        <v>13</v>
      </c>
      <c r="R1490" s="24">
        <f>COUNTIFS(D:D,D1490)</f>
        <v>12</v>
      </c>
    </row>
    <row r="1491" spans="1:19" s="21" customFormat="1" x14ac:dyDescent="0.3">
      <c r="A1491" s="14">
        <v>2818</v>
      </c>
      <c r="B1491" s="21" t="s">
        <v>346</v>
      </c>
      <c r="C1491" s="21" t="s">
        <v>2795</v>
      </c>
      <c r="D1491" s="21" t="s">
        <v>2722</v>
      </c>
      <c r="E1491" s="1" t="s">
        <v>2154</v>
      </c>
      <c r="F1491" s="21" t="s">
        <v>2225</v>
      </c>
      <c r="G1491" s="14">
        <v>0</v>
      </c>
      <c r="H1491" s="14">
        <v>0</v>
      </c>
      <c r="I1491" s="22">
        <v>201</v>
      </c>
      <c r="J1491" s="23">
        <f>VLOOKUP(I1491,episodes!$A$1:$B$76,2,FALSE)</f>
        <v>31</v>
      </c>
      <c r="K1491" s="16" t="str">
        <f>VLOOKUP(I1491,episodes!$A$1:$E$81,5,FALSE)</f>
        <v>Amok Time</v>
      </c>
      <c r="L1491" s="16">
        <f>VLOOKUP(I1491,episodes!$A$1:$D$81,3,FALSE)</f>
        <v>2</v>
      </c>
      <c r="M1491" s="16">
        <f>VLOOKUP(I1491,episodes!$A$1:$D$81,4,FALSE)</f>
        <v>1</v>
      </c>
      <c r="N1491" s="14"/>
      <c r="O1491" s="14">
        <v>0</v>
      </c>
      <c r="P1491" s="24">
        <f>LEN(E1491)+LEN(K1491)</f>
        <v>43</v>
      </c>
      <c r="Q1491" s="24">
        <f>COUNTIFS(B:B,B1490)</f>
        <v>13</v>
      </c>
      <c r="R1491" s="24">
        <f>COUNTIFS(D:D,D1491)</f>
        <v>12</v>
      </c>
      <c r="S1491" s="1"/>
    </row>
    <row r="1492" spans="1:19" s="21" customFormat="1" x14ac:dyDescent="0.3">
      <c r="A1492" s="14">
        <v>1213</v>
      </c>
      <c r="B1492" s="21" t="s">
        <v>346</v>
      </c>
      <c r="C1492" s="21" t="s">
        <v>2795</v>
      </c>
      <c r="D1492" s="21" t="s">
        <v>2722</v>
      </c>
      <c r="E1492" s="1" t="s">
        <v>445</v>
      </c>
      <c r="F1492" s="21" t="s">
        <v>4</v>
      </c>
      <c r="G1492" s="14">
        <v>1</v>
      </c>
      <c r="H1492" s="14">
        <v>0</v>
      </c>
      <c r="I1492" s="25">
        <v>102</v>
      </c>
      <c r="J1492" s="23">
        <f>VLOOKUP(I1492,episodes!$A$1:$B$76,2,FALSE)</f>
        <v>3</v>
      </c>
      <c r="K1492" s="16" t="str">
        <f>VLOOKUP(I1492,episodes!$A$1:$E$81,5,FALSE)</f>
        <v>Charlie X</v>
      </c>
      <c r="L1492" s="16">
        <f>VLOOKUP(I1492,episodes!$A$1:$D$81,3,FALSE)</f>
        <v>1</v>
      </c>
      <c r="M1492" s="16">
        <f>VLOOKUP(I1492,episodes!$A$1:$D$81,4,FALSE)</f>
        <v>2</v>
      </c>
      <c r="N1492" s="14"/>
      <c r="O1492" s="14">
        <v>0</v>
      </c>
      <c r="P1492" s="24">
        <f>LEN(E1492)+LEN(K1492)</f>
        <v>50</v>
      </c>
      <c r="Q1492" s="24">
        <f>COUNTIFS(B:B,B1490)</f>
        <v>13</v>
      </c>
      <c r="R1492" s="24">
        <f>COUNTIFS(D:D,D1492)</f>
        <v>12</v>
      </c>
      <c r="S1492" s="1"/>
    </row>
    <row r="1493" spans="1:19" s="21" customFormat="1" x14ac:dyDescent="0.3">
      <c r="A1493" s="14">
        <v>1214</v>
      </c>
      <c r="B1493" s="21" t="s">
        <v>346</v>
      </c>
      <c r="C1493" s="21" t="s">
        <v>2795</v>
      </c>
      <c r="D1493" s="21" t="s">
        <v>2722</v>
      </c>
      <c r="E1493" s="1" t="s">
        <v>445</v>
      </c>
      <c r="F1493" s="21" t="s">
        <v>5</v>
      </c>
      <c r="G1493" s="14">
        <v>1</v>
      </c>
      <c r="H1493" s="14">
        <v>0</v>
      </c>
      <c r="I1493" s="25">
        <v>102</v>
      </c>
      <c r="J1493" s="23">
        <f>VLOOKUP(I1493,episodes!$A$1:$B$76,2,FALSE)</f>
        <v>3</v>
      </c>
      <c r="K1493" s="16" t="str">
        <f>VLOOKUP(I1493,episodes!$A$1:$E$81,5,FALSE)</f>
        <v>Charlie X</v>
      </c>
      <c r="L1493" s="16">
        <f>VLOOKUP(I1493,episodes!$A$1:$D$81,3,FALSE)</f>
        <v>1</v>
      </c>
      <c r="M1493" s="16">
        <f>VLOOKUP(I1493,episodes!$A$1:$D$81,4,FALSE)</f>
        <v>2</v>
      </c>
      <c r="N1493" s="14"/>
      <c r="O1493" s="14">
        <v>0</v>
      </c>
      <c r="P1493" s="24">
        <f>LEN(E1493)+LEN(K1493)</f>
        <v>50</v>
      </c>
      <c r="Q1493" s="24"/>
      <c r="R1493" s="24"/>
      <c r="S1493" s="1"/>
    </row>
    <row r="1494" spans="1:19" s="21" customFormat="1" x14ac:dyDescent="0.3">
      <c r="A1494" s="14">
        <v>1215</v>
      </c>
      <c r="B1494" s="21" t="s">
        <v>346</v>
      </c>
      <c r="C1494" s="21" t="s">
        <v>2795</v>
      </c>
      <c r="D1494" s="21" t="s">
        <v>2722</v>
      </c>
      <c r="E1494" s="1" t="s">
        <v>445</v>
      </c>
      <c r="F1494" s="21" t="s">
        <v>4</v>
      </c>
      <c r="G1494" s="14">
        <v>1</v>
      </c>
      <c r="H1494" s="14">
        <v>0</v>
      </c>
      <c r="I1494" s="25">
        <v>103</v>
      </c>
      <c r="J1494" s="23">
        <f>VLOOKUP(I1494,episodes!$A$1:$B$76,2,FALSE)</f>
        <v>4</v>
      </c>
      <c r="K1494" s="16" t="str">
        <f>VLOOKUP(I1494,episodes!$A$1:$E$81,5,FALSE)</f>
        <v>Where No Man Has Gone Before</v>
      </c>
      <c r="L1494" s="16">
        <f>VLOOKUP(I1494,episodes!$A$1:$D$81,3,FALSE)</f>
        <v>1</v>
      </c>
      <c r="M1494" s="16">
        <f>VLOOKUP(I1494,episodes!$A$1:$D$81,4,FALSE)</f>
        <v>3</v>
      </c>
      <c r="N1494" s="14"/>
      <c r="O1494" s="14">
        <v>0</v>
      </c>
      <c r="P1494" s="24">
        <f>LEN(E1494)+LEN(K1494)</f>
        <v>69</v>
      </c>
      <c r="Q1494" s="24">
        <f>COUNTIFS(B:B,B1492)</f>
        <v>13</v>
      </c>
      <c r="R1494" s="24">
        <f>COUNTIFS(D:D,D1494)</f>
        <v>12</v>
      </c>
    </row>
    <row r="1495" spans="1:19" s="21" customFormat="1" x14ac:dyDescent="0.3">
      <c r="A1495" s="14">
        <v>1216</v>
      </c>
      <c r="B1495" s="21" t="s">
        <v>346</v>
      </c>
      <c r="C1495" s="21" t="s">
        <v>2795</v>
      </c>
      <c r="D1495" s="21" t="s">
        <v>2722</v>
      </c>
      <c r="E1495" s="1" t="s">
        <v>445</v>
      </c>
      <c r="F1495" s="21" t="s">
        <v>5</v>
      </c>
      <c r="G1495" s="14">
        <v>1</v>
      </c>
      <c r="H1495" s="14">
        <v>0</v>
      </c>
      <c r="I1495" s="25">
        <v>103</v>
      </c>
      <c r="J1495" s="23">
        <f>VLOOKUP(I1495,episodes!$A$1:$B$76,2,FALSE)</f>
        <v>4</v>
      </c>
      <c r="K1495" s="16" t="str">
        <f>VLOOKUP(I1495,episodes!$A$1:$E$81,5,FALSE)</f>
        <v>Where No Man Has Gone Before</v>
      </c>
      <c r="L1495" s="16">
        <f>VLOOKUP(I1495,episodes!$A$1:$D$81,3,FALSE)</f>
        <v>1</v>
      </c>
      <c r="M1495" s="16">
        <f>VLOOKUP(I1495,episodes!$A$1:$D$81,4,FALSE)</f>
        <v>3</v>
      </c>
      <c r="N1495" s="14"/>
      <c r="O1495" s="14">
        <v>0</v>
      </c>
      <c r="P1495" s="24">
        <f>LEN(E1495)+LEN(K1495)</f>
        <v>69</v>
      </c>
      <c r="Q1495" s="24"/>
      <c r="R1495" s="24"/>
    </row>
    <row r="1496" spans="1:19" s="21" customFormat="1" x14ac:dyDescent="0.3">
      <c r="A1496" s="14">
        <v>2021</v>
      </c>
      <c r="B1496" s="21" t="s">
        <v>346</v>
      </c>
      <c r="C1496" s="21" t="s">
        <v>2795</v>
      </c>
      <c r="D1496" s="21" t="s">
        <v>2722</v>
      </c>
      <c r="E1496" s="1" t="s">
        <v>1079</v>
      </c>
      <c r="F1496" s="21" t="s">
        <v>5</v>
      </c>
      <c r="G1496" s="14">
        <v>1</v>
      </c>
      <c r="H1496" s="14">
        <v>0</v>
      </c>
      <c r="I1496" s="25">
        <v>102</v>
      </c>
      <c r="J1496" s="23">
        <f>VLOOKUP(I1496,episodes!$A$1:$B$76,2,FALSE)</f>
        <v>3</v>
      </c>
      <c r="K1496" s="16" t="str">
        <f>VLOOKUP(I1496,episodes!$A$1:$E$81,5,FALSE)</f>
        <v>Charlie X</v>
      </c>
      <c r="L1496" s="16">
        <f>VLOOKUP(I1496,episodes!$A$1:$D$81,3,FALSE)</f>
        <v>1</v>
      </c>
      <c r="M1496" s="16">
        <f>VLOOKUP(I1496,episodes!$A$1:$D$81,4,FALSE)</f>
        <v>2</v>
      </c>
      <c r="N1496" s="14"/>
      <c r="O1496" s="14">
        <v>0</v>
      </c>
      <c r="P1496" s="24">
        <f>LEN(E1496)+LEN(K1496)</f>
        <v>116</v>
      </c>
      <c r="Q1496" s="24">
        <f>COUNTIFS(B:B,B1495)</f>
        <v>13</v>
      </c>
      <c r="R1496" s="24">
        <f>COUNTIFS(D:D,D1496)</f>
        <v>12</v>
      </c>
    </row>
    <row r="1497" spans="1:19" s="21" customFormat="1" x14ac:dyDescent="0.3">
      <c r="A1497" s="14">
        <v>2722</v>
      </c>
      <c r="B1497" s="21" t="s">
        <v>333</v>
      </c>
      <c r="C1497" s="21" t="s">
        <v>2795</v>
      </c>
      <c r="D1497" s="1" t="s">
        <v>2734</v>
      </c>
      <c r="E1497" s="1" t="s">
        <v>824</v>
      </c>
      <c r="F1497" s="21" t="s">
        <v>2225</v>
      </c>
      <c r="G1497" s="14">
        <v>0</v>
      </c>
      <c r="H1497" s="14">
        <v>0</v>
      </c>
      <c r="I1497" s="25">
        <v>104</v>
      </c>
      <c r="J1497" s="23">
        <f>VLOOKUP(I1497,episodes!$A$1:$B$76,2,FALSE)</f>
        <v>5</v>
      </c>
      <c r="K1497" s="16" t="str">
        <f>VLOOKUP(I1497,episodes!$A$1:$E$81,5,FALSE)</f>
        <v>The Naked Time</v>
      </c>
      <c r="L1497" s="16">
        <f>VLOOKUP(I1497,episodes!$A$1:$D$81,3,FALSE)</f>
        <v>1</v>
      </c>
      <c r="M1497" s="16">
        <f>VLOOKUP(I1497,episodes!$A$1:$D$81,4,FALSE)</f>
        <v>4</v>
      </c>
      <c r="N1497" s="14"/>
      <c r="O1497" s="14">
        <v>0</v>
      </c>
      <c r="P1497" s="24">
        <f>LEN(E1497)+LEN(K1497)</f>
        <v>29</v>
      </c>
      <c r="Q1497" s="24">
        <f>COUNTIFS(B:B,B1496)</f>
        <v>13</v>
      </c>
      <c r="R1497" s="24">
        <f>COUNTIFS(D:D,D1497)</f>
        <v>1</v>
      </c>
    </row>
    <row r="1498" spans="1:19" s="21" customFormat="1" x14ac:dyDescent="0.3">
      <c r="A1498" s="14">
        <v>2782</v>
      </c>
      <c r="B1498" s="21" t="s">
        <v>333</v>
      </c>
      <c r="C1498" s="21" t="s">
        <v>2795</v>
      </c>
      <c r="D1498" s="1" t="s">
        <v>2735</v>
      </c>
      <c r="E1498" s="1" t="s">
        <v>841</v>
      </c>
      <c r="F1498" s="21" t="s">
        <v>2225</v>
      </c>
      <c r="G1498" s="14">
        <v>0</v>
      </c>
      <c r="H1498" s="14">
        <v>0</v>
      </c>
      <c r="I1498" s="22">
        <v>120</v>
      </c>
      <c r="J1498" s="23">
        <f>VLOOKUP(I1498,episodes!$A$1:$B$76,2,FALSE)</f>
        <v>21</v>
      </c>
      <c r="K1498" s="16" t="str">
        <f>VLOOKUP(I1498,episodes!$A$1:$E$81,5,FALSE)</f>
        <v>Court Martial</v>
      </c>
      <c r="L1498" s="16">
        <f>VLOOKUP(I1498,episodes!$A$1:$D$81,3,FALSE)</f>
        <v>1</v>
      </c>
      <c r="M1498" s="16">
        <f>VLOOKUP(I1498,episodes!$A$1:$D$81,4,FALSE)</f>
        <v>20</v>
      </c>
      <c r="N1498" s="14"/>
      <c r="O1498" s="14">
        <v>0</v>
      </c>
      <c r="P1498" s="24">
        <f>LEN(E1498)+LEN(K1498)</f>
        <v>40</v>
      </c>
      <c r="Q1498" s="24">
        <f>COUNTIFS(B:B,B1497)</f>
        <v>24</v>
      </c>
      <c r="R1498" s="24">
        <f>COUNTIFS(D:D,D1498)</f>
        <v>1</v>
      </c>
    </row>
    <row r="1499" spans="1:19" s="21" customFormat="1" x14ac:dyDescent="0.3">
      <c r="A1499" s="14">
        <v>2755</v>
      </c>
      <c r="B1499" s="21" t="s">
        <v>333</v>
      </c>
      <c r="C1499" s="21" t="s">
        <v>2795</v>
      </c>
      <c r="D1499" s="1" t="s">
        <v>2736</v>
      </c>
      <c r="E1499" s="1" t="s">
        <v>496</v>
      </c>
      <c r="F1499" s="21" t="s">
        <v>2225</v>
      </c>
      <c r="G1499" s="14">
        <v>0</v>
      </c>
      <c r="H1499" s="14">
        <v>0</v>
      </c>
      <c r="I1499" s="22">
        <v>114</v>
      </c>
      <c r="J1499" s="23">
        <f>VLOOKUP(I1499,episodes!$A$1:$B$76,2,FALSE)</f>
        <v>15</v>
      </c>
      <c r="K1499" s="16" t="str">
        <f>VLOOKUP(I1499,episodes!$A$1:$E$81,5,FALSE)</f>
        <v>Balance of Terror</v>
      </c>
      <c r="L1499" s="16">
        <f>VLOOKUP(I1499,episodes!$A$1:$D$81,3,FALSE)</f>
        <v>1</v>
      </c>
      <c r="M1499" s="16">
        <f>VLOOKUP(I1499,episodes!$A$1:$D$81,4,FALSE)</f>
        <v>14</v>
      </c>
      <c r="N1499" s="14"/>
      <c r="O1499" s="14">
        <v>0</v>
      </c>
      <c r="P1499" s="24">
        <f>LEN(E1499)+LEN(K1499)</f>
        <v>57</v>
      </c>
      <c r="Q1499" s="24">
        <f>COUNTIFS(B:B,B1498)</f>
        <v>24</v>
      </c>
      <c r="R1499" s="24">
        <f>COUNTIFS(D:D,D1499)</f>
        <v>1</v>
      </c>
    </row>
    <row r="1500" spans="1:19" s="21" customFormat="1" x14ac:dyDescent="0.3">
      <c r="A1500" s="14">
        <v>2778</v>
      </c>
      <c r="B1500" s="21" t="s">
        <v>333</v>
      </c>
      <c r="C1500" s="21" t="s">
        <v>2795</v>
      </c>
      <c r="D1500" s="1" t="s">
        <v>2737</v>
      </c>
      <c r="E1500" s="1" t="s">
        <v>839</v>
      </c>
      <c r="F1500" s="21" t="s">
        <v>2225</v>
      </c>
      <c r="G1500" s="14">
        <v>0</v>
      </c>
      <c r="H1500" s="14">
        <v>0</v>
      </c>
      <c r="I1500" s="22">
        <v>119</v>
      </c>
      <c r="J1500" s="23">
        <f>VLOOKUP(I1500,episodes!$A$1:$B$76,2,FALSE)</f>
        <v>20</v>
      </c>
      <c r="K1500" s="16" t="str">
        <f>VLOOKUP(I1500,episodes!$A$1:$E$81,5,FALSE)</f>
        <v>Tomorrow Is Yesterday</v>
      </c>
      <c r="L1500" s="16">
        <f>VLOOKUP(I1500,episodes!$A$1:$D$81,3,FALSE)</f>
        <v>1</v>
      </c>
      <c r="M1500" s="16">
        <f>VLOOKUP(I1500,episodes!$A$1:$D$81,4,FALSE)</f>
        <v>19</v>
      </c>
      <c r="N1500" s="14"/>
      <c r="O1500" s="14">
        <v>0</v>
      </c>
      <c r="P1500" s="24">
        <f>LEN(E1500)+LEN(K1500)</f>
        <v>59</v>
      </c>
      <c r="Q1500" s="24">
        <f>COUNTIFS(B:B,B1499)</f>
        <v>24</v>
      </c>
      <c r="R1500" s="24">
        <f>COUNTIFS(D:D,D1500)</f>
        <v>1</v>
      </c>
    </row>
    <row r="1501" spans="1:19" s="21" customFormat="1" x14ac:dyDescent="0.3">
      <c r="A1501" s="14">
        <v>2922</v>
      </c>
      <c r="B1501" s="21" t="s">
        <v>368</v>
      </c>
      <c r="C1501" s="21" t="s">
        <v>2795</v>
      </c>
      <c r="D1501" s="21" t="s">
        <v>2711</v>
      </c>
      <c r="E1501" s="1" t="s">
        <v>2661</v>
      </c>
      <c r="F1501" s="21" t="s">
        <v>5</v>
      </c>
      <c r="G1501" s="14">
        <v>1</v>
      </c>
      <c r="H1501" s="14">
        <v>0</v>
      </c>
      <c r="I1501" s="22">
        <v>112</v>
      </c>
      <c r="J1501" s="23">
        <f>VLOOKUP(I1501,episodes!$A$1:$B$76,2,FALSE)</f>
        <v>13</v>
      </c>
      <c r="K1501" s="16" t="str">
        <f>VLOOKUP(I1501,episodes!$A$1:$E$81,5,FALSE)</f>
        <v>The Menagerie, Part II</v>
      </c>
      <c r="L1501" s="16">
        <f>VLOOKUP(I1501,episodes!$A$1:$D$81,3,FALSE)</f>
        <v>1</v>
      </c>
      <c r="M1501" s="16">
        <f>VLOOKUP(I1501,episodes!$A$1:$D$81,4,FALSE)</f>
        <v>12</v>
      </c>
      <c r="N1501" s="14"/>
      <c r="O1501" s="14">
        <v>0</v>
      </c>
      <c r="P1501" s="24">
        <f>LEN(E1501)+LEN(K1501)</f>
        <v>147</v>
      </c>
      <c r="Q1501" s="24"/>
      <c r="R1501" s="24">
        <f>COUNTIFS(D:D,D1501)</f>
        <v>1</v>
      </c>
    </row>
    <row r="1502" spans="1:19" s="21" customFormat="1" x14ac:dyDescent="0.3">
      <c r="A1502" s="14">
        <v>2993</v>
      </c>
      <c r="B1502" s="21" t="s">
        <v>333</v>
      </c>
      <c r="C1502" s="21" t="s">
        <v>2795</v>
      </c>
      <c r="D1502" s="21" t="s">
        <v>2814</v>
      </c>
      <c r="E1502" s="4" t="s">
        <v>2815</v>
      </c>
      <c r="F1502" s="21" t="s">
        <v>6</v>
      </c>
      <c r="G1502" s="14">
        <v>0</v>
      </c>
      <c r="H1502" s="14">
        <v>1</v>
      </c>
      <c r="I1502" s="7">
        <v>211</v>
      </c>
      <c r="J1502" s="23">
        <f>VLOOKUP(I1502,episodes!$A$1:$B$81,2,FALSE)</f>
        <v>41</v>
      </c>
      <c r="K1502" s="16" t="str">
        <f>VLOOKUP(I1502,episodes!$A$1:$E$81,5,FALSE)</f>
        <v>Friday's Child</v>
      </c>
      <c r="L1502" s="16">
        <f>VLOOKUP(I1502,episodes!$A$1:$D$81,3,FALSE)</f>
        <v>2</v>
      </c>
      <c r="M1502" s="16">
        <f>VLOOKUP(I1502,episodes!$A$1:$D$81,4,FALSE)</f>
        <v>11</v>
      </c>
      <c r="N1502" s="14"/>
      <c r="O1502" s="14">
        <v>0</v>
      </c>
      <c r="P1502" s="24">
        <f>LEN(E1502)+LEN(K1502)</f>
        <v>53</v>
      </c>
      <c r="Q1502" s="24"/>
      <c r="R1502" s="24"/>
    </row>
    <row r="1503" spans="1:19" s="21" customFormat="1" x14ac:dyDescent="0.3">
      <c r="A1503" s="14">
        <v>2804</v>
      </c>
      <c r="B1503" s="21" t="s">
        <v>333</v>
      </c>
      <c r="C1503" s="21" t="s">
        <v>2795</v>
      </c>
      <c r="D1503" s="1" t="s">
        <v>2738</v>
      </c>
      <c r="E1503" s="1" t="s">
        <v>855</v>
      </c>
      <c r="F1503" s="21" t="s">
        <v>2225</v>
      </c>
      <c r="G1503" s="14">
        <v>0</v>
      </c>
      <c r="H1503" s="14">
        <v>0</v>
      </c>
      <c r="I1503" s="22">
        <v>127</v>
      </c>
      <c r="J1503" s="23">
        <f>VLOOKUP(I1503,episodes!$A$1:$B$76,2,FALSE)</f>
        <v>28</v>
      </c>
      <c r="K1503" s="16" t="str">
        <f>VLOOKUP(I1503,episodes!$A$1:$E$81,5,FALSE)</f>
        <v>The Alternative Factor</v>
      </c>
      <c r="L1503" s="16">
        <f>VLOOKUP(I1503,episodes!$A$1:$D$81,3,FALSE)</f>
        <v>1</v>
      </c>
      <c r="M1503" s="16">
        <f>VLOOKUP(I1503,episodes!$A$1:$D$81,4,FALSE)</f>
        <v>27</v>
      </c>
      <c r="N1503" s="14"/>
      <c r="O1503" s="14">
        <v>0</v>
      </c>
      <c r="P1503" s="24">
        <f>LEN(E1503)+LEN(K1503)</f>
        <v>101</v>
      </c>
      <c r="Q1503" s="24">
        <f>COUNTIFS(B:B,B1502)</f>
        <v>24</v>
      </c>
      <c r="R1503" s="24">
        <f>COUNTIFS(D:D,D1503)</f>
        <v>1</v>
      </c>
    </row>
    <row r="1504" spans="1:19" s="21" customFormat="1" x14ac:dyDescent="0.3">
      <c r="A1504" s="14">
        <v>2743</v>
      </c>
      <c r="B1504" s="21" t="s">
        <v>333</v>
      </c>
      <c r="C1504" s="21" t="s">
        <v>2795</v>
      </c>
      <c r="D1504" s="1" t="s">
        <v>2739</v>
      </c>
      <c r="E1504" s="1" t="s">
        <v>831</v>
      </c>
      <c r="F1504" s="21" t="s">
        <v>2225</v>
      </c>
      <c r="G1504" s="14">
        <v>0</v>
      </c>
      <c r="H1504" s="14">
        <v>0</v>
      </c>
      <c r="I1504" s="25">
        <v>110</v>
      </c>
      <c r="J1504" s="23">
        <f>VLOOKUP(I1504,episodes!$A$1:$B$76,2,FALSE)</f>
        <v>11</v>
      </c>
      <c r="K1504" s="16" t="str">
        <f>VLOOKUP(I1504,episodes!$A$1:$E$81,5,FALSE)</f>
        <v>The Corbomite Maneuver</v>
      </c>
      <c r="L1504" s="16">
        <f>VLOOKUP(I1504,episodes!$A$1:$D$81,3,FALSE)</f>
        <v>1</v>
      </c>
      <c r="M1504" s="16">
        <f>VLOOKUP(I1504,episodes!$A$1:$D$81,4,FALSE)</f>
        <v>10</v>
      </c>
      <c r="N1504" s="14"/>
      <c r="O1504" s="14">
        <v>0</v>
      </c>
      <c r="P1504" s="24">
        <f>LEN(E1504)+LEN(K1504)</f>
        <v>62</v>
      </c>
      <c r="Q1504" s="24">
        <f>COUNTIFS(B:B,B1503)</f>
        <v>24</v>
      </c>
      <c r="R1504" s="24">
        <f>COUNTIFS(D:D,D1504)</f>
        <v>1</v>
      </c>
    </row>
    <row r="1505" spans="1:18" s="21" customFormat="1" x14ac:dyDescent="0.3">
      <c r="A1505" s="14">
        <v>2789</v>
      </c>
      <c r="B1505" s="21" t="s">
        <v>333</v>
      </c>
      <c r="C1505" s="21" t="s">
        <v>2795</v>
      </c>
      <c r="D1505" s="1" t="s">
        <v>2740</v>
      </c>
      <c r="E1505" s="1" t="s">
        <v>846</v>
      </c>
      <c r="F1505" s="21" t="s">
        <v>2225</v>
      </c>
      <c r="G1505" s="14">
        <v>0</v>
      </c>
      <c r="H1505" s="14">
        <v>0</v>
      </c>
      <c r="I1505" s="22">
        <v>122</v>
      </c>
      <c r="J1505" s="23">
        <f>VLOOKUP(I1505,episodes!$A$1:$B$76,2,FALSE)</f>
        <v>23</v>
      </c>
      <c r="K1505" s="16" t="str">
        <f>VLOOKUP(I1505,episodes!$A$1:$E$81,5,FALSE)</f>
        <v>Space Seed</v>
      </c>
      <c r="L1505" s="16">
        <f>VLOOKUP(I1505,episodes!$A$1:$D$81,3,FALSE)</f>
        <v>1</v>
      </c>
      <c r="M1505" s="16">
        <f>VLOOKUP(I1505,episodes!$A$1:$D$81,4,FALSE)</f>
        <v>22</v>
      </c>
      <c r="N1505" s="14"/>
      <c r="O1505" s="14">
        <v>0</v>
      </c>
      <c r="P1505" s="24">
        <f>LEN(E1505)+LEN(K1505)</f>
        <v>58</v>
      </c>
      <c r="Q1505" s="24">
        <f>COUNTIFS(B:B,B1504)</f>
        <v>24</v>
      </c>
      <c r="R1505" s="24">
        <f>COUNTIFS(D:D,D1505)</f>
        <v>1</v>
      </c>
    </row>
    <row r="1506" spans="1:18" s="21" customFormat="1" x14ac:dyDescent="0.3">
      <c r="A1506" s="14">
        <v>2801</v>
      </c>
      <c r="B1506" s="21" t="s">
        <v>333</v>
      </c>
      <c r="C1506" s="21" t="s">
        <v>2795</v>
      </c>
      <c r="D1506" s="1" t="s">
        <v>2741</v>
      </c>
      <c r="E1506" s="1" t="s">
        <v>854</v>
      </c>
      <c r="F1506" s="21" t="s">
        <v>2225</v>
      </c>
      <c r="G1506" s="14">
        <v>0</v>
      </c>
      <c r="H1506" s="14">
        <v>0</v>
      </c>
      <c r="I1506" s="22">
        <v>126</v>
      </c>
      <c r="J1506" s="23">
        <f>VLOOKUP(I1506,episodes!$A$1:$B$76,2,FALSE)</f>
        <v>27</v>
      </c>
      <c r="K1506" s="16" t="str">
        <f>VLOOKUP(I1506,episodes!$A$1:$E$81,5,FALSE)</f>
        <v>Errand of Mercy</v>
      </c>
      <c r="L1506" s="16">
        <f>VLOOKUP(I1506,episodes!$A$1:$D$81,3,FALSE)</f>
        <v>1</v>
      </c>
      <c r="M1506" s="16">
        <f>VLOOKUP(I1506,episodes!$A$1:$D$81,4,FALSE)</f>
        <v>26</v>
      </c>
      <c r="N1506" s="14"/>
      <c r="O1506" s="14">
        <v>0</v>
      </c>
      <c r="P1506" s="24">
        <f>LEN(E1506)+LEN(K1506)</f>
        <v>72</v>
      </c>
      <c r="Q1506" s="24">
        <f>COUNTIFS(B:B,B1505)</f>
        <v>24</v>
      </c>
      <c r="R1506" s="24">
        <f>COUNTIFS(D:D,D1506)</f>
        <v>1</v>
      </c>
    </row>
    <row r="1507" spans="1:18" s="21" customFormat="1" x14ac:dyDescent="0.3">
      <c r="A1507" s="14">
        <v>2774</v>
      </c>
      <c r="B1507" s="21" t="s">
        <v>333</v>
      </c>
      <c r="C1507" s="21" t="s">
        <v>2795</v>
      </c>
      <c r="D1507" s="1" t="s">
        <v>2742</v>
      </c>
      <c r="E1507" s="1" t="s">
        <v>837</v>
      </c>
      <c r="F1507" s="21" t="s">
        <v>2225</v>
      </c>
      <c r="G1507" s="14">
        <v>0</v>
      </c>
      <c r="H1507" s="14">
        <v>0</v>
      </c>
      <c r="I1507" s="22">
        <v>118</v>
      </c>
      <c r="J1507" s="23">
        <f>VLOOKUP(I1507,episodes!$A$1:$B$76,2,FALSE)</f>
        <v>19</v>
      </c>
      <c r="K1507" s="16" t="str">
        <f>VLOOKUP(I1507,episodes!$A$1:$E$81,5,FALSE)</f>
        <v>Arena</v>
      </c>
      <c r="L1507" s="16">
        <f>VLOOKUP(I1507,episodes!$A$1:$D$81,3,FALSE)</f>
        <v>1</v>
      </c>
      <c r="M1507" s="16">
        <f>VLOOKUP(I1507,episodes!$A$1:$D$81,4,FALSE)</f>
        <v>18</v>
      </c>
      <c r="N1507" s="14"/>
      <c r="O1507" s="14">
        <v>0</v>
      </c>
      <c r="P1507" s="24">
        <f>LEN(E1507)+LEN(K1507)</f>
        <v>39</v>
      </c>
      <c r="Q1507" s="24">
        <f>COUNTIFS(B:B,B1506)</f>
        <v>24</v>
      </c>
      <c r="R1507" s="24">
        <f>COUNTIFS(D:D,D1507)</f>
        <v>1</v>
      </c>
    </row>
    <row r="1508" spans="1:18" s="21" customFormat="1" x14ac:dyDescent="0.3">
      <c r="A1508" s="14">
        <v>2837</v>
      </c>
      <c r="B1508" s="21" t="s">
        <v>333</v>
      </c>
      <c r="C1508" s="21" t="s">
        <v>2795</v>
      </c>
      <c r="D1508" s="21" t="s">
        <v>2719</v>
      </c>
      <c r="E1508" s="1" t="s">
        <v>926</v>
      </c>
      <c r="F1508" s="21" t="s">
        <v>2225</v>
      </c>
      <c r="G1508" s="14">
        <v>0</v>
      </c>
      <c r="H1508" s="14">
        <v>0</v>
      </c>
      <c r="I1508" s="25">
        <v>206</v>
      </c>
      <c r="J1508" s="23">
        <f>VLOOKUP(I1508,episodes!$A$1:$B$81,2,FALSE)</f>
        <v>36</v>
      </c>
      <c r="K1508" s="16" t="str">
        <f>VLOOKUP(I1508,episodes!$A$1:$E$81,5,FALSE)</f>
        <v>The Doomsday Machine</v>
      </c>
      <c r="L1508" s="16">
        <f>VLOOKUP(I1508,episodes!$A$1:$D$81,3,FALSE)</f>
        <v>2</v>
      </c>
      <c r="M1508" s="16">
        <f>VLOOKUP(I1508,episodes!$A$1:$D$81,4,FALSE)</f>
        <v>6</v>
      </c>
      <c r="N1508" s="14"/>
      <c r="O1508" s="14">
        <v>0</v>
      </c>
      <c r="P1508" s="24">
        <f>LEN(E1508)+LEN(K1508)</f>
        <v>50</v>
      </c>
      <c r="Q1508" s="24">
        <f>COUNTIFS(B:B,B1507)</f>
        <v>24</v>
      </c>
      <c r="R1508" s="24">
        <f>COUNTIFS(D:D,D1508)</f>
        <v>2</v>
      </c>
    </row>
    <row r="1509" spans="1:18" s="21" customFormat="1" x14ac:dyDescent="0.3">
      <c r="A1509" s="14">
        <v>2874</v>
      </c>
      <c r="B1509" s="21" t="s">
        <v>333</v>
      </c>
      <c r="C1509" s="21" t="s">
        <v>2795</v>
      </c>
      <c r="D1509" s="21" t="s">
        <v>2719</v>
      </c>
      <c r="E1509" s="1" t="s">
        <v>2161</v>
      </c>
      <c r="F1509" s="21" t="s">
        <v>2225</v>
      </c>
      <c r="G1509" s="14">
        <v>0</v>
      </c>
      <c r="H1509" s="14">
        <v>0</v>
      </c>
      <c r="I1509" s="25">
        <v>205</v>
      </c>
      <c r="J1509" s="23">
        <f>VLOOKUP(I1509,episodes!$A$1:$B$81,2,FALSE)</f>
        <v>35</v>
      </c>
      <c r="K1509" s="16" t="str">
        <f>VLOOKUP(I1509,episodes!$A$1:$E$81,5,FALSE)</f>
        <v>The Apple</v>
      </c>
      <c r="L1509" s="16">
        <f>VLOOKUP(I1509,episodes!$A$1:$D$81,3,FALSE)</f>
        <v>2</v>
      </c>
      <c r="M1509" s="16">
        <f>VLOOKUP(I1509,episodes!$A$1:$D$81,4,FALSE)</f>
        <v>5</v>
      </c>
      <c r="N1509" s="14"/>
      <c r="O1509" s="14">
        <v>0</v>
      </c>
      <c r="P1509" s="24">
        <f>LEN(E1509)+LEN(K1509)</f>
        <v>31</v>
      </c>
      <c r="Q1509" s="24">
        <f>COUNTIFS(B:B,B1508)</f>
        <v>24</v>
      </c>
      <c r="R1509" s="24">
        <f>COUNTIFS(D:D,D1509)</f>
        <v>2</v>
      </c>
    </row>
    <row r="1510" spans="1:18" s="21" customFormat="1" x14ac:dyDescent="0.3">
      <c r="A1510" s="14">
        <v>2787</v>
      </c>
      <c r="B1510" s="21" t="s">
        <v>368</v>
      </c>
      <c r="C1510" s="21" t="s">
        <v>2795</v>
      </c>
      <c r="D1510" s="1" t="s">
        <v>2358</v>
      </c>
      <c r="E1510" s="1" t="s">
        <v>844</v>
      </c>
      <c r="F1510" s="21" t="s">
        <v>2225</v>
      </c>
      <c r="G1510" s="14">
        <v>0</v>
      </c>
      <c r="H1510" s="14">
        <v>0</v>
      </c>
      <c r="I1510" s="22">
        <v>121</v>
      </c>
      <c r="J1510" s="23">
        <f>VLOOKUP(I1510,episodes!$A$1:$B$76,2,FALSE)</f>
        <v>22</v>
      </c>
      <c r="K1510" s="16" t="str">
        <f>VLOOKUP(I1510,episodes!$A$1:$E$81,5,FALSE)</f>
        <v>The Return of the Archons</v>
      </c>
      <c r="L1510" s="16">
        <f>VLOOKUP(I1510,episodes!$A$1:$D$81,3,FALSE)</f>
        <v>1</v>
      </c>
      <c r="M1510" s="16">
        <f>VLOOKUP(I1510,episodes!$A$1:$D$81,4,FALSE)</f>
        <v>21</v>
      </c>
      <c r="N1510" s="14"/>
      <c r="O1510" s="14">
        <v>0</v>
      </c>
      <c r="P1510" s="24">
        <f>LEN(E1510)+LEN(K1510)</f>
        <v>138</v>
      </c>
      <c r="Q1510" s="24">
        <f>COUNTIFS(B:B,B1509)</f>
        <v>24</v>
      </c>
      <c r="R1510" s="24">
        <f>COUNTIFS(D:D,D1510)</f>
        <v>1</v>
      </c>
    </row>
    <row r="1511" spans="1:18" s="21" customFormat="1" x14ac:dyDescent="0.3">
      <c r="A1511" s="14">
        <v>2717</v>
      </c>
      <c r="B1511" s="21" t="s">
        <v>333</v>
      </c>
      <c r="C1511" s="21" t="s">
        <v>2795</v>
      </c>
      <c r="D1511" s="1" t="s">
        <v>2743</v>
      </c>
      <c r="E1511" s="1" t="s">
        <v>450</v>
      </c>
      <c r="F1511" s="21" t="s">
        <v>2225</v>
      </c>
      <c r="G1511" s="14">
        <v>0</v>
      </c>
      <c r="H1511" s="14">
        <v>0</v>
      </c>
      <c r="I1511" s="25">
        <v>103</v>
      </c>
      <c r="J1511" s="23">
        <f>VLOOKUP(I1511,episodes!$A$1:$B$76,2,FALSE)</f>
        <v>4</v>
      </c>
      <c r="K1511" s="16" t="str">
        <f>VLOOKUP(I1511,episodes!$A$1:$E$81,5,FALSE)</f>
        <v>Where No Man Has Gone Before</v>
      </c>
      <c r="L1511" s="16">
        <f>VLOOKUP(I1511,episodes!$A$1:$D$81,3,FALSE)</f>
        <v>1</v>
      </c>
      <c r="M1511" s="16">
        <f>VLOOKUP(I1511,episodes!$A$1:$D$81,4,FALSE)</f>
        <v>3</v>
      </c>
      <c r="N1511" s="14"/>
      <c r="O1511" s="14">
        <v>0</v>
      </c>
      <c r="P1511" s="24">
        <f>LEN(E1511)+LEN(K1511)</f>
        <v>51</v>
      </c>
      <c r="Q1511" s="24">
        <f>COUNTIFS(B:B,B1510)</f>
        <v>4</v>
      </c>
      <c r="R1511" s="24">
        <f>COUNTIFS(D:D,D1511)</f>
        <v>1</v>
      </c>
    </row>
    <row r="1512" spans="1:18" s="21" customFormat="1" x14ac:dyDescent="0.3">
      <c r="A1512" s="14">
        <v>2967</v>
      </c>
      <c r="B1512" s="21" t="s">
        <v>266</v>
      </c>
      <c r="C1512" s="32" t="s">
        <v>2795</v>
      </c>
      <c r="D1512" s="21" t="s">
        <v>2792</v>
      </c>
      <c r="E1512" s="4" t="s">
        <v>2793</v>
      </c>
      <c r="G1512" s="14">
        <v>0</v>
      </c>
      <c r="H1512" s="14">
        <v>0</v>
      </c>
      <c r="I1512" s="7">
        <v>211</v>
      </c>
      <c r="J1512" s="23">
        <f>VLOOKUP(I1512,episodes!$A$1:$B$81,2,FALSE)</f>
        <v>41</v>
      </c>
      <c r="K1512" s="16" t="str">
        <f>VLOOKUP(I1512,episodes!$A$1:$E$81,5,FALSE)</f>
        <v>Friday's Child</v>
      </c>
      <c r="L1512" s="16">
        <f>VLOOKUP(I1512,episodes!$A$1:$D$81,3,FALSE)</f>
        <v>2</v>
      </c>
      <c r="M1512" s="16">
        <f>VLOOKUP(I1512,episodes!$A$1:$D$81,4,FALSE)</f>
        <v>11</v>
      </c>
      <c r="N1512" s="14"/>
      <c r="O1512" s="14">
        <v>0</v>
      </c>
      <c r="P1512" s="24">
        <f>LEN(E1512)+LEN(K1512)</f>
        <v>90</v>
      </c>
      <c r="Q1512" s="24"/>
      <c r="R1512" s="24"/>
    </row>
    <row r="1513" spans="1:18" s="33" customFormat="1" x14ac:dyDescent="0.3">
      <c r="A1513" s="14">
        <v>1531</v>
      </c>
      <c r="B1513" s="21" t="s">
        <v>266</v>
      </c>
      <c r="C1513" s="21" t="s">
        <v>2795</v>
      </c>
      <c r="D1513" s="21" t="s">
        <v>152</v>
      </c>
      <c r="E1513" s="1" t="s">
        <v>1494</v>
      </c>
      <c r="F1513" s="21" t="s">
        <v>8</v>
      </c>
      <c r="G1513" s="14">
        <v>0</v>
      </c>
      <c r="H1513" s="14">
        <v>1</v>
      </c>
      <c r="I1513" s="25">
        <v>104</v>
      </c>
      <c r="J1513" s="23">
        <f>VLOOKUP(I1513,episodes!$A$1:$B$76,2,FALSE)</f>
        <v>5</v>
      </c>
      <c r="K1513" s="16" t="str">
        <f>VLOOKUP(I1513,episodes!$A$1:$E$81,5,FALSE)</f>
        <v>The Naked Time</v>
      </c>
      <c r="L1513" s="16">
        <f>VLOOKUP(I1513,episodes!$A$1:$D$81,3,FALSE)</f>
        <v>1</v>
      </c>
      <c r="M1513" s="16">
        <f>VLOOKUP(I1513,episodes!$A$1:$D$81,4,FALSE)</f>
        <v>4</v>
      </c>
      <c r="N1513" s="14"/>
      <c r="O1513" s="14">
        <v>0</v>
      </c>
      <c r="P1513" s="24">
        <f>LEN(E1513)+LEN(K1513)</f>
        <v>98</v>
      </c>
      <c r="Q1513" s="24">
        <f>COUNTIFS(B:B,#REF!)</f>
        <v>0</v>
      </c>
      <c r="R1513" s="24">
        <f>COUNTIFS(D:D,D1513)</f>
        <v>6</v>
      </c>
    </row>
    <row r="1514" spans="1:18" s="33" customFormat="1" x14ac:dyDescent="0.3">
      <c r="A1514" s="14">
        <v>2754</v>
      </c>
      <c r="B1514" s="21" t="s">
        <v>267</v>
      </c>
      <c r="C1514" s="21" t="s">
        <v>2795</v>
      </c>
      <c r="D1514" s="21" t="s">
        <v>152</v>
      </c>
      <c r="E1514" s="1" t="s">
        <v>491</v>
      </c>
      <c r="F1514" s="21" t="s">
        <v>2225</v>
      </c>
      <c r="G1514" s="14">
        <v>0</v>
      </c>
      <c r="H1514" s="14">
        <v>0</v>
      </c>
      <c r="I1514" s="22">
        <v>114</v>
      </c>
      <c r="J1514" s="23">
        <f>VLOOKUP(I1514,episodes!$A$1:$B$76,2,FALSE)</f>
        <v>15</v>
      </c>
      <c r="K1514" s="16" t="str">
        <f>VLOOKUP(I1514,episodes!$A$1:$E$81,5,FALSE)</f>
        <v>Balance of Terror</v>
      </c>
      <c r="L1514" s="16">
        <f>VLOOKUP(I1514,episodes!$A$1:$D$81,3,FALSE)</f>
        <v>1</v>
      </c>
      <c r="M1514" s="16">
        <f>VLOOKUP(I1514,episodes!$A$1:$D$81,4,FALSE)</f>
        <v>14</v>
      </c>
      <c r="N1514" s="14"/>
      <c r="O1514" s="14">
        <v>0</v>
      </c>
      <c r="P1514" s="24">
        <f>LEN(E1514)+LEN(K1514)</f>
        <v>76</v>
      </c>
      <c r="Q1514" s="24">
        <f>COUNTIFS(B:B,B1513)</f>
        <v>4</v>
      </c>
      <c r="R1514" s="24">
        <f>COUNTIFS(D:D,D1514)</f>
        <v>6</v>
      </c>
    </row>
    <row r="1515" spans="1:18" s="33" customFormat="1" x14ac:dyDescent="0.3">
      <c r="A1515" s="14">
        <v>2776</v>
      </c>
      <c r="B1515" s="21" t="s">
        <v>267</v>
      </c>
      <c r="C1515" s="21" t="s">
        <v>2795</v>
      </c>
      <c r="D1515" s="21" t="s">
        <v>152</v>
      </c>
      <c r="E1515" s="1" t="s">
        <v>615</v>
      </c>
      <c r="F1515" s="21" t="s">
        <v>2225</v>
      </c>
      <c r="G1515" s="14">
        <v>0</v>
      </c>
      <c r="H1515" s="14">
        <v>0</v>
      </c>
      <c r="I1515" s="22">
        <v>119</v>
      </c>
      <c r="J1515" s="23">
        <f>VLOOKUP(I1515,episodes!$A$1:$B$76,2,FALSE)</f>
        <v>20</v>
      </c>
      <c r="K1515" s="16" t="str">
        <f>VLOOKUP(I1515,episodes!$A$1:$E$81,5,FALSE)</f>
        <v>Tomorrow Is Yesterday</v>
      </c>
      <c r="L1515" s="16">
        <f>VLOOKUP(I1515,episodes!$A$1:$D$81,3,FALSE)</f>
        <v>1</v>
      </c>
      <c r="M1515" s="16">
        <f>VLOOKUP(I1515,episodes!$A$1:$D$81,4,FALSE)</f>
        <v>19</v>
      </c>
      <c r="N1515" s="14"/>
      <c r="O1515" s="14">
        <v>0</v>
      </c>
      <c r="P1515" s="24">
        <f>LEN(E1515)+LEN(K1515)</f>
        <v>76</v>
      </c>
      <c r="Q1515" s="24">
        <f>COUNTIFS(B:B,B1514)</f>
        <v>2</v>
      </c>
      <c r="R1515" s="24">
        <f>COUNTIFS(D:D,D1515)</f>
        <v>6</v>
      </c>
    </row>
    <row r="1516" spans="1:18" s="33" customFormat="1" x14ac:dyDescent="0.3">
      <c r="A1516" s="14">
        <v>2392</v>
      </c>
      <c r="B1516" s="21" t="s">
        <v>266</v>
      </c>
      <c r="C1516" s="21" t="s">
        <v>2795</v>
      </c>
      <c r="D1516" s="21" t="s">
        <v>152</v>
      </c>
      <c r="E1516" s="1" t="s">
        <v>1220</v>
      </c>
      <c r="F1516" s="21" t="s">
        <v>5</v>
      </c>
      <c r="G1516" s="14">
        <v>1</v>
      </c>
      <c r="H1516" s="14">
        <v>0</v>
      </c>
      <c r="I1516" s="25">
        <v>104</v>
      </c>
      <c r="J1516" s="23">
        <f>VLOOKUP(I1516,episodes!$A$1:$B$76,2,FALSE)</f>
        <v>5</v>
      </c>
      <c r="K1516" s="16" t="str">
        <f>VLOOKUP(I1516,episodes!$A$1:$E$81,5,FALSE)</f>
        <v>The Naked Time</v>
      </c>
      <c r="L1516" s="16">
        <f>VLOOKUP(I1516,episodes!$A$1:$D$81,3,FALSE)</f>
        <v>1</v>
      </c>
      <c r="M1516" s="16">
        <f>VLOOKUP(I1516,episodes!$A$1:$D$81,4,FALSE)</f>
        <v>4</v>
      </c>
      <c r="N1516" s="14"/>
      <c r="O1516" s="14">
        <v>0</v>
      </c>
      <c r="P1516" s="24">
        <f>LEN(E1516)+LEN(K1516)</f>
        <v>85</v>
      </c>
      <c r="Q1516" s="24">
        <f>COUNTIFS(B:B,#REF!)</f>
        <v>0</v>
      </c>
      <c r="R1516" s="24">
        <f>COUNTIFS(D:D,D1516)</f>
        <v>6</v>
      </c>
    </row>
    <row r="1517" spans="1:18" s="21" customFormat="1" x14ac:dyDescent="0.3">
      <c r="A1517" s="14">
        <v>2492</v>
      </c>
      <c r="B1517" s="21" t="s">
        <v>325</v>
      </c>
      <c r="C1517" s="21" t="s">
        <v>2795</v>
      </c>
      <c r="D1517" s="21" t="s">
        <v>152</v>
      </c>
      <c r="E1517" s="1" t="s">
        <v>1215</v>
      </c>
      <c r="F1517" s="21" t="s">
        <v>2256</v>
      </c>
      <c r="G1517" s="14">
        <v>0</v>
      </c>
      <c r="H1517" s="14">
        <v>0</v>
      </c>
      <c r="I1517" s="25">
        <v>102</v>
      </c>
      <c r="J1517" s="23">
        <f>VLOOKUP(I1517,episodes!$A$1:$B$76,2,FALSE)</f>
        <v>3</v>
      </c>
      <c r="K1517" s="16" t="str">
        <f>VLOOKUP(I1517,episodes!$A$1:$E$81,5,FALSE)</f>
        <v>Charlie X</v>
      </c>
      <c r="L1517" s="16">
        <f>VLOOKUP(I1517,episodes!$A$1:$D$81,3,FALSE)</f>
        <v>1</v>
      </c>
      <c r="M1517" s="16">
        <f>VLOOKUP(I1517,episodes!$A$1:$D$81,4,FALSE)</f>
        <v>2</v>
      </c>
      <c r="N1517" s="14"/>
      <c r="O1517" s="14">
        <v>0</v>
      </c>
      <c r="P1517" s="24">
        <f>LEN(E1517)+LEN(K1517)</f>
        <v>68</v>
      </c>
      <c r="Q1517" s="24">
        <f>COUNTIFS(B:B,B1516)</f>
        <v>4</v>
      </c>
      <c r="R1517" s="24">
        <f>COUNTIFS(D:D,D1517)</f>
        <v>6</v>
      </c>
    </row>
    <row r="1518" spans="1:18" s="21" customFormat="1" x14ac:dyDescent="0.3">
      <c r="A1518" s="14">
        <v>2027</v>
      </c>
      <c r="B1518" s="21" t="s">
        <v>266</v>
      </c>
      <c r="C1518" s="21" t="s">
        <v>2795</v>
      </c>
      <c r="D1518" s="21" t="s">
        <v>152</v>
      </c>
      <c r="E1518" s="1" t="s">
        <v>425</v>
      </c>
      <c r="F1518" s="21" t="s">
        <v>5</v>
      </c>
      <c r="G1518" s="14">
        <v>1</v>
      </c>
      <c r="H1518" s="14">
        <v>0</v>
      </c>
      <c r="I1518" s="22">
        <v>129</v>
      </c>
      <c r="J1518" s="23">
        <f>VLOOKUP(I1518,episodes!$A$1:$B$76,2,FALSE)</f>
        <v>30</v>
      </c>
      <c r="K1518" s="16" t="str">
        <f>VLOOKUP(I1518,episodes!$A$1:$E$81,5,FALSE)</f>
        <v>Operation: Annihilate!</v>
      </c>
      <c r="L1518" s="16">
        <f>VLOOKUP(I1518,episodes!$A$1:$D$81,3,FALSE)</f>
        <v>1</v>
      </c>
      <c r="M1518" s="16">
        <f>VLOOKUP(I1518,episodes!$A$1:$D$81,4,FALSE)</f>
        <v>29</v>
      </c>
      <c r="N1518" s="14"/>
      <c r="O1518" s="14">
        <v>0</v>
      </c>
      <c r="P1518" s="24">
        <f>LEN(E1518)+LEN(K1518)</f>
        <v>66</v>
      </c>
      <c r="Q1518" s="24">
        <f>COUNTIFS(B:B,B1517)</f>
        <v>2</v>
      </c>
      <c r="R1518" s="24">
        <f>COUNTIFS(D:D,D1518)</f>
        <v>6</v>
      </c>
    </row>
    <row r="1519" spans="1:18" s="21" customFormat="1" x14ac:dyDescent="0.3">
      <c r="A1519" s="14">
        <v>16</v>
      </c>
      <c r="B1519" s="21" t="s">
        <v>325</v>
      </c>
      <c r="C1519" s="21" t="s">
        <v>2795</v>
      </c>
      <c r="D1519" s="21" t="s">
        <v>2362</v>
      </c>
      <c r="E1519" s="1" t="s">
        <v>2115</v>
      </c>
      <c r="F1519" s="21" t="s">
        <v>2</v>
      </c>
      <c r="G1519" s="14">
        <v>0</v>
      </c>
      <c r="H1519" s="14">
        <v>0</v>
      </c>
      <c r="I1519" s="25">
        <v>117</v>
      </c>
      <c r="J1519" s="23">
        <f>VLOOKUP(I1519,episodes!$A$1:$B$76,2,FALSE)</f>
        <v>18</v>
      </c>
      <c r="K1519" s="16" t="str">
        <f>VLOOKUP(I1519,episodes!$A$1:$E$81,5,FALSE)</f>
        <v>The Squire of Gothos</v>
      </c>
      <c r="L1519" s="16">
        <f>VLOOKUP(I1519,episodes!$A$1:$D$81,3,FALSE)</f>
        <v>1</v>
      </c>
      <c r="M1519" s="16">
        <f>VLOOKUP(I1519,episodes!$A$1:$D$81,4,FALSE)</f>
        <v>17</v>
      </c>
      <c r="N1519" s="14"/>
      <c r="O1519" s="14">
        <v>0</v>
      </c>
      <c r="P1519" s="24">
        <f>LEN(E1519)+LEN(K1519)</f>
        <v>63</v>
      </c>
      <c r="Q1519" s="24">
        <f>COUNTIFS(B:B,B1518)</f>
        <v>4</v>
      </c>
      <c r="R1519" s="24">
        <f>COUNTIFS(D:D,D1519)</f>
        <v>1</v>
      </c>
    </row>
    <row r="1520" spans="1:18" s="21" customFormat="1" x14ac:dyDescent="0.3">
      <c r="A1520" s="14">
        <v>2788</v>
      </c>
      <c r="B1520" s="21" t="s">
        <v>368</v>
      </c>
      <c r="C1520" s="21" t="s">
        <v>2795</v>
      </c>
      <c r="D1520" s="21" t="s">
        <v>2609</v>
      </c>
      <c r="E1520" s="1" t="s">
        <v>845</v>
      </c>
      <c r="F1520" s="21" t="s">
        <v>2225</v>
      </c>
      <c r="G1520" s="14">
        <v>0</v>
      </c>
      <c r="H1520" s="14">
        <v>0</v>
      </c>
      <c r="I1520" s="22">
        <v>121</v>
      </c>
      <c r="J1520" s="23">
        <f>VLOOKUP(I1520,episodes!$A$1:$B$76,2,FALSE)</f>
        <v>22</v>
      </c>
      <c r="K1520" s="16" t="str">
        <f>VLOOKUP(I1520,episodes!$A$1:$E$81,5,FALSE)</f>
        <v>The Return of the Archons</v>
      </c>
      <c r="L1520" s="16">
        <f>VLOOKUP(I1520,episodes!$A$1:$D$81,3,FALSE)</f>
        <v>1</v>
      </c>
      <c r="M1520" s="16">
        <f>VLOOKUP(I1520,episodes!$A$1:$D$81,4,FALSE)</f>
        <v>21</v>
      </c>
      <c r="N1520" s="14"/>
      <c r="O1520" s="14">
        <v>0</v>
      </c>
      <c r="P1520" s="24">
        <f>LEN(E1520)+LEN(K1520)</f>
        <v>91</v>
      </c>
      <c r="Q1520" s="24">
        <f>COUNTIFS(B:B,B1519)</f>
        <v>2</v>
      </c>
      <c r="R1520" s="24">
        <f>COUNTIFS(D:D,D1520)</f>
        <v>2</v>
      </c>
    </row>
    <row r="1521" spans="1:19" s="21" customFormat="1" x14ac:dyDescent="0.3">
      <c r="A1521" s="14">
        <v>2844</v>
      </c>
      <c r="B1521" s="21" t="s">
        <v>333</v>
      </c>
      <c r="C1521" s="21" t="s">
        <v>2795</v>
      </c>
      <c r="D1521" s="21" t="s">
        <v>2744</v>
      </c>
      <c r="E1521" s="1" t="s">
        <v>1021</v>
      </c>
      <c r="F1521" s="21" t="s">
        <v>2225</v>
      </c>
      <c r="G1521" s="14">
        <v>0</v>
      </c>
      <c r="H1521" s="14">
        <v>0</v>
      </c>
      <c r="I1521" s="22">
        <v>207</v>
      </c>
      <c r="J1521" s="23">
        <f>VLOOKUP(I1521,episodes!$A$1:$B$81,2,FALSE)</f>
        <v>37</v>
      </c>
      <c r="K1521" s="16" t="str">
        <f>VLOOKUP(I1521,episodes!$A$1:$E$81,5,FALSE)</f>
        <v>Catspaw</v>
      </c>
      <c r="L1521" s="16">
        <f>VLOOKUP(I1521,episodes!$A$1:$D$81,3,FALSE)</f>
        <v>2</v>
      </c>
      <c r="M1521" s="16">
        <f>VLOOKUP(I1521,episodes!$A$1:$D$81,4,FALSE)</f>
        <v>7</v>
      </c>
      <c r="N1521" s="14"/>
      <c r="O1521" s="14">
        <v>0</v>
      </c>
      <c r="P1521" s="24">
        <f>LEN(E1521)+LEN(K1521)</f>
        <v>86</v>
      </c>
      <c r="Q1521" s="24">
        <f>COUNTIFS(B:B,B1520)</f>
        <v>4</v>
      </c>
      <c r="R1521" s="24">
        <f>COUNTIFS(D:D,D1521)</f>
        <v>1</v>
      </c>
      <c r="S1521" s="1"/>
    </row>
    <row r="1522" spans="1:19" s="21" customFormat="1" x14ac:dyDescent="0.3">
      <c r="A1522" s="14">
        <v>843</v>
      </c>
      <c r="B1522" s="21" t="s">
        <v>279</v>
      </c>
      <c r="C1522" s="21" t="s">
        <v>2795</v>
      </c>
      <c r="D1522" s="21" t="s">
        <v>2752</v>
      </c>
      <c r="E1522" s="1" t="s">
        <v>1680</v>
      </c>
      <c r="F1522" s="21" t="s">
        <v>4</v>
      </c>
      <c r="G1522" s="14">
        <v>1</v>
      </c>
      <c r="H1522" s="14">
        <v>0</v>
      </c>
      <c r="I1522" s="22">
        <v>125</v>
      </c>
      <c r="J1522" s="23">
        <f>VLOOKUP(I1522,episodes!$A$1:$B$76,2,FALSE)</f>
        <v>26</v>
      </c>
      <c r="K1522" s="16" t="str">
        <f>VLOOKUP(I1522,episodes!$A$1:$E$81,5,FALSE)</f>
        <v>The Devil in the Dark</v>
      </c>
      <c r="L1522" s="16">
        <f>VLOOKUP(I1522,episodes!$A$1:$D$81,3,FALSE)</f>
        <v>1</v>
      </c>
      <c r="M1522" s="16">
        <f>VLOOKUP(I1522,episodes!$A$1:$D$81,4,FALSE)</f>
        <v>25</v>
      </c>
      <c r="N1522" s="14"/>
      <c r="O1522" s="14">
        <v>0</v>
      </c>
      <c r="P1522" s="24">
        <f>LEN(E1522)+LEN(K1522)</f>
        <v>97</v>
      </c>
      <c r="Q1522" s="24">
        <f>COUNTIFS(B:B,B1521)</f>
        <v>24</v>
      </c>
      <c r="R1522" s="24">
        <f>COUNTIFS(D:D,#REF!)</f>
        <v>0</v>
      </c>
      <c r="S1522" s="1"/>
    </row>
    <row r="1523" spans="1:19" s="21" customFormat="1" x14ac:dyDescent="0.3">
      <c r="A1523" s="14">
        <v>829</v>
      </c>
      <c r="B1523" s="21" t="s">
        <v>279</v>
      </c>
      <c r="C1523" s="21" t="s">
        <v>2795</v>
      </c>
      <c r="D1523" s="21" t="s">
        <v>2752</v>
      </c>
      <c r="E1523" s="1" t="s">
        <v>662</v>
      </c>
      <c r="F1523" s="21" t="s">
        <v>4</v>
      </c>
      <c r="G1523" s="14">
        <v>1</v>
      </c>
      <c r="H1523" s="14">
        <v>0</v>
      </c>
      <c r="I1523" s="22">
        <v>124</v>
      </c>
      <c r="J1523" s="23">
        <f>VLOOKUP(I1523,episodes!$A$1:$B$76,2,FALSE)</f>
        <v>25</v>
      </c>
      <c r="K1523" s="16" t="str">
        <f>VLOOKUP(I1523,episodes!$A$1:$E$81,5,FALSE)</f>
        <v>This Side of Paradise</v>
      </c>
      <c r="L1523" s="16">
        <f>VLOOKUP(I1523,episodes!$A$1:$D$81,3,FALSE)</f>
        <v>1</v>
      </c>
      <c r="M1523" s="16">
        <f>VLOOKUP(I1523,episodes!$A$1:$D$81,4,FALSE)</f>
        <v>24</v>
      </c>
      <c r="N1523" s="14"/>
      <c r="O1523" s="14">
        <v>0</v>
      </c>
      <c r="P1523" s="24">
        <f>LEN(E1523)+LEN(K1523)</f>
        <v>112</v>
      </c>
      <c r="Q1523" s="24">
        <f>COUNTIFS(B:B,B1522)</f>
        <v>25</v>
      </c>
      <c r="R1523" s="24">
        <f>COUNTIFS(D:D,#REF!)</f>
        <v>0</v>
      </c>
      <c r="S1523" s="1"/>
    </row>
    <row r="1524" spans="1:19" s="21" customFormat="1" x14ac:dyDescent="0.3">
      <c r="A1524" s="14">
        <v>830</v>
      </c>
      <c r="B1524" s="21" t="s">
        <v>279</v>
      </c>
      <c r="C1524" s="21" t="s">
        <v>2795</v>
      </c>
      <c r="D1524" s="21" t="s">
        <v>2752</v>
      </c>
      <c r="E1524" s="1" t="s">
        <v>1330</v>
      </c>
      <c r="F1524" s="21" t="s">
        <v>4</v>
      </c>
      <c r="G1524" s="14">
        <v>1</v>
      </c>
      <c r="H1524" s="14">
        <v>0</v>
      </c>
      <c r="I1524" s="22">
        <v>124</v>
      </c>
      <c r="J1524" s="23">
        <f>VLOOKUP(I1524,episodes!$A$1:$B$76,2,FALSE)</f>
        <v>25</v>
      </c>
      <c r="K1524" s="16" t="str">
        <f>VLOOKUP(I1524,episodes!$A$1:$E$81,5,FALSE)</f>
        <v>This Side of Paradise</v>
      </c>
      <c r="L1524" s="16">
        <f>VLOOKUP(I1524,episodes!$A$1:$D$81,3,FALSE)</f>
        <v>1</v>
      </c>
      <c r="M1524" s="16">
        <f>VLOOKUP(I1524,episodes!$A$1:$D$81,4,FALSE)</f>
        <v>24</v>
      </c>
      <c r="N1524" s="14"/>
      <c r="O1524" s="14">
        <v>0</v>
      </c>
      <c r="P1524" s="24">
        <f>LEN(E1524)+LEN(K1524)</f>
        <v>82</v>
      </c>
      <c r="Q1524" s="24">
        <f>COUNTIFS(B:B,B1523)</f>
        <v>25</v>
      </c>
      <c r="R1524" s="24">
        <f>COUNTIFS(D:D,#REF!)</f>
        <v>0</v>
      </c>
      <c r="S1524" s="1"/>
    </row>
    <row r="1525" spans="1:19" s="21" customFormat="1" x14ac:dyDescent="0.3">
      <c r="A1525" s="14">
        <v>572</v>
      </c>
      <c r="B1525" s="21" t="s">
        <v>279</v>
      </c>
      <c r="C1525" s="21" t="s">
        <v>2795</v>
      </c>
      <c r="D1525" s="21" t="s">
        <v>2752</v>
      </c>
      <c r="E1525" s="1" t="s">
        <v>1083</v>
      </c>
      <c r="F1525" s="21" t="s">
        <v>4</v>
      </c>
      <c r="G1525" s="14">
        <v>1</v>
      </c>
      <c r="H1525" s="14">
        <v>0</v>
      </c>
      <c r="I1525" s="25">
        <v>103</v>
      </c>
      <c r="J1525" s="23">
        <f>VLOOKUP(I1525,episodes!$A$1:$B$76,2,FALSE)</f>
        <v>4</v>
      </c>
      <c r="K1525" s="16" t="str">
        <f>VLOOKUP(I1525,episodes!$A$1:$E$81,5,FALSE)</f>
        <v>Where No Man Has Gone Before</v>
      </c>
      <c r="L1525" s="16">
        <f>VLOOKUP(I1525,episodes!$A$1:$D$81,3,FALSE)</f>
        <v>1</v>
      </c>
      <c r="M1525" s="16">
        <f>VLOOKUP(I1525,episodes!$A$1:$D$81,4,FALSE)</f>
        <v>3</v>
      </c>
      <c r="N1525" s="14"/>
      <c r="O1525" s="14">
        <v>0</v>
      </c>
      <c r="P1525" s="24">
        <f>LEN(E1525)+LEN(K1525)</f>
        <v>86</v>
      </c>
      <c r="Q1525" s="24">
        <f>COUNTIFS(B:B,B1524)</f>
        <v>25</v>
      </c>
      <c r="R1525" s="24">
        <f>COUNTIFS(D:D,#REF!)</f>
        <v>0</v>
      </c>
    </row>
    <row r="1526" spans="1:19" s="21" customFormat="1" x14ac:dyDescent="0.3">
      <c r="A1526" s="14">
        <v>873</v>
      </c>
      <c r="B1526" s="21" t="s">
        <v>279</v>
      </c>
      <c r="C1526" s="21" t="s">
        <v>2795</v>
      </c>
      <c r="D1526" s="21" t="s">
        <v>2752</v>
      </c>
      <c r="E1526" s="1" t="s">
        <v>1359</v>
      </c>
      <c r="F1526" s="21" t="s">
        <v>4</v>
      </c>
      <c r="G1526" s="14">
        <v>1</v>
      </c>
      <c r="H1526" s="14">
        <v>0</v>
      </c>
      <c r="I1526" s="22">
        <v>128</v>
      </c>
      <c r="J1526" s="23">
        <f>VLOOKUP(I1526,episodes!$A$1:$B$76,2,FALSE)</f>
        <v>29</v>
      </c>
      <c r="K1526" s="16" t="str">
        <f>VLOOKUP(I1526,episodes!$A$1:$E$81,5,FALSE)</f>
        <v>The City on the Edge of Forever</v>
      </c>
      <c r="L1526" s="16">
        <f>VLOOKUP(I1526,episodes!$A$1:$D$81,3,FALSE)</f>
        <v>1</v>
      </c>
      <c r="M1526" s="16">
        <f>VLOOKUP(I1526,episodes!$A$1:$D$81,4,FALSE)</f>
        <v>28</v>
      </c>
      <c r="N1526" s="14"/>
      <c r="O1526" s="14">
        <v>0</v>
      </c>
      <c r="P1526" s="24">
        <f>LEN(E1526)+LEN(K1526)</f>
        <v>67</v>
      </c>
      <c r="Q1526" s="24">
        <f>COUNTIFS(B:B,B1525)</f>
        <v>25</v>
      </c>
      <c r="R1526" s="24">
        <f>COUNTIFS(D:D,#REF!)</f>
        <v>0</v>
      </c>
    </row>
    <row r="1527" spans="1:19" s="21" customFormat="1" x14ac:dyDescent="0.3">
      <c r="A1527" s="14">
        <v>573</v>
      </c>
      <c r="B1527" s="21" t="s">
        <v>279</v>
      </c>
      <c r="C1527" s="21" t="s">
        <v>2795</v>
      </c>
      <c r="D1527" s="21" t="s">
        <v>2752</v>
      </c>
      <c r="E1527" s="1" t="s">
        <v>1216</v>
      </c>
      <c r="F1527" s="21" t="s">
        <v>4</v>
      </c>
      <c r="G1527" s="14">
        <v>1</v>
      </c>
      <c r="H1527" s="14">
        <v>0</v>
      </c>
      <c r="I1527" s="25">
        <v>103</v>
      </c>
      <c r="J1527" s="23">
        <f>VLOOKUP(I1527,episodes!$A$1:$B$76,2,FALSE)</f>
        <v>4</v>
      </c>
      <c r="K1527" s="16" t="str">
        <f>VLOOKUP(I1527,episodes!$A$1:$E$81,5,FALSE)</f>
        <v>Where No Man Has Gone Before</v>
      </c>
      <c r="L1527" s="16">
        <f>VLOOKUP(I1527,episodes!$A$1:$D$81,3,FALSE)</f>
        <v>1</v>
      </c>
      <c r="M1527" s="16">
        <f>VLOOKUP(I1527,episodes!$A$1:$D$81,4,FALSE)</f>
        <v>3</v>
      </c>
      <c r="N1527" s="14"/>
      <c r="O1527" s="14">
        <v>0</v>
      </c>
      <c r="P1527" s="24">
        <f>LEN(E1527)+LEN(K1527)</f>
        <v>121</v>
      </c>
      <c r="Q1527" s="24">
        <f>COUNTIFS(B:B,B1526)</f>
        <v>25</v>
      </c>
      <c r="R1527" s="24">
        <f>COUNTIFS(D:D,#REF!)</f>
        <v>0</v>
      </c>
    </row>
    <row r="1528" spans="1:19" s="21" customFormat="1" x14ac:dyDescent="0.3">
      <c r="A1528" s="14">
        <v>1532</v>
      </c>
      <c r="B1528" s="21" t="s">
        <v>279</v>
      </c>
      <c r="C1528" s="21" t="s">
        <v>2795</v>
      </c>
      <c r="D1528" s="21" t="s">
        <v>2752</v>
      </c>
      <c r="E1528" s="1" t="s">
        <v>1221</v>
      </c>
      <c r="F1528" s="21" t="s">
        <v>8</v>
      </c>
      <c r="G1528" s="14">
        <v>0</v>
      </c>
      <c r="H1528" s="14">
        <v>1</v>
      </c>
      <c r="I1528" s="25">
        <v>104</v>
      </c>
      <c r="J1528" s="23">
        <f>VLOOKUP(I1528,episodes!$A$1:$B$76,2,FALSE)</f>
        <v>5</v>
      </c>
      <c r="K1528" s="16" t="str">
        <f>VLOOKUP(I1528,episodes!$A$1:$E$81,5,FALSE)</f>
        <v>The Naked Time</v>
      </c>
      <c r="L1528" s="16">
        <f>VLOOKUP(I1528,episodes!$A$1:$D$81,3,FALSE)</f>
        <v>1</v>
      </c>
      <c r="M1528" s="16">
        <f>VLOOKUP(I1528,episodes!$A$1:$D$81,4,FALSE)</f>
        <v>4</v>
      </c>
      <c r="N1528" s="14"/>
      <c r="O1528" s="14">
        <v>0</v>
      </c>
      <c r="P1528" s="24">
        <f>LEN(E1528)+LEN(K1528)</f>
        <v>87</v>
      </c>
      <c r="Q1528" s="24">
        <f>COUNTIFS(B:B,B1527)</f>
        <v>25</v>
      </c>
      <c r="R1528" s="24">
        <f>COUNTIFS(D:D,#REF!)</f>
        <v>0</v>
      </c>
    </row>
    <row r="1529" spans="1:19" s="21" customFormat="1" x14ac:dyDescent="0.3">
      <c r="A1529" s="14">
        <v>1607</v>
      </c>
      <c r="B1529" s="21" t="s">
        <v>279</v>
      </c>
      <c r="C1529" s="21" t="s">
        <v>2795</v>
      </c>
      <c r="D1529" s="21" t="s">
        <v>2752</v>
      </c>
      <c r="E1529" s="1" t="s">
        <v>1336</v>
      </c>
      <c r="F1529" s="21" t="s">
        <v>8</v>
      </c>
      <c r="G1529" s="14">
        <v>0</v>
      </c>
      <c r="H1529" s="14">
        <v>1</v>
      </c>
      <c r="I1529" s="22">
        <v>125</v>
      </c>
      <c r="J1529" s="23">
        <f>VLOOKUP(I1529,episodes!$A$1:$B$76,2,FALSE)</f>
        <v>26</v>
      </c>
      <c r="K1529" s="16" t="str">
        <f>VLOOKUP(I1529,episodes!$A$1:$E$81,5,FALSE)</f>
        <v>The Devil in the Dark</v>
      </c>
      <c r="L1529" s="16">
        <f>VLOOKUP(I1529,episodes!$A$1:$D$81,3,FALSE)</f>
        <v>1</v>
      </c>
      <c r="M1529" s="16">
        <f>VLOOKUP(I1529,episodes!$A$1:$D$81,4,FALSE)</f>
        <v>25</v>
      </c>
      <c r="N1529" s="14"/>
      <c r="O1529" s="14">
        <v>0</v>
      </c>
      <c r="P1529" s="24">
        <f>LEN(E1529)+LEN(K1529)</f>
        <v>92</v>
      </c>
      <c r="Q1529" s="24">
        <f>COUNTIFS(B:B,B1528)</f>
        <v>25</v>
      </c>
      <c r="R1529" s="24">
        <f>COUNTIFS(D:D,#REF!)</f>
        <v>0</v>
      </c>
    </row>
    <row r="1530" spans="1:19" s="21" customFormat="1" x14ac:dyDescent="0.3">
      <c r="A1530" s="14">
        <v>1589</v>
      </c>
      <c r="B1530" s="21" t="s">
        <v>279</v>
      </c>
      <c r="C1530" s="21" t="s">
        <v>2795</v>
      </c>
      <c r="D1530" s="21" t="s">
        <v>2752</v>
      </c>
      <c r="E1530" s="1" t="s">
        <v>2065</v>
      </c>
      <c r="F1530" s="21" t="s">
        <v>8</v>
      </c>
      <c r="G1530" s="14">
        <v>0</v>
      </c>
      <c r="H1530" s="14">
        <v>1</v>
      </c>
      <c r="I1530" s="22">
        <v>122</v>
      </c>
      <c r="J1530" s="23">
        <f>VLOOKUP(I1530,episodes!$A$1:$B$76,2,FALSE)</f>
        <v>23</v>
      </c>
      <c r="K1530" s="16" t="str">
        <f>VLOOKUP(I1530,episodes!$A$1:$E$81,5,FALSE)</f>
        <v>Space Seed</v>
      </c>
      <c r="L1530" s="16">
        <f>VLOOKUP(I1530,episodes!$A$1:$D$81,3,FALSE)</f>
        <v>1</v>
      </c>
      <c r="M1530" s="16">
        <f>VLOOKUP(I1530,episodes!$A$1:$D$81,4,FALSE)</f>
        <v>22</v>
      </c>
      <c r="N1530" s="14"/>
      <c r="O1530" s="14">
        <v>0</v>
      </c>
      <c r="P1530" s="24">
        <f>LEN(E1530)+LEN(K1530)</f>
        <v>120</v>
      </c>
      <c r="Q1530" s="24">
        <f>COUNTIFS(B:B,B1529)</f>
        <v>25</v>
      </c>
      <c r="R1530" s="24">
        <f>COUNTIFS(D:D,#REF!)</f>
        <v>0</v>
      </c>
      <c r="S1530" s="1"/>
    </row>
    <row r="1531" spans="1:19" s="21" customFormat="1" x14ac:dyDescent="0.3">
      <c r="A1531" s="14">
        <v>1654</v>
      </c>
      <c r="B1531" s="21" t="s">
        <v>279</v>
      </c>
      <c r="C1531" s="21" t="s">
        <v>2795</v>
      </c>
      <c r="D1531" s="21" t="s">
        <v>2752</v>
      </c>
      <c r="E1531" s="1" t="s">
        <v>2203</v>
      </c>
      <c r="F1531" s="21" t="s">
        <v>8</v>
      </c>
      <c r="G1531" s="14">
        <v>0</v>
      </c>
      <c r="H1531" s="14">
        <v>1</v>
      </c>
      <c r="I1531" s="22">
        <v>208</v>
      </c>
      <c r="J1531" s="23">
        <f>VLOOKUP(I1531,episodes!$A$1:$B$81,2,FALSE)</f>
        <v>38</v>
      </c>
      <c r="K1531" s="16" t="str">
        <f>VLOOKUP(I1531,episodes!$A$1:$E$81,5,FALSE)</f>
        <v>I, Mudd</v>
      </c>
      <c r="L1531" s="16">
        <f>VLOOKUP(I1531,episodes!$A$1:$D$81,3,FALSE)</f>
        <v>2</v>
      </c>
      <c r="M1531" s="16">
        <f>VLOOKUP(I1531,episodes!$A$1:$D$81,4,FALSE)</f>
        <v>8</v>
      </c>
      <c r="N1531" s="14"/>
      <c r="O1531" s="14">
        <v>0</v>
      </c>
      <c r="P1531" s="24">
        <f>LEN(E1531)+LEN(K1531)</f>
        <v>344</v>
      </c>
      <c r="Q1531" s="24">
        <f>COUNTIFS(B:B,B1530)</f>
        <v>25</v>
      </c>
      <c r="R1531" s="24">
        <f>COUNTIFS(D:D,#REF!)</f>
        <v>0</v>
      </c>
      <c r="S1531" s="1"/>
    </row>
    <row r="1532" spans="1:19" s="21" customFormat="1" x14ac:dyDescent="0.3">
      <c r="A1532" s="14">
        <v>1578</v>
      </c>
      <c r="B1532" s="21" t="s">
        <v>279</v>
      </c>
      <c r="C1532" s="21" t="s">
        <v>2795</v>
      </c>
      <c r="D1532" s="21" t="s">
        <v>2752</v>
      </c>
      <c r="E1532" s="1" t="s">
        <v>1284</v>
      </c>
      <c r="F1532" s="21" t="s">
        <v>8</v>
      </c>
      <c r="G1532" s="14">
        <v>0</v>
      </c>
      <c r="H1532" s="14">
        <v>1</v>
      </c>
      <c r="I1532" s="22">
        <v>117</v>
      </c>
      <c r="J1532" s="23">
        <f>VLOOKUP(I1532,episodes!$A$1:$B$76,2,FALSE)</f>
        <v>18</v>
      </c>
      <c r="K1532" s="16" t="str">
        <f>VLOOKUP(I1532,episodes!$A$1:$E$81,5,FALSE)</f>
        <v>The Squire of Gothos</v>
      </c>
      <c r="L1532" s="16">
        <f>VLOOKUP(I1532,episodes!$A$1:$D$81,3,FALSE)</f>
        <v>1</v>
      </c>
      <c r="M1532" s="16">
        <f>VLOOKUP(I1532,episodes!$A$1:$D$81,4,FALSE)</f>
        <v>17</v>
      </c>
      <c r="N1532" s="14"/>
      <c r="O1532" s="14">
        <v>0</v>
      </c>
      <c r="P1532" s="24">
        <f>LEN(E1532)+LEN(K1532)</f>
        <v>77</v>
      </c>
      <c r="Q1532" s="24">
        <f>COUNTIFS(B:B,B1531)</f>
        <v>25</v>
      </c>
      <c r="R1532" s="24">
        <f>COUNTIFS(D:D,#REF!)</f>
        <v>0</v>
      </c>
      <c r="S1532" s="1"/>
    </row>
    <row r="1533" spans="1:19" s="21" customFormat="1" x14ac:dyDescent="0.3">
      <c r="A1533" s="14">
        <v>1565</v>
      </c>
      <c r="B1533" s="21" t="s">
        <v>279</v>
      </c>
      <c r="C1533" s="21" t="s">
        <v>2795</v>
      </c>
      <c r="D1533" s="21" t="s">
        <v>2752</v>
      </c>
      <c r="E1533" s="1" t="s">
        <v>1777</v>
      </c>
      <c r="F1533" s="21" t="s">
        <v>8</v>
      </c>
      <c r="G1533" s="14">
        <v>0</v>
      </c>
      <c r="H1533" s="14">
        <v>1</v>
      </c>
      <c r="I1533" s="25">
        <v>113</v>
      </c>
      <c r="J1533" s="23">
        <f>VLOOKUP(I1533,episodes!$A$1:$B$76,2,FALSE)</f>
        <v>14</v>
      </c>
      <c r="K1533" s="16" t="str">
        <f>VLOOKUP(I1533,episodes!$A$1:$E$81,5,FALSE)</f>
        <v>The Conscience of the King</v>
      </c>
      <c r="L1533" s="16">
        <f>VLOOKUP(I1533,episodes!$A$1:$D$81,3,FALSE)</f>
        <v>1</v>
      </c>
      <c r="M1533" s="16">
        <f>VLOOKUP(I1533,episodes!$A$1:$D$81,4,FALSE)</f>
        <v>13</v>
      </c>
      <c r="N1533" s="14"/>
      <c r="O1533" s="14">
        <v>0</v>
      </c>
      <c r="P1533" s="24">
        <f>LEN(E1533)+LEN(K1533)</f>
        <v>180</v>
      </c>
      <c r="Q1533" s="24">
        <f>COUNTIFS(B:B,B1532)</f>
        <v>25</v>
      </c>
      <c r="R1533" s="24">
        <f>COUNTIFS(D:D,#REF!)</f>
        <v>0</v>
      </c>
      <c r="S1533" s="1"/>
    </row>
    <row r="1534" spans="1:19" s="21" customFormat="1" x14ac:dyDescent="0.3">
      <c r="A1534" s="14">
        <v>1546</v>
      </c>
      <c r="B1534" s="21" t="s">
        <v>279</v>
      </c>
      <c r="C1534" s="21" t="s">
        <v>2795</v>
      </c>
      <c r="D1534" s="21" t="s">
        <v>2752</v>
      </c>
      <c r="E1534" s="1" t="s">
        <v>1438</v>
      </c>
      <c r="F1534" s="21" t="s">
        <v>8</v>
      </c>
      <c r="G1534" s="14">
        <v>0</v>
      </c>
      <c r="H1534" s="14">
        <v>1</v>
      </c>
      <c r="I1534" s="25">
        <v>106</v>
      </c>
      <c r="J1534" s="23">
        <f>VLOOKUP(I1534,episodes!$A$1:$B$76,2,FALSE)</f>
        <v>7</v>
      </c>
      <c r="K1534" s="16" t="str">
        <f>VLOOKUP(I1534,episodes!$A$1:$E$81,5,FALSE)</f>
        <v>Mudd's Women</v>
      </c>
      <c r="L1534" s="16">
        <f>VLOOKUP(I1534,episodes!$A$1:$D$81,3,FALSE)</f>
        <v>1</v>
      </c>
      <c r="M1534" s="16">
        <f>VLOOKUP(I1534,episodes!$A$1:$D$81,4,FALSE)</f>
        <v>6</v>
      </c>
      <c r="N1534" s="14"/>
      <c r="O1534" s="14">
        <v>0</v>
      </c>
      <c r="P1534" s="24">
        <f>LEN(E1534)+LEN(K1534)</f>
        <v>198</v>
      </c>
      <c r="Q1534" s="24">
        <f>COUNTIFS(B:B,B1533)</f>
        <v>25</v>
      </c>
      <c r="R1534" s="24">
        <f>COUNTIFS(D:D,#REF!)</f>
        <v>0</v>
      </c>
      <c r="S1534" s="1"/>
    </row>
    <row r="1535" spans="1:19" s="21" customFormat="1" x14ac:dyDescent="0.3">
      <c r="A1535" s="14">
        <v>1551</v>
      </c>
      <c r="B1535" s="21" t="s">
        <v>279</v>
      </c>
      <c r="C1535" s="21" t="s">
        <v>2795</v>
      </c>
      <c r="D1535" s="21" t="s">
        <v>2752</v>
      </c>
      <c r="E1535" s="1" t="s">
        <v>1237</v>
      </c>
      <c r="F1535" s="21" t="s">
        <v>8</v>
      </c>
      <c r="G1535" s="14">
        <v>0</v>
      </c>
      <c r="H1535" s="14">
        <v>1</v>
      </c>
      <c r="I1535" s="25">
        <v>108</v>
      </c>
      <c r="J1535" s="23">
        <f>VLOOKUP(I1535,episodes!$A$1:$B$76,2,FALSE)</f>
        <v>9</v>
      </c>
      <c r="K1535" s="16" t="str">
        <f>VLOOKUP(I1535,episodes!$A$1:$E$81,5,FALSE)</f>
        <v>Miri</v>
      </c>
      <c r="L1535" s="16">
        <f>VLOOKUP(I1535,episodes!$A$1:$D$81,3,FALSE)</f>
        <v>1</v>
      </c>
      <c r="M1535" s="16">
        <f>VLOOKUP(I1535,episodes!$A$1:$D$81,4,FALSE)</f>
        <v>8</v>
      </c>
      <c r="N1535" s="14"/>
      <c r="O1535" s="14">
        <v>0</v>
      </c>
      <c r="P1535" s="24">
        <f>LEN(E1535)+LEN(K1535)</f>
        <v>60</v>
      </c>
      <c r="Q1535" s="24">
        <f>COUNTIFS(B:B,B1534)</f>
        <v>25</v>
      </c>
      <c r="R1535" s="24">
        <f>COUNTIFS(D:D,#REF!)</f>
        <v>0</v>
      </c>
      <c r="S1535" s="1"/>
    </row>
    <row r="1536" spans="1:19" s="21" customFormat="1" x14ac:dyDescent="0.3">
      <c r="A1536" s="14">
        <v>1580</v>
      </c>
      <c r="B1536" s="21" t="s">
        <v>279</v>
      </c>
      <c r="C1536" s="21" t="s">
        <v>2795</v>
      </c>
      <c r="D1536" s="21" t="s">
        <v>2752</v>
      </c>
      <c r="E1536" s="1" t="s">
        <v>1289</v>
      </c>
      <c r="F1536" s="21" t="s">
        <v>8</v>
      </c>
      <c r="G1536" s="14">
        <v>0</v>
      </c>
      <c r="H1536" s="14">
        <v>1</v>
      </c>
      <c r="I1536" s="22">
        <v>118</v>
      </c>
      <c r="J1536" s="23">
        <f>VLOOKUP(I1536,episodes!$A$1:$B$76,2,FALSE)</f>
        <v>19</v>
      </c>
      <c r="K1536" s="16" t="str">
        <f>VLOOKUP(I1536,episodes!$A$1:$E$81,5,FALSE)</f>
        <v>Arena</v>
      </c>
      <c r="L1536" s="16">
        <f>VLOOKUP(I1536,episodes!$A$1:$D$81,3,FALSE)</f>
        <v>1</v>
      </c>
      <c r="M1536" s="16">
        <f>VLOOKUP(I1536,episodes!$A$1:$D$81,4,FALSE)</f>
        <v>18</v>
      </c>
      <c r="N1536" s="14"/>
      <c r="O1536" s="14">
        <v>0</v>
      </c>
      <c r="P1536" s="24">
        <f>LEN(E1536)+LEN(K1536)</f>
        <v>77</v>
      </c>
      <c r="Q1536" s="24">
        <f>COUNTIFS(B:B,B1535)</f>
        <v>25</v>
      </c>
      <c r="R1536" s="24">
        <f>COUNTIFS(D:D,#REF!)</f>
        <v>0</v>
      </c>
    </row>
    <row r="1537" spans="1:18" s="21" customFormat="1" x14ac:dyDescent="0.3">
      <c r="A1537" s="14">
        <v>1771</v>
      </c>
      <c r="B1537" s="21" t="s">
        <v>279</v>
      </c>
      <c r="C1537" s="21" t="s">
        <v>2795</v>
      </c>
      <c r="D1537" s="21" t="s">
        <v>2752</v>
      </c>
      <c r="E1537" s="1" t="s">
        <v>1683</v>
      </c>
      <c r="F1537" s="21" t="s">
        <v>2320</v>
      </c>
      <c r="G1537" s="14">
        <v>0</v>
      </c>
      <c r="H1537" s="14">
        <v>0</v>
      </c>
      <c r="I1537" s="22">
        <v>208</v>
      </c>
      <c r="J1537" s="23">
        <f>VLOOKUP(I1537,episodes!$A$1:$B$81,2,FALSE)</f>
        <v>38</v>
      </c>
      <c r="K1537" s="16" t="str">
        <f>VLOOKUP(I1537,episodes!$A$1:$E$81,5,FALSE)</f>
        <v>I, Mudd</v>
      </c>
      <c r="L1537" s="16">
        <f>VLOOKUP(I1537,episodes!$A$1:$D$81,3,FALSE)</f>
        <v>2</v>
      </c>
      <c r="M1537" s="16">
        <f>VLOOKUP(I1537,episodes!$A$1:$D$81,4,FALSE)</f>
        <v>8</v>
      </c>
      <c r="N1537" s="14"/>
      <c r="O1537" s="14">
        <v>0</v>
      </c>
      <c r="P1537" s="24">
        <f>LEN(E1537)+LEN(K1537)</f>
        <v>79</v>
      </c>
      <c r="Q1537" s="24">
        <f>COUNTIFS(B:B,B1536)</f>
        <v>25</v>
      </c>
      <c r="R1537" s="24">
        <f>COUNTIFS(D:D,#REF!)</f>
        <v>0</v>
      </c>
    </row>
    <row r="1538" spans="1:18" s="21" customFormat="1" x14ac:dyDescent="0.3">
      <c r="A1538" s="14">
        <v>1772</v>
      </c>
      <c r="B1538" s="21" t="s">
        <v>279</v>
      </c>
      <c r="C1538" s="21" t="s">
        <v>2795</v>
      </c>
      <c r="D1538" s="21" t="s">
        <v>2752</v>
      </c>
      <c r="E1538" s="1" t="s">
        <v>1679</v>
      </c>
      <c r="F1538" s="21" t="s">
        <v>2320</v>
      </c>
      <c r="G1538" s="14">
        <v>0</v>
      </c>
      <c r="H1538" s="14">
        <v>0</v>
      </c>
      <c r="I1538" s="22">
        <v>208</v>
      </c>
      <c r="J1538" s="23">
        <f>VLOOKUP(I1538,episodes!$A$1:$B$81,2,FALSE)</f>
        <v>38</v>
      </c>
      <c r="K1538" s="16" t="str">
        <f>VLOOKUP(I1538,episodes!$A$1:$E$81,5,FALSE)</f>
        <v>I, Mudd</v>
      </c>
      <c r="L1538" s="16">
        <f>VLOOKUP(I1538,episodes!$A$1:$D$81,3,FALSE)</f>
        <v>2</v>
      </c>
      <c r="M1538" s="16">
        <f>VLOOKUP(I1538,episodes!$A$1:$D$81,4,FALSE)</f>
        <v>8</v>
      </c>
      <c r="N1538" s="14"/>
      <c r="O1538" s="14">
        <v>0</v>
      </c>
      <c r="P1538" s="24">
        <f>LEN(E1538)+LEN(K1538)</f>
        <v>79</v>
      </c>
      <c r="Q1538" s="24">
        <f>COUNTIFS(B:B,B1537)</f>
        <v>25</v>
      </c>
      <c r="R1538" s="24">
        <f>COUNTIFS(D:D,#REF!)</f>
        <v>0</v>
      </c>
    </row>
    <row r="1539" spans="1:18" s="21" customFormat="1" x14ac:dyDescent="0.3">
      <c r="A1539" s="14">
        <v>2322</v>
      </c>
      <c r="B1539" s="21" t="s">
        <v>279</v>
      </c>
      <c r="C1539" s="21" t="s">
        <v>2795</v>
      </c>
      <c r="D1539" s="21" t="s">
        <v>2752</v>
      </c>
      <c r="E1539" s="1" t="s">
        <v>2067</v>
      </c>
      <c r="F1539" s="21" t="s">
        <v>5</v>
      </c>
      <c r="G1539" s="14">
        <v>1</v>
      </c>
      <c r="H1539" s="14">
        <v>0</v>
      </c>
      <c r="I1539" s="25">
        <v>205</v>
      </c>
      <c r="J1539" s="23">
        <f>VLOOKUP(I1539,episodes!$A$1:$B$81,2,FALSE)</f>
        <v>35</v>
      </c>
      <c r="K1539" s="16" t="str">
        <f>VLOOKUP(I1539,episodes!$A$1:$E$81,5,FALSE)</f>
        <v>The Apple</v>
      </c>
      <c r="L1539" s="16">
        <f>VLOOKUP(I1539,episodes!$A$1:$D$81,3,FALSE)</f>
        <v>2</v>
      </c>
      <c r="M1539" s="16">
        <f>VLOOKUP(I1539,episodes!$A$1:$D$81,4,FALSE)</f>
        <v>5</v>
      </c>
      <c r="N1539" s="14"/>
      <c r="O1539" s="14">
        <v>0</v>
      </c>
      <c r="P1539" s="24">
        <f>LEN(E1539)+LEN(K1539)</f>
        <v>180</v>
      </c>
      <c r="Q1539" s="24">
        <f>COUNTIFS(B:B,B1538)</f>
        <v>25</v>
      </c>
      <c r="R1539" s="24">
        <f>COUNTIFS(D:D,#REF!)</f>
        <v>0</v>
      </c>
    </row>
    <row r="1540" spans="1:18" s="21" customFormat="1" x14ac:dyDescent="0.3">
      <c r="A1540" s="14">
        <v>1646</v>
      </c>
      <c r="B1540" s="21" t="s">
        <v>279</v>
      </c>
      <c r="C1540" s="21" t="s">
        <v>2795</v>
      </c>
      <c r="D1540" s="21" t="s">
        <v>2752</v>
      </c>
      <c r="E1540" s="1" t="s">
        <v>2185</v>
      </c>
      <c r="F1540" s="21" t="s">
        <v>8</v>
      </c>
      <c r="G1540" s="14">
        <v>0</v>
      </c>
      <c r="H1540" s="14">
        <v>1</v>
      </c>
      <c r="I1540" s="25">
        <v>205</v>
      </c>
      <c r="J1540" s="23">
        <f>VLOOKUP(I1540,episodes!$A$1:$B$81,2,FALSE)</f>
        <v>35</v>
      </c>
      <c r="K1540" s="16" t="str">
        <f>VLOOKUP(I1540,episodes!$A$1:$E$81,5,FALSE)</f>
        <v>The Apple</v>
      </c>
      <c r="L1540" s="16">
        <f>VLOOKUP(I1540,episodes!$A$1:$D$81,3,FALSE)</f>
        <v>2</v>
      </c>
      <c r="M1540" s="16">
        <f>VLOOKUP(I1540,episodes!$A$1:$D$81,4,FALSE)</f>
        <v>5</v>
      </c>
      <c r="N1540" s="14"/>
      <c r="O1540" s="14">
        <v>0</v>
      </c>
      <c r="P1540" s="24">
        <f>LEN(E1540)+LEN(K1540)</f>
        <v>160</v>
      </c>
      <c r="Q1540" s="24">
        <f>COUNTIFS(B:B,B1539)</f>
        <v>25</v>
      </c>
      <c r="R1540" s="24">
        <f>COUNTIFS(D:D,#REF!)</f>
        <v>0</v>
      </c>
    </row>
    <row r="1541" spans="1:18" s="21" customFormat="1" x14ac:dyDescent="0.3">
      <c r="A1541" s="14">
        <v>542</v>
      </c>
      <c r="B1541" s="21" t="s">
        <v>279</v>
      </c>
      <c r="C1541" s="21" t="s">
        <v>2795</v>
      </c>
      <c r="D1541" s="21" t="s">
        <v>2752</v>
      </c>
      <c r="E1541" s="1" t="s">
        <v>2066</v>
      </c>
      <c r="F1541" s="21" t="s">
        <v>4</v>
      </c>
      <c r="G1541" s="14">
        <v>1</v>
      </c>
      <c r="H1541" s="14">
        <v>0</v>
      </c>
      <c r="I1541" s="25">
        <v>205</v>
      </c>
      <c r="J1541" s="23">
        <f>VLOOKUP(I1541,episodes!$A$1:$B$81,2,FALSE)</f>
        <v>35</v>
      </c>
      <c r="K1541" s="16" t="str">
        <f>VLOOKUP(I1541,episodes!$A$1:$E$81,5,FALSE)</f>
        <v>The Apple</v>
      </c>
      <c r="L1541" s="16">
        <f>VLOOKUP(I1541,episodes!$A$1:$D$81,3,FALSE)</f>
        <v>2</v>
      </c>
      <c r="M1541" s="16">
        <f>VLOOKUP(I1541,episodes!$A$1:$D$81,4,FALSE)</f>
        <v>5</v>
      </c>
      <c r="N1541" s="14"/>
      <c r="O1541" s="14">
        <v>0</v>
      </c>
      <c r="P1541" s="24">
        <f>LEN(E1541)+LEN(K1541)</f>
        <v>434</v>
      </c>
      <c r="Q1541" s="24">
        <f>COUNTIFS(B:B,B1540)</f>
        <v>25</v>
      </c>
      <c r="R1541" s="24">
        <f>COUNTIFS(D:D,#REF!)</f>
        <v>0</v>
      </c>
    </row>
    <row r="1542" spans="1:18" s="21" customFormat="1" x14ac:dyDescent="0.3">
      <c r="A1542" s="14">
        <v>2061</v>
      </c>
      <c r="B1542" s="21" t="s">
        <v>279</v>
      </c>
      <c r="C1542" s="21" t="s">
        <v>2795</v>
      </c>
      <c r="D1542" s="21" t="s">
        <v>2752</v>
      </c>
      <c r="E1542" s="1" t="s">
        <v>1469</v>
      </c>
      <c r="F1542" s="21" t="s">
        <v>5</v>
      </c>
      <c r="G1542" s="14">
        <v>1</v>
      </c>
      <c r="H1542" s="14">
        <v>0</v>
      </c>
      <c r="I1542" s="25">
        <v>105</v>
      </c>
      <c r="J1542" s="23">
        <f>VLOOKUP(I1542,episodes!$A$1:$B$76,2,FALSE)</f>
        <v>6</v>
      </c>
      <c r="K1542" s="16" t="str">
        <f>VLOOKUP(I1542,episodes!$A$1:$E$81,5,FALSE)</f>
        <v>The Enemy Within</v>
      </c>
      <c r="L1542" s="16">
        <f>VLOOKUP(I1542,episodes!$A$1:$D$81,3,FALSE)</f>
        <v>1</v>
      </c>
      <c r="M1542" s="16">
        <f>VLOOKUP(I1542,episodes!$A$1:$D$81,4,FALSE)</f>
        <v>5</v>
      </c>
      <c r="N1542" s="14"/>
      <c r="O1542" s="14">
        <v>0</v>
      </c>
      <c r="P1542" s="24">
        <f>LEN(E1542)+LEN(K1542)</f>
        <v>74</v>
      </c>
      <c r="Q1542" s="24">
        <f>COUNTIFS(B:B,B1541)</f>
        <v>25</v>
      </c>
      <c r="R1542" s="24">
        <f>COUNTIFS(D:D,#REF!)</f>
        <v>0</v>
      </c>
    </row>
    <row r="1543" spans="1:18" s="21" customFormat="1" x14ac:dyDescent="0.3">
      <c r="A1543" s="14">
        <v>2793</v>
      </c>
      <c r="B1543" s="21" t="s">
        <v>333</v>
      </c>
      <c r="C1543" s="21" t="s">
        <v>2795</v>
      </c>
      <c r="D1543" s="1" t="s">
        <v>2745</v>
      </c>
      <c r="E1543" s="1" t="s">
        <v>848</v>
      </c>
      <c r="F1543" s="21" t="s">
        <v>2225</v>
      </c>
      <c r="G1543" s="14">
        <v>0</v>
      </c>
      <c r="H1543" s="14">
        <v>0</v>
      </c>
      <c r="I1543" s="22">
        <v>123</v>
      </c>
      <c r="J1543" s="23">
        <f>VLOOKUP(I1543,episodes!$A$1:$B$76,2,FALSE)</f>
        <v>24</v>
      </c>
      <c r="K1543" s="16" t="str">
        <f>VLOOKUP(I1543,episodes!$A$1:$E$81,5,FALSE)</f>
        <v>A Taste of Armageddon</v>
      </c>
      <c r="L1543" s="16">
        <f>VLOOKUP(I1543,episodes!$A$1:$D$81,3,FALSE)</f>
        <v>1</v>
      </c>
      <c r="M1543" s="16">
        <f>VLOOKUP(I1543,episodes!$A$1:$D$81,4,FALSE)</f>
        <v>23</v>
      </c>
      <c r="N1543" s="14"/>
      <c r="O1543" s="14">
        <v>0</v>
      </c>
      <c r="P1543" s="24">
        <f>LEN(E1543)+LEN(K1543)</f>
        <v>63</v>
      </c>
      <c r="Q1543" s="24">
        <f>COUNTIFS(B:B,B1542)</f>
        <v>25</v>
      </c>
      <c r="R1543" s="24">
        <f>COUNTIFS(D:D,D1543)</f>
        <v>1</v>
      </c>
    </row>
    <row r="1544" spans="1:18" s="21" customFormat="1" x14ac:dyDescent="0.3">
      <c r="A1544" s="14">
        <v>2711</v>
      </c>
      <c r="B1544" s="21" t="s">
        <v>333</v>
      </c>
      <c r="C1544" s="21" t="s">
        <v>2795</v>
      </c>
      <c r="D1544" s="1" t="s">
        <v>2746</v>
      </c>
      <c r="E1544" s="1" t="s">
        <v>822</v>
      </c>
      <c r="F1544" s="21" t="s">
        <v>2225</v>
      </c>
      <c r="G1544" s="14">
        <v>0</v>
      </c>
      <c r="H1544" s="14">
        <v>0</v>
      </c>
      <c r="I1544" s="25">
        <v>101</v>
      </c>
      <c r="J1544" s="23">
        <f>VLOOKUP(I1544,episodes!$A$1:$B$76,2,FALSE)</f>
        <v>2</v>
      </c>
      <c r="K1544" s="16" t="str">
        <f>VLOOKUP(I1544,episodes!$A$1:$E$81,5,FALSE)</f>
        <v>The Man Trap</v>
      </c>
      <c r="L1544" s="16">
        <f>VLOOKUP(I1544,episodes!$A$1:$D$81,3,FALSE)</f>
        <v>1</v>
      </c>
      <c r="M1544" s="16">
        <f>VLOOKUP(I1544,episodes!$A$1:$D$81,4,FALSE)</f>
        <v>1</v>
      </c>
      <c r="N1544" s="14"/>
      <c r="O1544" s="14">
        <v>0</v>
      </c>
      <c r="P1544" s="24">
        <f>LEN(E1544)+LEN(K1544)</f>
        <v>53</v>
      </c>
      <c r="Q1544" s="24">
        <f>COUNTIFS(B:B,B1543)</f>
        <v>24</v>
      </c>
      <c r="R1544" s="24">
        <f>COUNTIFS(D:D,D1544)</f>
        <v>1</v>
      </c>
    </row>
    <row r="1545" spans="1:18" s="21" customFormat="1" x14ac:dyDescent="0.3">
      <c r="A1545" s="14">
        <v>2846</v>
      </c>
      <c r="B1545" s="21" t="s">
        <v>333</v>
      </c>
      <c r="C1545" s="21" t="s">
        <v>2795</v>
      </c>
      <c r="D1545" s="21" t="s">
        <v>2747</v>
      </c>
      <c r="E1545" s="1" t="s">
        <v>1025</v>
      </c>
      <c r="F1545" s="21" t="s">
        <v>2225</v>
      </c>
      <c r="G1545" s="14">
        <v>0</v>
      </c>
      <c r="H1545" s="14">
        <v>0</v>
      </c>
      <c r="I1545" s="22">
        <v>208</v>
      </c>
      <c r="J1545" s="23">
        <f>VLOOKUP(I1545,episodes!$A$1:$B$81,2,FALSE)</f>
        <v>38</v>
      </c>
      <c r="K1545" s="16" t="str">
        <f>VLOOKUP(I1545,episodes!$A$1:$E$81,5,FALSE)</f>
        <v>I, Mudd</v>
      </c>
      <c r="L1545" s="16">
        <f>VLOOKUP(I1545,episodes!$A$1:$D$81,3,FALSE)</f>
        <v>2</v>
      </c>
      <c r="M1545" s="16">
        <f>VLOOKUP(I1545,episodes!$A$1:$D$81,4,FALSE)</f>
        <v>8</v>
      </c>
      <c r="N1545" s="14"/>
      <c r="O1545" s="14">
        <v>0</v>
      </c>
      <c r="P1545" s="24">
        <f>LEN(E1545)+LEN(K1545)</f>
        <v>65</v>
      </c>
      <c r="Q1545" s="24">
        <f>COUNTIFS(B:B,B1544)</f>
        <v>24</v>
      </c>
      <c r="R1545" s="24">
        <f>COUNTIFS(D:D,D1545)</f>
        <v>1</v>
      </c>
    </row>
    <row r="1546" spans="1:18" s="21" customFormat="1" x14ac:dyDescent="0.3">
      <c r="A1546" s="14">
        <v>541</v>
      </c>
      <c r="B1546" s="21" t="s">
        <v>238</v>
      </c>
      <c r="C1546" s="21" t="s">
        <v>2795</v>
      </c>
      <c r="D1546" s="21" t="s">
        <v>1894</v>
      </c>
      <c r="E1546" s="1" t="s">
        <v>1973</v>
      </c>
      <c r="F1546" s="21" t="s">
        <v>4</v>
      </c>
      <c r="G1546" s="14">
        <v>1</v>
      </c>
      <c r="H1546" s="14">
        <v>0</v>
      </c>
      <c r="I1546" s="22">
        <v>210</v>
      </c>
      <c r="J1546" s="23">
        <f>VLOOKUP(I1546,episodes!$A$1:$B$81,2,FALSE)</f>
        <v>40</v>
      </c>
      <c r="K1546" s="16" t="str">
        <f>VLOOKUP(I1546,episodes!$A$1:$E$81,5,FALSE)</f>
        <v>Journey to Babel</v>
      </c>
      <c r="L1546" s="16">
        <f>VLOOKUP(I1546,episodes!$A$1:$D$81,3,FALSE)</f>
        <v>2</v>
      </c>
      <c r="M1546" s="16">
        <f>VLOOKUP(I1546,episodes!$A$1:$D$81,4,FALSE)</f>
        <v>10</v>
      </c>
      <c r="N1546" s="14"/>
      <c r="O1546" s="14">
        <v>0</v>
      </c>
      <c r="P1546" s="24">
        <f>LEN(E1546)+LEN(K1546)</f>
        <v>67</v>
      </c>
      <c r="Q1546" s="24">
        <f>COUNTIFS(B:B,B1545)</f>
        <v>24</v>
      </c>
      <c r="R1546" s="24">
        <f>COUNTIFS(D:D,D1546)</f>
        <v>1</v>
      </c>
    </row>
    <row r="1547" spans="1:18" s="21" customFormat="1" x14ac:dyDescent="0.3">
      <c r="A1547" s="14">
        <v>48</v>
      </c>
      <c r="B1547" s="21" t="s">
        <v>238</v>
      </c>
      <c r="C1547" s="21" t="s">
        <v>2795</v>
      </c>
      <c r="D1547" s="21" t="s">
        <v>2365</v>
      </c>
      <c r="E1547" s="1" t="s">
        <v>1901</v>
      </c>
      <c r="F1547" s="21" t="s">
        <v>2</v>
      </c>
      <c r="G1547" s="14">
        <v>0</v>
      </c>
      <c r="H1547" s="14">
        <v>0</v>
      </c>
      <c r="I1547" s="22">
        <v>210</v>
      </c>
      <c r="J1547" s="23">
        <f>VLOOKUP(I1547,episodes!$A$1:$B$81,2,FALSE)</f>
        <v>40</v>
      </c>
      <c r="K1547" s="16" t="str">
        <f>VLOOKUP(I1547,episodes!$A$1:$E$81,5,FALSE)</f>
        <v>Journey to Babel</v>
      </c>
      <c r="L1547" s="16">
        <f>VLOOKUP(I1547,episodes!$A$1:$D$81,3,FALSE)</f>
        <v>2</v>
      </c>
      <c r="M1547" s="16">
        <f>VLOOKUP(I1547,episodes!$A$1:$D$81,4,FALSE)</f>
        <v>10</v>
      </c>
      <c r="N1547" s="14"/>
      <c r="O1547" s="14">
        <v>0</v>
      </c>
      <c r="P1547" s="24">
        <f>LEN(E1547)+LEN(K1547)</f>
        <v>49</v>
      </c>
      <c r="Q1547" s="24">
        <f>COUNTIFS(B:B,B1546)</f>
        <v>9</v>
      </c>
      <c r="R1547" s="24">
        <f>COUNTIFS(D:D,D1547)</f>
        <v>1</v>
      </c>
    </row>
    <row r="1548" spans="1:18" s="21" customFormat="1" x14ac:dyDescent="0.3">
      <c r="A1548" s="14">
        <v>169</v>
      </c>
      <c r="B1548" s="21" t="s">
        <v>238</v>
      </c>
      <c r="C1548" s="21" t="s">
        <v>2795</v>
      </c>
      <c r="D1548" s="21" t="s">
        <v>2713</v>
      </c>
      <c r="E1548" s="1" t="s">
        <v>1189</v>
      </c>
      <c r="F1548" s="21" t="s">
        <v>2255</v>
      </c>
      <c r="G1548" s="14">
        <v>0</v>
      </c>
      <c r="H1548" s="14">
        <v>0</v>
      </c>
      <c r="I1548" s="14">
        <v>102</v>
      </c>
      <c r="J1548" s="23">
        <f>VLOOKUP(I1548,episodes!$A$1:$B$76,2,FALSE)</f>
        <v>3</v>
      </c>
      <c r="K1548" s="16" t="str">
        <f>VLOOKUP(I1548,episodes!$A$1:$E$81,5,FALSE)</f>
        <v>Charlie X</v>
      </c>
      <c r="L1548" s="16">
        <f>VLOOKUP(I1548,episodes!$A$1:$D$81,3,FALSE)</f>
        <v>1</v>
      </c>
      <c r="M1548" s="16">
        <f>VLOOKUP(I1548,episodes!$A$1:$D$81,4,FALSE)</f>
        <v>2</v>
      </c>
      <c r="N1548" s="14"/>
      <c r="O1548" s="14">
        <v>0</v>
      </c>
      <c r="P1548" s="24">
        <f>LEN(E1548)+LEN(K1548)</f>
        <v>82</v>
      </c>
      <c r="Q1548" s="24">
        <f>COUNTIFS(B:B,B1547)</f>
        <v>9</v>
      </c>
      <c r="R1548" s="24">
        <f>COUNTIFS(D:D,D1548)</f>
        <v>7</v>
      </c>
    </row>
    <row r="1549" spans="1:18" s="21" customFormat="1" x14ac:dyDescent="0.3">
      <c r="A1549" s="14">
        <v>1785</v>
      </c>
      <c r="B1549" s="21" t="s">
        <v>238</v>
      </c>
      <c r="C1549" s="21" t="s">
        <v>2795</v>
      </c>
      <c r="D1549" s="21" t="s">
        <v>2713</v>
      </c>
      <c r="E1549" s="1" t="s">
        <v>1724</v>
      </c>
      <c r="F1549" s="21" t="s">
        <v>2290</v>
      </c>
      <c r="G1549" s="14">
        <v>0</v>
      </c>
      <c r="H1549" s="14">
        <v>0</v>
      </c>
      <c r="I1549" s="14">
        <v>109</v>
      </c>
      <c r="J1549" s="23">
        <f>VLOOKUP(I1549,episodes!$A$1:$B$76,2,FALSE)</f>
        <v>10</v>
      </c>
      <c r="K1549" s="16" t="str">
        <f>VLOOKUP(I1549,episodes!$A$1:$E$81,5,FALSE)</f>
        <v>Dagger of the Mind</v>
      </c>
      <c r="L1549" s="16">
        <f>VLOOKUP(I1549,episodes!$A$1:$D$81,3,FALSE)</f>
        <v>1</v>
      </c>
      <c r="M1549" s="16">
        <f>VLOOKUP(I1549,episodes!$A$1:$D$81,4,FALSE)</f>
        <v>9</v>
      </c>
      <c r="N1549" s="14"/>
      <c r="O1549" s="14">
        <v>0</v>
      </c>
      <c r="P1549" s="24">
        <f>LEN(E1549)+LEN(K1549)</f>
        <v>100</v>
      </c>
      <c r="Q1549" s="24">
        <f>COUNTIFS(B:B,B1548)</f>
        <v>9</v>
      </c>
      <c r="R1549" s="24">
        <f>COUNTIFS(D:D,D1549)</f>
        <v>7</v>
      </c>
    </row>
    <row r="1550" spans="1:18" s="21" customFormat="1" x14ac:dyDescent="0.3">
      <c r="A1550" s="14">
        <v>181</v>
      </c>
      <c r="B1550" s="21" t="s">
        <v>238</v>
      </c>
      <c r="C1550" s="21" t="s">
        <v>2795</v>
      </c>
      <c r="D1550" s="21" t="s">
        <v>2713</v>
      </c>
      <c r="E1550" s="1" t="s">
        <v>895</v>
      </c>
      <c r="F1550" s="21" t="s">
        <v>2255</v>
      </c>
      <c r="G1550" s="14">
        <v>0</v>
      </c>
      <c r="H1550" s="14">
        <v>0</v>
      </c>
      <c r="I1550" s="22">
        <v>203</v>
      </c>
      <c r="J1550" s="23">
        <f>VLOOKUP(I1550,episodes!$A$1:$B$76,2,FALSE)</f>
        <v>33</v>
      </c>
      <c r="K1550" s="16" t="str">
        <f>VLOOKUP(I1550,episodes!$A$1:$E$81,5,FALSE)</f>
        <v>The Changeling</v>
      </c>
      <c r="L1550" s="16">
        <f>VLOOKUP(I1550,episodes!$A$1:$D$81,3,FALSE)</f>
        <v>2</v>
      </c>
      <c r="M1550" s="16">
        <f>VLOOKUP(I1550,episodes!$A$1:$D$81,4,FALSE)</f>
        <v>3</v>
      </c>
      <c r="N1550" s="14"/>
      <c r="O1550" s="14">
        <v>0</v>
      </c>
      <c r="P1550" s="24">
        <f>LEN(E1550)+LEN(K1550)</f>
        <v>73</v>
      </c>
      <c r="Q1550" s="24">
        <f>COUNTIFS(B:B,B1549)</f>
        <v>9</v>
      </c>
      <c r="R1550" s="24">
        <f>COUNTIFS(D:D,D1550)</f>
        <v>7</v>
      </c>
    </row>
    <row r="1551" spans="1:18" s="21" customFormat="1" x14ac:dyDescent="0.3">
      <c r="A1551" s="14">
        <v>1955</v>
      </c>
      <c r="B1551" s="21" t="s">
        <v>238</v>
      </c>
      <c r="C1551" s="21" t="s">
        <v>2795</v>
      </c>
      <c r="D1551" s="21" t="s">
        <v>2713</v>
      </c>
      <c r="E1551" s="1" t="s">
        <v>1491</v>
      </c>
      <c r="F1551" s="21" t="s">
        <v>6</v>
      </c>
      <c r="G1551" s="14">
        <v>0</v>
      </c>
      <c r="H1551" s="14">
        <v>1</v>
      </c>
      <c r="I1551" s="14">
        <v>104</v>
      </c>
      <c r="J1551" s="23">
        <f>VLOOKUP(I1551,episodes!$A$1:$B$76,2,FALSE)</f>
        <v>5</v>
      </c>
      <c r="K1551" s="16" t="str">
        <f>VLOOKUP(I1551,episodes!$A$1:$E$81,5,FALSE)</f>
        <v>The Naked Time</v>
      </c>
      <c r="L1551" s="16">
        <f>VLOOKUP(I1551,episodes!$A$1:$D$81,3,FALSE)</f>
        <v>1</v>
      </c>
      <c r="M1551" s="16">
        <f>VLOOKUP(I1551,episodes!$A$1:$D$81,4,FALSE)</f>
        <v>4</v>
      </c>
      <c r="N1551" s="14"/>
      <c r="O1551" s="14">
        <v>0</v>
      </c>
      <c r="P1551" s="24">
        <f>LEN(E1551)+LEN(K1551)</f>
        <v>99</v>
      </c>
      <c r="Q1551" s="24">
        <f>COUNTIFS(B:B,B1550)</f>
        <v>9</v>
      </c>
      <c r="R1551" s="24">
        <f>COUNTIFS(D:D,D1551)</f>
        <v>7</v>
      </c>
    </row>
    <row r="1552" spans="1:18" s="21" customFormat="1" x14ac:dyDescent="0.3">
      <c r="A1552" s="14">
        <v>1959</v>
      </c>
      <c r="B1552" s="21" t="s">
        <v>238</v>
      </c>
      <c r="C1552" s="21" t="s">
        <v>2795</v>
      </c>
      <c r="D1552" s="21" t="s">
        <v>2713</v>
      </c>
      <c r="E1552" s="1" t="s">
        <v>938</v>
      </c>
      <c r="F1552" s="21" t="s">
        <v>6</v>
      </c>
      <c r="G1552" s="14">
        <v>0</v>
      </c>
      <c r="H1552" s="14">
        <v>1</v>
      </c>
      <c r="I1552" s="25">
        <v>206</v>
      </c>
      <c r="J1552" s="23">
        <f>VLOOKUP(I1552,episodes!$A$1:$B$81,2,FALSE)</f>
        <v>36</v>
      </c>
      <c r="K1552" s="16" t="str">
        <f>VLOOKUP(I1552,episodes!$A$1:$E$81,5,FALSE)</f>
        <v>The Doomsday Machine</v>
      </c>
      <c r="L1552" s="16">
        <f>VLOOKUP(I1552,episodes!$A$1:$D$81,3,FALSE)</f>
        <v>2</v>
      </c>
      <c r="M1552" s="16">
        <f>VLOOKUP(I1552,episodes!$A$1:$D$81,4,FALSE)</f>
        <v>6</v>
      </c>
      <c r="N1552" s="14"/>
      <c r="O1552" s="14">
        <v>0</v>
      </c>
      <c r="P1552" s="24">
        <f>LEN(E1552)+LEN(K1552)</f>
        <v>78</v>
      </c>
      <c r="Q1552" s="24">
        <f>COUNTIFS(B:B,B1551)</f>
        <v>9</v>
      </c>
      <c r="R1552" s="24">
        <f>COUNTIFS(D:D,D1552)</f>
        <v>7</v>
      </c>
    </row>
    <row r="1553" spans="1:19" s="21" customFormat="1" x14ac:dyDescent="0.3">
      <c r="A1553" s="14">
        <v>1958</v>
      </c>
      <c r="B1553" s="21" t="s">
        <v>238</v>
      </c>
      <c r="C1553" s="21" t="s">
        <v>2795</v>
      </c>
      <c r="D1553" s="21" t="s">
        <v>2713</v>
      </c>
      <c r="E1553" s="1" t="s">
        <v>903</v>
      </c>
      <c r="F1553" s="21" t="s">
        <v>6</v>
      </c>
      <c r="G1553" s="14">
        <v>0</v>
      </c>
      <c r="H1553" s="14">
        <v>1</v>
      </c>
      <c r="I1553" s="25">
        <v>204</v>
      </c>
      <c r="J1553" s="23">
        <f>VLOOKUP(I1553,episodes!$A$1:$B$81,2,FALSE)</f>
        <v>34</v>
      </c>
      <c r="K1553" s="16" t="str">
        <f>VLOOKUP(I1553,episodes!$A$1:$E$81,5,FALSE)</f>
        <v>Mirror, Mirror</v>
      </c>
      <c r="L1553" s="16">
        <f>VLOOKUP(I1553,episodes!$A$1:$D$81,3,FALSE)</f>
        <v>2</v>
      </c>
      <c r="M1553" s="16">
        <f>VLOOKUP(I1553,episodes!$A$1:$D$81,4,FALSE)</f>
        <v>4</v>
      </c>
      <c r="N1553" s="14"/>
      <c r="O1553" s="14">
        <v>0</v>
      </c>
      <c r="P1553" s="24">
        <f>LEN(E1553)+LEN(K1553)</f>
        <v>124</v>
      </c>
      <c r="Q1553" s="24">
        <f>COUNTIFS(B:B,B1552)</f>
        <v>9</v>
      </c>
      <c r="R1553" s="24">
        <f>COUNTIFS(D:D,D1553)</f>
        <v>7</v>
      </c>
    </row>
    <row r="1554" spans="1:19" s="21" customFormat="1" x14ac:dyDescent="0.3">
      <c r="A1554" s="14">
        <v>2115</v>
      </c>
      <c r="B1554" s="21" t="s">
        <v>238</v>
      </c>
      <c r="C1554" s="21" t="s">
        <v>2795</v>
      </c>
      <c r="D1554" s="21" t="s">
        <v>2713</v>
      </c>
      <c r="E1554" s="1" t="s">
        <v>1667</v>
      </c>
      <c r="F1554" s="21" t="s">
        <v>5</v>
      </c>
      <c r="G1554" s="14">
        <v>1</v>
      </c>
      <c r="H1554" s="14">
        <v>0</v>
      </c>
      <c r="I1554" s="25">
        <v>120</v>
      </c>
      <c r="J1554" s="23">
        <f>VLOOKUP(I1554,episodes!$A$1:$B$81,2,FALSE)</f>
        <v>21</v>
      </c>
      <c r="K1554" s="16" t="str">
        <f>VLOOKUP(I1554,episodes!$A$1:$E$81,5,FALSE)</f>
        <v>Court Martial</v>
      </c>
      <c r="L1554" s="16">
        <f>VLOOKUP(I1554,episodes!$A$1:$D$81,3,FALSE)</f>
        <v>1</v>
      </c>
      <c r="M1554" s="16">
        <f>VLOOKUP(I1554,episodes!$A$1:$D$81,4,FALSE)</f>
        <v>20</v>
      </c>
      <c r="N1554" s="14"/>
      <c r="O1554" s="14">
        <v>0</v>
      </c>
      <c r="P1554" s="24">
        <f>LEN(E1554)+LEN(K1554)</f>
        <v>53</v>
      </c>
      <c r="Q1554" s="24">
        <f>COUNTIFS(B:B,B1553)</f>
        <v>9</v>
      </c>
      <c r="R1554" s="24">
        <f>COUNTIFS(D:D,D1554)</f>
        <v>7</v>
      </c>
    </row>
    <row r="1555" spans="1:19" s="21" customFormat="1" x14ac:dyDescent="0.3">
      <c r="A1555" s="14">
        <v>2763</v>
      </c>
      <c r="B1555" s="21" t="s">
        <v>736</v>
      </c>
      <c r="C1555" s="21" t="s">
        <v>2795</v>
      </c>
      <c r="D1555" s="1" t="s">
        <v>2753</v>
      </c>
      <c r="E1555" s="1" t="s">
        <v>1799</v>
      </c>
      <c r="F1555" s="21" t="s">
        <v>2225</v>
      </c>
      <c r="G1555" s="14">
        <v>0</v>
      </c>
      <c r="H1555" s="14">
        <v>0</v>
      </c>
      <c r="I1555" s="22">
        <v>115</v>
      </c>
      <c r="J1555" s="23">
        <f>VLOOKUP(I1555,episodes!$A$1:$B$76,2,FALSE)</f>
        <v>16</v>
      </c>
      <c r="K1555" s="16" t="str">
        <f>VLOOKUP(I1555,episodes!$A$1:$E$81,5,FALSE)</f>
        <v>Shore Leave</v>
      </c>
      <c r="L1555" s="16">
        <f>VLOOKUP(I1555,episodes!$A$1:$D$81,3,FALSE)</f>
        <v>1</v>
      </c>
      <c r="M1555" s="16">
        <f>VLOOKUP(I1555,episodes!$A$1:$D$81,4,FALSE)</f>
        <v>15</v>
      </c>
      <c r="N1555" s="14"/>
      <c r="O1555" s="14">
        <v>0</v>
      </c>
      <c r="P1555" s="24">
        <f>LEN(E1555)+LEN(K1555)</f>
        <v>22</v>
      </c>
      <c r="Q1555" s="24">
        <f>COUNTIFS(B:B,B1554)</f>
        <v>9</v>
      </c>
      <c r="R1555" s="24">
        <f>COUNTIFS(D:D,D1555)</f>
        <v>3</v>
      </c>
    </row>
    <row r="1556" spans="1:19" s="21" customFormat="1" x14ac:dyDescent="0.3">
      <c r="A1556" s="14">
        <v>2772</v>
      </c>
      <c r="B1556" s="21" t="s">
        <v>736</v>
      </c>
      <c r="C1556" s="21" t="s">
        <v>2795</v>
      </c>
      <c r="D1556" s="1" t="s">
        <v>2753</v>
      </c>
      <c r="E1556" s="1" t="s">
        <v>400</v>
      </c>
      <c r="F1556" s="21" t="s">
        <v>2225</v>
      </c>
      <c r="G1556" s="14">
        <v>0</v>
      </c>
      <c r="H1556" s="14">
        <v>0</v>
      </c>
      <c r="I1556" s="22">
        <v>118</v>
      </c>
      <c r="J1556" s="23">
        <f>VLOOKUP(I1556,episodes!$A$1:$B$76,2,FALSE)</f>
        <v>19</v>
      </c>
      <c r="K1556" s="16" t="str">
        <f>VLOOKUP(I1556,episodes!$A$1:$E$81,5,FALSE)</f>
        <v>Arena</v>
      </c>
      <c r="L1556" s="16">
        <f>VLOOKUP(I1556,episodes!$A$1:$D$81,3,FALSE)</f>
        <v>1</v>
      </c>
      <c r="M1556" s="16">
        <f>VLOOKUP(I1556,episodes!$A$1:$D$81,4,FALSE)</f>
        <v>18</v>
      </c>
      <c r="N1556" s="14"/>
      <c r="O1556" s="14">
        <v>0</v>
      </c>
      <c r="P1556" s="24">
        <f>LEN(E1556)+LEN(K1556)</f>
        <v>17</v>
      </c>
      <c r="Q1556" s="24">
        <f>COUNTIFS(B:B,B1555)</f>
        <v>4</v>
      </c>
      <c r="R1556" s="24">
        <f>COUNTIFS(D:D,D1556)</f>
        <v>3</v>
      </c>
      <c r="S1556" s="1"/>
    </row>
    <row r="1557" spans="1:19" s="21" customFormat="1" x14ac:dyDescent="0.3">
      <c r="A1557" s="14">
        <v>2803</v>
      </c>
      <c r="B1557" s="21" t="s">
        <v>736</v>
      </c>
      <c r="C1557" s="21" t="s">
        <v>2795</v>
      </c>
      <c r="D1557" s="1" t="s">
        <v>2753</v>
      </c>
      <c r="E1557" s="1" t="s">
        <v>400</v>
      </c>
      <c r="F1557" s="21" t="s">
        <v>2225</v>
      </c>
      <c r="G1557" s="14">
        <v>0</v>
      </c>
      <c r="H1557" s="14">
        <v>0</v>
      </c>
      <c r="I1557" s="22">
        <v>127</v>
      </c>
      <c r="J1557" s="23">
        <f>VLOOKUP(I1557,episodes!$A$1:$B$76,2,FALSE)</f>
        <v>28</v>
      </c>
      <c r="K1557" s="16" t="str">
        <f>VLOOKUP(I1557,episodes!$A$1:$E$81,5,FALSE)</f>
        <v>The Alternative Factor</v>
      </c>
      <c r="L1557" s="16">
        <f>VLOOKUP(I1557,episodes!$A$1:$D$81,3,FALSE)</f>
        <v>1</v>
      </c>
      <c r="M1557" s="16">
        <f>VLOOKUP(I1557,episodes!$A$1:$D$81,4,FALSE)</f>
        <v>27</v>
      </c>
      <c r="N1557" s="14"/>
      <c r="O1557" s="14">
        <v>0</v>
      </c>
      <c r="P1557" s="24">
        <f>LEN(E1557)+LEN(K1557)</f>
        <v>34</v>
      </c>
      <c r="Q1557" s="24">
        <f>COUNTIFS(B:B,B1556)</f>
        <v>4</v>
      </c>
      <c r="R1557" s="24">
        <f>COUNTIFS(D:D,D1557)</f>
        <v>3</v>
      </c>
      <c r="S1557" s="1"/>
    </row>
    <row r="1558" spans="1:19" s="21" customFormat="1" x14ac:dyDescent="0.3">
      <c r="A1558" s="14">
        <v>1832</v>
      </c>
      <c r="B1558" s="21" t="s">
        <v>2723</v>
      </c>
      <c r="C1558" s="21" t="s">
        <v>2795</v>
      </c>
      <c r="D1558" s="1" t="s">
        <v>2366</v>
      </c>
      <c r="E1558" s="1" t="s">
        <v>1884</v>
      </c>
      <c r="F1558" s="21" t="s">
        <v>2246</v>
      </c>
      <c r="G1558" s="14">
        <v>0</v>
      </c>
      <c r="H1558" s="14">
        <v>0</v>
      </c>
      <c r="I1558" s="25">
        <v>100</v>
      </c>
      <c r="J1558" s="23">
        <f>VLOOKUP(I1558,episodes!$A$1:$B$76,2,FALSE)</f>
        <v>1</v>
      </c>
      <c r="K1558" s="16" t="str">
        <f>VLOOKUP(I1558,episodes!$A$1:$E$81,5,FALSE)</f>
        <v>The Cage</v>
      </c>
      <c r="L1558" s="16">
        <f>VLOOKUP(I1558,episodes!$A$1:$D$81,3,FALSE)</f>
        <v>1</v>
      </c>
      <c r="M1558" s="16">
        <f>VLOOKUP(I1558,episodes!$A$1:$D$81,4,FALSE)</f>
        <v>0</v>
      </c>
      <c r="N1558" s="14"/>
      <c r="O1558" s="14">
        <v>0</v>
      </c>
      <c r="P1558" s="24">
        <f>LEN(E1558)+LEN(K1558)</f>
        <v>80</v>
      </c>
      <c r="Q1558" s="24">
        <f>COUNTIFS(B:B,B1557)</f>
        <v>4</v>
      </c>
      <c r="R1558" s="24">
        <f>COUNTIFS(D:D,D1558)</f>
        <v>1</v>
      </c>
      <c r="S1558" s="1"/>
    </row>
    <row r="1559" spans="1:19" s="21" customFormat="1" x14ac:dyDescent="0.3">
      <c r="A1559" s="14">
        <v>2214</v>
      </c>
      <c r="B1559" s="21" t="s">
        <v>250</v>
      </c>
      <c r="C1559" s="21" t="s">
        <v>2795</v>
      </c>
      <c r="D1559" s="21" t="s">
        <v>2714</v>
      </c>
      <c r="E1559" s="1" t="s">
        <v>1612</v>
      </c>
      <c r="F1559" s="21" t="s">
        <v>5</v>
      </c>
      <c r="G1559" s="14">
        <v>1</v>
      </c>
      <c r="H1559" s="14">
        <v>0</v>
      </c>
      <c r="I1559" s="22">
        <v>201</v>
      </c>
      <c r="J1559" s="23">
        <f>VLOOKUP(I1559,episodes!$A$1:$B$76,2,FALSE)</f>
        <v>31</v>
      </c>
      <c r="K1559" s="16" t="str">
        <f>VLOOKUP(I1559,episodes!$A$1:$E$81,5,FALSE)</f>
        <v>Amok Time</v>
      </c>
      <c r="L1559" s="16">
        <f>VLOOKUP(I1559,episodes!$A$1:$D$81,3,FALSE)</f>
        <v>2</v>
      </c>
      <c r="M1559" s="16">
        <f>VLOOKUP(I1559,episodes!$A$1:$D$81,4,FALSE)</f>
        <v>1</v>
      </c>
      <c r="N1559" s="14"/>
      <c r="O1559" s="14">
        <v>0</v>
      </c>
      <c r="P1559" s="24">
        <f>LEN(E1559)+LEN(K1559)</f>
        <v>53</v>
      </c>
      <c r="Q1559" s="24">
        <f>COUNTIFS(B:B,B1558)</f>
        <v>7</v>
      </c>
      <c r="R1559" s="24">
        <f>COUNTIFS(D:D,D1559)</f>
        <v>3</v>
      </c>
    </row>
    <row r="1560" spans="1:19" s="21" customFormat="1" x14ac:dyDescent="0.3">
      <c r="A1560" s="14">
        <v>2051</v>
      </c>
      <c r="B1560" s="21" t="s">
        <v>250</v>
      </c>
      <c r="C1560" s="21" t="s">
        <v>2795</v>
      </c>
      <c r="D1560" s="21" t="s">
        <v>2714</v>
      </c>
      <c r="E1560" s="1" t="s">
        <v>1190</v>
      </c>
      <c r="F1560" s="21" t="s">
        <v>5</v>
      </c>
      <c r="G1560" s="14">
        <v>1</v>
      </c>
      <c r="H1560" s="14">
        <v>0</v>
      </c>
      <c r="I1560" s="25">
        <v>102</v>
      </c>
      <c r="J1560" s="23">
        <f>VLOOKUP(I1560,episodes!$A$1:$B$76,2,FALSE)</f>
        <v>3</v>
      </c>
      <c r="K1560" s="16" t="str">
        <f>VLOOKUP(I1560,episodes!$A$1:$E$81,5,FALSE)</f>
        <v>Charlie X</v>
      </c>
      <c r="L1560" s="16">
        <f>VLOOKUP(I1560,episodes!$A$1:$D$81,3,FALSE)</f>
        <v>1</v>
      </c>
      <c r="M1560" s="16">
        <f>VLOOKUP(I1560,episodes!$A$1:$D$81,4,FALSE)</f>
        <v>2</v>
      </c>
      <c r="N1560" s="14"/>
      <c r="O1560" s="14">
        <v>0</v>
      </c>
      <c r="P1560" s="24">
        <f>LEN(E1560)+LEN(K1560)</f>
        <v>49</v>
      </c>
      <c r="Q1560" s="24">
        <f>COUNTIFS(B:B,B1559)</f>
        <v>3</v>
      </c>
      <c r="R1560" s="24">
        <f>COUNTIFS(D:D,D1560)</f>
        <v>3</v>
      </c>
    </row>
    <row r="1561" spans="1:19" s="21" customFormat="1" x14ac:dyDescent="0.3">
      <c r="A1561" s="14">
        <v>2508</v>
      </c>
      <c r="B1561" s="21" t="s">
        <v>250</v>
      </c>
      <c r="C1561" s="21" t="s">
        <v>2795</v>
      </c>
      <c r="D1561" s="21" t="s">
        <v>2714</v>
      </c>
      <c r="E1561" s="1" t="s">
        <v>1766</v>
      </c>
      <c r="F1561" s="21" t="s">
        <v>1863</v>
      </c>
      <c r="G1561" s="14">
        <v>1</v>
      </c>
      <c r="H1561" s="14">
        <v>0</v>
      </c>
      <c r="I1561" s="25">
        <v>113</v>
      </c>
      <c r="J1561" s="23">
        <f>VLOOKUP(I1561,episodes!$A$1:$B$76,2,FALSE)</f>
        <v>14</v>
      </c>
      <c r="K1561" s="16" t="str">
        <f>VLOOKUP(I1561,episodes!$A$1:$E$81,5,FALSE)</f>
        <v>The Conscience of the King</v>
      </c>
      <c r="L1561" s="16">
        <f>VLOOKUP(I1561,episodes!$A$1:$D$81,3,FALSE)</f>
        <v>1</v>
      </c>
      <c r="M1561" s="16">
        <f>VLOOKUP(I1561,episodes!$A$1:$D$81,4,FALSE)</f>
        <v>13</v>
      </c>
      <c r="N1561" s="14"/>
      <c r="O1561" s="14">
        <v>0</v>
      </c>
      <c r="P1561" s="24">
        <f>LEN(E1561)+LEN(K1561)</f>
        <v>66</v>
      </c>
      <c r="Q1561" s="24">
        <f>COUNTIFS(B:B,B1560)</f>
        <v>3</v>
      </c>
      <c r="R1561" s="24">
        <f>COUNTIFS(D:D,D1561)</f>
        <v>3</v>
      </c>
    </row>
    <row r="1562" spans="1:19" s="21" customFormat="1" x14ac:dyDescent="0.3">
      <c r="A1562" s="14">
        <v>2512</v>
      </c>
      <c r="B1562" s="21" t="s">
        <v>316</v>
      </c>
      <c r="C1562" s="21" t="s">
        <v>2795</v>
      </c>
      <c r="D1562" s="21" t="s">
        <v>2715</v>
      </c>
      <c r="E1562" s="1" t="s">
        <v>2110</v>
      </c>
      <c r="F1562" s="21" t="s">
        <v>1863</v>
      </c>
      <c r="G1562" s="14">
        <v>1</v>
      </c>
      <c r="H1562" s="14">
        <v>0</v>
      </c>
      <c r="I1562" s="22">
        <v>117</v>
      </c>
      <c r="J1562" s="23">
        <f>VLOOKUP(I1562,episodes!$A$1:$B$76,2,FALSE)</f>
        <v>18</v>
      </c>
      <c r="K1562" s="16" t="str">
        <f>VLOOKUP(I1562,episodes!$A$1:$E$81,5,FALSE)</f>
        <v>The Squire of Gothos</v>
      </c>
      <c r="L1562" s="16">
        <f>VLOOKUP(I1562,episodes!$A$1:$D$81,3,FALSE)</f>
        <v>1</v>
      </c>
      <c r="M1562" s="16">
        <f>VLOOKUP(I1562,episodes!$A$1:$D$81,4,FALSE)</f>
        <v>17</v>
      </c>
      <c r="N1562" s="14"/>
      <c r="O1562" s="14">
        <v>0</v>
      </c>
      <c r="P1562" s="24">
        <f>LEN(E1562)+LEN(K1562)</f>
        <v>81</v>
      </c>
      <c r="Q1562" s="24">
        <f>COUNTIFS(B:B,B1561)</f>
        <v>3</v>
      </c>
      <c r="R1562" s="24">
        <f>COUNTIFS(D:D,D1562)</f>
        <v>1</v>
      </c>
    </row>
    <row r="1563" spans="1:19" s="21" customFormat="1" x14ac:dyDescent="0.3">
      <c r="A1563" s="14">
        <v>2510</v>
      </c>
      <c r="B1563" s="21" t="s">
        <v>317</v>
      </c>
      <c r="C1563" s="21" t="s">
        <v>2795</v>
      </c>
      <c r="D1563" s="21" t="s">
        <v>2716</v>
      </c>
      <c r="E1563" s="1" t="s">
        <v>2260</v>
      </c>
      <c r="F1563" s="21" t="s">
        <v>1863</v>
      </c>
      <c r="G1563" s="14">
        <v>1</v>
      </c>
      <c r="H1563" s="14">
        <v>0</v>
      </c>
      <c r="I1563" s="25">
        <v>113</v>
      </c>
      <c r="J1563" s="23">
        <f>VLOOKUP(I1563,episodes!$A$1:$B$76,2,FALSE)</f>
        <v>14</v>
      </c>
      <c r="K1563" s="16" t="str">
        <f>VLOOKUP(I1563,episodes!$A$1:$E$81,5,FALSE)</f>
        <v>The Conscience of the King</v>
      </c>
      <c r="L1563" s="16">
        <f>VLOOKUP(I1563,episodes!$A$1:$D$81,3,FALSE)</f>
        <v>1</v>
      </c>
      <c r="M1563" s="16">
        <f>VLOOKUP(I1563,episodes!$A$1:$D$81,4,FALSE)</f>
        <v>13</v>
      </c>
      <c r="N1563" s="14"/>
      <c r="O1563" s="14">
        <v>0</v>
      </c>
      <c r="P1563" s="24">
        <f>LEN(E1563)+LEN(K1563)</f>
        <v>100</v>
      </c>
      <c r="Q1563" s="24">
        <f>COUNTIFS(B:B,B1562)</f>
        <v>5</v>
      </c>
      <c r="R1563" s="24">
        <f>COUNTIFS(D:D,D1563)</f>
        <v>1</v>
      </c>
    </row>
    <row r="1564" spans="1:19" s="21" customFormat="1" x14ac:dyDescent="0.3">
      <c r="A1564" s="14">
        <v>2693</v>
      </c>
      <c r="B1564" s="21" t="s">
        <v>317</v>
      </c>
      <c r="C1564" s="21" t="s">
        <v>2795</v>
      </c>
      <c r="D1564" s="21" t="s">
        <v>2717</v>
      </c>
      <c r="E1564" s="1" t="s">
        <v>2963</v>
      </c>
      <c r="F1564" s="21" t="s">
        <v>5</v>
      </c>
      <c r="G1564" s="14">
        <v>1</v>
      </c>
      <c r="H1564" s="14">
        <v>0</v>
      </c>
      <c r="I1564" s="25">
        <v>102</v>
      </c>
      <c r="J1564" s="23">
        <f>VLOOKUP(I1564,episodes!$A$1:$B$76,2,FALSE)</f>
        <v>3</v>
      </c>
      <c r="K1564" s="16" t="str">
        <f>VLOOKUP(I1564,episodes!$A$1:$E$81,5,FALSE)</f>
        <v>Charlie X</v>
      </c>
      <c r="L1564" s="16">
        <f>VLOOKUP(I1564,episodes!$A$1:$D$81,3,FALSE)</f>
        <v>1</v>
      </c>
      <c r="M1564" s="16">
        <f>VLOOKUP(I1564,episodes!$A$1:$D$81,4,FALSE)</f>
        <v>2</v>
      </c>
      <c r="N1564" s="14"/>
      <c r="O1564" s="14">
        <v>0</v>
      </c>
      <c r="P1564" s="24">
        <f>LEN(E1564)+LEN(K1564)</f>
        <v>50</v>
      </c>
      <c r="Q1564" s="24"/>
      <c r="R1564" s="24"/>
    </row>
    <row r="1565" spans="1:19" s="21" customFormat="1" x14ac:dyDescent="0.3">
      <c r="A1565" s="14">
        <v>2692</v>
      </c>
      <c r="B1565" s="21" t="s">
        <v>317</v>
      </c>
      <c r="C1565" s="21" t="s">
        <v>2795</v>
      </c>
      <c r="D1565" s="21" t="s">
        <v>2717</v>
      </c>
      <c r="E1565" s="1" t="s">
        <v>1077</v>
      </c>
      <c r="F1565" s="21" t="s">
        <v>1863</v>
      </c>
      <c r="G1565" s="14">
        <v>1</v>
      </c>
      <c r="H1565" s="14">
        <v>0</v>
      </c>
      <c r="I1565" s="25">
        <v>102</v>
      </c>
      <c r="J1565" s="23">
        <f>VLOOKUP(I1565,episodes!$A$1:$B$76,2,FALSE)</f>
        <v>3</v>
      </c>
      <c r="K1565" s="16" t="str">
        <f>VLOOKUP(I1565,episodes!$A$1:$E$81,5,FALSE)</f>
        <v>Charlie X</v>
      </c>
      <c r="L1565" s="16">
        <f>VLOOKUP(I1565,episodes!$A$1:$D$81,3,FALSE)</f>
        <v>1</v>
      </c>
      <c r="M1565" s="16">
        <f>VLOOKUP(I1565,episodes!$A$1:$D$81,4,FALSE)</f>
        <v>2</v>
      </c>
      <c r="N1565" s="14"/>
      <c r="O1565" s="14">
        <v>0</v>
      </c>
      <c r="P1565" s="24">
        <f>LEN(E1565)+LEN(K1565)</f>
        <v>51</v>
      </c>
      <c r="Q1565" s="24">
        <f>COUNTIFS(B:B,B1563)</f>
        <v>4</v>
      </c>
      <c r="R1565" s="24">
        <f>COUNTIFS(D:D,D1565)</f>
        <v>2</v>
      </c>
    </row>
    <row r="1566" spans="1:19" s="21" customFormat="1" x14ac:dyDescent="0.3">
      <c r="A1566" s="14">
        <v>2534</v>
      </c>
      <c r="B1566" s="21" t="s">
        <v>317</v>
      </c>
      <c r="C1566" s="21" t="s">
        <v>2795</v>
      </c>
      <c r="D1566" s="21" t="s">
        <v>2718</v>
      </c>
      <c r="E1566" s="1" t="s">
        <v>899</v>
      </c>
      <c r="F1566" s="21" t="s">
        <v>1863</v>
      </c>
      <c r="G1566" s="14">
        <v>1</v>
      </c>
      <c r="H1566" s="14">
        <v>0</v>
      </c>
      <c r="I1566" s="25">
        <v>203</v>
      </c>
      <c r="J1566" s="23">
        <f>VLOOKUP(I1566,episodes!$A$1:$B$76,2,FALSE)</f>
        <v>33</v>
      </c>
      <c r="K1566" s="16" t="str">
        <f>VLOOKUP(I1566,episodes!$A$1:$E$81,5,FALSE)</f>
        <v>The Changeling</v>
      </c>
      <c r="L1566" s="16">
        <f>VLOOKUP(I1566,episodes!$A$1:$D$81,3,FALSE)</f>
        <v>2</v>
      </c>
      <c r="M1566" s="16">
        <f>VLOOKUP(I1566,episodes!$A$1:$D$81,4,FALSE)</f>
        <v>3</v>
      </c>
      <c r="N1566" s="14"/>
      <c r="O1566" s="14">
        <v>0</v>
      </c>
      <c r="P1566" s="24">
        <f>LEN(E1566)+LEN(K1566)</f>
        <v>76</v>
      </c>
      <c r="Q1566" s="24">
        <f>COUNTIFS(B:B,B1565)</f>
        <v>4</v>
      </c>
      <c r="R1566" s="24">
        <f>COUNTIFS(D:D,D1566)</f>
        <v>1</v>
      </c>
    </row>
    <row r="1567" spans="1:19" s="21" customFormat="1" x14ac:dyDescent="0.3">
      <c r="A1567" s="14">
        <v>105</v>
      </c>
      <c r="B1567" s="21" t="s">
        <v>252</v>
      </c>
      <c r="C1567" s="21" t="s">
        <v>2795</v>
      </c>
      <c r="D1567" s="21" t="s">
        <v>42</v>
      </c>
      <c r="E1567" s="1" t="s">
        <v>596</v>
      </c>
      <c r="F1567" s="21" t="s">
        <v>46</v>
      </c>
      <c r="G1567" s="26">
        <v>0</v>
      </c>
      <c r="H1567" s="14">
        <v>0</v>
      </c>
      <c r="I1567" s="22">
        <v>116</v>
      </c>
      <c r="J1567" s="23">
        <f>VLOOKUP(I1567,episodes!$A$1:$B$76,2,FALSE)</f>
        <v>17</v>
      </c>
      <c r="K1567" s="16" t="str">
        <f>VLOOKUP(I1567,episodes!$A$1:$E$81,5,FALSE)</f>
        <v>The Galileo Seven</v>
      </c>
      <c r="L1567" s="16">
        <f>VLOOKUP(I1567,episodes!$A$1:$D$81,3,FALSE)</f>
        <v>1</v>
      </c>
      <c r="M1567" s="16">
        <f>VLOOKUP(I1567,episodes!$A$1:$D$81,4,FALSE)</f>
        <v>16</v>
      </c>
      <c r="N1567" s="14"/>
      <c r="O1567" s="14">
        <v>0</v>
      </c>
      <c r="P1567" s="24">
        <f>LEN(E1567)+LEN(K1567)</f>
        <v>83</v>
      </c>
      <c r="Q1567" s="24">
        <f>COUNTIFS(B:B,B1566)</f>
        <v>4</v>
      </c>
      <c r="R1567" s="24">
        <f>COUNTIFS(D:D,#REF!)</f>
        <v>0</v>
      </c>
    </row>
    <row r="1568" spans="1:19" s="21" customFormat="1" x14ac:dyDescent="0.3">
      <c r="A1568" s="14">
        <v>39</v>
      </c>
      <c r="B1568" s="21" t="s">
        <v>370</v>
      </c>
      <c r="C1568" s="21" t="s">
        <v>2795</v>
      </c>
      <c r="D1568" s="21" t="s">
        <v>2364</v>
      </c>
      <c r="E1568" s="1" t="s">
        <v>1676</v>
      </c>
      <c r="F1568" s="21" t="s">
        <v>2</v>
      </c>
      <c r="G1568" s="14">
        <v>0</v>
      </c>
      <c r="H1568" s="14">
        <v>0</v>
      </c>
      <c r="I1568" s="14">
        <v>202</v>
      </c>
      <c r="J1568" s="23">
        <f>VLOOKUP(I1568,episodes!$A$1:$B$76,2,FALSE)</f>
        <v>32</v>
      </c>
      <c r="K1568" s="16" t="str">
        <f>VLOOKUP(I1568,episodes!$A$1:$E$81,5,FALSE)</f>
        <v>Who Mourns for Adonais?</v>
      </c>
      <c r="L1568" s="16">
        <f>VLOOKUP(I1568,episodes!$A$1:$D$81,3,FALSE)</f>
        <v>2</v>
      </c>
      <c r="M1568" s="16">
        <f>VLOOKUP(I1568,episodes!$A$1:$D$81,4,FALSE)</f>
        <v>2</v>
      </c>
      <c r="N1568" s="14"/>
      <c r="O1568" s="14">
        <v>0</v>
      </c>
      <c r="P1568" s="24">
        <f>LEN(E1568)+LEN(K1568)</f>
        <v>144</v>
      </c>
      <c r="Q1568" s="24">
        <f>COUNTIFS(B:B,B1567)</f>
        <v>1</v>
      </c>
      <c r="R1568" s="24">
        <f>COUNTIFS(D:D,#REF!)</f>
        <v>0</v>
      </c>
    </row>
    <row r="1569" spans="1:18" s="21" customFormat="1" x14ac:dyDescent="0.3">
      <c r="A1569" s="14">
        <v>2770</v>
      </c>
      <c r="B1569" s="21" t="s">
        <v>333</v>
      </c>
      <c r="C1569" s="21" t="s">
        <v>2795</v>
      </c>
      <c r="D1569" s="1" t="s">
        <v>43</v>
      </c>
      <c r="E1569" s="1" t="s">
        <v>836</v>
      </c>
      <c r="F1569" s="21" t="s">
        <v>2225</v>
      </c>
      <c r="G1569" s="14">
        <v>0</v>
      </c>
      <c r="H1569" s="14">
        <v>0</v>
      </c>
      <c r="I1569" s="22">
        <v>117</v>
      </c>
      <c r="J1569" s="23">
        <f>VLOOKUP(I1569,episodes!$A$1:$B$76,2,FALSE)</f>
        <v>18</v>
      </c>
      <c r="K1569" s="16" t="str">
        <f>VLOOKUP(I1569,episodes!$A$1:$E$81,5,FALSE)</f>
        <v>The Squire of Gothos</v>
      </c>
      <c r="L1569" s="16">
        <f>VLOOKUP(I1569,episodes!$A$1:$D$81,3,FALSE)</f>
        <v>1</v>
      </c>
      <c r="M1569" s="16">
        <f>VLOOKUP(I1569,episodes!$A$1:$D$81,4,FALSE)</f>
        <v>17</v>
      </c>
      <c r="N1569" s="14"/>
      <c r="O1569" s="14">
        <v>0</v>
      </c>
      <c r="P1569" s="24">
        <f>LEN(E1569)+LEN(K1569)</f>
        <v>37</v>
      </c>
      <c r="Q1569" s="24">
        <f>COUNTIFS(B:B,B1568)</f>
        <v>1</v>
      </c>
      <c r="R1569" s="24">
        <f>COUNTIFS(D:D,D1569)</f>
        <v>1</v>
      </c>
    </row>
    <row r="1570" spans="1:18" s="21" customFormat="1" x14ac:dyDescent="0.3">
      <c r="A1570" s="14">
        <v>2824</v>
      </c>
      <c r="B1570" s="21" t="s">
        <v>333</v>
      </c>
      <c r="C1570" s="21" t="s">
        <v>2795</v>
      </c>
      <c r="D1570" s="1" t="s">
        <v>2748</v>
      </c>
      <c r="E1570" s="1" t="s">
        <v>504</v>
      </c>
      <c r="F1570" s="21" t="s">
        <v>2225</v>
      </c>
      <c r="G1570" s="14">
        <v>0</v>
      </c>
      <c r="H1570" s="14">
        <v>0</v>
      </c>
      <c r="I1570" s="22">
        <v>203</v>
      </c>
      <c r="J1570" s="23">
        <f>VLOOKUP(I1570,episodes!$A$1:$B$76,2,FALSE)</f>
        <v>33</v>
      </c>
      <c r="K1570" s="16" t="str">
        <f>VLOOKUP(I1570,episodes!$A$1:$E$81,5,FALSE)</f>
        <v>The Changeling</v>
      </c>
      <c r="L1570" s="16">
        <f>VLOOKUP(I1570,episodes!$A$1:$D$81,3,FALSE)</f>
        <v>2</v>
      </c>
      <c r="M1570" s="16">
        <f>VLOOKUP(I1570,episodes!$A$1:$D$81,4,FALSE)</f>
        <v>3</v>
      </c>
      <c r="N1570" s="14"/>
      <c r="O1570" s="14">
        <v>0</v>
      </c>
      <c r="P1570" s="24">
        <f>LEN(E1570)+LEN(K1570)</f>
        <v>30</v>
      </c>
      <c r="Q1570" s="24">
        <f>COUNTIFS(B:B,B1569)</f>
        <v>24</v>
      </c>
      <c r="R1570" s="24">
        <f>COUNTIFS(D:D,D1570)</f>
        <v>1</v>
      </c>
    </row>
    <row r="1571" spans="1:18" s="21" customFormat="1" x14ac:dyDescent="0.3">
      <c r="A1571" s="14">
        <v>2813</v>
      </c>
      <c r="B1571" s="21" t="s">
        <v>333</v>
      </c>
      <c r="C1571" s="21" t="s">
        <v>2795</v>
      </c>
      <c r="D1571" s="1" t="s">
        <v>2749</v>
      </c>
      <c r="E1571" s="1" t="s">
        <v>732</v>
      </c>
      <c r="F1571" s="21" t="s">
        <v>2225</v>
      </c>
      <c r="G1571" s="14">
        <v>0</v>
      </c>
      <c r="H1571" s="14">
        <v>0</v>
      </c>
      <c r="I1571" s="22">
        <v>128</v>
      </c>
      <c r="J1571" s="23">
        <f>VLOOKUP(I1571,episodes!$A$1:$B$76,2,FALSE)</f>
        <v>29</v>
      </c>
      <c r="K1571" s="16" t="str">
        <f>VLOOKUP(I1571,episodes!$A$1:$E$81,5,FALSE)</f>
        <v>The City on the Edge of Forever</v>
      </c>
      <c r="L1571" s="16">
        <f>VLOOKUP(I1571,episodes!$A$1:$D$81,3,FALSE)</f>
        <v>1</v>
      </c>
      <c r="M1571" s="16">
        <f>VLOOKUP(I1571,episodes!$A$1:$D$81,4,FALSE)</f>
        <v>28</v>
      </c>
      <c r="N1571" s="14"/>
      <c r="O1571" s="14">
        <v>0</v>
      </c>
      <c r="P1571" s="24">
        <f>LEN(E1571)+LEN(K1571)</f>
        <v>82</v>
      </c>
      <c r="Q1571" s="24">
        <f>COUNTIFS(B:B,B1570)</f>
        <v>24</v>
      </c>
      <c r="R1571" s="24">
        <f>COUNTIFS(D:D,D1571)</f>
        <v>1</v>
      </c>
    </row>
    <row r="1572" spans="1:18" s="21" customFormat="1" x14ac:dyDescent="0.3">
      <c r="A1572" s="14">
        <v>699</v>
      </c>
      <c r="B1572" s="21" t="s">
        <v>279</v>
      </c>
      <c r="C1572" s="21" t="s">
        <v>2795</v>
      </c>
      <c r="D1572" s="21" t="s">
        <v>1867</v>
      </c>
      <c r="E1572" s="1" t="s">
        <v>1780</v>
      </c>
      <c r="F1572" s="21" t="s">
        <v>4</v>
      </c>
      <c r="G1572" s="14">
        <v>1</v>
      </c>
      <c r="H1572" s="14">
        <v>0</v>
      </c>
      <c r="I1572" s="22">
        <v>114</v>
      </c>
      <c r="J1572" s="23">
        <f>VLOOKUP(I1572,episodes!$A$1:$B$76,2,FALSE)</f>
        <v>15</v>
      </c>
      <c r="K1572" s="16" t="str">
        <f>VLOOKUP(I1572,episodes!$A$1:$E$81,5,FALSE)</f>
        <v>Balance of Terror</v>
      </c>
      <c r="L1572" s="16">
        <f>VLOOKUP(I1572,episodes!$A$1:$D$81,3,FALSE)</f>
        <v>1</v>
      </c>
      <c r="M1572" s="16">
        <f>VLOOKUP(I1572,episodes!$A$1:$D$81,4,FALSE)</f>
        <v>14</v>
      </c>
      <c r="N1572" s="14"/>
      <c r="O1572" s="14">
        <v>0</v>
      </c>
      <c r="P1572" s="24">
        <f>LEN(E1572)+LEN(K1572)</f>
        <v>158</v>
      </c>
      <c r="Q1572" s="24">
        <f>COUNTIFS(B:B,B1571)</f>
        <v>24</v>
      </c>
      <c r="R1572" s="24">
        <f>COUNTIFS(D:D,#REF!)</f>
        <v>0</v>
      </c>
    </row>
    <row r="1573" spans="1:18" s="21" customFormat="1" x14ac:dyDescent="0.3">
      <c r="A1573" s="14">
        <v>197</v>
      </c>
      <c r="B1573" s="21" t="s">
        <v>297</v>
      </c>
      <c r="C1573" s="21" t="s">
        <v>2795</v>
      </c>
      <c r="D1573" s="21" t="s">
        <v>2709</v>
      </c>
      <c r="E1573" s="1" t="s">
        <v>1533</v>
      </c>
      <c r="F1573" s="21" t="s">
        <v>1873</v>
      </c>
      <c r="G1573" s="14">
        <v>0</v>
      </c>
      <c r="H1573" s="14">
        <v>0</v>
      </c>
      <c r="I1573" s="25">
        <v>105</v>
      </c>
      <c r="J1573" s="23">
        <f>VLOOKUP(I1573,episodes!$A$1:$B$76,2,FALSE)</f>
        <v>6</v>
      </c>
      <c r="K1573" s="16" t="str">
        <f>VLOOKUP(I1573,episodes!$A$1:$E$81,5,FALSE)</f>
        <v>The Enemy Within</v>
      </c>
      <c r="L1573" s="16">
        <f>VLOOKUP(I1573,episodes!$A$1:$D$81,3,FALSE)</f>
        <v>1</v>
      </c>
      <c r="M1573" s="16">
        <f>VLOOKUP(I1573,episodes!$A$1:$D$81,4,FALSE)</f>
        <v>5</v>
      </c>
      <c r="N1573" s="14"/>
      <c r="O1573" s="14">
        <v>0</v>
      </c>
      <c r="P1573" s="24">
        <f>LEN(E1573)+LEN(K1573)</f>
        <v>165</v>
      </c>
      <c r="Q1573" s="24">
        <f>COUNTIFS(B:B,B1570)</f>
        <v>24</v>
      </c>
      <c r="R1573" s="24">
        <f>COUNTIFS(D:D,D1573)</f>
        <v>8</v>
      </c>
    </row>
    <row r="1574" spans="1:18" s="21" customFormat="1" x14ac:dyDescent="0.3">
      <c r="A1574" s="14">
        <v>1056</v>
      </c>
      <c r="B1574" s="21" t="s">
        <v>2723</v>
      </c>
      <c r="C1574" s="21" t="s">
        <v>2795</v>
      </c>
      <c r="D1574" s="21" t="s">
        <v>2709</v>
      </c>
      <c r="E1574" s="1" t="s">
        <v>486</v>
      </c>
      <c r="F1574" s="21" t="s">
        <v>8</v>
      </c>
      <c r="G1574" s="14">
        <v>0</v>
      </c>
      <c r="H1574" s="14">
        <v>1</v>
      </c>
      <c r="I1574" s="25">
        <v>113</v>
      </c>
      <c r="J1574" s="23">
        <f>VLOOKUP(I1574,episodes!$A$1:$B$76,2,FALSE)</f>
        <v>14</v>
      </c>
      <c r="K1574" s="16" t="str">
        <f>VLOOKUP(I1574,episodes!$A$1:$E$81,5,FALSE)</f>
        <v>The Conscience of the King</v>
      </c>
      <c r="L1574" s="16">
        <f>VLOOKUP(I1574,episodes!$A$1:$D$81,3,FALSE)</f>
        <v>1</v>
      </c>
      <c r="M1574" s="16">
        <f>VLOOKUP(I1574,episodes!$A$1:$D$81,4,FALSE)</f>
        <v>13</v>
      </c>
      <c r="N1574" s="14"/>
      <c r="O1574" s="14">
        <v>0</v>
      </c>
      <c r="P1574" s="24">
        <f>LEN(E1574)+LEN(K1574)</f>
        <v>72</v>
      </c>
      <c r="Q1574" s="24"/>
      <c r="R1574" s="24"/>
    </row>
    <row r="1575" spans="1:18" s="21" customFormat="1" x14ac:dyDescent="0.3">
      <c r="A1575" s="14">
        <v>779</v>
      </c>
      <c r="B1575" s="21" t="s">
        <v>2723</v>
      </c>
      <c r="C1575" s="21" t="s">
        <v>2795</v>
      </c>
      <c r="D1575" s="21" t="s">
        <v>2709</v>
      </c>
      <c r="E1575" s="1" t="s">
        <v>629</v>
      </c>
      <c r="F1575" s="21" t="s">
        <v>4</v>
      </c>
      <c r="G1575" s="14">
        <v>1</v>
      </c>
      <c r="H1575" s="14">
        <v>0</v>
      </c>
      <c r="I1575" s="22">
        <v>120</v>
      </c>
      <c r="J1575" s="23">
        <f>VLOOKUP(I1575,episodes!$A$1:$B$76,2,FALSE)</f>
        <v>21</v>
      </c>
      <c r="K1575" s="16" t="str">
        <f>VLOOKUP(I1575,episodes!$A$1:$E$81,5,FALSE)</f>
        <v>Court Martial</v>
      </c>
      <c r="L1575" s="16">
        <f>VLOOKUP(I1575,episodes!$A$1:$D$81,3,FALSE)</f>
        <v>1</v>
      </c>
      <c r="M1575" s="16">
        <f>VLOOKUP(I1575,episodes!$A$1:$D$81,4,FALSE)</f>
        <v>20</v>
      </c>
      <c r="N1575" s="14"/>
      <c r="O1575" s="14">
        <v>0</v>
      </c>
      <c r="P1575" s="24">
        <f>LEN(E1575)+LEN(K1575)</f>
        <v>39</v>
      </c>
      <c r="Q1575" s="24">
        <f>COUNTIFS(B:B,B1574)</f>
        <v>7</v>
      </c>
      <c r="R1575" s="24">
        <f>COUNTIFS(D:D,D1575)</f>
        <v>8</v>
      </c>
    </row>
    <row r="1576" spans="1:18" s="21" customFormat="1" x14ac:dyDescent="0.3">
      <c r="A1576" s="14">
        <v>538</v>
      </c>
      <c r="B1576" s="21" t="s">
        <v>2723</v>
      </c>
      <c r="C1576" s="21" t="s">
        <v>2795</v>
      </c>
      <c r="D1576" s="21" t="s">
        <v>2709</v>
      </c>
      <c r="E1576" s="1" t="s">
        <v>1790</v>
      </c>
      <c r="F1576" s="21" t="s">
        <v>4</v>
      </c>
      <c r="G1576" s="14">
        <v>1</v>
      </c>
      <c r="H1576" s="14">
        <v>0</v>
      </c>
      <c r="I1576" s="14">
        <v>102</v>
      </c>
      <c r="J1576" s="23">
        <f>VLOOKUP(I1576,episodes!$A$1:$B$76,2,FALSE)</f>
        <v>3</v>
      </c>
      <c r="K1576" s="16" t="str">
        <f>VLOOKUP(I1576,episodes!$A$1:$E$81,5,FALSE)</f>
        <v>Charlie X</v>
      </c>
      <c r="L1576" s="16">
        <f>VLOOKUP(I1576,episodes!$A$1:$D$81,3,FALSE)</f>
        <v>1</v>
      </c>
      <c r="M1576" s="16">
        <f>VLOOKUP(I1576,episodes!$A$1:$D$81,4,FALSE)</f>
        <v>2</v>
      </c>
      <c r="N1576" s="14"/>
      <c r="O1576" s="14">
        <v>0</v>
      </c>
      <c r="P1576" s="24">
        <f>LEN(E1576)+LEN(K1576)</f>
        <v>199</v>
      </c>
      <c r="Q1576" s="24">
        <f>COUNTIFS(B:B,B1575)</f>
        <v>7</v>
      </c>
      <c r="R1576" s="24">
        <f>COUNTIFS(D:D,D1576)</f>
        <v>8</v>
      </c>
    </row>
    <row r="1577" spans="1:18" s="21" customFormat="1" x14ac:dyDescent="0.3">
      <c r="A1577" s="14">
        <v>1697</v>
      </c>
      <c r="B1577" s="21" t="s">
        <v>297</v>
      </c>
      <c r="C1577" s="21" t="s">
        <v>2795</v>
      </c>
      <c r="D1577" s="21" t="s">
        <v>2709</v>
      </c>
      <c r="E1577" s="1" t="s">
        <v>1534</v>
      </c>
      <c r="F1577" s="21" t="s">
        <v>8</v>
      </c>
      <c r="G1577" s="14">
        <v>0</v>
      </c>
      <c r="H1577" s="14">
        <v>1</v>
      </c>
      <c r="I1577" s="25">
        <v>105</v>
      </c>
      <c r="J1577" s="23">
        <f>VLOOKUP(I1577,episodes!$A$1:$B$76,2,FALSE)</f>
        <v>6</v>
      </c>
      <c r="K1577" s="16" t="str">
        <f>VLOOKUP(I1577,episodes!$A$1:$E$81,5,FALSE)</f>
        <v>The Enemy Within</v>
      </c>
      <c r="L1577" s="16">
        <f>VLOOKUP(I1577,episodes!$A$1:$D$81,3,FALSE)</f>
        <v>1</v>
      </c>
      <c r="M1577" s="16">
        <f>VLOOKUP(I1577,episodes!$A$1:$D$81,4,FALSE)</f>
        <v>5</v>
      </c>
      <c r="N1577" s="14"/>
      <c r="O1577" s="14">
        <v>0</v>
      </c>
      <c r="P1577" s="24">
        <f>LEN(E1577)+LEN(K1577)</f>
        <v>125</v>
      </c>
      <c r="Q1577" s="24">
        <f>COUNTIFS(B:B,B1576)</f>
        <v>7</v>
      </c>
      <c r="R1577" s="24">
        <f>COUNTIFS(D:D,D1577)</f>
        <v>8</v>
      </c>
    </row>
    <row r="1578" spans="1:18" s="21" customFormat="1" x14ac:dyDescent="0.3">
      <c r="A1578" s="14">
        <v>424</v>
      </c>
      <c r="B1578" s="21" t="s">
        <v>2723</v>
      </c>
      <c r="C1578" s="21" t="s">
        <v>2795</v>
      </c>
      <c r="D1578" s="21" t="s">
        <v>2709</v>
      </c>
      <c r="E1578" s="1" t="s">
        <v>407</v>
      </c>
      <c r="F1578" s="21" t="s">
        <v>2283</v>
      </c>
      <c r="G1578" s="14">
        <v>0</v>
      </c>
      <c r="H1578" s="14">
        <v>0</v>
      </c>
      <c r="I1578" s="22">
        <v>122</v>
      </c>
      <c r="J1578" s="23">
        <f>VLOOKUP(I1578,episodes!$A$1:$B$76,2,FALSE)</f>
        <v>23</v>
      </c>
      <c r="K1578" s="16" t="str">
        <f>VLOOKUP(I1578,episodes!$A$1:$E$81,5,FALSE)</f>
        <v>Space Seed</v>
      </c>
      <c r="L1578" s="16">
        <f>VLOOKUP(I1578,episodes!$A$1:$D$81,3,FALSE)</f>
        <v>1</v>
      </c>
      <c r="M1578" s="16">
        <f>VLOOKUP(I1578,episodes!$A$1:$D$81,4,FALSE)</f>
        <v>22</v>
      </c>
      <c r="N1578" s="14"/>
      <c r="O1578" s="14">
        <v>0</v>
      </c>
      <c r="P1578" s="24">
        <f>LEN(E1578)+LEN(K1578)</f>
        <v>51</v>
      </c>
      <c r="Q1578" s="24">
        <f>COUNTIFS(B:B,B1577)</f>
        <v>2</v>
      </c>
      <c r="R1578" s="24">
        <f>COUNTIFS(D:D,D1578)</f>
        <v>8</v>
      </c>
    </row>
    <row r="1579" spans="1:18" s="21" customFormat="1" x14ac:dyDescent="0.3">
      <c r="A1579" s="14">
        <v>51</v>
      </c>
      <c r="B1579" s="21" t="s">
        <v>2723</v>
      </c>
      <c r="C1579" s="21" t="s">
        <v>2795</v>
      </c>
      <c r="D1579" s="21" t="s">
        <v>2709</v>
      </c>
      <c r="E1579" s="1" t="s">
        <v>1899</v>
      </c>
      <c r="F1579" s="21" t="s">
        <v>2</v>
      </c>
      <c r="G1579" s="14">
        <v>0</v>
      </c>
      <c r="H1579" s="14">
        <v>0</v>
      </c>
      <c r="I1579" s="22">
        <v>210</v>
      </c>
      <c r="J1579" s="23">
        <f>VLOOKUP(I1579,episodes!$A$1:$B$81,2,FALSE)</f>
        <v>40</v>
      </c>
      <c r="K1579" s="16" t="str">
        <f>VLOOKUP(I1579,episodes!$A$1:$E$81,5,FALSE)</f>
        <v>Journey to Babel</v>
      </c>
      <c r="L1579" s="16">
        <f>VLOOKUP(I1579,episodes!$A$1:$D$81,3,FALSE)</f>
        <v>2</v>
      </c>
      <c r="M1579" s="16">
        <f>VLOOKUP(I1579,episodes!$A$1:$D$81,4,FALSE)</f>
        <v>10</v>
      </c>
      <c r="N1579" s="14"/>
      <c r="O1579" s="14">
        <v>0</v>
      </c>
      <c r="P1579" s="24">
        <f>LEN(E1579)+LEN(K1579)</f>
        <v>49</v>
      </c>
      <c r="Q1579" s="24">
        <f>COUNTIFS(B:B,B1578)</f>
        <v>7</v>
      </c>
      <c r="R1579" s="24">
        <f>COUNTIFS(D:D,D1579)</f>
        <v>8</v>
      </c>
    </row>
    <row r="1580" spans="1:18" s="21" customFormat="1" x14ac:dyDescent="0.3">
      <c r="A1580" s="14">
        <v>1855</v>
      </c>
      <c r="B1580" s="21" t="s">
        <v>2723</v>
      </c>
      <c r="C1580" s="21" t="s">
        <v>2795</v>
      </c>
      <c r="D1580" s="21" t="s">
        <v>2709</v>
      </c>
      <c r="E1580" s="1" t="s">
        <v>1207</v>
      </c>
      <c r="F1580" s="21" t="s">
        <v>1862</v>
      </c>
      <c r="G1580" s="14">
        <v>0</v>
      </c>
      <c r="H1580" s="14">
        <v>2</v>
      </c>
      <c r="I1580" s="25">
        <v>101</v>
      </c>
      <c r="J1580" s="23">
        <f>VLOOKUP(I1580,episodes!$A$1:$B$76,2,FALSE)</f>
        <v>2</v>
      </c>
      <c r="K1580" s="16" t="str">
        <f>VLOOKUP(I1580,episodes!$A$1:$E$81,5,FALSE)</f>
        <v>The Man Trap</v>
      </c>
      <c r="L1580" s="16">
        <f>VLOOKUP(I1580,episodes!$A$1:$D$81,3,FALSE)</f>
        <v>1</v>
      </c>
      <c r="M1580" s="16">
        <f>VLOOKUP(I1580,episodes!$A$1:$D$81,4,FALSE)</f>
        <v>1</v>
      </c>
      <c r="N1580" s="14"/>
      <c r="O1580" s="14">
        <v>0</v>
      </c>
      <c r="P1580" s="24">
        <f>LEN(E1580)+LEN(K1580)</f>
        <v>100</v>
      </c>
      <c r="Q1580" s="24">
        <f>COUNTIFS(B:B,B1576)</f>
        <v>7</v>
      </c>
      <c r="R1580" s="24">
        <f>COUNTIFS(D:D,D1580)</f>
        <v>8</v>
      </c>
    </row>
    <row r="1581" spans="1:18" s="21" customFormat="1" x14ac:dyDescent="0.3">
      <c r="A1581" s="14">
        <v>2735</v>
      </c>
      <c r="B1581" s="21" t="s">
        <v>368</v>
      </c>
      <c r="C1581" s="21" t="s">
        <v>2795</v>
      </c>
      <c r="D1581" s="21" t="s">
        <v>2712</v>
      </c>
      <c r="E1581" s="1" t="s">
        <v>478</v>
      </c>
      <c r="F1581" s="21" t="s">
        <v>2225</v>
      </c>
      <c r="G1581" s="14">
        <v>0</v>
      </c>
      <c r="H1581" s="14">
        <v>0</v>
      </c>
      <c r="I1581" s="25">
        <v>108</v>
      </c>
      <c r="J1581" s="23">
        <f>VLOOKUP(I1581,episodes!$A$1:$B$76,2,FALSE)</f>
        <v>9</v>
      </c>
      <c r="K1581" s="16" t="str">
        <f>VLOOKUP(I1581,episodes!$A$1:$E$81,5,FALSE)</f>
        <v>Miri</v>
      </c>
      <c r="L1581" s="16">
        <f>VLOOKUP(I1581,episodes!$A$1:$D$81,3,FALSE)</f>
        <v>1</v>
      </c>
      <c r="M1581" s="16">
        <f>VLOOKUP(I1581,episodes!$A$1:$D$81,4,FALSE)</f>
        <v>8</v>
      </c>
      <c r="N1581" s="14"/>
      <c r="O1581" s="14">
        <v>0</v>
      </c>
      <c r="P1581" s="24">
        <f>LEN(E1581)+LEN(K1581)</f>
        <v>76</v>
      </c>
      <c r="Q1581" s="24">
        <f>COUNTIFS(B:B,B1580)</f>
        <v>7</v>
      </c>
      <c r="R1581" s="24">
        <f>COUNTIFS(D:D,D1581)</f>
        <v>1</v>
      </c>
    </row>
    <row r="1582" spans="1:18" s="21" customFormat="1" x14ac:dyDescent="0.3">
      <c r="A1582" s="14">
        <v>2738</v>
      </c>
      <c r="B1582" s="21" t="s">
        <v>333</v>
      </c>
      <c r="C1582" s="21" t="s">
        <v>2795</v>
      </c>
      <c r="D1582" s="1" t="s">
        <v>2751</v>
      </c>
      <c r="E1582" s="1" t="s">
        <v>830</v>
      </c>
      <c r="F1582" s="21" t="s">
        <v>2225</v>
      </c>
      <c r="G1582" s="14">
        <v>0</v>
      </c>
      <c r="H1582" s="14">
        <v>0</v>
      </c>
      <c r="I1582" s="25">
        <v>109</v>
      </c>
      <c r="J1582" s="23">
        <f>VLOOKUP(I1582,episodes!$A$1:$B$76,2,FALSE)</f>
        <v>10</v>
      </c>
      <c r="K1582" s="16" t="str">
        <f>VLOOKUP(I1582,episodes!$A$1:$E$81,5,FALSE)</f>
        <v>Dagger of the Mind</v>
      </c>
      <c r="L1582" s="16">
        <f>VLOOKUP(I1582,episodes!$A$1:$D$81,3,FALSE)</f>
        <v>1</v>
      </c>
      <c r="M1582" s="16">
        <f>VLOOKUP(I1582,episodes!$A$1:$D$81,4,FALSE)</f>
        <v>9</v>
      </c>
      <c r="N1582" s="14"/>
      <c r="O1582" s="14">
        <v>0</v>
      </c>
      <c r="P1582" s="24">
        <f>LEN(E1582)+LEN(K1582)</f>
        <v>42</v>
      </c>
      <c r="Q1582" s="24">
        <f>COUNTIFS(B:B,B1581)</f>
        <v>4</v>
      </c>
      <c r="R1582" s="24">
        <f>COUNTIFS(D:D,D1582)</f>
        <v>1</v>
      </c>
    </row>
    <row r="1583" spans="1:18" s="21" customFormat="1" x14ac:dyDescent="0.3">
      <c r="A1583" s="14">
        <v>2751</v>
      </c>
      <c r="B1583" s="21" t="s">
        <v>333</v>
      </c>
      <c r="C1583" s="21" t="s">
        <v>2795</v>
      </c>
      <c r="D1583" s="1" t="s">
        <v>2750</v>
      </c>
      <c r="E1583" s="1" t="s">
        <v>833</v>
      </c>
      <c r="F1583" s="21" t="s">
        <v>2225</v>
      </c>
      <c r="G1583" s="14">
        <v>0</v>
      </c>
      <c r="H1583" s="14">
        <v>0</v>
      </c>
      <c r="I1583" s="25">
        <v>113</v>
      </c>
      <c r="J1583" s="23">
        <f>VLOOKUP(I1583,episodes!$A$1:$B$76,2,FALSE)</f>
        <v>14</v>
      </c>
      <c r="K1583" s="16" t="str">
        <f>VLOOKUP(I1583,episodes!$A$1:$E$81,5,FALSE)</f>
        <v>The Conscience of the King</v>
      </c>
      <c r="L1583" s="16">
        <f>VLOOKUP(I1583,episodes!$A$1:$D$81,3,FALSE)</f>
        <v>1</v>
      </c>
      <c r="M1583" s="16">
        <f>VLOOKUP(I1583,episodes!$A$1:$D$81,4,FALSE)</f>
        <v>13</v>
      </c>
      <c r="N1583" s="14"/>
      <c r="O1583" s="14">
        <v>0</v>
      </c>
      <c r="P1583" s="24">
        <f>LEN(E1583)+LEN(K1583)</f>
        <v>55</v>
      </c>
      <c r="Q1583" s="24">
        <f>COUNTIFS(B:B,B1582)</f>
        <v>24</v>
      </c>
      <c r="R1583" s="24">
        <f>COUNTIFS(D:D,D1583)</f>
        <v>1</v>
      </c>
    </row>
    <row r="1584" spans="1:18" s="21" customFormat="1" x14ac:dyDescent="0.3">
      <c r="A1584" s="14">
        <v>2891</v>
      </c>
      <c r="B1584" s="21" t="s">
        <v>1856</v>
      </c>
      <c r="C1584" s="21" t="s">
        <v>2795</v>
      </c>
      <c r="D1584" s="21" t="s">
        <v>1856</v>
      </c>
      <c r="E1584" s="1" t="s">
        <v>2205</v>
      </c>
      <c r="F1584" s="21" t="s">
        <v>2225</v>
      </c>
      <c r="G1584" s="14">
        <v>0</v>
      </c>
      <c r="H1584" s="14">
        <v>0</v>
      </c>
      <c r="I1584" s="25">
        <v>210</v>
      </c>
      <c r="J1584" s="23">
        <f>VLOOKUP(I1584,episodes!$A$1:$B$81,2,FALSE)</f>
        <v>40</v>
      </c>
      <c r="K1584" s="16" t="str">
        <f>VLOOKUP(I1584,episodes!$A$1:$E$81,5,FALSE)</f>
        <v>Journey to Babel</v>
      </c>
      <c r="L1584" s="16">
        <f>VLOOKUP(I1584,episodes!$A$1:$D$81,3,FALSE)</f>
        <v>2</v>
      </c>
      <c r="M1584" s="16">
        <f>VLOOKUP(I1584,episodes!$A$1:$D$81,4,FALSE)</f>
        <v>10</v>
      </c>
      <c r="N1584" s="14"/>
      <c r="O1584" s="14">
        <v>0</v>
      </c>
      <c r="P1584" s="24">
        <f>LEN(E1584)+LEN(K1584)</f>
        <v>56</v>
      </c>
      <c r="Q1584" s="24">
        <f>COUNTIFS(B:B,B1583)</f>
        <v>24</v>
      </c>
      <c r="R1584" s="24">
        <f>COUNTIFS(D:D,#REF!)</f>
        <v>0</v>
      </c>
    </row>
    <row r="1585" spans="1:18" s="21" customFormat="1" x14ac:dyDescent="0.3">
      <c r="A1585" s="14">
        <v>2892</v>
      </c>
      <c r="B1585" s="21" t="s">
        <v>1856</v>
      </c>
      <c r="C1585" s="21" t="s">
        <v>2795</v>
      </c>
      <c r="D1585" s="21" t="s">
        <v>1856</v>
      </c>
      <c r="E1585" s="1" t="s">
        <v>2206</v>
      </c>
      <c r="F1585" s="21" t="s">
        <v>2225</v>
      </c>
      <c r="G1585" s="14">
        <v>0</v>
      </c>
      <c r="H1585" s="14">
        <v>0</v>
      </c>
      <c r="I1585" s="25">
        <v>210</v>
      </c>
      <c r="J1585" s="23">
        <f>VLOOKUP(I1585,episodes!$A$1:$B$81,2,FALSE)</f>
        <v>40</v>
      </c>
      <c r="K1585" s="16" t="str">
        <f>VLOOKUP(I1585,episodes!$A$1:$E$81,5,FALSE)</f>
        <v>Journey to Babel</v>
      </c>
      <c r="L1585" s="16">
        <f>VLOOKUP(I1585,episodes!$A$1:$D$81,3,FALSE)</f>
        <v>2</v>
      </c>
      <c r="M1585" s="16">
        <f>VLOOKUP(I1585,episodes!$A$1:$D$81,4,FALSE)</f>
        <v>10</v>
      </c>
      <c r="N1585" s="14"/>
      <c r="O1585" s="14">
        <v>0</v>
      </c>
      <c r="P1585" s="24">
        <f>LEN(E1585)+LEN(K1585)</f>
        <v>56</v>
      </c>
      <c r="Q1585" s="24">
        <f>COUNTIFS(B:B,B1584)</f>
        <v>42</v>
      </c>
      <c r="R1585" s="24">
        <f>COUNTIFS(D:D,#REF!)</f>
        <v>0</v>
      </c>
    </row>
    <row r="1586" spans="1:18" s="21" customFormat="1" x14ac:dyDescent="0.3">
      <c r="A1586" s="14">
        <v>2893</v>
      </c>
      <c r="B1586" s="21" t="s">
        <v>1856</v>
      </c>
      <c r="C1586" s="21" t="s">
        <v>2795</v>
      </c>
      <c r="D1586" s="21" t="s">
        <v>1856</v>
      </c>
      <c r="E1586" s="1" t="s">
        <v>2207</v>
      </c>
      <c r="F1586" s="21" t="s">
        <v>2225</v>
      </c>
      <c r="G1586" s="14">
        <v>0</v>
      </c>
      <c r="H1586" s="14">
        <v>0</v>
      </c>
      <c r="I1586" s="25">
        <v>210</v>
      </c>
      <c r="J1586" s="23">
        <f>VLOOKUP(I1586,episodes!$A$1:$B$81,2,FALSE)</f>
        <v>40</v>
      </c>
      <c r="K1586" s="16" t="str">
        <f>VLOOKUP(I1586,episodes!$A$1:$E$81,5,FALSE)</f>
        <v>Journey to Babel</v>
      </c>
      <c r="L1586" s="16">
        <f>VLOOKUP(I1586,episodes!$A$1:$D$81,3,FALSE)</f>
        <v>2</v>
      </c>
      <c r="M1586" s="16">
        <f>VLOOKUP(I1586,episodes!$A$1:$D$81,4,FALSE)</f>
        <v>10</v>
      </c>
      <c r="N1586" s="14"/>
      <c r="O1586" s="14">
        <v>0</v>
      </c>
      <c r="P1586" s="24">
        <f>LEN(E1586)+LEN(K1586)</f>
        <v>56</v>
      </c>
      <c r="Q1586" s="24">
        <f>COUNTIFS(B:B,B1585)</f>
        <v>42</v>
      </c>
      <c r="R1586" s="24">
        <f>COUNTIFS(D:D,#REF!)</f>
        <v>0</v>
      </c>
    </row>
    <row r="1587" spans="1:18" s="21" customFormat="1" x14ac:dyDescent="0.3">
      <c r="A1587" s="14">
        <v>2894</v>
      </c>
      <c r="B1587" s="21" t="s">
        <v>1856</v>
      </c>
      <c r="C1587" s="21" t="s">
        <v>2795</v>
      </c>
      <c r="D1587" s="21" t="s">
        <v>1856</v>
      </c>
      <c r="E1587" s="1" t="s">
        <v>2208</v>
      </c>
      <c r="F1587" s="21" t="s">
        <v>2225</v>
      </c>
      <c r="G1587" s="14">
        <v>0</v>
      </c>
      <c r="H1587" s="14">
        <v>0</v>
      </c>
      <c r="I1587" s="25">
        <v>210</v>
      </c>
      <c r="J1587" s="23">
        <f>VLOOKUP(I1587,episodes!$A$1:$B$81,2,FALSE)</f>
        <v>40</v>
      </c>
      <c r="K1587" s="16" t="str">
        <f>VLOOKUP(I1587,episodes!$A$1:$E$81,5,FALSE)</f>
        <v>Journey to Babel</v>
      </c>
      <c r="L1587" s="16">
        <f>VLOOKUP(I1587,episodes!$A$1:$D$81,3,FALSE)</f>
        <v>2</v>
      </c>
      <c r="M1587" s="16">
        <f>VLOOKUP(I1587,episodes!$A$1:$D$81,4,FALSE)</f>
        <v>10</v>
      </c>
      <c r="N1587" s="14"/>
      <c r="O1587" s="14">
        <v>0</v>
      </c>
      <c r="P1587" s="24">
        <f>LEN(E1587)+LEN(K1587)</f>
        <v>56</v>
      </c>
      <c r="Q1587" s="24">
        <f>COUNTIFS(B:B,B1586)</f>
        <v>42</v>
      </c>
      <c r="R1587" s="24">
        <f>COUNTIFS(D:D,#REF!)</f>
        <v>0</v>
      </c>
    </row>
    <row r="1588" spans="1:18" s="21" customFormat="1" x14ac:dyDescent="0.3">
      <c r="A1588" s="14">
        <v>2895</v>
      </c>
      <c r="B1588" s="21" t="s">
        <v>1856</v>
      </c>
      <c r="C1588" s="21" t="s">
        <v>2795</v>
      </c>
      <c r="D1588" s="21" t="s">
        <v>1856</v>
      </c>
      <c r="E1588" s="1" t="s">
        <v>2209</v>
      </c>
      <c r="F1588" s="21" t="s">
        <v>2225</v>
      </c>
      <c r="G1588" s="14">
        <v>0</v>
      </c>
      <c r="H1588" s="14">
        <v>0</v>
      </c>
      <c r="I1588" s="25">
        <v>210</v>
      </c>
      <c r="J1588" s="23">
        <f>VLOOKUP(I1588,episodes!$A$1:$B$81,2,FALSE)</f>
        <v>40</v>
      </c>
      <c r="K1588" s="16" t="str">
        <f>VLOOKUP(I1588,episodes!$A$1:$E$81,5,FALSE)</f>
        <v>Journey to Babel</v>
      </c>
      <c r="L1588" s="16">
        <f>VLOOKUP(I1588,episodes!$A$1:$D$81,3,FALSE)</f>
        <v>2</v>
      </c>
      <c r="M1588" s="16">
        <f>VLOOKUP(I1588,episodes!$A$1:$D$81,4,FALSE)</f>
        <v>10</v>
      </c>
      <c r="N1588" s="14"/>
      <c r="O1588" s="14">
        <v>0</v>
      </c>
      <c r="P1588" s="24">
        <f>LEN(E1588)+LEN(K1588)</f>
        <v>56</v>
      </c>
      <c r="Q1588" s="24">
        <f>COUNTIFS(B:B,B1587)</f>
        <v>42</v>
      </c>
      <c r="R1588" s="24">
        <f>COUNTIFS(D:D,#REF!)</f>
        <v>0</v>
      </c>
    </row>
    <row r="1589" spans="1:18" s="21" customFormat="1" x14ac:dyDescent="0.3">
      <c r="A1589" s="14">
        <v>2821</v>
      </c>
      <c r="B1589" s="21" t="s">
        <v>1856</v>
      </c>
      <c r="C1589" s="21" t="s">
        <v>2795</v>
      </c>
      <c r="D1589" s="21" t="s">
        <v>1856</v>
      </c>
      <c r="E1589" s="1" t="s">
        <v>2155</v>
      </c>
      <c r="F1589" s="21" t="s">
        <v>2225</v>
      </c>
      <c r="G1589" s="14">
        <v>0</v>
      </c>
      <c r="H1589" s="14">
        <v>0</v>
      </c>
      <c r="I1589" s="22">
        <v>202</v>
      </c>
      <c r="J1589" s="23">
        <f>VLOOKUP(I1589,episodes!$A$1:$B$76,2,FALSE)</f>
        <v>32</v>
      </c>
      <c r="K1589" s="16" t="str">
        <f>VLOOKUP(I1589,episodes!$A$1:$E$81,5,FALSE)</f>
        <v>Who Mourns for Adonais?</v>
      </c>
      <c r="L1589" s="16">
        <f>VLOOKUP(I1589,episodes!$A$1:$D$81,3,FALSE)</f>
        <v>2</v>
      </c>
      <c r="M1589" s="16">
        <f>VLOOKUP(I1589,episodes!$A$1:$D$81,4,FALSE)</f>
        <v>2</v>
      </c>
      <c r="N1589" s="14"/>
      <c r="O1589" s="14">
        <v>0</v>
      </c>
      <c r="P1589" s="24">
        <f>LEN(E1589)+LEN(K1589)</f>
        <v>84</v>
      </c>
      <c r="Q1589" s="24">
        <f>COUNTIFS(B:B,B1588)</f>
        <v>42</v>
      </c>
      <c r="R1589" s="24">
        <f>COUNTIFS(D:D,#REF!)</f>
        <v>0</v>
      </c>
    </row>
    <row r="1590" spans="1:18" s="21" customFormat="1" x14ac:dyDescent="0.3">
      <c r="A1590" s="14">
        <v>2822</v>
      </c>
      <c r="B1590" s="21" t="s">
        <v>1856</v>
      </c>
      <c r="C1590" s="21" t="s">
        <v>2795</v>
      </c>
      <c r="D1590" s="21" t="s">
        <v>1856</v>
      </c>
      <c r="E1590" s="1" t="s">
        <v>1876</v>
      </c>
      <c r="F1590" s="21" t="s">
        <v>2225</v>
      </c>
      <c r="G1590" s="14">
        <v>0</v>
      </c>
      <c r="H1590" s="14">
        <v>0</v>
      </c>
      <c r="I1590" s="22">
        <v>202</v>
      </c>
      <c r="J1590" s="23">
        <f>VLOOKUP(I1590,episodes!$A$1:$B$76,2,FALSE)</f>
        <v>32</v>
      </c>
      <c r="K1590" s="16" t="str">
        <f>VLOOKUP(I1590,episodes!$A$1:$E$81,5,FALSE)</f>
        <v>Who Mourns for Adonais?</v>
      </c>
      <c r="L1590" s="16">
        <f>VLOOKUP(I1590,episodes!$A$1:$D$81,3,FALSE)</f>
        <v>2</v>
      </c>
      <c r="M1590" s="16">
        <f>VLOOKUP(I1590,episodes!$A$1:$D$81,4,FALSE)</f>
        <v>2</v>
      </c>
      <c r="N1590" s="14"/>
      <c r="O1590" s="14">
        <v>0</v>
      </c>
      <c r="P1590" s="24">
        <f>LEN(E1590)+LEN(K1590)</f>
        <v>66</v>
      </c>
      <c r="Q1590" s="24">
        <f>COUNTIFS(B:B,B1589)</f>
        <v>42</v>
      </c>
      <c r="R1590" s="24">
        <f>COUNTIFS(D:D,#REF!)</f>
        <v>0</v>
      </c>
    </row>
    <row r="1591" spans="1:18" s="21" customFormat="1" x14ac:dyDescent="0.3">
      <c r="A1591" s="14">
        <v>2838</v>
      </c>
      <c r="B1591" s="21" t="s">
        <v>1856</v>
      </c>
      <c r="C1591" s="21" t="s">
        <v>2795</v>
      </c>
      <c r="D1591" s="21" t="s">
        <v>1856</v>
      </c>
      <c r="E1591" s="1" t="s">
        <v>2908</v>
      </c>
      <c r="F1591" s="21" t="s">
        <v>2225</v>
      </c>
      <c r="G1591" s="14">
        <v>0</v>
      </c>
      <c r="H1591" s="14">
        <v>0</v>
      </c>
      <c r="I1591" s="25">
        <v>206</v>
      </c>
      <c r="J1591" s="23">
        <f>VLOOKUP(I1591,episodes!$A$1:$B$81,2,FALSE)</f>
        <v>36</v>
      </c>
      <c r="K1591" s="16" t="str">
        <f>VLOOKUP(I1591,episodes!$A$1:$E$81,5,FALSE)</f>
        <v>The Doomsday Machine</v>
      </c>
      <c r="L1591" s="16">
        <f>VLOOKUP(I1591,episodes!$A$1:$D$81,3,FALSE)</f>
        <v>2</v>
      </c>
      <c r="M1591" s="16">
        <f>VLOOKUP(I1591,episodes!$A$1:$D$81,4,FALSE)</f>
        <v>6</v>
      </c>
      <c r="N1591" s="14"/>
      <c r="O1591" s="14">
        <v>0</v>
      </c>
      <c r="P1591" s="24">
        <f>LEN(E1591)+LEN(K1591)</f>
        <v>81</v>
      </c>
      <c r="Q1591" s="24">
        <f>COUNTIFS(B:B,B1590)</f>
        <v>42</v>
      </c>
      <c r="R1591" s="24">
        <f>COUNTIFS(D:D,#REF!)</f>
        <v>0</v>
      </c>
    </row>
    <row r="1592" spans="1:18" s="21" customFormat="1" x14ac:dyDescent="0.3">
      <c r="A1592" s="14">
        <v>2839</v>
      </c>
      <c r="B1592" s="21" t="s">
        <v>1856</v>
      </c>
      <c r="C1592" s="21" t="s">
        <v>2795</v>
      </c>
      <c r="D1592" s="21" t="s">
        <v>1856</v>
      </c>
      <c r="E1592" s="1" t="s">
        <v>2909</v>
      </c>
      <c r="F1592" s="21" t="s">
        <v>2225</v>
      </c>
      <c r="G1592" s="14">
        <v>0</v>
      </c>
      <c r="H1592" s="14">
        <v>0</v>
      </c>
      <c r="I1592" s="25">
        <v>206</v>
      </c>
      <c r="J1592" s="23">
        <f>VLOOKUP(I1592,episodes!$A$1:$B$81,2,FALSE)</f>
        <v>36</v>
      </c>
      <c r="K1592" s="16" t="str">
        <f>VLOOKUP(I1592,episodes!$A$1:$E$81,5,FALSE)</f>
        <v>The Doomsday Machine</v>
      </c>
      <c r="L1592" s="16">
        <f>VLOOKUP(I1592,episodes!$A$1:$D$81,3,FALSE)</f>
        <v>2</v>
      </c>
      <c r="M1592" s="16">
        <f>VLOOKUP(I1592,episodes!$A$1:$D$81,4,FALSE)</f>
        <v>6</v>
      </c>
      <c r="N1592" s="14"/>
      <c r="O1592" s="14">
        <v>0</v>
      </c>
      <c r="P1592" s="24">
        <f>LEN(E1592)+LEN(K1592)</f>
        <v>81</v>
      </c>
      <c r="Q1592" s="24">
        <f>COUNTIFS(B:B,B1591)</f>
        <v>42</v>
      </c>
      <c r="R1592" s="24">
        <f>COUNTIFS(D:D,#REF!)</f>
        <v>0</v>
      </c>
    </row>
    <row r="1593" spans="1:18" s="21" customFormat="1" x14ac:dyDescent="0.3">
      <c r="A1593" s="14">
        <v>2840</v>
      </c>
      <c r="B1593" s="21" t="s">
        <v>1856</v>
      </c>
      <c r="C1593" s="21" t="s">
        <v>2795</v>
      </c>
      <c r="D1593" s="21" t="s">
        <v>1856</v>
      </c>
      <c r="E1593" s="1" t="s">
        <v>2910</v>
      </c>
      <c r="F1593" s="21" t="s">
        <v>2225</v>
      </c>
      <c r="G1593" s="14">
        <v>0</v>
      </c>
      <c r="H1593" s="14">
        <v>0</v>
      </c>
      <c r="I1593" s="25">
        <v>206</v>
      </c>
      <c r="J1593" s="23">
        <f>VLOOKUP(I1593,episodes!$A$1:$B$81,2,FALSE)</f>
        <v>36</v>
      </c>
      <c r="K1593" s="16" t="str">
        <f>VLOOKUP(I1593,episodes!$A$1:$E$81,5,FALSE)</f>
        <v>The Doomsday Machine</v>
      </c>
      <c r="L1593" s="16">
        <f>VLOOKUP(I1593,episodes!$A$1:$D$81,3,FALSE)</f>
        <v>2</v>
      </c>
      <c r="M1593" s="16">
        <f>VLOOKUP(I1593,episodes!$A$1:$D$81,4,FALSE)</f>
        <v>6</v>
      </c>
      <c r="N1593" s="14"/>
      <c r="O1593" s="14">
        <v>0</v>
      </c>
      <c r="P1593" s="24">
        <f>LEN(E1593)+LEN(K1593)</f>
        <v>81</v>
      </c>
      <c r="Q1593" s="24">
        <f>COUNTIFS(B:B,B1592)</f>
        <v>42</v>
      </c>
      <c r="R1593" s="24">
        <f>COUNTIFS(D:D,#REF!)</f>
        <v>0</v>
      </c>
    </row>
    <row r="1594" spans="1:18" s="21" customFormat="1" x14ac:dyDescent="0.3">
      <c r="A1594" s="14">
        <v>2841</v>
      </c>
      <c r="B1594" s="21" t="s">
        <v>1856</v>
      </c>
      <c r="C1594" s="21" t="s">
        <v>2795</v>
      </c>
      <c r="D1594" s="21" t="s">
        <v>1856</v>
      </c>
      <c r="E1594" s="1" t="s">
        <v>2911</v>
      </c>
      <c r="F1594" s="21" t="s">
        <v>2225</v>
      </c>
      <c r="G1594" s="14">
        <v>0</v>
      </c>
      <c r="H1594" s="14">
        <v>0</v>
      </c>
      <c r="I1594" s="25">
        <v>206</v>
      </c>
      <c r="J1594" s="23">
        <f>VLOOKUP(I1594,episodes!$A$1:$B$81,2,FALSE)</f>
        <v>36</v>
      </c>
      <c r="K1594" s="16" t="str">
        <f>VLOOKUP(I1594,episodes!$A$1:$E$81,5,FALSE)</f>
        <v>The Doomsday Machine</v>
      </c>
      <c r="L1594" s="16">
        <f>VLOOKUP(I1594,episodes!$A$1:$D$81,3,FALSE)</f>
        <v>2</v>
      </c>
      <c r="M1594" s="16">
        <f>VLOOKUP(I1594,episodes!$A$1:$D$81,4,FALSE)</f>
        <v>6</v>
      </c>
      <c r="N1594" s="14"/>
      <c r="O1594" s="14">
        <v>0</v>
      </c>
      <c r="P1594" s="24">
        <f>LEN(E1594)+LEN(K1594)</f>
        <v>81</v>
      </c>
      <c r="Q1594" s="24">
        <f>COUNTIFS(B:B,B1593)</f>
        <v>42</v>
      </c>
      <c r="R1594" s="24">
        <f>COUNTIFS(D:D,#REF!)</f>
        <v>0</v>
      </c>
    </row>
    <row r="1595" spans="1:18" s="21" customFormat="1" x14ac:dyDescent="0.3">
      <c r="A1595" s="14">
        <v>2794</v>
      </c>
      <c r="B1595" s="21" t="s">
        <v>1856</v>
      </c>
      <c r="C1595" s="21" t="s">
        <v>2795</v>
      </c>
      <c r="D1595" s="21" t="s">
        <v>1856</v>
      </c>
      <c r="E1595" s="1" t="s">
        <v>2143</v>
      </c>
      <c r="F1595" s="21" t="s">
        <v>2225</v>
      </c>
      <c r="G1595" s="14">
        <v>0</v>
      </c>
      <c r="H1595" s="14">
        <v>0</v>
      </c>
      <c r="I1595" s="22">
        <v>123</v>
      </c>
      <c r="J1595" s="23">
        <f>VLOOKUP(I1595,episodes!$A$1:$B$76,2,FALSE)</f>
        <v>24</v>
      </c>
      <c r="K1595" s="16" t="str">
        <f>VLOOKUP(I1595,episodes!$A$1:$E$81,5,FALSE)</f>
        <v>A Taste of Armageddon</v>
      </c>
      <c r="L1595" s="16">
        <f>VLOOKUP(I1595,episodes!$A$1:$D$81,3,FALSE)</f>
        <v>1</v>
      </c>
      <c r="M1595" s="16">
        <f>VLOOKUP(I1595,episodes!$A$1:$D$81,4,FALSE)</f>
        <v>23</v>
      </c>
      <c r="N1595" s="14"/>
      <c r="O1595" s="14">
        <v>0</v>
      </c>
      <c r="P1595" s="24">
        <f>LEN(E1595)+LEN(K1595)</f>
        <v>71</v>
      </c>
      <c r="Q1595" s="24">
        <f>COUNTIFS(B:B,B1594)</f>
        <v>42</v>
      </c>
      <c r="R1595" s="24">
        <f>COUNTIFS(D:D,#REF!)</f>
        <v>0</v>
      </c>
    </row>
    <row r="1596" spans="1:18" s="21" customFormat="1" x14ac:dyDescent="0.3">
      <c r="A1596" s="14">
        <v>2724</v>
      </c>
      <c r="B1596" s="21" t="s">
        <v>1856</v>
      </c>
      <c r="C1596" s="21" t="s">
        <v>2795</v>
      </c>
      <c r="D1596" s="21" t="s">
        <v>1856</v>
      </c>
      <c r="E1596" s="1" t="s">
        <v>1510</v>
      </c>
      <c r="F1596" s="21" t="s">
        <v>2225</v>
      </c>
      <c r="G1596" s="14">
        <v>0</v>
      </c>
      <c r="H1596" s="14">
        <v>0</v>
      </c>
      <c r="I1596" s="22">
        <v>104</v>
      </c>
      <c r="J1596" s="23">
        <f>VLOOKUP(I1596,episodes!$A$1:$B$76,2,FALSE)</f>
        <v>5</v>
      </c>
      <c r="K1596" s="16" t="str">
        <f>VLOOKUP(I1596,episodes!$A$1:$E$81,5,FALSE)</f>
        <v>The Naked Time</v>
      </c>
      <c r="L1596" s="16">
        <f>VLOOKUP(I1596,episodes!$A$1:$D$81,3,FALSE)</f>
        <v>1</v>
      </c>
      <c r="M1596" s="16">
        <f>VLOOKUP(I1596,episodes!$A$1:$D$81,4,FALSE)</f>
        <v>4</v>
      </c>
      <c r="N1596" s="14"/>
      <c r="O1596" s="14">
        <v>0</v>
      </c>
      <c r="P1596" s="24">
        <f>LEN(E1596)+LEN(K1596)</f>
        <v>115</v>
      </c>
      <c r="Q1596" s="24">
        <f>COUNTIFS(B:B,B1595)</f>
        <v>42</v>
      </c>
      <c r="R1596" s="24">
        <f>COUNTIFS(D:D,#REF!)</f>
        <v>0</v>
      </c>
    </row>
    <row r="1597" spans="1:18" s="21" customFormat="1" x14ac:dyDescent="0.3">
      <c r="A1597" s="14">
        <v>2745</v>
      </c>
      <c r="B1597" s="21" t="s">
        <v>1856</v>
      </c>
      <c r="C1597" s="21" t="s">
        <v>2795</v>
      </c>
      <c r="D1597" s="21" t="s">
        <v>1856</v>
      </c>
      <c r="E1597" s="1" t="s">
        <v>832</v>
      </c>
      <c r="F1597" s="21" t="s">
        <v>2225</v>
      </c>
      <c r="G1597" s="14">
        <v>0</v>
      </c>
      <c r="H1597" s="14">
        <v>0</v>
      </c>
      <c r="I1597" s="22">
        <v>110</v>
      </c>
      <c r="J1597" s="23">
        <f>VLOOKUP(I1597,episodes!$A$1:$B$76,2,FALSE)</f>
        <v>11</v>
      </c>
      <c r="K1597" s="16" t="str">
        <f>VLOOKUP(I1597,episodes!$A$1:$E$81,5,FALSE)</f>
        <v>The Corbomite Maneuver</v>
      </c>
      <c r="L1597" s="16">
        <f>VLOOKUP(I1597,episodes!$A$1:$D$81,3,FALSE)</f>
        <v>1</v>
      </c>
      <c r="M1597" s="16">
        <f>VLOOKUP(I1597,episodes!$A$1:$D$81,4,FALSE)</f>
        <v>10</v>
      </c>
      <c r="N1597" s="14"/>
      <c r="O1597" s="14">
        <v>0</v>
      </c>
      <c r="P1597" s="24">
        <f>LEN(E1597)+LEN(K1597)</f>
        <v>63</v>
      </c>
      <c r="Q1597" s="24">
        <f>COUNTIFS(B:B,B1596)</f>
        <v>42</v>
      </c>
      <c r="R1597" s="24">
        <f>COUNTIFS(D:D,#REF!)</f>
        <v>0</v>
      </c>
    </row>
    <row r="1598" spans="1:18" s="21" customFormat="1" x14ac:dyDescent="0.3">
      <c r="A1598" s="14">
        <v>2746</v>
      </c>
      <c r="B1598" s="21" t="s">
        <v>1856</v>
      </c>
      <c r="C1598" s="21" t="s">
        <v>2795</v>
      </c>
      <c r="D1598" s="21" t="s">
        <v>1856</v>
      </c>
      <c r="E1598" s="1" t="s">
        <v>1753</v>
      </c>
      <c r="F1598" s="21" t="s">
        <v>2225</v>
      </c>
      <c r="G1598" s="14">
        <v>0</v>
      </c>
      <c r="H1598" s="14">
        <v>0</v>
      </c>
      <c r="I1598" s="22">
        <v>110</v>
      </c>
      <c r="J1598" s="23">
        <f>VLOOKUP(I1598,episodes!$A$1:$B$76,2,FALSE)</f>
        <v>11</v>
      </c>
      <c r="K1598" s="16" t="str">
        <f>VLOOKUP(I1598,episodes!$A$1:$E$81,5,FALSE)</f>
        <v>The Corbomite Maneuver</v>
      </c>
      <c r="L1598" s="16">
        <f>VLOOKUP(I1598,episodes!$A$1:$D$81,3,FALSE)</f>
        <v>1</v>
      </c>
      <c r="M1598" s="16">
        <f>VLOOKUP(I1598,episodes!$A$1:$D$81,4,FALSE)</f>
        <v>10</v>
      </c>
      <c r="N1598" s="14"/>
      <c r="O1598" s="14">
        <v>0</v>
      </c>
      <c r="P1598" s="24">
        <f>LEN(E1598)+LEN(K1598)</f>
        <v>82</v>
      </c>
      <c r="Q1598" s="24">
        <f>COUNTIFS(B:B,B1597)</f>
        <v>42</v>
      </c>
      <c r="R1598" s="24">
        <f>COUNTIFS(D:D,#REF!)</f>
        <v>0</v>
      </c>
    </row>
    <row r="1599" spans="1:18" s="21" customFormat="1" x14ac:dyDescent="0.3">
      <c r="A1599" s="14">
        <v>2756</v>
      </c>
      <c r="B1599" s="21" t="s">
        <v>1856</v>
      </c>
      <c r="C1599" s="21" t="s">
        <v>2795</v>
      </c>
      <c r="D1599" s="21" t="s">
        <v>1856</v>
      </c>
      <c r="E1599" s="1" t="s">
        <v>1788</v>
      </c>
      <c r="F1599" s="21" t="s">
        <v>2225</v>
      </c>
      <c r="G1599" s="14">
        <v>0</v>
      </c>
      <c r="H1599" s="14">
        <v>0</v>
      </c>
      <c r="I1599" s="22">
        <v>114</v>
      </c>
      <c r="J1599" s="23">
        <f>VLOOKUP(I1599,episodes!$A$1:$B$76,2,FALSE)</f>
        <v>15</v>
      </c>
      <c r="K1599" s="16" t="str">
        <f>VLOOKUP(I1599,episodes!$A$1:$E$81,5,FALSE)</f>
        <v>Balance of Terror</v>
      </c>
      <c r="L1599" s="16">
        <f>VLOOKUP(I1599,episodes!$A$1:$D$81,3,FALSE)</f>
        <v>1</v>
      </c>
      <c r="M1599" s="16">
        <f>VLOOKUP(I1599,episodes!$A$1:$D$81,4,FALSE)</f>
        <v>14</v>
      </c>
      <c r="N1599" s="14"/>
      <c r="O1599" s="14">
        <v>0</v>
      </c>
      <c r="P1599" s="24">
        <f>LEN(E1599)+LEN(K1599)</f>
        <v>72</v>
      </c>
      <c r="Q1599" s="24">
        <f>COUNTIFS(B:B,B1598)</f>
        <v>42</v>
      </c>
      <c r="R1599" s="24">
        <f>COUNTIFS(D:D,#REF!)</f>
        <v>0</v>
      </c>
    </row>
    <row r="1600" spans="1:18" s="21" customFormat="1" x14ac:dyDescent="0.3">
      <c r="A1600" s="14">
        <v>2757</v>
      </c>
      <c r="B1600" s="21" t="s">
        <v>1856</v>
      </c>
      <c r="C1600" s="21" t="s">
        <v>2795</v>
      </c>
      <c r="D1600" s="21" t="s">
        <v>1856</v>
      </c>
      <c r="E1600" s="1" t="s">
        <v>834</v>
      </c>
      <c r="F1600" s="21" t="s">
        <v>2225</v>
      </c>
      <c r="G1600" s="14">
        <v>0</v>
      </c>
      <c r="H1600" s="14">
        <v>0</v>
      </c>
      <c r="I1600" s="22">
        <v>114</v>
      </c>
      <c r="J1600" s="23">
        <f>VLOOKUP(I1600,episodes!$A$1:$B$76,2,FALSE)</f>
        <v>15</v>
      </c>
      <c r="K1600" s="16" t="str">
        <f>VLOOKUP(I1600,episodes!$A$1:$E$81,5,FALSE)</f>
        <v>Balance of Terror</v>
      </c>
      <c r="L1600" s="16">
        <f>VLOOKUP(I1600,episodes!$A$1:$D$81,3,FALSE)</f>
        <v>1</v>
      </c>
      <c r="M1600" s="16">
        <f>VLOOKUP(I1600,episodes!$A$1:$D$81,4,FALSE)</f>
        <v>14</v>
      </c>
      <c r="N1600" s="14"/>
      <c r="O1600" s="14">
        <v>0</v>
      </c>
      <c r="P1600" s="24">
        <f>LEN(E1600)+LEN(K1600)</f>
        <v>55</v>
      </c>
      <c r="Q1600" s="24">
        <f>COUNTIFS(B:B,B1599)</f>
        <v>42</v>
      </c>
      <c r="R1600" s="24">
        <f>COUNTIFS(D:D,#REF!)</f>
        <v>0</v>
      </c>
    </row>
    <row r="1601" spans="1:19" s="21" customFormat="1" x14ac:dyDescent="0.3">
      <c r="A1601" s="14">
        <v>2807</v>
      </c>
      <c r="B1601" s="21" t="s">
        <v>1856</v>
      </c>
      <c r="C1601" s="21" t="s">
        <v>2795</v>
      </c>
      <c r="D1601" s="21" t="s">
        <v>1856</v>
      </c>
      <c r="E1601" s="1" t="s">
        <v>531</v>
      </c>
      <c r="F1601" s="21" t="s">
        <v>2225</v>
      </c>
      <c r="G1601" s="14">
        <v>0</v>
      </c>
      <c r="H1601" s="14">
        <v>0</v>
      </c>
      <c r="I1601" s="22">
        <v>127</v>
      </c>
      <c r="J1601" s="23">
        <f>VLOOKUP(I1601,episodes!$A$1:$B$76,2,FALSE)</f>
        <v>28</v>
      </c>
      <c r="K1601" s="16" t="str">
        <f>VLOOKUP(I1601,episodes!$A$1:$E$81,5,FALSE)</f>
        <v>The Alternative Factor</v>
      </c>
      <c r="L1601" s="16">
        <f>VLOOKUP(I1601,episodes!$A$1:$D$81,3,FALSE)</f>
        <v>1</v>
      </c>
      <c r="M1601" s="16">
        <f>VLOOKUP(I1601,episodes!$A$1:$D$81,4,FALSE)</f>
        <v>27</v>
      </c>
      <c r="N1601" s="14"/>
      <c r="O1601" s="14">
        <v>0</v>
      </c>
      <c r="P1601" s="24">
        <f>LEN(E1601)+LEN(K1601)</f>
        <v>79</v>
      </c>
      <c r="Q1601" s="24">
        <f>COUNTIFS(B:B,B1600)</f>
        <v>42</v>
      </c>
      <c r="R1601" s="24">
        <f>COUNTIFS(D:D,#REF!)</f>
        <v>0</v>
      </c>
    </row>
    <row r="1602" spans="1:19" s="21" customFormat="1" x14ac:dyDescent="0.3">
      <c r="A1602" s="14">
        <v>2814</v>
      </c>
      <c r="B1602" s="21" t="s">
        <v>1856</v>
      </c>
      <c r="C1602" s="21" t="s">
        <v>2795</v>
      </c>
      <c r="D1602" s="21" t="s">
        <v>1856</v>
      </c>
      <c r="E1602" s="1" t="s">
        <v>2148</v>
      </c>
      <c r="F1602" s="21" t="s">
        <v>2225</v>
      </c>
      <c r="G1602" s="14">
        <v>0</v>
      </c>
      <c r="H1602" s="14">
        <v>0</v>
      </c>
      <c r="I1602" s="22">
        <v>128</v>
      </c>
      <c r="J1602" s="23">
        <f>VLOOKUP(I1602,episodes!$A$1:$B$76,2,FALSE)</f>
        <v>29</v>
      </c>
      <c r="K1602" s="16" t="str">
        <f>VLOOKUP(I1602,episodes!$A$1:$E$81,5,FALSE)</f>
        <v>The City on the Edge of Forever</v>
      </c>
      <c r="L1602" s="16">
        <f>VLOOKUP(I1602,episodes!$A$1:$D$81,3,FALSE)</f>
        <v>1</v>
      </c>
      <c r="M1602" s="16">
        <f>VLOOKUP(I1602,episodes!$A$1:$D$81,4,FALSE)</f>
        <v>28</v>
      </c>
      <c r="N1602" s="14"/>
      <c r="O1602" s="14">
        <v>0</v>
      </c>
      <c r="P1602" s="24">
        <f>LEN(E1602)+LEN(K1602)</f>
        <v>87</v>
      </c>
      <c r="Q1602" s="24">
        <f>COUNTIFS(B:B,B1601)</f>
        <v>42</v>
      </c>
      <c r="R1602" s="24">
        <f>COUNTIFS(D:D,#REF!)</f>
        <v>0</v>
      </c>
    </row>
    <row r="1603" spans="1:19" s="21" customFormat="1" x14ac:dyDescent="0.3">
      <c r="A1603" s="14">
        <v>2815</v>
      </c>
      <c r="B1603" s="21" t="s">
        <v>1856</v>
      </c>
      <c r="C1603" s="21" t="s">
        <v>2795</v>
      </c>
      <c r="D1603" s="21" t="s">
        <v>1856</v>
      </c>
      <c r="E1603" s="1" t="s">
        <v>2149</v>
      </c>
      <c r="F1603" s="21" t="s">
        <v>2225</v>
      </c>
      <c r="G1603" s="14">
        <v>0</v>
      </c>
      <c r="H1603" s="14">
        <v>0</v>
      </c>
      <c r="I1603" s="22">
        <v>128</v>
      </c>
      <c r="J1603" s="23">
        <f>VLOOKUP(I1603,episodes!$A$1:$B$76,2,FALSE)</f>
        <v>29</v>
      </c>
      <c r="K1603" s="16" t="str">
        <f>VLOOKUP(I1603,episodes!$A$1:$E$81,5,FALSE)</f>
        <v>The City on the Edge of Forever</v>
      </c>
      <c r="L1603" s="16">
        <f>VLOOKUP(I1603,episodes!$A$1:$D$81,3,FALSE)</f>
        <v>1</v>
      </c>
      <c r="M1603" s="16">
        <f>VLOOKUP(I1603,episodes!$A$1:$D$81,4,FALSE)</f>
        <v>28</v>
      </c>
      <c r="N1603" s="14"/>
      <c r="O1603" s="14">
        <v>0</v>
      </c>
      <c r="P1603" s="24">
        <f>LEN(E1603)+LEN(K1603)</f>
        <v>113</v>
      </c>
      <c r="Q1603" s="24">
        <f>COUNTIFS(B:B,B1602)</f>
        <v>42</v>
      </c>
      <c r="R1603" s="24">
        <f>COUNTIFS(D:D,#REF!)</f>
        <v>0</v>
      </c>
      <c r="S1603" s="1"/>
    </row>
    <row r="1604" spans="1:19" s="21" customFormat="1" x14ac:dyDescent="0.3">
      <c r="A1604" s="14">
        <v>2783</v>
      </c>
      <c r="B1604" s="21" t="s">
        <v>1856</v>
      </c>
      <c r="C1604" s="21" t="s">
        <v>2795</v>
      </c>
      <c r="D1604" s="21" t="s">
        <v>1856</v>
      </c>
      <c r="E1604" s="1" t="s">
        <v>842</v>
      </c>
      <c r="F1604" s="21" t="s">
        <v>2225</v>
      </c>
      <c r="G1604" s="14">
        <v>0</v>
      </c>
      <c r="H1604" s="14">
        <v>0</v>
      </c>
      <c r="I1604" s="22">
        <v>120</v>
      </c>
      <c r="J1604" s="23">
        <f>VLOOKUP(I1604,episodes!$A$1:$B$76,2,FALSE)</f>
        <v>21</v>
      </c>
      <c r="K1604" s="16" t="str">
        <f>VLOOKUP(I1604,episodes!$A$1:$E$81,5,FALSE)</f>
        <v>Court Martial</v>
      </c>
      <c r="L1604" s="16">
        <f>VLOOKUP(I1604,episodes!$A$1:$D$81,3,FALSE)</f>
        <v>1</v>
      </c>
      <c r="M1604" s="16">
        <f>VLOOKUP(I1604,episodes!$A$1:$D$81,4,FALSE)</f>
        <v>20</v>
      </c>
      <c r="N1604" s="14"/>
      <c r="O1604" s="14">
        <v>0</v>
      </c>
      <c r="P1604" s="24">
        <f>LEN(E1604)+LEN(K1604)</f>
        <v>59</v>
      </c>
      <c r="Q1604" s="24">
        <f>COUNTIFS(B:B,B1603)</f>
        <v>42</v>
      </c>
      <c r="R1604" s="24">
        <f>COUNTIFS(D:D,#REF!)</f>
        <v>0</v>
      </c>
      <c r="S1604" s="1"/>
    </row>
    <row r="1605" spans="1:19" s="21" customFormat="1" x14ac:dyDescent="0.3">
      <c r="A1605" s="14">
        <v>2827</v>
      </c>
      <c r="B1605" s="21" t="s">
        <v>1856</v>
      </c>
      <c r="C1605" s="21" t="s">
        <v>2795</v>
      </c>
      <c r="D1605" s="21" t="s">
        <v>1856</v>
      </c>
      <c r="E1605" s="1" t="s">
        <v>916</v>
      </c>
      <c r="F1605" s="21" t="s">
        <v>2225</v>
      </c>
      <c r="G1605" s="14">
        <v>0</v>
      </c>
      <c r="H1605" s="14">
        <v>0</v>
      </c>
      <c r="I1605" s="25">
        <v>205</v>
      </c>
      <c r="J1605" s="23">
        <f>VLOOKUP(I1605,episodes!$A$1:$B$81,2,FALSE)</f>
        <v>35</v>
      </c>
      <c r="K1605" s="16" t="str">
        <f>VLOOKUP(I1605,episodes!$A$1:$E$81,5,FALSE)</f>
        <v>The Apple</v>
      </c>
      <c r="L1605" s="16">
        <f>VLOOKUP(I1605,episodes!$A$1:$D$81,3,FALSE)</f>
        <v>2</v>
      </c>
      <c r="M1605" s="16">
        <f>VLOOKUP(I1605,episodes!$A$1:$D$81,4,FALSE)</f>
        <v>5</v>
      </c>
      <c r="N1605" s="14"/>
      <c r="O1605" s="14">
        <v>0</v>
      </c>
      <c r="P1605" s="24">
        <f>LEN(E1605)+LEN(K1605)</f>
        <v>113</v>
      </c>
      <c r="Q1605" s="24">
        <f>COUNTIFS(B:B,B1604)</f>
        <v>42</v>
      </c>
      <c r="R1605" s="24">
        <f>COUNTIFS(D:D,#REF!)</f>
        <v>0</v>
      </c>
      <c r="S1605" s="1"/>
    </row>
    <row r="1606" spans="1:19" s="21" customFormat="1" x14ac:dyDescent="0.3">
      <c r="A1606" s="14">
        <v>2747</v>
      </c>
      <c r="B1606" s="21" t="s">
        <v>1856</v>
      </c>
      <c r="C1606" s="21" t="s">
        <v>2795</v>
      </c>
      <c r="D1606" s="21" t="s">
        <v>1856</v>
      </c>
      <c r="E1606" s="1" t="s">
        <v>528</v>
      </c>
      <c r="F1606" s="21" t="s">
        <v>2225</v>
      </c>
      <c r="G1606" s="14">
        <v>0</v>
      </c>
      <c r="H1606" s="14">
        <v>0</v>
      </c>
      <c r="I1606" s="22">
        <v>110</v>
      </c>
      <c r="J1606" s="23">
        <f>VLOOKUP(I1606,episodes!$A$1:$B$76,2,FALSE)</f>
        <v>11</v>
      </c>
      <c r="K1606" s="16" t="str">
        <f>VLOOKUP(I1606,episodes!$A$1:$E$81,5,FALSE)</f>
        <v>The Corbomite Maneuver</v>
      </c>
      <c r="L1606" s="16">
        <f>VLOOKUP(I1606,episodes!$A$1:$D$81,3,FALSE)</f>
        <v>1</v>
      </c>
      <c r="M1606" s="16">
        <f>VLOOKUP(I1606,episodes!$A$1:$D$81,4,FALSE)</f>
        <v>10</v>
      </c>
      <c r="N1606" s="14"/>
      <c r="O1606" s="14">
        <v>0</v>
      </c>
      <c r="P1606" s="24">
        <f>LEN(E1606)+LEN(K1606)</f>
        <v>74</v>
      </c>
      <c r="Q1606" s="24">
        <f>COUNTIFS(B:B,B1605)</f>
        <v>42</v>
      </c>
      <c r="R1606" s="24">
        <f>COUNTIFS(D:D,#REF!)</f>
        <v>0</v>
      </c>
      <c r="S1606" s="1"/>
    </row>
    <row r="1607" spans="1:19" s="21" customFormat="1" x14ac:dyDescent="0.3">
      <c r="A1607" s="14">
        <v>2779</v>
      </c>
      <c r="B1607" s="21" t="s">
        <v>1856</v>
      </c>
      <c r="C1607" s="21" t="s">
        <v>2795</v>
      </c>
      <c r="D1607" s="21" t="s">
        <v>1856</v>
      </c>
      <c r="E1607" s="1" t="s">
        <v>624</v>
      </c>
      <c r="F1607" s="21" t="s">
        <v>2225</v>
      </c>
      <c r="G1607" s="14">
        <v>0</v>
      </c>
      <c r="H1607" s="14">
        <v>0</v>
      </c>
      <c r="I1607" s="22">
        <v>119</v>
      </c>
      <c r="J1607" s="23">
        <f>VLOOKUP(I1607,episodes!$A$1:$B$76,2,FALSE)</f>
        <v>20</v>
      </c>
      <c r="K1607" s="16" t="str">
        <f>VLOOKUP(I1607,episodes!$A$1:$E$81,5,FALSE)</f>
        <v>Tomorrow Is Yesterday</v>
      </c>
      <c r="L1607" s="16">
        <f>VLOOKUP(I1607,episodes!$A$1:$D$81,3,FALSE)</f>
        <v>1</v>
      </c>
      <c r="M1607" s="16">
        <f>VLOOKUP(I1607,episodes!$A$1:$D$81,4,FALSE)</f>
        <v>19</v>
      </c>
      <c r="N1607" s="14"/>
      <c r="O1607" s="14">
        <v>0</v>
      </c>
      <c r="P1607" s="24">
        <f>LEN(E1607)+LEN(K1607)</f>
        <v>106</v>
      </c>
      <c r="Q1607" s="24">
        <f>COUNTIFS(B:B,B1606)</f>
        <v>42</v>
      </c>
      <c r="R1607" s="24">
        <f>COUNTIFS(D:D,#REF!)</f>
        <v>0</v>
      </c>
      <c r="S1607" s="1"/>
    </row>
    <row r="1608" spans="1:19" s="21" customFormat="1" x14ac:dyDescent="0.3">
      <c r="A1608" s="14">
        <v>2780</v>
      </c>
      <c r="B1608" s="21" t="s">
        <v>1856</v>
      </c>
      <c r="C1608" s="21" t="s">
        <v>2795</v>
      </c>
      <c r="D1608" s="21" t="s">
        <v>1856</v>
      </c>
      <c r="E1608" s="1" t="s">
        <v>530</v>
      </c>
      <c r="F1608" s="21" t="s">
        <v>2225</v>
      </c>
      <c r="G1608" s="14">
        <v>0</v>
      </c>
      <c r="H1608" s="14">
        <v>0</v>
      </c>
      <c r="I1608" s="22">
        <v>119</v>
      </c>
      <c r="J1608" s="23">
        <f>VLOOKUP(I1608,episodes!$A$1:$B$76,2,FALSE)</f>
        <v>20</v>
      </c>
      <c r="K1608" s="16" t="str">
        <f>VLOOKUP(I1608,episodes!$A$1:$E$81,5,FALSE)</f>
        <v>Tomorrow Is Yesterday</v>
      </c>
      <c r="L1608" s="16">
        <f>VLOOKUP(I1608,episodes!$A$1:$D$81,3,FALSE)</f>
        <v>1</v>
      </c>
      <c r="M1608" s="16">
        <f>VLOOKUP(I1608,episodes!$A$1:$D$81,4,FALSE)</f>
        <v>19</v>
      </c>
      <c r="N1608" s="14"/>
      <c r="O1608" s="14">
        <v>0</v>
      </c>
      <c r="P1608" s="24">
        <f>LEN(E1608)+LEN(K1608)</f>
        <v>96</v>
      </c>
      <c r="Q1608" s="24">
        <f>COUNTIFS(B:B,B1607)</f>
        <v>42</v>
      </c>
      <c r="R1608" s="24">
        <f>COUNTIFS(D:D,#REF!)</f>
        <v>0</v>
      </c>
      <c r="S1608" s="1"/>
    </row>
    <row r="1609" spans="1:19" s="21" customFormat="1" x14ac:dyDescent="0.3">
      <c r="A1609" s="14">
        <v>2767</v>
      </c>
      <c r="B1609" s="21" t="s">
        <v>1856</v>
      </c>
      <c r="C1609" s="21" t="s">
        <v>2795</v>
      </c>
      <c r="D1609" s="21" t="s">
        <v>1856</v>
      </c>
      <c r="E1609" s="1" t="s">
        <v>2919</v>
      </c>
      <c r="F1609" s="21" t="s">
        <v>2225</v>
      </c>
      <c r="G1609" s="14">
        <v>0</v>
      </c>
      <c r="H1609" s="14">
        <v>0</v>
      </c>
      <c r="I1609" s="22">
        <v>116</v>
      </c>
      <c r="J1609" s="23">
        <f>VLOOKUP(I1609,episodes!$A$1:$B$76,2,FALSE)</f>
        <v>17</v>
      </c>
      <c r="K1609" s="16" t="str">
        <f>VLOOKUP(I1609,episodes!$A$1:$E$81,5,FALSE)</f>
        <v>The Galileo Seven</v>
      </c>
      <c r="L1609" s="16">
        <f>VLOOKUP(I1609,episodes!$A$1:$D$81,3,FALSE)</f>
        <v>1</v>
      </c>
      <c r="M1609" s="16">
        <f>VLOOKUP(I1609,episodes!$A$1:$D$81,4,FALSE)</f>
        <v>16</v>
      </c>
      <c r="N1609" s="14"/>
      <c r="O1609" s="14">
        <v>0</v>
      </c>
      <c r="P1609" s="24">
        <f>LEN(E1609)+LEN(K1609)</f>
        <v>61</v>
      </c>
      <c r="Q1609" s="24">
        <f>COUNTIFS(B:B,B1608)</f>
        <v>42</v>
      </c>
      <c r="R1609" s="24">
        <f>COUNTIFS(D:D,#REF!)</f>
        <v>0</v>
      </c>
      <c r="S1609" s="1"/>
    </row>
    <row r="1610" spans="1:19" s="21" customFormat="1" x14ac:dyDescent="0.3">
      <c r="A1610" s="14">
        <v>2768</v>
      </c>
      <c r="B1610" s="21" t="s">
        <v>1856</v>
      </c>
      <c r="C1610" s="21" t="s">
        <v>2795</v>
      </c>
      <c r="D1610" s="21" t="s">
        <v>1856</v>
      </c>
      <c r="E1610" s="1" t="s">
        <v>2920</v>
      </c>
      <c r="F1610" s="21" t="s">
        <v>2225</v>
      </c>
      <c r="G1610" s="14">
        <v>0</v>
      </c>
      <c r="H1610" s="14">
        <v>0</v>
      </c>
      <c r="I1610" s="22">
        <v>116</v>
      </c>
      <c r="J1610" s="23">
        <f>VLOOKUP(I1610,episodes!$A$1:$B$76,2,FALSE)</f>
        <v>17</v>
      </c>
      <c r="K1610" s="16" t="str">
        <f>VLOOKUP(I1610,episodes!$A$1:$E$81,5,FALSE)</f>
        <v>The Galileo Seven</v>
      </c>
      <c r="L1610" s="16">
        <f>VLOOKUP(I1610,episodes!$A$1:$D$81,3,FALSE)</f>
        <v>1</v>
      </c>
      <c r="M1610" s="16">
        <f>VLOOKUP(I1610,episodes!$A$1:$D$81,4,FALSE)</f>
        <v>16</v>
      </c>
      <c r="N1610" s="14"/>
      <c r="O1610" s="14">
        <v>0</v>
      </c>
      <c r="P1610" s="24">
        <f>LEN(E1610)+LEN(K1610)</f>
        <v>61</v>
      </c>
      <c r="Q1610" s="24">
        <f>COUNTIFS(B:B,B1609)</f>
        <v>42</v>
      </c>
      <c r="R1610" s="24">
        <f>COUNTIFS(D:D,#REF!)</f>
        <v>0</v>
      </c>
      <c r="S1610" s="1"/>
    </row>
    <row r="1611" spans="1:19" s="21" customFormat="1" x14ac:dyDescent="0.3">
      <c r="A1611" s="14">
        <v>2823</v>
      </c>
      <c r="B1611" s="21" t="s">
        <v>1856</v>
      </c>
      <c r="C1611" s="21" t="s">
        <v>2795</v>
      </c>
      <c r="D1611" s="21" t="s">
        <v>1856</v>
      </c>
      <c r="E1611" s="1" t="s">
        <v>2156</v>
      </c>
      <c r="F1611" s="21" t="s">
        <v>2225</v>
      </c>
      <c r="G1611" s="14">
        <v>0</v>
      </c>
      <c r="H1611" s="14">
        <v>0</v>
      </c>
      <c r="I1611" s="22">
        <v>202</v>
      </c>
      <c r="J1611" s="23">
        <f>VLOOKUP(I1611,episodes!$A$1:$B$76,2,FALSE)</f>
        <v>32</v>
      </c>
      <c r="K1611" s="16" t="str">
        <f>VLOOKUP(I1611,episodes!$A$1:$E$81,5,FALSE)</f>
        <v>Who Mourns for Adonais?</v>
      </c>
      <c r="L1611" s="16">
        <f>VLOOKUP(I1611,episodes!$A$1:$D$81,3,FALSE)</f>
        <v>2</v>
      </c>
      <c r="M1611" s="16">
        <f>VLOOKUP(I1611,episodes!$A$1:$D$81,4,FALSE)</f>
        <v>2</v>
      </c>
      <c r="N1611" s="14"/>
      <c r="O1611" s="14">
        <v>0</v>
      </c>
      <c r="P1611" s="24">
        <f>LEN(E1611)+LEN(K1611)</f>
        <v>81</v>
      </c>
      <c r="Q1611" s="24">
        <f>COUNTIFS(B:B,B1610)</f>
        <v>42</v>
      </c>
      <c r="R1611" s="24">
        <f>COUNTIFS(D:D,#REF!)</f>
        <v>0</v>
      </c>
    </row>
    <row r="1612" spans="1:19" s="21" customFormat="1" x14ac:dyDescent="0.3">
      <c r="A1612" s="14">
        <v>412</v>
      </c>
      <c r="B1612" s="21" t="s">
        <v>1856</v>
      </c>
      <c r="C1612" s="21" t="s">
        <v>2795</v>
      </c>
      <c r="D1612" s="21" t="s">
        <v>1856</v>
      </c>
      <c r="E1612" s="1" t="s">
        <v>2915</v>
      </c>
      <c r="F1612" s="21" t="s">
        <v>2227</v>
      </c>
      <c r="G1612" s="14">
        <v>0</v>
      </c>
      <c r="H1612" s="14">
        <v>0</v>
      </c>
      <c r="I1612" s="22">
        <v>127</v>
      </c>
      <c r="J1612" s="23">
        <f>VLOOKUP(I1612,episodes!$A$1:$B$76,2,FALSE)</f>
        <v>28</v>
      </c>
      <c r="K1612" s="16" t="str">
        <f>VLOOKUP(I1612,episodes!$A$1:$E$81,5,FALSE)</f>
        <v>The Alternative Factor</v>
      </c>
      <c r="L1612" s="16">
        <f>VLOOKUP(I1612,episodes!$A$1:$D$81,3,FALSE)</f>
        <v>1</v>
      </c>
      <c r="M1612" s="16">
        <f>VLOOKUP(I1612,episodes!$A$1:$D$81,4,FALSE)</f>
        <v>27</v>
      </c>
      <c r="N1612" s="14"/>
      <c r="O1612" s="14">
        <v>0</v>
      </c>
      <c r="P1612" s="24">
        <f>LEN(E1612)+LEN(K1612)</f>
        <v>78</v>
      </c>
      <c r="Q1612" s="24">
        <f>COUNTIFS(B:B,B1611)</f>
        <v>42</v>
      </c>
      <c r="R1612" s="24">
        <f>COUNTIFS(D:D,#REF!)</f>
        <v>0</v>
      </c>
    </row>
    <row r="1613" spans="1:19" s="21" customFormat="1" x14ac:dyDescent="0.3">
      <c r="A1613" s="14">
        <v>413</v>
      </c>
      <c r="B1613" s="21" t="s">
        <v>1856</v>
      </c>
      <c r="C1613" s="21" t="s">
        <v>2795</v>
      </c>
      <c r="D1613" s="21" t="s">
        <v>1856</v>
      </c>
      <c r="E1613" s="1" t="s">
        <v>2916</v>
      </c>
      <c r="F1613" s="21" t="s">
        <v>2227</v>
      </c>
      <c r="G1613" s="14">
        <v>0</v>
      </c>
      <c r="H1613" s="14">
        <v>0</v>
      </c>
      <c r="I1613" s="22">
        <v>127</v>
      </c>
      <c r="J1613" s="23">
        <f>VLOOKUP(I1613,episodes!$A$1:$B$76,2,FALSE)</f>
        <v>28</v>
      </c>
      <c r="K1613" s="16" t="str">
        <f>VLOOKUP(I1613,episodes!$A$1:$E$81,5,FALSE)</f>
        <v>The Alternative Factor</v>
      </c>
      <c r="L1613" s="16">
        <f>VLOOKUP(I1613,episodes!$A$1:$D$81,3,FALSE)</f>
        <v>1</v>
      </c>
      <c r="M1613" s="16">
        <f>VLOOKUP(I1613,episodes!$A$1:$D$81,4,FALSE)</f>
        <v>27</v>
      </c>
      <c r="N1613" s="14"/>
      <c r="O1613" s="14">
        <v>0</v>
      </c>
      <c r="P1613" s="24">
        <f>LEN(E1613)+LEN(K1613)</f>
        <v>78</v>
      </c>
      <c r="Q1613" s="24">
        <f>COUNTIFS(B:B,B1612)</f>
        <v>42</v>
      </c>
      <c r="R1613" s="24">
        <f>COUNTIFS(D:D,#REF!)</f>
        <v>0</v>
      </c>
    </row>
    <row r="1614" spans="1:19" s="21" customFormat="1" x14ac:dyDescent="0.3">
      <c r="A1614" s="14">
        <v>414</v>
      </c>
      <c r="B1614" s="21" t="s">
        <v>1856</v>
      </c>
      <c r="C1614" s="21" t="s">
        <v>2795</v>
      </c>
      <c r="D1614" s="21" t="s">
        <v>1856</v>
      </c>
      <c r="E1614" s="1" t="s">
        <v>2917</v>
      </c>
      <c r="F1614" s="21" t="s">
        <v>2227</v>
      </c>
      <c r="G1614" s="14">
        <v>0</v>
      </c>
      <c r="H1614" s="14">
        <v>0</v>
      </c>
      <c r="I1614" s="22">
        <v>127</v>
      </c>
      <c r="J1614" s="23">
        <f>VLOOKUP(I1614,episodes!$A$1:$B$76,2,FALSE)</f>
        <v>28</v>
      </c>
      <c r="K1614" s="16" t="str">
        <f>VLOOKUP(I1614,episodes!$A$1:$E$81,5,FALSE)</f>
        <v>The Alternative Factor</v>
      </c>
      <c r="L1614" s="16">
        <f>VLOOKUP(I1614,episodes!$A$1:$D$81,3,FALSE)</f>
        <v>1</v>
      </c>
      <c r="M1614" s="16">
        <f>VLOOKUP(I1614,episodes!$A$1:$D$81,4,FALSE)</f>
        <v>27</v>
      </c>
      <c r="N1614" s="14"/>
      <c r="O1614" s="14">
        <v>0</v>
      </c>
      <c r="P1614" s="24">
        <f>LEN(E1614)+LEN(K1614)</f>
        <v>74</v>
      </c>
      <c r="Q1614" s="24">
        <f>COUNTIFS(B:B,B1613)</f>
        <v>42</v>
      </c>
      <c r="R1614" s="24">
        <f>COUNTIFS(D:D,#REF!)</f>
        <v>0</v>
      </c>
    </row>
    <row r="1615" spans="1:19" s="21" customFormat="1" x14ac:dyDescent="0.3">
      <c r="A1615" s="14">
        <v>415</v>
      </c>
      <c r="B1615" s="21" t="s">
        <v>1856</v>
      </c>
      <c r="C1615" s="21" t="s">
        <v>2795</v>
      </c>
      <c r="D1615" s="21" t="s">
        <v>1856</v>
      </c>
      <c r="E1615" s="1" t="s">
        <v>2918</v>
      </c>
      <c r="F1615" s="21" t="s">
        <v>2227</v>
      </c>
      <c r="G1615" s="14">
        <v>0</v>
      </c>
      <c r="H1615" s="14">
        <v>0</v>
      </c>
      <c r="I1615" s="22">
        <v>127</v>
      </c>
      <c r="J1615" s="23">
        <f>VLOOKUP(I1615,episodes!$A$1:$B$76,2,FALSE)</f>
        <v>28</v>
      </c>
      <c r="K1615" s="16" t="str">
        <f>VLOOKUP(I1615,episodes!$A$1:$E$81,5,FALSE)</f>
        <v>The Alternative Factor</v>
      </c>
      <c r="L1615" s="16">
        <f>VLOOKUP(I1615,episodes!$A$1:$D$81,3,FALSE)</f>
        <v>1</v>
      </c>
      <c r="M1615" s="16">
        <f>VLOOKUP(I1615,episodes!$A$1:$D$81,4,FALSE)</f>
        <v>27</v>
      </c>
      <c r="N1615" s="14"/>
      <c r="O1615" s="14">
        <v>0</v>
      </c>
      <c r="P1615" s="24">
        <f>LEN(E1615)+LEN(K1615)</f>
        <v>74</v>
      </c>
      <c r="Q1615" s="24">
        <f>COUNTIFS(B:B,B1614)</f>
        <v>42</v>
      </c>
      <c r="R1615" s="24">
        <f>COUNTIFS(D:D,#REF!)</f>
        <v>0</v>
      </c>
    </row>
    <row r="1616" spans="1:19" s="21" customFormat="1" x14ac:dyDescent="0.3">
      <c r="A1616" s="14">
        <v>22</v>
      </c>
      <c r="B1616" s="21" t="s">
        <v>1856</v>
      </c>
      <c r="C1616" s="21" t="s">
        <v>2795</v>
      </c>
      <c r="D1616" s="21" t="s">
        <v>1856</v>
      </c>
      <c r="E1616" s="1" t="s">
        <v>529</v>
      </c>
      <c r="F1616" s="21" t="s">
        <v>2</v>
      </c>
      <c r="G1616" s="14">
        <v>0</v>
      </c>
      <c r="H1616" s="14">
        <v>0</v>
      </c>
      <c r="I1616" s="22">
        <v>118</v>
      </c>
      <c r="J1616" s="23">
        <f>VLOOKUP(I1616,episodes!$A$1:$B$76,2,FALSE)</f>
        <v>19</v>
      </c>
      <c r="K1616" s="16" t="str">
        <f>VLOOKUP(I1616,episodes!$A$1:$E$81,5,FALSE)</f>
        <v>Arena</v>
      </c>
      <c r="L1616" s="16">
        <f>VLOOKUP(I1616,episodes!$A$1:$D$81,3,FALSE)</f>
        <v>1</v>
      </c>
      <c r="M1616" s="16">
        <f>VLOOKUP(I1616,episodes!$A$1:$D$81,4,FALSE)</f>
        <v>18</v>
      </c>
      <c r="N1616" s="14"/>
      <c r="O1616" s="14">
        <v>0</v>
      </c>
      <c r="P1616" s="24">
        <f>LEN(E1616)+LEN(K1616)</f>
        <v>78</v>
      </c>
      <c r="Q1616" s="24">
        <f>COUNTIFS(B:B,B1615)</f>
        <v>42</v>
      </c>
      <c r="R1616" s="24">
        <f>COUNTIFS(D:D,#REF!)</f>
        <v>0</v>
      </c>
    </row>
    <row r="1617" spans="1:18" s="21" customFormat="1" x14ac:dyDescent="0.3">
      <c r="A1617" s="14">
        <v>1925</v>
      </c>
      <c r="B1617" s="21" t="s">
        <v>1856</v>
      </c>
      <c r="C1617" s="21" t="s">
        <v>2795</v>
      </c>
      <c r="D1617" s="21" t="s">
        <v>1856</v>
      </c>
      <c r="E1617" s="1" t="s">
        <v>2912</v>
      </c>
      <c r="F1617" s="21" t="s">
        <v>2228</v>
      </c>
      <c r="G1617" s="14">
        <v>0</v>
      </c>
      <c r="H1617" s="14">
        <v>0</v>
      </c>
      <c r="I1617" s="22">
        <v>203</v>
      </c>
      <c r="J1617" s="23">
        <f>VLOOKUP(I1617,episodes!$A$1:$B$76,2,FALSE)</f>
        <v>33</v>
      </c>
      <c r="K1617" s="16" t="str">
        <f>VLOOKUP(I1617,episodes!$A$1:$E$81,5,FALSE)</f>
        <v>The Changeling</v>
      </c>
      <c r="L1617" s="16">
        <f>VLOOKUP(I1617,episodes!$A$1:$D$81,3,FALSE)</f>
        <v>2</v>
      </c>
      <c r="M1617" s="16">
        <f>VLOOKUP(I1617,episodes!$A$1:$D$81,4,FALSE)</f>
        <v>3</v>
      </c>
      <c r="N1617" s="14"/>
      <c r="O1617" s="14">
        <v>0</v>
      </c>
      <c r="P1617" s="24">
        <f>LEN(E1617)+LEN(K1617)</f>
        <v>71</v>
      </c>
      <c r="Q1617" s="24">
        <f>COUNTIFS(B:B,B1616)</f>
        <v>42</v>
      </c>
      <c r="R1617" s="24">
        <f>COUNTIFS(D:D,#REF!)</f>
        <v>0</v>
      </c>
    </row>
    <row r="1618" spans="1:18" s="21" customFormat="1" x14ac:dyDescent="0.3">
      <c r="A1618" s="14">
        <v>1926</v>
      </c>
      <c r="B1618" s="21" t="s">
        <v>1856</v>
      </c>
      <c r="C1618" s="21" t="s">
        <v>2795</v>
      </c>
      <c r="D1618" s="21" t="s">
        <v>1856</v>
      </c>
      <c r="E1618" s="1" t="s">
        <v>2913</v>
      </c>
      <c r="F1618" s="21" t="s">
        <v>2228</v>
      </c>
      <c r="G1618" s="14">
        <v>0</v>
      </c>
      <c r="H1618" s="14">
        <v>0</v>
      </c>
      <c r="I1618" s="22">
        <v>203</v>
      </c>
      <c r="J1618" s="23">
        <f>VLOOKUP(I1618,episodes!$A$1:$B$76,2,FALSE)</f>
        <v>33</v>
      </c>
      <c r="K1618" s="16" t="str">
        <f>VLOOKUP(I1618,episodes!$A$1:$E$81,5,FALSE)</f>
        <v>The Changeling</v>
      </c>
      <c r="L1618" s="16">
        <f>VLOOKUP(I1618,episodes!$A$1:$D$81,3,FALSE)</f>
        <v>2</v>
      </c>
      <c r="M1618" s="16">
        <f>VLOOKUP(I1618,episodes!$A$1:$D$81,4,FALSE)</f>
        <v>3</v>
      </c>
      <c r="N1618" s="14"/>
      <c r="O1618" s="14">
        <v>0</v>
      </c>
      <c r="P1618" s="24">
        <f>LEN(E1618)+LEN(K1618)</f>
        <v>71</v>
      </c>
      <c r="Q1618" s="24">
        <f>COUNTIFS(B:B,B1617)</f>
        <v>42</v>
      </c>
      <c r="R1618" s="24">
        <f>COUNTIFS(D:D,#REF!)</f>
        <v>0</v>
      </c>
    </row>
    <row r="1619" spans="1:18" s="21" customFormat="1" x14ac:dyDescent="0.3">
      <c r="A1619" s="14">
        <v>1927</v>
      </c>
      <c r="B1619" s="21" t="s">
        <v>1856</v>
      </c>
      <c r="C1619" s="21" t="s">
        <v>2795</v>
      </c>
      <c r="D1619" s="21" t="s">
        <v>1856</v>
      </c>
      <c r="E1619" s="1" t="s">
        <v>2914</v>
      </c>
      <c r="F1619" s="21" t="s">
        <v>2228</v>
      </c>
      <c r="G1619" s="14">
        <v>0</v>
      </c>
      <c r="H1619" s="14">
        <v>0</v>
      </c>
      <c r="I1619" s="22">
        <v>203</v>
      </c>
      <c r="J1619" s="23">
        <f>VLOOKUP(I1619,episodes!$A$1:$B$76,2,FALSE)</f>
        <v>33</v>
      </c>
      <c r="K1619" s="16" t="str">
        <f>VLOOKUP(I1619,episodes!$A$1:$E$81,5,FALSE)</f>
        <v>The Changeling</v>
      </c>
      <c r="L1619" s="16">
        <f>VLOOKUP(I1619,episodes!$A$1:$D$81,3,FALSE)</f>
        <v>2</v>
      </c>
      <c r="M1619" s="16">
        <f>VLOOKUP(I1619,episodes!$A$1:$D$81,4,FALSE)</f>
        <v>3</v>
      </c>
      <c r="N1619" s="14"/>
      <c r="O1619" s="14">
        <v>0</v>
      </c>
      <c r="P1619" s="24">
        <f>LEN(E1619)+LEN(K1619)</f>
        <v>71</v>
      </c>
      <c r="Q1619" s="24">
        <f>COUNTIFS(B:B,B1618)</f>
        <v>42</v>
      </c>
      <c r="R1619" s="24">
        <f>COUNTIFS(D:D,#REF!)</f>
        <v>0</v>
      </c>
    </row>
    <row r="1620" spans="1:18" s="21" customFormat="1" x14ac:dyDescent="0.3">
      <c r="A1620" s="14">
        <v>2758</v>
      </c>
      <c r="B1620" s="21" t="s">
        <v>1856</v>
      </c>
      <c r="C1620" s="21" t="s">
        <v>2795</v>
      </c>
      <c r="D1620" s="21" t="s">
        <v>1856</v>
      </c>
      <c r="E1620" s="1" t="s">
        <v>2921</v>
      </c>
      <c r="F1620" s="21" t="s">
        <v>2225</v>
      </c>
      <c r="G1620" s="14">
        <v>0</v>
      </c>
      <c r="H1620" s="14">
        <v>0</v>
      </c>
      <c r="I1620" s="22">
        <v>114</v>
      </c>
      <c r="J1620" s="23">
        <f>VLOOKUP(I1620,episodes!$A$1:$B$76,2,FALSE)</f>
        <v>15</v>
      </c>
      <c r="K1620" s="16" t="str">
        <f>VLOOKUP(I1620,episodes!$A$1:$E$81,5,FALSE)</f>
        <v>Balance of Terror</v>
      </c>
      <c r="L1620" s="16">
        <f>VLOOKUP(I1620,episodes!$A$1:$D$81,3,FALSE)</f>
        <v>1</v>
      </c>
      <c r="M1620" s="16">
        <f>VLOOKUP(I1620,episodes!$A$1:$D$81,4,FALSE)</f>
        <v>14</v>
      </c>
      <c r="N1620" s="14"/>
      <c r="O1620" s="14">
        <v>0</v>
      </c>
      <c r="P1620" s="24">
        <f>LEN(E1620)+LEN(K1620)</f>
        <v>57</v>
      </c>
      <c r="Q1620" s="24">
        <f>COUNTIFS(B:B,B1619)</f>
        <v>42</v>
      </c>
      <c r="R1620" s="24">
        <f>COUNTIFS(D:D,#REF!)</f>
        <v>0</v>
      </c>
    </row>
    <row r="1621" spans="1:18" s="21" customFormat="1" x14ac:dyDescent="0.3">
      <c r="A1621" s="14">
        <v>2759</v>
      </c>
      <c r="B1621" s="21" t="s">
        <v>1856</v>
      </c>
      <c r="C1621" s="21" t="s">
        <v>2795</v>
      </c>
      <c r="D1621" s="21" t="s">
        <v>1856</v>
      </c>
      <c r="E1621" s="1" t="s">
        <v>2922</v>
      </c>
      <c r="F1621" s="21" t="s">
        <v>2225</v>
      </c>
      <c r="G1621" s="14">
        <v>0</v>
      </c>
      <c r="H1621" s="14">
        <v>0</v>
      </c>
      <c r="I1621" s="22">
        <v>114</v>
      </c>
      <c r="J1621" s="23">
        <f>VLOOKUP(I1621,episodes!$A$1:$B$76,2,FALSE)</f>
        <v>15</v>
      </c>
      <c r="K1621" s="16" t="str">
        <f>VLOOKUP(I1621,episodes!$A$1:$E$81,5,FALSE)</f>
        <v>Balance of Terror</v>
      </c>
      <c r="L1621" s="16">
        <f>VLOOKUP(I1621,episodes!$A$1:$D$81,3,FALSE)</f>
        <v>1</v>
      </c>
      <c r="M1621" s="16">
        <f>VLOOKUP(I1621,episodes!$A$1:$D$81,4,FALSE)</f>
        <v>14</v>
      </c>
      <c r="N1621" s="14"/>
      <c r="O1621" s="14">
        <v>0</v>
      </c>
      <c r="P1621" s="24">
        <f>LEN(E1621)+LEN(K1621)</f>
        <v>57</v>
      </c>
      <c r="Q1621" s="24">
        <f>COUNTIFS(B:B,B1620)</f>
        <v>42</v>
      </c>
      <c r="R1621" s="24">
        <f>COUNTIFS(D:D,#REF!)</f>
        <v>0</v>
      </c>
    </row>
    <row r="1622" spans="1:18" s="21" customFormat="1" x14ac:dyDescent="0.3">
      <c r="A1622" s="14">
        <v>2760</v>
      </c>
      <c r="B1622" s="21" t="s">
        <v>1856</v>
      </c>
      <c r="C1622" s="21" t="s">
        <v>2795</v>
      </c>
      <c r="D1622" s="21" t="s">
        <v>1856</v>
      </c>
      <c r="E1622" s="1" t="s">
        <v>2923</v>
      </c>
      <c r="F1622" s="21" t="s">
        <v>2225</v>
      </c>
      <c r="G1622" s="14">
        <v>0</v>
      </c>
      <c r="H1622" s="14">
        <v>0</v>
      </c>
      <c r="I1622" s="22">
        <v>114</v>
      </c>
      <c r="J1622" s="23">
        <f>VLOOKUP(I1622,episodes!$A$1:$B$76,2,FALSE)</f>
        <v>15</v>
      </c>
      <c r="K1622" s="16" t="str">
        <f>VLOOKUP(I1622,episodes!$A$1:$E$81,5,FALSE)</f>
        <v>Balance of Terror</v>
      </c>
      <c r="L1622" s="16">
        <f>VLOOKUP(I1622,episodes!$A$1:$D$81,3,FALSE)</f>
        <v>1</v>
      </c>
      <c r="M1622" s="16">
        <f>VLOOKUP(I1622,episodes!$A$1:$D$81,4,FALSE)</f>
        <v>14</v>
      </c>
      <c r="N1622" s="14"/>
      <c r="O1622" s="14">
        <v>0</v>
      </c>
      <c r="P1622" s="24">
        <f>LEN(E1622)+LEN(K1622)</f>
        <v>57</v>
      </c>
      <c r="Q1622" s="24">
        <f>COUNTIFS(B:B,B1621)</f>
        <v>42</v>
      </c>
      <c r="R1622" s="24">
        <f>COUNTIFS(D:D,#REF!)</f>
        <v>0</v>
      </c>
    </row>
    <row r="1623" spans="1:18" s="21" customFormat="1" x14ac:dyDescent="0.3">
      <c r="A1623" s="14">
        <v>2875</v>
      </c>
      <c r="B1623" s="21" t="s">
        <v>1856</v>
      </c>
      <c r="C1623" s="21" t="s">
        <v>2795</v>
      </c>
      <c r="D1623" s="21" t="s">
        <v>1856</v>
      </c>
      <c r="E1623" s="1" t="s">
        <v>1650</v>
      </c>
      <c r="F1623" s="21" t="s">
        <v>2225</v>
      </c>
      <c r="G1623" s="14">
        <v>0</v>
      </c>
      <c r="H1623" s="14">
        <v>0</v>
      </c>
      <c r="I1623" s="25">
        <v>206</v>
      </c>
      <c r="J1623" s="23">
        <f>VLOOKUP(I1623,episodes!$A$1:$B$81,2,FALSE)</f>
        <v>36</v>
      </c>
      <c r="K1623" s="16" t="str">
        <f>VLOOKUP(I1623,episodes!$A$1:$E$81,5,FALSE)</f>
        <v>The Doomsday Machine</v>
      </c>
      <c r="L1623" s="16">
        <f>VLOOKUP(I1623,episodes!$A$1:$D$81,3,FALSE)</f>
        <v>2</v>
      </c>
      <c r="M1623" s="16">
        <f>VLOOKUP(I1623,episodes!$A$1:$D$81,4,FALSE)</f>
        <v>6</v>
      </c>
      <c r="N1623" s="14"/>
      <c r="O1623" s="14">
        <v>0</v>
      </c>
      <c r="P1623" s="24">
        <f>LEN(E1623)+LEN(K1623)</f>
        <v>71</v>
      </c>
      <c r="Q1623" s="24">
        <f>COUNTIFS(B:B,B1622)</f>
        <v>42</v>
      </c>
      <c r="R1623" s="24">
        <f>COUNTIFS(D:D,#REF!)</f>
        <v>0</v>
      </c>
    </row>
    <row r="1624" spans="1:18" s="21" customFormat="1" x14ac:dyDescent="0.3">
      <c r="A1624" s="14">
        <v>2849</v>
      </c>
      <c r="B1624" s="21" t="s">
        <v>1856</v>
      </c>
      <c r="C1624" s="21" t="s">
        <v>2795</v>
      </c>
      <c r="D1624" s="21" t="s">
        <v>1856</v>
      </c>
      <c r="E1624" s="1" t="s">
        <v>1038</v>
      </c>
      <c r="F1624" s="21" t="s">
        <v>2225</v>
      </c>
      <c r="G1624" s="14">
        <v>0</v>
      </c>
      <c r="H1624" s="14">
        <v>0</v>
      </c>
      <c r="I1624" s="14">
        <v>209</v>
      </c>
      <c r="J1624" s="23">
        <f>VLOOKUP(I1624,episodes!$A$1:$B$81,2,FALSE)</f>
        <v>39</v>
      </c>
      <c r="K1624" s="16" t="str">
        <f>VLOOKUP(I1624,episodes!$A$1:$E$81,5,FALSE)</f>
        <v>Metamorphosis</v>
      </c>
      <c r="L1624" s="16">
        <f>VLOOKUP(I1624,episodes!$A$1:$D$81,3,FALSE)</f>
        <v>2</v>
      </c>
      <c r="M1624" s="16">
        <f>VLOOKUP(I1624,episodes!$A$1:$D$81,4,FALSE)</f>
        <v>9</v>
      </c>
      <c r="N1624" s="14"/>
      <c r="O1624" s="14">
        <v>0</v>
      </c>
      <c r="P1624" s="24">
        <f>LEN(E1624)+LEN(K1624)</f>
        <v>77</v>
      </c>
      <c r="Q1624" s="24">
        <f>COUNTIFS(B:B,B1623)</f>
        <v>42</v>
      </c>
      <c r="R1624" s="24">
        <f>COUNTIFS(D:D,#REF!)</f>
        <v>0</v>
      </c>
    </row>
    <row r="1625" spans="1:18" s="21" customFormat="1" x14ac:dyDescent="0.3">
      <c r="A1625" s="14">
        <v>2882</v>
      </c>
      <c r="B1625" s="21" t="s">
        <v>1856</v>
      </c>
      <c r="C1625" s="21" t="s">
        <v>2795</v>
      </c>
      <c r="D1625" s="21" t="s">
        <v>1856</v>
      </c>
      <c r="E1625" s="1" t="s">
        <v>1818</v>
      </c>
      <c r="F1625" s="21" t="s">
        <v>2225</v>
      </c>
      <c r="G1625" s="14">
        <v>0</v>
      </c>
      <c r="H1625" s="14">
        <v>0</v>
      </c>
      <c r="I1625" s="22">
        <v>116</v>
      </c>
      <c r="J1625" s="23">
        <f>VLOOKUP(I1625,episodes!$A$1:$B$76,2,FALSE)</f>
        <v>17</v>
      </c>
      <c r="K1625" s="16" t="str">
        <f>VLOOKUP(I1625,episodes!$A$1:$E$81,5,FALSE)</f>
        <v>The Galileo Seven</v>
      </c>
      <c r="L1625" s="16">
        <f>VLOOKUP(I1625,episodes!$A$1:$D$81,3,FALSE)</f>
        <v>1</v>
      </c>
      <c r="M1625" s="16">
        <f>VLOOKUP(I1625,episodes!$A$1:$D$81,4,FALSE)</f>
        <v>16</v>
      </c>
      <c r="N1625" s="14"/>
      <c r="O1625" s="14">
        <v>0</v>
      </c>
      <c r="P1625" s="24">
        <f>LEN(E1625)+LEN(K1625)</f>
        <v>106</v>
      </c>
      <c r="Q1625" s="24">
        <f>COUNTIFS(B:B,B1624)</f>
        <v>42</v>
      </c>
      <c r="R1625" s="24">
        <f>COUNTIFS(D:D,#REF!)</f>
        <v>0</v>
      </c>
    </row>
    <row r="1626" spans="1:18" s="21" customFormat="1" x14ac:dyDescent="0.3">
      <c r="A1626" s="14">
        <v>2816</v>
      </c>
      <c r="B1626" s="21" t="s">
        <v>251</v>
      </c>
      <c r="C1626" s="21" t="s">
        <v>2795</v>
      </c>
      <c r="D1626" s="21" t="s">
        <v>2605</v>
      </c>
      <c r="E1626" s="1" t="s">
        <v>1984</v>
      </c>
      <c r="F1626" s="21" t="s">
        <v>2225</v>
      </c>
      <c r="G1626" s="14">
        <v>0</v>
      </c>
      <c r="H1626" s="14">
        <v>0</v>
      </c>
      <c r="I1626" s="22">
        <v>201</v>
      </c>
      <c r="J1626" s="23">
        <f>VLOOKUP(I1626,episodes!$A$1:$B$76,2,FALSE)</f>
        <v>31</v>
      </c>
      <c r="K1626" s="16" t="str">
        <f>VLOOKUP(I1626,episodes!$A$1:$E$81,5,FALSE)</f>
        <v>Amok Time</v>
      </c>
      <c r="L1626" s="16">
        <f>VLOOKUP(I1626,episodes!$A$1:$D$81,3,FALSE)</f>
        <v>2</v>
      </c>
      <c r="M1626" s="16">
        <f>VLOOKUP(I1626,episodes!$A$1:$D$81,4,FALSE)</f>
        <v>1</v>
      </c>
      <c r="N1626" s="14"/>
      <c r="O1626" s="14">
        <v>0</v>
      </c>
      <c r="P1626" s="24">
        <f>LEN(E1626)+LEN(K1626)</f>
        <v>62</v>
      </c>
      <c r="Q1626" s="24">
        <f>COUNTIFS(B:B,#REF!)</f>
        <v>0</v>
      </c>
      <c r="R1626" s="24">
        <f>COUNTIFS(D:D,D1626)</f>
        <v>2</v>
      </c>
    </row>
    <row r="1627" spans="1:18" s="21" customFormat="1" x14ac:dyDescent="0.3">
      <c r="A1627" s="14">
        <v>2817</v>
      </c>
      <c r="B1627" s="21" t="s">
        <v>251</v>
      </c>
      <c r="C1627" s="21" t="s">
        <v>2795</v>
      </c>
      <c r="D1627" s="21" t="s">
        <v>2605</v>
      </c>
      <c r="E1627" s="1" t="s">
        <v>785</v>
      </c>
      <c r="F1627" s="21" t="s">
        <v>2225</v>
      </c>
      <c r="G1627" s="14">
        <v>0</v>
      </c>
      <c r="H1627" s="14">
        <v>0</v>
      </c>
      <c r="I1627" s="22">
        <v>201</v>
      </c>
      <c r="J1627" s="23">
        <f>VLOOKUP(I1627,episodes!$A$1:$B$76,2,FALSE)</f>
        <v>31</v>
      </c>
      <c r="K1627" s="16" t="str">
        <f>VLOOKUP(I1627,episodes!$A$1:$E$81,5,FALSE)</f>
        <v>Amok Time</v>
      </c>
      <c r="L1627" s="16">
        <f>VLOOKUP(I1627,episodes!$A$1:$D$81,3,FALSE)</f>
        <v>2</v>
      </c>
      <c r="M1627" s="16">
        <f>VLOOKUP(I1627,episodes!$A$1:$D$81,4,FALSE)</f>
        <v>1</v>
      </c>
      <c r="N1627" s="14"/>
      <c r="O1627" s="14">
        <v>0</v>
      </c>
      <c r="P1627" s="24">
        <f>LEN(E1627)+LEN(K1627)</f>
        <v>59</v>
      </c>
      <c r="Q1627" s="24">
        <f>COUNTIFS(B:B,B1626)</f>
        <v>2</v>
      </c>
      <c r="R1627" s="24">
        <f>COUNTIFS(D:D,D1627)</f>
        <v>2</v>
      </c>
    </row>
    <row r="1628" spans="1:18" s="21" customFormat="1" x14ac:dyDescent="0.3">
      <c r="A1628" s="14">
        <v>862</v>
      </c>
      <c r="B1628" s="21" t="s">
        <v>367</v>
      </c>
      <c r="C1628" s="21" t="s">
        <v>2795</v>
      </c>
      <c r="D1628" s="1" t="s">
        <v>2938</v>
      </c>
      <c r="E1628" s="1" t="s">
        <v>1682</v>
      </c>
      <c r="F1628" s="21" t="s">
        <v>4</v>
      </c>
      <c r="G1628" s="14">
        <v>1</v>
      </c>
      <c r="H1628" s="14">
        <v>0</v>
      </c>
      <c r="I1628" s="26">
        <v>126</v>
      </c>
      <c r="J1628" s="23">
        <f>VLOOKUP(I1628,episodes!$A$1:$B$76,2,FALSE)</f>
        <v>27</v>
      </c>
      <c r="K1628" s="16" t="str">
        <f>VLOOKUP(I1628,episodes!$A$1:$E$81,5,FALSE)</f>
        <v>Errand of Mercy</v>
      </c>
      <c r="L1628" s="16">
        <f>VLOOKUP(I1628,episodes!$A$1:$D$81,3,FALSE)</f>
        <v>1</v>
      </c>
      <c r="M1628" s="16">
        <f>VLOOKUP(I1628,episodes!$A$1:$D$81,4,FALSE)</f>
        <v>26</v>
      </c>
      <c r="N1628" s="14"/>
      <c r="O1628" s="14">
        <v>0</v>
      </c>
      <c r="P1628" s="24">
        <f>LEN(E1628)+LEN(K1628)</f>
        <v>95</v>
      </c>
      <c r="Q1628" s="24">
        <f>COUNTIFS(B:B,B1627)</f>
        <v>2</v>
      </c>
      <c r="R1628" s="24">
        <f>COUNTIFS(D:D,D1628)</f>
        <v>2</v>
      </c>
    </row>
    <row r="1629" spans="1:18" s="21" customFormat="1" x14ac:dyDescent="0.3">
      <c r="A1629" s="14">
        <v>2195</v>
      </c>
      <c r="B1629" s="21" t="s">
        <v>367</v>
      </c>
      <c r="C1629" s="21" t="s">
        <v>2795</v>
      </c>
      <c r="D1629" s="1" t="s">
        <v>2938</v>
      </c>
      <c r="E1629" s="1" t="s">
        <v>859</v>
      </c>
      <c r="F1629" s="21" t="s">
        <v>5</v>
      </c>
      <c r="G1629" s="14">
        <v>1</v>
      </c>
      <c r="H1629" s="14">
        <v>0</v>
      </c>
      <c r="I1629" s="22">
        <v>128</v>
      </c>
      <c r="J1629" s="23">
        <f>VLOOKUP(I1629,episodes!$A$1:$B$76,2,FALSE)</f>
        <v>29</v>
      </c>
      <c r="K1629" s="16" t="str">
        <f>VLOOKUP(I1629,episodes!$A$1:$E$81,5,FALSE)</f>
        <v>The City on the Edge of Forever</v>
      </c>
      <c r="L1629" s="16">
        <f>VLOOKUP(I1629,episodes!$A$1:$D$81,3,FALSE)</f>
        <v>1</v>
      </c>
      <c r="M1629" s="16">
        <f>VLOOKUP(I1629,episodes!$A$1:$D$81,4,FALSE)</f>
        <v>28</v>
      </c>
      <c r="N1629" s="14"/>
      <c r="O1629" s="14">
        <v>0</v>
      </c>
      <c r="P1629" s="24">
        <f>LEN(E1629)+LEN(K1629)</f>
        <v>99</v>
      </c>
      <c r="Q1629" s="24">
        <f>COUNTIFS(B:B,B1628)</f>
        <v>3</v>
      </c>
      <c r="R1629" s="24">
        <f>COUNTIFS(D:D,D1629)</f>
        <v>2</v>
      </c>
    </row>
    <row r="1630" spans="1:18" s="21" customFormat="1" x14ac:dyDescent="0.3">
      <c r="A1630" s="14">
        <v>969</v>
      </c>
      <c r="B1630" s="21" t="s">
        <v>333</v>
      </c>
      <c r="C1630" s="21" t="s">
        <v>2795</v>
      </c>
      <c r="D1630" s="21" t="s">
        <v>2720</v>
      </c>
      <c r="E1630" s="1" t="s">
        <v>1920</v>
      </c>
      <c r="F1630" s="21" t="s">
        <v>4</v>
      </c>
      <c r="G1630" s="14">
        <v>1</v>
      </c>
      <c r="H1630" s="14">
        <v>0</v>
      </c>
      <c r="I1630" s="22">
        <v>210</v>
      </c>
      <c r="J1630" s="23">
        <f>VLOOKUP(I1630,episodes!$A$1:$B$81,2,FALSE)</f>
        <v>40</v>
      </c>
      <c r="K1630" s="16" t="str">
        <f>VLOOKUP(I1630,episodes!$A$1:$E$81,5,FALSE)</f>
        <v>Journey to Babel</v>
      </c>
      <c r="L1630" s="16">
        <f>VLOOKUP(I1630,episodes!$A$1:$D$81,3,FALSE)</f>
        <v>2</v>
      </c>
      <c r="M1630" s="16">
        <f>VLOOKUP(I1630,episodes!$A$1:$D$81,4,FALSE)</f>
        <v>10</v>
      </c>
      <c r="N1630" s="14"/>
      <c r="O1630" s="14">
        <v>0</v>
      </c>
      <c r="P1630" s="24">
        <f>LEN(E1630)+LEN(K1630)</f>
        <v>73</v>
      </c>
      <c r="Q1630" s="24">
        <f>COUNTIFS(B:B,B1629)</f>
        <v>3</v>
      </c>
      <c r="R1630" s="24">
        <f>COUNTIFS(D:D,D1630)</f>
        <v>2</v>
      </c>
    </row>
    <row r="1631" spans="1:18" s="21" customFormat="1" x14ac:dyDescent="0.3">
      <c r="A1631" s="14">
        <v>970</v>
      </c>
      <c r="B1631" s="21" t="s">
        <v>333</v>
      </c>
      <c r="C1631" s="21" t="s">
        <v>2795</v>
      </c>
      <c r="D1631" s="21" t="s">
        <v>2720</v>
      </c>
      <c r="E1631" s="1" t="s">
        <v>1896</v>
      </c>
      <c r="F1631" s="21" t="s">
        <v>4</v>
      </c>
      <c r="G1631" s="14">
        <v>1</v>
      </c>
      <c r="H1631" s="14">
        <v>0</v>
      </c>
      <c r="I1631" s="22">
        <v>210</v>
      </c>
      <c r="J1631" s="23">
        <f>VLOOKUP(I1631,episodes!$A$1:$B$81,2,FALSE)</f>
        <v>40</v>
      </c>
      <c r="K1631" s="16" t="str">
        <f>VLOOKUP(I1631,episodes!$A$1:$E$81,5,FALSE)</f>
        <v>Journey to Babel</v>
      </c>
      <c r="L1631" s="16">
        <f>VLOOKUP(I1631,episodes!$A$1:$D$81,3,FALSE)</f>
        <v>2</v>
      </c>
      <c r="M1631" s="16">
        <f>VLOOKUP(I1631,episodes!$A$1:$D$81,4,FALSE)</f>
        <v>10</v>
      </c>
      <c r="N1631" s="14"/>
      <c r="O1631" s="14">
        <v>0</v>
      </c>
      <c r="P1631" s="24">
        <f>LEN(E1631)+LEN(K1631)</f>
        <v>41</v>
      </c>
      <c r="Q1631" s="24">
        <f>COUNTIFS(B:B,B1630)</f>
        <v>24</v>
      </c>
      <c r="R1631" s="24">
        <f>COUNTIFS(D:D,D1631)</f>
        <v>2</v>
      </c>
    </row>
    <row r="1632" spans="1:18" s="21" customFormat="1" x14ac:dyDescent="0.3">
      <c r="A1632" s="14">
        <v>2969</v>
      </c>
      <c r="B1632" s="21" t="s">
        <v>736</v>
      </c>
      <c r="C1632" s="21" t="s">
        <v>2795</v>
      </c>
      <c r="D1632" s="1"/>
      <c r="E1632" s="4" t="s">
        <v>2796</v>
      </c>
      <c r="F1632" s="21" t="s">
        <v>2927</v>
      </c>
      <c r="G1632" s="14">
        <v>0</v>
      </c>
      <c r="H1632" s="14">
        <v>0</v>
      </c>
      <c r="I1632" s="7">
        <v>211</v>
      </c>
      <c r="J1632" s="23">
        <f>VLOOKUP(I1632,episodes!$A$1:$B$81,2,FALSE)</f>
        <v>41</v>
      </c>
      <c r="K1632" s="16" t="str">
        <f>VLOOKUP(I1632,episodes!$A$1:$E$81,5,FALSE)</f>
        <v>Friday's Child</v>
      </c>
      <c r="L1632" s="16">
        <f>VLOOKUP(I1632,episodes!$A$1:$D$81,3,FALSE)</f>
        <v>2</v>
      </c>
      <c r="M1632" s="16">
        <f>VLOOKUP(I1632,episodes!$A$1:$D$81,4,FALSE)</f>
        <v>11</v>
      </c>
      <c r="N1632" s="14"/>
      <c r="O1632" s="14">
        <v>0</v>
      </c>
      <c r="P1632" s="24">
        <f>LEN(E1632)+LEN(K1632)</f>
        <v>80</v>
      </c>
      <c r="Q1632" s="24"/>
      <c r="R1632" s="24"/>
    </row>
    <row r="1633" spans="1:18" s="21" customFormat="1" x14ac:dyDescent="0.3">
      <c r="A1633" s="14">
        <v>400</v>
      </c>
      <c r="B1633" s="21" t="s">
        <v>0</v>
      </c>
      <c r="C1633" s="21" t="s">
        <v>0</v>
      </c>
      <c r="D1633" s="21" t="s">
        <v>2</v>
      </c>
      <c r="E1633" s="1" t="s">
        <v>2378</v>
      </c>
      <c r="F1633" s="21" t="s">
        <v>2315</v>
      </c>
      <c r="G1633" s="14">
        <v>0</v>
      </c>
      <c r="H1633" s="14">
        <v>0</v>
      </c>
      <c r="I1633" s="14">
        <v>209</v>
      </c>
      <c r="J1633" s="23">
        <f>VLOOKUP(I1633,episodes!$A$1:$B$81,2,FALSE)</f>
        <v>39</v>
      </c>
      <c r="K1633" s="16" t="str">
        <f>VLOOKUP(I1633,episodes!$A$1:$E$81,5,FALSE)</f>
        <v>Metamorphosis</v>
      </c>
      <c r="L1633" s="16">
        <f>VLOOKUP(I1633,episodes!$A$1:$D$81,3,FALSE)</f>
        <v>2</v>
      </c>
      <c r="M1633" s="16">
        <f>VLOOKUP(I1633,episodes!$A$1:$D$81,4,FALSE)</f>
        <v>9</v>
      </c>
      <c r="N1633" s="14"/>
      <c r="O1633" s="14">
        <v>0</v>
      </c>
      <c r="P1633" s="24">
        <f>LEN(E1633)+LEN(K1633)</f>
        <v>136</v>
      </c>
      <c r="Q1633" s="24">
        <f>COUNTIFS(B:B,B1632)</f>
        <v>4</v>
      </c>
      <c r="R1633" s="24">
        <f>COUNTIFS(D:D,D1633)</f>
        <v>33</v>
      </c>
    </row>
    <row r="1634" spans="1:18" s="21" customFormat="1" x14ac:dyDescent="0.3">
      <c r="A1634" s="14">
        <v>391</v>
      </c>
      <c r="B1634" s="21" t="s">
        <v>0</v>
      </c>
      <c r="C1634" s="21" t="s">
        <v>0</v>
      </c>
      <c r="D1634" s="21" t="s">
        <v>2</v>
      </c>
      <c r="E1634" s="1" t="s">
        <v>1592</v>
      </c>
      <c r="F1634" s="21" t="s">
        <v>2224</v>
      </c>
      <c r="G1634" s="14">
        <v>0</v>
      </c>
      <c r="H1634" s="14">
        <v>0</v>
      </c>
      <c r="I1634" s="14">
        <v>209</v>
      </c>
      <c r="J1634" s="23">
        <f>VLOOKUP(I1634,episodes!$A$1:$B$81,2,FALSE)</f>
        <v>39</v>
      </c>
      <c r="K1634" s="16" t="str">
        <f>VLOOKUP(I1634,episodes!$A$1:$E$81,5,FALSE)</f>
        <v>Metamorphosis</v>
      </c>
      <c r="L1634" s="16">
        <f>VLOOKUP(I1634,episodes!$A$1:$D$81,3,FALSE)</f>
        <v>2</v>
      </c>
      <c r="M1634" s="16">
        <f>VLOOKUP(I1634,episodes!$A$1:$D$81,4,FALSE)</f>
        <v>9</v>
      </c>
      <c r="N1634" s="14"/>
      <c r="O1634" s="14">
        <v>0</v>
      </c>
      <c r="P1634" s="24">
        <f>LEN(E1634)+LEN(K1634)</f>
        <v>240</v>
      </c>
      <c r="Q1634" s="24">
        <f>COUNTIFS(B:B,#REF!)</f>
        <v>0</v>
      </c>
      <c r="R1634" s="24">
        <f>COUNTIFS(D:D,D1634)</f>
        <v>33</v>
      </c>
    </row>
    <row r="1635" spans="1:18" s="21" customFormat="1" x14ac:dyDescent="0.3">
      <c r="A1635" s="14">
        <v>2469</v>
      </c>
      <c r="B1635" s="21" t="s">
        <v>0</v>
      </c>
      <c r="C1635" s="21" t="s">
        <v>0</v>
      </c>
      <c r="D1635" s="21" t="s">
        <v>2</v>
      </c>
      <c r="E1635" s="1" t="s">
        <v>2186</v>
      </c>
      <c r="F1635" s="21" t="s">
        <v>2316</v>
      </c>
      <c r="G1635" s="14">
        <v>0</v>
      </c>
      <c r="H1635" s="14">
        <v>0</v>
      </c>
      <c r="I1635" s="22">
        <v>207</v>
      </c>
      <c r="J1635" s="23">
        <f>VLOOKUP(I1635,episodes!$A$1:$B$81,2,FALSE)</f>
        <v>37</v>
      </c>
      <c r="K1635" s="16" t="str">
        <f>VLOOKUP(I1635,episodes!$A$1:$E$81,5,FALSE)</f>
        <v>Catspaw</v>
      </c>
      <c r="L1635" s="16">
        <f>VLOOKUP(I1635,episodes!$A$1:$D$81,3,FALSE)</f>
        <v>2</v>
      </c>
      <c r="M1635" s="16">
        <f>VLOOKUP(I1635,episodes!$A$1:$D$81,4,FALSE)</f>
        <v>7</v>
      </c>
      <c r="N1635" s="14"/>
      <c r="O1635" s="14">
        <v>0</v>
      </c>
      <c r="P1635" s="24">
        <f>LEN(E1635)+LEN(K1635)</f>
        <v>146</v>
      </c>
      <c r="Q1635" s="24">
        <f>COUNTIFS(B:B,B1634)</f>
        <v>11</v>
      </c>
      <c r="R1635" s="24">
        <f>COUNTIFS(D:D,D1635)</f>
        <v>33</v>
      </c>
    </row>
    <row r="1636" spans="1:18" s="21" customFormat="1" x14ac:dyDescent="0.3">
      <c r="A1636" s="14">
        <v>2470</v>
      </c>
      <c r="B1636" s="21" t="s">
        <v>1152</v>
      </c>
      <c r="C1636" s="21" t="s">
        <v>0</v>
      </c>
      <c r="D1636" s="21" t="s">
        <v>2</v>
      </c>
      <c r="E1636" s="1" t="s">
        <v>1153</v>
      </c>
      <c r="F1636" s="21" t="s">
        <v>2316</v>
      </c>
      <c r="G1636" s="14">
        <v>0</v>
      </c>
      <c r="H1636" s="14">
        <v>0</v>
      </c>
      <c r="I1636" s="14">
        <v>207</v>
      </c>
      <c r="J1636" s="23">
        <f>VLOOKUP(I1636,episodes!$A$1:$B$81,2,FALSE)</f>
        <v>37</v>
      </c>
      <c r="K1636" s="16" t="str">
        <f>VLOOKUP(I1636,episodes!$A$1:$E$81,5,FALSE)</f>
        <v>Catspaw</v>
      </c>
      <c r="L1636" s="16">
        <f>VLOOKUP(I1636,episodes!$A$1:$D$81,3,FALSE)</f>
        <v>2</v>
      </c>
      <c r="M1636" s="16">
        <f>VLOOKUP(I1636,episodes!$A$1:$D$81,4,FALSE)</f>
        <v>7</v>
      </c>
      <c r="N1636" s="14"/>
      <c r="O1636" s="14">
        <v>0</v>
      </c>
      <c r="P1636" s="24">
        <f>LEN(E1636)+LEN(K1636)</f>
        <v>64</v>
      </c>
      <c r="Q1636" s="24">
        <f>COUNTIFS(B:B,B1635)</f>
        <v>11</v>
      </c>
      <c r="R1636" s="24">
        <f>COUNTIFS(D:D,D1636)</f>
        <v>33</v>
      </c>
    </row>
    <row r="1637" spans="1:18" s="21" customFormat="1" x14ac:dyDescent="0.3">
      <c r="A1637" s="14">
        <v>2473</v>
      </c>
      <c r="B1637" s="21" t="s">
        <v>0</v>
      </c>
      <c r="C1637" s="21" t="s">
        <v>0</v>
      </c>
      <c r="D1637" s="21" t="s">
        <v>2</v>
      </c>
      <c r="E1637" s="1" t="s">
        <v>2188</v>
      </c>
      <c r="F1637" s="21" t="s">
        <v>2316</v>
      </c>
      <c r="G1637" s="14">
        <v>0</v>
      </c>
      <c r="H1637" s="14">
        <v>0</v>
      </c>
      <c r="I1637" s="22">
        <v>207</v>
      </c>
      <c r="J1637" s="23">
        <f>VLOOKUP(I1637,episodes!$A$1:$B$81,2,FALSE)</f>
        <v>37</v>
      </c>
      <c r="K1637" s="16" t="str">
        <f>VLOOKUP(I1637,episodes!$A$1:$E$81,5,FALSE)</f>
        <v>Catspaw</v>
      </c>
      <c r="L1637" s="16">
        <f>VLOOKUP(I1637,episodes!$A$1:$D$81,3,FALSE)</f>
        <v>2</v>
      </c>
      <c r="M1637" s="16">
        <f>VLOOKUP(I1637,episodes!$A$1:$D$81,4,FALSE)</f>
        <v>7</v>
      </c>
      <c r="N1637" s="14"/>
      <c r="O1637" s="14">
        <v>0</v>
      </c>
      <c r="P1637" s="24">
        <f>LEN(E1637)+LEN(K1637)</f>
        <v>150</v>
      </c>
      <c r="Q1637" s="24">
        <f>COUNTIFS(B:B,B1636)</f>
        <v>2</v>
      </c>
      <c r="R1637" s="24">
        <f>COUNTIFS(D:D,D1637)</f>
        <v>33</v>
      </c>
    </row>
    <row r="1638" spans="1:18" s="21" customFormat="1" x14ac:dyDescent="0.3">
      <c r="A1638" s="14">
        <v>2474</v>
      </c>
      <c r="B1638" s="21" t="s">
        <v>0</v>
      </c>
      <c r="C1638" s="21" t="s">
        <v>0</v>
      </c>
      <c r="D1638" s="21" t="s">
        <v>2</v>
      </c>
      <c r="E1638" s="1" t="s">
        <v>2189</v>
      </c>
      <c r="F1638" s="21" t="s">
        <v>2316</v>
      </c>
      <c r="G1638" s="14">
        <v>0</v>
      </c>
      <c r="H1638" s="14">
        <v>0</v>
      </c>
      <c r="I1638" s="22">
        <v>207</v>
      </c>
      <c r="J1638" s="23">
        <f>VLOOKUP(I1638,episodes!$A$1:$B$81,2,FALSE)</f>
        <v>37</v>
      </c>
      <c r="K1638" s="16" t="str">
        <f>VLOOKUP(I1638,episodes!$A$1:$E$81,5,FALSE)</f>
        <v>Catspaw</v>
      </c>
      <c r="L1638" s="16">
        <f>VLOOKUP(I1638,episodes!$A$1:$D$81,3,FALSE)</f>
        <v>2</v>
      </c>
      <c r="M1638" s="16">
        <f>VLOOKUP(I1638,episodes!$A$1:$D$81,4,FALSE)</f>
        <v>7</v>
      </c>
      <c r="N1638" s="14"/>
      <c r="O1638" s="14">
        <v>0</v>
      </c>
      <c r="P1638" s="24">
        <f>LEN(E1638)+LEN(K1638)</f>
        <v>141</v>
      </c>
      <c r="Q1638" s="24">
        <f>COUNTIFS(B:B,B1637)</f>
        <v>11</v>
      </c>
      <c r="R1638" s="24">
        <f>COUNTIFS(D:D,D1638)</f>
        <v>33</v>
      </c>
    </row>
    <row r="1639" spans="1:18" s="21" customFormat="1" x14ac:dyDescent="0.3">
      <c r="A1639" s="14">
        <v>373</v>
      </c>
      <c r="B1639" s="21" t="s">
        <v>369</v>
      </c>
      <c r="C1639" s="21" t="s">
        <v>0</v>
      </c>
      <c r="D1639" s="21" t="s">
        <v>2</v>
      </c>
      <c r="E1639" s="1" t="s">
        <v>2194</v>
      </c>
      <c r="F1639" s="21" t="s">
        <v>2225</v>
      </c>
      <c r="G1639" s="14">
        <v>0</v>
      </c>
      <c r="H1639" s="14">
        <v>0</v>
      </c>
      <c r="I1639" s="14">
        <v>209</v>
      </c>
      <c r="J1639" s="23">
        <f>VLOOKUP(I1639,episodes!$A$1:$B$81,2,FALSE)</f>
        <v>39</v>
      </c>
      <c r="K1639" s="16" t="str">
        <f>VLOOKUP(I1639,episodes!$A$1:$E$81,5,FALSE)</f>
        <v>Metamorphosis</v>
      </c>
      <c r="L1639" s="16">
        <f>VLOOKUP(I1639,episodes!$A$1:$D$81,3,FALSE)</f>
        <v>2</v>
      </c>
      <c r="M1639" s="16">
        <f>VLOOKUP(I1639,episodes!$A$1:$D$81,4,FALSE)</f>
        <v>9</v>
      </c>
      <c r="N1639" s="14"/>
      <c r="O1639" s="14">
        <v>0</v>
      </c>
      <c r="P1639" s="24">
        <f>LEN(E1639)+LEN(K1639)</f>
        <v>91</v>
      </c>
      <c r="Q1639" s="24">
        <f>COUNTIFS(B:B,B1638)</f>
        <v>11</v>
      </c>
      <c r="R1639" s="24">
        <f>COUNTIFS(D:D,D1639)</f>
        <v>33</v>
      </c>
    </row>
    <row r="1640" spans="1:18" s="21" customFormat="1" x14ac:dyDescent="0.3">
      <c r="A1640" s="14">
        <v>1806</v>
      </c>
      <c r="B1640" s="21" t="s">
        <v>320</v>
      </c>
      <c r="C1640" s="21" t="s">
        <v>0</v>
      </c>
      <c r="D1640" s="21" t="s">
        <v>2</v>
      </c>
      <c r="E1640" s="1" t="s">
        <v>374</v>
      </c>
      <c r="F1640" s="21" t="s">
        <v>2249</v>
      </c>
      <c r="G1640" s="14">
        <v>0</v>
      </c>
      <c r="H1640" s="14">
        <v>0</v>
      </c>
      <c r="I1640" s="25">
        <v>100</v>
      </c>
      <c r="J1640" s="23">
        <f>VLOOKUP(I1640,episodes!$A$1:$B$76,2,FALSE)</f>
        <v>1</v>
      </c>
      <c r="K1640" s="16" t="str">
        <f>VLOOKUP(I1640,episodes!$A$1:$E$81,5,FALSE)</f>
        <v>The Cage</v>
      </c>
      <c r="L1640" s="16">
        <f>VLOOKUP(I1640,episodes!$A$1:$D$81,3,FALSE)</f>
        <v>1</v>
      </c>
      <c r="M1640" s="16">
        <f>VLOOKUP(I1640,episodes!$A$1:$D$81,4,FALSE)</f>
        <v>0</v>
      </c>
      <c r="N1640" s="14"/>
      <c r="O1640" s="14">
        <v>0</v>
      </c>
      <c r="P1640" s="24">
        <f>LEN(E1640)+LEN(K1640)</f>
        <v>44</v>
      </c>
      <c r="Q1640" s="24">
        <f>COUNTIFS(B:B,B1639)</f>
        <v>2</v>
      </c>
      <c r="R1640" s="24">
        <f>COUNTIFS(D:D,D1640)</f>
        <v>33</v>
      </c>
    </row>
    <row r="1641" spans="1:18" s="21" customFormat="1" x14ac:dyDescent="0.3">
      <c r="A1641" s="14">
        <v>355</v>
      </c>
      <c r="B1641" s="21" t="s">
        <v>519</v>
      </c>
      <c r="C1641" s="21" t="s">
        <v>0</v>
      </c>
      <c r="D1641" s="21" t="s">
        <v>2673</v>
      </c>
      <c r="E1641" s="1" t="s">
        <v>1401</v>
      </c>
      <c r="F1641" s="21" t="s">
        <v>2224</v>
      </c>
      <c r="G1641" s="14">
        <v>0</v>
      </c>
      <c r="H1641" s="14">
        <v>0</v>
      </c>
      <c r="I1641" s="14">
        <v>204</v>
      </c>
      <c r="J1641" s="23">
        <f>VLOOKUP(I1641,episodes!$A$1:$B$81,2,FALSE)</f>
        <v>34</v>
      </c>
      <c r="K1641" s="16" t="str">
        <f>VLOOKUP(I1641,episodes!$A$1:$E$81,5,FALSE)</f>
        <v>Mirror, Mirror</v>
      </c>
      <c r="L1641" s="16">
        <f>VLOOKUP(I1641,episodes!$A$1:$D$81,3,FALSE)</f>
        <v>2</v>
      </c>
      <c r="M1641" s="16">
        <f>VLOOKUP(I1641,episodes!$A$1:$D$81,4,FALSE)</f>
        <v>4</v>
      </c>
      <c r="N1641" s="14"/>
      <c r="O1641" s="14">
        <v>0</v>
      </c>
      <c r="P1641" s="24">
        <f>LEN(E1641)+LEN(K1641)</f>
        <v>169</v>
      </c>
      <c r="Q1641" s="24">
        <f>COUNTIFS(B:B,B1640)</f>
        <v>2</v>
      </c>
      <c r="R1641" s="24">
        <f>COUNTIFS(D:D,D1641)</f>
        <v>2</v>
      </c>
    </row>
    <row r="1642" spans="1:18" s="21" customFormat="1" x14ac:dyDescent="0.3">
      <c r="A1642" s="14">
        <v>1940</v>
      </c>
      <c r="B1642" s="21" t="s">
        <v>257</v>
      </c>
      <c r="C1642" s="21" t="s">
        <v>0</v>
      </c>
      <c r="D1642" s="1" t="s">
        <v>2673</v>
      </c>
      <c r="E1642" s="1" t="s">
        <v>1875</v>
      </c>
      <c r="F1642" s="21" t="s">
        <v>2228</v>
      </c>
      <c r="G1642" s="14">
        <v>0</v>
      </c>
      <c r="H1642" s="14">
        <v>0</v>
      </c>
      <c r="I1642" s="25">
        <v>107</v>
      </c>
      <c r="J1642" s="23">
        <f>VLOOKUP(I1642,episodes!$A$1:$B$76,2,FALSE)</f>
        <v>8</v>
      </c>
      <c r="K1642" s="16" t="str">
        <f>VLOOKUP(I1642,episodes!$A$1:$E$81,5,FALSE)</f>
        <v>What Are Little Girls Made Of?</v>
      </c>
      <c r="L1642" s="16">
        <f>VLOOKUP(I1642,episodes!$A$1:$D$81,3,FALSE)</f>
        <v>1</v>
      </c>
      <c r="M1642" s="16">
        <f>VLOOKUP(I1642,episodes!$A$1:$D$81,4,FALSE)</f>
        <v>7</v>
      </c>
      <c r="N1642" s="14"/>
      <c r="O1642" s="14">
        <v>0</v>
      </c>
      <c r="P1642" s="24">
        <f>LEN(E1642)+LEN(K1642)</f>
        <v>268</v>
      </c>
      <c r="Q1642" s="24">
        <f>COUNTIFS(B:B,B1641)</f>
        <v>1</v>
      </c>
      <c r="R1642" s="24">
        <f>COUNTIFS(D:D,D1642)</f>
        <v>2</v>
      </c>
    </row>
    <row r="1643" spans="1:18" s="21" customFormat="1" x14ac:dyDescent="0.3">
      <c r="A1643" s="14">
        <v>1813</v>
      </c>
      <c r="B1643" s="21" t="s">
        <v>44</v>
      </c>
      <c r="C1643" s="21" t="s">
        <v>0</v>
      </c>
      <c r="D1643" s="1" t="s">
        <v>144</v>
      </c>
      <c r="E1643" s="1" t="s">
        <v>746</v>
      </c>
      <c r="F1643" s="21" t="s">
        <v>2269</v>
      </c>
      <c r="G1643" s="14">
        <v>0</v>
      </c>
      <c r="H1643" s="14">
        <v>0</v>
      </c>
      <c r="I1643" s="22">
        <v>202</v>
      </c>
      <c r="J1643" s="23">
        <f>VLOOKUP(I1643,episodes!$A$1:$B$76,2,FALSE)</f>
        <v>32</v>
      </c>
      <c r="K1643" s="16" t="str">
        <f>VLOOKUP(I1643,episodes!$A$1:$E$81,5,FALSE)</f>
        <v>Who Mourns for Adonais?</v>
      </c>
      <c r="L1643" s="16">
        <f>VLOOKUP(I1643,episodes!$A$1:$D$81,3,FALSE)</f>
        <v>2</v>
      </c>
      <c r="M1643" s="16">
        <f>VLOOKUP(I1643,episodes!$A$1:$D$81,4,FALSE)</f>
        <v>2</v>
      </c>
      <c r="N1643" s="14"/>
      <c r="O1643" s="14">
        <v>0</v>
      </c>
      <c r="P1643" s="24">
        <f>LEN(E1643)+LEN(K1643)</f>
        <v>134</v>
      </c>
      <c r="Q1643" s="24">
        <f>COUNTIFS(B:B,B1642)</f>
        <v>1</v>
      </c>
      <c r="R1643" s="24">
        <f>COUNTIFS(D:D,D1643)</f>
        <v>44</v>
      </c>
    </row>
    <row r="1644" spans="1:18" s="21" customFormat="1" x14ac:dyDescent="0.3">
      <c r="A1644" s="14">
        <v>206</v>
      </c>
      <c r="B1644" s="21" t="s">
        <v>2755</v>
      </c>
      <c r="C1644" s="21" t="s">
        <v>0</v>
      </c>
      <c r="D1644" s="21" t="s">
        <v>144</v>
      </c>
      <c r="E1644" s="1" t="s">
        <v>1180</v>
      </c>
      <c r="F1644" s="21" t="s">
        <v>2327</v>
      </c>
      <c r="G1644" s="14">
        <v>0</v>
      </c>
      <c r="H1644" s="14">
        <v>0</v>
      </c>
      <c r="I1644" s="25">
        <v>101</v>
      </c>
      <c r="J1644" s="23">
        <f>VLOOKUP(I1644,episodes!$A$1:$B$76,2,FALSE)</f>
        <v>2</v>
      </c>
      <c r="K1644" s="16" t="str">
        <f>VLOOKUP(I1644,episodes!$A$1:$E$81,5,FALSE)</f>
        <v>The Man Trap</v>
      </c>
      <c r="L1644" s="16">
        <f>VLOOKUP(I1644,episodes!$A$1:$D$81,3,FALSE)</f>
        <v>1</v>
      </c>
      <c r="M1644" s="16">
        <f>VLOOKUP(I1644,episodes!$A$1:$D$81,4,FALSE)</f>
        <v>1</v>
      </c>
      <c r="N1644" s="14"/>
      <c r="O1644" s="14">
        <v>0</v>
      </c>
      <c r="P1644" s="24">
        <f>LEN(E1644)+LEN(K1644)</f>
        <v>52</v>
      </c>
      <c r="Q1644" s="24">
        <f>COUNTIFS(B:B,B1643)</f>
        <v>10</v>
      </c>
      <c r="R1644" s="24">
        <f>COUNTIFS(D:D,D1644)</f>
        <v>44</v>
      </c>
    </row>
    <row r="1645" spans="1:18" s="21" customFormat="1" x14ac:dyDescent="0.3">
      <c r="A1645" s="14">
        <v>306</v>
      </c>
      <c r="B1645" s="21" t="s">
        <v>44</v>
      </c>
      <c r="C1645" s="21" t="s">
        <v>0</v>
      </c>
      <c r="D1645" s="1" t="s">
        <v>144</v>
      </c>
      <c r="E1645" s="1" t="s">
        <v>1320</v>
      </c>
      <c r="F1645" s="21" t="s">
        <v>2224</v>
      </c>
      <c r="G1645" s="14">
        <v>0</v>
      </c>
      <c r="H1645" s="14">
        <v>0</v>
      </c>
      <c r="I1645" s="22">
        <v>122</v>
      </c>
      <c r="J1645" s="23">
        <f>VLOOKUP(I1645,episodes!$A$1:$B$76,2,FALSE)</f>
        <v>23</v>
      </c>
      <c r="K1645" s="16" t="str">
        <f>VLOOKUP(I1645,episodes!$A$1:$E$81,5,FALSE)</f>
        <v>Space Seed</v>
      </c>
      <c r="L1645" s="16">
        <f>VLOOKUP(I1645,episodes!$A$1:$D$81,3,FALSE)</f>
        <v>1</v>
      </c>
      <c r="M1645" s="16">
        <f>VLOOKUP(I1645,episodes!$A$1:$D$81,4,FALSE)</f>
        <v>22</v>
      </c>
      <c r="N1645" s="14"/>
      <c r="O1645" s="14">
        <v>0</v>
      </c>
      <c r="P1645" s="24">
        <f>LEN(E1645)+LEN(K1645)</f>
        <v>55</v>
      </c>
      <c r="Q1645" s="24">
        <f>COUNTIFS(B:B,B1644)</f>
        <v>1</v>
      </c>
      <c r="R1645" s="24">
        <f>COUNTIFS(D:D,D1645)</f>
        <v>44</v>
      </c>
    </row>
    <row r="1646" spans="1:18" s="21" customFormat="1" x14ac:dyDescent="0.3">
      <c r="A1646" s="14">
        <v>1789</v>
      </c>
      <c r="B1646" s="21" t="s">
        <v>324</v>
      </c>
      <c r="C1646" s="21" t="s">
        <v>0</v>
      </c>
      <c r="D1646" s="1" t="s">
        <v>144</v>
      </c>
      <c r="E1646" s="1" t="s">
        <v>480</v>
      </c>
      <c r="F1646" s="21" t="s">
        <v>2290</v>
      </c>
      <c r="G1646" s="14">
        <v>0</v>
      </c>
      <c r="H1646" s="14">
        <v>0</v>
      </c>
      <c r="I1646" s="25">
        <v>109</v>
      </c>
      <c r="J1646" s="23">
        <f>VLOOKUP(I1646,episodes!$A$1:$B$76,2,FALSE)</f>
        <v>10</v>
      </c>
      <c r="K1646" s="16" t="str">
        <f>VLOOKUP(I1646,episodes!$A$1:$E$81,5,FALSE)</f>
        <v>Dagger of the Mind</v>
      </c>
      <c r="L1646" s="16">
        <f>VLOOKUP(I1646,episodes!$A$1:$D$81,3,FALSE)</f>
        <v>1</v>
      </c>
      <c r="M1646" s="16">
        <f>VLOOKUP(I1646,episodes!$A$1:$D$81,4,FALSE)</f>
        <v>9</v>
      </c>
      <c r="N1646" s="14"/>
      <c r="O1646" s="14">
        <v>0</v>
      </c>
      <c r="P1646" s="24">
        <f>LEN(E1646)+LEN(K1646)</f>
        <v>85</v>
      </c>
      <c r="Q1646" s="24">
        <f>COUNTIFS(B:B,B1645)</f>
        <v>10</v>
      </c>
      <c r="R1646" s="24">
        <f>COUNTIFS(D:D,D1646)</f>
        <v>44</v>
      </c>
    </row>
    <row r="1647" spans="1:18" s="21" customFormat="1" x14ac:dyDescent="0.3">
      <c r="A1647" s="14">
        <v>597</v>
      </c>
      <c r="B1647" s="21" t="s">
        <v>344</v>
      </c>
      <c r="C1647" s="21" t="s">
        <v>0</v>
      </c>
      <c r="D1647" s="1" t="s">
        <v>144</v>
      </c>
      <c r="E1647" s="1" t="s">
        <v>1542</v>
      </c>
      <c r="F1647" s="21" t="s">
        <v>4</v>
      </c>
      <c r="G1647" s="14">
        <v>1</v>
      </c>
      <c r="H1647" s="14">
        <v>0</v>
      </c>
      <c r="I1647" s="25">
        <v>105</v>
      </c>
      <c r="J1647" s="23">
        <f>VLOOKUP(I1647,episodes!$A$1:$B$76,2,FALSE)</f>
        <v>6</v>
      </c>
      <c r="K1647" s="16" t="str">
        <f>VLOOKUP(I1647,episodes!$A$1:$E$81,5,FALSE)</f>
        <v>The Enemy Within</v>
      </c>
      <c r="L1647" s="16">
        <f>VLOOKUP(I1647,episodes!$A$1:$D$81,3,FALSE)</f>
        <v>1</v>
      </c>
      <c r="M1647" s="16">
        <f>VLOOKUP(I1647,episodes!$A$1:$D$81,4,FALSE)</f>
        <v>5</v>
      </c>
      <c r="N1647" s="14"/>
      <c r="O1647" s="14">
        <v>0</v>
      </c>
      <c r="P1647" s="24">
        <f>LEN(E1647)+LEN(K1647)</f>
        <v>94</v>
      </c>
      <c r="Q1647" s="24">
        <f>COUNTIFS(B:B,B1646)</f>
        <v>8</v>
      </c>
      <c r="R1647" s="24">
        <f>COUNTIFS(D:D,D1647)</f>
        <v>44</v>
      </c>
    </row>
    <row r="1648" spans="1:18" s="21" customFormat="1" x14ac:dyDescent="0.3">
      <c r="A1648" s="14">
        <v>632</v>
      </c>
      <c r="B1648" s="21" t="s">
        <v>344</v>
      </c>
      <c r="C1648" s="21" t="s">
        <v>0</v>
      </c>
      <c r="D1648" s="1" t="s">
        <v>144</v>
      </c>
      <c r="E1648" s="1" t="s">
        <v>472</v>
      </c>
      <c r="F1648" s="21" t="s">
        <v>4</v>
      </c>
      <c r="G1648" s="14">
        <v>1</v>
      </c>
      <c r="H1648" s="14">
        <v>0</v>
      </c>
      <c r="I1648" s="25">
        <v>107</v>
      </c>
      <c r="J1648" s="23">
        <f>VLOOKUP(I1648,episodes!$A$1:$B$76,2,FALSE)</f>
        <v>8</v>
      </c>
      <c r="K1648" s="16" t="str">
        <f>VLOOKUP(I1648,episodes!$A$1:$E$81,5,FALSE)</f>
        <v>What Are Little Girls Made Of?</v>
      </c>
      <c r="L1648" s="16">
        <f>VLOOKUP(I1648,episodes!$A$1:$D$81,3,FALSE)</f>
        <v>1</v>
      </c>
      <c r="M1648" s="16">
        <f>VLOOKUP(I1648,episodes!$A$1:$D$81,4,FALSE)</f>
        <v>7</v>
      </c>
      <c r="N1648" s="14"/>
      <c r="O1648" s="14">
        <v>0</v>
      </c>
      <c r="P1648" s="24">
        <f>LEN(E1648)+LEN(K1648)</f>
        <v>65</v>
      </c>
      <c r="Q1648" s="24">
        <f>COUNTIFS(B:B,B1647)</f>
        <v>7</v>
      </c>
      <c r="R1648" s="24">
        <f>COUNTIFS(D:D,D1648)</f>
        <v>44</v>
      </c>
    </row>
    <row r="1649" spans="1:18" s="21" customFormat="1" x14ac:dyDescent="0.3">
      <c r="A1649" s="14">
        <v>564</v>
      </c>
      <c r="B1649" s="21" t="s">
        <v>344</v>
      </c>
      <c r="C1649" s="21" t="s">
        <v>0</v>
      </c>
      <c r="D1649" s="1" t="s">
        <v>144</v>
      </c>
      <c r="E1649" s="1" t="s">
        <v>444</v>
      </c>
      <c r="F1649" s="21" t="s">
        <v>4</v>
      </c>
      <c r="G1649" s="14">
        <v>1</v>
      </c>
      <c r="H1649" s="14">
        <v>0</v>
      </c>
      <c r="I1649" s="25">
        <v>102</v>
      </c>
      <c r="J1649" s="23">
        <f>VLOOKUP(I1649,episodes!$A$1:$B$76,2,FALSE)</f>
        <v>3</v>
      </c>
      <c r="K1649" s="16" t="str">
        <f>VLOOKUP(I1649,episodes!$A$1:$E$81,5,FALSE)</f>
        <v>Charlie X</v>
      </c>
      <c r="L1649" s="16">
        <f>VLOOKUP(I1649,episodes!$A$1:$D$81,3,FALSE)</f>
        <v>1</v>
      </c>
      <c r="M1649" s="16">
        <f>VLOOKUP(I1649,episodes!$A$1:$D$81,4,FALSE)</f>
        <v>2</v>
      </c>
      <c r="N1649" s="14"/>
      <c r="O1649" s="14">
        <v>0</v>
      </c>
      <c r="P1649" s="24">
        <f>LEN(E1649)+LEN(K1649)</f>
        <v>51</v>
      </c>
      <c r="Q1649" s="24">
        <f>COUNTIFS(B:B,B1648)</f>
        <v>7</v>
      </c>
      <c r="R1649" s="24">
        <f>COUNTIFS(D:D,D1649)</f>
        <v>44</v>
      </c>
    </row>
    <row r="1650" spans="1:18" s="21" customFormat="1" x14ac:dyDescent="0.3">
      <c r="A1650" s="14">
        <v>639</v>
      </c>
      <c r="B1650" s="21" t="s">
        <v>258</v>
      </c>
      <c r="C1650" s="21" t="s">
        <v>0</v>
      </c>
      <c r="D1650" s="1" t="s">
        <v>144</v>
      </c>
      <c r="E1650" s="1" t="s">
        <v>1711</v>
      </c>
      <c r="F1650" s="21" t="s">
        <v>4</v>
      </c>
      <c r="G1650" s="14">
        <v>1</v>
      </c>
      <c r="H1650" s="14">
        <v>0</v>
      </c>
      <c r="I1650" s="25">
        <v>108</v>
      </c>
      <c r="J1650" s="23">
        <f>VLOOKUP(I1650,episodes!$A$1:$B$76,2,FALSE)</f>
        <v>9</v>
      </c>
      <c r="K1650" s="16" t="str">
        <f>VLOOKUP(I1650,episodes!$A$1:$E$81,5,FALSE)</f>
        <v>Miri</v>
      </c>
      <c r="L1650" s="16">
        <f>VLOOKUP(I1650,episodes!$A$1:$D$81,3,FALSE)</f>
        <v>1</v>
      </c>
      <c r="M1650" s="16">
        <f>VLOOKUP(I1650,episodes!$A$1:$D$81,4,FALSE)</f>
        <v>8</v>
      </c>
      <c r="N1650" s="14"/>
      <c r="O1650" s="14">
        <v>0</v>
      </c>
      <c r="P1650" s="24">
        <f>LEN(E1650)+LEN(K1650)</f>
        <v>49</v>
      </c>
      <c r="Q1650" s="24">
        <f>COUNTIFS(B:B,B1649)</f>
        <v>7</v>
      </c>
      <c r="R1650" s="24">
        <f>COUNTIFS(D:D,D1650)</f>
        <v>44</v>
      </c>
    </row>
    <row r="1651" spans="1:18" s="21" customFormat="1" x14ac:dyDescent="0.3">
      <c r="A1651" s="14">
        <v>1113</v>
      </c>
      <c r="B1651" s="21" t="s">
        <v>258</v>
      </c>
      <c r="C1651" s="21" t="s">
        <v>0</v>
      </c>
      <c r="D1651" s="1" t="s">
        <v>144</v>
      </c>
      <c r="E1651" s="1" t="s">
        <v>1475</v>
      </c>
      <c r="F1651" s="21" t="s">
        <v>4</v>
      </c>
      <c r="G1651" s="14">
        <v>1</v>
      </c>
      <c r="H1651" s="14">
        <v>0</v>
      </c>
      <c r="I1651" s="25">
        <v>103</v>
      </c>
      <c r="J1651" s="23">
        <f>VLOOKUP(I1651,episodes!$A$1:$B$76,2,FALSE)</f>
        <v>4</v>
      </c>
      <c r="K1651" s="16" t="str">
        <f>VLOOKUP(I1651,episodes!$A$1:$E$81,5,FALSE)</f>
        <v>Where No Man Has Gone Before</v>
      </c>
      <c r="L1651" s="16">
        <f>VLOOKUP(I1651,episodes!$A$1:$D$81,3,FALSE)</f>
        <v>1</v>
      </c>
      <c r="M1651" s="16">
        <f>VLOOKUP(I1651,episodes!$A$1:$D$81,4,FALSE)</f>
        <v>3</v>
      </c>
      <c r="N1651" s="14"/>
      <c r="O1651" s="14">
        <v>0</v>
      </c>
      <c r="P1651" s="24">
        <f>LEN(E1651)+LEN(K1651)</f>
        <v>102</v>
      </c>
      <c r="Q1651" s="24">
        <f>COUNTIFS(B:B,B1650)</f>
        <v>7</v>
      </c>
      <c r="R1651" s="24">
        <f>COUNTIFS(D:D,D1651)</f>
        <v>44</v>
      </c>
    </row>
    <row r="1652" spans="1:18" s="21" customFormat="1" x14ac:dyDescent="0.3">
      <c r="A1652" s="14">
        <v>709</v>
      </c>
      <c r="B1652" s="21" t="s">
        <v>258</v>
      </c>
      <c r="C1652" s="21" t="s">
        <v>0</v>
      </c>
      <c r="D1652" s="1" t="s">
        <v>144</v>
      </c>
      <c r="E1652" s="1" t="s">
        <v>535</v>
      </c>
      <c r="F1652" s="21" t="s">
        <v>4</v>
      </c>
      <c r="G1652" s="14">
        <v>1</v>
      </c>
      <c r="H1652" s="14">
        <v>0</v>
      </c>
      <c r="I1652" s="22">
        <v>115</v>
      </c>
      <c r="J1652" s="23">
        <f>VLOOKUP(I1652,episodes!$A$1:$B$76,2,FALSE)</f>
        <v>16</v>
      </c>
      <c r="K1652" s="16" t="str">
        <f>VLOOKUP(I1652,episodes!$A$1:$E$81,5,FALSE)</f>
        <v>Shore Leave</v>
      </c>
      <c r="L1652" s="16">
        <f>VLOOKUP(I1652,episodes!$A$1:$D$81,3,FALSE)</f>
        <v>1</v>
      </c>
      <c r="M1652" s="16">
        <f>VLOOKUP(I1652,episodes!$A$1:$D$81,4,FALSE)</f>
        <v>15</v>
      </c>
      <c r="N1652" s="14"/>
      <c r="O1652" s="14">
        <v>0</v>
      </c>
      <c r="P1652" s="24">
        <f>LEN(E1652)+LEN(K1652)</f>
        <v>50</v>
      </c>
      <c r="Q1652" s="24">
        <f>COUNTIFS(B:B,B1651)</f>
        <v>7</v>
      </c>
      <c r="R1652" s="24">
        <f>COUNTIFS(D:D,D1652)</f>
        <v>44</v>
      </c>
    </row>
    <row r="1653" spans="1:18" s="21" customFormat="1" x14ac:dyDescent="0.3">
      <c r="A1653" s="14">
        <v>774</v>
      </c>
      <c r="B1653" s="21" t="s">
        <v>258</v>
      </c>
      <c r="C1653" s="21" t="s">
        <v>0</v>
      </c>
      <c r="D1653" s="1" t="s">
        <v>144</v>
      </c>
      <c r="E1653" s="1" t="s">
        <v>178</v>
      </c>
      <c r="F1653" s="21" t="s">
        <v>4</v>
      </c>
      <c r="G1653" s="14">
        <v>1</v>
      </c>
      <c r="H1653" s="14">
        <v>0</v>
      </c>
      <c r="I1653" s="22">
        <v>120</v>
      </c>
      <c r="J1653" s="23">
        <f>VLOOKUP(I1653,episodes!$A$1:$B$76,2,FALSE)</f>
        <v>21</v>
      </c>
      <c r="K1653" s="16" t="str">
        <f>VLOOKUP(I1653,episodes!$A$1:$E$81,5,FALSE)</f>
        <v>Court Martial</v>
      </c>
      <c r="L1653" s="16">
        <f>VLOOKUP(I1653,episodes!$A$1:$D$81,3,FALSE)</f>
        <v>1</v>
      </c>
      <c r="M1653" s="16">
        <f>VLOOKUP(I1653,episodes!$A$1:$D$81,4,FALSE)</f>
        <v>20</v>
      </c>
      <c r="N1653" s="14"/>
      <c r="O1653" s="14">
        <v>0</v>
      </c>
      <c r="P1653" s="24">
        <f>LEN(E1653)+LEN(K1653)</f>
        <v>54</v>
      </c>
      <c r="Q1653" s="24">
        <f>COUNTIFS(B:B,B1652)</f>
        <v>7</v>
      </c>
      <c r="R1653" s="24">
        <f>COUNTIFS(D:D,D1653)</f>
        <v>44</v>
      </c>
    </row>
    <row r="1654" spans="1:18" s="21" customFormat="1" x14ac:dyDescent="0.3">
      <c r="A1654" s="14">
        <v>887</v>
      </c>
      <c r="B1654" s="21" t="s">
        <v>258</v>
      </c>
      <c r="C1654" s="21" t="s">
        <v>0</v>
      </c>
      <c r="D1654" s="1" t="s">
        <v>144</v>
      </c>
      <c r="E1654" s="1" t="s">
        <v>786</v>
      </c>
      <c r="F1654" s="21" t="s">
        <v>4</v>
      </c>
      <c r="G1654" s="14">
        <v>1</v>
      </c>
      <c r="H1654" s="14">
        <v>0</v>
      </c>
      <c r="I1654" s="22">
        <v>201</v>
      </c>
      <c r="J1654" s="23">
        <f>VLOOKUP(I1654,episodes!$A$1:$B$76,2,FALSE)</f>
        <v>31</v>
      </c>
      <c r="K1654" s="16" t="str">
        <f>VLOOKUP(I1654,episodes!$A$1:$E$81,5,FALSE)</f>
        <v>Amok Time</v>
      </c>
      <c r="L1654" s="16">
        <f>VLOOKUP(I1654,episodes!$A$1:$D$81,3,FALSE)</f>
        <v>2</v>
      </c>
      <c r="M1654" s="16">
        <f>VLOOKUP(I1654,episodes!$A$1:$D$81,4,FALSE)</f>
        <v>1</v>
      </c>
      <c r="N1654" s="14"/>
      <c r="O1654" s="14">
        <v>0</v>
      </c>
      <c r="P1654" s="24">
        <f>LEN(E1654)+LEN(K1654)</f>
        <v>53</v>
      </c>
      <c r="Q1654" s="24">
        <f>COUNTIFS(B:B,B1653)</f>
        <v>7</v>
      </c>
      <c r="R1654" s="24">
        <f>COUNTIFS(D:D,D1654)</f>
        <v>44</v>
      </c>
    </row>
    <row r="1655" spans="1:18" s="21" customFormat="1" x14ac:dyDescent="0.3">
      <c r="A1655" s="14">
        <v>675</v>
      </c>
      <c r="B1655" s="21" t="s">
        <v>344</v>
      </c>
      <c r="C1655" s="21" t="s">
        <v>0</v>
      </c>
      <c r="D1655" s="1" t="s">
        <v>144</v>
      </c>
      <c r="E1655" s="1" t="s">
        <v>483</v>
      </c>
      <c r="F1655" s="21" t="s">
        <v>4</v>
      </c>
      <c r="G1655" s="14">
        <v>1</v>
      </c>
      <c r="H1655" s="14">
        <v>0</v>
      </c>
      <c r="I1655" s="25">
        <v>110</v>
      </c>
      <c r="J1655" s="23">
        <f>VLOOKUP(I1655,episodes!$A$1:$B$76,2,FALSE)</f>
        <v>11</v>
      </c>
      <c r="K1655" s="16" t="str">
        <f>VLOOKUP(I1655,episodes!$A$1:$E$81,5,FALSE)</f>
        <v>The Corbomite Maneuver</v>
      </c>
      <c r="L1655" s="16">
        <f>VLOOKUP(I1655,episodes!$A$1:$D$81,3,FALSE)</f>
        <v>1</v>
      </c>
      <c r="M1655" s="16">
        <f>VLOOKUP(I1655,episodes!$A$1:$D$81,4,FALSE)</f>
        <v>10</v>
      </c>
      <c r="N1655" s="14"/>
      <c r="O1655" s="14">
        <v>0</v>
      </c>
      <c r="P1655" s="24">
        <f>LEN(E1655)+LEN(K1655)</f>
        <v>67</v>
      </c>
      <c r="Q1655" s="24">
        <f>COUNTIFS(B:B,B1654)</f>
        <v>7</v>
      </c>
      <c r="R1655" s="24">
        <f>COUNTIFS(D:D,D1655)</f>
        <v>44</v>
      </c>
    </row>
    <row r="1656" spans="1:18" s="21" customFormat="1" x14ac:dyDescent="0.3">
      <c r="A1656" s="14">
        <v>1873</v>
      </c>
      <c r="B1656" s="21" t="s">
        <v>324</v>
      </c>
      <c r="C1656" s="21" t="s">
        <v>0</v>
      </c>
      <c r="D1656" s="1" t="s">
        <v>144</v>
      </c>
      <c r="E1656" s="1" t="s">
        <v>476</v>
      </c>
      <c r="F1656" s="21" t="s">
        <v>1862</v>
      </c>
      <c r="G1656" s="14">
        <v>0</v>
      </c>
      <c r="H1656" s="14">
        <v>2</v>
      </c>
      <c r="I1656" s="25">
        <v>108</v>
      </c>
      <c r="J1656" s="23">
        <f>VLOOKUP(I1656,episodes!$A$1:$B$76,2,FALSE)</f>
        <v>9</v>
      </c>
      <c r="K1656" s="16" t="str">
        <f>VLOOKUP(I1656,episodes!$A$1:$E$81,5,FALSE)</f>
        <v>Miri</v>
      </c>
      <c r="L1656" s="16">
        <f>VLOOKUP(I1656,episodes!$A$1:$D$81,3,FALSE)</f>
        <v>1</v>
      </c>
      <c r="M1656" s="16">
        <f>VLOOKUP(I1656,episodes!$A$1:$D$81,4,FALSE)</f>
        <v>8</v>
      </c>
      <c r="N1656" s="14"/>
      <c r="O1656" s="14">
        <v>0</v>
      </c>
      <c r="P1656" s="24">
        <f>LEN(E1656)+LEN(K1656)</f>
        <v>88</v>
      </c>
      <c r="Q1656" s="24">
        <f>COUNTIFS(B:B,B1655)</f>
        <v>7</v>
      </c>
      <c r="R1656" s="24">
        <f>COUNTIFS(D:D,D1656)</f>
        <v>44</v>
      </c>
    </row>
    <row r="1657" spans="1:18" s="21" customFormat="1" x14ac:dyDescent="0.3">
      <c r="A1657" s="14">
        <v>1468</v>
      </c>
      <c r="B1657" s="21" t="s">
        <v>44</v>
      </c>
      <c r="C1657" s="21" t="s">
        <v>0</v>
      </c>
      <c r="D1657" s="1" t="s">
        <v>144</v>
      </c>
      <c r="E1657" s="1" t="s">
        <v>490</v>
      </c>
      <c r="F1657" s="21" t="s">
        <v>2295</v>
      </c>
      <c r="G1657" s="14">
        <v>0</v>
      </c>
      <c r="H1657" s="14">
        <v>0</v>
      </c>
      <c r="I1657" s="25">
        <v>113</v>
      </c>
      <c r="J1657" s="23">
        <f>VLOOKUP(I1657,episodes!$A$1:$B$76,2,FALSE)</f>
        <v>14</v>
      </c>
      <c r="K1657" s="16" t="str">
        <f>VLOOKUP(I1657,episodes!$A$1:$E$81,5,FALSE)</f>
        <v>The Conscience of the King</v>
      </c>
      <c r="L1657" s="16">
        <f>VLOOKUP(I1657,episodes!$A$1:$D$81,3,FALSE)</f>
        <v>1</v>
      </c>
      <c r="M1657" s="16">
        <f>VLOOKUP(I1657,episodes!$A$1:$D$81,4,FALSE)</f>
        <v>13</v>
      </c>
      <c r="N1657" s="14"/>
      <c r="O1657" s="14">
        <v>0</v>
      </c>
      <c r="P1657" s="24">
        <f>LEN(E1657)+LEN(K1657)</f>
        <v>55</v>
      </c>
      <c r="Q1657" s="24">
        <f>COUNTIFS(B:B,B1656)</f>
        <v>8</v>
      </c>
      <c r="R1657" s="24">
        <f>COUNTIFS(D:D,D1657)</f>
        <v>44</v>
      </c>
    </row>
    <row r="1658" spans="1:18" s="21" customFormat="1" x14ac:dyDescent="0.3">
      <c r="A1658" s="14">
        <v>1472</v>
      </c>
      <c r="B1658" s="21" t="s">
        <v>738</v>
      </c>
      <c r="C1658" s="21" t="s">
        <v>0</v>
      </c>
      <c r="D1658" s="1" t="s">
        <v>144</v>
      </c>
      <c r="E1658" s="1" t="s">
        <v>1232</v>
      </c>
      <c r="F1658" s="21" t="s">
        <v>2331</v>
      </c>
      <c r="G1658" s="14">
        <v>0</v>
      </c>
      <c r="H1658" s="14">
        <v>0</v>
      </c>
      <c r="I1658" s="25">
        <v>106</v>
      </c>
      <c r="J1658" s="23">
        <f>VLOOKUP(I1658,episodes!$A$1:$B$76,2,FALSE)</f>
        <v>7</v>
      </c>
      <c r="K1658" s="16" t="str">
        <f>VLOOKUP(I1658,episodes!$A$1:$E$81,5,FALSE)</f>
        <v>Mudd's Women</v>
      </c>
      <c r="L1658" s="16">
        <f>VLOOKUP(I1658,episodes!$A$1:$D$81,3,FALSE)</f>
        <v>1</v>
      </c>
      <c r="M1658" s="16">
        <f>VLOOKUP(I1658,episodes!$A$1:$D$81,4,FALSE)</f>
        <v>6</v>
      </c>
      <c r="N1658" s="14"/>
      <c r="O1658" s="14">
        <v>0</v>
      </c>
      <c r="P1658" s="24">
        <f>LEN(E1658)+LEN(K1658)</f>
        <v>48</v>
      </c>
      <c r="Q1658" s="24">
        <f>COUNTIFS(B:B,B1657)</f>
        <v>10</v>
      </c>
      <c r="R1658" s="24">
        <f>COUNTIFS(D:D,D1658)</f>
        <v>44</v>
      </c>
    </row>
    <row r="1659" spans="1:18" s="21" customFormat="1" x14ac:dyDescent="0.3">
      <c r="A1659" s="14">
        <v>1939</v>
      </c>
      <c r="B1659" s="21" t="s">
        <v>0</v>
      </c>
      <c r="C1659" s="21" t="s">
        <v>0</v>
      </c>
      <c r="D1659" s="21" t="s">
        <v>144</v>
      </c>
      <c r="E1659" s="1" t="s">
        <v>1033</v>
      </c>
      <c r="F1659" s="21" t="s">
        <v>2228</v>
      </c>
      <c r="G1659" s="14">
        <v>0</v>
      </c>
      <c r="H1659" s="14">
        <v>0</v>
      </c>
      <c r="I1659" s="25">
        <v>208</v>
      </c>
      <c r="J1659" s="23">
        <f>VLOOKUP(I1659,episodes!$A$1:$B$81,2,FALSE)</f>
        <v>38</v>
      </c>
      <c r="K1659" s="16" t="str">
        <f>VLOOKUP(I1659,episodes!$A$1:$E$81,5,FALSE)</f>
        <v>I, Mudd</v>
      </c>
      <c r="L1659" s="16">
        <f>VLOOKUP(I1659,episodes!$A$1:$D$81,3,FALSE)</f>
        <v>2</v>
      </c>
      <c r="M1659" s="16">
        <f>VLOOKUP(I1659,episodes!$A$1:$D$81,4,FALSE)</f>
        <v>8</v>
      </c>
      <c r="N1659" s="14"/>
      <c r="O1659" s="14">
        <v>0</v>
      </c>
      <c r="P1659" s="24">
        <f>LEN(E1659)+LEN(K1659)</f>
        <v>129</v>
      </c>
      <c r="Q1659" s="24">
        <f>COUNTIFS(B:B,B1658)</f>
        <v>1</v>
      </c>
      <c r="R1659" s="24">
        <f>COUNTIFS(D:D,D1659)</f>
        <v>44</v>
      </c>
    </row>
    <row r="1660" spans="1:18" s="21" customFormat="1" x14ac:dyDescent="0.3">
      <c r="A1660" s="14">
        <v>581</v>
      </c>
      <c r="B1660" s="21" t="s">
        <v>258</v>
      </c>
      <c r="C1660" s="21" t="s">
        <v>0</v>
      </c>
      <c r="D1660" s="1" t="s">
        <v>144</v>
      </c>
      <c r="E1660" s="1" t="s">
        <v>1219</v>
      </c>
      <c r="F1660" s="21" t="s">
        <v>4</v>
      </c>
      <c r="G1660" s="14">
        <v>1</v>
      </c>
      <c r="H1660" s="14">
        <v>0</v>
      </c>
      <c r="I1660" s="25">
        <v>104</v>
      </c>
      <c r="J1660" s="23">
        <f>VLOOKUP(I1660,episodes!$A$1:$B$76,2,FALSE)</f>
        <v>5</v>
      </c>
      <c r="K1660" s="16" t="str">
        <f>VLOOKUP(I1660,episodes!$A$1:$E$81,5,FALSE)</f>
        <v>The Naked Time</v>
      </c>
      <c r="L1660" s="16">
        <f>VLOOKUP(I1660,episodes!$A$1:$D$81,3,FALSE)</f>
        <v>1</v>
      </c>
      <c r="M1660" s="16">
        <f>VLOOKUP(I1660,episodes!$A$1:$D$81,4,FALSE)</f>
        <v>4</v>
      </c>
      <c r="N1660" s="14"/>
      <c r="O1660" s="14">
        <v>0</v>
      </c>
      <c r="P1660" s="24">
        <f>LEN(E1660)+LEN(K1660)</f>
        <v>118</v>
      </c>
      <c r="Q1660" s="24">
        <f>COUNTIFS(B:B,B1659)</f>
        <v>11</v>
      </c>
      <c r="R1660" s="24">
        <f>COUNTIFS(D:D,D1660)</f>
        <v>44</v>
      </c>
    </row>
    <row r="1661" spans="1:18" s="21" customFormat="1" x14ac:dyDescent="0.3">
      <c r="A1661" s="14">
        <v>1758</v>
      </c>
      <c r="B1661" s="21" t="s">
        <v>44</v>
      </c>
      <c r="C1661" s="21" t="s">
        <v>0</v>
      </c>
      <c r="D1661" s="1" t="s">
        <v>144</v>
      </c>
      <c r="E1661" s="1" t="s">
        <v>2329</v>
      </c>
      <c r="F1661" s="21" t="s">
        <v>2546</v>
      </c>
      <c r="G1661" s="14">
        <v>0</v>
      </c>
      <c r="H1661" s="14">
        <v>0</v>
      </c>
      <c r="I1661" s="25">
        <v>204</v>
      </c>
      <c r="J1661" s="23">
        <f>VLOOKUP(I1661,episodes!$A$1:$B$81,2,FALSE)</f>
        <v>34</v>
      </c>
      <c r="K1661" s="16" t="str">
        <f>VLOOKUP(I1661,episodes!$A$1:$E$81,5,FALSE)</f>
        <v>Mirror, Mirror</v>
      </c>
      <c r="L1661" s="16">
        <f>VLOOKUP(I1661,episodes!$A$1:$D$81,3,FALSE)</f>
        <v>2</v>
      </c>
      <c r="M1661" s="16">
        <f>VLOOKUP(I1661,episodes!$A$1:$D$81,4,FALSE)</f>
        <v>4</v>
      </c>
      <c r="N1661" s="14"/>
      <c r="O1661" s="14">
        <v>0</v>
      </c>
      <c r="P1661" s="24">
        <f>LEN(E1661)+LEN(K1661)</f>
        <v>98</v>
      </c>
      <c r="Q1661" s="24">
        <f>COUNTIFS(B:B,B1659)</f>
        <v>11</v>
      </c>
      <c r="R1661" s="24">
        <f>COUNTIFS(D:D,D1661)</f>
        <v>44</v>
      </c>
    </row>
    <row r="1662" spans="1:18" s="21" customFormat="1" x14ac:dyDescent="0.3">
      <c r="A1662" s="14">
        <v>1780</v>
      </c>
      <c r="B1662" s="21" t="s">
        <v>141</v>
      </c>
      <c r="C1662" s="21" t="s">
        <v>0</v>
      </c>
      <c r="D1662" s="21" t="s">
        <v>144</v>
      </c>
      <c r="E1662" s="1" t="s">
        <v>1579</v>
      </c>
      <c r="F1662" s="21" t="s">
        <v>2294</v>
      </c>
      <c r="G1662" s="14">
        <v>0</v>
      </c>
      <c r="H1662" s="14">
        <v>0</v>
      </c>
      <c r="I1662" s="14">
        <v>106</v>
      </c>
      <c r="J1662" s="23">
        <f>VLOOKUP(I1662,episodes!$A$1:$B$81,2,FALSE)</f>
        <v>7</v>
      </c>
      <c r="K1662" s="16" t="str">
        <f>VLOOKUP(I1662,episodes!$A$1:$E$81,5,FALSE)</f>
        <v>Mudd's Women</v>
      </c>
      <c r="L1662" s="16">
        <f>VLOOKUP(I1662,episodes!$A$1:$D$81,3,FALSE)</f>
        <v>1</v>
      </c>
      <c r="M1662" s="16">
        <f>VLOOKUP(I1662,episodes!$A$1:$D$81,4,FALSE)</f>
        <v>6</v>
      </c>
      <c r="N1662" s="14"/>
      <c r="O1662" s="14">
        <v>0</v>
      </c>
      <c r="P1662" s="24">
        <f>LEN(E1662)+LEN(K1662)</f>
        <v>87</v>
      </c>
      <c r="Q1662" s="24">
        <f>COUNTIFS(B:B,#REF!)</f>
        <v>0</v>
      </c>
      <c r="R1662" s="24">
        <f>COUNTIFS(D:D,D1662)</f>
        <v>44</v>
      </c>
    </row>
    <row r="1663" spans="1:18" s="21" customFormat="1" x14ac:dyDescent="0.3">
      <c r="A1663" s="14">
        <v>1735</v>
      </c>
      <c r="B1663" s="21" t="s">
        <v>44</v>
      </c>
      <c r="C1663" s="21" t="s">
        <v>0</v>
      </c>
      <c r="D1663" s="1" t="s">
        <v>144</v>
      </c>
      <c r="E1663" s="1" t="s">
        <v>2597</v>
      </c>
      <c r="F1663" s="21" t="s">
        <v>2328</v>
      </c>
      <c r="G1663" s="14">
        <v>0</v>
      </c>
      <c r="H1663" s="14">
        <v>0</v>
      </c>
      <c r="I1663" s="22">
        <v>123</v>
      </c>
      <c r="J1663" s="23">
        <f>VLOOKUP(I1663,episodes!$A$1:$B$76,2,FALSE)</f>
        <v>24</v>
      </c>
      <c r="K1663" s="16" t="str">
        <f>VLOOKUP(I1663,episodes!$A$1:$E$81,5,FALSE)</f>
        <v>A Taste of Armageddon</v>
      </c>
      <c r="L1663" s="16">
        <f>VLOOKUP(I1663,episodes!$A$1:$D$81,3,FALSE)</f>
        <v>1</v>
      </c>
      <c r="M1663" s="16">
        <f>VLOOKUP(I1663,episodes!$A$1:$D$81,4,FALSE)</f>
        <v>23</v>
      </c>
      <c r="N1663" s="14"/>
      <c r="O1663" s="14">
        <v>0</v>
      </c>
      <c r="P1663" s="24">
        <f>LEN(E1663)+LEN(K1663)</f>
        <v>87</v>
      </c>
      <c r="Q1663" s="24">
        <f>COUNTIFS(B:B,B1661)</f>
        <v>10</v>
      </c>
      <c r="R1663" s="24">
        <f>COUNTIFS(D:D,D1663)</f>
        <v>44</v>
      </c>
    </row>
    <row r="1664" spans="1:18" s="21" customFormat="1" x14ac:dyDescent="0.3">
      <c r="A1664" s="14">
        <v>2427</v>
      </c>
      <c r="B1664" s="21" t="s">
        <v>344</v>
      </c>
      <c r="C1664" s="21" t="s">
        <v>0</v>
      </c>
      <c r="D1664" s="1" t="s">
        <v>144</v>
      </c>
      <c r="E1664" s="1" t="s">
        <v>1509</v>
      </c>
      <c r="F1664" s="21" t="s">
        <v>1861</v>
      </c>
      <c r="G1664" s="14">
        <v>0</v>
      </c>
      <c r="H1664" s="14">
        <v>1</v>
      </c>
      <c r="I1664" s="25">
        <v>104</v>
      </c>
      <c r="J1664" s="23">
        <f>VLOOKUP(I1664,episodes!$A$1:$B$76,2,FALSE)</f>
        <v>5</v>
      </c>
      <c r="K1664" s="16" t="str">
        <f>VLOOKUP(I1664,episodes!$A$1:$E$81,5,FALSE)</f>
        <v>The Naked Time</v>
      </c>
      <c r="L1664" s="16">
        <f>VLOOKUP(I1664,episodes!$A$1:$D$81,3,FALSE)</f>
        <v>1</v>
      </c>
      <c r="M1664" s="16">
        <f>VLOOKUP(I1664,episodes!$A$1:$D$81,4,FALSE)</f>
        <v>4</v>
      </c>
      <c r="N1664" s="14"/>
      <c r="O1664" s="14">
        <v>0</v>
      </c>
      <c r="P1664" s="24">
        <f>LEN(E1664)+LEN(K1664)</f>
        <v>86</v>
      </c>
      <c r="Q1664" s="24">
        <f>COUNTIFS(B:B,B1663)</f>
        <v>10</v>
      </c>
      <c r="R1664" s="24">
        <f>COUNTIFS(D:D,D1664)</f>
        <v>44</v>
      </c>
    </row>
    <row r="1665" spans="1:19" s="21" customFormat="1" x14ac:dyDescent="0.3">
      <c r="A1665" s="14">
        <v>2471</v>
      </c>
      <c r="B1665" s="21" t="s">
        <v>44</v>
      </c>
      <c r="C1665" s="21" t="s">
        <v>0</v>
      </c>
      <c r="D1665" s="1" t="s">
        <v>144</v>
      </c>
      <c r="E1665" s="1" t="s">
        <v>1023</v>
      </c>
      <c r="F1665" s="21" t="s">
        <v>2316</v>
      </c>
      <c r="G1665" s="14">
        <v>0</v>
      </c>
      <c r="H1665" s="14">
        <v>0</v>
      </c>
      <c r="I1665" s="22">
        <v>207</v>
      </c>
      <c r="J1665" s="23">
        <f>VLOOKUP(I1665,episodes!$A$1:$B$81,2,FALSE)</f>
        <v>37</v>
      </c>
      <c r="K1665" s="16" t="str">
        <f>VLOOKUP(I1665,episodes!$A$1:$E$81,5,FALSE)</f>
        <v>Catspaw</v>
      </c>
      <c r="L1665" s="16">
        <f>VLOOKUP(I1665,episodes!$A$1:$D$81,3,FALSE)</f>
        <v>2</v>
      </c>
      <c r="M1665" s="16">
        <f>VLOOKUP(I1665,episodes!$A$1:$D$81,4,FALSE)</f>
        <v>7</v>
      </c>
      <c r="N1665" s="14"/>
      <c r="O1665" s="14">
        <v>0</v>
      </c>
      <c r="P1665" s="24">
        <f>LEN(E1665)+LEN(K1665)</f>
        <v>57</v>
      </c>
      <c r="Q1665" s="24">
        <f>COUNTIFS(B:B,B1664)</f>
        <v>7</v>
      </c>
      <c r="R1665" s="24">
        <f>COUNTIFS(D:D,D1665)</f>
        <v>44</v>
      </c>
      <c r="S1665" s="1"/>
    </row>
    <row r="1666" spans="1:19" s="21" customFormat="1" x14ac:dyDescent="0.3">
      <c r="A1666" s="14">
        <v>1781</v>
      </c>
      <c r="B1666" s="21" t="s">
        <v>44</v>
      </c>
      <c r="C1666" s="21" t="s">
        <v>0</v>
      </c>
      <c r="D1666" s="1" t="s">
        <v>144</v>
      </c>
      <c r="E1666" s="1" t="s">
        <v>1576</v>
      </c>
      <c r="F1666" s="21" t="s">
        <v>2294</v>
      </c>
      <c r="G1666" s="14">
        <v>0</v>
      </c>
      <c r="H1666" s="14">
        <v>0</v>
      </c>
      <c r="I1666" s="25">
        <v>106</v>
      </c>
      <c r="J1666" s="23">
        <f>VLOOKUP(I1666,episodes!$A$1:$B$76,2,FALSE)</f>
        <v>7</v>
      </c>
      <c r="K1666" s="16" t="str">
        <f>VLOOKUP(I1666,episodes!$A$1:$E$81,5,FALSE)</f>
        <v>Mudd's Women</v>
      </c>
      <c r="L1666" s="16">
        <f>VLOOKUP(I1666,episodes!$A$1:$D$81,3,FALSE)</f>
        <v>1</v>
      </c>
      <c r="M1666" s="16">
        <f>VLOOKUP(I1666,episodes!$A$1:$D$81,4,FALSE)</f>
        <v>6</v>
      </c>
      <c r="N1666" s="14"/>
      <c r="O1666" s="14">
        <v>0</v>
      </c>
      <c r="P1666" s="24">
        <f>LEN(E1666)+LEN(K1666)</f>
        <v>104</v>
      </c>
      <c r="Q1666" s="24">
        <f>COUNTIFS(B:B,B1665)</f>
        <v>10</v>
      </c>
      <c r="R1666" s="24">
        <f>COUNTIFS(D:D,D1666)</f>
        <v>44</v>
      </c>
      <c r="S1666" s="1"/>
    </row>
    <row r="1667" spans="1:19" s="21" customFormat="1" x14ac:dyDescent="0.3">
      <c r="A1667" s="14">
        <v>2020</v>
      </c>
      <c r="B1667" s="21" t="s">
        <v>1152</v>
      </c>
      <c r="C1667" s="21" t="s">
        <v>0</v>
      </c>
      <c r="D1667" s="21" t="s">
        <v>144</v>
      </c>
      <c r="E1667" s="1" t="s">
        <v>2200</v>
      </c>
      <c r="F1667" s="21" t="s">
        <v>2386</v>
      </c>
      <c r="G1667" s="14">
        <v>0</v>
      </c>
      <c r="H1667" s="14">
        <v>0</v>
      </c>
      <c r="I1667" s="14">
        <v>216</v>
      </c>
      <c r="J1667" s="23">
        <f>VLOOKUP(I1667,episodes!$A$1:$B$81,2,FALSE)</f>
        <v>46</v>
      </c>
      <c r="K1667" s="16" t="str">
        <f>VLOOKUP(I1667,episodes!$A$1:$E$81,5,FALSE)</f>
        <v>The Gamesters of Triskelion</v>
      </c>
      <c r="L1667" s="16">
        <f>VLOOKUP(I1667,episodes!$A$1:$D$81,3,FALSE)</f>
        <v>2</v>
      </c>
      <c r="M1667" s="16">
        <f>VLOOKUP(I1667,episodes!$A$1:$D$81,4,FALSE)</f>
        <v>16</v>
      </c>
      <c r="N1667" s="14"/>
      <c r="O1667" s="14">
        <v>0</v>
      </c>
      <c r="P1667" s="24">
        <f>LEN(E1667)+LEN(K1667)</f>
        <v>142</v>
      </c>
      <c r="Q1667" s="24">
        <f>COUNTIFS(B:B,B1669)</f>
        <v>8</v>
      </c>
      <c r="R1667" s="24">
        <f>COUNTIFS(D:D,D1670)</f>
        <v>44</v>
      </c>
    </row>
    <row r="1668" spans="1:19" s="21" customFormat="1" x14ac:dyDescent="0.3">
      <c r="A1668" s="14">
        <v>1480</v>
      </c>
      <c r="B1668" s="21" t="s">
        <v>44</v>
      </c>
      <c r="C1668" s="21" t="s">
        <v>0</v>
      </c>
      <c r="D1668" s="1" t="s">
        <v>144</v>
      </c>
      <c r="E1668" s="1" t="s">
        <v>499</v>
      </c>
      <c r="F1668" s="21" t="s">
        <v>8</v>
      </c>
      <c r="G1668" s="14">
        <v>0</v>
      </c>
      <c r="H1668" s="14">
        <v>1</v>
      </c>
      <c r="I1668" s="22">
        <v>115</v>
      </c>
      <c r="J1668" s="23">
        <f>VLOOKUP(I1668,episodes!$A$1:$B$76,2,FALSE)</f>
        <v>16</v>
      </c>
      <c r="K1668" s="16" t="str">
        <f>VLOOKUP(I1668,episodes!$A$1:$E$81,5,FALSE)</f>
        <v>Shore Leave</v>
      </c>
      <c r="L1668" s="16">
        <f>VLOOKUP(I1668,episodes!$A$1:$D$81,3,FALSE)</f>
        <v>1</v>
      </c>
      <c r="M1668" s="16">
        <f>VLOOKUP(I1668,episodes!$A$1:$D$81,4,FALSE)</f>
        <v>15</v>
      </c>
      <c r="N1668" s="14"/>
      <c r="O1668" s="14">
        <v>0</v>
      </c>
      <c r="P1668" s="24">
        <f>LEN(E1668)+LEN(K1668)</f>
        <v>91</v>
      </c>
      <c r="Q1668" s="24">
        <f>COUNTIFS(B:B,B1667)</f>
        <v>2</v>
      </c>
      <c r="R1668" s="24">
        <f>COUNTIFS(D:D,D1668)</f>
        <v>44</v>
      </c>
    </row>
    <row r="1669" spans="1:19" s="21" customFormat="1" x14ac:dyDescent="0.3">
      <c r="A1669" s="14">
        <v>2541</v>
      </c>
      <c r="B1669" s="21" t="s">
        <v>324</v>
      </c>
      <c r="C1669" s="21" t="s">
        <v>0</v>
      </c>
      <c r="D1669" s="1" t="s">
        <v>144</v>
      </c>
      <c r="E1669" s="1" t="s">
        <v>1027</v>
      </c>
      <c r="F1669" s="21" t="s">
        <v>1863</v>
      </c>
      <c r="G1669" s="14">
        <v>1</v>
      </c>
      <c r="H1669" s="14">
        <v>0</v>
      </c>
      <c r="I1669" s="22">
        <v>208</v>
      </c>
      <c r="J1669" s="23">
        <f>VLOOKUP(I1669,episodes!$A$1:$B$81,2,FALSE)</f>
        <v>38</v>
      </c>
      <c r="K1669" s="16" t="str">
        <f>VLOOKUP(I1669,episodes!$A$1:$E$81,5,FALSE)</f>
        <v>I, Mudd</v>
      </c>
      <c r="L1669" s="16">
        <f>VLOOKUP(I1669,episodes!$A$1:$D$81,3,FALSE)</f>
        <v>2</v>
      </c>
      <c r="M1669" s="16">
        <f>VLOOKUP(I1669,episodes!$A$1:$D$81,4,FALSE)</f>
        <v>8</v>
      </c>
      <c r="N1669" s="14"/>
      <c r="O1669" s="14">
        <v>0</v>
      </c>
      <c r="P1669" s="24">
        <f>LEN(E1669)+LEN(K1669)</f>
        <v>86</v>
      </c>
      <c r="Q1669" s="24">
        <f>COUNTIFS(B:B,B1668)</f>
        <v>10</v>
      </c>
      <c r="R1669" s="24">
        <f>COUNTIFS(D:D,D1669)</f>
        <v>44</v>
      </c>
    </row>
    <row r="1670" spans="1:19" s="21" customFormat="1" x14ac:dyDescent="0.3">
      <c r="A1670" s="14">
        <v>2531</v>
      </c>
      <c r="B1670" s="21" t="s">
        <v>324</v>
      </c>
      <c r="C1670" s="21" t="s">
        <v>0</v>
      </c>
      <c r="D1670" s="1" t="s">
        <v>144</v>
      </c>
      <c r="E1670" s="1" t="s">
        <v>2114</v>
      </c>
      <c r="F1670" s="21" t="s">
        <v>1863</v>
      </c>
      <c r="G1670" s="14">
        <v>1</v>
      </c>
      <c r="H1670" s="14">
        <v>0</v>
      </c>
      <c r="I1670" s="22">
        <v>202</v>
      </c>
      <c r="J1670" s="23">
        <f>VLOOKUP(I1670,episodes!$A$1:$B$76,2,FALSE)</f>
        <v>32</v>
      </c>
      <c r="K1670" s="16" t="str">
        <f>VLOOKUP(I1670,episodes!$A$1:$E$81,5,FALSE)</f>
        <v>Who Mourns for Adonais?</v>
      </c>
      <c r="L1670" s="16">
        <f>VLOOKUP(I1670,episodes!$A$1:$D$81,3,FALSE)</f>
        <v>2</v>
      </c>
      <c r="M1670" s="16">
        <f>VLOOKUP(I1670,episodes!$A$1:$D$81,4,FALSE)</f>
        <v>2</v>
      </c>
      <c r="N1670" s="14"/>
      <c r="O1670" s="14">
        <v>0</v>
      </c>
      <c r="P1670" s="24">
        <f>LEN(E1670)+LEN(K1670)</f>
        <v>89</v>
      </c>
      <c r="Q1670" s="24">
        <f>COUNTIFS(B:B,B1669)</f>
        <v>8</v>
      </c>
      <c r="R1670" s="24">
        <f>COUNTIFS(D:D,D1670)</f>
        <v>44</v>
      </c>
    </row>
    <row r="1671" spans="1:19" s="21" customFormat="1" x14ac:dyDescent="0.3">
      <c r="A1671" s="14">
        <v>2504</v>
      </c>
      <c r="B1671" s="21" t="s">
        <v>331</v>
      </c>
      <c r="C1671" s="21" t="s">
        <v>0</v>
      </c>
      <c r="D1671" s="1" t="s">
        <v>144</v>
      </c>
      <c r="E1671" s="1" t="s">
        <v>1231</v>
      </c>
      <c r="F1671" s="21" t="s">
        <v>1863</v>
      </c>
      <c r="G1671" s="14">
        <v>1</v>
      </c>
      <c r="H1671" s="14">
        <v>0</v>
      </c>
      <c r="I1671" s="25">
        <v>106</v>
      </c>
      <c r="J1671" s="23">
        <f>VLOOKUP(I1671,episodes!$A$1:$B$76,2,FALSE)</f>
        <v>7</v>
      </c>
      <c r="K1671" s="16" t="str">
        <f>VLOOKUP(I1671,episodes!$A$1:$E$81,5,FALSE)</f>
        <v>Mudd's Women</v>
      </c>
      <c r="L1671" s="16">
        <f>VLOOKUP(I1671,episodes!$A$1:$D$81,3,FALSE)</f>
        <v>1</v>
      </c>
      <c r="M1671" s="16">
        <f>VLOOKUP(I1671,episodes!$A$1:$D$81,4,FALSE)</f>
        <v>6</v>
      </c>
      <c r="N1671" s="14"/>
      <c r="O1671" s="14">
        <v>0</v>
      </c>
      <c r="P1671" s="24">
        <f>LEN(E1671)+LEN(K1671)</f>
        <v>77</v>
      </c>
      <c r="Q1671" s="24">
        <f>COUNTIFS(B:B,B1670)</f>
        <v>8</v>
      </c>
      <c r="R1671" s="24">
        <f>COUNTIFS(D:D,D1671)</f>
        <v>44</v>
      </c>
    </row>
    <row r="1672" spans="1:19" s="21" customFormat="1" x14ac:dyDescent="0.3">
      <c r="A1672" s="14">
        <v>2505</v>
      </c>
      <c r="B1672" s="21" t="s">
        <v>331</v>
      </c>
      <c r="C1672" s="21" t="s">
        <v>0</v>
      </c>
      <c r="D1672" s="1" t="s">
        <v>144</v>
      </c>
      <c r="E1672" s="1" t="s">
        <v>482</v>
      </c>
      <c r="F1672" s="21" t="s">
        <v>1863</v>
      </c>
      <c r="G1672" s="14">
        <v>1</v>
      </c>
      <c r="H1672" s="14">
        <v>0</v>
      </c>
      <c r="I1672" s="25">
        <v>110</v>
      </c>
      <c r="J1672" s="23">
        <f>VLOOKUP(I1672,episodes!$A$1:$B$76,2,FALSE)</f>
        <v>11</v>
      </c>
      <c r="K1672" s="16" t="str">
        <f>VLOOKUP(I1672,episodes!$A$1:$E$81,5,FALSE)</f>
        <v>The Corbomite Maneuver</v>
      </c>
      <c r="L1672" s="16">
        <f>VLOOKUP(I1672,episodes!$A$1:$D$81,3,FALSE)</f>
        <v>1</v>
      </c>
      <c r="M1672" s="16">
        <f>VLOOKUP(I1672,episodes!$A$1:$D$81,4,FALSE)</f>
        <v>10</v>
      </c>
      <c r="N1672" s="14"/>
      <c r="O1672" s="14">
        <v>0</v>
      </c>
      <c r="P1672" s="24">
        <f>LEN(E1672)+LEN(K1672)</f>
        <v>89</v>
      </c>
      <c r="Q1672" s="24">
        <f>COUNTIFS(B:B,B1671)</f>
        <v>2</v>
      </c>
      <c r="R1672" s="24">
        <f>COUNTIFS(D:D,D1672)</f>
        <v>44</v>
      </c>
    </row>
    <row r="1673" spans="1:19" s="21" customFormat="1" x14ac:dyDescent="0.3">
      <c r="A1673" s="14">
        <v>2526</v>
      </c>
      <c r="B1673" s="21" t="s">
        <v>324</v>
      </c>
      <c r="C1673" s="21" t="s">
        <v>0</v>
      </c>
      <c r="D1673" s="1" t="s">
        <v>144</v>
      </c>
      <c r="E1673" s="1" t="s">
        <v>728</v>
      </c>
      <c r="F1673" s="21" t="s">
        <v>1863</v>
      </c>
      <c r="G1673" s="14">
        <v>1</v>
      </c>
      <c r="H1673" s="14">
        <v>0</v>
      </c>
      <c r="I1673" s="22">
        <v>128</v>
      </c>
      <c r="J1673" s="23">
        <f>VLOOKUP(I1673,episodes!$A$1:$B$76,2,FALSE)</f>
        <v>29</v>
      </c>
      <c r="K1673" s="16" t="str">
        <f>VLOOKUP(I1673,episodes!$A$1:$E$81,5,FALSE)</f>
        <v>The City on the Edge of Forever</v>
      </c>
      <c r="L1673" s="16">
        <f>VLOOKUP(I1673,episodes!$A$1:$D$81,3,FALSE)</f>
        <v>1</v>
      </c>
      <c r="M1673" s="16">
        <f>VLOOKUP(I1673,episodes!$A$1:$D$81,4,FALSE)</f>
        <v>28</v>
      </c>
      <c r="N1673" s="14"/>
      <c r="O1673" s="14">
        <v>0</v>
      </c>
      <c r="P1673" s="24">
        <f>LEN(E1673)+LEN(K1673)</f>
        <v>102</v>
      </c>
      <c r="Q1673" s="24">
        <f>COUNTIFS(B:B,B1672)</f>
        <v>2</v>
      </c>
      <c r="R1673" s="24">
        <f>COUNTIFS(D:D,D1673)</f>
        <v>44</v>
      </c>
    </row>
    <row r="1674" spans="1:19" s="21" customFormat="1" x14ac:dyDescent="0.3">
      <c r="A1674" s="14">
        <v>118</v>
      </c>
      <c r="B1674" s="21" t="s">
        <v>324</v>
      </c>
      <c r="C1674" s="21" t="s">
        <v>0</v>
      </c>
      <c r="D1674" s="1" t="s">
        <v>144</v>
      </c>
      <c r="E1674" s="1" t="s">
        <v>1637</v>
      </c>
      <c r="F1674" s="21" t="s">
        <v>2258</v>
      </c>
      <c r="G1674" s="14">
        <v>0</v>
      </c>
      <c r="H1674" s="14">
        <v>2</v>
      </c>
      <c r="I1674" s="25">
        <v>107</v>
      </c>
      <c r="J1674" s="23">
        <f>VLOOKUP(I1674,episodes!$A$1:$B$76,2,FALSE)</f>
        <v>8</v>
      </c>
      <c r="K1674" s="16" t="str">
        <f>VLOOKUP(I1674,episodes!$A$1:$E$81,5,FALSE)</f>
        <v>What Are Little Girls Made Of?</v>
      </c>
      <c r="L1674" s="16">
        <f>VLOOKUP(I1674,episodes!$A$1:$D$81,3,FALSE)</f>
        <v>1</v>
      </c>
      <c r="M1674" s="16">
        <f>VLOOKUP(I1674,episodes!$A$1:$D$81,4,FALSE)</f>
        <v>7</v>
      </c>
      <c r="N1674" s="14"/>
      <c r="O1674" s="14">
        <v>0</v>
      </c>
      <c r="P1674" s="24">
        <f>LEN(E1674)+LEN(K1674)</f>
        <v>117</v>
      </c>
      <c r="Q1674" s="24">
        <f>COUNTIFS(B:B,B1673)</f>
        <v>8</v>
      </c>
      <c r="R1674" s="24">
        <f>COUNTIFS(D:D,D1674)</f>
        <v>44</v>
      </c>
    </row>
    <row r="1675" spans="1:19" s="21" customFormat="1" x14ac:dyDescent="0.3">
      <c r="A1675" s="14">
        <v>2702</v>
      </c>
      <c r="B1675" s="21" t="s">
        <v>44</v>
      </c>
      <c r="C1675" s="21" t="s">
        <v>0</v>
      </c>
      <c r="D1675" s="1" t="s">
        <v>144</v>
      </c>
      <c r="E1675" s="1" t="s">
        <v>439</v>
      </c>
      <c r="F1675" s="21" t="s">
        <v>2251</v>
      </c>
      <c r="G1675" s="14">
        <v>0</v>
      </c>
      <c r="H1675" s="14">
        <v>0</v>
      </c>
      <c r="I1675" s="25">
        <v>100</v>
      </c>
      <c r="J1675" s="23">
        <f>VLOOKUP(I1675,episodes!$A$1:$B$76,2,FALSE)</f>
        <v>1</v>
      </c>
      <c r="K1675" s="16" t="str">
        <f>VLOOKUP(I1675,episodes!$A$1:$E$81,5,FALSE)</f>
        <v>The Cage</v>
      </c>
      <c r="L1675" s="16">
        <f>VLOOKUP(I1675,episodes!$A$1:$D$81,3,FALSE)</f>
        <v>1</v>
      </c>
      <c r="M1675" s="16">
        <f>VLOOKUP(I1675,episodes!$A$1:$D$81,4,FALSE)</f>
        <v>0</v>
      </c>
      <c r="N1675" s="14"/>
      <c r="O1675" s="14">
        <v>0</v>
      </c>
      <c r="P1675" s="24">
        <f>LEN(E1675)+LEN(K1675)</f>
        <v>67</v>
      </c>
      <c r="Q1675" s="24">
        <f>COUNTIFS(B:B,B1669)</f>
        <v>8</v>
      </c>
      <c r="R1675" s="24">
        <f>COUNTIFS(D:D,D1675)</f>
        <v>44</v>
      </c>
    </row>
    <row r="1676" spans="1:19" s="21" customFormat="1" x14ac:dyDescent="0.3">
      <c r="A1676" s="14">
        <v>2703</v>
      </c>
      <c r="B1676" s="21" t="s">
        <v>44</v>
      </c>
      <c r="C1676" s="21" t="s">
        <v>0</v>
      </c>
      <c r="D1676" s="1" t="s">
        <v>144</v>
      </c>
      <c r="E1676" s="1" t="s">
        <v>1064</v>
      </c>
      <c r="F1676" s="21" t="s">
        <v>2251</v>
      </c>
      <c r="G1676" s="14">
        <v>0</v>
      </c>
      <c r="H1676" s="14">
        <v>0</v>
      </c>
      <c r="I1676" s="25">
        <v>100</v>
      </c>
      <c r="J1676" s="23">
        <f>VLOOKUP(I1676,episodes!$A$1:$B$76,2,FALSE)</f>
        <v>1</v>
      </c>
      <c r="K1676" s="16" t="str">
        <f>VLOOKUP(I1676,episodes!$A$1:$E$81,5,FALSE)</f>
        <v>The Cage</v>
      </c>
      <c r="L1676" s="16">
        <f>VLOOKUP(I1676,episodes!$A$1:$D$81,3,FALSE)</f>
        <v>1</v>
      </c>
      <c r="M1676" s="16">
        <f>VLOOKUP(I1676,episodes!$A$1:$D$81,4,FALSE)</f>
        <v>0</v>
      </c>
      <c r="N1676" s="14"/>
      <c r="O1676" s="14">
        <v>0</v>
      </c>
      <c r="P1676" s="24">
        <f>LEN(E1676)+LEN(K1676)</f>
        <v>92</v>
      </c>
      <c r="Q1676" s="24">
        <f>COUNTIFS(B:B,B1675)</f>
        <v>10</v>
      </c>
      <c r="R1676" s="24">
        <f>COUNTIFS(D:D,D1676)</f>
        <v>44</v>
      </c>
    </row>
    <row r="1677" spans="1:19" s="21" customFormat="1" x14ac:dyDescent="0.3">
      <c r="A1677" s="14">
        <v>171</v>
      </c>
      <c r="B1677" s="21" t="s">
        <v>344</v>
      </c>
      <c r="C1677" s="21" t="s">
        <v>0</v>
      </c>
      <c r="D1677" s="1" t="s">
        <v>144</v>
      </c>
      <c r="E1677" s="1" t="s">
        <v>1471</v>
      </c>
      <c r="F1677" s="21" t="s">
        <v>2255</v>
      </c>
      <c r="G1677" s="14">
        <v>0</v>
      </c>
      <c r="H1677" s="14">
        <v>0</v>
      </c>
      <c r="I1677" s="25">
        <v>102</v>
      </c>
      <c r="J1677" s="23">
        <f>VLOOKUP(I1677,episodes!$A$1:$B$76,2,FALSE)</f>
        <v>3</v>
      </c>
      <c r="K1677" s="16" t="str">
        <f>VLOOKUP(I1677,episodes!$A$1:$E$81,5,FALSE)</f>
        <v>Charlie X</v>
      </c>
      <c r="L1677" s="16">
        <f>VLOOKUP(I1677,episodes!$A$1:$D$81,3,FALSE)</f>
        <v>1</v>
      </c>
      <c r="M1677" s="16">
        <f>VLOOKUP(I1677,episodes!$A$1:$D$81,4,FALSE)</f>
        <v>2</v>
      </c>
      <c r="N1677" s="14"/>
      <c r="O1677" s="14">
        <v>0</v>
      </c>
      <c r="P1677" s="24">
        <f>LEN(E1677)+LEN(K1677)</f>
        <v>62</v>
      </c>
      <c r="Q1677" s="24">
        <f>COUNTIFS(B:B,B1676)</f>
        <v>10</v>
      </c>
      <c r="R1677" s="24">
        <f>COUNTIFS(D:D,D1677)</f>
        <v>44</v>
      </c>
    </row>
    <row r="1678" spans="1:19" s="21" customFormat="1" x14ac:dyDescent="0.3">
      <c r="A1678" s="14">
        <v>359</v>
      </c>
      <c r="B1678" s="21" t="s">
        <v>141</v>
      </c>
      <c r="C1678" s="21" t="s">
        <v>0</v>
      </c>
      <c r="D1678" s="21" t="s">
        <v>144</v>
      </c>
      <c r="E1678" s="1" t="s">
        <v>909</v>
      </c>
      <c r="F1678" s="21" t="s">
        <v>2224</v>
      </c>
      <c r="G1678" s="14">
        <v>0</v>
      </c>
      <c r="H1678" s="14">
        <v>0</v>
      </c>
      <c r="I1678" s="14">
        <v>204</v>
      </c>
      <c r="J1678" s="23">
        <f>VLOOKUP(I1678,episodes!$A$1:$B$81,2,FALSE)</f>
        <v>34</v>
      </c>
      <c r="K1678" s="16" t="str">
        <f>VLOOKUP(I1678,episodes!$A$1:$E$81,5,FALSE)</f>
        <v>Mirror, Mirror</v>
      </c>
      <c r="L1678" s="16">
        <f>VLOOKUP(I1678,episodes!$A$1:$D$81,3,FALSE)</f>
        <v>2</v>
      </c>
      <c r="M1678" s="16">
        <f>VLOOKUP(I1678,episodes!$A$1:$D$81,4,FALSE)</f>
        <v>4</v>
      </c>
      <c r="N1678" s="14"/>
      <c r="O1678" s="14">
        <v>0</v>
      </c>
      <c r="P1678" s="24">
        <f>LEN(E1678)+LEN(K1678)</f>
        <v>90</v>
      </c>
      <c r="Q1678" s="24">
        <f>COUNTIFS(B:B,B1677)</f>
        <v>7</v>
      </c>
      <c r="R1678" s="24">
        <f>COUNTIFS(D:D,D1678)</f>
        <v>44</v>
      </c>
    </row>
    <row r="1679" spans="1:19" s="21" customFormat="1" x14ac:dyDescent="0.3">
      <c r="A1679" s="14">
        <v>90</v>
      </c>
      <c r="B1679" s="21" t="s">
        <v>269</v>
      </c>
      <c r="C1679" s="21" t="s">
        <v>0</v>
      </c>
      <c r="D1679" s="1" t="s">
        <v>144</v>
      </c>
      <c r="E1679" s="1" t="s">
        <v>394</v>
      </c>
      <c r="F1679" s="1" t="s">
        <v>2240</v>
      </c>
      <c r="G1679" s="14">
        <v>0</v>
      </c>
      <c r="H1679" s="14">
        <v>0</v>
      </c>
      <c r="I1679" s="22">
        <v>115</v>
      </c>
      <c r="J1679" s="23">
        <f>VLOOKUP(I1679,episodes!$A$1:$B$76,2,FALSE)</f>
        <v>16</v>
      </c>
      <c r="K1679" s="16" t="str">
        <f>VLOOKUP(I1679,episodes!$A$1:$E$81,5,FALSE)</f>
        <v>Shore Leave</v>
      </c>
      <c r="L1679" s="16">
        <f>VLOOKUP(I1679,episodes!$A$1:$D$81,3,FALSE)</f>
        <v>1</v>
      </c>
      <c r="M1679" s="16">
        <f>VLOOKUP(I1679,episodes!$A$1:$D$81,4,FALSE)</f>
        <v>15</v>
      </c>
      <c r="N1679" s="14"/>
      <c r="O1679" s="14">
        <v>0</v>
      </c>
      <c r="P1679" s="24">
        <f>LEN(E1679)+LEN(K1679)</f>
        <v>57</v>
      </c>
      <c r="Q1679" s="24">
        <f>COUNTIFS(B:B,B1678)</f>
        <v>4</v>
      </c>
      <c r="R1679" s="24">
        <f>COUNTIFS(D:D,D1679)</f>
        <v>44</v>
      </c>
    </row>
    <row r="1680" spans="1:19" s="21" customFormat="1" x14ac:dyDescent="0.3">
      <c r="A1680" s="14">
        <v>88</v>
      </c>
      <c r="B1680" s="21" t="s">
        <v>258</v>
      </c>
      <c r="C1680" s="21" t="s">
        <v>0</v>
      </c>
      <c r="D1680" s="1" t="s">
        <v>144</v>
      </c>
      <c r="E1680" s="1" t="s">
        <v>175</v>
      </c>
      <c r="F1680" s="21" t="s">
        <v>2240</v>
      </c>
      <c r="G1680" s="14">
        <v>0</v>
      </c>
      <c r="H1680" s="14">
        <v>0</v>
      </c>
      <c r="I1680" s="22">
        <v>115</v>
      </c>
      <c r="J1680" s="23">
        <f>VLOOKUP(I1680,episodes!$A$1:$B$76,2,FALSE)</f>
        <v>16</v>
      </c>
      <c r="K1680" s="16" t="str">
        <f>VLOOKUP(I1680,episodes!$A$1:$E$81,5,FALSE)</f>
        <v>Shore Leave</v>
      </c>
      <c r="L1680" s="16">
        <f>VLOOKUP(I1680,episodes!$A$1:$D$81,3,FALSE)</f>
        <v>1</v>
      </c>
      <c r="M1680" s="16">
        <f>VLOOKUP(I1680,episodes!$A$1:$D$81,4,FALSE)</f>
        <v>15</v>
      </c>
      <c r="N1680" s="14"/>
      <c r="O1680" s="14">
        <v>0</v>
      </c>
      <c r="P1680" s="24">
        <f>LEN(E1680)+LEN(K1680)</f>
        <v>65</v>
      </c>
      <c r="Q1680" s="24">
        <f>COUNTIFS(B:B,B1679)</f>
        <v>3</v>
      </c>
      <c r="R1680" s="24">
        <f>COUNTIFS(D:D,D1680)</f>
        <v>44</v>
      </c>
    </row>
    <row r="1681" spans="1:18" s="21" customFormat="1" x14ac:dyDescent="0.3">
      <c r="A1681" s="14">
        <v>1739</v>
      </c>
      <c r="B1681" s="21" t="s">
        <v>324</v>
      </c>
      <c r="C1681" s="21" t="s">
        <v>0</v>
      </c>
      <c r="D1681" s="1" t="s">
        <v>144</v>
      </c>
      <c r="E1681" s="1" t="s">
        <v>601</v>
      </c>
      <c r="F1681" s="21" t="s">
        <v>2237</v>
      </c>
      <c r="G1681" s="14">
        <v>0</v>
      </c>
      <c r="H1681" s="14">
        <v>0</v>
      </c>
      <c r="I1681" s="22">
        <v>116</v>
      </c>
      <c r="J1681" s="23">
        <f>VLOOKUP(I1681,episodes!$A$1:$B$76,2,FALSE)</f>
        <v>17</v>
      </c>
      <c r="K1681" s="16" t="str">
        <f>VLOOKUP(I1681,episodes!$A$1:$E$81,5,FALSE)</f>
        <v>The Galileo Seven</v>
      </c>
      <c r="L1681" s="16">
        <f>VLOOKUP(I1681,episodes!$A$1:$D$81,3,FALSE)</f>
        <v>1</v>
      </c>
      <c r="M1681" s="16">
        <f>VLOOKUP(I1681,episodes!$A$1:$D$81,4,FALSE)</f>
        <v>16</v>
      </c>
      <c r="N1681" s="14"/>
      <c r="O1681" s="14">
        <v>0</v>
      </c>
      <c r="P1681" s="24">
        <f>LEN(E1681)+LEN(K1681)</f>
        <v>106</v>
      </c>
      <c r="Q1681" s="24">
        <f>COUNTIFS(B:B,B1680)</f>
        <v>7</v>
      </c>
      <c r="R1681" s="24">
        <f>COUNTIFS(D:D,D1681)</f>
        <v>44</v>
      </c>
    </row>
    <row r="1682" spans="1:18" s="21" customFormat="1" x14ac:dyDescent="0.3">
      <c r="A1682" s="14">
        <v>1871</v>
      </c>
      <c r="B1682" s="21" t="s">
        <v>324</v>
      </c>
      <c r="C1682" s="21" t="s">
        <v>0</v>
      </c>
      <c r="D1682" s="1" t="s">
        <v>144</v>
      </c>
      <c r="E1682" s="1" t="s">
        <v>827</v>
      </c>
      <c r="F1682" s="21" t="s">
        <v>1862</v>
      </c>
      <c r="G1682" s="14">
        <v>0</v>
      </c>
      <c r="H1682" s="14">
        <v>2</v>
      </c>
      <c r="I1682" s="25">
        <v>105</v>
      </c>
      <c r="J1682" s="23">
        <f>VLOOKUP(I1682,episodes!$A$1:$B$76,2,FALSE)</f>
        <v>6</v>
      </c>
      <c r="K1682" s="16" t="str">
        <f>VLOOKUP(I1682,episodes!$A$1:$E$81,5,FALSE)</f>
        <v>The Enemy Within</v>
      </c>
      <c r="L1682" s="16">
        <f>VLOOKUP(I1682,episodes!$A$1:$D$81,3,FALSE)</f>
        <v>1</v>
      </c>
      <c r="M1682" s="16">
        <f>VLOOKUP(I1682,episodes!$A$1:$D$81,4,FALSE)</f>
        <v>5</v>
      </c>
      <c r="N1682" s="14"/>
      <c r="O1682" s="14">
        <v>0</v>
      </c>
      <c r="P1682" s="24">
        <f>LEN(E1682)+LEN(K1682)</f>
        <v>99</v>
      </c>
      <c r="Q1682" s="24">
        <f>COUNTIFS(B:B,B1681)</f>
        <v>8</v>
      </c>
      <c r="R1682" s="24">
        <f>COUNTIFS(D:D,D1682)</f>
        <v>44</v>
      </c>
    </row>
    <row r="1683" spans="1:18" s="21" customFormat="1" x14ac:dyDescent="0.3">
      <c r="A1683" s="14">
        <v>1865</v>
      </c>
      <c r="B1683" s="21" t="s">
        <v>320</v>
      </c>
      <c r="C1683" s="21" t="s">
        <v>0</v>
      </c>
      <c r="D1683" s="1" t="s">
        <v>144</v>
      </c>
      <c r="E1683" s="1" t="s">
        <v>1192</v>
      </c>
      <c r="F1683" s="21" t="s">
        <v>1862</v>
      </c>
      <c r="G1683" s="14">
        <v>0</v>
      </c>
      <c r="H1683" s="14">
        <v>2</v>
      </c>
      <c r="I1683" s="25">
        <v>102</v>
      </c>
      <c r="J1683" s="23">
        <f>VLOOKUP(I1683,episodes!$A$1:$B$76,2,FALSE)</f>
        <v>3</v>
      </c>
      <c r="K1683" s="16" t="str">
        <f>VLOOKUP(I1683,episodes!$A$1:$E$81,5,FALSE)</f>
        <v>Charlie X</v>
      </c>
      <c r="L1683" s="16">
        <f>VLOOKUP(I1683,episodes!$A$1:$D$81,3,FALSE)</f>
        <v>1</v>
      </c>
      <c r="M1683" s="16">
        <f>VLOOKUP(I1683,episodes!$A$1:$D$81,4,FALSE)</f>
        <v>2</v>
      </c>
      <c r="N1683" s="14"/>
      <c r="O1683" s="14">
        <v>0</v>
      </c>
      <c r="P1683" s="24">
        <f>LEN(E1683)+LEN(K1683)</f>
        <v>108</v>
      </c>
      <c r="Q1683" s="24">
        <f>COUNTIFS(B:B,B1682)</f>
        <v>8</v>
      </c>
      <c r="R1683" s="24">
        <f>COUNTIFS(D:D,D1683)</f>
        <v>44</v>
      </c>
    </row>
    <row r="1684" spans="1:18" s="21" customFormat="1" x14ac:dyDescent="0.3">
      <c r="A1684" s="14">
        <v>1867</v>
      </c>
      <c r="B1684" s="21" t="s">
        <v>739</v>
      </c>
      <c r="C1684" s="21" t="s">
        <v>0</v>
      </c>
      <c r="D1684" s="1" t="s">
        <v>144</v>
      </c>
      <c r="E1684" s="1" t="s">
        <v>2130</v>
      </c>
      <c r="F1684" s="21" t="s">
        <v>1862</v>
      </c>
      <c r="G1684" s="14">
        <v>0</v>
      </c>
      <c r="H1684" s="14">
        <v>2</v>
      </c>
      <c r="I1684" s="25">
        <v>102</v>
      </c>
      <c r="J1684" s="23">
        <f>VLOOKUP(I1684,episodes!$A$1:$B$76,2,FALSE)</f>
        <v>3</v>
      </c>
      <c r="K1684" s="16" t="str">
        <f>VLOOKUP(I1684,episodes!$A$1:$E$81,5,FALSE)</f>
        <v>Charlie X</v>
      </c>
      <c r="L1684" s="16">
        <f>VLOOKUP(I1684,episodes!$A$1:$D$81,3,FALSE)</f>
        <v>1</v>
      </c>
      <c r="M1684" s="16">
        <f>VLOOKUP(I1684,episodes!$A$1:$D$81,4,FALSE)</f>
        <v>2</v>
      </c>
      <c r="N1684" s="14"/>
      <c r="O1684" s="14">
        <v>0</v>
      </c>
      <c r="P1684" s="24">
        <f>LEN(E1684)+LEN(K1684)</f>
        <v>91</v>
      </c>
      <c r="Q1684" s="24">
        <f>COUNTIFS(B:B,B1683)</f>
        <v>2</v>
      </c>
      <c r="R1684" s="24">
        <f>COUNTIFS(D:D,D1684)</f>
        <v>44</v>
      </c>
    </row>
    <row r="1685" spans="1:18" s="21" customFormat="1" x14ac:dyDescent="0.3">
      <c r="A1685" s="14">
        <v>86</v>
      </c>
      <c r="B1685" s="21" t="s">
        <v>343</v>
      </c>
      <c r="C1685" s="21" t="s">
        <v>0</v>
      </c>
      <c r="D1685" s="1" t="s">
        <v>2679</v>
      </c>
      <c r="E1685" s="1" t="s">
        <v>471</v>
      </c>
      <c r="F1685" s="21" t="s">
        <v>2234</v>
      </c>
      <c r="G1685" s="14">
        <v>0</v>
      </c>
      <c r="H1685" s="14">
        <v>0</v>
      </c>
      <c r="I1685" s="25">
        <v>107</v>
      </c>
      <c r="J1685" s="23">
        <f>VLOOKUP(I1685,episodes!$A$1:$B$76,2,FALSE)</f>
        <v>8</v>
      </c>
      <c r="K1685" s="16" t="str">
        <f>VLOOKUP(I1685,episodes!$A$1:$E$81,5,FALSE)</f>
        <v>What Are Little Girls Made Of?</v>
      </c>
      <c r="L1685" s="16">
        <f>VLOOKUP(I1685,episodes!$A$1:$D$81,3,FALSE)</f>
        <v>1</v>
      </c>
      <c r="M1685" s="16">
        <f>VLOOKUP(I1685,episodes!$A$1:$D$81,4,FALSE)</f>
        <v>7</v>
      </c>
      <c r="N1685" s="14"/>
      <c r="O1685" s="14">
        <v>0</v>
      </c>
      <c r="P1685" s="24">
        <f>LEN(E1685)+LEN(K1685)</f>
        <v>55</v>
      </c>
      <c r="Q1685" s="24">
        <f>COUNTIFS(B:B,B1684)</f>
        <v>1</v>
      </c>
      <c r="R1685" s="24">
        <f>COUNTIFS(D:D,D1685)</f>
        <v>1</v>
      </c>
    </row>
    <row r="1686" spans="1:18" s="21" customFormat="1" x14ac:dyDescent="0.3">
      <c r="A1686" s="14">
        <v>971</v>
      </c>
      <c r="B1686" s="21" t="s">
        <v>344</v>
      </c>
      <c r="C1686" s="21" t="s">
        <v>0</v>
      </c>
      <c r="D1686" s="21" t="s">
        <v>1902</v>
      </c>
      <c r="E1686" s="1" t="s">
        <v>1903</v>
      </c>
      <c r="F1686" s="21" t="s">
        <v>4</v>
      </c>
      <c r="G1686" s="14">
        <v>1</v>
      </c>
      <c r="H1686" s="14">
        <v>0</v>
      </c>
      <c r="I1686" s="25">
        <v>210</v>
      </c>
      <c r="J1686" s="23">
        <f>VLOOKUP(I1686,episodes!$A$1:$B$81,2,FALSE)</f>
        <v>40</v>
      </c>
      <c r="K1686" s="16" t="str">
        <f>VLOOKUP(I1686,episodes!$A$1:$E$81,5,FALSE)</f>
        <v>Journey to Babel</v>
      </c>
      <c r="L1686" s="16">
        <f>VLOOKUP(I1686,episodes!$A$1:$D$81,3,FALSE)</f>
        <v>2</v>
      </c>
      <c r="M1686" s="16">
        <f>VLOOKUP(I1686,episodes!$A$1:$D$81,4,FALSE)</f>
        <v>10</v>
      </c>
      <c r="N1686" s="14"/>
      <c r="O1686" s="14">
        <v>0</v>
      </c>
      <c r="P1686" s="24">
        <f>LEN(E1686)+LEN(K1686)</f>
        <v>95</v>
      </c>
      <c r="Q1686" s="24">
        <f>COUNTIFS(B:B,B1685)</f>
        <v>1</v>
      </c>
      <c r="R1686" s="24">
        <f>COUNTIFS(D:D,D1686)</f>
        <v>1</v>
      </c>
    </row>
    <row r="1687" spans="1:18" s="21" customFormat="1" x14ac:dyDescent="0.3">
      <c r="A1687" s="14">
        <v>1952</v>
      </c>
      <c r="B1687" s="21" t="s">
        <v>141</v>
      </c>
      <c r="C1687" s="21" t="s">
        <v>0</v>
      </c>
      <c r="D1687" s="21" t="s">
        <v>2678</v>
      </c>
      <c r="E1687" s="1" t="s">
        <v>1678</v>
      </c>
      <c r="F1687" s="21" t="s">
        <v>1867</v>
      </c>
      <c r="G1687" s="14">
        <v>0</v>
      </c>
      <c r="H1687" s="14">
        <v>0</v>
      </c>
      <c r="I1687" s="14">
        <v>302</v>
      </c>
      <c r="J1687" s="23">
        <f>VLOOKUP(I1687,episodes!$A$1:$B$81,2,FALSE)</f>
        <v>58</v>
      </c>
      <c r="K1687" s="16" t="str">
        <f>VLOOKUP(I1687,episodes!$A$1:$E$81,5,FALSE)</f>
        <v>The Enterprise Incident</v>
      </c>
      <c r="L1687" s="16">
        <f>VLOOKUP(I1687,episodes!$A$1:$D$81,3,FALSE)</f>
        <v>3</v>
      </c>
      <c r="M1687" s="16">
        <f>VLOOKUP(I1687,episodes!$A$1:$D$81,4,FALSE)</f>
        <v>2</v>
      </c>
      <c r="N1687" s="14"/>
      <c r="O1687" s="14">
        <v>0</v>
      </c>
      <c r="P1687" s="24">
        <f>LEN(E1687)+LEN(K1687)</f>
        <v>111</v>
      </c>
      <c r="Q1687" s="24">
        <f>COUNTIFS(B:B,B1689)</f>
        <v>2</v>
      </c>
      <c r="R1687" s="24">
        <f>COUNTIFS(D:D,D1690)</f>
        <v>1</v>
      </c>
    </row>
    <row r="1688" spans="1:18" s="21" customFormat="1" x14ac:dyDescent="0.3">
      <c r="A1688" s="14">
        <v>165</v>
      </c>
      <c r="B1688" s="21" t="s">
        <v>311</v>
      </c>
      <c r="C1688" s="21" t="s">
        <v>0</v>
      </c>
      <c r="D1688" s="1" t="s">
        <v>2276</v>
      </c>
      <c r="E1688" s="1" t="s">
        <v>401</v>
      </c>
      <c r="F1688" s="21" t="s">
        <v>2276</v>
      </c>
      <c r="G1688" s="14">
        <v>0</v>
      </c>
      <c r="H1688" s="14">
        <v>0</v>
      </c>
      <c r="I1688" s="22">
        <v>119</v>
      </c>
      <c r="J1688" s="23">
        <f>VLOOKUP(I1688,episodes!$A$1:$B$76,2,FALSE)</f>
        <v>20</v>
      </c>
      <c r="K1688" s="16" t="str">
        <f>VLOOKUP(I1688,episodes!$A$1:$E$81,5,FALSE)</f>
        <v>Tomorrow Is Yesterday</v>
      </c>
      <c r="L1688" s="16">
        <f>VLOOKUP(I1688,episodes!$A$1:$D$81,3,FALSE)</f>
        <v>1</v>
      </c>
      <c r="M1688" s="16">
        <f>VLOOKUP(I1688,episodes!$A$1:$D$81,4,FALSE)</f>
        <v>19</v>
      </c>
      <c r="N1688" s="14"/>
      <c r="O1688" s="14">
        <v>0</v>
      </c>
      <c r="P1688" s="24">
        <f>LEN(E1688)+LEN(K1688)</f>
        <v>99</v>
      </c>
      <c r="Q1688" s="24">
        <f>COUNTIFS(B:B,B1687)</f>
        <v>4</v>
      </c>
      <c r="R1688" s="24">
        <f>COUNTIFS(D:D,D1688)</f>
        <v>1</v>
      </c>
    </row>
    <row r="1689" spans="1:18" s="21" customFormat="1" x14ac:dyDescent="0.3">
      <c r="A1689" s="14">
        <v>2459</v>
      </c>
      <c r="B1689" s="21" t="s">
        <v>286</v>
      </c>
      <c r="C1689" s="21" t="s">
        <v>0</v>
      </c>
      <c r="D1689" s="21" t="s">
        <v>2648</v>
      </c>
      <c r="E1689" s="1" t="s">
        <v>1496</v>
      </c>
      <c r="F1689" s="21" t="s">
        <v>1863</v>
      </c>
      <c r="G1689" s="14">
        <v>1</v>
      </c>
      <c r="H1689" s="14">
        <v>0</v>
      </c>
      <c r="I1689" s="14">
        <v>104</v>
      </c>
      <c r="J1689" s="23">
        <f>VLOOKUP(I1689,episodes!$A$1:$B$76,2,FALSE)</f>
        <v>5</v>
      </c>
      <c r="K1689" s="16" t="str">
        <f>VLOOKUP(I1689,episodes!$A$1:$E$81,5,FALSE)</f>
        <v>The Naked Time</v>
      </c>
      <c r="L1689" s="16">
        <f>VLOOKUP(I1689,episodes!$A$1:$D$81,3,FALSE)</f>
        <v>1</v>
      </c>
      <c r="M1689" s="16">
        <f>VLOOKUP(I1689,episodes!$A$1:$D$81,4,FALSE)</f>
        <v>4</v>
      </c>
      <c r="N1689" s="14"/>
      <c r="O1689" s="14">
        <v>0</v>
      </c>
      <c r="P1689" s="24">
        <f>LEN(E1689)+LEN(K1689)</f>
        <v>124</v>
      </c>
      <c r="Q1689" s="24">
        <f>COUNTIFS(B:B,B1688)</f>
        <v>1</v>
      </c>
      <c r="R1689" s="24">
        <f>COUNTIFS(D:D,D1689)</f>
        <v>1</v>
      </c>
    </row>
    <row r="1690" spans="1:18" s="21" customFormat="1" x14ac:dyDescent="0.3">
      <c r="A1690" s="14">
        <v>1465</v>
      </c>
      <c r="B1690" s="21" t="s">
        <v>283</v>
      </c>
      <c r="C1690" s="21" t="s">
        <v>0</v>
      </c>
      <c r="D1690" s="1" t="s">
        <v>2876</v>
      </c>
      <c r="E1690" s="1" t="s">
        <v>1770</v>
      </c>
      <c r="F1690" s="21" t="s">
        <v>2295</v>
      </c>
      <c r="G1690" s="14">
        <v>0</v>
      </c>
      <c r="H1690" s="14">
        <v>0</v>
      </c>
      <c r="I1690" s="25">
        <v>113</v>
      </c>
      <c r="J1690" s="23">
        <f>VLOOKUP(I1690,episodes!$A$1:$B$76,2,FALSE)</f>
        <v>14</v>
      </c>
      <c r="K1690" s="16" t="str">
        <f>VLOOKUP(I1690,episodes!$A$1:$E$81,5,FALSE)</f>
        <v>The Conscience of the King</v>
      </c>
      <c r="L1690" s="16">
        <f>VLOOKUP(I1690,episodes!$A$1:$D$81,3,FALSE)</f>
        <v>1</v>
      </c>
      <c r="M1690" s="16">
        <f>VLOOKUP(I1690,episodes!$A$1:$D$81,4,FALSE)</f>
        <v>13</v>
      </c>
      <c r="N1690" s="14"/>
      <c r="O1690" s="14">
        <v>0</v>
      </c>
      <c r="P1690" s="24">
        <f>LEN(E1690)+LEN(K1690)</f>
        <v>117</v>
      </c>
      <c r="Q1690" s="24">
        <f>COUNTIFS(B:B,#REF!)</f>
        <v>0</v>
      </c>
      <c r="R1690" s="24">
        <f>COUNTIFS(D:D,D1690)</f>
        <v>1</v>
      </c>
    </row>
    <row r="1691" spans="1:18" s="21" customFormat="1" x14ac:dyDescent="0.3">
      <c r="A1691" s="14">
        <v>107</v>
      </c>
      <c r="B1691" s="21" t="s">
        <v>2642</v>
      </c>
      <c r="C1691" s="21" t="s">
        <v>0</v>
      </c>
      <c r="D1691" s="1" t="s">
        <v>2627</v>
      </c>
      <c r="E1691" s="1" t="s">
        <v>2638</v>
      </c>
      <c r="F1691" s="21" t="s">
        <v>46</v>
      </c>
      <c r="G1691" s="14">
        <v>0</v>
      </c>
      <c r="H1691" s="14">
        <v>0</v>
      </c>
      <c r="I1691" s="25">
        <v>101</v>
      </c>
      <c r="J1691" s="23">
        <f>VLOOKUP(I1691,episodes!$A$1:$B$76,2,FALSE)</f>
        <v>2</v>
      </c>
      <c r="K1691" s="16" t="str">
        <f>VLOOKUP(I1691,episodes!$A$1:$E$81,5,FALSE)</f>
        <v>The Man Trap</v>
      </c>
      <c r="L1691" s="16">
        <f>VLOOKUP(I1691,episodes!$A$1:$D$81,3,FALSE)</f>
        <v>1</v>
      </c>
      <c r="M1691" s="16">
        <f>VLOOKUP(I1691,episodes!$A$1:$D$81,4,FALSE)</f>
        <v>1</v>
      </c>
      <c r="N1691" s="14"/>
      <c r="O1691" s="14">
        <v>0</v>
      </c>
      <c r="P1691" s="24">
        <f>LEN(E1691)+LEN(K1691)</f>
        <v>78</v>
      </c>
      <c r="Q1691" s="24">
        <f>COUNTIFS(B:B,#REF!)</f>
        <v>0</v>
      </c>
      <c r="R1691" s="24">
        <f>COUNTIFS(D:D,D1691)</f>
        <v>17</v>
      </c>
    </row>
    <row r="1692" spans="1:18" s="21" customFormat="1" x14ac:dyDescent="0.3">
      <c r="A1692" s="14">
        <v>1000</v>
      </c>
      <c r="B1692" s="21" t="s">
        <v>2643</v>
      </c>
      <c r="C1692" s="21" t="s">
        <v>0</v>
      </c>
      <c r="D1692" s="1" t="s">
        <v>2627</v>
      </c>
      <c r="E1692" s="1" t="s">
        <v>2545</v>
      </c>
      <c r="F1692" s="21" t="s">
        <v>2368</v>
      </c>
      <c r="G1692" s="14">
        <v>1</v>
      </c>
      <c r="H1692" s="14">
        <v>0</v>
      </c>
      <c r="I1692" s="22">
        <v>128</v>
      </c>
      <c r="J1692" s="23">
        <f>VLOOKUP(I1692,episodes!$A$1:$B$76,2,FALSE)</f>
        <v>29</v>
      </c>
      <c r="K1692" s="16" t="str">
        <f>VLOOKUP(I1692,episodes!$A$1:$E$81,5,FALSE)</f>
        <v>The City on the Edge of Forever</v>
      </c>
      <c r="L1692" s="16">
        <f>VLOOKUP(I1692,episodes!$A$1:$D$81,3,FALSE)</f>
        <v>1</v>
      </c>
      <c r="M1692" s="16">
        <f>VLOOKUP(I1692,episodes!$A$1:$D$81,4,FALSE)</f>
        <v>28</v>
      </c>
      <c r="N1692" s="14"/>
      <c r="O1692" s="14">
        <v>0</v>
      </c>
      <c r="P1692" s="24">
        <f>LEN(E1692)+LEN(K1692)</f>
        <v>80</v>
      </c>
      <c r="Q1692" s="24">
        <f>COUNTIFS(B:B,B1691)</f>
        <v>1</v>
      </c>
      <c r="R1692" s="24">
        <f>COUNTIFS(D:D,D1692)</f>
        <v>17</v>
      </c>
    </row>
    <row r="1693" spans="1:18" s="21" customFormat="1" x14ac:dyDescent="0.3">
      <c r="A1693" s="14">
        <v>647</v>
      </c>
      <c r="B1693" s="21" t="s">
        <v>2641</v>
      </c>
      <c r="C1693" s="21" t="s">
        <v>0</v>
      </c>
      <c r="D1693" s="1" t="s">
        <v>2627</v>
      </c>
      <c r="E1693" s="1" t="s">
        <v>2544</v>
      </c>
      <c r="F1693" s="21" t="s">
        <v>4</v>
      </c>
      <c r="G1693" s="14">
        <v>1</v>
      </c>
      <c r="H1693" s="14">
        <v>0</v>
      </c>
      <c r="I1693" s="25">
        <v>108</v>
      </c>
      <c r="J1693" s="23">
        <f>VLOOKUP(I1693,episodes!$A$1:$B$76,2,FALSE)</f>
        <v>9</v>
      </c>
      <c r="K1693" s="16" t="str">
        <f>VLOOKUP(I1693,episodes!$A$1:$E$81,5,FALSE)</f>
        <v>Miri</v>
      </c>
      <c r="L1693" s="16">
        <f>VLOOKUP(I1693,episodes!$A$1:$D$81,3,FALSE)</f>
        <v>1</v>
      </c>
      <c r="M1693" s="16">
        <f>VLOOKUP(I1693,episodes!$A$1:$D$81,4,FALSE)</f>
        <v>8</v>
      </c>
      <c r="N1693" s="14"/>
      <c r="O1693" s="14">
        <v>0</v>
      </c>
      <c r="P1693" s="24">
        <f>LEN(E1693)+LEN(K1693)</f>
        <v>49</v>
      </c>
      <c r="Q1693" s="24">
        <f>COUNTIFS(B:B,B1692)</f>
        <v>5</v>
      </c>
      <c r="R1693" s="24">
        <f>COUNTIFS(D:D,D1693)</f>
        <v>17</v>
      </c>
    </row>
    <row r="1694" spans="1:18" s="21" customFormat="1" x14ac:dyDescent="0.3">
      <c r="A1694" s="14">
        <v>1212</v>
      </c>
      <c r="B1694" s="21" t="s">
        <v>2641</v>
      </c>
      <c r="C1694" s="21" t="s">
        <v>0</v>
      </c>
      <c r="D1694" s="1" t="s">
        <v>2627</v>
      </c>
      <c r="E1694" s="1" t="s">
        <v>630</v>
      </c>
      <c r="F1694" s="21" t="s">
        <v>4</v>
      </c>
      <c r="G1694" s="14">
        <v>1</v>
      </c>
      <c r="H1694" s="14">
        <v>0</v>
      </c>
      <c r="I1694" s="22">
        <v>120</v>
      </c>
      <c r="J1694" s="23">
        <f>VLOOKUP(I1694,episodes!$A$1:$B$76,2,FALSE)</f>
        <v>21</v>
      </c>
      <c r="K1694" s="16" t="str">
        <f>VLOOKUP(I1694,episodes!$A$1:$E$81,5,FALSE)</f>
        <v>Court Martial</v>
      </c>
      <c r="L1694" s="16">
        <f>VLOOKUP(I1694,episodes!$A$1:$D$81,3,FALSE)</f>
        <v>1</v>
      </c>
      <c r="M1694" s="16">
        <f>VLOOKUP(I1694,episodes!$A$1:$D$81,4,FALSE)</f>
        <v>20</v>
      </c>
      <c r="N1694" s="14"/>
      <c r="O1694" s="14">
        <v>0</v>
      </c>
      <c r="P1694" s="24">
        <f>LEN(E1694)+LEN(K1694)</f>
        <v>69</v>
      </c>
      <c r="Q1694" s="24"/>
      <c r="R1694" s="24"/>
    </row>
    <row r="1695" spans="1:18" x14ac:dyDescent="0.3">
      <c r="A1695" s="14">
        <v>1008</v>
      </c>
      <c r="B1695" s="21" t="s">
        <v>2641</v>
      </c>
      <c r="C1695" s="21" t="s">
        <v>0</v>
      </c>
      <c r="D1695" s="1" t="s">
        <v>2627</v>
      </c>
      <c r="E1695" s="1" t="s">
        <v>734</v>
      </c>
      <c r="F1695" s="21" t="s">
        <v>4</v>
      </c>
      <c r="G1695" s="14">
        <v>1</v>
      </c>
      <c r="H1695" s="14">
        <v>0</v>
      </c>
      <c r="I1695" s="22">
        <v>128</v>
      </c>
      <c r="J1695" s="23">
        <f>VLOOKUP(I1695,episodes!$A$1:$B$76,2,FALSE)</f>
        <v>29</v>
      </c>
      <c r="K1695" s="16" t="str">
        <f>VLOOKUP(I1695,episodes!$A$1:$E$81,5,FALSE)</f>
        <v>The City on the Edge of Forever</v>
      </c>
      <c r="L1695" s="16">
        <f>VLOOKUP(I1695,episodes!$A$1:$D$81,3,FALSE)</f>
        <v>1</v>
      </c>
      <c r="M1695" s="16">
        <f>VLOOKUP(I1695,episodes!$A$1:$D$81,4,FALSE)</f>
        <v>28</v>
      </c>
      <c r="O1695" s="14">
        <v>0</v>
      </c>
      <c r="P1695" s="24">
        <f>LEN(E1695)+LEN(K1695)</f>
        <v>77</v>
      </c>
      <c r="Q1695" s="24"/>
      <c r="R1695" s="24"/>
    </row>
    <row r="1696" spans="1:18" x14ac:dyDescent="0.3">
      <c r="A1696" s="14">
        <v>1133</v>
      </c>
      <c r="B1696" s="21" t="s">
        <v>2641</v>
      </c>
      <c r="C1696" s="21" t="s">
        <v>0</v>
      </c>
      <c r="D1696" s="1" t="s">
        <v>2627</v>
      </c>
      <c r="E1696" s="1" t="s">
        <v>1408</v>
      </c>
      <c r="F1696" s="21" t="s">
        <v>4</v>
      </c>
      <c r="G1696" s="14">
        <v>1</v>
      </c>
      <c r="H1696" s="14">
        <v>0</v>
      </c>
      <c r="I1696" s="25">
        <v>204</v>
      </c>
      <c r="J1696" s="23">
        <f>VLOOKUP(I1696,episodes!$A$1:$B$81,2,FALSE)</f>
        <v>34</v>
      </c>
      <c r="K1696" s="16" t="str">
        <f>VLOOKUP(I1696,episodes!$A$1:$E$81,5,FALSE)</f>
        <v>Mirror, Mirror</v>
      </c>
      <c r="L1696" s="16">
        <f>VLOOKUP(I1696,episodes!$A$1:$D$81,3,FALSE)</f>
        <v>2</v>
      </c>
      <c r="M1696" s="16">
        <f>VLOOKUP(I1696,episodes!$A$1:$D$81,4,FALSE)</f>
        <v>4</v>
      </c>
      <c r="O1696" s="14">
        <v>0</v>
      </c>
      <c r="P1696" s="24">
        <f>LEN(E1696)+LEN(K1696)</f>
        <v>114</v>
      </c>
      <c r="Q1696" s="24">
        <f>COUNTIFS(B:B,B1695)</f>
        <v>11</v>
      </c>
      <c r="R1696" s="24">
        <f>COUNTIFS(D:D,D1696)</f>
        <v>17</v>
      </c>
    </row>
    <row r="1697" spans="1:18" x14ac:dyDescent="0.3">
      <c r="A1697" s="14">
        <v>1107</v>
      </c>
      <c r="B1697" s="21" t="s">
        <v>2643</v>
      </c>
      <c r="C1697" s="21" t="s">
        <v>0</v>
      </c>
      <c r="D1697" s="1" t="s">
        <v>2627</v>
      </c>
      <c r="E1697" s="1" t="s">
        <v>1714</v>
      </c>
      <c r="F1697" s="21" t="s">
        <v>2370</v>
      </c>
      <c r="G1697" s="14">
        <v>0</v>
      </c>
      <c r="H1697" s="14">
        <v>0</v>
      </c>
      <c r="I1697" s="25">
        <v>108</v>
      </c>
      <c r="J1697" s="23">
        <f>VLOOKUP(I1697,episodes!$A$1:$B$76,2,FALSE)</f>
        <v>9</v>
      </c>
      <c r="K1697" s="16" t="str">
        <f>VLOOKUP(I1697,episodes!$A$1:$E$81,5,FALSE)</f>
        <v>Miri</v>
      </c>
      <c r="L1697" s="16">
        <f>VLOOKUP(I1697,episodes!$A$1:$D$81,3,FALSE)</f>
        <v>1</v>
      </c>
      <c r="M1697" s="16">
        <f>VLOOKUP(I1697,episodes!$A$1:$D$81,4,FALSE)</f>
        <v>8</v>
      </c>
      <c r="O1697" s="14">
        <v>0</v>
      </c>
      <c r="P1697" s="24">
        <f>LEN(E1697)+LEN(K1697)</f>
        <v>132</v>
      </c>
      <c r="Q1697" s="24">
        <f>COUNTIFS(B:B,B1696)</f>
        <v>11</v>
      </c>
      <c r="R1697" s="24">
        <f>COUNTIFS(D:D,D1697)</f>
        <v>17</v>
      </c>
    </row>
    <row r="1698" spans="1:18" x14ac:dyDescent="0.3">
      <c r="A1698" s="14">
        <v>1045</v>
      </c>
      <c r="B1698" s="21" t="s">
        <v>2641</v>
      </c>
      <c r="C1698" s="21" t="s">
        <v>0</v>
      </c>
      <c r="D1698" s="1" t="s">
        <v>2627</v>
      </c>
      <c r="E1698" s="1" t="s">
        <v>487</v>
      </c>
      <c r="F1698" s="21" t="s">
        <v>4</v>
      </c>
      <c r="G1698" s="14">
        <v>1</v>
      </c>
      <c r="H1698" s="14">
        <v>0</v>
      </c>
      <c r="I1698" s="25">
        <v>113</v>
      </c>
      <c r="J1698" s="23">
        <f>VLOOKUP(I1698,episodes!$A$1:$B$76,2,FALSE)</f>
        <v>14</v>
      </c>
      <c r="K1698" s="16" t="str">
        <f>VLOOKUP(I1698,episodes!$A$1:$E$81,5,FALSE)</f>
        <v>The Conscience of the King</v>
      </c>
      <c r="L1698" s="16">
        <f>VLOOKUP(I1698,episodes!$A$1:$D$81,3,FALSE)</f>
        <v>1</v>
      </c>
      <c r="M1698" s="16">
        <f>VLOOKUP(I1698,episodes!$A$1:$D$81,4,FALSE)</f>
        <v>13</v>
      </c>
      <c r="O1698" s="14">
        <v>0</v>
      </c>
      <c r="P1698" s="24">
        <f>LEN(E1698)+LEN(K1698)</f>
        <v>62</v>
      </c>
      <c r="Q1698" s="24"/>
      <c r="R1698" s="24"/>
    </row>
    <row r="1699" spans="1:18" x14ac:dyDescent="0.3">
      <c r="A1699" s="14">
        <v>2008</v>
      </c>
      <c r="B1699" s="21" t="s">
        <v>2641</v>
      </c>
      <c r="C1699" s="21" t="s">
        <v>0</v>
      </c>
      <c r="D1699" s="1" t="s">
        <v>2627</v>
      </c>
      <c r="E1699" s="1" t="s">
        <v>2550</v>
      </c>
      <c r="F1699" s="21" t="s">
        <v>2233</v>
      </c>
      <c r="G1699" s="14">
        <v>0</v>
      </c>
      <c r="H1699" s="14">
        <v>0</v>
      </c>
      <c r="I1699" s="25">
        <v>202</v>
      </c>
      <c r="J1699" s="23">
        <f>VLOOKUP(I1699,episodes!$A$1:$B$76,2,FALSE)</f>
        <v>32</v>
      </c>
      <c r="K1699" s="16" t="str">
        <f>VLOOKUP(I1699,episodes!$A$1:$E$81,5,FALSE)</f>
        <v>Who Mourns for Adonais?</v>
      </c>
      <c r="L1699" s="16">
        <f>VLOOKUP(I1699,episodes!$A$1:$D$81,3,FALSE)</f>
        <v>2</v>
      </c>
      <c r="M1699" s="16">
        <f>VLOOKUP(I1699,episodes!$A$1:$D$81,4,FALSE)</f>
        <v>2</v>
      </c>
      <c r="O1699" s="14">
        <v>0</v>
      </c>
      <c r="P1699" s="24">
        <f>LEN(E1699)+LEN(K1699)</f>
        <v>82</v>
      </c>
      <c r="Q1699" s="24">
        <f>COUNTIFS(B:B,#REF!)</f>
        <v>0</v>
      </c>
      <c r="R1699" s="24">
        <f>COUNTIFS(D:D,D1699)</f>
        <v>17</v>
      </c>
    </row>
    <row r="1700" spans="1:18" x14ac:dyDescent="0.3">
      <c r="A1700" s="14">
        <v>1708</v>
      </c>
      <c r="B1700" s="21" t="s">
        <v>2641</v>
      </c>
      <c r="C1700" s="21" t="s">
        <v>0</v>
      </c>
      <c r="D1700" s="1" t="s">
        <v>2627</v>
      </c>
      <c r="E1700" s="1" t="s">
        <v>1583</v>
      </c>
      <c r="F1700" s="21" t="s">
        <v>8</v>
      </c>
      <c r="G1700" s="14">
        <v>0</v>
      </c>
      <c r="H1700" s="14">
        <v>1</v>
      </c>
      <c r="I1700" s="25">
        <v>101</v>
      </c>
      <c r="J1700" s="23">
        <f>VLOOKUP(I1700,episodes!$A$1:$B$76,2,FALSE)</f>
        <v>2</v>
      </c>
      <c r="K1700" s="16" t="str">
        <f>VLOOKUP(I1700,episodes!$A$1:$E$81,5,FALSE)</f>
        <v>The Man Trap</v>
      </c>
      <c r="L1700" s="16">
        <f>VLOOKUP(I1700,episodes!$A$1:$D$81,3,FALSE)</f>
        <v>1</v>
      </c>
      <c r="M1700" s="16">
        <f>VLOOKUP(I1700,episodes!$A$1:$D$81,4,FALSE)</f>
        <v>1</v>
      </c>
      <c r="O1700" s="14">
        <v>0</v>
      </c>
      <c r="P1700" s="24">
        <f>LEN(E1700)+LEN(K1700)</f>
        <v>99</v>
      </c>
      <c r="Q1700" s="24"/>
      <c r="R1700" s="24"/>
    </row>
    <row r="1701" spans="1:18" x14ac:dyDescent="0.3">
      <c r="A1701" s="14">
        <v>2334</v>
      </c>
      <c r="B1701" s="21" t="s">
        <v>2641</v>
      </c>
      <c r="C1701" s="21" t="s">
        <v>0</v>
      </c>
      <c r="D1701" s="1" t="s">
        <v>2627</v>
      </c>
      <c r="E1701" s="1" t="s">
        <v>805</v>
      </c>
      <c r="F1701" s="21" t="s">
        <v>2258</v>
      </c>
      <c r="G1701" s="14">
        <v>0</v>
      </c>
      <c r="H1701" s="14">
        <v>2</v>
      </c>
      <c r="I1701" s="22">
        <v>201</v>
      </c>
      <c r="J1701" s="23">
        <f>VLOOKUP(I1701,episodes!$A$1:$B$76,2,FALSE)</f>
        <v>31</v>
      </c>
      <c r="K1701" s="16" t="str">
        <f>VLOOKUP(I1701,episodes!$A$1:$E$81,5,FALSE)</f>
        <v>Amok Time</v>
      </c>
      <c r="L1701" s="16">
        <f>VLOOKUP(I1701,episodes!$A$1:$D$81,3,FALSE)</f>
        <v>2</v>
      </c>
      <c r="M1701" s="16">
        <f>VLOOKUP(I1701,episodes!$A$1:$D$81,4,FALSE)</f>
        <v>1</v>
      </c>
      <c r="O1701" s="14">
        <v>0</v>
      </c>
      <c r="P1701" s="24">
        <f>LEN(E1701)+LEN(K1701)</f>
        <v>62</v>
      </c>
      <c r="Q1701" s="24"/>
      <c r="R1701" s="24"/>
    </row>
    <row r="1702" spans="1:18" x14ac:dyDescent="0.3">
      <c r="A1702" s="14">
        <v>2338</v>
      </c>
      <c r="B1702" s="21" t="s">
        <v>2643</v>
      </c>
      <c r="C1702" s="21" t="s">
        <v>0</v>
      </c>
      <c r="D1702" s="1" t="s">
        <v>2627</v>
      </c>
      <c r="E1702" s="1" t="s">
        <v>806</v>
      </c>
      <c r="F1702" s="21" t="s">
        <v>5</v>
      </c>
      <c r="G1702" s="14">
        <v>1</v>
      </c>
      <c r="H1702" s="14">
        <v>0</v>
      </c>
      <c r="I1702" s="22">
        <v>201</v>
      </c>
      <c r="J1702" s="23">
        <f>VLOOKUP(I1702,episodes!$A$1:$B$76,2,FALSE)</f>
        <v>31</v>
      </c>
      <c r="K1702" s="16" t="str">
        <f>VLOOKUP(I1702,episodes!$A$1:$E$81,5,FALSE)</f>
        <v>Amok Time</v>
      </c>
      <c r="L1702" s="16">
        <f>VLOOKUP(I1702,episodes!$A$1:$D$81,3,FALSE)</f>
        <v>2</v>
      </c>
      <c r="M1702" s="16">
        <f>VLOOKUP(I1702,episodes!$A$1:$D$81,4,FALSE)</f>
        <v>1</v>
      </c>
      <c r="O1702" s="14">
        <v>0</v>
      </c>
      <c r="P1702" s="24">
        <f>LEN(E1702)+LEN(K1702)</f>
        <v>62</v>
      </c>
      <c r="Q1702" s="24"/>
      <c r="R1702" s="24"/>
    </row>
    <row r="1703" spans="1:18" x14ac:dyDescent="0.3">
      <c r="A1703" s="14">
        <v>2694</v>
      </c>
      <c r="B1703" s="21" t="s">
        <v>2643</v>
      </c>
      <c r="C1703" s="21" t="s">
        <v>0</v>
      </c>
      <c r="D1703" s="1" t="s">
        <v>2627</v>
      </c>
      <c r="E1703" s="1" t="s">
        <v>2640</v>
      </c>
      <c r="F1703" s="21" t="s">
        <v>5</v>
      </c>
      <c r="G1703" s="14">
        <v>1</v>
      </c>
      <c r="H1703" s="14">
        <v>0</v>
      </c>
      <c r="I1703" s="25">
        <v>102</v>
      </c>
      <c r="J1703" s="23">
        <f>VLOOKUP(I1703,episodes!$A$1:$B$76,2,FALSE)</f>
        <v>3</v>
      </c>
      <c r="K1703" s="16" t="str">
        <f>VLOOKUP(I1703,episodes!$A$1:$E$81,5,FALSE)</f>
        <v>Charlie X</v>
      </c>
      <c r="L1703" s="16">
        <f>VLOOKUP(I1703,episodes!$A$1:$D$81,3,FALSE)</f>
        <v>1</v>
      </c>
      <c r="M1703" s="16">
        <f>VLOOKUP(I1703,episodes!$A$1:$D$81,4,FALSE)</f>
        <v>2</v>
      </c>
      <c r="O1703" s="14">
        <v>0</v>
      </c>
      <c r="P1703" s="24">
        <f>LEN(E1703)+LEN(K1703)</f>
        <v>56</v>
      </c>
      <c r="Q1703" s="24">
        <f>COUNTIFS(B:B,#REF!)</f>
        <v>0</v>
      </c>
      <c r="R1703" s="24">
        <f>COUNTIFS(D:D,D1703)</f>
        <v>17</v>
      </c>
    </row>
    <row r="1704" spans="1:18" x14ac:dyDescent="0.3">
      <c r="A1704" s="14">
        <v>2695</v>
      </c>
      <c r="B1704" s="21" t="s">
        <v>2641</v>
      </c>
      <c r="C1704" s="21" t="s">
        <v>0</v>
      </c>
      <c r="D1704" s="1" t="s">
        <v>2627</v>
      </c>
      <c r="E1704" s="1" t="s">
        <v>1078</v>
      </c>
      <c r="F1704" s="21" t="s">
        <v>2372</v>
      </c>
      <c r="G1704" s="14">
        <v>1</v>
      </c>
      <c r="H1704" s="14">
        <v>0</v>
      </c>
      <c r="I1704" s="25">
        <v>102</v>
      </c>
      <c r="J1704" s="23">
        <f>VLOOKUP(I1704,episodes!$A$1:$B$76,2,FALSE)</f>
        <v>3</v>
      </c>
      <c r="K1704" s="16" t="str">
        <f>VLOOKUP(I1704,episodes!$A$1:$E$81,5,FALSE)</f>
        <v>Charlie X</v>
      </c>
      <c r="L1704" s="16">
        <f>VLOOKUP(I1704,episodes!$A$1:$D$81,3,FALSE)</f>
        <v>1</v>
      </c>
      <c r="M1704" s="16">
        <f>VLOOKUP(I1704,episodes!$A$1:$D$81,4,FALSE)</f>
        <v>2</v>
      </c>
      <c r="O1704" s="14">
        <v>0</v>
      </c>
      <c r="P1704" s="24">
        <f>LEN(E1704)+LEN(K1704)</f>
        <v>95</v>
      </c>
      <c r="Q1704" s="24"/>
      <c r="R1704" s="24"/>
    </row>
    <row r="1705" spans="1:18" x14ac:dyDescent="0.3">
      <c r="A1705" s="14">
        <v>2691</v>
      </c>
      <c r="B1705" s="21" t="s">
        <v>2641</v>
      </c>
      <c r="C1705" s="21" t="s">
        <v>0</v>
      </c>
      <c r="D1705" s="1" t="s">
        <v>2627</v>
      </c>
      <c r="E1705" s="1" t="s">
        <v>2637</v>
      </c>
      <c r="F1705" s="21" t="s">
        <v>1863</v>
      </c>
      <c r="G1705" s="14">
        <v>1</v>
      </c>
      <c r="H1705" s="14">
        <v>0</v>
      </c>
      <c r="I1705" s="25">
        <v>101</v>
      </c>
      <c r="J1705" s="23">
        <f>VLOOKUP(I1705,episodes!$A$1:$B$76,2,FALSE)</f>
        <v>2</v>
      </c>
      <c r="K1705" s="16" t="str">
        <f>VLOOKUP(I1705,episodes!$A$1:$E$81,5,FALSE)</f>
        <v>The Man Trap</v>
      </c>
      <c r="L1705" s="16">
        <f>VLOOKUP(I1705,episodes!$A$1:$D$81,3,FALSE)</f>
        <v>1</v>
      </c>
      <c r="M1705" s="16">
        <f>VLOOKUP(I1705,episodes!$A$1:$D$81,4,FALSE)</f>
        <v>1</v>
      </c>
      <c r="O1705" s="14">
        <v>0</v>
      </c>
      <c r="P1705" s="24">
        <f>LEN(E1705)+LEN(K1705)</f>
        <v>81</v>
      </c>
      <c r="Q1705" s="24"/>
      <c r="R1705" s="24"/>
    </row>
    <row r="1706" spans="1:18" x14ac:dyDescent="0.3">
      <c r="A1706" s="14">
        <v>1672</v>
      </c>
      <c r="B1706" s="21" t="s">
        <v>2641</v>
      </c>
      <c r="C1706" s="21" t="s">
        <v>0</v>
      </c>
      <c r="D1706" s="1" t="s">
        <v>2627</v>
      </c>
      <c r="E1706" s="1" t="s">
        <v>2543</v>
      </c>
      <c r="F1706" s="21" t="s">
        <v>2240</v>
      </c>
      <c r="G1706" s="14">
        <v>0</v>
      </c>
      <c r="H1706" s="14">
        <v>0</v>
      </c>
      <c r="I1706" s="22">
        <v>115</v>
      </c>
      <c r="J1706" s="23">
        <f>VLOOKUP(I1706,episodes!$A$1:$B$76,2,FALSE)</f>
        <v>16</v>
      </c>
      <c r="K1706" s="16" t="str">
        <f>VLOOKUP(I1706,episodes!$A$1:$E$81,5,FALSE)</f>
        <v>Shore Leave</v>
      </c>
      <c r="L1706" s="16">
        <f>VLOOKUP(I1706,episodes!$A$1:$D$81,3,FALSE)</f>
        <v>1</v>
      </c>
      <c r="M1706" s="16">
        <f>VLOOKUP(I1706,episodes!$A$1:$D$81,4,FALSE)</f>
        <v>15</v>
      </c>
      <c r="O1706" s="14">
        <v>0</v>
      </c>
      <c r="P1706" s="24">
        <f>LEN(E1706)+LEN(K1706)</f>
        <v>92</v>
      </c>
      <c r="Q1706" s="24">
        <f>COUNTIFS(B:B,B1704)</f>
        <v>11</v>
      </c>
      <c r="R1706" s="24">
        <f>COUNTIFS(D:D,D1706)</f>
        <v>17</v>
      </c>
    </row>
    <row r="1707" spans="1:18" x14ac:dyDescent="0.3">
      <c r="A1707" s="14">
        <v>2009</v>
      </c>
      <c r="B1707" s="21" t="s">
        <v>2643</v>
      </c>
      <c r="C1707" s="21" t="s">
        <v>0</v>
      </c>
      <c r="D1707" s="1" t="s">
        <v>2628</v>
      </c>
      <c r="E1707" s="1" t="s">
        <v>2549</v>
      </c>
      <c r="F1707" s="21" t="s">
        <v>6</v>
      </c>
      <c r="G1707" s="14">
        <v>0</v>
      </c>
      <c r="H1707" s="14">
        <v>1</v>
      </c>
      <c r="I1707" s="25">
        <v>202</v>
      </c>
      <c r="J1707" s="23">
        <f>VLOOKUP(I1707,episodes!$A$1:$B$76,2,FALSE)</f>
        <v>32</v>
      </c>
      <c r="K1707" s="16" t="str">
        <f>VLOOKUP(I1707,episodes!$A$1:$E$81,5,FALSE)</f>
        <v>Who Mourns for Adonais?</v>
      </c>
      <c r="L1707" s="16">
        <f>VLOOKUP(I1707,episodes!$A$1:$D$81,3,FALSE)</f>
        <v>2</v>
      </c>
      <c r="M1707" s="16">
        <f>VLOOKUP(I1707,episodes!$A$1:$D$81,4,FALSE)</f>
        <v>2</v>
      </c>
      <c r="O1707" s="14">
        <v>0</v>
      </c>
      <c r="P1707" s="24">
        <f>LEN(E1707)+LEN(K1707)</f>
        <v>85</v>
      </c>
      <c r="Q1707" s="24"/>
      <c r="R1707" s="24"/>
    </row>
    <row r="1708" spans="1:18" x14ac:dyDescent="0.3">
      <c r="A1708" s="14">
        <v>1878</v>
      </c>
      <c r="B1708" s="21" t="s">
        <v>2644</v>
      </c>
      <c r="C1708" s="21" t="s">
        <v>0</v>
      </c>
      <c r="D1708" s="1" t="s">
        <v>2873</v>
      </c>
      <c r="E1708" s="1" t="s">
        <v>1870</v>
      </c>
      <c r="F1708" s="21" t="s">
        <v>1862</v>
      </c>
      <c r="G1708" s="14">
        <v>0</v>
      </c>
      <c r="H1708" s="14">
        <v>2</v>
      </c>
      <c r="I1708" s="25">
        <v>102</v>
      </c>
      <c r="J1708" s="23">
        <f>VLOOKUP(I1708,episodes!$A$1:$B$76,2,FALSE)</f>
        <v>3</v>
      </c>
      <c r="K1708" s="16" t="str">
        <f>VLOOKUP(I1708,episodes!$A$1:$E$81,5,FALSE)</f>
        <v>Charlie X</v>
      </c>
      <c r="L1708" s="16">
        <f>VLOOKUP(I1708,episodes!$A$1:$D$81,3,FALSE)</f>
        <v>1</v>
      </c>
      <c r="M1708" s="16">
        <f>VLOOKUP(I1708,episodes!$A$1:$D$81,4,FALSE)</f>
        <v>2</v>
      </c>
      <c r="O1708" s="14">
        <v>0</v>
      </c>
      <c r="P1708" s="24">
        <f>LEN(E1708)+LEN(K1708)</f>
        <v>142</v>
      </c>
      <c r="Q1708" s="24">
        <f>COUNTIFS(B:B,B1707)</f>
        <v>5</v>
      </c>
      <c r="R1708" s="24">
        <f>COUNTIFS(D:D,D1708)</f>
        <v>2</v>
      </c>
    </row>
    <row r="1709" spans="1:18" x14ac:dyDescent="0.3">
      <c r="A1709" s="14">
        <v>386</v>
      </c>
      <c r="B1709" s="21" t="s">
        <v>751</v>
      </c>
      <c r="C1709" s="21" t="s">
        <v>0</v>
      </c>
      <c r="D1709" s="21" t="s">
        <v>1668</v>
      </c>
      <c r="E1709" s="1" t="s">
        <v>1321</v>
      </c>
      <c r="F1709" s="21" t="s">
        <v>2224</v>
      </c>
      <c r="G1709" s="14">
        <v>0</v>
      </c>
      <c r="H1709" s="14">
        <v>0</v>
      </c>
      <c r="I1709" s="22">
        <v>122</v>
      </c>
      <c r="J1709" s="23">
        <f>VLOOKUP(I1709,episodes!$A$1:$B$76,2,FALSE)</f>
        <v>23</v>
      </c>
      <c r="K1709" s="16" t="str">
        <f>VLOOKUP(I1709,episodes!$A$1:$E$81,5,FALSE)</f>
        <v>Space Seed</v>
      </c>
      <c r="L1709" s="16">
        <f>VLOOKUP(I1709,episodes!$A$1:$D$81,3,FALSE)</f>
        <v>1</v>
      </c>
      <c r="M1709" s="16">
        <f>VLOOKUP(I1709,episodes!$A$1:$D$81,4,FALSE)</f>
        <v>22</v>
      </c>
      <c r="O1709" s="14">
        <v>0</v>
      </c>
      <c r="P1709" s="24">
        <f>LEN(E1709)+LEN(K1709)</f>
        <v>99</v>
      </c>
      <c r="Q1709" s="24">
        <f>COUNTIFS(B:B,#REF!)</f>
        <v>0</v>
      </c>
      <c r="R1709" s="24">
        <f>COUNTIFS(D:D,D1709)</f>
        <v>2</v>
      </c>
    </row>
    <row r="1710" spans="1:18" x14ac:dyDescent="0.3">
      <c r="A1710" s="14">
        <v>2790</v>
      </c>
      <c r="B1710" s="21" t="s">
        <v>751</v>
      </c>
      <c r="C1710" s="21" t="s">
        <v>0</v>
      </c>
      <c r="D1710" s="21" t="s">
        <v>1668</v>
      </c>
      <c r="E1710" s="1" t="s">
        <v>1322</v>
      </c>
      <c r="F1710" s="21" t="s">
        <v>2225</v>
      </c>
      <c r="G1710" s="14">
        <v>0</v>
      </c>
      <c r="H1710" s="14">
        <v>0</v>
      </c>
      <c r="I1710" s="22">
        <v>122</v>
      </c>
      <c r="J1710" s="23">
        <f>VLOOKUP(I1710,episodes!$A$1:$B$76,2,FALSE)</f>
        <v>23</v>
      </c>
      <c r="K1710" s="16" t="str">
        <f>VLOOKUP(I1710,episodes!$A$1:$E$81,5,FALSE)</f>
        <v>Space Seed</v>
      </c>
      <c r="L1710" s="16">
        <f>VLOOKUP(I1710,episodes!$A$1:$D$81,3,FALSE)</f>
        <v>1</v>
      </c>
      <c r="M1710" s="16">
        <f>VLOOKUP(I1710,episodes!$A$1:$D$81,4,FALSE)</f>
        <v>22</v>
      </c>
      <c r="O1710" s="14">
        <v>0</v>
      </c>
      <c r="P1710" s="24">
        <f>LEN(E1710)+LEN(K1710)</f>
        <v>46</v>
      </c>
      <c r="Q1710" s="24">
        <f>COUNTIFS(B:B,B1709)</f>
        <v>3</v>
      </c>
      <c r="R1710" s="24">
        <f>COUNTIFS(D:D,D1710)</f>
        <v>2</v>
      </c>
    </row>
    <row r="1711" spans="1:18" x14ac:dyDescent="0.3">
      <c r="A1711" s="14">
        <v>146</v>
      </c>
      <c r="B1711" s="21" t="s">
        <v>2682</v>
      </c>
      <c r="C1711" s="21" t="s">
        <v>0</v>
      </c>
      <c r="D1711" s="21" t="s">
        <v>2754</v>
      </c>
      <c r="E1711" s="1" t="s">
        <v>2191</v>
      </c>
      <c r="F1711" s="21" t="s">
        <v>7</v>
      </c>
      <c r="G1711" s="14">
        <v>0</v>
      </c>
      <c r="H1711" s="14">
        <v>2</v>
      </c>
      <c r="I1711" s="25">
        <v>208</v>
      </c>
      <c r="J1711" s="23">
        <f>VLOOKUP(I1711,episodes!$A$1:$B$81,2,FALSE)</f>
        <v>38</v>
      </c>
      <c r="K1711" s="16" t="str">
        <f>VLOOKUP(I1711,episodes!$A$1:$E$81,5,FALSE)</f>
        <v>I, Mudd</v>
      </c>
      <c r="L1711" s="16">
        <f>VLOOKUP(I1711,episodes!$A$1:$D$81,3,FALSE)</f>
        <v>2</v>
      </c>
      <c r="M1711" s="16">
        <f>VLOOKUP(I1711,episodes!$A$1:$D$81,4,FALSE)</f>
        <v>8</v>
      </c>
      <c r="O1711" s="14">
        <v>0</v>
      </c>
      <c r="P1711" s="24">
        <f>LEN(E1711)+LEN(K1711)</f>
        <v>434</v>
      </c>
      <c r="Q1711" s="24">
        <f>COUNTIFS(B:B,#REF!)</f>
        <v>0</v>
      </c>
      <c r="R1711" s="24">
        <f>COUNTIFS(D:D,D1711)</f>
        <v>2</v>
      </c>
    </row>
    <row r="1712" spans="1:18" x14ac:dyDescent="0.3">
      <c r="A1712" s="14">
        <v>1770</v>
      </c>
      <c r="B1712" s="21" t="s">
        <v>2682</v>
      </c>
      <c r="C1712" s="21" t="s">
        <v>0</v>
      </c>
      <c r="D1712" s="21" t="s">
        <v>2754</v>
      </c>
      <c r="E1712" s="1" t="s">
        <v>1029</v>
      </c>
      <c r="F1712" s="21" t="s">
        <v>2320</v>
      </c>
      <c r="G1712" s="14">
        <v>0</v>
      </c>
      <c r="H1712" s="14">
        <v>0</v>
      </c>
      <c r="I1712" s="25">
        <v>208</v>
      </c>
      <c r="J1712" s="23">
        <f>VLOOKUP(I1712,episodes!$A$1:$B$81,2,FALSE)</f>
        <v>38</v>
      </c>
      <c r="K1712" s="16" t="str">
        <f>VLOOKUP(I1712,episodes!$A$1:$E$81,5,FALSE)</f>
        <v>I, Mudd</v>
      </c>
      <c r="L1712" s="16">
        <f>VLOOKUP(I1712,episodes!$A$1:$D$81,3,FALSE)</f>
        <v>2</v>
      </c>
      <c r="M1712" s="16">
        <f>VLOOKUP(I1712,episodes!$A$1:$D$81,4,FALSE)</f>
        <v>8</v>
      </c>
      <c r="O1712" s="14">
        <v>0</v>
      </c>
      <c r="P1712" s="24">
        <f>LEN(E1712)+LEN(K1712)</f>
        <v>115</v>
      </c>
      <c r="Q1712" s="24">
        <f>COUNTIFS(B:B,B1708)</f>
        <v>1</v>
      </c>
      <c r="R1712" s="24">
        <f>COUNTIFS(D:D,D1712)</f>
        <v>2</v>
      </c>
    </row>
    <row r="1713" spans="1:18" x14ac:dyDescent="0.3">
      <c r="A1713" s="14">
        <v>1674</v>
      </c>
      <c r="B1713" s="21" t="s">
        <v>1798</v>
      </c>
      <c r="C1713" s="21" t="s">
        <v>0</v>
      </c>
      <c r="D1713" s="1" t="s">
        <v>2675</v>
      </c>
      <c r="E1713" s="1" t="s">
        <v>2330</v>
      </c>
      <c r="F1713" s="21" t="s">
        <v>8</v>
      </c>
      <c r="G1713" s="14">
        <v>0</v>
      </c>
      <c r="H1713" s="14">
        <v>1</v>
      </c>
      <c r="I1713" s="22">
        <v>115</v>
      </c>
      <c r="J1713" s="23">
        <f>VLOOKUP(I1713,episodes!$A$1:$B$76,2,FALSE)</f>
        <v>16</v>
      </c>
      <c r="K1713" s="16" t="str">
        <f>VLOOKUP(I1713,episodes!$A$1:$E$81,5,FALSE)</f>
        <v>Shore Leave</v>
      </c>
      <c r="L1713" s="16">
        <f>VLOOKUP(I1713,episodes!$A$1:$D$81,3,FALSE)</f>
        <v>1</v>
      </c>
      <c r="M1713" s="16">
        <f>VLOOKUP(I1713,episodes!$A$1:$D$81,4,FALSE)</f>
        <v>15</v>
      </c>
      <c r="O1713" s="14">
        <v>0</v>
      </c>
      <c r="P1713" s="24">
        <f>LEN(E1713)+LEN(K1713)</f>
        <v>154</v>
      </c>
      <c r="Q1713" s="24">
        <f>COUNTIFS(B:B,B1704)</f>
        <v>11</v>
      </c>
      <c r="R1713" s="24">
        <f>COUNTIFS(D:D,D1713)</f>
        <v>1</v>
      </c>
    </row>
    <row r="1714" spans="1:18" x14ac:dyDescent="0.3">
      <c r="A1714" s="14">
        <v>1469</v>
      </c>
      <c r="B1714" s="21" t="s">
        <v>759</v>
      </c>
      <c r="C1714" s="21" t="s">
        <v>0</v>
      </c>
      <c r="D1714" s="21" t="s">
        <v>2620</v>
      </c>
      <c r="E1714" s="1" t="s">
        <v>889</v>
      </c>
      <c r="F1714" s="21" t="s">
        <v>2293</v>
      </c>
      <c r="G1714" s="14">
        <v>0</v>
      </c>
      <c r="H1714" s="14">
        <v>0</v>
      </c>
      <c r="I1714" s="22">
        <v>324</v>
      </c>
      <c r="J1714" s="23">
        <f>VLOOKUP(I1714,episodes!$A$1:$B$81,2,FALSE)</f>
        <v>80</v>
      </c>
      <c r="K1714" s="16" t="str">
        <f>VLOOKUP(I1714,episodes!$A$1:$E$81,5,FALSE)</f>
        <v>Turnabout Intruder</v>
      </c>
      <c r="L1714" s="16">
        <f>VLOOKUP(I1714,episodes!$A$1:$D$81,3,FALSE)</f>
        <v>3</v>
      </c>
      <c r="M1714" s="16">
        <f>VLOOKUP(I1714,episodes!$A$1:$D$81,4,FALSE)</f>
        <v>24</v>
      </c>
      <c r="O1714" s="14">
        <v>0</v>
      </c>
      <c r="P1714" s="24">
        <f>LEN(E1714)+LEN(K1714)</f>
        <v>56</v>
      </c>
      <c r="Q1714" s="24">
        <f>COUNTIFS(B:B,B1716)</f>
        <v>10</v>
      </c>
      <c r="R1714" s="24">
        <f>COUNTIFS(D:D,D1717)</f>
        <v>15</v>
      </c>
    </row>
    <row r="1715" spans="1:18" x14ac:dyDescent="0.3">
      <c r="A1715" s="14">
        <v>2926</v>
      </c>
      <c r="B1715" s="21" t="s">
        <v>2683</v>
      </c>
      <c r="C1715" s="21" t="s">
        <v>0</v>
      </c>
      <c r="D1715" s="21" t="s">
        <v>2695</v>
      </c>
      <c r="E1715" s="1" t="s">
        <v>2691</v>
      </c>
      <c r="F1715" s="21" t="s">
        <v>2233</v>
      </c>
      <c r="G1715" s="14">
        <v>0</v>
      </c>
      <c r="H1715" s="14">
        <v>0</v>
      </c>
      <c r="I1715" s="22">
        <v>202</v>
      </c>
      <c r="J1715" s="23">
        <f>VLOOKUP(I1715,episodes!$A$1:$B$81,2,FALSE)</f>
        <v>32</v>
      </c>
      <c r="K1715" s="16" t="str">
        <f>VLOOKUP(I1715,episodes!$A$1:$E$81,5,FALSE)</f>
        <v>Who Mourns for Adonais?</v>
      </c>
      <c r="L1715" s="16">
        <f>VLOOKUP(I1715,episodes!$A$1:$D$81,3,FALSE)</f>
        <v>2</v>
      </c>
      <c r="M1715" s="16">
        <f>VLOOKUP(I1715,episodes!$A$1:$D$81,4,FALSE)</f>
        <v>2</v>
      </c>
      <c r="O1715" s="14">
        <v>0</v>
      </c>
      <c r="P1715" s="24">
        <f>LEN(E1715)+LEN(K1715)</f>
        <v>108</v>
      </c>
      <c r="Q1715" s="24"/>
      <c r="R1715" s="24"/>
    </row>
    <row r="1716" spans="1:18" x14ac:dyDescent="0.3">
      <c r="A1716" s="14">
        <v>2928</v>
      </c>
      <c r="B1716" s="21" t="s">
        <v>2683</v>
      </c>
      <c r="C1716" s="21" t="s">
        <v>0</v>
      </c>
      <c r="D1716" s="21" t="s">
        <v>2695</v>
      </c>
      <c r="E1716" s="1" t="s">
        <v>2693</v>
      </c>
      <c r="F1716" s="21"/>
      <c r="G1716" s="14">
        <v>0</v>
      </c>
      <c r="H1716" s="14">
        <v>0</v>
      </c>
      <c r="I1716" s="22">
        <v>208</v>
      </c>
      <c r="J1716" s="23">
        <f>VLOOKUP(I1716,episodes!$A$1:$B$81,2,FALSE)</f>
        <v>38</v>
      </c>
      <c r="K1716" s="16" t="str">
        <f>VLOOKUP(I1716,episodes!$A$1:$E$81,5,FALSE)</f>
        <v>I, Mudd</v>
      </c>
      <c r="L1716" s="16">
        <f>VLOOKUP(I1716,episodes!$A$1:$D$81,3,FALSE)</f>
        <v>2</v>
      </c>
      <c r="M1716" s="16">
        <f>VLOOKUP(I1716,episodes!$A$1:$D$81,4,FALSE)</f>
        <v>8</v>
      </c>
      <c r="O1716" s="14">
        <v>0</v>
      </c>
      <c r="P1716" s="24">
        <f>LEN(E1716)+LEN(K1716)</f>
        <v>129</v>
      </c>
      <c r="Q1716" s="24"/>
      <c r="R1716" s="24"/>
    </row>
    <row r="1717" spans="1:18" x14ac:dyDescent="0.3">
      <c r="A1717" s="14">
        <v>2927</v>
      </c>
      <c r="B1717" s="21" t="s">
        <v>2683</v>
      </c>
      <c r="C1717" s="21" t="s">
        <v>0</v>
      </c>
      <c r="D1717" s="21" t="s">
        <v>2695</v>
      </c>
      <c r="E1717" s="1" t="s">
        <v>2692</v>
      </c>
      <c r="F1717" s="21"/>
      <c r="G1717" s="14">
        <v>0</v>
      </c>
      <c r="H1717" s="14">
        <v>0</v>
      </c>
      <c r="I1717" s="22">
        <v>208</v>
      </c>
      <c r="J1717" s="23">
        <f>VLOOKUP(I1717,episodes!$A$1:$B$81,2,FALSE)</f>
        <v>38</v>
      </c>
      <c r="K1717" s="16" t="str">
        <f>VLOOKUP(I1717,episodes!$A$1:$E$81,5,FALSE)</f>
        <v>I, Mudd</v>
      </c>
      <c r="L1717" s="16">
        <f>VLOOKUP(I1717,episodes!$A$1:$D$81,3,FALSE)</f>
        <v>2</v>
      </c>
      <c r="M1717" s="16">
        <f>VLOOKUP(I1717,episodes!$A$1:$D$81,4,FALSE)</f>
        <v>8</v>
      </c>
      <c r="O1717" s="14">
        <v>0</v>
      </c>
      <c r="P1717" s="24">
        <f>LEN(E1717)+LEN(K1717)</f>
        <v>141</v>
      </c>
      <c r="Q1717" s="24"/>
      <c r="R1717" s="24"/>
    </row>
    <row r="1718" spans="1:18" x14ac:dyDescent="0.3">
      <c r="A1718" s="14">
        <v>2924</v>
      </c>
      <c r="B1718" s="21" t="s">
        <v>2683</v>
      </c>
      <c r="C1718" s="21" t="s">
        <v>0</v>
      </c>
      <c r="D1718" s="21" t="s">
        <v>2695</v>
      </c>
      <c r="E1718" s="1" t="s">
        <v>2689</v>
      </c>
      <c r="F1718" s="21" t="s">
        <v>5</v>
      </c>
      <c r="G1718" s="14">
        <v>1</v>
      </c>
      <c r="H1718" s="14">
        <v>0</v>
      </c>
      <c r="I1718" s="22">
        <v>124</v>
      </c>
      <c r="J1718" s="23">
        <f>VLOOKUP(I1718,episodes!$A$1:$B$81,2,FALSE)</f>
        <v>25</v>
      </c>
      <c r="K1718" s="16" t="str">
        <f>VLOOKUP(I1718,episodes!$A$1:$E$81,5,FALSE)</f>
        <v>This Side of Paradise</v>
      </c>
      <c r="L1718" s="16">
        <f>VLOOKUP(I1718,episodes!$A$1:$D$81,3,FALSE)</f>
        <v>1</v>
      </c>
      <c r="M1718" s="16">
        <f>VLOOKUP(I1718,episodes!$A$1:$D$81,4,FALSE)</f>
        <v>24</v>
      </c>
      <c r="O1718" s="14">
        <v>0</v>
      </c>
      <c r="P1718" s="24">
        <f>LEN(E1718)+LEN(K1718)</f>
        <v>111</v>
      </c>
      <c r="Q1718" s="24"/>
      <c r="R1718" s="24"/>
    </row>
    <row r="1719" spans="1:18" x14ac:dyDescent="0.3">
      <c r="A1719" s="14">
        <v>2923</v>
      </c>
      <c r="B1719" s="21" t="s">
        <v>2683</v>
      </c>
      <c r="C1719" s="21" t="s">
        <v>0</v>
      </c>
      <c r="D1719" s="21" t="s">
        <v>2695</v>
      </c>
      <c r="E1719" s="1" t="s">
        <v>2688</v>
      </c>
      <c r="F1719" s="21" t="s">
        <v>2687</v>
      </c>
      <c r="G1719" s="14">
        <v>0</v>
      </c>
      <c r="H1719" s="14">
        <v>0</v>
      </c>
      <c r="I1719" s="22">
        <v>122</v>
      </c>
      <c r="J1719" s="23">
        <f>VLOOKUP(I1719,episodes!$A$1:$B$81,2,FALSE)</f>
        <v>23</v>
      </c>
      <c r="K1719" s="16" t="str">
        <f>VLOOKUP(I1719,episodes!$A$1:$E$81,5,FALSE)</f>
        <v>Space Seed</v>
      </c>
      <c r="L1719" s="16">
        <f>VLOOKUP(I1719,episodes!$A$1:$D$81,3,FALSE)</f>
        <v>1</v>
      </c>
      <c r="M1719" s="16">
        <f>VLOOKUP(I1719,episodes!$A$1:$D$81,4,FALSE)</f>
        <v>22</v>
      </c>
      <c r="O1719" s="14">
        <v>0</v>
      </c>
      <c r="P1719" s="24">
        <f>LEN(E1719)+LEN(K1719)</f>
        <v>136</v>
      </c>
      <c r="Q1719" s="24"/>
      <c r="R1719" s="24"/>
    </row>
    <row r="1720" spans="1:18" x14ac:dyDescent="0.3">
      <c r="A1720" s="14">
        <v>2921</v>
      </c>
      <c r="B1720" s="21" t="s">
        <v>2683</v>
      </c>
      <c r="C1720" s="21" t="s">
        <v>0</v>
      </c>
      <c r="D1720" s="21" t="s">
        <v>2695</v>
      </c>
      <c r="E1720" s="1" t="s">
        <v>2686</v>
      </c>
      <c r="F1720" s="21" t="s">
        <v>4</v>
      </c>
      <c r="G1720" s="14">
        <v>1</v>
      </c>
      <c r="H1720" s="14">
        <v>0</v>
      </c>
      <c r="I1720" s="22">
        <v>120</v>
      </c>
      <c r="J1720" s="23">
        <f>VLOOKUP(I1720,episodes!$A$1:$B$81,2,FALSE)</f>
        <v>21</v>
      </c>
      <c r="K1720" s="16" t="str">
        <f>VLOOKUP(I1720,episodes!$A$1:$E$81,5,FALSE)</f>
        <v>Court Martial</v>
      </c>
      <c r="L1720" s="16">
        <f>VLOOKUP(I1720,episodes!$A$1:$D$81,3,FALSE)</f>
        <v>1</v>
      </c>
      <c r="M1720" s="16">
        <f>VLOOKUP(I1720,episodes!$A$1:$D$81,4,FALSE)</f>
        <v>20</v>
      </c>
      <c r="O1720" s="14">
        <v>0</v>
      </c>
      <c r="P1720" s="24">
        <f>LEN(E1720)+LEN(K1720)</f>
        <v>125</v>
      </c>
      <c r="Q1720" s="24"/>
      <c r="R1720" s="24"/>
    </row>
    <row r="1721" spans="1:18" x14ac:dyDescent="0.3">
      <c r="A1721" s="14">
        <v>2925</v>
      </c>
      <c r="B1721" s="21" t="s">
        <v>2683</v>
      </c>
      <c r="C1721" s="21" t="s">
        <v>0</v>
      </c>
      <c r="D1721" s="21" t="s">
        <v>2695</v>
      </c>
      <c r="E1721" s="1" t="s">
        <v>2690</v>
      </c>
      <c r="F1721" s="21" t="s">
        <v>4</v>
      </c>
      <c r="G1721" s="14">
        <v>1</v>
      </c>
      <c r="H1721" s="14">
        <v>0</v>
      </c>
      <c r="I1721" s="22">
        <v>128</v>
      </c>
      <c r="J1721" s="23">
        <f>VLOOKUP(I1721,episodes!$A$1:$B$81,2,FALSE)</f>
        <v>29</v>
      </c>
      <c r="K1721" s="16" t="str">
        <f>VLOOKUP(I1721,episodes!$A$1:$E$81,5,FALSE)</f>
        <v>The City on the Edge of Forever</v>
      </c>
      <c r="L1721" s="16">
        <f>VLOOKUP(I1721,episodes!$A$1:$D$81,3,FALSE)</f>
        <v>1</v>
      </c>
      <c r="M1721" s="16">
        <f>VLOOKUP(I1721,episodes!$A$1:$D$81,4,FALSE)</f>
        <v>28</v>
      </c>
      <c r="O1721" s="14">
        <v>0</v>
      </c>
      <c r="P1721" s="24">
        <f>LEN(E1721)+LEN(K1721)</f>
        <v>178</v>
      </c>
      <c r="Q1721" s="24"/>
      <c r="R1721" s="24"/>
    </row>
    <row r="1722" spans="1:18" x14ac:dyDescent="0.3">
      <c r="A1722" s="14">
        <v>566</v>
      </c>
      <c r="B1722" s="21" t="s">
        <v>360</v>
      </c>
      <c r="C1722" s="21" t="s">
        <v>0</v>
      </c>
      <c r="D1722" s="1" t="s">
        <v>2695</v>
      </c>
      <c r="E1722" s="1" t="s">
        <v>1080</v>
      </c>
      <c r="F1722" s="21" t="s">
        <v>4</v>
      </c>
      <c r="G1722" s="14">
        <v>1</v>
      </c>
      <c r="H1722" s="14">
        <v>0</v>
      </c>
      <c r="I1722" s="25">
        <v>102</v>
      </c>
      <c r="J1722" s="23">
        <f>VLOOKUP(I1722,episodes!$A$1:$B$76,2,FALSE)</f>
        <v>3</v>
      </c>
      <c r="K1722" s="16" t="str">
        <f>VLOOKUP(I1722,episodes!$A$1:$E$81,5,FALSE)</f>
        <v>Charlie X</v>
      </c>
      <c r="L1722" s="16">
        <f>VLOOKUP(I1722,episodes!$A$1:$D$81,3,FALSE)</f>
        <v>1</v>
      </c>
      <c r="M1722" s="16">
        <f>VLOOKUP(I1722,episodes!$A$1:$D$81,4,FALSE)</f>
        <v>2</v>
      </c>
      <c r="O1722" s="14">
        <v>0</v>
      </c>
      <c r="P1722" s="24">
        <f>LEN(E1722)+LEN(K1722)</f>
        <v>126</v>
      </c>
      <c r="Q1722" s="24">
        <f>COUNTIFS(B:B,B1721)</f>
        <v>10</v>
      </c>
      <c r="R1722" s="24">
        <f>COUNTIFS(D:D,D1722)</f>
        <v>15</v>
      </c>
    </row>
    <row r="1723" spans="1:18" x14ac:dyDescent="0.3">
      <c r="A1723" s="14">
        <v>565</v>
      </c>
      <c r="B1723" s="21" t="s">
        <v>360</v>
      </c>
      <c r="C1723" s="21" t="s">
        <v>0</v>
      </c>
      <c r="D1723" s="1" t="s">
        <v>2695</v>
      </c>
      <c r="E1723" s="1" t="s">
        <v>1081</v>
      </c>
      <c r="F1723" s="21" t="s">
        <v>4</v>
      </c>
      <c r="G1723" s="14">
        <v>1</v>
      </c>
      <c r="H1723" s="14">
        <v>0</v>
      </c>
      <c r="I1723" s="25">
        <v>102</v>
      </c>
      <c r="J1723" s="23">
        <f>VLOOKUP(I1723,episodes!$A$1:$B$76,2,FALSE)</f>
        <v>3</v>
      </c>
      <c r="K1723" s="16" t="str">
        <f>VLOOKUP(I1723,episodes!$A$1:$E$81,5,FALSE)</f>
        <v>Charlie X</v>
      </c>
      <c r="L1723" s="16">
        <f>VLOOKUP(I1723,episodes!$A$1:$D$81,3,FALSE)</f>
        <v>1</v>
      </c>
      <c r="M1723" s="16">
        <f>VLOOKUP(I1723,episodes!$A$1:$D$81,4,FALSE)</f>
        <v>2</v>
      </c>
      <c r="O1723" s="14">
        <v>0</v>
      </c>
      <c r="P1723" s="24">
        <f>LEN(E1723)+LEN(K1723)</f>
        <v>106</v>
      </c>
      <c r="Q1723" s="24">
        <f>COUNTIFS(B:B,B1722)</f>
        <v>3</v>
      </c>
      <c r="R1723" s="24">
        <f>COUNTIFS(D:D,D1723)</f>
        <v>15</v>
      </c>
    </row>
    <row r="1724" spans="1:18" x14ac:dyDescent="0.3">
      <c r="A1724" s="14">
        <v>2920</v>
      </c>
      <c r="B1724" s="21" t="s">
        <v>2683</v>
      </c>
      <c r="C1724" s="21" t="s">
        <v>0</v>
      </c>
      <c r="D1724" s="21" t="s">
        <v>2695</v>
      </c>
      <c r="E1724" s="1" t="s">
        <v>2685</v>
      </c>
      <c r="F1724" s="21" t="s">
        <v>8</v>
      </c>
      <c r="G1724" s="14">
        <v>0</v>
      </c>
      <c r="H1724" s="14">
        <v>1</v>
      </c>
      <c r="I1724" s="22">
        <v>115</v>
      </c>
      <c r="J1724" s="23">
        <f>VLOOKUP(I1724,episodes!$A$1:$B$81,2,FALSE)</f>
        <v>16</v>
      </c>
      <c r="K1724" s="16" t="str">
        <f>VLOOKUP(I1724,episodes!$A$1:$E$81,5,FALSE)</f>
        <v>Shore Leave</v>
      </c>
      <c r="L1724" s="16">
        <f>VLOOKUP(I1724,episodes!$A$1:$D$81,3,FALSE)</f>
        <v>1</v>
      </c>
      <c r="M1724" s="16">
        <f>VLOOKUP(I1724,episodes!$A$1:$D$81,4,FALSE)</f>
        <v>15</v>
      </c>
      <c r="O1724" s="14">
        <v>0</v>
      </c>
      <c r="P1724" s="24">
        <f>LEN(E1724)+LEN(K1724)</f>
        <v>142</v>
      </c>
      <c r="Q1724" s="24"/>
      <c r="R1724" s="24"/>
    </row>
    <row r="1725" spans="1:18" x14ac:dyDescent="0.3">
      <c r="A1725" s="14">
        <v>2919</v>
      </c>
      <c r="B1725" s="21" t="s">
        <v>2683</v>
      </c>
      <c r="C1725" s="21" t="s">
        <v>0</v>
      </c>
      <c r="D1725" s="21" t="s">
        <v>2695</v>
      </c>
      <c r="E1725" s="1" t="s">
        <v>2684</v>
      </c>
      <c r="F1725" s="21" t="s">
        <v>2225</v>
      </c>
      <c r="G1725" s="14">
        <v>0</v>
      </c>
      <c r="H1725" s="14">
        <v>0</v>
      </c>
      <c r="I1725" s="22">
        <v>107</v>
      </c>
      <c r="J1725" s="23">
        <f>VLOOKUP(I1725,episodes!$A$1:$B$81,2,FALSE)</f>
        <v>8</v>
      </c>
      <c r="K1725" s="16" t="str">
        <f>VLOOKUP(I1725,episodes!$A$1:$E$81,5,FALSE)</f>
        <v>What Are Little Girls Made Of?</v>
      </c>
      <c r="L1725" s="16">
        <f>VLOOKUP(I1725,episodes!$A$1:$D$81,3,FALSE)</f>
        <v>1</v>
      </c>
      <c r="M1725" s="16">
        <f>VLOOKUP(I1725,episodes!$A$1:$D$81,4,FALSE)</f>
        <v>7</v>
      </c>
      <c r="O1725" s="14">
        <v>0</v>
      </c>
      <c r="P1725" s="24">
        <f>LEN(E1725)+LEN(K1725)</f>
        <v>117</v>
      </c>
      <c r="Q1725" s="24"/>
      <c r="R1725" s="24">
        <f>COUNTIFS(D:D,D1725)</f>
        <v>15</v>
      </c>
    </row>
    <row r="1726" spans="1:18" x14ac:dyDescent="0.3">
      <c r="A1726" s="14">
        <v>2229</v>
      </c>
      <c r="B1726" s="21" t="s">
        <v>360</v>
      </c>
      <c r="C1726" s="21" t="s">
        <v>0</v>
      </c>
      <c r="D1726" s="1" t="s">
        <v>2695</v>
      </c>
      <c r="E1726" s="1" t="s">
        <v>812</v>
      </c>
      <c r="F1726" s="21" t="s">
        <v>5</v>
      </c>
      <c r="G1726" s="14">
        <v>1</v>
      </c>
      <c r="H1726" s="14">
        <v>0</v>
      </c>
      <c r="I1726" s="22">
        <v>201</v>
      </c>
      <c r="J1726" s="23">
        <f>VLOOKUP(I1726,episodes!$A$1:$B$76,2,FALSE)</f>
        <v>31</v>
      </c>
      <c r="K1726" s="16" t="str">
        <f>VLOOKUP(I1726,episodes!$A$1:$E$81,5,FALSE)</f>
        <v>Amok Time</v>
      </c>
      <c r="L1726" s="16">
        <f>VLOOKUP(I1726,episodes!$A$1:$D$81,3,FALSE)</f>
        <v>2</v>
      </c>
      <c r="M1726" s="16">
        <f>VLOOKUP(I1726,episodes!$A$1:$D$81,4,FALSE)</f>
        <v>1</v>
      </c>
      <c r="O1726" s="14">
        <v>0</v>
      </c>
      <c r="P1726" s="24">
        <f>LEN(E1726)+LEN(K1726)</f>
        <v>69</v>
      </c>
      <c r="Q1726" s="24">
        <f>COUNTIFS(B:B,B1725)</f>
        <v>10</v>
      </c>
      <c r="R1726" s="24">
        <f>COUNTIFS(D:D,D1726)</f>
        <v>15</v>
      </c>
    </row>
    <row r="1727" spans="1:18" x14ac:dyDescent="0.3">
      <c r="A1727" s="14">
        <v>2929</v>
      </c>
      <c r="B1727" s="21" t="s">
        <v>2683</v>
      </c>
      <c r="C1727" s="21" t="s">
        <v>0</v>
      </c>
      <c r="D1727" s="21" t="s">
        <v>2695</v>
      </c>
      <c r="E1727" s="1" t="s">
        <v>2694</v>
      </c>
      <c r="F1727" s="21" t="s">
        <v>2225</v>
      </c>
      <c r="G1727" s="14">
        <v>0</v>
      </c>
      <c r="H1727" s="14">
        <v>0</v>
      </c>
      <c r="I1727" s="22">
        <v>209</v>
      </c>
      <c r="J1727" s="23">
        <f>VLOOKUP(I1727,episodes!$A$1:$B$81,2,FALSE)</f>
        <v>39</v>
      </c>
      <c r="K1727" s="16" t="str">
        <f>VLOOKUP(I1727,episodes!$A$1:$E$81,5,FALSE)</f>
        <v>Metamorphosis</v>
      </c>
      <c r="L1727" s="16">
        <f>VLOOKUP(I1727,episodes!$A$1:$D$81,3,FALSE)</f>
        <v>2</v>
      </c>
      <c r="M1727" s="16">
        <f>VLOOKUP(I1727,episodes!$A$1:$D$81,4,FALSE)</f>
        <v>9</v>
      </c>
      <c r="O1727" s="14">
        <v>0</v>
      </c>
      <c r="P1727" s="24">
        <f>LEN(E1727)+LEN(K1727)</f>
        <v>161</v>
      </c>
      <c r="Q1727" s="24"/>
      <c r="R1727" s="24"/>
    </row>
    <row r="1728" spans="1:18" x14ac:dyDescent="0.3">
      <c r="A1728" s="14">
        <v>2910</v>
      </c>
      <c r="B1728" s="21" t="s">
        <v>0</v>
      </c>
      <c r="C1728" s="21" t="s">
        <v>0</v>
      </c>
      <c r="D1728" s="21" t="s">
        <v>2695</v>
      </c>
      <c r="E1728" s="1" t="s">
        <v>2388</v>
      </c>
      <c r="F1728" s="21" t="s">
        <v>2386</v>
      </c>
      <c r="G1728" s="14">
        <v>0</v>
      </c>
      <c r="H1728" s="14">
        <v>0</v>
      </c>
      <c r="I1728" s="22">
        <v>216</v>
      </c>
      <c r="J1728" s="23">
        <v>46</v>
      </c>
      <c r="K1728" s="16" t="str">
        <f>VLOOKUP(I1728,episodes!$A$1:$E$81,5,FALSE)</f>
        <v>The Gamesters of Triskelion</v>
      </c>
      <c r="L1728" s="16">
        <f>VLOOKUP(I1728,episodes!$A$1:$D$81,3,FALSE)</f>
        <v>2</v>
      </c>
      <c r="M1728" s="16">
        <f>VLOOKUP(I1728,episodes!$A$1:$D$81,4,FALSE)</f>
        <v>16</v>
      </c>
      <c r="O1728" s="14">
        <v>0</v>
      </c>
      <c r="P1728" s="24">
        <f>LEN(E1728)+LEN(K1728)</f>
        <v>121</v>
      </c>
      <c r="Q1728" s="24">
        <f>COUNTIFS(B:B,B1730)</f>
        <v>44</v>
      </c>
      <c r="R1728" s="24">
        <f>COUNTIFS(D:D,D1731)</f>
        <v>55</v>
      </c>
    </row>
    <row r="1729" spans="1:18" x14ac:dyDescent="0.3">
      <c r="A1729" s="14">
        <v>3034</v>
      </c>
      <c r="B1729" s="21" t="s">
        <v>286</v>
      </c>
      <c r="C1729" s="21" t="s">
        <v>0</v>
      </c>
      <c r="D1729" s="1" t="s">
        <v>2695</v>
      </c>
      <c r="E1729" s="1" t="s">
        <v>2926</v>
      </c>
      <c r="F1729" s="21" t="s">
        <v>2248</v>
      </c>
      <c r="G1729" s="14">
        <v>0</v>
      </c>
      <c r="H1729" s="14">
        <v>0</v>
      </c>
      <c r="I1729" s="25">
        <v>100</v>
      </c>
      <c r="J1729" s="23">
        <f>VLOOKUP(I1729,episodes!$A$1:$B$76,2,FALSE)</f>
        <v>1</v>
      </c>
      <c r="K1729" s="16" t="str">
        <f>VLOOKUP(I1729,episodes!$A$1:$E$81,5,FALSE)</f>
        <v>The Cage</v>
      </c>
      <c r="L1729" s="16">
        <f>VLOOKUP(I1729,episodes!$A$1:$D$81,3,FALSE)</f>
        <v>1</v>
      </c>
      <c r="M1729" s="16">
        <f>VLOOKUP(I1729,episodes!$A$1:$D$81,4,FALSE)</f>
        <v>0</v>
      </c>
      <c r="P1729" s="24"/>
      <c r="Q1729" s="24"/>
      <c r="R1729" s="24">
        <f>COUNTIFS(D:D,D1729)</f>
        <v>15</v>
      </c>
    </row>
    <row r="1730" spans="1:18" x14ac:dyDescent="0.3">
      <c r="A1730" s="14">
        <v>1818</v>
      </c>
      <c r="B1730" s="21" t="s">
        <v>312</v>
      </c>
      <c r="C1730" s="21" t="s">
        <v>0</v>
      </c>
      <c r="D1730" s="1" t="s">
        <v>2681</v>
      </c>
      <c r="E1730" s="1" t="s">
        <v>1387</v>
      </c>
      <c r="F1730" s="1" t="s">
        <v>2233</v>
      </c>
      <c r="G1730" s="14">
        <v>0</v>
      </c>
      <c r="H1730" s="14">
        <v>0</v>
      </c>
      <c r="I1730" s="22">
        <v>202</v>
      </c>
      <c r="J1730" s="23">
        <f>VLOOKUP(I1730,episodes!$A$1:$B$76,2,FALSE)</f>
        <v>32</v>
      </c>
      <c r="K1730" s="16" t="str">
        <f>VLOOKUP(I1730,episodes!$A$1:$E$81,5,FALSE)</f>
        <v>Who Mourns for Adonais?</v>
      </c>
      <c r="L1730" s="16">
        <f>VLOOKUP(I1730,episodes!$A$1:$D$81,3,FALSE)</f>
        <v>2</v>
      </c>
      <c r="M1730" s="16">
        <f>VLOOKUP(I1730,episodes!$A$1:$D$81,4,FALSE)</f>
        <v>2</v>
      </c>
      <c r="O1730" s="14">
        <v>0</v>
      </c>
      <c r="P1730" s="24">
        <f>LEN(E1730)+LEN(K1730)</f>
        <v>191</v>
      </c>
      <c r="Q1730" s="24">
        <f>COUNTIFS(B:B,B1729)</f>
        <v>2</v>
      </c>
      <c r="R1730" s="24">
        <f>COUNTIFS(D:D,D1730)</f>
        <v>55</v>
      </c>
    </row>
    <row r="1731" spans="1:18" x14ac:dyDescent="0.3">
      <c r="A1731" s="14">
        <v>258</v>
      </c>
      <c r="B1731" s="21" t="s">
        <v>312</v>
      </c>
      <c r="C1731" s="21" t="s">
        <v>0</v>
      </c>
      <c r="D1731" s="1" t="s">
        <v>2681</v>
      </c>
      <c r="E1731" s="1" t="s">
        <v>1439</v>
      </c>
      <c r="F1731" s="1" t="s">
        <v>2224</v>
      </c>
      <c r="G1731" s="14">
        <v>0</v>
      </c>
      <c r="H1731" s="14">
        <v>0</v>
      </c>
      <c r="I1731" s="25">
        <v>106</v>
      </c>
      <c r="J1731" s="23">
        <f>VLOOKUP(I1731,episodes!$A$1:$B$76,2,FALSE)</f>
        <v>7</v>
      </c>
      <c r="K1731" s="16" t="str">
        <f>VLOOKUP(I1731,episodes!$A$1:$E$81,5,FALSE)</f>
        <v>Mudd's Women</v>
      </c>
      <c r="L1731" s="16">
        <f>VLOOKUP(I1731,episodes!$A$1:$D$81,3,FALSE)</f>
        <v>1</v>
      </c>
      <c r="M1731" s="16">
        <f>VLOOKUP(I1731,episodes!$A$1:$D$81,4,FALSE)</f>
        <v>6</v>
      </c>
      <c r="O1731" s="14">
        <v>0</v>
      </c>
      <c r="P1731" s="24">
        <f>LEN(E1731)+LEN(K1731)</f>
        <v>113</v>
      </c>
      <c r="Q1731" s="24">
        <f>COUNTIFS(B:B,B1730)</f>
        <v>44</v>
      </c>
      <c r="R1731" s="24">
        <f>COUNTIFS(D:D,D1731)</f>
        <v>55</v>
      </c>
    </row>
    <row r="1732" spans="1:18" x14ac:dyDescent="0.3">
      <c r="A1732" s="14">
        <v>259</v>
      </c>
      <c r="B1732" s="21" t="s">
        <v>312</v>
      </c>
      <c r="C1732" s="21" t="s">
        <v>0</v>
      </c>
      <c r="D1732" s="1" t="s">
        <v>2681</v>
      </c>
      <c r="E1732" s="1" t="s">
        <v>1573</v>
      </c>
      <c r="F1732" s="1" t="s">
        <v>2224</v>
      </c>
      <c r="G1732" s="14">
        <v>0</v>
      </c>
      <c r="H1732" s="14">
        <v>0</v>
      </c>
      <c r="I1732" s="25">
        <v>106</v>
      </c>
      <c r="J1732" s="23">
        <f>VLOOKUP(I1732,episodes!$A$1:$B$76,2,FALSE)</f>
        <v>7</v>
      </c>
      <c r="K1732" s="16" t="str">
        <f>VLOOKUP(I1732,episodes!$A$1:$E$81,5,FALSE)</f>
        <v>Mudd's Women</v>
      </c>
      <c r="L1732" s="16">
        <f>VLOOKUP(I1732,episodes!$A$1:$D$81,3,FALSE)</f>
        <v>1</v>
      </c>
      <c r="M1732" s="16">
        <f>VLOOKUP(I1732,episodes!$A$1:$D$81,4,FALSE)</f>
        <v>6</v>
      </c>
      <c r="O1732" s="14">
        <v>0</v>
      </c>
      <c r="P1732" s="24">
        <f>LEN(E1732)+LEN(K1732)</f>
        <v>139</v>
      </c>
      <c r="Q1732" s="24">
        <f>COUNTIFS(B:B,B1731)</f>
        <v>44</v>
      </c>
      <c r="R1732" s="24">
        <f>COUNTIFS(D:D,D1732)</f>
        <v>55</v>
      </c>
    </row>
    <row r="1733" spans="1:18" x14ac:dyDescent="0.3">
      <c r="A1733" s="14">
        <v>1862</v>
      </c>
      <c r="B1733" s="21" t="s">
        <v>312</v>
      </c>
      <c r="C1733" s="21" t="s">
        <v>0</v>
      </c>
      <c r="D1733" s="1" t="s">
        <v>2681</v>
      </c>
      <c r="E1733" s="1" t="s">
        <v>2381</v>
      </c>
      <c r="F1733" s="21" t="s">
        <v>1862</v>
      </c>
      <c r="G1733" s="14">
        <v>0</v>
      </c>
      <c r="H1733" s="14">
        <v>2</v>
      </c>
      <c r="I1733" s="25">
        <v>102</v>
      </c>
      <c r="J1733" s="23">
        <f>VLOOKUP(I1733,episodes!$A$1:$B$76,2,FALSE)</f>
        <v>3</v>
      </c>
      <c r="K1733" s="16" t="str">
        <f>VLOOKUP(I1733,episodes!$A$1:$E$81,5,FALSE)</f>
        <v>Charlie X</v>
      </c>
      <c r="L1733" s="16">
        <f>VLOOKUP(I1733,episodes!$A$1:$D$81,3,FALSE)</f>
        <v>1</v>
      </c>
      <c r="M1733" s="16">
        <f>VLOOKUP(I1733,episodes!$A$1:$D$81,4,FALSE)</f>
        <v>2</v>
      </c>
      <c r="O1733" s="14">
        <v>0</v>
      </c>
      <c r="P1733" s="24">
        <f>LEN(E1733)+LEN(K1733)</f>
        <v>58</v>
      </c>
      <c r="Q1733" s="24">
        <f>COUNTIFS(B:B,#REF!)</f>
        <v>0</v>
      </c>
      <c r="R1733" s="24">
        <f>COUNTIFS(D:D,D1733)</f>
        <v>55</v>
      </c>
    </row>
    <row r="1734" spans="1:18" x14ac:dyDescent="0.3">
      <c r="A1734" s="14">
        <v>1857</v>
      </c>
      <c r="B1734" s="21" t="s">
        <v>312</v>
      </c>
      <c r="C1734" s="21" t="s">
        <v>0</v>
      </c>
      <c r="D1734" s="1" t="s">
        <v>2681</v>
      </c>
      <c r="E1734" s="1" t="s">
        <v>1871</v>
      </c>
      <c r="F1734" s="21" t="s">
        <v>1862</v>
      </c>
      <c r="G1734" s="14">
        <v>0</v>
      </c>
      <c r="H1734" s="14">
        <v>2</v>
      </c>
      <c r="I1734" s="25">
        <v>102</v>
      </c>
      <c r="J1734" s="23">
        <f>VLOOKUP(I1734,episodes!$A$1:$B$76,2,FALSE)</f>
        <v>3</v>
      </c>
      <c r="K1734" s="16" t="str">
        <f>VLOOKUP(I1734,episodes!$A$1:$E$81,5,FALSE)</f>
        <v>Charlie X</v>
      </c>
      <c r="L1734" s="16">
        <f>VLOOKUP(I1734,episodes!$A$1:$D$81,3,FALSE)</f>
        <v>1</v>
      </c>
      <c r="M1734" s="16">
        <f>VLOOKUP(I1734,episodes!$A$1:$D$81,4,FALSE)</f>
        <v>2</v>
      </c>
      <c r="O1734" s="14">
        <v>0</v>
      </c>
      <c r="P1734" s="24">
        <f>LEN(E1734)+LEN(K1734)</f>
        <v>127</v>
      </c>
      <c r="Q1734" s="24">
        <f>COUNTIFS(B:B,B1733)</f>
        <v>44</v>
      </c>
      <c r="R1734" s="24">
        <f>COUNTIFS(D:D,D1734)</f>
        <v>55</v>
      </c>
    </row>
    <row r="1735" spans="1:18" x14ac:dyDescent="0.3">
      <c r="A1735" s="14">
        <v>2389</v>
      </c>
      <c r="B1735" s="21" t="s">
        <v>312</v>
      </c>
      <c r="C1735" s="21" t="s">
        <v>0</v>
      </c>
      <c r="D1735" s="1" t="s">
        <v>2681</v>
      </c>
      <c r="E1735" s="1" t="s">
        <v>1501</v>
      </c>
      <c r="F1735" s="21" t="s">
        <v>1862</v>
      </c>
      <c r="G1735" s="14">
        <v>0</v>
      </c>
      <c r="H1735" s="14">
        <v>2</v>
      </c>
      <c r="I1735" s="25">
        <v>104</v>
      </c>
      <c r="J1735" s="23">
        <f>VLOOKUP(I1735,episodes!$A$1:$B$76,2,FALSE)</f>
        <v>5</v>
      </c>
      <c r="K1735" s="16" t="str">
        <f>VLOOKUP(I1735,episodes!$A$1:$E$81,5,FALSE)</f>
        <v>The Naked Time</v>
      </c>
      <c r="L1735" s="16">
        <f>VLOOKUP(I1735,episodes!$A$1:$D$81,3,FALSE)</f>
        <v>1</v>
      </c>
      <c r="M1735" s="16">
        <f>VLOOKUP(I1735,episodes!$A$1:$D$81,4,FALSE)</f>
        <v>4</v>
      </c>
      <c r="O1735" s="14">
        <v>0</v>
      </c>
      <c r="P1735" s="24">
        <f>LEN(E1735)+LEN(K1735)</f>
        <v>170</v>
      </c>
      <c r="Q1735" s="24"/>
      <c r="R1735" s="24"/>
    </row>
    <row r="1736" spans="1:18" x14ac:dyDescent="0.3">
      <c r="A1736" s="14">
        <v>167</v>
      </c>
      <c r="B1736" s="21" t="s">
        <v>312</v>
      </c>
      <c r="C1736" s="21" t="s">
        <v>0</v>
      </c>
      <c r="D1736" s="1" t="s">
        <v>2681</v>
      </c>
      <c r="E1736" s="1" t="s">
        <v>1465</v>
      </c>
      <c r="F1736" s="1" t="s">
        <v>2253</v>
      </c>
      <c r="G1736" s="14">
        <v>0</v>
      </c>
      <c r="H1736" s="14">
        <v>0</v>
      </c>
      <c r="I1736" s="25">
        <v>101</v>
      </c>
      <c r="J1736" s="23">
        <f>VLOOKUP(I1736,episodes!$A$1:$B$76,2,FALSE)</f>
        <v>2</v>
      </c>
      <c r="K1736" s="16" t="str">
        <f>VLOOKUP(I1736,episodes!$A$1:$E$81,5,FALSE)</f>
        <v>The Man Trap</v>
      </c>
      <c r="L1736" s="16">
        <f>VLOOKUP(I1736,episodes!$A$1:$D$81,3,FALSE)</f>
        <v>1</v>
      </c>
      <c r="M1736" s="16">
        <f>VLOOKUP(I1736,episodes!$A$1:$D$81,4,FALSE)</f>
        <v>1</v>
      </c>
      <c r="O1736" s="14">
        <v>0</v>
      </c>
      <c r="P1736" s="24">
        <f>LEN(E1736)+LEN(K1736)</f>
        <v>233</v>
      </c>
      <c r="Q1736" s="24">
        <f>COUNTIFS(B:B,B1735)</f>
        <v>44</v>
      </c>
      <c r="R1736" s="24">
        <f>COUNTIFS(D:D,D1736)</f>
        <v>55</v>
      </c>
    </row>
    <row r="1737" spans="1:18" x14ac:dyDescent="0.3">
      <c r="A1737" s="14">
        <v>1784</v>
      </c>
      <c r="B1737" s="21" t="s">
        <v>236</v>
      </c>
      <c r="C1737" s="21" t="s">
        <v>0</v>
      </c>
      <c r="D1737" s="21" t="s">
        <v>2681</v>
      </c>
      <c r="E1737" s="1" t="s">
        <v>1723</v>
      </c>
      <c r="F1737" s="21" t="s">
        <v>2290</v>
      </c>
      <c r="G1737" s="14">
        <v>0</v>
      </c>
      <c r="H1737" s="14">
        <v>0</v>
      </c>
      <c r="I1737" s="25">
        <v>109</v>
      </c>
      <c r="J1737" s="23">
        <f>VLOOKUP(I1737,episodes!$A$1:$B$76,2,FALSE)</f>
        <v>10</v>
      </c>
      <c r="K1737" s="16" t="str">
        <f>VLOOKUP(I1737,episodes!$A$1:$E$81,5,FALSE)</f>
        <v>Dagger of the Mind</v>
      </c>
      <c r="L1737" s="16">
        <f>VLOOKUP(I1737,episodes!$A$1:$D$81,3,FALSE)</f>
        <v>1</v>
      </c>
      <c r="M1737" s="16">
        <f>VLOOKUP(I1737,episodes!$A$1:$D$81,4,FALSE)</f>
        <v>9</v>
      </c>
      <c r="O1737" s="14">
        <v>0</v>
      </c>
      <c r="P1737" s="24">
        <f>LEN(E1737)+LEN(K1737)</f>
        <v>143</v>
      </c>
      <c r="Q1737" s="24">
        <f>COUNTIFS(B:B,B1736)</f>
        <v>44</v>
      </c>
      <c r="R1737" s="24">
        <f>COUNTIFS(D:D,D1737)</f>
        <v>55</v>
      </c>
    </row>
    <row r="1738" spans="1:18" x14ac:dyDescent="0.3">
      <c r="A1738" s="14">
        <v>192</v>
      </c>
      <c r="B1738" s="21" t="s">
        <v>312</v>
      </c>
      <c r="C1738" s="21" t="s">
        <v>0</v>
      </c>
      <c r="D1738" s="21" t="s">
        <v>2681</v>
      </c>
      <c r="E1738" s="1" t="s">
        <v>1572</v>
      </c>
      <c r="F1738" s="1" t="s">
        <v>2324</v>
      </c>
      <c r="G1738" s="14">
        <v>0</v>
      </c>
      <c r="H1738" s="14">
        <v>0</v>
      </c>
      <c r="I1738" s="25">
        <v>106</v>
      </c>
      <c r="J1738" s="23">
        <f>VLOOKUP(I1738,episodes!$A$1:$B$76,2,FALSE)</f>
        <v>7</v>
      </c>
      <c r="K1738" s="16" t="str">
        <f>VLOOKUP(I1738,episodes!$A$1:$E$81,5,FALSE)</f>
        <v>Mudd's Women</v>
      </c>
      <c r="L1738" s="16">
        <f>VLOOKUP(I1738,episodes!$A$1:$D$81,3,FALSE)</f>
        <v>1</v>
      </c>
      <c r="M1738" s="16">
        <f>VLOOKUP(I1738,episodes!$A$1:$D$81,4,FALSE)</f>
        <v>6</v>
      </c>
      <c r="O1738" s="14">
        <v>0</v>
      </c>
      <c r="P1738" s="24">
        <f>LEN(E1738)+LEN(K1738)</f>
        <v>53</v>
      </c>
      <c r="Q1738" s="24">
        <f>COUNTIFS(B:B,B1737)</f>
        <v>1</v>
      </c>
      <c r="R1738" s="24">
        <f>COUNTIFS(D:D,D1738)</f>
        <v>55</v>
      </c>
    </row>
    <row r="1739" spans="1:18" x14ac:dyDescent="0.3">
      <c r="A1739" s="14">
        <v>193</v>
      </c>
      <c r="B1739" s="21" t="s">
        <v>312</v>
      </c>
      <c r="C1739" s="21" t="s">
        <v>0</v>
      </c>
      <c r="D1739" s="21" t="s">
        <v>2681</v>
      </c>
      <c r="E1739" s="1" t="s">
        <v>1230</v>
      </c>
      <c r="F1739" s="1" t="s">
        <v>2324</v>
      </c>
      <c r="G1739" s="14">
        <v>0</v>
      </c>
      <c r="H1739" s="14">
        <v>0</v>
      </c>
      <c r="I1739" s="25">
        <v>106</v>
      </c>
      <c r="J1739" s="23">
        <f>VLOOKUP(I1739,episodes!$A$1:$B$76,2,FALSE)</f>
        <v>7</v>
      </c>
      <c r="K1739" s="16" t="str">
        <f>VLOOKUP(I1739,episodes!$A$1:$E$81,5,FALSE)</f>
        <v>Mudd's Women</v>
      </c>
      <c r="L1739" s="16">
        <f>VLOOKUP(I1739,episodes!$A$1:$D$81,3,FALSE)</f>
        <v>1</v>
      </c>
      <c r="M1739" s="16">
        <f>VLOOKUP(I1739,episodes!$A$1:$D$81,4,FALSE)</f>
        <v>6</v>
      </c>
      <c r="O1739" s="14">
        <v>0</v>
      </c>
      <c r="P1739" s="24">
        <f>LEN(E1739)+LEN(K1739)</f>
        <v>113</v>
      </c>
      <c r="Q1739" s="24">
        <f>COUNTIFS(B:B,B1738)</f>
        <v>44</v>
      </c>
      <c r="R1739" s="24">
        <f>COUNTIFS(D:D,D1739)</f>
        <v>55</v>
      </c>
    </row>
    <row r="1740" spans="1:18" x14ac:dyDescent="0.3">
      <c r="A1740" s="14">
        <v>1768</v>
      </c>
      <c r="B1740" s="21" t="s">
        <v>312</v>
      </c>
      <c r="C1740" s="21" t="s">
        <v>0</v>
      </c>
      <c r="D1740" s="1" t="s">
        <v>2681</v>
      </c>
      <c r="E1740" s="1" t="s">
        <v>1103</v>
      </c>
      <c r="F1740" s="1" t="s">
        <v>2320</v>
      </c>
      <c r="G1740" s="14">
        <v>0</v>
      </c>
      <c r="H1740" s="14">
        <v>0</v>
      </c>
      <c r="I1740" s="25">
        <v>106</v>
      </c>
      <c r="J1740" s="23">
        <f>VLOOKUP(I1740,episodes!$A$1:$B$76,2,FALSE)</f>
        <v>7</v>
      </c>
      <c r="K1740" s="16" t="str">
        <f>VLOOKUP(I1740,episodes!$A$1:$E$81,5,FALSE)</f>
        <v>Mudd's Women</v>
      </c>
      <c r="L1740" s="16">
        <f>VLOOKUP(I1740,episodes!$A$1:$D$81,3,FALSE)</f>
        <v>1</v>
      </c>
      <c r="M1740" s="16">
        <f>VLOOKUP(I1740,episodes!$A$1:$D$81,4,FALSE)</f>
        <v>6</v>
      </c>
      <c r="O1740" s="14">
        <v>0</v>
      </c>
      <c r="P1740" s="24">
        <f>LEN(E1740)+LEN(K1740)</f>
        <v>103</v>
      </c>
      <c r="Q1740" s="24">
        <f>COUNTIFS(B:B,B1739)</f>
        <v>44</v>
      </c>
      <c r="R1740" s="24">
        <f>COUNTIFS(D:D,D1740)</f>
        <v>55</v>
      </c>
    </row>
    <row r="1741" spans="1:18" x14ac:dyDescent="0.3">
      <c r="A1741" s="14">
        <v>1470</v>
      </c>
      <c r="B1741" s="21" t="s">
        <v>140</v>
      </c>
      <c r="C1741" s="21" t="s">
        <v>0</v>
      </c>
      <c r="D1741" s="21" t="s">
        <v>2681</v>
      </c>
      <c r="E1741" s="1" t="s">
        <v>1677</v>
      </c>
      <c r="F1741" s="21" t="s">
        <v>2293</v>
      </c>
      <c r="G1741" s="14">
        <v>0</v>
      </c>
      <c r="H1741" s="14">
        <v>0</v>
      </c>
      <c r="I1741" s="25">
        <v>324</v>
      </c>
      <c r="J1741" s="23">
        <f>VLOOKUP(I1741,episodes!$A$1:$B$81,2,FALSE)</f>
        <v>80</v>
      </c>
      <c r="K1741" s="16" t="str">
        <f>VLOOKUP(I1741,episodes!$A$1:$E$81,5,FALSE)</f>
        <v>Turnabout Intruder</v>
      </c>
      <c r="L1741" s="16">
        <f>VLOOKUP(I1741,episodes!$A$1:$D$81,3,FALSE)</f>
        <v>3</v>
      </c>
      <c r="M1741" s="16">
        <f>VLOOKUP(I1741,episodes!$A$1:$D$81,4,FALSE)</f>
        <v>24</v>
      </c>
      <c r="O1741" s="14">
        <v>0</v>
      </c>
      <c r="P1741" s="24">
        <f>LEN(E1741)+LEN(K1741)</f>
        <v>238</v>
      </c>
      <c r="Q1741" s="24">
        <f>COUNTIFS(B:B,B1743)</f>
        <v>44</v>
      </c>
      <c r="R1741" s="24">
        <f>COUNTIFS(D:D,D1744)</f>
        <v>55</v>
      </c>
    </row>
    <row r="1742" spans="1:18" x14ac:dyDescent="0.3">
      <c r="A1742" s="14">
        <v>1723</v>
      </c>
      <c r="B1742" s="21" t="s">
        <v>312</v>
      </c>
      <c r="C1742" s="21" t="s">
        <v>0</v>
      </c>
      <c r="D1742" s="21" t="s">
        <v>2681</v>
      </c>
      <c r="E1742" s="1" t="s">
        <v>1318</v>
      </c>
      <c r="F1742" s="21" t="s">
        <v>1865</v>
      </c>
      <c r="G1742" s="14">
        <v>0</v>
      </c>
      <c r="H1742" s="14">
        <v>0</v>
      </c>
      <c r="I1742" s="22">
        <v>122</v>
      </c>
      <c r="J1742" s="23">
        <f>VLOOKUP(I1742,episodes!$A$1:$B$76,2,FALSE)</f>
        <v>23</v>
      </c>
      <c r="K1742" s="16" t="str">
        <f>VLOOKUP(I1742,episodes!$A$1:$E$81,5,FALSE)</f>
        <v>Space Seed</v>
      </c>
      <c r="L1742" s="16">
        <f>VLOOKUP(I1742,episodes!$A$1:$D$81,3,FALSE)</f>
        <v>1</v>
      </c>
      <c r="M1742" s="16">
        <f>VLOOKUP(I1742,episodes!$A$1:$D$81,4,FALSE)</f>
        <v>22</v>
      </c>
      <c r="O1742" s="14">
        <v>0</v>
      </c>
      <c r="P1742" s="24">
        <f>LEN(E1742)+LEN(K1742)</f>
        <v>113</v>
      </c>
      <c r="Q1742" s="24">
        <f>COUNTIFS(B:B,B1741)</f>
        <v>2</v>
      </c>
      <c r="R1742" s="24">
        <f>COUNTIFS(D:D,D1742)</f>
        <v>55</v>
      </c>
    </row>
    <row r="1743" spans="1:18" x14ac:dyDescent="0.3">
      <c r="A1743" s="14">
        <v>1726</v>
      </c>
      <c r="B1743" s="21" t="s">
        <v>312</v>
      </c>
      <c r="C1743" s="21" t="s">
        <v>0</v>
      </c>
      <c r="D1743" s="1" t="s">
        <v>2681</v>
      </c>
      <c r="E1743" s="1" t="s">
        <v>2109</v>
      </c>
      <c r="F1743" s="21" t="s">
        <v>2283</v>
      </c>
      <c r="G1743" s="14">
        <v>0</v>
      </c>
      <c r="H1743" s="14">
        <v>0</v>
      </c>
      <c r="I1743" s="22">
        <v>122</v>
      </c>
      <c r="J1743" s="23">
        <f>VLOOKUP(I1743,episodes!$A$1:$B$76,2,FALSE)</f>
        <v>23</v>
      </c>
      <c r="K1743" s="16" t="str">
        <f>VLOOKUP(I1743,episodes!$A$1:$E$81,5,FALSE)</f>
        <v>Space Seed</v>
      </c>
      <c r="L1743" s="16">
        <f>VLOOKUP(I1743,episodes!$A$1:$D$81,3,FALSE)</f>
        <v>1</v>
      </c>
      <c r="M1743" s="16">
        <f>VLOOKUP(I1743,episodes!$A$1:$D$81,4,FALSE)</f>
        <v>22</v>
      </c>
      <c r="O1743" s="14">
        <v>0</v>
      </c>
      <c r="P1743" s="24">
        <f>LEN(E1743)+LEN(K1743)</f>
        <v>88</v>
      </c>
      <c r="Q1743" s="24"/>
      <c r="R1743" s="24"/>
    </row>
    <row r="1744" spans="1:18" x14ac:dyDescent="0.3">
      <c r="A1744" s="14">
        <v>425</v>
      </c>
      <c r="B1744" s="21" t="s">
        <v>312</v>
      </c>
      <c r="C1744" s="21" t="s">
        <v>0</v>
      </c>
      <c r="D1744" s="1" t="s">
        <v>2681</v>
      </c>
      <c r="E1744" s="1" t="s">
        <v>646</v>
      </c>
      <c r="F1744" s="21" t="s">
        <v>2283</v>
      </c>
      <c r="G1744" s="14">
        <v>0</v>
      </c>
      <c r="H1744" s="14">
        <v>0</v>
      </c>
      <c r="I1744" s="22">
        <v>122</v>
      </c>
      <c r="J1744" s="23">
        <f>VLOOKUP(I1744,episodes!$A$1:$B$76,2,FALSE)</f>
        <v>23</v>
      </c>
      <c r="K1744" s="16" t="str">
        <f>VLOOKUP(I1744,episodes!$A$1:$E$81,5,FALSE)</f>
        <v>Space Seed</v>
      </c>
      <c r="L1744" s="16">
        <f>VLOOKUP(I1744,episodes!$A$1:$D$81,3,FALSE)</f>
        <v>1</v>
      </c>
      <c r="M1744" s="16">
        <f>VLOOKUP(I1744,episodes!$A$1:$D$81,4,FALSE)</f>
        <v>22</v>
      </c>
      <c r="O1744" s="14">
        <v>0</v>
      </c>
      <c r="P1744" s="24">
        <f>LEN(E1744)+LEN(K1744)</f>
        <v>65</v>
      </c>
      <c r="Q1744" s="24">
        <f>COUNTIFS(B:B,B1743)</f>
        <v>44</v>
      </c>
      <c r="R1744" s="24">
        <f>COUNTIFS(D:D,D1744)</f>
        <v>55</v>
      </c>
    </row>
    <row r="1745" spans="1:18" x14ac:dyDescent="0.3">
      <c r="A1745" s="14">
        <v>882</v>
      </c>
      <c r="B1745" s="21" t="s">
        <v>312</v>
      </c>
      <c r="C1745" s="21" t="s">
        <v>0</v>
      </c>
      <c r="D1745" s="1" t="s">
        <v>2681</v>
      </c>
      <c r="E1745" s="1" t="s">
        <v>1373</v>
      </c>
      <c r="F1745" s="21" t="s">
        <v>4</v>
      </c>
      <c r="G1745" s="14">
        <v>1</v>
      </c>
      <c r="H1745" s="14">
        <v>0</v>
      </c>
      <c r="I1745" s="22">
        <v>129</v>
      </c>
      <c r="J1745" s="23">
        <f>VLOOKUP(I1745,episodes!$A$1:$B$76,2,FALSE)</f>
        <v>30</v>
      </c>
      <c r="K1745" s="16" t="str">
        <f>VLOOKUP(I1745,episodes!$A$1:$E$81,5,FALSE)</f>
        <v>Operation: Annihilate!</v>
      </c>
      <c r="L1745" s="16">
        <f>VLOOKUP(I1745,episodes!$A$1:$D$81,3,FALSE)</f>
        <v>1</v>
      </c>
      <c r="M1745" s="16">
        <f>VLOOKUP(I1745,episodes!$A$1:$D$81,4,FALSE)</f>
        <v>29</v>
      </c>
      <c r="O1745" s="14">
        <v>0</v>
      </c>
      <c r="P1745" s="24">
        <f>LEN(E1745)+LEN(K1745)</f>
        <v>86</v>
      </c>
      <c r="Q1745" s="24">
        <f>COUNTIFS(B:B,B1744)</f>
        <v>44</v>
      </c>
      <c r="R1745" s="24">
        <f>COUNTIFS(D:D,D1745)</f>
        <v>55</v>
      </c>
    </row>
    <row r="1746" spans="1:18" x14ac:dyDescent="0.3">
      <c r="A1746" s="14">
        <v>982</v>
      </c>
      <c r="B1746" s="21" t="s">
        <v>312</v>
      </c>
      <c r="C1746" s="21" t="s">
        <v>0</v>
      </c>
      <c r="D1746" s="1" t="s">
        <v>2681</v>
      </c>
      <c r="E1746" s="1" t="s">
        <v>1106</v>
      </c>
      <c r="F1746" s="21" t="s">
        <v>2369</v>
      </c>
      <c r="G1746" s="14">
        <v>0</v>
      </c>
      <c r="H1746" s="14">
        <v>0</v>
      </c>
      <c r="I1746" s="25">
        <v>107</v>
      </c>
      <c r="J1746" s="23">
        <f>VLOOKUP(I1746,episodes!$A$1:$B$76,2,FALSE)</f>
        <v>8</v>
      </c>
      <c r="K1746" s="16" t="str">
        <f>VLOOKUP(I1746,episodes!$A$1:$E$81,5,FALSE)</f>
        <v>What Are Little Girls Made Of?</v>
      </c>
      <c r="L1746" s="16">
        <f>VLOOKUP(I1746,episodes!$A$1:$D$81,3,FALSE)</f>
        <v>1</v>
      </c>
      <c r="M1746" s="16">
        <f>VLOOKUP(I1746,episodes!$A$1:$D$81,4,FALSE)</f>
        <v>7</v>
      </c>
      <c r="O1746" s="14">
        <v>0</v>
      </c>
      <c r="P1746" s="24">
        <f>LEN(E1746)+LEN(K1746)</f>
        <v>84</v>
      </c>
      <c r="Q1746" s="24">
        <f>COUNTIFS(B:B,B1745)</f>
        <v>44</v>
      </c>
      <c r="R1746" s="24">
        <f>COUNTIFS(D:D,D1746)</f>
        <v>55</v>
      </c>
    </row>
    <row r="1747" spans="1:18" x14ac:dyDescent="0.3">
      <c r="A1747" s="14">
        <v>1171</v>
      </c>
      <c r="B1747" s="21" t="s">
        <v>312</v>
      </c>
      <c r="C1747" s="21" t="s">
        <v>0</v>
      </c>
      <c r="D1747" s="1" t="s">
        <v>2681</v>
      </c>
      <c r="E1747" s="1" t="s">
        <v>2377</v>
      </c>
      <c r="F1747" s="21" t="s">
        <v>4</v>
      </c>
      <c r="G1747" s="14">
        <v>1</v>
      </c>
      <c r="H1747" s="14">
        <v>0</v>
      </c>
      <c r="I1747" s="25">
        <v>108</v>
      </c>
      <c r="J1747" s="23">
        <f>VLOOKUP(I1747,episodes!$A$1:$B$76,2,FALSE)</f>
        <v>9</v>
      </c>
      <c r="K1747" s="16" t="str">
        <f>VLOOKUP(I1747,episodes!$A$1:$E$81,5,FALSE)</f>
        <v>Miri</v>
      </c>
      <c r="L1747" s="16">
        <f>VLOOKUP(I1747,episodes!$A$1:$D$81,3,FALSE)</f>
        <v>1</v>
      </c>
      <c r="M1747" s="16">
        <f>VLOOKUP(I1747,episodes!$A$1:$D$81,4,FALSE)</f>
        <v>8</v>
      </c>
      <c r="O1747" s="14">
        <v>0</v>
      </c>
      <c r="P1747" s="24">
        <f>LEN(E1747)+LEN(K1747)</f>
        <v>94</v>
      </c>
      <c r="Q1747" s="24">
        <f>COUNTIFS(B:B,B1746)</f>
        <v>44</v>
      </c>
      <c r="R1747" s="24">
        <f>COUNTIFS(D:D,D1747)</f>
        <v>55</v>
      </c>
    </row>
    <row r="1748" spans="1:18" x14ac:dyDescent="0.3">
      <c r="A1748" s="14">
        <v>1091</v>
      </c>
      <c r="B1748" s="21" t="s">
        <v>532</v>
      </c>
      <c r="C1748" s="21" t="s">
        <v>0</v>
      </c>
      <c r="D1748" s="1" t="s">
        <v>2681</v>
      </c>
      <c r="E1748" s="1" t="s">
        <v>2889</v>
      </c>
      <c r="F1748" s="21" t="s">
        <v>2282</v>
      </c>
      <c r="G1748" s="14">
        <v>0</v>
      </c>
      <c r="H1748" s="14">
        <v>0</v>
      </c>
      <c r="I1748" s="22">
        <v>115</v>
      </c>
      <c r="J1748" s="23">
        <f>VLOOKUP(I1748,episodes!$A$1:$B$76,2,FALSE)</f>
        <v>16</v>
      </c>
      <c r="K1748" s="16" t="str">
        <f>VLOOKUP(I1748,episodes!$A$1:$E$81,5,FALSE)</f>
        <v>Shore Leave</v>
      </c>
      <c r="L1748" s="16">
        <f>VLOOKUP(I1748,episodes!$A$1:$D$81,3,FALSE)</f>
        <v>1</v>
      </c>
      <c r="M1748" s="16">
        <f>VLOOKUP(I1748,episodes!$A$1:$D$81,4,FALSE)</f>
        <v>15</v>
      </c>
      <c r="O1748" s="14">
        <v>0</v>
      </c>
      <c r="P1748" s="24">
        <f>LEN(E1748)+LEN(K1748)</f>
        <v>114</v>
      </c>
      <c r="Q1748" s="24"/>
      <c r="R1748" s="24"/>
    </row>
    <row r="1749" spans="1:18" x14ac:dyDescent="0.3">
      <c r="A1749" s="14">
        <v>1338</v>
      </c>
      <c r="B1749" s="21" t="s">
        <v>532</v>
      </c>
      <c r="C1749" s="21" t="s">
        <v>0</v>
      </c>
      <c r="D1749" s="1" t="s">
        <v>2681</v>
      </c>
      <c r="E1749" s="1" t="s">
        <v>780</v>
      </c>
      <c r="F1749" s="21" t="s">
        <v>2239</v>
      </c>
      <c r="G1749" s="14">
        <v>0</v>
      </c>
      <c r="H1749" s="14">
        <v>0</v>
      </c>
      <c r="I1749" s="22">
        <v>129</v>
      </c>
      <c r="J1749" s="23">
        <f>VLOOKUP(I1749,episodes!$A$1:$B$76,2,FALSE)</f>
        <v>30</v>
      </c>
      <c r="K1749" s="16" t="str">
        <f>VLOOKUP(I1749,episodes!$A$1:$E$81,5,FALSE)</f>
        <v>Operation: Annihilate!</v>
      </c>
      <c r="L1749" s="16">
        <f>VLOOKUP(I1749,episodes!$A$1:$D$81,3,FALSE)</f>
        <v>1</v>
      </c>
      <c r="M1749" s="16">
        <f>VLOOKUP(I1749,episodes!$A$1:$D$81,4,FALSE)</f>
        <v>29</v>
      </c>
      <c r="O1749" s="14">
        <v>0</v>
      </c>
      <c r="P1749" s="24">
        <f>LEN(E1749)+LEN(K1749)</f>
        <v>97</v>
      </c>
      <c r="Q1749" s="24"/>
      <c r="R1749" s="24"/>
    </row>
    <row r="1750" spans="1:18" x14ac:dyDescent="0.3">
      <c r="A1750" s="14">
        <v>2523</v>
      </c>
      <c r="B1750" s="21" t="s">
        <v>532</v>
      </c>
      <c r="C1750" s="21" t="s">
        <v>0</v>
      </c>
      <c r="D1750" s="1" t="s">
        <v>2681</v>
      </c>
      <c r="E1750" s="1" t="s">
        <v>540</v>
      </c>
      <c r="F1750" s="21" t="s">
        <v>1863</v>
      </c>
      <c r="G1750" s="14">
        <v>1</v>
      </c>
      <c r="H1750" s="14">
        <v>0</v>
      </c>
      <c r="I1750" s="22">
        <v>128</v>
      </c>
      <c r="J1750" s="23">
        <f>VLOOKUP(I1750,episodes!$A$1:$B$76,2,FALSE)</f>
        <v>29</v>
      </c>
      <c r="K1750" s="16" t="str">
        <f>VLOOKUP(I1750,episodes!$A$1:$E$81,5,FALSE)</f>
        <v>The City on the Edge of Forever</v>
      </c>
      <c r="L1750" s="16">
        <f>VLOOKUP(I1750,episodes!$A$1:$D$81,3,FALSE)</f>
        <v>1</v>
      </c>
      <c r="M1750" s="16">
        <f>VLOOKUP(I1750,episodes!$A$1:$D$81,4,FALSE)</f>
        <v>28</v>
      </c>
      <c r="O1750" s="14">
        <v>0</v>
      </c>
      <c r="P1750" s="24">
        <f>LEN(E1750)+LEN(K1750)</f>
        <v>103</v>
      </c>
      <c r="Q1750" s="24">
        <f>COUNTIFS(B:B,#REF!)</f>
        <v>0</v>
      </c>
      <c r="R1750" s="24">
        <f>COUNTIFS(D:D,D1750)</f>
        <v>55</v>
      </c>
    </row>
    <row r="1751" spans="1:18" x14ac:dyDescent="0.3">
      <c r="A1751" s="14">
        <v>615</v>
      </c>
      <c r="B1751" s="21" t="s">
        <v>312</v>
      </c>
      <c r="C1751" s="21" t="s">
        <v>0</v>
      </c>
      <c r="D1751" s="1" t="s">
        <v>2681</v>
      </c>
      <c r="E1751" s="1" t="s">
        <v>1466</v>
      </c>
      <c r="F1751" s="21" t="s">
        <v>4</v>
      </c>
      <c r="G1751" s="14">
        <v>1</v>
      </c>
      <c r="H1751" s="14">
        <v>0</v>
      </c>
      <c r="I1751" s="25">
        <v>106</v>
      </c>
      <c r="J1751" s="23">
        <f>VLOOKUP(I1751,episodes!$A$1:$B$76,2,FALSE)</f>
        <v>7</v>
      </c>
      <c r="K1751" s="16" t="str">
        <f>VLOOKUP(I1751,episodes!$A$1:$E$81,5,FALSE)</f>
        <v>Mudd's Women</v>
      </c>
      <c r="L1751" s="16">
        <f>VLOOKUP(I1751,episodes!$A$1:$D$81,3,FALSE)</f>
        <v>1</v>
      </c>
      <c r="M1751" s="16">
        <f>VLOOKUP(I1751,episodes!$A$1:$D$81,4,FALSE)</f>
        <v>6</v>
      </c>
      <c r="O1751" s="14">
        <v>0</v>
      </c>
      <c r="P1751" s="24">
        <f>LEN(E1751)+LEN(K1751)</f>
        <v>78</v>
      </c>
      <c r="Q1751" s="24">
        <f>COUNTIFS(B:B,B1750)</f>
        <v>4</v>
      </c>
      <c r="R1751" s="24">
        <f>COUNTIFS(D:D,D1751)</f>
        <v>55</v>
      </c>
    </row>
    <row r="1752" spans="1:18" x14ac:dyDescent="0.3">
      <c r="A1752" s="14">
        <v>1167</v>
      </c>
      <c r="B1752" s="21" t="s">
        <v>312</v>
      </c>
      <c r="C1752" s="21" t="s">
        <v>0</v>
      </c>
      <c r="D1752" s="1" t="s">
        <v>2681</v>
      </c>
      <c r="E1752" s="1" t="s">
        <v>1499</v>
      </c>
      <c r="F1752" s="21" t="s">
        <v>4</v>
      </c>
      <c r="G1752" s="14">
        <v>1</v>
      </c>
      <c r="H1752" s="14">
        <v>0</v>
      </c>
      <c r="I1752" s="25">
        <v>104</v>
      </c>
      <c r="J1752" s="23">
        <f>VLOOKUP(I1752,episodes!$A$1:$B$76,2,FALSE)</f>
        <v>5</v>
      </c>
      <c r="K1752" s="16" t="str">
        <f>VLOOKUP(I1752,episodes!$A$1:$E$81,5,FALSE)</f>
        <v>The Naked Time</v>
      </c>
      <c r="L1752" s="16">
        <f>VLOOKUP(I1752,episodes!$A$1:$D$81,3,FALSE)</f>
        <v>1</v>
      </c>
      <c r="M1752" s="16">
        <f>VLOOKUP(I1752,episodes!$A$1:$D$81,4,FALSE)</f>
        <v>4</v>
      </c>
      <c r="O1752" s="14">
        <v>0</v>
      </c>
      <c r="P1752" s="24">
        <f>LEN(E1752)+LEN(K1752)</f>
        <v>141</v>
      </c>
      <c r="Q1752" s="24">
        <f>COUNTIFS(B:B,B1751)</f>
        <v>44</v>
      </c>
      <c r="R1752" s="24">
        <f>COUNTIFS(D:D,D1752)</f>
        <v>55</v>
      </c>
    </row>
    <row r="1753" spans="1:18" x14ac:dyDescent="0.3">
      <c r="A1753" s="14">
        <v>1097</v>
      </c>
      <c r="B1753" s="21" t="s">
        <v>312</v>
      </c>
      <c r="C1753" s="21" t="s">
        <v>0</v>
      </c>
      <c r="D1753" s="21" t="s">
        <v>2681</v>
      </c>
      <c r="E1753" s="1" t="s">
        <v>1316</v>
      </c>
      <c r="F1753" s="21" t="s">
        <v>1865</v>
      </c>
      <c r="G1753" s="14">
        <v>0</v>
      </c>
      <c r="H1753" s="14">
        <v>0</v>
      </c>
      <c r="I1753" s="22">
        <v>122</v>
      </c>
      <c r="J1753" s="23">
        <f>VLOOKUP(I1753,episodes!$A$1:$B$76,2,FALSE)</f>
        <v>23</v>
      </c>
      <c r="K1753" s="16" t="str">
        <f>VLOOKUP(I1753,episodes!$A$1:$E$81,5,FALSE)</f>
        <v>Space Seed</v>
      </c>
      <c r="L1753" s="16">
        <f>VLOOKUP(I1753,episodes!$A$1:$D$81,3,FALSE)</f>
        <v>1</v>
      </c>
      <c r="M1753" s="16">
        <f>VLOOKUP(I1753,episodes!$A$1:$D$81,4,FALSE)</f>
        <v>22</v>
      </c>
      <c r="O1753" s="14">
        <v>0</v>
      </c>
      <c r="P1753" s="24">
        <f>LEN(E1753)+LEN(K1753)</f>
        <v>113</v>
      </c>
      <c r="Q1753" s="24"/>
      <c r="R1753" s="24"/>
    </row>
    <row r="1754" spans="1:18" x14ac:dyDescent="0.3">
      <c r="A1754" s="14">
        <v>673</v>
      </c>
      <c r="B1754" s="21" t="s">
        <v>312</v>
      </c>
      <c r="C1754" s="21" t="s">
        <v>0</v>
      </c>
      <c r="D1754" s="1" t="s">
        <v>2681</v>
      </c>
      <c r="E1754" s="1" t="s">
        <v>1757</v>
      </c>
      <c r="F1754" s="21" t="s">
        <v>4</v>
      </c>
      <c r="G1754" s="14">
        <v>1</v>
      </c>
      <c r="H1754" s="14">
        <v>0</v>
      </c>
      <c r="I1754" s="25">
        <v>110</v>
      </c>
      <c r="J1754" s="23">
        <f>VLOOKUP(I1754,episodes!$A$1:$B$76,2,FALSE)</f>
        <v>11</v>
      </c>
      <c r="K1754" s="16" t="str">
        <f>VLOOKUP(I1754,episodes!$A$1:$E$81,5,FALSE)</f>
        <v>The Corbomite Maneuver</v>
      </c>
      <c r="L1754" s="16">
        <f>VLOOKUP(I1754,episodes!$A$1:$D$81,3,FALSE)</f>
        <v>1</v>
      </c>
      <c r="M1754" s="16">
        <f>VLOOKUP(I1754,episodes!$A$1:$D$81,4,FALSE)</f>
        <v>10</v>
      </c>
      <c r="O1754" s="14">
        <v>0</v>
      </c>
      <c r="P1754" s="24">
        <f>LEN(E1754)+LEN(K1754)</f>
        <v>148</v>
      </c>
      <c r="Q1754" s="24">
        <f>COUNTIFS(B:B,#REF!)</f>
        <v>0</v>
      </c>
      <c r="R1754" s="24">
        <f>COUNTIFS(D:D,D1754)</f>
        <v>55</v>
      </c>
    </row>
    <row r="1755" spans="1:18" x14ac:dyDescent="0.3">
      <c r="A1755" s="14">
        <v>1747</v>
      </c>
      <c r="B1755" s="21" t="s">
        <v>312</v>
      </c>
      <c r="C1755" s="21" t="s">
        <v>0</v>
      </c>
      <c r="D1755" s="1" t="s">
        <v>2681</v>
      </c>
      <c r="E1755" s="1" t="s">
        <v>1486</v>
      </c>
      <c r="F1755" s="21" t="s">
        <v>2298</v>
      </c>
      <c r="G1755" s="14">
        <v>0</v>
      </c>
      <c r="H1755" s="14">
        <v>0</v>
      </c>
      <c r="I1755" s="25">
        <v>103</v>
      </c>
      <c r="J1755" s="23">
        <f>VLOOKUP(I1755,episodes!$A$1:$B$76,2,FALSE)</f>
        <v>4</v>
      </c>
      <c r="K1755" s="16" t="str">
        <f>VLOOKUP(I1755,episodes!$A$1:$E$81,5,FALSE)</f>
        <v>Where No Man Has Gone Before</v>
      </c>
      <c r="L1755" s="16">
        <f>VLOOKUP(I1755,episodes!$A$1:$D$81,3,FALSE)</f>
        <v>1</v>
      </c>
      <c r="M1755" s="16">
        <f>VLOOKUP(I1755,episodes!$A$1:$D$81,4,FALSE)</f>
        <v>3</v>
      </c>
      <c r="O1755" s="14">
        <v>0</v>
      </c>
      <c r="P1755" s="24">
        <f>LEN(E1755)+LEN(K1755)</f>
        <v>185</v>
      </c>
      <c r="Q1755" s="24"/>
      <c r="R1755" s="24"/>
    </row>
    <row r="1756" spans="1:18" x14ac:dyDescent="0.3">
      <c r="A1756" s="14">
        <v>1753</v>
      </c>
      <c r="B1756" s="21" t="s">
        <v>312</v>
      </c>
      <c r="C1756" s="21" t="s">
        <v>0</v>
      </c>
      <c r="D1756" s="21" t="s">
        <v>2681</v>
      </c>
      <c r="E1756" s="1" t="s">
        <v>1480</v>
      </c>
      <c r="F1756" s="21" t="s">
        <v>2257</v>
      </c>
      <c r="G1756" s="14">
        <v>0</v>
      </c>
      <c r="H1756" s="14">
        <v>0</v>
      </c>
      <c r="I1756" s="25">
        <v>103</v>
      </c>
      <c r="J1756" s="23">
        <f>VLOOKUP(I1756,episodes!$A$1:$B$76,2,FALSE)</f>
        <v>4</v>
      </c>
      <c r="K1756" s="16" t="str">
        <f>VLOOKUP(I1756,episodes!$A$1:$E$81,5,FALSE)</f>
        <v>Where No Man Has Gone Before</v>
      </c>
      <c r="L1756" s="16">
        <f>VLOOKUP(I1756,episodes!$A$1:$D$81,3,FALSE)</f>
        <v>1</v>
      </c>
      <c r="M1756" s="16">
        <f>VLOOKUP(I1756,episodes!$A$1:$D$81,4,FALSE)</f>
        <v>3</v>
      </c>
      <c r="O1756" s="14">
        <v>0</v>
      </c>
      <c r="P1756" s="24">
        <f>LEN(E1756)+LEN(K1756)</f>
        <v>95</v>
      </c>
      <c r="Q1756" s="24"/>
      <c r="R1756" s="24"/>
    </row>
    <row r="1757" spans="1:18" x14ac:dyDescent="0.3">
      <c r="A1757" s="14">
        <v>1727</v>
      </c>
      <c r="B1757" s="21" t="s">
        <v>312</v>
      </c>
      <c r="C1757" s="21" t="s">
        <v>0</v>
      </c>
      <c r="D1757" s="21" t="s">
        <v>2681</v>
      </c>
      <c r="E1757" s="1" t="s">
        <v>1317</v>
      </c>
      <c r="F1757" s="21" t="s">
        <v>1865</v>
      </c>
      <c r="G1757" s="14">
        <v>0</v>
      </c>
      <c r="H1757" s="14">
        <v>0</v>
      </c>
      <c r="I1757" s="22">
        <v>122</v>
      </c>
      <c r="J1757" s="23">
        <f>VLOOKUP(I1757,episodes!$A$1:$B$76,2,FALSE)</f>
        <v>23</v>
      </c>
      <c r="K1757" s="16" t="str">
        <f>VLOOKUP(I1757,episodes!$A$1:$E$81,5,FALSE)</f>
        <v>Space Seed</v>
      </c>
      <c r="L1757" s="16">
        <f>VLOOKUP(I1757,episodes!$A$1:$D$81,3,FALSE)</f>
        <v>1</v>
      </c>
      <c r="M1757" s="16">
        <f>VLOOKUP(I1757,episodes!$A$1:$D$81,4,FALSE)</f>
        <v>22</v>
      </c>
      <c r="O1757" s="14">
        <v>0</v>
      </c>
      <c r="P1757" s="24">
        <f>LEN(E1757)+LEN(K1757)</f>
        <v>63</v>
      </c>
      <c r="Q1757" s="24">
        <f>COUNTIFS(B:B,#REF!)</f>
        <v>0</v>
      </c>
      <c r="R1757" s="24">
        <f>COUNTIFS(D:D,D1757)</f>
        <v>55</v>
      </c>
    </row>
    <row r="1758" spans="1:18" s="21" customFormat="1" x14ac:dyDescent="0.3">
      <c r="A1758" s="14">
        <v>1729</v>
      </c>
      <c r="B1758" s="21" t="s">
        <v>312</v>
      </c>
      <c r="C1758" s="21" t="s">
        <v>0</v>
      </c>
      <c r="D1758" s="21" t="s">
        <v>2681</v>
      </c>
      <c r="E1758" s="1" t="s">
        <v>408</v>
      </c>
      <c r="F1758" s="21" t="s">
        <v>1865</v>
      </c>
      <c r="G1758" s="14">
        <v>0</v>
      </c>
      <c r="H1758" s="14">
        <v>0</v>
      </c>
      <c r="I1758" s="22">
        <v>122</v>
      </c>
      <c r="J1758" s="23">
        <f>VLOOKUP(I1758,episodes!$A$1:$B$76,2,FALSE)</f>
        <v>23</v>
      </c>
      <c r="K1758" s="16" t="str">
        <f>VLOOKUP(I1758,episodes!$A$1:$E$81,5,FALSE)</f>
        <v>Space Seed</v>
      </c>
      <c r="L1758" s="16">
        <f>VLOOKUP(I1758,episodes!$A$1:$D$81,3,FALSE)</f>
        <v>1</v>
      </c>
      <c r="M1758" s="16">
        <f>VLOOKUP(I1758,episodes!$A$1:$D$81,4,FALSE)</f>
        <v>22</v>
      </c>
      <c r="N1758" s="14"/>
      <c r="O1758" s="14">
        <v>0</v>
      </c>
      <c r="P1758" s="24">
        <f>LEN(E1758)+LEN(K1758)</f>
        <v>56</v>
      </c>
      <c r="Q1758" s="24">
        <f>COUNTIFS(B:B,B1757)</f>
        <v>44</v>
      </c>
      <c r="R1758" s="24">
        <f>COUNTIFS(D:D,D1758)</f>
        <v>55</v>
      </c>
    </row>
    <row r="1759" spans="1:18" s="21" customFormat="1" x14ac:dyDescent="0.3">
      <c r="A1759" s="14">
        <v>1731</v>
      </c>
      <c r="B1759" s="21" t="s">
        <v>312</v>
      </c>
      <c r="C1759" s="21" t="s">
        <v>0</v>
      </c>
      <c r="D1759" s="21" t="s">
        <v>2681</v>
      </c>
      <c r="E1759" s="1" t="s">
        <v>647</v>
      </c>
      <c r="F1759" s="21" t="s">
        <v>1865</v>
      </c>
      <c r="G1759" s="14">
        <v>0</v>
      </c>
      <c r="H1759" s="14">
        <v>0</v>
      </c>
      <c r="I1759" s="22">
        <v>122</v>
      </c>
      <c r="J1759" s="23">
        <f>VLOOKUP(I1759,episodes!$A$1:$B$76,2,FALSE)</f>
        <v>23</v>
      </c>
      <c r="K1759" s="16" t="str">
        <f>VLOOKUP(I1759,episodes!$A$1:$E$81,5,FALSE)</f>
        <v>Space Seed</v>
      </c>
      <c r="L1759" s="16">
        <f>VLOOKUP(I1759,episodes!$A$1:$D$81,3,FALSE)</f>
        <v>1</v>
      </c>
      <c r="M1759" s="16">
        <f>VLOOKUP(I1759,episodes!$A$1:$D$81,4,FALSE)</f>
        <v>22</v>
      </c>
      <c r="N1759" s="14"/>
      <c r="O1759" s="14">
        <v>0</v>
      </c>
      <c r="P1759" s="24">
        <f>LEN(E1759)+LEN(K1759)</f>
        <v>94</v>
      </c>
      <c r="Q1759" s="24">
        <f>COUNTIFS(B:B,B1758)</f>
        <v>44</v>
      </c>
      <c r="R1759" s="24">
        <f>COUNTIFS(D:D,D1759)</f>
        <v>55</v>
      </c>
    </row>
    <row r="1760" spans="1:18" s="21" customFormat="1" x14ac:dyDescent="0.3">
      <c r="A1760" s="14">
        <v>1733</v>
      </c>
      <c r="B1760" s="21" t="s">
        <v>312</v>
      </c>
      <c r="C1760" s="21" t="s">
        <v>0</v>
      </c>
      <c r="D1760" s="21" t="s">
        <v>2681</v>
      </c>
      <c r="E1760" s="1" t="s">
        <v>648</v>
      </c>
      <c r="F1760" s="21" t="s">
        <v>1865</v>
      </c>
      <c r="G1760" s="14">
        <v>0</v>
      </c>
      <c r="H1760" s="14">
        <v>0</v>
      </c>
      <c r="I1760" s="22">
        <v>122</v>
      </c>
      <c r="J1760" s="23">
        <f>VLOOKUP(I1760,episodes!$A$1:$B$76,2,FALSE)</f>
        <v>23</v>
      </c>
      <c r="K1760" s="16" t="str">
        <f>VLOOKUP(I1760,episodes!$A$1:$E$81,5,FALSE)</f>
        <v>Space Seed</v>
      </c>
      <c r="L1760" s="16">
        <f>VLOOKUP(I1760,episodes!$A$1:$D$81,3,FALSE)</f>
        <v>1</v>
      </c>
      <c r="M1760" s="16">
        <f>VLOOKUP(I1760,episodes!$A$1:$D$81,4,FALSE)</f>
        <v>22</v>
      </c>
      <c r="N1760" s="14"/>
      <c r="O1760" s="14">
        <v>0</v>
      </c>
      <c r="P1760" s="24">
        <f>LEN(E1760)+LEN(K1760)</f>
        <v>84</v>
      </c>
      <c r="Q1760" s="24">
        <f>COUNTIFS(B:B,B1759)</f>
        <v>44</v>
      </c>
      <c r="R1760" s="24">
        <f>COUNTIFS(D:D,D1760)</f>
        <v>55</v>
      </c>
    </row>
    <row r="1761" spans="1:18" s="21" customFormat="1" x14ac:dyDescent="0.3">
      <c r="A1761" s="14">
        <v>1591</v>
      </c>
      <c r="B1761" s="21" t="s">
        <v>312</v>
      </c>
      <c r="C1761" s="21" t="s">
        <v>0</v>
      </c>
      <c r="D1761" s="1" t="s">
        <v>2681</v>
      </c>
      <c r="E1761" s="1" t="s">
        <v>1315</v>
      </c>
      <c r="F1761" s="21" t="s">
        <v>8</v>
      </c>
      <c r="G1761" s="14">
        <v>0</v>
      </c>
      <c r="H1761" s="14">
        <v>1</v>
      </c>
      <c r="I1761" s="22">
        <v>122</v>
      </c>
      <c r="J1761" s="23">
        <f>VLOOKUP(I1761,episodes!$A$1:$B$76,2,FALSE)</f>
        <v>23</v>
      </c>
      <c r="K1761" s="16" t="str">
        <f>VLOOKUP(I1761,episodes!$A$1:$E$81,5,FALSE)</f>
        <v>Space Seed</v>
      </c>
      <c r="L1761" s="16">
        <f>VLOOKUP(I1761,episodes!$A$1:$D$81,3,FALSE)</f>
        <v>1</v>
      </c>
      <c r="M1761" s="16">
        <f>VLOOKUP(I1761,episodes!$A$1:$D$81,4,FALSE)</f>
        <v>22</v>
      </c>
      <c r="N1761" s="14"/>
      <c r="O1761" s="14">
        <v>0</v>
      </c>
      <c r="P1761" s="24">
        <f>LEN(E1761)+LEN(K1761)</f>
        <v>128</v>
      </c>
      <c r="Q1761" s="24">
        <f>COUNTIFS(B:B,B1760)</f>
        <v>44</v>
      </c>
      <c r="R1761" s="24">
        <f>COUNTIFS(D:D,D1761)</f>
        <v>55</v>
      </c>
    </row>
    <row r="1762" spans="1:18" s="21" customFormat="1" x14ac:dyDescent="0.3">
      <c r="A1762" s="14">
        <v>1725</v>
      </c>
      <c r="B1762" s="21" t="s">
        <v>312</v>
      </c>
      <c r="C1762" s="21" t="s">
        <v>0</v>
      </c>
      <c r="D1762" s="21" t="s">
        <v>2681</v>
      </c>
      <c r="E1762" s="1" t="s">
        <v>2586</v>
      </c>
      <c r="F1762" s="21" t="s">
        <v>1865</v>
      </c>
      <c r="G1762" s="14">
        <v>0</v>
      </c>
      <c r="H1762" s="14">
        <v>0</v>
      </c>
      <c r="I1762" s="22">
        <v>122</v>
      </c>
      <c r="J1762" s="23">
        <f>VLOOKUP(I1762,episodes!$A$1:$B$76,2,FALSE)</f>
        <v>23</v>
      </c>
      <c r="K1762" s="16" t="str">
        <f>VLOOKUP(I1762,episodes!$A$1:$E$81,5,FALSE)</f>
        <v>Space Seed</v>
      </c>
      <c r="L1762" s="16">
        <f>VLOOKUP(I1762,episodes!$A$1:$D$81,3,FALSE)</f>
        <v>1</v>
      </c>
      <c r="M1762" s="16">
        <f>VLOOKUP(I1762,episodes!$A$1:$D$81,4,FALSE)</f>
        <v>22</v>
      </c>
      <c r="N1762" s="14"/>
      <c r="O1762" s="14">
        <v>0</v>
      </c>
      <c r="P1762" s="24">
        <f>LEN(E1762)+LEN(K1762)</f>
        <v>87</v>
      </c>
      <c r="Q1762" s="24">
        <f>COUNTIFS(B:B,B1760)</f>
        <v>44</v>
      </c>
      <c r="R1762" s="24">
        <f>COUNTIFS(D:D,D1762)</f>
        <v>55</v>
      </c>
    </row>
    <row r="1763" spans="1:18" x14ac:dyDescent="0.3">
      <c r="A1763" s="14">
        <v>256</v>
      </c>
      <c r="B1763" s="21" t="s">
        <v>2296</v>
      </c>
      <c r="C1763" s="21" t="s">
        <v>0</v>
      </c>
      <c r="D1763" s="21" t="s">
        <v>2681</v>
      </c>
      <c r="E1763" s="1" t="s">
        <v>1558</v>
      </c>
      <c r="F1763" s="21" t="s">
        <v>2224</v>
      </c>
      <c r="G1763" s="14">
        <v>0</v>
      </c>
      <c r="H1763" s="14">
        <v>0</v>
      </c>
      <c r="I1763" s="25">
        <v>106</v>
      </c>
      <c r="J1763" s="23">
        <f>VLOOKUP(I1763,episodes!$A$1:$B$76,2,FALSE)</f>
        <v>7</v>
      </c>
      <c r="K1763" s="16" t="str">
        <f>VLOOKUP(I1763,episodes!$A$1:$E$81,5,FALSE)</f>
        <v>Mudd's Women</v>
      </c>
      <c r="L1763" s="16">
        <f>VLOOKUP(I1763,episodes!$A$1:$D$81,3,FALSE)</f>
        <v>1</v>
      </c>
      <c r="M1763" s="16">
        <f>VLOOKUP(I1763,episodes!$A$1:$D$81,4,FALSE)</f>
        <v>6</v>
      </c>
      <c r="O1763" s="14">
        <v>0</v>
      </c>
      <c r="P1763" s="24">
        <f>LEN(E1763)+LEN(K1763)</f>
        <v>65</v>
      </c>
      <c r="Q1763" s="24">
        <f>COUNTIFS(B:B,B1762)</f>
        <v>44</v>
      </c>
      <c r="R1763" s="24">
        <f>COUNTIFS(D:D,D1763)</f>
        <v>55</v>
      </c>
    </row>
    <row r="1764" spans="1:18" x14ac:dyDescent="0.3">
      <c r="A1764" s="14">
        <v>260</v>
      </c>
      <c r="B1764" s="21" t="s">
        <v>312</v>
      </c>
      <c r="C1764" s="21" t="s">
        <v>0</v>
      </c>
      <c r="D1764" s="1" t="s">
        <v>2681</v>
      </c>
      <c r="E1764" s="1" t="s">
        <v>382</v>
      </c>
      <c r="F1764" s="21" t="s">
        <v>2224</v>
      </c>
      <c r="G1764" s="14">
        <v>0</v>
      </c>
      <c r="H1764" s="14">
        <v>0</v>
      </c>
      <c r="I1764" s="25">
        <v>106</v>
      </c>
      <c r="J1764" s="23">
        <f>VLOOKUP(I1764,episodes!$A$1:$B$76,2,FALSE)</f>
        <v>7</v>
      </c>
      <c r="K1764" s="16" t="str">
        <f>VLOOKUP(I1764,episodes!$A$1:$E$81,5,FALSE)</f>
        <v>Mudd's Women</v>
      </c>
      <c r="L1764" s="16">
        <f>VLOOKUP(I1764,episodes!$A$1:$D$81,3,FALSE)</f>
        <v>1</v>
      </c>
      <c r="M1764" s="16">
        <f>VLOOKUP(I1764,episodes!$A$1:$D$81,4,FALSE)</f>
        <v>6</v>
      </c>
      <c r="O1764" s="14">
        <v>0</v>
      </c>
      <c r="P1764" s="24">
        <f>LEN(E1764)+LEN(K1764)</f>
        <v>66</v>
      </c>
      <c r="Q1764" s="24">
        <f>COUNTIFS(B:B,B1763)</f>
        <v>1</v>
      </c>
      <c r="R1764" s="24">
        <f>COUNTIFS(D:D,D1764)</f>
        <v>55</v>
      </c>
    </row>
    <row r="1765" spans="1:18" s="21" customFormat="1" x14ac:dyDescent="0.3">
      <c r="A1765" s="14">
        <v>1924</v>
      </c>
      <c r="B1765" s="21" t="s">
        <v>312</v>
      </c>
      <c r="C1765" s="21" t="s">
        <v>0</v>
      </c>
      <c r="D1765" s="1" t="s">
        <v>2681</v>
      </c>
      <c r="E1765" s="1" t="s">
        <v>1399</v>
      </c>
      <c r="F1765" s="21" t="s">
        <v>2228</v>
      </c>
      <c r="G1765" s="14">
        <v>0</v>
      </c>
      <c r="H1765" s="14">
        <v>0</v>
      </c>
      <c r="I1765" s="25">
        <v>203</v>
      </c>
      <c r="J1765" s="23">
        <f>VLOOKUP(I1765,episodes!$A$1:$B$76,2,FALSE)</f>
        <v>33</v>
      </c>
      <c r="K1765" s="16" t="str">
        <f>VLOOKUP(I1765,episodes!$A$1:$E$81,5,FALSE)</f>
        <v>The Changeling</v>
      </c>
      <c r="L1765" s="16">
        <f>VLOOKUP(I1765,episodes!$A$1:$D$81,3,FALSE)</f>
        <v>2</v>
      </c>
      <c r="M1765" s="16">
        <f>VLOOKUP(I1765,episodes!$A$1:$D$81,4,FALSE)</f>
        <v>3</v>
      </c>
      <c r="N1765" s="14"/>
      <c r="O1765" s="14">
        <v>0</v>
      </c>
      <c r="P1765" s="24">
        <f>LEN(E1765)+LEN(K1765)</f>
        <v>168</v>
      </c>
      <c r="Q1765" s="24">
        <f>COUNTIFS(B:B,B1764)</f>
        <v>44</v>
      </c>
      <c r="R1765" s="24">
        <f>COUNTIFS(D:D,D1765)</f>
        <v>55</v>
      </c>
    </row>
    <row r="1766" spans="1:18" s="21" customFormat="1" x14ac:dyDescent="0.3">
      <c r="A1766" s="14">
        <v>124</v>
      </c>
      <c r="B1766" s="21" t="s">
        <v>312</v>
      </c>
      <c r="C1766" s="21" t="s">
        <v>0</v>
      </c>
      <c r="D1766" s="1" t="s">
        <v>2681</v>
      </c>
      <c r="E1766" s="1" t="s">
        <v>803</v>
      </c>
      <c r="F1766" s="21" t="s">
        <v>2258</v>
      </c>
      <c r="G1766" s="14">
        <v>0</v>
      </c>
      <c r="H1766" s="14">
        <v>2</v>
      </c>
      <c r="I1766" s="22">
        <v>201</v>
      </c>
      <c r="J1766" s="23">
        <f>VLOOKUP(I1766,episodes!$A$1:$B$76,2,FALSE)</f>
        <v>31</v>
      </c>
      <c r="K1766" s="16" t="str">
        <f>VLOOKUP(I1766,episodes!$A$1:$E$81,5,FALSE)</f>
        <v>Amok Time</v>
      </c>
      <c r="L1766" s="16">
        <f>VLOOKUP(I1766,episodes!$A$1:$D$81,3,FALSE)</f>
        <v>2</v>
      </c>
      <c r="M1766" s="16">
        <f>VLOOKUP(I1766,episodes!$A$1:$D$81,4,FALSE)</f>
        <v>1</v>
      </c>
      <c r="N1766" s="14"/>
      <c r="O1766" s="14">
        <v>0</v>
      </c>
      <c r="P1766" s="24">
        <f>LEN(E1766)+LEN(K1766)</f>
        <v>73</v>
      </c>
      <c r="Q1766" s="24">
        <f>COUNTIFS(B:B,B1765)</f>
        <v>44</v>
      </c>
      <c r="R1766" s="24">
        <f>COUNTIFS(D:D,D1766)</f>
        <v>55</v>
      </c>
    </row>
    <row r="1767" spans="1:18" s="21" customFormat="1" x14ac:dyDescent="0.3">
      <c r="A1767" s="14">
        <v>1853</v>
      </c>
      <c r="B1767" s="21" t="s">
        <v>312</v>
      </c>
      <c r="C1767" s="21" t="s">
        <v>0</v>
      </c>
      <c r="D1767" s="1" t="s">
        <v>2681</v>
      </c>
      <c r="E1767" s="1" t="s">
        <v>1053</v>
      </c>
      <c r="F1767" s="21" t="s">
        <v>2231</v>
      </c>
      <c r="G1767" s="14">
        <v>0</v>
      </c>
      <c r="H1767" s="14">
        <v>0</v>
      </c>
      <c r="I1767" s="25">
        <v>100</v>
      </c>
      <c r="J1767" s="23">
        <f>VLOOKUP(I1767,episodes!$A$1:$B$76,2,FALSE)</f>
        <v>1</v>
      </c>
      <c r="K1767" s="16" t="str">
        <f>VLOOKUP(I1767,episodes!$A$1:$E$81,5,FALSE)</f>
        <v>The Cage</v>
      </c>
      <c r="L1767" s="16">
        <f>VLOOKUP(I1767,episodes!$A$1:$D$81,3,FALSE)</f>
        <v>1</v>
      </c>
      <c r="M1767" s="16">
        <f>VLOOKUP(I1767,episodes!$A$1:$D$81,4,FALSE)</f>
        <v>0</v>
      </c>
      <c r="N1767" s="14"/>
      <c r="O1767" s="14">
        <v>0</v>
      </c>
      <c r="P1767" s="24">
        <f>LEN(E1767)+LEN(K1767)</f>
        <v>88</v>
      </c>
      <c r="Q1767" s="24">
        <f>COUNTIFS(B:B,B1765)</f>
        <v>44</v>
      </c>
      <c r="R1767" s="24">
        <f>COUNTIFS(D:D,D1767)</f>
        <v>55</v>
      </c>
    </row>
    <row r="1768" spans="1:18" s="21" customFormat="1" x14ac:dyDescent="0.3">
      <c r="A1768" s="14">
        <v>1829</v>
      </c>
      <c r="B1768" s="21" t="s">
        <v>312</v>
      </c>
      <c r="C1768" s="21" t="s">
        <v>0</v>
      </c>
      <c r="D1768" s="1" t="s">
        <v>2681</v>
      </c>
      <c r="E1768" s="1" t="s">
        <v>1436</v>
      </c>
      <c r="F1768" s="21" t="s">
        <v>2231</v>
      </c>
      <c r="G1768" s="14">
        <v>0</v>
      </c>
      <c r="H1768" s="14">
        <v>0</v>
      </c>
      <c r="I1768" s="25">
        <v>100</v>
      </c>
      <c r="J1768" s="23">
        <f>VLOOKUP(I1768,episodes!$A$1:$B$76,2,FALSE)</f>
        <v>1</v>
      </c>
      <c r="K1768" s="16" t="str">
        <f>VLOOKUP(I1768,episodes!$A$1:$E$81,5,FALSE)</f>
        <v>The Cage</v>
      </c>
      <c r="L1768" s="16">
        <f>VLOOKUP(I1768,episodes!$A$1:$D$81,3,FALSE)</f>
        <v>1</v>
      </c>
      <c r="M1768" s="16">
        <f>VLOOKUP(I1768,episodes!$A$1:$D$81,4,FALSE)</f>
        <v>0</v>
      </c>
      <c r="N1768" s="14"/>
      <c r="O1768" s="14">
        <v>0</v>
      </c>
      <c r="P1768" s="24">
        <f>LEN(E1768)+LEN(K1768)</f>
        <v>109</v>
      </c>
      <c r="Q1768" s="24">
        <f>COUNTIFS(B:B,#REF!)</f>
        <v>0</v>
      </c>
      <c r="R1768" s="24">
        <f>COUNTIFS(D:D,D1768)</f>
        <v>55</v>
      </c>
    </row>
    <row r="1769" spans="1:18" s="21" customFormat="1" x14ac:dyDescent="0.3">
      <c r="A1769" s="14">
        <v>1863</v>
      </c>
      <c r="B1769" s="21" t="s">
        <v>312</v>
      </c>
      <c r="C1769" s="21" t="s">
        <v>0</v>
      </c>
      <c r="D1769" s="1" t="s">
        <v>2681</v>
      </c>
      <c r="E1769" s="1" t="s">
        <v>2268</v>
      </c>
      <c r="F1769" s="21" t="s">
        <v>1862</v>
      </c>
      <c r="G1769" s="14">
        <v>0</v>
      </c>
      <c r="H1769" s="14">
        <v>2</v>
      </c>
      <c r="I1769" s="25">
        <v>102</v>
      </c>
      <c r="J1769" s="23">
        <f>VLOOKUP(I1769,episodes!$A$1:$B$76,2,FALSE)</f>
        <v>3</v>
      </c>
      <c r="K1769" s="16" t="str">
        <f>VLOOKUP(I1769,episodes!$A$1:$E$81,5,FALSE)</f>
        <v>Charlie X</v>
      </c>
      <c r="L1769" s="16">
        <f>VLOOKUP(I1769,episodes!$A$1:$D$81,3,FALSE)</f>
        <v>1</v>
      </c>
      <c r="M1769" s="16">
        <f>VLOOKUP(I1769,episodes!$A$1:$D$81,4,FALSE)</f>
        <v>2</v>
      </c>
      <c r="N1769" s="14"/>
      <c r="O1769" s="14">
        <v>0</v>
      </c>
      <c r="P1769" s="24">
        <f>LEN(E1769)+LEN(K1769)</f>
        <v>126</v>
      </c>
      <c r="Q1769" s="24"/>
      <c r="R1769" s="24">
        <f>COUNTIFS(D:D,D1769)</f>
        <v>55</v>
      </c>
    </row>
    <row r="1770" spans="1:18" s="21" customFormat="1" x14ac:dyDescent="0.3">
      <c r="A1770" s="14">
        <v>1856</v>
      </c>
      <c r="B1770" s="21" t="s">
        <v>312</v>
      </c>
      <c r="C1770" s="21" t="s">
        <v>0</v>
      </c>
      <c r="D1770" s="1" t="s">
        <v>2681</v>
      </c>
      <c r="E1770" s="1" t="s">
        <v>2264</v>
      </c>
      <c r="F1770" s="21" t="s">
        <v>1862</v>
      </c>
      <c r="G1770" s="14">
        <v>0</v>
      </c>
      <c r="H1770" s="14">
        <v>2</v>
      </c>
      <c r="I1770" s="25">
        <v>101</v>
      </c>
      <c r="J1770" s="23">
        <f>VLOOKUP(I1770,episodes!$A$1:$B$76,2,FALSE)</f>
        <v>2</v>
      </c>
      <c r="K1770" s="16" t="str">
        <f>VLOOKUP(I1770,episodes!$A$1:$E$81,5,FALSE)</f>
        <v>The Man Trap</v>
      </c>
      <c r="L1770" s="16">
        <f>VLOOKUP(I1770,episodes!$A$1:$D$81,3,FALSE)</f>
        <v>1</v>
      </c>
      <c r="M1770" s="16">
        <f>VLOOKUP(I1770,episodes!$A$1:$D$81,4,FALSE)</f>
        <v>1</v>
      </c>
      <c r="N1770" s="14"/>
      <c r="O1770" s="14">
        <v>0</v>
      </c>
      <c r="P1770" s="24">
        <f>LEN(E1770)+LEN(K1770)</f>
        <v>180</v>
      </c>
      <c r="Q1770" s="24"/>
      <c r="R1770" s="24">
        <f>COUNTIFS(D:D,D1770)</f>
        <v>55</v>
      </c>
    </row>
    <row r="1771" spans="1:18" s="21" customFormat="1" x14ac:dyDescent="0.3">
      <c r="A1771" s="14">
        <v>1179</v>
      </c>
      <c r="B1771" s="21" t="s">
        <v>312</v>
      </c>
      <c r="C1771" s="21" t="s">
        <v>0</v>
      </c>
      <c r="D1771" s="1" t="s">
        <v>2681</v>
      </c>
      <c r="E1771" s="1" t="s">
        <v>2571</v>
      </c>
      <c r="F1771" s="21" t="s">
        <v>4</v>
      </c>
      <c r="G1771" s="14">
        <v>1</v>
      </c>
      <c r="H1771" s="14">
        <v>0</v>
      </c>
      <c r="I1771" s="25">
        <v>101</v>
      </c>
      <c r="J1771" s="23">
        <f>VLOOKUP(I1771,episodes!$A$1:$B$76,2,FALSE)</f>
        <v>2</v>
      </c>
      <c r="K1771" s="16" t="str">
        <f>VLOOKUP(I1771,episodes!$A$1:$E$81,5,FALSE)</f>
        <v>The Man Trap</v>
      </c>
      <c r="L1771" s="16">
        <f>VLOOKUP(I1771,episodes!$A$1:$D$81,3,FALSE)</f>
        <v>1</v>
      </c>
      <c r="M1771" s="16">
        <f>VLOOKUP(I1771,episodes!$A$1:$D$81,4,FALSE)</f>
        <v>1</v>
      </c>
      <c r="N1771" s="14"/>
      <c r="O1771" s="14">
        <v>0</v>
      </c>
      <c r="P1771" s="24">
        <f>LEN(E1771)+LEN(K1771)</f>
        <v>125</v>
      </c>
      <c r="Q1771" s="24">
        <f>COUNTIFS(B:B,B1767)</f>
        <v>44</v>
      </c>
      <c r="R1771" s="24">
        <f>COUNTIFS(D:D,D1771)</f>
        <v>55</v>
      </c>
    </row>
    <row r="1772" spans="1:18" s="21" customFormat="1" x14ac:dyDescent="0.3">
      <c r="A1772" s="14">
        <v>3</v>
      </c>
      <c r="B1772" s="21" t="s">
        <v>312</v>
      </c>
      <c r="C1772" s="21" t="s">
        <v>0</v>
      </c>
      <c r="D1772" s="1" t="s">
        <v>2681</v>
      </c>
      <c r="E1772" s="1" t="s">
        <v>378</v>
      </c>
      <c r="F1772" s="1" t="s">
        <v>2</v>
      </c>
      <c r="G1772" s="14">
        <v>0</v>
      </c>
      <c r="H1772" s="14">
        <v>0</v>
      </c>
      <c r="I1772" s="25">
        <v>101</v>
      </c>
      <c r="J1772" s="23">
        <f>VLOOKUP(I1772,episodes!$A$1:$B$76,2,FALSE)</f>
        <v>2</v>
      </c>
      <c r="K1772" s="16" t="str">
        <f>VLOOKUP(I1772,episodes!$A$1:$E$81,5,FALSE)</f>
        <v>The Man Trap</v>
      </c>
      <c r="L1772" s="16">
        <f>VLOOKUP(I1772,episodes!$A$1:$D$81,3,FALSE)</f>
        <v>1</v>
      </c>
      <c r="M1772" s="16">
        <f>VLOOKUP(I1772,episodes!$A$1:$D$81,4,FALSE)</f>
        <v>1</v>
      </c>
      <c r="N1772" s="14"/>
      <c r="O1772" s="14">
        <v>0</v>
      </c>
      <c r="P1772" s="24">
        <f>LEN(E1772)+LEN(K1772)</f>
        <v>80</v>
      </c>
      <c r="Q1772" s="24">
        <f>COUNTIFS(B:B,B1771)</f>
        <v>44</v>
      </c>
      <c r="R1772" s="24">
        <f>COUNTIFS(D:D,D1772)</f>
        <v>55</v>
      </c>
    </row>
    <row r="1773" spans="1:18" s="21" customFormat="1" x14ac:dyDescent="0.3">
      <c r="A1773" s="14">
        <v>2296</v>
      </c>
      <c r="B1773" s="21" t="s">
        <v>140</v>
      </c>
      <c r="C1773" s="21" t="s">
        <v>0</v>
      </c>
      <c r="D1773" s="21" t="s">
        <v>2681</v>
      </c>
      <c r="E1773" s="1" t="s">
        <v>1642</v>
      </c>
      <c r="F1773" s="21" t="s">
        <v>5</v>
      </c>
      <c r="G1773" s="14">
        <v>1</v>
      </c>
      <c r="H1773" s="14">
        <v>0</v>
      </c>
      <c r="I1773" s="25">
        <v>214</v>
      </c>
      <c r="J1773" s="23">
        <f>VLOOKUP(I1773,episodes!$A$1:$B$81,2,FALSE)</f>
        <v>44</v>
      </c>
      <c r="K1773" s="16" t="str">
        <f>VLOOKUP(I1773,episodes!$A$1:$E$81,5,FALSE)</f>
        <v>Wolf in the Fold</v>
      </c>
      <c r="L1773" s="16">
        <f>VLOOKUP(I1773,episodes!$A$1:$D$81,3,FALSE)</f>
        <v>2</v>
      </c>
      <c r="M1773" s="16">
        <f>VLOOKUP(I1773,episodes!$A$1:$D$81,4,FALSE)</f>
        <v>14</v>
      </c>
      <c r="N1773" s="14"/>
      <c r="O1773" s="14">
        <v>0</v>
      </c>
      <c r="P1773" s="24">
        <f>LEN(E1773)+LEN(K1773)</f>
        <v>166</v>
      </c>
      <c r="Q1773" s="24">
        <f>COUNTIFS(B:B,B1775)</f>
        <v>1</v>
      </c>
      <c r="R1773" s="24">
        <f>COUNTIFS(D:D,D1776)</f>
        <v>55</v>
      </c>
    </row>
    <row r="1774" spans="1:18" s="21" customFormat="1" x14ac:dyDescent="0.3">
      <c r="A1774" s="14">
        <v>2467</v>
      </c>
      <c r="B1774" s="21" t="s">
        <v>141</v>
      </c>
      <c r="C1774" s="21" t="s">
        <v>0</v>
      </c>
      <c r="D1774" s="21" t="s">
        <v>2681</v>
      </c>
      <c r="E1774" s="1" t="s">
        <v>1150</v>
      </c>
      <c r="F1774" s="21" t="s">
        <v>2316</v>
      </c>
      <c r="G1774" s="14">
        <v>0</v>
      </c>
      <c r="H1774" s="14">
        <v>0</v>
      </c>
      <c r="I1774" s="14">
        <v>207</v>
      </c>
      <c r="J1774" s="23">
        <f>VLOOKUP(I1774,episodes!$A$1:$B$81,2,FALSE)</f>
        <v>37</v>
      </c>
      <c r="K1774" s="16" t="str">
        <f>VLOOKUP(I1774,episodes!$A$1:$E$81,5,FALSE)</f>
        <v>Catspaw</v>
      </c>
      <c r="L1774" s="16">
        <f>VLOOKUP(I1774,episodes!$A$1:$D$81,3,FALSE)</f>
        <v>2</v>
      </c>
      <c r="M1774" s="16">
        <f>VLOOKUP(I1774,episodes!$A$1:$D$81,4,FALSE)</f>
        <v>7</v>
      </c>
      <c r="N1774" s="14"/>
      <c r="O1774" s="14">
        <v>0</v>
      </c>
      <c r="P1774" s="24">
        <f>LEN(E1774)+LEN(K1774)</f>
        <v>111</v>
      </c>
      <c r="Q1774" s="24">
        <f>COUNTIFS(B:B,B1772)</f>
        <v>44</v>
      </c>
      <c r="R1774" s="24">
        <f>COUNTIFS(D:D,D1774)</f>
        <v>55</v>
      </c>
    </row>
    <row r="1775" spans="1:18" s="21" customFormat="1" x14ac:dyDescent="0.3">
      <c r="A1775" s="14">
        <v>2549</v>
      </c>
      <c r="B1775" s="21" t="s">
        <v>359</v>
      </c>
      <c r="C1775" s="21" t="s">
        <v>0</v>
      </c>
      <c r="D1775" s="1" t="s">
        <v>2681</v>
      </c>
      <c r="E1775" s="1" t="s">
        <v>891</v>
      </c>
      <c r="F1775" s="21" t="s">
        <v>1863</v>
      </c>
      <c r="G1775" s="14">
        <v>1</v>
      </c>
      <c r="H1775" s="14">
        <v>0</v>
      </c>
      <c r="I1775" s="25">
        <v>999</v>
      </c>
      <c r="J1775" s="23">
        <v>0</v>
      </c>
      <c r="K1775" s="16" t="s">
        <v>1929</v>
      </c>
      <c r="L1775" s="16">
        <v>0</v>
      </c>
      <c r="M1775" s="16">
        <v>0</v>
      </c>
      <c r="N1775" s="14"/>
      <c r="O1775" s="14">
        <v>0</v>
      </c>
      <c r="P1775" s="24">
        <f>LEN(E1775)+LEN(K1775)</f>
        <v>82</v>
      </c>
      <c r="Q1775" s="17"/>
      <c r="R1775" s="17"/>
    </row>
    <row r="1776" spans="1:18" s="21" customFormat="1" x14ac:dyDescent="0.3">
      <c r="A1776" s="14">
        <v>2500</v>
      </c>
      <c r="B1776" s="21" t="s">
        <v>312</v>
      </c>
      <c r="C1776" s="21" t="s">
        <v>0</v>
      </c>
      <c r="D1776" s="1" t="s">
        <v>2681</v>
      </c>
      <c r="E1776" s="1" t="s">
        <v>2326</v>
      </c>
      <c r="F1776" s="1" t="s">
        <v>1863</v>
      </c>
      <c r="G1776" s="14">
        <v>1</v>
      </c>
      <c r="H1776" s="14">
        <v>0</v>
      </c>
      <c r="I1776" s="22">
        <v>128</v>
      </c>
      <c r="J1776" s="23">
        <f>VLOOKUP(I1776,episodes!$A$1:$B$76,2,FALSE)</f>
        <v>29</v>
      </c>
      <c r="K1776" s="16" t="str">
        <f>VLOOKUP(I1776,episodes!$A$1:$E$81,5,FALSE)</f>
        <v>The City on the Edge of Forever</v>
      </c>
      <c r="L1776" s="16">
        <f>VLOOKUP(I1776,episodes!$A$1:$D$81,3,FALSE)</f>
        <v>1</v>
      </c>
      <c r="M1776" s="16">
        <f>VLOOKUP(I1776,episodes!$A$1:$D$81,4,FALSE)</f>
        <v>28</v>
      </c>
      <c r="N1776" s="14"/>
      <c r="O1776" s="14">
        <v>0</v>
      </c>
      <c r="P1776" s="24">
        <f>LEN(E1776)+LEN(K1776)</f>
        <v>141</v>
      </c>
      <c r="Q1776" s="24">
        <f>COUNTIFS(B:B,B1775)</f>
        <v>1</v>
      </c>
      <c r="R1776" s="24">
        <f>COUNTIFS(D:D,D1776)</f>
        <v>55</v>
      </c>
    </row>
    <row r="1777" spans="1:18" s="21" customFormat="1" x14ac:dyDescent="0.3">
      <c r="A1777" s="14">
        <v>91</v>
      </c>
      <c r="B1777" s="21" t="s">
        <v>2680</v>
      </c>
      <c r="C1777" s="21" t="s">
        <v>0</v>
      </c>
      <c r="D1777" s="21" t="s">
        <v>2681</v>
      </c>
      <c r="E1777" s="1" t="s">
        <v>536</v>
      </c>
      <c r="F1777" s="21" t="s">
        <v>2240</v>
      </c>
      <c r="G1777" s="14">
        <v>0</v>
      </c>
      <c r="H1777" s="14">
        <v>0</v>
      </c>
      <c r="I1777" s="25">
        <v>115</v>
      </c>
      <c r="J1777" s="23">
        <f>VLOOKUP(I1777,episodes!$A$1:$B$76,2,FALSE)</f>
        <v>16</v>
      </c>
      <c r="K1777" s="16" t="str">
        <f>VLOOKUP(I1777,episodes!$A$1:$E$81,5,FALSE)</f>
        <v>Shore Leave</v>
      </c>
      <c r="L1777" s="16">
        <f>VLOOKUP(I1777,episodes!$A$1:$D$81,3,FALSE)</f>
        <v>1</v>
      </c>
      <c r="M1777" s="16">
        <f>VLOOKUP(I1777,episodes!$A$1:$D$81,4,FALSE)</f>
        <v>15</v>
      </c>
      <c r="N1777" s="14"/>
      <c r="O1777" s="14">
        <v>0</v>
      </c>
      <c r="P1777" s="24">
        <f>LEN(E1777)+LEN(K1777)</f>
        <v>220</v>
      </c>
      <c r="Q1777" s="24">
        <f>COUNTIFS(B:B,#REF!)</f>
        <v>0</v>
      </c>
      <c r="R1777" s="24">
        <f>COUNTIFS(D:D,D1777)</f>
        <v>55</v>
      </c>
    </row>
    <row r="1778" spans="1:18" s="21" customFormat="1" x14ac:dyDescent="0.3">
      <c r="A1778" s="14">
        <v>1160</v>
      </c>
      <c r="B1778" s="21" t="s">
        <v>312</v>
      </c>
      <c r="C1778" s="21" t="s">
        <v>0</v>
      </c>
      <c r="D1778" s="1" t="s">
        <v>2681</v>
      </c>
      <c r="E1778" s="1" t="s">
        <v>1239</v>
      </c>
      <c r="F1778" s="21" t="s">
        <v>1862</v>
      </c>
      <c r="G1778" s="14">
        <v>0</v>
      </c>
      <c r="H1778" s="14">
        <v>2</v>
      </c>
      <c r="I1778" s="25">
        <v>108</v>
      </c>
      <c r="J1778" s="23">
        <f>VLOOKUP(I1778,episodes!$A$1:$B$76,2,FALSE)</f>
        <v>9</v>
      </c>
      <c r="K1778" s="16" t="str">
        <f>VLOOKUP(I1778,episodes!$A$1:$E$81,5,FALSE)</f>
        <v>Miri</v>
      </c>
      <c r="L1778" s="16">
        <f>VLOOKUP(I1778,episodes!$A$1:$D$81,3,FALSE)</f>
        <v>1</v>
      </c>
      <c r="M1778" s="16">
        <f>VLOOKUP(I1778,episodes!$A$1:$D$81,4,FALSE)</f>
        <v>8</v>
      </c>
      <c r="N1778" s="14"/>
      <c r="O1778" s="14">
        <v>0</v>
      </c>
      <c r="P1778" s="24">
        <f>LEN(E1778)+LEN(K1778)</f>
        <v>96</v>
      </c>
      <c r="Q1778" s="24"/>
      <c r="R1778" s="24"/>
    </row>
    <row r="1779" spans="1:18" s="21" customFormat="1" x14ac:dyDescent="0.3">
      <c r="A1779" s="14">
        <v>1870</v>
      </c>
      <c r="B1779" s="21" t="s">
        <v>312</v>
      </c>
      <c r="C1779" s="21" t="s">
        <v>0</v>
      </c>
      <c r="D1779" s="1" t="s">
        <v>2681</v>
      </c>
      <c r="E1779" s="1" t="s">
        <v>1535</v>
      </c>
      <c r="F1779" s="21" t="s">
        <v>1862</v>
      </c>
      <c r="G1779" s="14">
        <v>0</v>
      </c>
      <c r="H1779" s="14">
        <v>2</v>
      </c>
      <c r="I1779" s="25">
        <v>105</v>
      </c>
      <c r="J1779" s="23">
        <f>VLOOKUP(I1779,episodes!$A$1:$B$76,2,FALSE)</f>
        <v>6</v>
      </c>
      <c r="K1779" s="16" t="str">
        <f>VLOOKUP(I1779,episodes!$A$1:$E$81,5,FALSE)</f>
        <v>The Enemy Within</v>
      </c>
      <c r="L1779" s="16">
        <f>VLOOKUP(I1779,episodes!$A$1:$D$81,3,FALSE)</f>
        <v>1</v>
      </c>
      <c r="M1779" s="16">
        <f>VLOOKUP(I1779,episodes!$A$1:$D$81,4,FALSE)</f>
        <v>5</v>
      </c>
      <c r="N1779" s="14"/>
      <c r="O1779" s="14">
        <v>0</v>
      </c>
      <c r="P1779" s="24">
        <f>LEN(E1779)+LEN(K1779)</f>
        <v>183</v>
      </c>
      <c r="Q1779" s="24">
        <f>COUNTIFS(B:B,#REF!)</f>
        <v>0</v>
      </c>
      <c r="R1779" s="24">
        <f>COUNTIFS(D:D,D1779)</f>
        <v>55</v>
      </c>
    </row>
    <row r="1780" spans="1:18" s="21" customFormat="1" x14ac:dyDescent="0.3">
      <c r="A1780" s="14">
        <v>1868</v>
      </c>
      <c r="B1780" s="21" t="s">
        <v>312</v>
      </c>
      <c r="C1780" s="21" t="s">
        <v>0</v>
      </c>
      <c r="D1780" s="1" t="s">
        <v>2681</v>
      </c>
      <c r="E1780" s="1" t="s">
        <v>1092</v>
      </c>
      <c r="F1780" s="21" t="s">
        <v>1862</v>
      </c>
      <c r="G1780" s="14">
        <v>0</v>
      </c>
      <c r="H1780" s="14">
        <v>2</v>
      </c>
      <c r="I1780" s="25">
        <v>104</v>
      </c>
      <c r="J1780" s="23">
        <f>VLOOKUP(I1780,episodes!$A$1:$B$76,2,FALSE)</f>
        <v>5</v>
      </c>
      <c r="K1780" s="16" t="str">
        <f>VLOOKUP(I1780,episodes!$A$1:$E$81,5,FALSE)</f>
        <v>The Naked Time</v>
      </c>
      <c r="L1780" s="16">
        <f>VLOOKUP(I1780,episodes!$A$1:$D$81,3,FALSE)</f>
        <v>1</v>
      </c>
      <c r="M1780" s="16">
        <f>VLOOKUP(I1780,episodes!$A$1:$D$81,4,FALSE)</f>
        <v>4</v>
      </c>
      <c r="N1780" s="14"/>
      <c r="O1780" s="14">
        <v>0</v>
      </c>
      <c r="P1780" s="24">
        <f>LEN(E1780)+LEN(K1780)</f>
        <v>102</v>
      </c>
      <c r="Q1780" s="24">
        <f>COUNTIFS(B:B,B1779)</f>
        <v>44</v>
      </c>
      <c r="R1780" s="24">
        <f>COUNTIFS(D:D,D1780)</f>
        <v>55</v>
      </c>
    </row>
    <row r="1781" spans="1:18" s="21" customFormat="1" x14ac:dyDescent="0.3">
      <c r="A1781" s="14">
        <v>1864</v>
      </c>
      <c r="B1781" s="21" t="s">
        <v>312</v>
      </c>
      <c r="C1781" s="21" t="s">
        <v>0</v>
      </c>
      <c r="D1781" s="1" t="s">
        <v>2681</v>
      </c>
      <c r="E1781" s="1" t="s">
        <v>1869</v>
      </c>
      <c r="F1781" s="21" t="s">
        <v>1862</v>
      </c>
      <c r="G1781" s="14">
        <v>0</v>
      </c>
      <c r="H1781" s="14">
        <v>2</v>
      </c>
      <c r="I1781" s="25">
        <v>102</v>
      </c>
      <c r="J1781" s="23">
        <f>VLOOKUP(I1781,episodes!$A$1:$B$76,2,FALSE)</f>
        <v>3</v>
      </c>
      <c r="K1781" s="16" t="str">
        <f>VLOOKUP(I1781,episodes!$A$1:$E$81,5,FALSE)</f>
        <v>Charlie X</v>
      </c>
      <c r="L1781" s="16">
        <f>VLOOKUP(I1781,episodes!$A$1:$D$81,3,FALSE)</f>
        <v>1</v>
      </c>
      <c r="M1781" s="16">
        <f>VLOOKUP(I1781,episodes!$A$1:$D$81,4,FALSE)</f>
        <v>2</v>
      </c>
      <c r="N1781" s="14"/>
      <c r="O1781" s="14">
        <v>0</v>
      </c>
      <c r="P1781" s="24">
        <f>LEN(E1781)+LEN(K1781)</f>
        <v>129</v>
      </c>
      <c r="Q1781" s="24">
        <f>COUNTIFS(B:B,B1780)</f>
        <v>44</v>
      </c>
      <c r="R1781" s="24">
        <f>COUNTIFS(D:D,D1781)</f>
        <v>55</v>
      </c>
    </row>
    <row r="1782" spans="1:18" s="21" customFormat="1" x14ac:dyDescent="0.3">
      <c r="A1782" s="14">
        <v>1860</v>
      </c>
      <c r="B1782" s="21" t="s">
        <v>312</v>
      </c>
      <c r="C1782" s="21" t="s">
        <v>0</v>
      </c>
      <c r="D1782" s="1" t="s">
        <v>2681</v>
      </c>
      <c r="E1782" s="1" t="s">
        <v>2263</v>
      </c>
      <c r="F1782" s="21" t="s">
        <v>1862</v>
      </c>
      <c r="G1782" s="14">
        <v>0</v>
      </c>
      <c r="H1782" s="14">
        <v>2</v>
      </c>
      <c r="I1782" s="25">
        <v>101</v>
      </c>
      <c r="J1782" s="23">
        <f>VLOOKUP(I1782,episodes!$A$1:$B$76,2,FALSE)</f>
        <v>2</v>
      </c>
      <c r="K1782" s="16" t="str">
        <f>VLOOKUP(I1782,episodes!$A$1:$E$81,5,FALSE)</f>
        <v>The Man Trap</v>
      </c>
      <c r="L1782" s="16">
        <f>VLOOKUP(I1782,episodes!$A$1:$D$81,3,FALSE)</f>
        <v>1</v>
      </c>
      <c r="M1782" s="16">
        <f>VLOOKUP(I1782,episodes!$A$1:$D$81,4,FALSE)</f>
        <v>1</v>
      </c>
      <c r="N1782" s="14"/>
      <c r="O1782" s="14">
        <v>0</v>
      </c>
      <c r="P1782" s="24">
        <f>LEN(E1782)+LEN(K1782)</f>
        <v>95</v>
      </c>
      <c r="Q1782" s="24"/>
      <c r="R1782" s="24">
        <f>COUNTIFS(D:D,D1782)</f>
        <v>55</v>
      </c>
    </row>
    <row r="1783" spans="1:18" s="21" customFormat="1" x14ac:dyDescent="0.3">
      <c r="A1783" s="14">
        <v>1874</v>
      </c>
      <c r="B1783" s="21" t="s">
        <v>532</v>
      </c>
      <c r="C1783" s="21" t="s">
        <v>0</v>
      </c>
      <c r="D1783" s="1" t="s">
        <v>2681</v>
      </c>
      <c r="E1783" s="1" t="s">
        <v>1750</v>
      </c>
      <c r="F1783" s="21" t="s">
        <v>1862</v>
      </c>
      <c r="G1783" s="14">
        <v>0</v>
      </c>
      <c r="H1783" s="14">
        <v>2</v>
      </c>
      <c r="I1783" s="25">
        <v>110</v>
      </c>
      <c r="J1783" s="23">
        <f>VLOOKUP(I1783,episodes!$A$1:$B$76,2,FALSE)</f>
        <v>11</v>
      </c>
      <c r="K1783" s="16" t="str">
        <f>VLOOKUP(I1783,episodes!$A$1:$E$81,5,FALSE)</f>
        <v>The Corbomite Maneuver</v>
      </c>
      <c r="L1783" s="16">
        <f>VLOOKUP(I1783,episodes!$A$1:$D$81,3,FALSE)</f>
        <v>1</v>
      </c>
      <c r="M1783" s="16">
        <f>VLOOKUP(I1783,episodes!$A$1:$D$81,4,FALSE)</f>
        <v>10</v>
      </c>
      <c r="N1783" s="14"/>
      <c r="O1783" s="14">
        <v>0</v>
      </c>
      <c r="P1783" s="24">
        <f>LEN(E1783)+LEN(K1783)</f>
        <v>150</v>
      </c>
      <c r="Q1783" s="24">
        <f>COUNTIFS(B:B,B1782)</f>
        <v>44</v>
      </c>
      <c r="R1783" s="24">
        <f>COUNTIFS(D:D,D1783)</f>
        <v>55</v>
      </c>
    </row>
    <row r="1784" spans="1:18" s="21" customFormat="1" x14ac:dyDescent="0.3">
      <c r="A1784" s="14">
        <v>1</v>
      </c>
      <c r="B1784" s="21" t="s">
        <v>312</v>
      </c>
      <c r="C1784" s="21" t="s">
        <v>0</v>
      </c>
      <c r="D1784" s="1" t="s">
        <v>2681</v>
      </c>
      <c r="E1784" s="1" t="s">
        <v>606</v>
      </c>
      <c r="F1784" s="1" t="s">
        <v>2325</v>
      </c>
      <c r="G1784" s="14">
        <v>0</v>
      </c>
      <c r="H1784" s="14">
        <v>0</v>
      </c>
      <c r="I1784" s="22">
        <v>117</v>
      </c>
      <c r="J1784" s="23">
        <f>VLOOKUP(I1784,episodes!$A$1:$B$76,2,FALSE)</f>
        <v>18</v>
      </c>
      <c r="K1784" s="16" t="str">
        <f>VLOOKUP(I1784,episodes!$A$1:$E$81,5,FALSE)</f>
        <v>The Squire of Gothos</v>
      </c>
      <c r="L1784" s="16">
        <f>VLOOKUP(I1784,episodes!$A$1:$D$81,3,FALSE)</f>
        <v>1</v>
      </c>
      <c r="M1784" s="16">
        <f>VLOOKUP(I1784,episodes!$A$1:$D$81,4,FALSE)</f>
        <v>17</v>
      </c>
      <c r="N1784" s="14"/>
      <c r="O1784" s="14">
        <v>0</v>
      </c>
      <c r="P1784" s="24">
        <f>LEN(E1784)+LEN(K1784)</f>
        <v>58</v>
      </c>
      <c r="Q1784" s="24">
        <f>COUNTIFS(B:B,B1783)</f>
        <v>4</v>
      </c>
      <c r="R1784" s="24">
        <f>COUNTIFS(D:D,D1784)</f>
        <v>55</v>
      </c>
    </row>
    <row r="1785" spans="1:18" s="21" customFormat="1" x14ac:dyDescent="0.3">
      <c r="A1785" s="14">
        <v>2912</v>
      </c>
      <c r="B1785" s="21" t="s">
        <v>2636</v>
      </c>
      <c r="C1785" s="21" t="s">
        <v>0</v>
      </c>
      <c r="D1785" s="1" t="s">
        <v>2645</v>
      </c>
      <c r="E1785" s="1" t="s">
        <v>2940</v>
      </c>
      <c r="G1785" s="14">
        <v>0</v>
      </c>
      <c r="H1785" s="14">
        <v>0</v>
      </c>
      <c r="I1785" s="25">
        <v>106</v>
      </c>
      <c r="J1785" s="23">
        <f>VLOOKUP(I1785,episodes!$A$1:$B$76,2,FALSE)</f>
        <v>7</v>
      </c>
      <c r="K1785" s="16" t="str">
        <f>VLOOKUP(I1785,episodes!$A$1:$E$81,5,FALSE)</f>
        <v>Mudd's Women</v>
      </c>
      <c r="L1785" s="16">
        <f>VLOOKUP(I1785,episodes!$A$1:$D$81,3,FALSE)</f>
        <v>1</v>
      </c>
      <c r="M1785" s="16">
        <f>VLOOKUP(I1785,episodes!$A$1:$D$81,4,FALSE)</f>
        <v>6</v>
      </c>
      <c r="N1785" s="14"/>
      <c r="O1785" s="14">
        <v>0</v>
      </c>
      <c r="P1785" s="24">
        <f>LEN(E1785)+LEN(K1785)</f>
        <v>45</v>
      </c>
      <c r="Q1785" s="24"/>
      <c r="R1785" s="24"/>
    </row>
    <row r="1786" spans="1:18" s="21" customFormat="1" x14ac:dyDescent="0.3">
      <c r="A1786" s="14">
        <v>1707</v>
      </c>
      <c r="B1786" s="21" t="s">
        <v>2636</v>
      </c>
      <c r="C1786" s="21" t="s">
        <v>0</v>
      </c>
      <c r="D1786" s="1" t="s">
        <v>2645</v>
      </c>
      <c r="E1786" s="1" t="s">
        <v>2548</v>
      </c>
      <c r="F1786" s="21" t="s">
        <v>2367</v>
      </c>
      <c r="G1786" s="26">
        <v>0</v>
      </c>
      <c r="H1786" s="14">
        <v>0</v>
      </c>
      <c r="I1786" s="25">
        <v>101</v>
      </c>
      <c r="J1786" s="23">
        <f>VLOOKUP(I1786,episodes!$A$1:$B$76,2,FALSE)</f>
        <v>2</v>
      </c>
      <c r="K1786" s="16" t="str">
        <f>VLOOKUP(I1786,episodes!$A$1:$E$81,5,FALSE)</f>
        <v>The Man Trap</v>
      </c>
      <c r="L1786" s="16">
        <f>VLOOKUP(I1786,episodes!$A$1:$D$81,3,FALSE)</f>
        <v>1</v>
      </c>
      <c r="M1786" s="16">
        <f>VLOOKUP(I1786,episodes!$A$1:$D$81,4,FALSE)</f>
        <v>1</v>
      </c>
      <c r="N1786" s="14"/>
      <c r="O1786" s="14">
        <v>0</v>
      </c>
      <c r="P1786" s="24">
        <f>LEN(E1786)+LEN(K1786)</f>
        <v>82</v>
      </c>
      <c r="Q1786" s="24">
        <f>COUNTIFS(B:B,#REF!)</f>
        <v>0</v>
      </c>
      <c r="R1786" s="24">
        <f>COUNTIFS(D:D,D1786)</f>
        <v>5</v>
      </c>
    </row>
    <row r="1787" spans="1:18" s="21" customFormat="1" x14ac:dyDescent="0.3">
      <c r="A1787" s="14">
        <v>108</v>
      </c>
      <c r="B1787" s="21" t="s">
        <v>2636</v>
      </c>
      <c r="C1787" s="21" t="s">
        <v>0</v>
      </c>
      <c r="D1787" s="1" t="s">
        <v>2645</v>
      </c>
      <c r="E1787" s="1" t="s">
        <v>2547</v>
      </c>
      <c r="F1787" s="21" t="s">
        <v>2367</v>
      </c>
      <c r="G1787" s="14">
        <v>0</v>
      </c>
      <c r="H1787" s="14">
        <v>0</v>
      </c>
      <c r="I1787" s="25">
        <v>101</v>
      </c>
      <c r="J1787" s="23">
        <f>VLOOKUP(I1787,episodes!$A$1:$B$76,2,FALSE)</f>
        <v>2</v>
      </c>
      <c r="K1787" s="16" t="str">
        <f>VLOOKUP(I1787,episodes!$A$1:$E$81,5,FALSE)</f>
        <v>The Man Trap</v>
      </c>
      <c r="L1787" s="16">
        <f>VLOOKUP(I1787,episodes!$A$1:$D$81,3,FALSE)</f>
        <v>1</v>
      </c>
      <c r="M1787" s="16">
        <f>VLOOKUP(I1787,episodes!$A$1:$D$81,4,FALSE)</f>
        <v>1</v>
      </c>
      <c r="N1787" s="14"/>
      <c r="O1787" s="14">
        <v>0</v>
      </c>
      <c r="P1787" s="24">
        <f>LEN(E1787)+LEN(K1787)</f>
        <v>93</v>
      </c>
      <c r="Q1787" s="24"/>
      <c r="R1787" s="24"/>
    </row>
    <row r="1788" spans="1:18" s="21" customFormat="1" x14ac:dyDescent="0.3">
      <c r="A1788" s="14">
        <v>2911</v>
      </c>
      <c r="B1788" s="21" t="s">
        <v>2636</v>
      </c>
      <c r="C1788" s="21" t="s">
        <v>0</v>
      </c>
      <c r="D1788" s="1" t="s">
        <v>2645</v>
      </c>
      <c r="E1788" s="1" t="s">
        <v>2639</v>
      </c>
      <c r="F1788" s="21" t="s">
        <v>2367</v>
      </c>
      <c r="G1788" s="14">
        <v>0</v>
      </c>
      <c r="H1788" s="14">
        <v>0</v>
      </c>
      <c r="I1788" s="25">
        <v>101</v>
      </c>
      <c r="J1788" s="23">
        <f>VLOOKUP(I1788,episodes!$A$1:$B$76,2,FALSE)</f>
        <v>2</v>
      </c>
      <c r="K1788" s="16" t="str">
        <f>VLOOKUP(I1788,episodes!$A$1:$E$81,5,FALSE)</f>
        <v>The Man Trap</v>
      </c>
      <c r="L1788" s="16">
        <f>VLOOKUP(I1788,episodes!$A$1:$D$81,3,FALSE)</f>
        <v>1</v>
      </c>
      <c r="M1788" s="16">
        <f>VLOOKUP(I1788,episodes!$A$1:$D$81,4,FALSE)</f>
        <v>1</v>
      </c>
      <c r="N1788" s="14"/>
      <c r="O1788" s="14">
        <v>0</v>
      </c>
      <c r="P1788" s="24">
        <f>LEN(E1788)+LEN(K1788)</f>
        <v>95</v>
      </c>
      <c r="Q1788" s="24"/>
      <c r="R1788" s="24"/>
    </row>
    <row r="1789" spans="1:18" s="21" customFormat="1" x14ac:dyDescent="0.3">
      <c r="A1789" s="14">
        <v>2915</v>
      </c>
      <c r="B1789" s="21" t="s">
        <v>2636</v>
      </c>
      <c r="C1789" s="21" t="s">
        <v>0</v>
      </c>
      <c r="D1789" s="1" t="s">
        <v>2645</v>
      </c>
      <c r="E1789" s="1" t="s">
        <v>2646</v>
      </c>
      <c r="F1789" s="21" t="s">
        <v>1863</v>
      </c>
      <c r="G1789" s="14">
        <v>1</v>
      </c>
      <c r="H1789" s="14">
        <v>0</v>
      </c>
      <c r="I1789" s="25">
        <v>204</v>
      </c>
      <c r="J1789" s="23">
        <f>VLOOKUP(I1789,episodes!$A$1:$B$76,2,FALSE)</f>
        <v>34</v>
      </c>
      <c r="K1789" s="16" t="str">
        <f>VLOOKUP(I1789,episodes!$A$1:$E$81,5,FALSE)</f>
        <v>Mirror, Mirror</v>
      </c>
      <c r="L1789" s="16">
        <f>VLOOKUP(I1789,episodes!$A$1:$D$81,3,FALSE)</f>
        <v>2</v>
      </c>
      <c r="M1789" s="16">
        <f>VLOOKUP(I1789,episodes!$A$1:$D$81,4,FALSE)</f>
        <v>4</v>
      </c>
      <c r="N1789" s="14"/>
      <c r="O1789" s="14">
        <v>0</v>
      </c>
      <c r="P1789" s="24">
        <f>LEN(E1789)+LEN(K1789)</f>
        <v>77</v>
      </c>
      <c r="Q1789" s="24"/>
      <c r="R1789" s="24"/>
    </row>
    <row r="1790" spans="1:18" s="21" customFormat="1" x14ac:dyDescent="0.3">
      <c r="A1790" s="14">
        <v>2501</v>
      </c>
      <c r="B1790" s="21" t="s">
        <v>265</v>
      </c>
      <c r="C1790" s="21" t="s">
        <v>0</v>
      </c>
      <c r="D1790" s="21" t="s">
        <v>2674</v>
      </c>
      <c r="E1790" s="1" t="s">
        <v>2039</v>
      </c>
      <c r="F1790" s="21" t="s">
        <v>1863</v>
      </c>
      <c r="G1790" s="14">
        <v>1</v>
      </c>
      <c r="H1790" s="14">
        <v>0</v>
      </c>
      <c r="I1790" s="14">
        <v>322</v>
      </c>
      <c r="J1790" s="23">
        <f>VLOOKUP(I1790,episodes!$A$1:$B$81,2,FALSE)</f>
        <v>78</v>
      </c>
      <c r="K1790" s="16" t="str">
        <f>VLOOKUP(I1790,episodes!$A$1:$E$81,5,FALSE)</f>
        <v>The Savage Curtain</v>
      </c>
      <c r="L1790" s="16">
        <f>VLOOKUP(I1790,episodes!$A$1:$D$81,3,FALSE)</f>
        <v>3</v>
      </c>
      <c r="M1790" s="16">
        <f>VLOOKUP(I1790,episodes!$A$1:$D$81,4,FALSE)</f>
        <v>22</v>
      </c>
      <c r="N1790" s="14"/>
      <c r="O1790" s="14">
        <v>0</v>
      </c>
      <c r="P1790" s="24">
        <f>LEN(E1790)+LEN(K1790)</f>
        <v>424</v>
      </c>
      <c r="Q1790" s="24">
        <f>COUNTIFS(B:B,B1792)</f>
        <v>5</v>
      </c>
      <c r="R1790" s="24">
        <f>COUNTIFS(D:D,D1793)</f>
        <v>10</v>
      </c>
    </row>
    <row r="1791" spans="1:18" s="21" customFormat="1" x14ac:dyDescent="0.3">
      <c r="A1791" s="14">
        <v>36</v>
      </c>
      <c r="B1791" s="21" t="s">
        <v>265</v>
      </c>
      <c r="C1791" s="21" t="s">
        <v>0</v>
      </c>
      <c r="D1791" s="21" t="s">
        <v>2674</v>
      </c>
      <c r="E1791" s="1" t="s">
        <v>1385</v>
      </c>
      <c r="F1791" s="21" t="s">
        <v>2</v>
      </c>
      <c r="G1791" s="14">
        <v>0</v>
      </c>
      <c r="H1791" s="14">
        <v>0</v>
      </c>
      <c r="I1791" s="14">
        <v>202</v>
      </c>
      <c r="J1791" s="23">
        <f>VLOOKUP(I1791,episodes!$A$1:$B$76,2,FALSE)</f>
        <v>32</v>
      </c>
      <c r="K1791" s="16" t="str">
        <f>VLOOKUP(I1791,episodes!$A$1:$E$81,5,FALSE)</f>
        <v>Who Mourns for Adonais?</v>
      </c>
      <c r="L1791" s="16">
        <f>VLOOKUP(I1791,episodes!$A$1:$D$81,3,FALSE)</f>
        <v>2</v>
      </c>
      <c r="M1791" s="16">
        <f>VLOOKUP(I1791,episodes!$A$1:$D$81,4,FALSE)</f>
        <v>2</v>
      </c>
      <c r="N1791" s="14"/>
      <c r="O1791" s="14">
        <v>0</v>
      </c>
      <c r="P1791" s="24">
        <f>LEN(E1791)+LEN(K1791)</f>
        <v>138</v>
      </c>
      <c r="Q1791" s="24">
        <f>COUNTIFS(B:B,B1790)</f>
        <v>4</v>
      </c>
      <c r="R1791" s="24">
        <f>COUNTIFS(D:D,D1791)</f>
        <v>10</v>
      </c>
    </row>
    <row r="1792" spans="1:18" s="21" customFormat="1" x14ac:dyDescent="0.3">
      <c r="A1792" s="14">
        <v>1135</v>
      </c>
      <c r="B1792" s="21" t="s">
        <v>365</v>
      </c>
      <c r="C1792" s="21" t="s">
        <v>0</v>
      </c>
      <c r="D1792" s="1" t="s">
        <v>2674</v>
      </c>
      <c r="E1792" s="1" t="s">
        <v>1681</v>
      </c>
      <c r="F1792" s="21" t="s">
        <v>4</v>
      </c>
      <c r="G1792" s="14">
        <v>1</v>
      </c>
      <c r="H1792" s="14">
        <v>0</v>
      </c>
      <c r="I1792" s="25">
        <v>204</v>
      </c>
      <c r="J1792" s="23">
        <f>VLOOKUP(I1792,episodes!$A$1:$B$81,2,FALSE)</f>
        <v>34</v>
      </c>
      <c r="K1792" s="16" t="str">
        <f>VLOOKUP(I1792,episodes!$A$1:$E$81,5,FALSE)</f>
        <v>Mirror, Mirror</v>
      </c>
      <c r="L1792" s="16">
        <f>VLOOKUP(I1792,episodes!$A$1:$D$81,3,FALSE)</f>
        <v>2</v>
      </c>
      <c r="M1792" s="16">
        <f>VLOOKUP(I1792,episodes!$A$1:$D$81,4,FALSE)</f>
        <v>4</v>
      </c>
      <c r="N1792" s="14"/>
      <c r="O1792" s="14">
        <v>0</v>
      </c>
      <c r="P1792" s="24">
        <f>LEN(E1792)+LEN(K1792)</f>
        <v>99</v>
      </c>
      <c r="Q1792" s="24">
        <f>COUNTIFS(B:B,B1790)</f>
        <v>4</v>
      </c>
      <c r="R1792" s="24">
        <f>COUNTIFS(D:D,D1792)</f>
        <v>10</v>
      </c>
    </row>
    <row r="1793" spans="1:18" s="21" customFormat="1" x14ac:dyDescent="0.3">
      <c r="A1793" s="14">
        <v>1815</v>
      </c>
      <c r="B1793" s="21" t="s">
        <v>265</v>
      </c>
      <c r="C1793" s="21" t="s">
        <v>0</v>
      </c>
      <c r="D1793" s="1" t="s">
        <v>2674</v>
      </c>
      <c r="E1793" s="1" t="s">
        <v>862</v>
      </c>
      <c r="F1793" s="21" t="s">
        <v>2233</v>
      </c>
      <c r="G1793" s="14">
        <v>0</v>
      </c>
      <c r="H1793" s="14">
        <v>0</v>
      </c>
      <c r="I1793" s="14">
        <v>202</v>
      </c>
      <c r="J1793" s="23">
        <f>VLOOKUP(I1793,episodes!$A$1:$B$76,2,FALSE)</f>
        <v>32</v>
      </c>
      <c r="K1793" s="16" t="str">
        <f>VLOOKUP(I1793,episodes!$A$1:$E$81,5,FALSE)</f>
        <v>Who Mourns for Adonais?</v>
      </c>
      <c r="L1793" s="16">
        <f>VLOOKUP(I1793,episodes!$A$1:$D$81,3,FALSE)</f>
        <v>2</v>
      </c>
      <c r="M1793" s="16">
        <f>VLOOKUP(I1793,episodes!$A$1:$D$81,4,FALSE)</f>
        <v>2</v>
      </c>
      <c r="N1793" s="14"/>
      <c r="O1793" s="14">
        <v>0</v>
      </c>
      <c r="P1793" s="24">
        <f>LEN(E1793)+LEN(K1793)</f>
        <v>249</v>
      </c>
      <c r="Q1793" s="24">
        <f>COUNTIFS(B:B,B1792)</f>
        <v>5</v>
      </c>
      <c r="R1793" s="24">
        <f>COUNTIFS(D:D,D1793)</f>
        <v>10</v>
      </c>
    </row>
    <row r="1794" spans="1:18" s="21" customFormat="1" x14ac:dyDescent="0.3">
      <c r="A1794" s="14">
        <v>1718</v>
      </c>
      <c r="B1794" s="21" t="s">
        <v>365</v>
      </c>
      <c r="C1794" s="21" t="s">
        <v>0</v>
      </c>
      <c r="D1794" s="1" t="s">
        <v>2674</v>
      </c>
      <c r="E1794" s="1" t="s">
        <v>2139</v>
      </c>
      <c r="F1794" s="21" t="s">
        <v>1865</v>
      </c>
      <c r="G1794" s="14">
        <v>0</v>
      </c>
      <c r="H1794" s="14">
        <v>0</v>
      </c>
      <c r="I1794" s="14">
        <v>122</v>
      </c>
      <c r="J1794" s="23">
        <f>VLOOKUP(I1794,episodes!$A$1:$B$76,2,FALSE)</f>
        <v>23</v>
      </c>
      <c r="K1794" s="16" t="str">
        <f>VLOOKUP(I1794,episodes!$A$1:$E$81,5,FALSE)</f>
        <v>Space Seed</v>
      </c>
      <c r="L1794" s="16">
        <f>VLOOKUP(I1794,episodes!$A$1:$D$81,3,FALSE)</f>
        <v>1</v>
      </c>
      <c r="M1794" s="16">
        <f>VLOOKUP(I1794,episodes!$A$1:$D$81,4,FALSE)</f>
        <v>22</v>
      </c>
      <c r="N1794" s="14"/>
      <c r="O1794" s="14">
        <v>0</v>
      </c>
      <c r="P1794" s="24">
        <f>LEN(E1794)+LEN(K1794)</f>
        <v>127</v>
      </c>
      <c r="Q1794" s="24">
        <f>COUNTIFS(B:B,B1793)</f>
        <v>4</v>
      </c>
      <c r="R1794" s="24">
        <f>COUNTIFS(D:D,D1794)</f>
        <v>10</v>
      </c>
    </row>
    <row r="1795" spans="1:18" s="21" customFormat="1" x14ac:dyDescent="0.3">
      <c r="A1795" s="14">
        <v>1637</v>
      </c>
      <c r="B1795" s="21" t="s">
        <v>265</v>
      </c>
      <c r="C1795" s="21" t="s">
        <v>0</v>
      </c>
      <c r="D1795" s="1" t="s">
        <v>2674</v>
      </c>
      <c r="E1795" s="1" t="s">
        <v>1467</v>
      </c>
      <c r="F1795" s="21" t="s">
        <v>8</v>
      </c>
      <c r="G1795" s="14">
        <v>0</v>
      </c>
      <c r="H1795" s="14">
        <v>1</v>
      </c>
      <c r="I1795" s="14">
        <v>202</v>
      </c>
      <c r="J1795" s="23">
        <f>VLOOKUP(I1795,episodes!$A$1:$B$76,2,FALSE)</f>
        <v>32</v>
      </c>
      <c r="K1795" s="16" t="str">
        <f>VLOOKUP(I1795,episodes!$A$1:$E$81,5,FALSE)</f>
        <v>Who Mourns for Adonais?</v>
      </c>
      <c r="L1795" s="16">
        <f>VLOOKUP(I1795,episodes!$A$1:$D$81,3,FALSE)</f>
        <v>2</v>
      </c>
      <c r="M1795" s="16">
        <f>VLOOKUP(I1795,episodes!$A$1:$D$81,4,FALSE)</f>
        <v>2</v>
      </c>
      <c r="N1795" s="14"/>
      <c r="O1795" s="14">
        <v>0</v>
      </c>
      <c r="P1795" s="24">
        <f>LEN(E1795)+LEN(K1795)</f>
        <v>144</v>
      </c>
      <c r="Q1795" s="24">
        <f>COUNTIFS(B:B,B1794)</f>
        <v>5</v>
      </c>
      <c r="R1795" s="24">
        <f>COUNTIFS(D:D,D1795)</f>
        <v>10</v>
      </c>
    </row>
    <row r="1796" spans="1:18" s="21" customFormat="1" x14ac:dyDescent="0.3">
      <c r="A1796" s="14">
        <v>1759</v>
      </c>
      <c r="B1796" s="21" t="s">
        <v>365</v>
      </c>
      <c r="C1796" s="21" t="s">
        <v>0</v>
      </c>
      <c r="D1796" s="1" t="s">
        <v>2674</v>
      </c>
      <c r="E1796" s="1" t="s">
        <v>2340</v>
      </c>
      <c r="F1796" s="21" t="s">
        <v>2546</v>
      </c>
      <c r="G1796" s="14">
        <v>0</v>
      </c>
      <c r="H1796" s="14">
        <v>0</v>
      </c>
      <c r="I1796" s="25">
        <v>204</v>
      </c>
      <c r="J1796" s="23">
        <f>VLOOKUP(I1796,episodes!$A$1:$B$81,2,FALSE)</f>
        <v>34</v>
      </c>
      <c r="K1796" s="16" t="str">
        <f>VLOOKUP(I1796,episodes!$A$1:$E$81,5,FALSE)</f>
        <v>Mirror, Mirror</v>
      </c>
      <c r="L1796" s="16">
        <f>VLOOKUP(I1796,episodes!$A$1:$D$81,3,FALSE)</f>
        <v>2</v>
      </c>
      <c r="M1796" s="16">
        <f>VLOOKUP(I1796,episodes!$A$1:$D$81,4,FALSE)</f>
        <v>4</v>
      </c>
      <c r="N1796" s="14"/>
      <c r="O1796" s="14">
        <v>0</v>
      </c>
      <c r="P1796" s="24">
        <f>LEN(E1796)+LEN(K1796)</f>
        <v>140</v>
      </c>
      <c r="Q1796" s="24">
        <f>COUNTIFS(B:B,#REF!)</f>
        <v>0</v>
      </c>
      <c r="R1796" s="24">
        <f>COUNTIFS(D:D,D1796)</f>
        <v>10</v>
      </c>
    </row>
    <row r="1797" spans="1:18" s="21" customFormat="1" x14ac:dyDescent="0.3">
      <c r="A1797" s="14">
        <v>1760</v>
      </c>
      <c r="B1797" s="21" t="s">
        <v>365</v>
      </c>
      <c r="C1797" s="21" t="s">
        <v>0</v>
      </c>
      <c r="D1797" s="1" t="s">
        <v>2674</v>
      </c>
      <c r="E1797" s="1" t="s">
        <v>2341</v>
      </c>
      <c r="F1797" s="21" t="s">
        <v>2546</v>
      </c>
      <c r="G1797" s="14">
        <v>0</v>
      </c>
      <c r="H1797" s="14">
        <v>0</v>
      </c>
      <c r="I1797" s="25">
        <v>204</v>
      </c>
      <c r="J1797" s="23">
        <f>VLOOKUP(I1797,episodes!$A$1:$B$81,2,FALSE)</f>
        <v>34</v>
      </c>
      <c r="K1797" s="16" t="str">
        <f>VLOOKUP(I1797,episodes!$A$1:$E$81,5,FALSE)</f>
        <v>Mirror, Mirror</v>
      </c>
      <c r="L1797" s="16">
        <f>VLOOKUP(I1797,episodes!$A$1:$D$81,3,FALSE)</f>
        <v>2</v>
      </c>
      <c r="M1797" s="16">
        <f>VLOOKUP(I1797,episodes!$A$1:$D$81,4,FALSE)</f>
        <v>4</v>
      </c>
      <c r="N1797" s="14"/>
      <c r="O1797" s="14">
        <v>0</v>
      </c>
      <c r="P1797" s="24">
        <f>LEN(E1797)+LEN(K1797)</f>
        <v>176</v>
      </c>
      <c r="Q1797" s="24">
        <f>COUNTIFS(B:B,B1796)</f>
        <v>5</v>
      </c>
      <c r="R1797" s="24">
        <f>COUNTIFS(D:D,D1797)</f>
        <v>10</v>
      </c>
    </row>
    <row r="1798" spans="1:18" s="21" customFormat="1" x14ac:dyDescent="0.3">
      <c r="A1798" s="14">
        <v>2542</v>
      </c>
      <c r="B1798" s="21" t="s">
        <v>0</v>
      </c>
      <c r="C1798" s="21" t="s">
        <v>0</v>
      </c>
      <c r="D1798" s="21" t="s">
        <v>2674</v>
      </c>
      <c r="E1798" s="1" t="s">
        <v>2192</v>
      </c>
      <c r="F1798" s="21" t="s">
        <v>1863</v>
      </c>
      <c r="G1798" s="14">
        <v>1</v>
      </c>
      <c r="H1798" s="14">
        <v>0</v>
      </c>
      <c r="I1798" s="25">
        <v>208</v>
      </c>
      <c r="J1798" s="23">
        <f>VLOOKUP(I1798,episodes!$A$1:$B$81,2,FALSE)</f>
        <v>38</v>
      </c>
      <c r="K1798" s="16" t="str">
        <f>VLOOKUP(I1798,episodes!$A$1:$E$81,5,FALSE)</f>
        <v>I, Mudd</v>
      </c>
      <c r="L1798" s="16">
        <f>VLOOKUP(I1798,episodes!$A$1:$D$81,3,FALSE)</f>
        <v>2</v>
      </c>
      <c r="M1798" s="16">
        <f>VLOOKUP(I1798,episodes!$A$1:$D$81,4,FALSE)</f>
        <v>8</v>
      </c>
      <c r="N1798" s="14"/>
      <c r="O1798" s="14">
        <v>0</v>
      </c>
      <c r="P1798" s="24">
        <f>LEN(E1798)+LEN(K1798)</f>
        <v>131</v>
      </c>
      <c r="Q1798" s="24">
        <f>COUNTIFS(B:B,B1797)</f>
        <v>5</v>
      </c>
      <c r="R1798" s="24">
        <f>COUNTIFS(D:D,D1798)</f>
        <v>10</v>
      </c>
    </row>
    <row r="1799" spans="1:18" s="21" customFormat="1" x14ac:dyDescent="0.3">
      <c r="A1799" s="14">
        <v>2547</v>
      </c>
      <c r="B1799" s="21" t="s">
        <v>142</v>
      </c>
      <c r="C1799" s="21" t="s">
        <v>0</v>
      </c>
      <c r="D1799" s="21" t="s">
        <v>2674</v>
      </c>
      <c r="E1799" s="1" t="s">
        <v>884</v>
      </c>
      <c r="F1799" s="21" t="s">
        <v>1863</v>
      </c>
      <c r="G1799" s="14">
        <v>1</v>
      </c>
      <c r="H1799" s="14">
        <v>0</v>
      </c>
      <c r="I1799" s="22">
        <v>304</v>
      </c>
      <c r="J1799" s="23">
        <f>VLOOKUP(I1799,episodes!$A$1:$B$81,2,FALSE)</f>
        <v>60</v>
      </c>
      <c r="K1799" s="16" t="str">
        <f>VLOOKUP(I1799,episodes!$A$1:$E$81,5,FALSE)</f>
        <v>And the Children Shall Lead</v>
      </c>
      <c r="L1799" s="16">
        <f>VLOOKUP(I1799,episodes!$A$1:$D$81,3,FALSE)</f>
        <v>3</v>
      </c>
      <c r="M1799" s="16">
        <f>VLOOKUP(I1799,episodes!$A$1:$D$81,4,FALSE)</f>
        <v>4</v>
      </c>
      <c r="N1799" s="14"/>
      <c r="O1799" s="14">
        <v>0</v>
      </c>
      <c r="P1799" s="24">
        <f>LEN(E1799)+LEN(K1799)</f>
        <v>81</v>
      </c>
      <c r="Q1799" s="24">
        <f>COUNTIFS(B:B,B1798)</f>
        <v>11</v>
      </c>
      <c r="R1799" s="24">
        <f>COUNTIFS(D:D,D1802)</f>
        <v>23</v>
      </c>
    </row>
    <row r="1800" spans="1:18" s="21" customFormat="1" x14ac:dyDescent="0.3">
      <c r="A1800" s="14">
        <v>2332</v>
      </c>
      <c r="B1800" s="21" t="s">
        <v>292</v>
      </c>
      <c r="C1800" s="21" t="s">
        <v>0</v>
      </c>
      <c r="D1800" s="1" t="s">
        <v>2756</v>
      </c>
      <c r="E1800" s="1" t="s">
        <v>1089</v>
      </c>
      <c r="F1800" s="21" t="s">
        <v>2258</v>
      </c>
      <c r="G1800" s="14">
        <v>0</v>
      </c>
      <c r="H1800" s="14">
        <v>2</v>
      </c>
      <c r="I1800" s="22">
        <v>104</v>
      </c>
      <c r="J1800" s="23">
        <f>VLOOKUP(I1800,episodes!$A$1:$B$76,2,FALSE)</f>
        <v>5</v>
      </c>
      <c r="K1800" s="16" t="str">
        <f>VLOOKUP(I1800,episodes!$A$1:$E$81,5,FALSE)</f>
        <v>The Naked Time</v>
      </c>
      <c r="L1800" s="16">
        <f>VLOOKUP(I1800,episodes!$A$1:$D$81,3,FALSE)</f>
        <v>1</v>
      </c>
      <c r="M1800" s="16">
        <f>VLOOKUP(I1800,episodes!$A$1:$D$81,4,FALSE)</f>
        <v>4</v>
      </c>
      <c r="N1800" s="14"/>
      <c r="O1800" s="14">
        <v>0</v>
      </c>
      <c r="P1800" s="24">
        <f>LEN(E1800)+LEN(K1800)</f>
        <v>124</v>
      </c>
      <c r="Q1800" s="24"/>
      <c r="R1800" s="24">
        <f>COUNTIFS(D:D,D1800)</f>
        <v>1</v>
      </c>
    </row>
    <row r="1801" spans="1:18" s="21" customFormat="1" x14ac:dyDescent="0.3">
      <c r="A1801" s="14">
        <v>2916</v>
      </c>
      <c r="B1801" s="21" t="s">
        <v>2662</v>
      </c>
      <c r="C1801" s="21" t="s">
        <v>0</v>
      </c>
      <c r="D1801" s="1" t="s">
        <v>2676</v>
      </c>
      <c r="E1801" s="1" t="s">
        <v>2663</v>
      </c>
      <c r="F1801" s="21" t="s">
        <v>2371</v>
      </c>
      <c r="G1801" s="14">
        <v>0</v>
      </c>
      <c r="H1801" s="14">
        <v>0</v>
      </c>
      <c r="I1801" s="25">
        <v>120</v>
      </c>
      <c r="J1801" s="23">
        <f>VLOOKUP(I1801,episodes!$A$1:$B$76,2,FALSE)</f>
        <v>21</v>
      </c>
      <c r="K1801" s="16" t="str">
        <f>VLOOKUP(I1801,episodes!$A$1:$E$81,5,FALSE)</f>
        <v>Court Martial</v>
      </c>
      <c r="L1801" s="16">
        <f>VLOOKUP(I1801,episodes!$A$1:$D$81,3,FALSE)</f>
        <v>1</v>
      </c>
      <c r="M1801" s="16">
        <f>VLOOKUP(I1801,episodes!$A$1:$D$81,4,FALSE)</f>
        <v>20</v>
      </c>
      <c r="N1801" s="14"/>
      <c r="O1801" s="14">
        <v>0</v>
      </c>
      <c r="P1801" s="24">
        <f>LEN(E1801)+LEN(K1801)</f>
        <v>74</v>
      </c>
      <c r="Q1801" s="24"/>
      <c r="R1801" s="24"/>
    </row>
    <row r="1802" spans="1:18" s="21" customFormat="1" x14ac:dyDescent="0.3">
      <c r="A1802" s="14">
        <v>372</v>
      </c>
      <c r="B1802" s="21" t="s">
        <v>0</v>
      </c>
      <c r="C1802" s="21" t="s">
        <v>0</v>
      </c>
      <c r="D1802" s="1" t="s">
        <v>2676</v>
      </c>
      <c r="E1802" s="1" t="s">
        <v>1646</v>
      </c>
      <c r="F1802" s="21" t="s">
        <v>2224</v>
      </c>
      <c r="G1802" s="14">
        <v>0</v>
      </c>
      <c r="H1802" s="14">
        <v>0</v>
      </c>
      <c r="I1802" s="14">
        <v>209</v>
      </c>
      <c r="J1802" s="23">
        <f>VLOOKUP(I1802,episodes!$A$1:$B$81,2,FALSE)</f>
        <v>39</v>
      </c>
      <c r="K1802" s="16" t="str">
        <f>VLOOKUP(I1802,episodes!$A$1:$E$81,5,FALSE)</f>
        <v>Metamorphosis</v>
      </c>
      <c r="L1802" s="16">
        <f>VLOOKUP(I1802,episodes!$A$1:$D$81,3,FALSE)</f>
        <v>2</v>
      </c>
      <c r="M1802" s="16">
        <f>VLOOKUP(I1802,episodes!$A$1:$D$81,4,FALSE)</f>
        <v>9</v>
      </c>
      <c r="N1802" s="14"/>
      <c r="O1802" s="14">
        <v>0</v>
      </c>
      <c r="P1802" s="24">
        <f>LEN(E1802)+LEN(K1802)</f>
        <v>117</v>
      </c>
      <c r="Q1802" s="24">
        <f>COUNTIFS(B:B,B1801)</f>
        <v>1</v>
      </c>
      <c r="R1802" s="24">
        <f>COUNTIFS(D:D,D1802)</f>
        <v>23</v>
      </c>
    </row>
    <row r="1803" spans="1:18" s="21" customFormat="1" x14ac:dyDescent="0.3">
      <c r="A1803" s="14">
        <v>1787</v>
      </c>
      <c r="B1803" s="21" t="s">
        <v>296</v>
      </c>
      <c r="C1803" s="21" t="s">
        <v>0</v>
      </c>
      <c r="D1803" s="1" t="s">
        <v>2676</v>
      </c>
      <c r="E1803" s="1" t="s">
        <v>1732</v>
      </c>
      <c r="F1803" s="21" t="s">
        <v>2290</v>
      </c>
      <c r="G1803" s="14">
        <v>0</v>
      </c>
      <c r="H1803" s="14">
        <v>0</v>
      </c>
      <c r="I1803" s="25">
        <v>109</v>
      </c>
      <c r="J1803" s="23">
        <f>VLOOKUP(I1803,episodes!$A$1:$B$76,2,FALSE)</f>
        <v>10</v>
      </c>
      <c r="K1803" s="16" t="str">
        <f>VLOOKUP(I1803,episodes!$A$1:$E$81,5,FALSE)</f>
        <v>Dagger of the Mind</v>
      </c>
      <c r="L1803" s="16">
        <f>VLOOKUP(I1803,episodes!$A$1:$D$81,3,FALSE)</f>
        <v>1</v>
      </c>
      <c r="M1803" s="16">
        <f>VLOOKUP(I1803,episodes!$A$1:$D$81,4,FALSE)</f>
        <v>9</v>
      </c>
      <c r="N1803" s="14"/>
      <c r="O1803" s="14">
        <v>0</v>
      </c>
      <c r="P1803" s="24">
        <f>LEN(E1803)+LEN(K1803)</f>
        <v>108</v>
      </c>
      <c r="Q1803" s="24">
        <f>COUNTIFS(B:B,B1802)</f>
        <v>11</v>
      </c>
      <c r="R1803" s="24">
        <f>COUNTIFS(D:D,D1803)</f>
        <v>23</v>
      </c>
    </row>
    <row r="1804" spans="1:18" s="21" customFormat="1" x14ac:dyDescent="0.3">
      <c r="A1804" s="14">
        <v>2917</v>
      </c>
      <c r="B1804" s="21" t="s">
        <v>2665</v>
      </c>
      <c r="C1804" s="21" t="s">
        <v>0</v>
      </c>
      <c r="D1804" s="1" t="s">
        <v>2676</v>
      </c>
      <c r="E1804" s="1" t="s">
        <v>2666</v>
      </c>
      <c r="F1804" s="21" t="s">
        <v>2368</v>
      </c>
      <c r="G1804" s="14">
        <v>0</v>
      </c>
      <c r="H1804" s="14">
        <v>0</v>
      </c>
      <c r="I1804" s="25">
        <v>128</v>
      </c>
      <c r="J1804" s="23">
        <f>VLOOKUP(I1804,episodes!$A$1:$B$76,2,FALSE)</f>
        <v>29</v>
      </c>
      <c r="K1804" s="16" t="str">
        <f>VLOOKUP(I1804,episodes!$A$1:$E$81,5,FALSE)</f>
        <v>The City on the Edge of Forever</v>
      </c>
      <c r="L1804" s="16">
        <f>VLOOKUP(I1804,episodes!$A$1:$D$81,3,FALSE)</f>
        <v>1</v>
      </c>
      <c r="M1804" s="16">
        <f>VLOOKUP(I1804,episodes!$A$1:$D$81,4,FALSE)</f>
        <v>28</v>
      </c>
      <c r="N1804" s="14"/>
      <c r="O1804" s="14">
        <v>0</v>
      </c>
      <c r="P1804" s="24">
        <f>LEN(E1804)+LEN(K1804)</f>
        <v>136</v>
      </c>
      <c r="Q1804" s="24"/>
      <c r="R1804" s="24"/>
    </row>
    <row r="1805" spans="1:18" s="21" customFormat="1" x14ac:dyDescent="0.3">
      <c r="A1805" s="14">
        <v>1774</v>
      </c>
      <c r="B1805" s="21" t="s">
        <v>282</v>
      </c>
      <c r="C1805" s="21" t="s">
        <v>0</v>
      </c>
      <c r="D1805" s="1" t="s">
        <v>2676</v>
      </c>
      <c r="E1805" s="1" t="s">
        <v>460</v>
      </c>
      <c r="F1805" s="21" t="s">
        <v>2324</v>
      </c>
      <c r="G1805" s="14">
        <v>0</v>
      </c>
      <c r="H1805" s="14">
        <v>0</v>
      </c>
      <c r="I1805" s="25">
        <v>106</v>
      </c>
      <c r="J1805" s="23">
        <f>VLOOKUP(I1805,episodes!$A$1:$B$76,2,FALSE)</f>
        <v>7</v>
      </c>
      <c r="K1805" s="16" t="str">
        <f>VLOOKUP(I1805,episodes!$A$1:$E$81,5,FALSE)</f>
        <v>Mudd's Women</v>
      </c>
      <c r="L1805" s="16">
        <f>VLOOKUP(I1805,episodes!$A$1:$D$81,3,FALSE)</f>
        <v>1</v>
      </c>
      <c r="M1805" s="16">
        <f>VLOOKUP(I1805,episodes!$A$1:$D$81,4,FALSE)</f>
        <v>6</v>
      </c>
      <c r="N1805" s="14"/>
      <c r="O1805" s="14">
        <v>0</v>
      </c>
      <c r="P1805" s="24">
        <f>LEN(E1805)+LEN(K1805)</f>
        <v>108</v>
      </c>
      <c r="Q1805" s="24">
        <f>COUNTIFS(B:B,B1804)</f>
        <v>1</v>
      </c>
      <c r="R1805" s="24">
        <f>COUNTIFS(D:D,D1805)</f>
        <v>23</v>
      </c>
    </row>
    <row r="1806" spans="1:18" s="21" customFormat="1" x14ac:dyDescent="0.3">
      <c r="A1806" s="14">
        <v>175</v>
      </c>
      <c r="B1806" s="21" t="s">
        <v>310</v>
      </c>
      <c r="C1806" s="21" t="s">
        <v>0</v>
      </c>
      <c r="D1806" s="1" t="s">
        <v>2676</v>
      </c>
      <c r="E1806" s="1" t="s">
        <v>1570</v>
      </c>
      <c r="F1806" s="21" t="s">
        <v>2255</v>
      </c>
      <c r="G1806" s="14">
        <v>0</v>
      </c>
      <c r="H1806" s="14">
        <v>0</v>
      </c>
      <c r="I1806" s="25">
        <v>106</v>
      </c>
      <c r="J1806" s="23">
        <f>VLOOKUP(I1806,episodes!$A$1:$B$76,2,FALSE)</f>
        <v>7</v>
      </c>
      <c r="K1806" s="16" t="str">
        <f>VLOOKUP(I1806,episodes!$A$1:$E$81,5,FALSE)</f>
        <v>Mudd's Women</v>
      </c>
      <c r="L1806" s="16">
        <f>VLOOKUP(I1806,episodes!$A$1:$D$81,3,FALSE)</f>
        <v>1</v>
      </c>
      <c r="M1806" s="16">
        <f>VLOOKUP(I1806,episodes!$A$1:$D$81,4,FALSE)</f>
        <v>6</v>
      </c>
      <c r="N1806" s="14"/>
      <c r="O1806" s="14">
        <v>0</v>
      </c>
      <c r="P1806" s="24">
        <f>LEN(E1806)+LEN(K1806)</f>
        <v>109</v>
      </c>
      <c r="Q1806" s="24">
        <f>COUNTIFS(B:B,B1805)</f>
        <v>1</v>
      </c>
      <c r="R1806" s="24">
        <f>COUNTIFS(D:D,D1806)</f>
        <v>23</v>
      </c>
    </row>
    <row r="1807" spans="1:18" s="21" customFormat="1" x14ac:dyDescent="0.3">
      <c r="A1807" s="14">
        <v>1173</v>
      </c>
      <c r="B1807" s="21" t="s">
        <v>310</v>
      </c>
      <c r="C1807" s="21" t="s">
        <v>0</v>
      </c>
      <c r="D1807" s="1" t="s">
        <v>2676</v>
      </c>
      <c r="E1807" s="1" t="s">
        <v>380</v>
      </c>
      <c r="F1807" s="21" t="s">
        <v>4</v>
      </c>
      <c r="G1807" s="14">
        <v>1</v>
      </c>
      <c r="H1807" s="14">
        <v>0</v>
      </c>
      <c r="I1807" s="25">
        <v>105</v>
      </c>
      <c r="J1807" s="23">
        <f>VLOOKUP(I1807,episodes!$A$1:$B$76,2,FALSE)</f>
        <v>6</v>
      </c>
      <c r="K1807" s="16" t="str">
        <f>VLOOKUP(I1807,episodes!$A$1:$E$81,5,FALSE)</f>
        <v>The Enemy Within</v>
      </c>
      <c r="L1807" s="16">
        <f>VLOOKUP(I1807,episodes!$A$1:$D$81,3,FALSE)</f>
        <v>1</v>
      </c>
      <c r="M1807" s="16">
        <f>VLOOKUP(I1807,episodes!$A$1:$D$81,4,FALSE)</f>
        <v>5</v>
      </c>
      <c r="N1807" s="14"/>
      <c r="O1807" s="14">
        <v>0</v>
      </c>
      <c r="P1807" s="24">
        <f>LEN(E1807)+LEN(K1807)</f>
        <v>74</v>
      </c>
      <c r="Q1807" s="24">
        <f>COUNTIFS(B:B,B1805)</f>
        <v>1</v>
      </c>
      <c r="R1807" s="24">
        <f>COUNTIFS(D:D,D1807)</f>
        <v>23</v>
      </c>
    </row>
    <row r="1808" spans="1:18" s="21" customFormat="1" x14ac:dyDescent="0.3">
      <c r="A1808" s="14">
        <v>1773</v>
      </c>
      <c r="B1808" s="21" t="s">
        <v>288</v>
      </c>
      <c r="C1808" s="21" t="s">
        <v>0</v>
      </c>
      <c r="D1808" s="1" t="s">
        <v>2676</v>
      </c>
      <c r="E1808" s="1" t="s">
        <v>1101</v>
      </c>
      <c r="F1808" s="21" t="s">
        <v>2320</v>
      </c>
      <c r="G1808" s="14">
        <v>0</v>
      </c>
      <c r="H1808" s="14">
        <v>0</v>
      </c>
      <c r="I1808" s="25">
        <v>106</v>
      </c>
      <c r="J1808" s="23">
        <f>VLOOKUP(I1808,episodes!$A$1:$B$76,2,FALSE)</f>
        <v>7</v>
      </c>
      <c r="K1808" s="16" t="str">
        <f>VLOOKUP(I1808,episodes!$A$1:$E$81,5,FALSE)</f>
        <v>Mudd's Women</v>
      </c>
      <c r="L1808" s="16">
        <f>VLOOKUP(I1808,episodes!$A$1:$D$81,3,FALSE)</f>
        <v>1</v>
      </c>
      <c r="M1808" s="16">
        <f>VLOOKUP(I1808,episodes!$A$1:$D$81,4,FALSE)</f>
        <v>6</v>
      </c>
      <c r="N1808" s="14"/>
      <c r="O1808" s="14">
        <v>0</v>
      </c>
      <c r="P1808" s="24">
        <f>LEN(E1808)+LEN(K1808)</f>
        <v>130</v>
      </c>
      <c r="Q1808" s="24">
        <f>COUNTIFS(B:B,B1807)</f>
        <v>9</v>
      </c>
      <c r="R1808" s="24">
        <f>COUNTIFS(D:D,D1808)</f>
        <v>23</v>
      </c>
    </row>
    <row r="1809" spans="1:18" s="21" customFormat="1" x14ac:dyDescent="0.3">
      <c r="A1809" s="14">
        <v>191</v>
      </c>
      <c r="B1809" s="21" t="s">
        <v>309</v>
      </c>
      <c r="C1809" s="21" t="s">
        <v>0</v>
      </c>
      <c r="D1809" s="1" t="s">
        <v>2676</v>
      </c>
      <c r="E1809" s="1" t="s">
        <v>1569</v>
      </c>
      <c r="F1809" s="21" t="s">
        <v>2324</v>
      </c>
      <c r="G1809" s="14">
        <v>0</v>
      </c>
      <c r="H1809" s="14">
        <v>0</v>
      </c>
      <c r="I1809" s="25">
        <v>106</v>
      </c>
      <c r="J1809" s="23">
        <f>VLOOKUP(I1809,episodes!$A$1:$B$76,2,FALSE)</f>
        <v>7</v>
      </c>
      <c r="K1809" s="16" t="str">
        <f>VLOOKUP(I1809,episodes!$A$1:$E$81,5,FALSE)</f>
        <v>Mudd's Women</v>
      </c>
      <c r="L1809" s="16">
        <f>VLOOKUP(I1809,episodes!$A$1:$D$81,3,FALSE)</f>
        <v>1</v>
      </c>
      <c r="M1809" s="16">
        <f>VLOOKUP(I1809,episodes!$A$1:$D$81,4,FALSE)</f>
        <v>6</v>
      </c>
      <c r="N1809" s="14"/>
      <c r="O1809" s="14">
        <v>0</v>
      </c>
      <c r="P1809" s="24">
        <f>LEN(E1809)+LEN(K1809)</f>
        <v>171</v>
      </c>
      <c r="Q1809" s="24">
        <f>COUNTIFS(B:B,B1808)</f>
        <v>1</v>
      </c>
      <c r="R1809" s="24">
        <f>COUNTIFS(D:D,D1809)</f>
        <v>23</v>
      </c>
    </row>
    <row r="1810" spans="1:18" s="21" customFormat="1" x14ac:dyDescent="0.3">
      <c r="A1810" s="14">
        <v>588</v>
      </c>
      <c r="B1810" s="21" t="s">
        <v>310</v>
      </c>
      <c r="C1810" s="21" t="s">
        <v>0</v>
      </c>
      <c r="D1810" s="1" t="s">
        <v>2676</v>
      </c>
      <c r="E1810" s="1" t="s">
        <v>1500</v>
      </c>
      <c r="F1810" s="21" t="s">
        <v>4</v>
      </c>
      <c r="G1810" s="14">
        <v>1</v>
      </c>
      <c r="H1810" s="14">
        <v>0</v>
      </c>
      <c r="I1810" s="25">
        <v>104</v>
      </c>
      <c r="J1810" s="23">
        <f>VLOOKUP(I1810,episodes!$A$1:$B$76,2,FALSE)</f>
        <v>5</v>
      </c>
      <c r="K1810" s="16" t="str">
        <f>VLOOKUP(I1810,episodes!$A$1:$E$81,5,FALSE)</f>
        <v>The Naked Time</v>
      </c>
      <c r="L1810" s="16">
        <f>VLOOKUP(I1810,episodes!$A$1:$D$81,3,FALSE)</f>
        <v>1</v>
      </c>
      <c r="M1810" s="16">
        <f>VLOOKUP(I1810,episodes!$A$1:$D$81,4,FALSE)</f>
        <v>4</v>
      </c>
      <c r="N1810" s="14"/>
      <c r="O1810" s="14">
        <v>0</v>
      </c>
      <c r="P1810" s="24">
        <f>LEN(E1810)+LEN(K1810)</f>
        <v>149</v>
      </c>
      <c r="Q1810" s="24">
        <f>COUNTIFS(B:B,B1809)</f>
        <v>1</v>
      </c>
      <c r="R1810" s="24">
        <f>COUNTIFS(D:D,D1810)</f>
        <v>23</v>
      </c>
    </row>
    <row r="1811" spans="1:18" s="21" customFormat="1" x14ac:dyDescent="0.3">
      <c r="A1811" s="14">
        <v>720</v>
      </c>
      <c r="B1811" s="21" t="s">
        <v>310</v>
      </c>
      <c r="C1811" s="21" t="s">
        <v>0</v>
      </c>
      <c r="D1811" s="1" t="s">
        <v>2676</v>
      </c>
      <c r="E1811" s="1" t="s">
        <v>1808</v>
      </c>
      <c r="F1811" s="21" t="s">
        <v>4</v>
      </c>
      <c r="G1811" s="14">
        <v>1</v>
      </c>
      <c r="H1811" s="14">
        <v>0</v>
      </c>
      <c r="I1811" s="25">
        <v>115</v>
      </c>
      <c r="J1811" s="23">
        <f>VLOOKUP(I1811,episodes!$A$1:$B$76,2,FALSE)</f>
        <v>16</v>
      </c>
      <c r="K1811" s="16" t="str">
        <f>VLOOKUP(I1811,episodes!$A$1:$E$81,5,FALSE)</f>
        <v>Shore Leave</v>
      </c>
      <c r="L1811" s="16">
        <f>VLOOKUP(I1811,episodes!$A$1:$D$81,3,FALSE)</f>
        <v>1</v>
      </c>
      <c r="M1811" s="16">
        <f>VLOOKUP(I1811,episodes!$A$1:$D$81,4,FALSE)</f>
        <v>15</v>
      </c>
      <c r="N1811" s="14"/>
      <c r="O1811" s="14">
        <v>0</v>
      </c>
      <c r="P1811" s="24">
        <f>LEN(E1811)+LEN(K1811)</f>
        <v>86</v>
      </c>
      <c r="Q1811" s="24">
        <f>COUNTIFS(B:B,B1810)</f>
        <v>9</v>
      </c>
      <c r="R1811" s="24">
        <f>COUNTIFS(D:D,D1811)</f>
        <v>23</v>
      </c>
    </row>
    <row r="1812" spans="1:18" s="21" customFormat="1" x14ac:dyDescent="0.3">
      <c r="A1812" s="14">
        <v>1156</v>
      </c>
      <c r="B1812" s="21" t="s">
        <v>310</v>
      </c>
      <c r="C1812" s="21" t="s">
        <v>0</v>
      </c>
      <c r="D1812" s="1" t="s">
        <v>2676</v>
      </c>
      <c r="E1812" s="1" t="s">
        <v>2108</v>
      </c>
      <c r="F1812" s="21" t="s">
        <v>1862</v>
      </c>
      <c r="G1812" s="14">
        <v>0</v>
      </c>
      <c r="H1812" s="14">
        <v>2</v>
      </c>
      <c r="I1812" s="25">
        <v>102</v>
      </c>
      <c r="J1812" s="23">
        <f>VLOOKUP(I1812,episodes!$A$1:$B$76,2,FALSE)</f>
        <v>3</v>
      </c>
      <c r="K1812" s="16" t="str">
        <f>VLOOKUP(I1812,episodes!$A$1:$E$81,5,FALSE)</f>
        <v>Charlie X</v>
      </c>
      <c r="L1812" s="16">
        <f>VLOOKUP(I1812,episodes!$A$1:$D$81,3,FALSE)</f>
        <v>1</v>
      </c>
      <c r="M1812" s="16">
        <f>VLOOKUP(I1812,episodes!$A$1:$D$81,4,FALSE)</f>
        <v>2</v>
      </c>
      <c r="N1812" s="14"/>
      <c r="O1812" s="14">
        <v>0</v>
      </c>
      <c r="P1812" s="24">
        <f>LEN(E1812)+LEN(K1812)</f>
        <v>245</v>
      </c>
      <c r="Q1812" s="24"/>
      <c r="R1812" s="24"/>
    </row>
    <row r="1813" spans="1:18" s="21" customFormat="1" x14ac:dyDescent="0.3">
      <c r="A1813" s="14">
        <v>2468</v>
      </c>
      <c r="B1813" s="21" t="s">
        <v>0</v>
      </c>
      <c r="C1813" s="21" t="s">
        <v>0</v>
      </c>
      <c r="D1813" s="1" t="s">
        <v>2676</v>
      </c>
      <c r="E1813" s="1" t="s">
        <v>2183</v>
      </c>
      <c r="F1813" s="21" t="s">
        <v>2316</v>
      </c>
      <c r="G1813" s="14">
        <v>0</v>
      </c>
      <c r="H1813" s="14">
        <v>0</v>
      </c>
      <c r="I1813" s="22">
        <v>207</v>
      </c>
      <c r="J1813" s="23">
        <f>VLOOKUP(I1813,episodes!$A$1:$B$81,2,FALSE)</f>
        <v>37</v>
      </c>
      <c r="K1813" s="16" t="str">
        <f>VLOOKUP(I1813,episodes!$A$1:$E$81,5,FALSE)</f>
        <v>Catspaw</v>
      </c>
      <c r="L1813" s="16">
        <f>VLOOKUP(I1813,episodes!$A$1:$D$81,3,FALSE)</f>
        <v>2</v>
      </c>
      <c r="M1813" s="16">
        <f>VLOOKUP(I1813,episodes!$A$1:$D$81,4,FALSE)</f>
        <v>7</v>
      </c>
      <c r="N1813" s="14"/>
      <c r="O1813" s="14">
        <v>0</v>
      </c>
      <c r="P1813" s="24">
        <f>LEN(E1813)+LEN(K1813)</f>
        <v>143</v>
      </c>
      <c r="Q1813" s="24">
        <f>COUNTIFS(B:B,B1812)</f>
        <v>9</v>
      </c>
      <c r="R1813" s="24">
        <f>COUNTIFS(D:D,D1813)</f>
        <v>23</v>
      </c>
    </row>
    <row r="1814" spans="1:18" s="21" customFormat="1" x14ac:dyDescent="0.3">
      <c r="A1814" s="14">
        <v>1807</v>
      </c>
      <c r="B1814" s="21" t="s">
        <v>296</v>
      </c>
      <c r="C1814" s="21" t="s">
        <v>0</v>
      </c>
      <c r="D1814" s="1" t="s">
        <v>2676</v>
      </c>
      <c r="E1814" s="1" t="s">
        <v>2664</v>
      </c>
      <c r="F1814" s="21" t="s">
        <v>2233</v>
      </c>
      <c r="G1814" s="14">
        <v>0</v>
      </c>
      <c r="H1814" s="14">
        <v>0</v>
      </c>
      <c r="I1814" s="25">
        <v>202</v>
      </c>
      <c r="J1814" s="23">
        <f>VLOOKUP(I1814,episodes!$A$1:$B$76,2,FALSE)</f>
        <v>32</v>
      </c>
      <c r="K1814" s="16" t="str">
        <f>VLOOKUP(I1814,episodes!$A$1:$E$81,5,FALSE)</f>
        <v>Who Mourns for Adonais?</v>
      </c>
      <c r="L1814" s="16">
        <f>VLOOKUP(I1814,episodes!$A$1:$D$81,3,FALSE)</f>
        <v>2</v>
      </c>
      <c r="M1814" s="16">
        <f>VLOOKUP(I1814,episodes!$A$1:$D$81,4,FALSE)</f>
        <v>2</v>
      </c>
      <c r="N1814" s="14"/>
      <c r="O1814" s="14">
        <v>0</v>
      </c>
      <c r="P1814" s="24">
        <f>LEN(E1814)+LEN(K1814)</f>
        <v>58</v>
      </c>
      <c r="Q1814" s="24">
        <f>COUNTIFS(B:B,B1813)</f>
        <v>11</v>
      </c>
      <c r="R1814" s="24">
        <f>COUNTIFS(D:D,D1814)</f>
        <v>23</v>
      </c>
    </row>
    <row r="1815" spans="1:18" s="21" customFormat="1" x14ac:dyDescent="0.3">
      <c r="A1815" s="14">
        <v>1715</v>
      </c>
      <c r="B1815" s="21" t="s">
        <v>281</v>
      </c>
      <c r="C1815" s="21" t="s">
        <v>0</v>
      </c>
      <c r="D1815" s="1" t="s">
        <v>2676</v>
      </c>
      <c r="E1815" s="1" t="s">
        <v>2081</v>
      </c>
      <c r="F1815" s="21" t="s">
        <v>1865</v>
      </c>
      <c r="G1815" s="14">
        <v>0</v>
      </c>
      <c r="H1815" s="14">
        <v>0</v>
      </c>
      <c r="I1815" s="14">
        <v>122</v>
      </c>
      <c r="J1815" s="23">
        <f>VLOOKUP(I1815,episodes!$A$1:$B$76,2,FALSE)</f>
        <v>23</v>
      </c>
      <c r="K1815" s="16" t="str">
        <f>VLOOKUP(I1815,episodes!$A$1:$E$81,5,FALSE)</f>
        <v>Space Seed</v>
      </c>
      <c r="L1815" s="16">
        <f>VLOOKUP(I1815,episodes!$A$1:$D$81,3,FALSE)</f>
        <v>1</v>
      </c>
      <c r="M1815" s="16">
        <f>VLOOKUP(I1815,episodes!$A$1:$D$81,4,FALSE)</f>
        <v>22</v>
      </c>
      <c r="N1815" s="14"/>
      <c r="O1815" s="14">
        <v>0</v>
      </c>
      <c r="P1815" s="24">
        <f>LEN(E1815)+LEN(K1815)</f>
        <v>140</v>
      </c>
      <c r="Q1815" s="24">
        <f>COUNTIFS(B:B,B1814)</f>
        <v>3</v>
      </c>
      <c r="R1815" s="24">
        <f>COUNTIFS(D:D,D1815)</f>
        <v>23</v>
      </c>
    </row>
    <row r="1816" spans="1:18" s="21" customFormat="1" x14ac:dyDescent="0.3">
      <c r="A1816" s="14">
        <v>1717</v>
      </c>
      <c r="B1816" s="21" t="s">
        <v>310</v>
      </c>
      <c r="C1816" s="21" t="s">
        <v>0</v>
      </c>
      <c r="D1816" s="1" t="s">
        <v>2676</v>
      </c>
      <c r="E1816" s="1" t="s">
        <v>2107</v>
      </c>
      <c r="F1816" s="21" t="s">
        <v>1865</v>
      </c>
      <c r="G1816" s="14">
        <v>0</v>
      </c>
      <c r="H1816" s="14">
        <v>0</v>
      </c>
      <c r="I1816" s="22">
        <v>122</v>
      </c>
      <c r="J1816" s="23">
        <f>VLOOKUP(I1816,episodes!$A$1:$B$76,2,FALSE)</f>
        <v>23</v>
      </c>
      <c r="K1816" s="16" t="str">
        <f>VLOOKUP(I1816,episodes!$A$1:$E$81,5,FALSE)</f>
        <v>Space Seed</v>
      </c>
      <c r="L1816" s="16">
        <f>VLOOKUP(I1816,episodes!$A$1:$D$81,3,FALSE)</f>
        <v>1</v>
      </c>
      <c r="M1816" s="16">
        <f>VLOOKUP(I1816,episodes!$A$1:$D$81,4,FALSE)</f>
        <v>22</v>
      </c>
      <c r="N1816" s="14"/>
      <c r="O1816" s="14">
        <v>0</v>
      </c>
      <c r="P1816" s="24">
        <f>LEN(E1816)+LEN(K1816)</f>
        <v>116</v>
      </c>
      <c r="Q1816" s="24">
        <f>COUNTIFS(B:B,B1815)</f>
        <v>1</v>
      </c>
      <c r="R1816" s="24">
        <f>COUNTIFS(D:D,D1816)</f>
        <v>23</v>
      </c>
    </row>
    <row r="1817" spans="1:18" s="21" customFormat="1" x14ac:dyDescent="0.3">
      <c r="A1817" s="14">
        <v>1716</v>
      </c>
      <c r="B1817" s="21" t="s">
        <v>296</v>
      </c>
      <c r="C1817" s="21" t="s">
        <v>0</v>
      </c>
      <c r="D1817" s="1" t="s">
        <v>2676</v>
      </c>
      <c r="E1817" s="1" t="s">
        <v>1582</v>
      </c>
      <c r="F1817" s="21" t="s">
        <v>1865</v>
      </c>
      <c r="G1817" s="14">
        <v>0</v>
      </c>
      <c r="H1817" s="14">
        <v>0</v>
      </c>
      <c r="I1817" s="25">
        <v>122</v>
      </c>
      <c r="J1817" s="23">
        <f>VLOOKUP(I1817,episodes!$A$1:$B$76,2,FALSE)</f>
        <v>23</v>
      </c>
      <c r="K1817" s="16" t="str">
        <f>VLOOKUP(I1817,episodes!$A$1:$E$81,5,FALSE)</f>
        <v>Space Seed</v>
      </c>
      <c r="L1817" s="16">
        <f>VLOOKUP(I1817,episodes!$A$1:$D$81,3,FALSE)</f>
        <v>1</v>
      </c>
      <c r="M1817" s="16">
        <f>VLOOKUP(I1817,episodes!$A$1:$D$81,4,FALSE)</f>
        <v>22</v>
      </c>
      <c r="N1817" s="14"/>
      <c r="O1817" s="14">
        <v>0</v>
      </c>
      <c r="P1817" s="24">
        <f>LEN(E1817)+LEN(K1817)</f>
        <v>102</v>
      </c>
      <c r="Q1817" s="24">
        <f>COUNTIFS(B:B,B1816)</f>
        <v>9</v>
      </c>
      <c r="R1817" s="24">
        <f>COUNTIFS(D:D,D1817)</f>
        <v>23</v>
      </c>
    </row>
    <row r="1818" spans="1:18" s="21" customFormat="1" x14ac:dyDescent="0.3">
      <c r="A1818" s="14">
        <v>1835</v>
      </c>
      <c r="B1818" s="21" t="s">
        <v>310</v>
      </c>
      <c r="C1818" s="21" t="s">
        <v>0</v>
      </c>
      <c r="D1818" s="1" t="s">
        <v>2676</v>
      </c>
      <c r="E1818" s="1" t="s">
        <v>1051</v>
      </c>
      <c r="F1818" s="21" t="s">
        <v>2231</v>
      </c>
      <c r="G1818" s="14">
        <v>0</v>
      </c>
      <c r="H1818" s="14">
        <v>0</v>
      </c>
      <c r="I1818" s="25">
        <v>100</v>
      </c>
      <c r="J1818" s="23">
        <f>VLOOKUP(I1818,episodes!$A$1:$B$76,2,FALSE)</f>
        <v>1</v>
      </c>
      <c r="K1818" s="16" t="str">
        <f>VLOOKUP(I1818,episodes!$A$1:$E$81,5,FALSE)</f>
        <v>The Cage</v>
      </c>
      <c r="L1818" s="16">
        <f>VLOOKUP(I1818,episodes!$A$1:$D$81,3,FALSE)</f>
        <v>1</v>
      </c>
      <c r="M1818" s="16">
        <f>VLOOKUP(I1818,episodes!$A$1:$D$81,4,FALSE)</f>
        <v>0</v>
      </c>
      <c r="N1818" s="14"/>
      <c r="O1818" s="14">
        <v>0</v>
      </c>
      <c r="P1818" s="24">
        <f>LEN(E1818)+LEN(K1818)</f>
        <v>64</v>
      </c>
      <c r="Q1818" s="24">
        <f>COUNTIFS(B:B,B1816)</f>
        <v>9</v>
      </c>
      <c r="R1818" s="24">
        <f>COUNTIFS(D:D,D1818)</f>
        <v>23</v>
      </c>
    </row>
    <row r="1819" spans="1:18" s="21" customFormat="1" x14ac:dyDescent="0.3">
      <c r="A1819" s="14">
        <v>1839</v>
      </c>
      <c r="B1819" s="21" t="s">
        <v>310</v>
      </c>
      <c r="C1819" s="21" t="s">
        <v>0</v>
      </c>
      <c r="D1819" s="1" t="s">
        <v>2676</v>
      </c>
      <c r="E1819" s="1" t="s">
        <v>1052</v>
      </c>
      <c r="F1819" s="21" t="s">
        <v>2255</v>
      </c>
      <c r="G1819" s="14">
        <v>0</v>
      </c>
      <c r="H1819" s="14">
        <v>0</v>
      </c>
      <c r="I1819" s="25">
        <v>100</v>
      </c>
      <c r="J1819" s="23">
        <f>VLOOKUP(I1819,episodes!$A$1:$B$76,2,FALSE)</f>
        <v>1</v>
      </c>
      <c r="K1819" s="16" t="str">
        <f>VLOOKUP(I1819,episodes!$A$1:$E$81,5,FALSE)</f>
        <v>The Cage</v>
      </c>
      <c r="L1819" s="16">
        <f>VLOOKUP(I1819,episodes!$A$1:$D$81,3,FALSE)</f>
        <v>1</v>
      </c>
      <c r="M1819" s="16">
        <f>VLOOKUP(I1819,episodes!$A$1:$D$81,4,FALSE)</f>
        <v>0</v>
      </c>
      <c r="N1819" s="14"/>
      <c r="O1819" s="14">
        <v>0</v>
      </c>
      <c r="P1819" s="24">
        <f>LEN(E1819)+LEN(K1819)</f>
        <v>105</v>
      </c>
      <c r="Q1819" s="24"/>
      <c r="R1819" s="24"/>
    </row>
    <row r="1820" spans="1:18" s="21" customFormat="1" x14ac:dyDescent="0.3">
      <c r="A1820" s="14">
        <v>1833</v>
      </c>
      <c r="B1820" s="21" t="s">
        <v>290</v>
      </c>
      <c r="C1820" s="21" t="s">
        <v>0</v>
      </c>
      <c r="D1820" s="1" t="s">
        <v>2676</v>
      </c>
      <c r="E1820" s="1" t="s">
        <v>1202</v>
      </c>
      <c r="F1820" s="21" t="s">
        <v>2231</v>
      </c>
      <c r="G1820" s="14">
        <v>0</v>
      </c>
      <c r="H1820" s="14">
        <v>0</v>
      </c>
      <c r="I1820" s="25">
        <v>100</v>
      </c>
      <c r="J1820" s="23">
        <f>VLOOKUP(I1820,episodes!$A$1:$B$76,2,FALSE)</f>
        <v>1</v>
      </c>
      <c r="K1820" s="16" t="str">
        <f>VLOOKUP(I1820,episodes!$A$1:$E$81,5,FALSE)</f>
        <v>The Cage</v>
      </c>
      <c r="L1820" s="16">
        <f>VLOOKUP(I1820,episodes!$A$1:$D$81,3,FALSE)</f>
        <v>1</v>
      </c>
      <c r="M1820" s="16">
        <f>VLOOKUP(I1820,episodes!$A$1:$D$81,4,FALSE)</f>
        <v>0</v>
      </c>
      <c r="N1820" s="14"/>
      <c r="O1820" s="14">
        <v>0</v>
      </c>
      <c r="P1820" s="24">
        <f>LEN(E1820)+LEN(K1820)</f>
        <v>74</v>
      </c>
      <c r="Q1820" s="24">
        <f>COUNTIFS(B:B,#REF!)</f>
        <v>0</v>
      </c>
      <c r="R1820" s="24">
        <f>COUNTIFS(D:D,D1820)</f>
        <v>23</v>
      </c>
    </row>
    <row r="1821" spans="1:18" s="21" customFormat="1" x14ac:dyDescent="0.3">
      <c r="A1821" s="14">
        <v>1779</v>
      </c>
      <c r="B1821" s="21" t="s">
        <v>310</v>
      </c>
      <c r="C1821" s="21" t="s">
        <v>0</v>
      </c>
      <c r="D1821" s="1" t="s">
        <v>2676</v>
      </c>
      <c r="E1821" s="1" t="s">
        <v>1571</v>
      </c>
      <c r="F1821" s="21" t="s">
        <v>2294</v>
      </c>
      <c r="G1821" s="14">
        <v>0</v>
      </c>
      <c r="H1821" s="14">
        <v>0</v>
      </c>
      <c r="I1821" s="25">
        <v>106</v>
      </c>
      <c r="J1821" s="23">
        <f>VLOOKUP(I1821,episodes!$A$1:$B$76,2,FALSE)</f>
        <v>7</v>
      </c>
      <c r="K1821" s="16" t="str">
        <f>VLOOKUP(I1821,episodes!$A$1:$E$81,5,FALSE)</f>
        <v>Mudd's Women</v>
      </c>
      <c r="L1821" s="16">
        <f>VLOOKUP(I1821,episodes!$A$1:$D$81,3,FALSE)</f>
        <v>1</v>
      </c>
      <c r="M1821" s="16">
        <f>VLOOKUP(I1821,episodes!$A$1:$D$81,4,FALSE)</f>
        <v>6</v>
      </c>
      <c r="N1821" s="14"/>
      <c r="O1821" s="14">
        <v>0</v>
      </c>
      <c r="P1821" s="24">
        <f>LEN(E1821)+LEN(K1821)</f>
        <v>81</v>
      </c>
      <c r="Q1821" s="24">
        <f>COUNTIFS(B:B,B1818)</f>
        <v>9</v>
      </c>
      <c r="R1821" s="24">
        <f>COUNTIFS(D:D,D1821)</f>
        <v>23</v>
      </c>
    </row>
    <row r="1822" spans="1:18" s="21" customFormat="1" x14ac:dyDescent="0.3">
      <c r="A1822" s="14">
        <v>2010</v>
      </c>
      <c r="B1822" s="21" t="s">
        <v>369</v>
      </c>
      <c r="C1822" s="21" t="s">
        <v>0</v>
      </c>
      <c r="D1822" s="1" t="s">
        <v>2676</v>
      </c>
      <c r="E1822" s="1" t="s">
        <v>894</v>
      </c>
      <c r="F1822" s="21" t="s">
        <v>6</v>
      </c>
      <c r="G1822" s="14">
        <v>0</v>
      </c>
      <c r="H1822" s="14">
        <v>1</v>
      </c>
      <c r="I1822" s="22">
        <v>202</v>
      </c>
      <c r="J1822" s="23">
        <f>VLOOKUP(I1822,episodes!$A$1:$B$76,2,FALSE)</f>
        <v>32</v>
      </c>
      <c r="K1822" s="16" t="str">
        <f>VLOOKUP(I1822,episodes!$A$1:$E$81,5,FALSE)</f>
        <v>Who Mourns for Adonais?</v>
      </c>
      <c r="L1822" s="16">
        <f>VLOOKUP(I1822,episodes!$A$1:$D$81,3,FALSE)</f>
        <v>2</v>
      </c>
      <c r="M1822" s="16">
        <f>VLOOKUP(I1822,episodes!$A$1:$D$81,4,FALSE)</f>
        <v>2</v>
      </c>
      <c r="N1822" s="14"/>
      <c r="O1822" s="14">
        <v>0</v>
      </c>
      <c r="P1822" s="24">
        <f>LEN(E1822)+LEN(K1822)</f>
        <v>88</v>
      </c>
      <c r="Q1822" s="24">
        <f>COUNTIFS(B:B,B1821)</f>
        <v>9</v>
      </c>
      <c r="R1822" s="24">
        <f>COUNTIFS(D:D,D1822)</f>
        <v>23</v>
      </c>
    </row>
    <row r="1823" spans="1:18" s="21" customFormat="1" x14ac:dyDescent="0.3">
      <c r="A1823" s="14">
        <v>2942</v>
      </c>
      <c r="B1823" s="21" t="s">
        <v>0</v>
      </c>
      <c r="C1823" s="21" t="s">
        <v>0</v>
      </c>
      <c r="D1823" s="1" t="s">
        <v>2676</v>
      </c>
      <c r="E1823" s="4" t="s">
        <v>2770</v>
      </c>
      <c r="G1823" s="14">
        <v>0</v>
      </c>
      <c r="H1823" s="14">
        <v>0</v>
      </c>
      <c r="I1823" s="7">
        <v>211</v>
      </c>
      <c r="J1823" s="23">
        <f>VLOOKUP(I1823,episodes!$A$1:$B$81,2,FALSE)</f>
        <v>41</v>
      </c>
      <c r="K1823" s="16" t="str">
        <f>VLOOKUP(I1823,episodes!$A$1:$E$81,5,FALSE)</f>
        <v>Friday's Child</v>
      </c>
      <c r="L1823" s="16">
        <f>VLOOKUP(I1823,episodes!$A$1:$D$81,3,FALSE)</f>
        <v>2</v>
      </c>
      <c r="M1823" s="16">
        <f>VLOOKUP(I1823,episodes!$A$1:$D$81,4,FALSE)</f>
        <v>11</v>
      </c>
      <c r="N1823" s="14"/>
      <c r="O1823" s="14">
        <v>0</v>
      </c>
      <c r="P1823" s="24">
        <f>LEN(E1823)+LEN(K1823)</f>
        <v>90</v>
      </c>
      <c r="Q1823" s="24"/>
      <c r="R1823" s="24"/>
    </row>
    <row r="1824" spans="1:18" s="21" customFormat="1" x14ac:dyDescent="0.3">
      <c r="A1824" s="14">
        <v>1775</v>
      </c>
      <c r="B1824" s="21" t="s">
        <v>61</v>
      </c>
      <c r="C1824" s="21" t="s">
        <v>0</v>
      </c>
      <c r="D1824" s="1" t="s">
        <v>2677</v>
      </c>
      <c r="E1824" s="1" t="s">
        <v>381</v>
      </c>
      <c r="F1824" s="21" t="s">
        <v>2324</v>
      </c>
      <c r="G1824" s="14">
        <v>0</v>
      </c>
      <c r="H1824" s="14">
        <v>0</v>
      </c>
      <c r="I1824" s="25">
        <v>106</v>
      </c>
      <c r="J1824" s="23">
        <f>VLOOKUP(I1824,episodes!$A$1:$B$76,2,FALSE)</f>
        <v>7</v>
      </c>
      <c r="K1824" s="16" t="str">
        <f>VLOOKUP(I1824,episodes!$A$1:$E$81,5,FALSE)</f>
        <v>Mudd's Women</v>
      </c>
      <c r="L1824" s="16">
        <f>VLOOKUP(I1824,episodes!$A$1:$D$81,3,FALSE)</f>
        <v>1</v>
      </c>
      <c r="M1824" s="16">
        <f>VLOOKUP(I1824,episodes!$A$1:$D$81,4,FALSE)</f>
        <v>6</v>
      </c>
      <c r="N1824" s="14"/>
      <c r="O1824" s="14">
        <v>0</v>
      </c>
      <c r="P1824" s="24">
        <f>LEN(E1824)+LEN(K1824)</f>
        <v>56</v>
      </c>
      <c r="Q1824" s="24">
        <f>COUNTIFS(B:B,B1823)</f>
        <v>11</v>
      </c>
      <c r="R1824" s="24">
        <f>COUNTIFS(D:D,D1824)</f>
        <v>6</v>
      </c>
    </row>
    <row r="1825" spans="1:19" s="21" customFormat="1" x14ac:dyDescent="0.3">
      <c r="A1825" s="14">
        <v>1670</v>
      </c>
      <c r="B1825" s="21" t="s">
        <v>61</v>
      </c>
      <c r="C1825" s="21" t="s">
        <v>0</v>
      </c>
      <c r="D1825" s="1" t="s">
        <v>2677</v>
      </c>
      <c r="E1825" s="1" t="s">
        <v>2604</v>
      </c>
      <c r="F1825" s="21" t="s">
        <v>8</v>
      </c>
      <c r="G1825" s="14">
        <v>0</v>
      </c>
      <c r="H1825" s="14">
        <v>1</v>
      </c>
      <c r="I1825" s="25">
        <v>115</v>
      </c>
      <c r="J1825" s="23">
        <f>VLOOKUP(I1825,episodes!$A$1:$B$76,2,FALSE)</f>
        <v>16</v>
      </c>
      <c r="K1825" s="16" t="str">
        <f>VLOOKUP(I1825,episodes!$A$1:$E$81,5,FALSE)</f>
        <v>Shore Leave</v>
      </c>
      <c r="L1825" s="16">
        <f>VLOOKUP(I1825,episodes!$A$1:$D$81,3,FALSE)</f>
        <v>1</v>
      </c>
      <c r="M1825" s="16">
        <f>VLOOKUP(I1825,episodes!$A$1:$D$81,4,FALSE)</f>
        <v>15</v>
      </c>
      <c r="N1825" s="14"/>
      <c r="O1825" s="14">
        <v>0</v>
      </c>
      <c r="P1825" s="24">
        <f>LEN(E1825)+LEN(K1825)</f>
        <v>55</v>
      </c>
      <c r="Q1825" s="24">
        <f>COUNTIFS(B:B,#REF!)</f>
        <v>0</v>
      </c>
      <c r="R1825" s="24">
        <f>COUNTIFS(D:D,D1825)</f>
        <v>6</v>
      </c>
    </row>
    <row r="1826" spans="1:19" s="21" customFormat="1" x14ac:dyDescent="0.3">
      <c r="A1826" s="14">
        <v>1776</v>
      </c>
      <c r="B1826" s="21" t="s">
        <v>61</v>
      </c>
      <c r="C1826" s="21" t="s">
        <v>0</v>
      </c>
      <c r="D1826" s="1" t="s">
        <v>2677</v>
      </c>
      <c r="E1826" s="1" t="s">
        <v>1559</v>
      </c>
      <c r="G1826" s="14">
        <v>0</v>
      </c>
      <c r="H1826" s="14">
        <v>0</v>
      </c>
      <c r="I1826" s="25">
        <v>106</v>
      </c>
      <c r="J1826" s="23">
        <f>VLOOKUP(I1826,episodes!$A$1:$B$76,2,FALSE)</f>
        <v>7</v>
      </c>
      <c r="K1826" s="16" t="str">
        <f>VLOOKUP(I1826,episodes!$A$1:$E$81,5,FALSE)</f>
        <v>Mudd's Women</v>
      </c>
      <c r="L1826" s="16">
        <f>VLOOKUP(I1826,episodes!$A$1:$D$81,3,FALSE)</f>
        <v>1</v>
      </c>
      <c r="M1826" s="16">
        <f>VLOOKUP(I1826,episodes!$A$1:$D$81,4,FALSE)</f>
        <v>6</v>
      </c>
      <c r="N1826" s="14"/>
      <c r="O1826" s="14">
        <v>0</v>
      </c>
      <c r="P1826" s="24">
        <f>LEN(E1826)+LEN(K1826)</f>
        <v>73</v>
      </c>
      <c r="Q1826" s="24">
        <f>COUNTIFS(B:B,B1825)</f>
        <v>6</v>
      </c>
      <c r="R1826" s="24">
        <f>COUNTIFS(D:D,D1826)</f>
        <v>6</v>
      </c>
    </row>
    <row r="1827" spans="1:19" s="21" customFormat="1" x14ac:dyDescent="0.3">
      <c r="A1827" s="14">
        <v>1352</v>
      </c>
      <c r="B1827" s="21" t="s">
        <v>61</v>
      </c>
      <c r="C1827" s="21" t="s">
        <v>0</v>
      </c>
      <c r="D1827" s="1" t="s">
        <v>2677</v>
      </c>
      <c r="E1827" s="1" t="s">
        <v>1627</v>
      </c>
      <c r="F1827" s="21" t="s">
        <v>4</v>
      </c>
      <c r="G1827" s="14">
        <v>1</v>
      </c>
      <c r="H1827" s="14">
        <v>0</v>
      </c>
      <c r="I1827" s="25">
        <v>207</v>
      </c>
      <c r="J1827" s="23">
        <f>VLOOKUP(I1827,episodes!$A$1:$B$76,2,FALSE)</f>
        <v>37</v>
      </c>
      <c r="K1827" s="16" t="str">
        <f>VLOOKUP(I1827,episodes!$A$1:$E$81,5,FALSE)</f>
        <v>Catspaw</v>
      </c>
      <c r="L1827" s="16">
        <f>VLOOKUP(I1827,episodes!$A$1:$D$81,3,FALSE)</f>
        <v>2</v>
      </c>
      <c r="M1827" s="16">
        <f>VLOOKUP(I1827,episodes!$A$1:$D$81,4,FALSE)</f>
        <v>7</v>
      </c>
      <c r="N1827" s="14"/>
      <c r="O1827" s="14">
        <v>0</v>
      </c>
      <c r="P1827" s="24">
        <f>LEN(E1827)+LEN(K1827)</f>
        <v>72</v>
      </c>
      <c r="Q1827" s="24">
        <f>COUNTIFS(B:B,B1825)</f>
        <v>6</v>
      </c>
      <c r="R1827" s="24">
        <f>COUNTIFS(D:D,D1827)</f>
        <v>6</v>
      </c>
    </row>
    <row r="1828" spans="1:19" s="21" customFormat="1" x14ac:dyDescent="0.3">
      <c r="A1828" s="14">
        <v>2498</v>
      </c>
      <c r="B1828" s="21" t="s">
        <v>61</v>
      </c>
      <c r="C1828" s="21" t="s">
        <v>0</v>
      </c>
      <c r="D1828" s="1" t="s">
        <v>2677</v>
      </c>
      <c r="E1828" s="1" t="s">
        <v>2099</v>
      </c>
      <c r="F1828" s="21" t="s">
        <v>2232</v>
      </c>
      <c r="G1828" s="14">
        <v>0</v>
      </c>
      <c r="H1828" s="14">
        <v>0</v>
      </c>
      <c r="I1828" s="25">
        <v>201</v>
      </c>
      <c r="J1828" s="23">
        <f>VLOOKUP(I1828,episodes!$A$1:$B$76,2,FALSE)</f>
        <v>31</v>
      </c>
      <c r="K1828" s="16" t="str">
        <f>VLOOKUP(I1828,episodes!$A$1:$E$81,5,FALSE)</f>
        <v>Amok Time</v>
      </c>
      <c r="L1828" s="16">
        <f>VLOOKUP(I1828,episodes!$A$1:$D$81,3,FALSE)</f>
        <v>2</v>
      </c>
      <c r="M1828" s="16">
        <f>VLOOKUP(I1828,episodes!$A$1:$D$81,4,FALSE)</f>
        <v>1</v>
      </c>
      <c r="N1828" s="14"/>
      <c r="O1828" s="14">
        <v>0</v>
      </c>
      <c r="P1828" s="24">
        <f>LEN(E1828)+LEN(K1828)</f>
        <v>98</v>
      </c>
      <c r="Q1828" s="24">
        <f>COUNTIFS(B:B,#REF!)</f>
        <v>0</v>
      </c>
      <c r="R1828" s="24">
        <f>COUNTIFS(D:D,D1828)</f>
        <v>6</v>
      </c>
    </row>
    <row r="1829" spans="1:19" s="21" customFormat="1" x14ac:dyDescent="0.3">
      <c r="A1829" s="14">
        <v>1671</v>
      </c>
      <c r="B1829" s="21" t="s">
        <v>61</v>
      </c>
      <c r="C1829" s="21" t="s">
        <v>0</v>
      </c>
      <c r="D1829" s="1" t="s">
        <v>2677</v>
      </c>
      <c r="E1829" s="1" t="s">
        <v>1110</v>
      </c>
      <c r="F1829" s="21" t="s">
        <v>2240</v>
      </c>
      <c r="G1829" s="14">
        <v>0</v>
      </c>
      <c r="H1829" s="14">
        <v>0</v>
      </c>
      <c r="I1829" s="25">
        <v>115</v>
      </c>
      <c r="J1829" s="23">
        <f>VLOOKUP(I1829,episodes!$A$1:$B$76,2,FALSE)</f>
        <v>16</v>
      </c>
      <c r="K1829" s="16" t="str">
        <f>VLOOKUP(I1829,episodes!$A$1:$E$81,5,FALSE)</f>
        <v>Shore Leave</v>
      </c>
      <c r="L1829" s="16">
        <f>VLOOKUP(I1829,episodes!$A$1:$D$81,3,FALSE)</f>
        <v>1</v>
      </c>
      <c r="M1829" s="16">
        <f>VLOOKUP(I1829,episodes!$A$1:$D$81,4,FALSE)</f>
        <v>15</v>
      </c>
      <c r="N1829" s="14"/>
      <c r="O1829" s="14">
        <v>0</v>
      </c>
      <c r="P1829" s="24">
        <f>LEN(E1829)+LEN(K1829)</f>
        <v>75</v>
      </c>
      <c r="Q1829" s="24"/>
      <c r="R1829" s="24"/>
    </row>
    <row r="1830" spans="1:19" s="21" customFormat="1" x14ac:dyDescent="0.3">
      <c r="A1830" s="14">
        <v>1358</v>
      </c>
      <c r="B1830" s="21" t="s">
        <v>743</v>
      </c>
      <c r="C1830" s="21" t="s">
        <v>0</v>
      </c>
      <c r="D1830" s="21" t="s">
        <v>2761</v>
      </c>
      <c r="E1830" s="1" t="s">
        <v>2187</v>
      </c>
      <c r="F1830" s="21" t="s">
        <v>4</v>
      </c>
      <c r="G1830" s="14">
        <v>1</v>
      </c>
      <c r="H1830" s="14">
        <v>0</v>
      </c>
      <c r="I1830" s="22">
        <v>207</v>
      </c>
      <c r="J1830" s="23">
        <f>VLOOKUP(I1830,episodes!$A$1:$B$81,2,FALSE)</f>
        <v>37</v>
      </c>
      <c r="K1830" s="16" t="str">
        <f>VLOOKUP(I1830,episodes!$A$1:$E$81,5,FALSE)</f>
        <v>Catspaw</v>
      </c>
      <c r="L1830" s="16">
        <f>VLOOKUP(I1830,episodes!$A$1:$D$81,3,FALSE)</f>
        <v>2</v>
      </c>
      <c r="M1830" s="16">
        <f>VLOOKUP(I1830,episodes!$A$1:$D$81,4,FALSE)</f>
        <v>7</v>
      </c>
      <c r="N1830" s="14"/>
      <c r="O1830" s="14">
        <v>0</v>
      </c>
      <c r="P1830" s="24">
        <f>LEN(E1830)+LEN(K1830)</f>
        <v>173</v>
      </c>
      <c r="Q1830" s="24">
        <f>COUNTIFS(B:B,#REF!)</f>
        <v>0</v>
      </c>
      <c r="R1830" s="24">
        <f>COUNTIFS(D:D,D1830)</f>
        <v>3</v>
      </c>
    </row>
    <row r="1831" spans="1:19" s="21" customFormat="1" x14ac:dyDescent="0.3">
      <c r="A1831" s="14">
        <v>328</v>
      </c>
      <c r="B1831" s="21" t="s">
        <v>243</v>
      </c>
      <c r="C1831" s="21" t="s">
        <v>2612</v>
      </c>
      <c r="D1831" s="1" t="s">
        <v>1107</v>
      </c>
      <c r="E1831" s="1" t="s">
        <v>1978</v>
      </c>
      <c r="F1831" s="1" t="s">
        <v>2224</v>
      </c>
      <c r="G1831" s="14">
        <v>0</v>
      </c>
      <c r="H1831" s="14">
        <v>0</v>
      </c>
      <c r="I1831" s="22">
        <v>127</v>
      </c>
      <c r="J1831" s="23">
        <f>VLOOKUP(I1831,episodes!$A$1:$B$76,2,FALSE)</f>
        <v>28</v>
      </c>
      <c r="K1831" s="16" t="str">
        <f>VLOOKUP(I1831,episodes!$A$1:$E$81,5,FALSE)</f>
        <v>The Alternative Factor</v>
      </c>
      <c r="L1831" s="16">
        <f>VLOOKUP(I1831,episodes!$A$1:$D$81,3,FALSE)</f>
        <v>1</v>
      </c>
      <c r="M1831" s="16">
        <f>VLOOKUP(I1831,episodes!$A$1:$D$81,4,FALSE)</f>
        <v>27</v>
      </c>
      <c r="N1831" s="14"/>
      <c r="O1831" s="14">
        <v>0</v>
      </c>
      <c r="P1831" s="24">
        <f>LEN(E1831)+LEN(K1831)</f>
        <v>67</v>
      </c>
      <c r="Q1831" s="24">
        <f>COUNTIFS(B:B,B1830)</f>
        <v>3</v>
      </c>
      <c r="R1831" s="24">
        <f>COUNTIFS(D:D,D1831)</f>
        <v>2</v>
      </c>
    </row>
    <row r="1832" spans="1:19" s="21" customFormat="1" x14ac:dyDescent="0.3">
      <c r="A1832" s="14">
        <v>1095</v>
      </c>
      <c r="B1832" s="21" t="s">
        <v>243</v>
      </c>
      <c r="C1832" s="21" t="s">
        <v>2612</v>
      </c>
      <c r="D1832" s="1" t="s">
        <v>1107</v>
      </c>
      <c r="E1832" s="1" t="s">
        <v>1139</v>
      </c>
      <c r="F1832" s="21" t="s">
        <v>4</v>
      </c>
      <c r="G1832" s="14">
        <v>1</v>
      </c>
      <c r="H1832" s="14">
        <v>0</v>
      </c>
      <c r="I1832" s="25">
        <v>204</v>
      </c>
      <c r="J1832" s="23">
        <f>VLOOKUP(I1832,episodes!$A$1:$B$81,2,FALSE)</f>
        <v>34</v>
      </c>
      <c r="K1832" s="16" t="str">
        <f>VLOOKUP(I1832,episodes!$A$1:$E$81,5,FALSE)</f>
        <v>Mirror, Mirror</v>
      </c>
      <c r="L1832" s="16">
        <f>VLOOKUP(I1832,episodes!$A$1:$D$81,3,FALSE)</f>
        <v>2</v>
      </c>
      <c r="M1832" s="16">
        <f>VLOOKUP(I1832,episodes!$A$1:$D$81,4,FALSE)</f>
        <v>4</v>
      </c>
      <c r="N1832" s="14"/>
      <c r="O1832" s="14">
        <v>0</v>
      </c>
      <c r="P1832" s="24">
        <f>LEN(E1832)+LEN(K1832)</f>
        <v>117</v>
      </c>
      <c r="Q1832" s="24"/>
      <c r="R1832" s="24"/>
    </row>
    <row r="1833" spans="1:19" s="21" customFormat="1" x14ac:dyDescent="0.3">
      <c r="A1833" s="14">
        <v>2750</v>
      </c>
      <c r="B1833" s="21" t="s">
        <v>241</v>
      </c>
      <c r="C1833" s="21" t="s">
        <v>2612</v>
      </c>
      <c r="D1833" s="1" t="s">
        <v>1138</v>
      </c>
      <c r="E1833" s="1" t="s">
        <v>588</v>
      </c>
      <c r="F1833" s="21" t="s">
        <v>2225</v>
      </c>
      <c r="G1833" s="14">
        <v>0</v>
      </c>
      <c r="H1833" s="14">
        <v>0</v>
      </c>
      <c r="I1833" s="25">
        <v>113</v>
      </c>
      <c r="J1833" s="23">
        <f>VLOOKUP(I1833,episodes!$A$1:$B$76,2,FALSE)</f>
        <v>14</v>
      </c>
      <c r="K1833" s="16" t="str">
        <f>VLOOKUP(I1833,episodes!$A$1:$E$81,5,FALSE)</f>
        <v>The Conscience of the King</v>
      </c>
      <c r="L1833" s="16">
        <f>VLOOKUP(I1833,episodes!$A$1:$D$81,3,FALSE)</f>
        <v>1</v>
      </c>
      <c r="M1833" s="16">
        <f>VLOOKUP(I1833,episodes!$A$1:$D$81,4,FALSE)</f>
        <v>13</v>
      </c>
      <c r="N1833" s="14"/>
      <c r="O1833" s="14">
        <v>0</v>
      </c>
      <c r="P1833" s="24">
        <f>LEN(E1833)+LEN(K1833)</f>
        <v>57</v>
      </c>
      <c r="Q1833" s="24">
        <f>COUNTIFS(B:B,B1832)</f>
        <v>2</v>
      </c>
      <c r="R1833" s="24">
        <f>COUNTIFS(D:D,D1833)</f>
        <v>34</v>
      </c>
    </row>
    <row r="1834" spans="1:19" s="21" customFormat="1" x14ac:dyDescent="0.3">
      <c r="A1834" s="14">
        <v>2854</v>
      </c>
      <c r="B1834" s="21" t="s">
        <v>241</v>
      </c>
      <c r="C1834" s="21" t="s">
        <v>2612</v>
      </c>
      <c r="D1834" s="21" t="s">
        <v>1138</v>
      </c>
      <c r="E1834" s="1" t="s">
        <v>588</v>
      </c>
      <c r="F1834" s="21" t="s">
        <v>2225</v>
      </c>
      <c r="G1834" s="14">
        <v>0</v>
      </c>
      <c r="H1834" s="14">
        <v>0</v>
      </c>
      <c r="I1834" s="14">
        <v>212</v>
      </c>
      <c r="J1834" s="23">
        <f>VLOOKUP(I1834,episodes!$A$1:$B$81,2,FALSE)</f>
        <v>42</v>
      </c>
      <c r="K1834" s="16" t="str">
        <f>VLOOKUP(I1834,episodes!$A$1:$E$81,5,FALSE)</f>
        <v>The Deadly Years</v>
      </c>
      <c r="L1834" s="16">
        <f>VLOOKUP(I1834,episodes!$A$1:$D$81,3,FALSE)</f>
        <v>2</v>
      </c>
      <c r="M1834" s="16">
        <f>VLOOKUP(I1834,episodes!$A$1:$D$81,4,FALSE)</f>
        <v>12</v>
      </c>
      <c r="N1834" s="14"/>
      <c r="O1834" s="14">
        <v>0</v>
      </c>
      <c r="P1834" s="24">
        <f>LEN(E1834)+LEN(K1834)</f>
        <v>47</v>
      </c>
      <c r="Q1834" s="24">
        <f>COUNTIFS(B:B,B1836)</f>
        <v>29</v>
      </c>
      <c r="R1834" s="24">
        <f>COUNTIFS(D:D,D1837)</f>
        <v>34</v>
      </c>
      <c r="S1834" s="1"/>
    </row>
    <row r="1835" spans="1:19" s="21" customFormat="1" x14ac:dyDescent="0.3">
      <c r="A1835" s="14">
        <v>2858</v>
      </c>
      <c r="B1835" s="21" t="s">
        <v>241</v>
      </c>
      <c r="C1835" s="21" t="s">
        <v>2612</v>
      </c>
      <c r="D1835" s="21" t="s">
        <v>1138</v>
      </c>
      <c r="E1835" s="1" t="s">
        <v>588</v>
      </c>
      <c r="F1835" s="21" t="s">
        <v>2225</v>
      </c>
      <c r="G1835" s="14">
        <v>0</v>
      </c>
      <c r="H1835" s="14">
        <v>0</v>
      </c>
      <c r="I1835" s="14">
        <v>219</v>
      </c>
      <c r="J1835" s="23">
        <f>VLOOKUP(I1835,episodes!$A$1:$B$81,2,FALSE)</f>
        <v>49</v>
      </c>
      <c r="K1835" s="16" t="str">
        <f>VLOOKUP(I1835,episodes!$A$1:$E$81,5,FALSE)</f>
        <v>A Private Little War</v>
      </c>
      <c r="L1835" s="16">
        <f>VLOOKUP(I1835,episodes!$A$1:$D$81,3,FALSE)</f>
        <v>2</v>
      </c>
      <c r="M1835" s="16">
        <f>VLOOKUP(I1835,episodes!$A$1:$D$81,4,FALSE)</f>
        <v>19</v>
      </c>
      <c r="N1835" s="14"/>
      <c r="O1835" s="14">
        <v>0</v>
      </c>
      <c r="P1835" s="24">
        <f>LEN(E1835)+LEN(K1835)</f>
        <v>51</v>
      </c>
      <c r="Q1835" s="24">
        <f>COUNTIFS(B:B,B1837)</f>
        <v>29</v>
      </c>
      <c r="R1835" s="24">
        <f>COUNTIFS(D:D,D1838)</f>
        <v>34</v>
      </c>
    </row>
    <row r="1836" spans="1:19" s="21" customFormat="1" x14ac:dyDescent="0.3">
      <c r="A1836" s="14">
        <v>2860</v>
      </c>
      <c r="B1836" s="21" t="s">
        <v>241</v>
      </c>
      <c r="C1836" s="21" t="s">
        <v>2612</v>
      </c>
      <c r="D1836" s="21" t="s">
        <v>1138</v>
      </c>
      <c r="E1836" s="1" t="s">
        <v>588</v>
      </c>
      <c r="F1836" s="21" t="s">
        <v>2225</v>
      </c>
      <c r="G1836" s="14">
        <v>0</v>
      </c>
      <c r="H1836" s="14">
        <v>0</v>
      </c>
      <c r="I1836" s="14">
        <v>220</v>
      </c>
      <c r="J1836" s="23">
        <f>VLOOKUP(I1836,episodes!$A$1:$B$81,2,FALSE)</f>
        <v>50</v>
      </c>
      <c r="K1836" s="16" t="str">
        <f>VLOOKUP(I1836,episodes!$A$1:$E$81,5,FALSE)</f>
        <v>Return to Tomorrow</v>
      </c>
      <c r="L1836" s="16">
        <f>VLOOKUP(I1836,episodes!$A$1:$D$81,3,FALSE)</f>
        <v>2</v>
      </c>
      <c r="M1836" s="16">
        <f>VLOOKUP(I1836,episodes!$A$1:$D$81,4,FALSE)</f>
        <v>20</v>
      </c>
      <c r="N1836" s="14"/>
      <c r="O1836" s="14">
        <v>0</v>
      </c>
      <c r="P1836" s="24">
        <f>LEN(E1836)+LEN(K1836)</f>
        <v>49</v>
      </c>
      <c r="Q1836" s="24">
        <f>COUNTIFS(B:B,B1838)</f>
        <v>29</v>
      </c>
      <c r="R1836" s="24">
        <f>COUNTIFS(D:D,D1839)</f>
        <v>34</v>
      </c>
    </row>
    <row r="1837" spans="1:19" s="21" customFormat="1" x14ac:dyDescent="0.3">
      <c r="A1837" s="14">
        <v>2861</v>
      </c>
      <c r="B1837" s="21" t="s">
        <v>241</v>
      </c>
      <c r="C1837" s="21" t="s">
        <v>2612</v>
      </c>
      <c r="D1837" s="21" t="s">
        <v>1138</v>
      </c>
      <c r="E1837" s="1" t="s">
        <v>588</v>
      </c>
      <c r="F1837" s="21" t="s">
        <v>2225</v>
      </c>
      <c r="G1837" s="14">
        <v>0</v>
      </c>
      <c r="H1837" s="14">
        <v>0</v>
      </c>
      <c r="I1837" s="14">
        <v>224</v>
      </c>
      <c r="J1837" s="23">
        <f>VLOOKUP(I1837,episodes!$A$1:$B$81,2,FALSE)</f>
        <v>54</v>
      </c>
      <c r="K1837" s="16" t="str">
        <f>VLOOKUP(I1837,episodes!$A$1:$E$81,5,FALSE)</f>
        <v>The Ultimate Computer</v>
      </c>
      <c r="L1837" s="16">
        <f>VLOOKUP(I1837,episodes!$A$1:$D$81,3,FALSE)</f>
        <v>2</v>
      </c>
      <c r="M1837" s="16">
        <f>VLOOKUP(I1837,episodes!$A$1:$D$81,4,FALSE)</f>
        <v>24</v>
      </c>
      <c r="N1837" s="14"/>
      <c r="O1837" s="14">
        <v>0</v>
      </c>
      <c r="P1837" s="24">
        <f>LEN(E1837)+LEN(K1837)</f>
        <v>52</v>
      </c>
      <c r="Q1837" s="24">
        <f>COUNTIFS(B:B,B1839)</f>
        <v>29</v>
      </c>
      <c r="R1837" s="24">
        <f>COUNTIFS(D:D,D1840)</f>
        <v>34</v>
      </c>
    </row>
    <row r="1838" spans="1:19" s="21" customFormat="1" x14ac:dyDescent="0.3">
      <c r="A1838" s="14">
        <v>2862</v>
      </c>
      <c r="B1838" s="21" t="s">
        <v>241</v>
      </c>
      <c r="C1838" s="21" t="s">
        <v>2612</v>
      </c>
      <c r="D1838" s="21" t="s">
        <v>1138</v>
      </c>
      <c r="E1838" s="1" t="s">
        <v>588</v>
      </c>
      <c r="F1838" s="21" t="s">
        <v>2225</v>
      </c>
      <c r="G1838" s="14">
        <v>0</v>
      </c>
      <c r="H1838" s="14">
        <v>0</v>
      </c>
      <c r="I1838" s="14">
        <v>225</v>
      </c>
      <c r="J1838" s="23">
        <f>VLOOKUP(I1838,episodes!$A$1:$B$81,2,FALSE)</f>
        <v>55</v>
      </c>
      <c r="K1838" s="16" t="str">
        <f>VLOOKUP(I1838,episodes!$A$1:$E$81,5,FALSE)</f>
        <v>Bread and Circuses</v>
      </c>
      <c r="L1838" s="16">
        <f>VLOOKUP(I1838,episodes!$A$1:$D$81,3,FALSE)</f>
        <v>2</v>
      </c>
      <c r="M1838" s="16">
        <f>VLOOKUP(I1838,episodes!$A$1:$D$81,4,FALSE)</f>
        <v>25</v>
      </c>
      <c r="N1838" s="14"/>
      <c r="O1838" s="14">
        <v>0</v>
      </c>
      <c r="P1838" s="24">
        <f>LEN(E1838)+LEN(K1838)</f>
        <v>49</v>
      </c>
      <c r="Q1838" s="24">
        <f>COUNTIFS(B:B,B1840)</f>
        <v>29</v>
      </c>
      <c r="R1838" s="24">
        <f>COUNTIFS(D:D,D1841)</f>
        <v>34</v>
      </c>
    </row>
    <row r="1839" spans="1:19" s="21" customFormat="1" x14ac:dyDescent="0.3">
      <c r="A1839" s="14">
        <v>2864</v>
      </c>
      <c r="B1839" s="21" t="s">
        <v>241</v>
      </c>
      <c r="C1839" s="21" t="s">
        <v>2612</v>
      </c>
      <c r="D1839" s="21" t="s">
        <v>1138</v>
      </c>
      <c r="E1839" s="1" t="s">
        <v>588</v>
      </c>
      <c r="F1839" s="21" t="s">
        <v>2225</v>
      </c>
      <c r="G1839" s="14">
        <v>0</v>
      </c>
      <c r="H1839" s="14">
        <v>0</v>
      </c>
      <c r="I1839" s="14">
        <v>301</v>
      </c>
      <c r="J1839" s="23">
        <f>VLOOKUP(I1839,episodes!$A$1:$B$81,2,FALSE)</f>
        <v>57</v>
      </c>
      <c r="K1839" s="16" t="str">
        <f>VLOOKUP(I1839,episodes!$A$1:$E$81,5,FALSE)</f>
        <v>Spock's Brain</v>
      </c>
      <c r="L1839" s="16">
        <f>VLOOKUP(I1839,episodes!$A$1:$D$81,3,FALSE)</f>
        <v>3</v>
      </c>
      <c r="M1839" s="16">
        <f>VLOOKUP(I1839,episodes!$A$1:$D$81,4,FALSE)</f>
        <v>1</v>
      </c>
      <c r="N1839" s="14"/>
      <c r="O1839" s="14">
        <v>0</v>
      </c>
      <c r="P1839" s="24">
        <f>LEN(E1839)+LEN(K1839)</f>
        <v>44</v>
      </c>
      <c r="Q1839" s="24">
        <f>COUNTIFS(B:B,B1841)</f>
        <v>29</v>
      </c>
      <c r="R1839" s="24">
        <f>COUNTIFS(D:D,D1842)</f>
        <v>34</v>
      </c>
    </row>
    <row r="1840" spans="1:19" s="21" customFormat="1" x14ac:dyDescent="0.3">
      <c r="A1840" s="14">
        <v>2869</v>
      </c>
      <c r="B1840" s="21" t="s">
        <v>241</v>
      </c>
      <c r="C1840" s="21" t="s">
        <v>2612</v>
      </c>
      <c r="D1840" s="21" t="s">
        <v>1138</v>
      </c>
      <c r="E1840" s="1" t="s">
        <v>588</v>
      </c>
      <c r="F1840" s="21" t="s">
        <v>2225</v>
      </c>
      <c r="G1840" s="14">
        <v>0</v>
      </c>
      <c r="H1840" s="14">
        <v>0</v>
      </c>
      <c r="I1840" s="14">
        <v>323</v>
      </c>
      <c r="J1840" s="23">
        <f>VLOOKUP(I1840,episodes!$A$1:$B$81,2,FALSE)</f>
        <v>79</v>
      </c>
      <c r="K1840" s="16" t="str">
        <f>VLOOKUP(I1840,episodes!$A$1:$E$81,5,FALSE)</f>
        <v>All Our Yesterdays</v>
      </c>
      <c r="L1840" s="16">
        <f>VLOOKUP(I1840,episodes!$A$1:$D$81,3,FALSE)</f>
        <v>3</v>
      </c>
      <c r="M1840" s="16">
        <f>VLOOKUP(I1840,episodes!$A$1:$D$81,4,FALSE)</f>
        <v>23</v>
      </c>
      <c r="N1840" s="14"/>
      <c r="O1840" s="14">
        <v>0</v>
      </c>
      <c r="P1840" s="24">
        <f>LEN(E1840)+LEN(K1840)</f>
        <v>49</v>
      </c>
      <c r="Q1840" s="24">
        <f>COUNTIFS(B:B,B1842)</f>
        <v>29</v>
      </c>
      <c r="R1840" s="24">
        <f>COUNTIFS(D:D,D1843)</f>
        <v>34</v>
      </c>
    </row>
    <row r="1841" spans="1:19" x14ac:dyDescent="0.3">
      <c r="A1841" s="14">
        <v>2847</v>
      </c>
      <c r="B1841" s="21" t="s">
        <v>241</v>
      </c>
      <c r="C1841" s="21" t="s">
        <v>2612</v>
      </c>
      <c r="D1841" s="21" t="s">
        <v>1138</v>
      </c>
      <c r="E1841" s="1" t="s">
        <v>1656</v>
      </c>
      <c r="F1841" s="21" t="s">
        <v>2225</v>
      </c>
      <c r="G1841" s="14">
        <v>0</v>
      </c>
      <c r="H1841" s="14">
        <v>0</v>
      </c>
      <c r="I1841" s="14">
        <v>209</v>
      </c>
      <c r="J1841" s="23">
        <f>VLOOKUP(I1841,episodes!$A$1:$B$81,2,FALSE)</f>
        <v>39</v>
      </c>
      <c r="K1841" s="16" t="str">
        <f>VLOOKUP(I1841,episodes!$A$1:$E$81,5,FALSE)</f>
        <v>Metamorphosis</v>
      </c>
      <c r="L1841" s="16">
        <f>VLOOKUP(I1841,episodes!$A$1:$D$81,3,FALSE)</f>
        <v>2</v>
      </c>
      <c r="M1841" s="16">
        <f>VLOOKUP(I1841,episodes!$A$1:$D$81,4,FALSE)</f>
        <v>9</v>
      </c>
      <c r="O1841" s="14">
        <v>0</v>
      </c>
      <c r="P1841" s="24">
        <f>LEN(E1841)+LEN(K1841)</f>
        <v>47</v>
      </c>
      <c r="Q1841" s="24">
        <f>COUNTIFS(B:B,#REF!)</f>
        <v>0</v>
      </c>
      <c r="R1841" s="24">
        <f>COUNTIFS(D:D,D1841)</f>
        <v>34</v>
      </c>
    </row>
    <row r="1842" spans="1:19" s="34" customFormat="1" x14ac:dyDescent="0.3">
      <c r="A1842" s="14">
        <v>2771</v>
      </c>
      <c r="B1842" s="21" t="s">
        <v>241</v>
      </c>
      <c r="C1842" s="21" t="s">
        <v>2612</v>
      </c>
      <c r="D1842" s="1" t="s">
        <v>1138</v>
      </c>
      <c r="E1842" s="1" t="s">
        <v>609</v>
      </c>
      <c r="F1842" s="21" t="s">
        <v>2225</v>
      </c>
      <c r="G1842" s="14">
        <v>0</v>
      </c>
      <c r="H1842" s="14">
        <v>0</v>
      </c>
      <c r="I1842" s="25">
        <v>118</v>
      </c>
      <c r="J1842" s="23">
        <f>VLOOKUP(I1842,episodes!$A$1:$B$76,2,FALSE)</f>
        <v>19</v>
      </c>
      <c r="K1842" s="16" t="str">
        <f>VLOOKUP(I1842,episodes!$A$1:$E$81,5,FALSE)</f>
        <v>Arena</v>
      </c>
      <c r="L1842" s="16">
        <f>VLOOKUP(I1842,episodes!$A$1:$D$81,3,FALSE)</f>
        <v>1</v>
      </c>
      <c r="M1842" s="16">
        <f>VLOOKUP(I1842,episodes!$A$1:$D$81,4,FALSE)</f>
        <v>18</v>
      </c>
      <c r="N1842" s="14"/>
      <c r="O1842" s="14">
        <v>0</v>
      </c>
      <c r="P1842" s="24">
        <f>LEN(E1842)+LEN(K1842)</f>
        <v>41</v>
      </c>
      <c r="Q1842" s="24">
        <f>COUNTIFS(B:B,B1841)</f>
        <v>29</v>
      </c>
      <c r="R1842" s="24">
        <f>COUNTIFS(D:D,D1842)</f>
        <v>34</v>
      </c>
    </row>
    <row r="1843" spans="1:19" s="21" customFormat="1" x14ac:dyDescent="0.3">
      <c r="A1843" s="14">
        <v>2785</v>
      </c>
      <c r="B1843" s="21" t="s">
        <v>241</v>
      </c>
      <c r="C1843" s="21" t="s">
        <v>2612</v>
      </c>
      <c r="D1843" s="1" t="s">
        <v>1138</v>
      </c>
      <c r="E1843" s="1" t="s">
        <v>631</v>
      </c>
      <c r="F1843" s="21" t="s">
        <v>2225</v>
      </c>
      <c r="G1843" s="14">
        <v>0</v>
      </c>
      <c r="H1843" s="14">
        <v>0</v>
      </c>
      <c r="I1843" s="25">
        <v>121</v>
      </c>
      <c r="J1843" s="23">
        <f>VLOOKUP(I1843,episodes!$A$1:$B$76,2,FALSE)</f>
        <v>22</v>
      </c>
      <c r="K1843" s="16" t="str">
        <f>VLOOKUP(I1843,episodes!$A$1:$E$81,5,FALSE)</f>
        <v>The Return of the Archons</v>
      </c>
      <c r="L1843" s="16">
        <f>VLOOKUP(I1843,episodes!$A$1:$D$81,3,FALSE)</f>
        <v>1</v>
      </c>
      <c r="M1843" s="16">
        <f>VLOOKUP(I1843,episodes!$A$1:$D$81,4,FALSE)</f>
        <v>21</v>
      </c>
      <c r="N1843" s="14"/>
      <c r="O1843" s="14">
        <v>0</v>
      </c>
      <c r="P1843" s="24">
        <f>LEN(E1843)+LEN(K1843)</f>
        <v>73</v>
      </c>
      <c r="Q1843" s="24">
        <f>COUNTIFS(B:B,B1842)</f>
        <v>29</v>
      </c>
      <c r="R1843" s="24">
        <f>COUNTIFS(D:D,D1843)</f>
        <v>34</v>
      </c>
    </row>
    <row r="1844" spans="1:19" s="21" customFormat="1" x14ac:dyDescent="0.3">
      <c r="A1844" s="14">
        <v>3021</v>
      </c>
      <c r="B1844" s="21" t="s">
        <v>241</v>
      </c>
      <c r="C1844" s="21" t="s">
        <v>2612</v>
      </c>
      <c r="D1844" s="1" t="s">
        <v>1138</v>
      </c>
      <c r="E1844" s="1" t="s">
        <v>2834</v>
      </c>
      <c r="F1844" s="21" t="s">
        <v>2225</v>
      </c>
      <c r="G1844" s="14">
        <v>0</v>
      </c>
      <c r="H1844" s="14">
        <v>0</v>
      </c>
      <c r="I1844" s="25">
        <v>211</v>
      </c>
      <c r="J1844" s="23">
        <f>VLOOKUP(I1844,episodes!$A$1:$B$76,2,FALSE)</f>
        <v>41</v>
      </c>
      <c r="K1844" s="16" t="str">
        <f>VLOOKUP(I1844,episodes!$A$1:$E$81,5,FALSE)</f>
        <v>Friday's Child</v>
      </c>
      <c r="L1844" s="16">
        <f>VLOOKUP(I1844,episodes!$A$1:$D$81,3,FALSE)</f>
        <v>2</v>
      </c>
      <c r="M1844" s="16">
        <f>VLOOKUP(I1844,episodes!$A$1:$D$81,4,FALSE)</f>
        <v>11</v>
      </c>
      <c r="N1844" s="14"/>
      <c r="O1844" s="14">
        <v>0</v>
      </c>
      <c r="P1844" s="24">
        <f>LEN(E1844)+LEN(K1844)</f>
        <v>61</v>
      </c>
      <c r="Q1844" s="24"/>
      <c r="R1844" s="24"/>
    </row>
    <row r="1845" spans="1:19" s="21" customFormat="1" x14ac:dyDescent="0.3">
      <c r="A1845" s="14">
        <v>2714</v>
      </c>
      <c r="B1845" s="21" t="s">
        <v>241</v>
      </c>
      <c r="C1845" s="21" t="s">
        <v>2612</v>
      </c>
      <c r="D1845" s="1" t="s">
        <v>1138</v>
      </c>
      <c r="E1845" s="1" t="s">
        <v>1198</v>
      </c>
      <c r="F1845" s="21" t="s">
        <v>2225</v>
      </c>
      <c r="G1845" s="14">
        <v>0</v>
      </c>
      <c r="H1845" s="14">
        <v>0</v>
      </c>
      <c r="I1845" s="25">
        <v>103</v>
      </c>
      <c r="J1845" s="23">
        <f>VLOOKUP(I1845,episodes!$A$1:$B$76,2,FALSE)</f>
        <v>4</v>
      </c>
      <c r="K1845" s="16" t="str">
        <f>VLOOKUP(I1845,episodes!$A$1:$E$81,5,FALSE)</f>
        <v>Where No Man Has Gone Before</v>
      </c>
      <c r="L1845" s="16">
        <f>VLOOKUP(I1845,episodes!$A$1:$D$81,3,FALSE)</f>
        <v>1</v>
      </c>
      <c r="M1845" s="16">
        <f>VLOOKUP(I1845,episodes!$A$1:$D$81,4,FALSE)</f>
        <v>3</v>
      </c>
      <c r="N1845" s="14"/>
      <c r="O1845" s="14">
        <v>0</v>
      </c>
      <c r="P1845" s="24">
        <f>LEN(E1845)+LEN(K1845)</f>
        <v>69</v>
      </c>
      <c r="Q1845" s="24">
        <f>COUNTIFS(B:B,B1844)</f>
        <v>29</v>
      </c>
      <c r="R1845" s="24">
        <f>COUNTIFS(D:D,D1845)</f>
        <v>34</v>
      </c>
    </row>
    <row r="1846" spans="1:19" s="21" customFormat="1" x14ac:dyDescent="0.3">
      <c r="A1846" s="14">
        <v>2808</v>
      </c>
      <c r="B1846" s="21" t="s">
        <v>241</v>
      </c>
      <c r="C1846" s="21" t="s">
        <v>2612</v>
      </c>
      <c r="D1846" s="1" t="s">
        <v>1138</v>
      </c>
      <c r="E1846" s="1" t="s">
        <v>1655</v>
      </c>
      <c r="F1846" s="21" t="s">
        <v>2225</v>
      </c>
      <c r="G1846" s="14">
        <v>0</v>
      </c>
      <c r="H1846" s="14">
        <v>0</v>
      </c>
      <c r="I1846" s="25">
        <v>128</v>
      </c>
      <c r="J1846" s="23">
        <f>VLOOKUP(I1846,episodes!$A$1:$B$76,2,FALSE)</f>
        <v>29</v>
      </c>
      <c r="K1846" s="16" t="str">
        <f>VLOOKUP(I1846,episodes!$A$1:$E$81,5,FALSE)</f>
        <v>The City on the Edge of Forever</v>
      </c>
      <c r="L1846" s="16">
        <f>VLOOKUP(I1846,episodes!$A$1:$D$81,3,FALSE)</f>
        <v>1</v>
      </c>
      <c r="M1846" s="16">
        <f>VLOOKUP(I1846,episodes!$A$1:$D$81,4,FALSE)</f>
        <v>28</v>
      </c>
      <c r="N1846" s="14"/>
      <c r="O1846" s="14">
        <v>0</v>
      </c>
      <c r="P1846" s="24">
        <f>LEN(E1846)+LEN(K1846)</f>
        <v>82</v>
      </c>
      <c r="Q1846" s="24">
        <f>COUNTIFS(B:B,B1845)</f>
        <v>29</v>
      </c>
      <c r="R1846" s="24">
        <f>COUNTIFS(D:D,D1846)</f>
        <v>34</v>
      </c>
    </row>
    <row r="1847" spans="1:19" s="21" customFormat="1" x14ac:dyDescent="0.3">
      <c r="A1847" s="14">
        <v>2761</v>
      </c>
      <c r="B1847" s="21" t="s">
        <v>241</v>
      </c>
      <c r="C1847" s="21" t="s">
        <v>2612</v>
      </c>
      <c r="D1847" s="1" t="s">
        <v>1138</v>
      </c>
      <c r="E1847" s="1" t="s">
        <v>1802</v>
      </c>
      <c r="F1847" s="21" t="s">
        <v>2225</v>
      </c>
      <c r="G1847" s="14">
        <v>0</v>
      </c>
      <c r="H1847" s="14">
        <v>0</v>
      </c>
      <c r="I1847" s="22">
        <v>115</v>
      </c>
      <c r="J1847" s="23">
        <f>VLOOKUP(I1847,episodes!$A$1:$B$76,2,FALSE)</f>
        <v>16</v>
      </c>
      <c r="K1847" s="16" t="str">
        <f>VLOOKUP(I1847,episodes!$A$1:$E$81,5,FALSE)</f>
        <v>Shore Leave</v>
      </c>
      <c r="L1847" s="16">
        <f>VLOOKUP(I1847,episodes!$A$1:$D$81,3,FALSE)</f>
        <v>1</v>
      </c>
      <c r="M1847" s="16">
        <f>VLOOKUP(I1847,episodes!$A$1:$D$81,4,FALSE)</f>
        <v>15</v>
      </c>
      <c r="N1847" s="14"/>
      <c r="O1847" s="14">
        <v>0</v>
      </c>
      <c r="P1847" s="24">
        <f>LEN(E1847)+LEN(K1847)</f>
        <v>65</v>
      </c>
      <c r="Q1847" s="24">
        <f>COUNTIFS(B:B,B1846)</f>
        <v>29</v>
      </c>
      <c r="R1847" s="24">
        <f>COUNTIFS(D:D,D1847)</f>
        <v>34</v>
      </c>
    </row>
    <row r="1848" spans="1:19" s="21" customFormat="1" x14ac:dyDescent="0.3">
      <c r="A1848" s="14">
        <v>2802</v>
      </c>
      <c r="B1848" s="21" t="s">
        <v>241</v>
      </c>
      <c r="C1848" s="21" t="s">
        <v>2612</v>
      </c>
      <c r="D1848" s="1" t="s">
        <v>1138</v>
      </c>
      <c r="E1848" s="1" t="s">
        <v>1654</v>
      </c>
      <c r="F1848" s="21" t="s">
        <v>2225</v>
      </c>
      <c r="G1848" s="14">
        <v>0</v>
      </c>
      <c r="H1848" s="14">
        <v>0</v>
      </c>
      <c r="I1848" s="25">
        <v>127</v>
      </c>
      <c r="J1848" s="23">
        <f>VLOOKUP(I1848,episodes!$A$1:$B$76,2,FALSE)</f>
        <v>28</v>
      </c>
      <c r="K1848" s="16" t="str">
        <f>VLOOKUP(I1848,episodes!$A$1:$E$81,5,FALSE)</f>
        <v>The Alternative Factor</v>
      </c>
      <c r="L1848" s="16">
        <f>VLOOKUP(I1848,episodes!$A$1:$D$81,3,FALSE)</f>
        <v>1</v>
      </c>
      <c r="M1848" s="16">
        <f>VLOOKUP(I1848,episodes!$A$1:$D$81,4,FALSE)</f>
        <v>27</v>
      </c>
      <c r="N1848" s="14"/>
      <c r="O1848" s="14">
        <v>0</v>
      </c>
      <c r="P1848" s="24">
        <f>LEN(E1848)+LEN(K1848)</f>
        <v>71</v>
      </c>
      <c r="Q1848" s="24">
        <f>COUNTIFS(B:B,B1847)</f>
        <v>29</v>
      </c>
      <c r="R1848" s="24">
        <f>COUNTIFS(D:D,D1848)</f>
        <v>34</v>
      </c>
    </row>
    <row r="1849" spans="1:19" s="21" customFormat="1" x14ac:dyDescent="0.3">
      <c r="A1849" s="14">
        <v>2795</v>
      </c>
      <c r="B1849" s="21" t="s">
        <v>241</v>
      </c>
      <c r="C1849" s="21" t="s">
        <v>2612</v>
      </c>
      <c r="D1849" s="1" t="s">
        <v>1138</v>
      </c>
      <c r="E1849" s="1" t="s">
        <v>1653</v>
      </c>
      <c r="F1849" s="21" t="s">
        <v>2225</v>
      </c>
      <c r="G1849" s="14">
        <v>0</v>
      </c>
      <c r="H1849" s="14">
        <v>0</v>
      </c>
      <c r="I1849" s="22">
        <v>124</v>
      </c>
      <c r="J1849" s="23">
        <f>VLOOKUP(I1849,episodes!$A$1:$B$76,2,FALSE)</f>
        <v>25</v>
      </c>
      <c r="K1849" s="16" t="str">
        <f>VLOOKUP(I1849,episodes!$A$1:$E$81,5,FALSE)</f>
        <v>This Side of Paradise</v>
      </c>
      <c r="L1849" s="16">
        <f>VLOOKUP(I1849,episodes!$A$1:$D$81,3,FALSE)</f>
        <v>1</v>
      </c>
      <c r="M1849" s="16">
        <f>VLOOKUP(I1849,episodes!$A$1:$D$81,4,FALSE)</f>
        <v>24</v>
      </c>
      <c r="N1849" s="14"/>
      <c r="O1849" s="14">
        <v>0</v>
      </c>
      <c r="P1849" s="24">
        <f>LEN(E1849)+LEN(K1849)</f>
        <v>81</v>
      </c>
      <c r="Q1849" s="24">
        <f>COUNTIFS(B:B,B1848)</f>
        <v>29</v>
      </c>
      <c r="R1849" s="24">
        <f>COUNTIFS(D:D,D1849)</f>
        <v>34</v>
      </c>
    </row>
    <row r="1850" spans="1:19" s="21" customFormat="1" x14ac:dyDescent="0.3">
      <c r="A1850" s="14">
        <v>2799</v>
      </c>
      <c r="B1850" s="21" t="s">
        <v>241</v>
      </c>
      <c r="C1850" s="21" t="s">
        <v>2612</v>
      </c>
      <c r="D1850" s="1" t="s">
        <v>1138</v>
      </c>
      <c r="E1850" s="1" t="s">
        <v>690</v>
      </c>
      <c r="F1850" s="21" t="s">
        <v>2225</v>
      </c>
      <c r="G1850" s="14">
        <v>0</v>
      </c>
      <c r="H1850" s="14">
        <v>0</v>
      </c>
      <c r="I1850" s="14">
        <v>126</v>
      </c>
      <c r="J1850" s="23">
        <f>VLOOKUP(I1850,episodes!$A$1:$B$81,2,FALSE)</f>
        <v>27</v>
      </c>
      <c r="K1850" s="16" t="str">
        <f>VLOOKUP(I1850,episodes!$A$1:$E$81,5,FALSE)</f>
        <v>Errand of Mercy</v>
      </c>
      <c r="L1850" s="16">
        <f>VLOOKUP(I1850,episodes!$A$1:$D$81,3,FALSE)</f>
        <v>1</v>
      </c>
      <c r="M1850" s="16">
        <f>VLOOKUP(I1850,episodes!$A$1:$D$81,4,FALSE)</f>
        <v>26</v>
      </c>
      <c r="N1850" s="14"/>
      <c r="O1850" s="14">
        <v>0</v>
      </c>
      <c r="P1850" s="24">
        <f>LEN(E1850)+LEN(K1850)</f>
        <v>60</v>
      </c>
      <c r="Q1850" s="24">
        <f>COUNTIFS(B:B,B1849)</f>
        <v>29</v>
      </c>
      <c r="R1850" s="24">
        <f>COUNTIFS(D:D,D1850)</f>
        <v>34</v>
      </c>
      <c r="S1850" s="1"/>
    </row>
    <row r="1851" spans="1:19" s="21" customFormat="1" x14ac:dyDescent="0.3">
      <c r="A1851" s="14">
        <v>2800</v>
      </c>
      <c r="B1851" s="21" t="s">
        <v>241</v>
      </c>
      <c r="C1851" s="21" t="s">
        <v>2612</v>
      </c>
      <c r="D1851" s="1" t="s">
        <v>1138</v>
      </c>
      <c r="E1851" s="1" t="s">
        <v>2271</v>
      </c>
      <c r="F1851" s="21" t="s">
        <v>2225</v>
      </c>
      <c r="G1851" s="14">
        <v>0</v>
      </c>
      <c r="H1851" s="14">
        <v>0</v>
      </c>
      <c r="I1851" s="25">
        <v>126</v>
      </c>
      <c r="J1851" s="23">
        <f>VLOOKUP(I1851,episodes!$A$1:$B$76,2,FALSE)</f>
        <v>27</v>
      </c>
      <c r="K1851" s="16" t="str">
        <f>VLOOKUP(I1851,episodes!$A$1:$E$81,5,FALSE)</f>
        <v>Errand of Mercy</v>
      </c>
      <c r="L1851" s="16">
        <f>VLOOKUP(I1851,episodes!$A$1:$D$81,3,FALSE)</f>
        <v>1</v>
      </c>
      <c r="M1851" s="16">
        <f>VLOOKUP(I1851,episodes!$A$1:$D$81,4,FALSE)</f>
        <v>26</v>
      </c>
      <c r="N1851" s="14"/>
      <c r="O1851" s="14">
        <v>0</v>
      </c>
      <c r="P1851" s="24">
        <f>LEN(E1851)+LEN(K1851)</f>
        <v>71</v>
      </c>
      <c r="Q1851" s="24">
        <f>COUNTIFS(B:B,B1850)</f>
        <v>29</v>
      </c>
      <c r="R1851" s="24">
        <f>COUNTIFS(D:D,D1851)</f>
        <v>34</v>
      </c>
      <c r="S1851" s="1"/>
    </row>
    <row r="1852" spans="1:19" s="21" customFormat="1" x14ac:dyDescent="0.3">
      <c r="A1852" s="14">
        <v>2819</v>
      </c>
      <c r="B1852" s="21" t="s">
        <v>241</v>
      </c>
      <c r="C1852" s="21" t="s">
        <v>2612</v>
      </c>
      <c r="D1852" s="1" t="s">
        <v>1138</v>
      </c>
      <c r="E1852" s="1" t="s">
        <v>1976</v>
      </c>
      <c r="F1852" s="21" t="s">
        <v>2225</v>
      </c>
      <c r="G1852" s="14">
        <v>0</v>
      </c>
      <c r="H1852" s="14">
        <v>0</v>
      </c>
      <c r="I1852" s="25">
        <v>202</v>
      </c>
      <c r="J1852" s="23">
        <f>VLOOKUP(I1852,episodes!$A$1:$B$76,2,FALSE)</f>
        <v>32</v>
      </c>
      <c r="K1852" s="16" t="str">
        <f>VLOOKUP(I1852,episodes!$A$1:$E$81,5,FALSE)</f>
        <v>Who Mourns for Adonais?</v>
      </c>
      <c r="L1852" s="16">
        <f>VLOOKUP(I1852,episodes!$A$1:$D$81,3,FALSE)</f>
        <v>2</v>
      </c>
      <c r="M1852" s="16">
        <f>VLOOKUP(I1852,episodes!$A$1:$D$81,4,FALSE)</f>
        <v>2</v>
      </c>
      <c r="N1852" s="14"/>
      <c r="O1852" s="14">
        <v>0</v>
      </c>
      <c r="P1852" s="24">
        <f>LEN(E1852)+LEN(K1852)</f>
        <v>55</v>
      </c>
      <c r="Q1852" s="24">
        <f>COUNTIFS(B:B,B1851)</f>
        <v>29</v>
      </c>
      <c r="R1852" s="24">
        <f>COUNTIFS(D:D,D1852)</f>
        <v>34</v>
      </c>
      <c r="S1852" s="1"/>
    </row>
    <row r="1853" spans="1:19" s="21" customFormat="1" x14ac:dyDescent="0.3">
      <c r="A1853" s="14">
        <v>2878</v>
      </c>
      <c r="B1853" s="21" t="s">
        <v>2389</v>
      </c>
      <c r="C1853" s="21" t="s">
        <v>2612</v>
      </c>
      <c r="D1853" s="1" t="s">
        <v>1138</v>
      </c>
      <c r="E1853" s="1" t="s">
        <v>676</v>
      </c>
      <c r="F1853" s="21" t="s">
        <v>2225</v>
      </c>
      <c r="G1853" s="14">
        <v>0</v>
      </c>
      <c r="H1853" s="14">
        <v>0</v>
      </c>
      <c r="I1853" s="25">
        <v>105</v>
      </c>
      <c r="J1853" s="23">
        <f>VLOOKUP(I1853,episodes!$A$1:$B$76,2,FALSE)</f>
        <v>6</v>
      </c>
      <c r="K1853" s="16" t="str">
        <f>VLOOKUP(I1853,episodes!$A$1:$E$81,5,FALSE)</f>
        <v>The Enemy Within</v>
      </c>
      <c r="L1853" s="16">
        <f>VLOOKUP(I1853,episodes!$A$1:$D$81,3,FALSE)</f>
        <v>1</v>
      </c>
      <c r="M1853" s="16">
        <f>VLOOKUP(I1853,episodes!$A$1:$D$81,4,FALSE)</f>
        <v>5</v>
      </c>
      <c r="N1853" s="14"/>
      <c r="O1853" s="14">
        <v>0</v>
      </c>
      <c r="P1853" s="24">
        <f>LEN(E1853)+LEN(K1853)</f>
        <v>77</v>
      </c>
      <c r="Q1853" s="24">
        <f>COUNTIFS(B:B,B1852)</f>
        <v>29</v>
      </c>
      <c r="R1853" s="24">
        <f>COUNTIFS(D:D,D1853)</f>
        <v>34</v>
      </c>
      <c r="S1853" s="1"/>
    </row>
    <row r="1854" spans="1:19" s="21" customFormat="1" x14ac:dyDescent="0.3">
      <c r="A1854" s="14">
        <v>2880</v>
      </c>
      <c r="B1854" s="21" t="s">
        <v>2389</v>
      </c>
      <c r="C1854" s="21" t="s">
        <v>2612</v>
      </c>
      <c r="D1854" s="1" t="s">
        <v>1138</v>
      </c>
      <c r="E1854" s="1" t="s">
        <v>678</v>
      </c>
      <c r="F1854" s="21" t="s">
        <v>2225</v>
      </c>
      <c r="G1854" s="14">
        <v>0</v>
      </c>
      <c r="H1854" s="14">
        <v>0</v>
      </c>
      <c r="I1854" s="25">
        <v>107</v>
      </c>
      <c r="J1854" s="23">
        <f>VLOOKUP(I1854,episodes!$A$1:$B$76,2,FALSE)</f>
        <v>8</v>
      </c>
      <c r="K1854" s="16" t="str">
        <f>VLOOKUP(I1854,episodes!$A$1:$E$81,5,FALSE)</f>
        <v>What Are Little Girls Made Of?</v>
      </c>
      <c r="L1854" s="16">
        <f>VLOOKUP(I1854,episodes!$A$1:$D$81,3,FALSE)</f>
        <v>1</v>
      </c>
      <c r="M1854" s="16">
        <f>VLOOKUP(I1854,episodes!$A$1:$D$81,4,FALSE)</f>
        <v>7</v>
      </c>
      <c r="N1854" s="14"/>
      <c r="O1854" s="14">
        <v>0</v>
      </c>
      <c r="P1854" s="24">
        <f>LEN(E1854)+LEN(K1854)</f>
        <v>68</v>
      </c>
      <c r="Q1854" s="24">
        <f>COUNTIFS(B:B,B1853)</f>
        <v>8</v>
      </c>
      <c r="R1854" s="24">
        <f>COUNTIFS(D:D,D1854)</f>
        <v>34</v>
      </c>
      <c r="S1854" s="1"/>
    </row>
    <row r="1855" spans="1:19" s="21" customFormat="1" x14ac:dyDescent="0.3">
      <c r="A1855" s="14">
        <v>106</v>
      </c>
      <c r="B1855" s="21" t="s">
        <v>2389</v>
      </c>
      <c r="C1855" s="21" t="s">
        <v>2612</v>
      </c>
      <c r="D1855" s="1" t="s">
        <v>1138</v>
      </c>
      <c r="E1855" s="1" t="s">
        <v>1977</v>
      </c>
      <c r="F1855" s="21" t="s">
        <v>46</v>
      </c>
      <c r="G1855" s="26">
        <v>0</v>
      </c>
      <c r="H1855" s="14">
        <v>0</v>
      </c>
      <c r="I1855" s="25">
        <v>117</v>
      </c>
      <c r="J1855" s="23">
        <f>VLOOKUP(I1855,episodes!$A$1:$B$76,2,FALSE)</f>
        <v>18</v>
      </c>
      <c r="K1855" s="16" t="str">
        <f>VLOOKUP(I1855,episodes!$A$1:$E$81,5,FALSE)</f>
        <v>The Squire of Gothos</v>
      </c>
      <c r="L1855" s="16">
        <f>VLOOKUP(I1855,episodes!$A$1:$D$81,3,FALSE)</f>
        <v>1</v>
      </c>
      <c r="M1855" s="16">
        <f>VLOOKUP(I1855,episodes!$A$1:$D$81,4,FALSE)</f>
        <v>17</v>
      </c>
      <c r="N1855" s="14"/>
      <c r="O1855" s="14">
        <v>0</v>
      </c>
      <c r="P1855" s="24">
        <f>LEN(E1855)+LEN(K1855)</f>
        <v>322</v>
      </c>
      <c r="Q1855" s="24">
        <f>COUNTIFS(B:B,B1854)</f>
        <v>8</v>
      </c>
      <c r="R1855" s="24">
        <f>COUNTIFS(D:D,D1855)</f>
        <v>34</v>
      </c>
    </row>
    <row r="1856" spans="1:19" s="21" customFormat="1" x14ac:dyDescent="0.3">
      <c r="A1856" s="14">
        <v>2884</v>
      </c>
      <c r="B1856" s="21" t="s">
        <v>2389</v>
      </c>
      <c r="C1856" s="21" t="s">
        <v>2612</v>
      </c>
      <c r="D1856" s="1" t="s">
        <v>1138</v>
      </c>
      <c r="E1856" s="1" t="s">
        <v>457</v>
      </c>
      <c r="F1856" s="21" t="s">
        <v>2225</v>
      </c>
      <c r="G1856" s="14">
        <v>0</v>
      </c>
      <c r="H1856" s="14">
        <v>0</v>
      </c>
      <c r="I1856" s="25">
        <v>125</v>
      </c>
      <c r="J1856" s="23">
        <f>VLOOKUP(I1856,episodes!$A$1:$B$76,2,FALSE)</f>
        <v>26</v>
      </c>
      <c r="K1856" s="16" t="str">
        <f>VLOOKUP(I1856,episodes!$A$1:$E$81,5,FALSE)</f>
        <v>The Devil in the Dark</v>
      </c>
      <c r="L1856" s="16">
        <f>VLOOKUP(I1856,episodes!$A$1:$D$81,3,FALSE)</f>
        <v>1</v>
      </c>
      <c r="M1856" s="16">
        <f>VLOOKUP(I1856,episodes!$A$1:$D$81,4,FALSE)</f>
        <v>25</v>
      </c>
      <c r="N1856" s="14"/>
      <c r="O1856" s="14">
        <v>0</v>
      </c>
      <c r="P1856" s="24">
        <f>LEN(E1856)+LEN(K1856)</f>
        <v>89</v>
      </c>
      <c r="Q1856" s="24">
        <f>COUNTIFS(B:B,B1855)</f>
        <v>8</v>
      </c>
      <c r="R1856" s="24">
        <f>COUNTIFS(D:D,D1856)</f>
        <v>34</v>
      </c>
    </row>
    <row r="1857" spans="1:19" s="21" customFormat="1" x14ac:dyDescent="0.3">
      <c r="A1857" s="14">
        <v>2888</v>
      </c>
      <c r="B1857" s="21" t="s">
        <v>2389</v>
      </c>
      <c r="C1857" s="21" t="s">
        <v>2612</v>
      </c>
      <c r="D1857" s="1" t="s">
        <v>1138</v>
      </c>
      <c r="E1857" s="1" t="s">
        <v>2277</v>
      </c>
      <c r="F1857" s="21" t="s">
        <v>2225</v>
      </c>
      <c r="G1857" s="14">
        <v>0</v>
      </c>
      <c r="H1857" s="14">
        <v>0</v>
      </c>
      <c r="I1857" s="22">
        <v>208</v>
      </c>
      <c r="J1857" s="23">
        <f>VLOOKUP(I1857,episodes!$A$1:$B$81,2,FALSE)</f>
        <v>38</v>
      </c>
      <c r="K1857" s="16" t="str">
        <f>VLOOKUP(I1857,episodes!$A$1:$E$81,5,FALSE)</f>
        <v>I, Mudd</v>
      </c>
      <c r="L1857" s="16">
        <f>VLOOKUP(I1857,episodes!$A$1:$D$81,3,FALSE)</f>
        <v>2</v>
      </c>
      <c r="M1857" s="16">
        <f>VLOOKUP(I1857,episodes!$A$1:$D$81,4,FALSE)</f>
        <v>8</v>
      </c>
      <c r="N1857" s="14"/>
      <c r="O1857" s="14">
        <v>0</v>
      </c>
      <c r="P1857" s="24">
        <f>LEN(E1857)+LEN(K1857)</f>
        <v>56</v>
      </c>
      <c r="Q1857" s="24">
        <f>COUNTIFS(B:B,#REF!)</f>
        <v>0</v>
      </c>
      <c r="R1857" s="24">
        <f>COUNTIFS(D:D,D1857)</f>
        <v>34</v>
      </c>
    </row>
    <row r="1858" spans="1:19" s="21" customFormat="1" x14ac:dyDescent="0.3">
      <c r="A1858" s="14">
        <v>2883</v>
      </c>
      <c r="B1858" s="21" t="s">
        <v>2389</v>
      </c>
      <c r="C1858" s="21" t="s">
        <v>2612</v>
      </c>
      <c r="D1858" s="1" t="s">
        <v>1138</v>
      </c>
      <c r="E1858" s="1" t="s">
        <v>741</v>
      </c>
      <c r="F1858" s="21" t="s">
        <v>2225</v>
      </c>
      <c r="G1858" s="14">
        <v>0</v>
      </c>
      <c r="H1858" s="14">
        <v>0</v>
      </c>
      <c r="I1858" s="25">
        <v>124</v>
      </c>
      <c r="J1858" s="23">
        <f>VLOOKUP(I1858,episodes!$A$1:$B$76,2,FALSE)</f>
        <v>25</v>
      </c>
      <c r="K1858" s="16" t="str">
        <f>VLOOKUP(I1858,episodes!$A$1:$E$81,5,FALSE)</f>
        <v>This Side of Paradise</v>
      </c>
      <c r="L1858" s="16">
        <f>VLOOKUP(I1858,episodes!$A$1:$D$81,3,FALSE)</f>
        <v>1</v>
      </c>
      <c r="M1858" s="16">
        <f>VLOOKUP(I1858,episodes!$A$1:$D$81,4,FALSE)</f>
        <v>24</v>
      </c>
      <c r="N1858" s="14"/>
      <c r="O1858" s="14">
        <v>0</v>
      </c>
      <c r="P1858" s="24">
        <f>LEN(E1858)+LEN(K1858)</f>
        <v>138</v>
      </c>
      <c r="Q1858" s="24">
        <f>COUNTIFS(B:B,B1857)</f>
        <v>8</v>
      </c>
      <c r="R1858" s="24">
        <f>COUNTIFS(D:D,D1858)</f>
        <v>34</v>
      </c>
      <c r="S1858" s="1"/>
    </row>
    <row r="1859" spans="1:19" s="21" customFormat="1" x14ac:dyDescent="0.3">
      <c r="A1859" s="14">
        <v>2879</v>
      </c>
      <c r="B1859" s="21" t="s">
        <v>2389</v>
      </c>
      <c r="C1859" s="21" t="s">
        <v>2612</v>
      </c>
      <c r="D1859" s="1" t="s">
        <v>1138</v>
      </c>
      <c r="E1859" s="1" t="s">
        <v>1555</v>
      </c>
      <c r="F1859" s="21" t="s">
        <v>2225</v>
      </c>
      <c r="G1859" s="14">
        <v>0</v>
      </c>
      <c r="H1859" s="14">
        <v>0</v>
      </c>
      <c r="I1859" s="25">
        <v>106</v>
      </c>
      <c r="J1859" s="23">
        <f>VLOOKUP(I1859,episodes!$A$1:$B$76,2,FALSE)</f>
        <v>7</v>
      </c>
      <c r="K1859" s="16" t="str">
        <f>VLOOKUP(I1859,episodes!$A$1:$E$81,5,FALSE)</f>
        <v>Mudd's Women</v>
      </c>
      <c r="L1859" s="16">
        <f>VLOOKUP(I1859,episodes!$A$1:$D$81,3,FALSE)</f>
        <v>1</v>
      </c>
      <c r="M1859" s="16">
        <f>VLOOKUP(I1859,episodes!$A$1:$D$81,4,FALSE)</f>
        <v>6</v>
      </c>
      <c r="N1859" s="14"/>
      <c r="O1859" s="14">
        <v>0</v>
      </c>
      <c r="P1859" s="24">
        <f>LEN(E1859)+LEN(K1859)</f>
        <v>89</v>
      </c>
      <c r="Q1859" s="24">
        <f>COUNTIFS(B:B,B1858)</f>
        <v>8</v>
      </c>
      <c r="R1859" s="24">
        <f>COUNTIFS(D:D,D1859)</f>
        <v>34</v>
      </c>
      <c r="S1859" s="1"/>
    </row>
    <row r="1860" spans="1:19" s="21" customFormat="1" x14ac:dyDescent="0.3">
      <c r="A1860" s="14">
        <v>2886</v>
      </c>
      <c r="B1860" s="21" t="s">
        <v>2389</v>
      </c>
      <c r="C1860" s="21" t="s">
        <v>2612</v>
      </c>
      <c r="D1860" s="1" t="s">
        <v>1138</v>
      </c>
      <c r="E1860" s="1" t="s">
        <v>166</v>
      </c>
      <c r="F1860" s="21" t="s">
        <v>2225</v>
      </c>
      <c r="G1860" s="14">
        <v>0</v>
      </c>
      <c r="H1860" s="14">
        <v>0</v>
      </c>
      <c r="I1860" s="25">
        <v>201</v>
      </c>
      <c r="J1860" s="23">
        <f>VLOOKUP(I1860,episodes!$A$1:$B$76,2,FALSE)</f>
        <v>31</v>
      </c>
      <c r="K1860" s="16" t="str">
        <f>VLOOKUP(I1860,episodes!$A$1:$E$81,5,FALSE)</f>
        <v>Amok Time</v>
      </c>
      <c r="L1860" s="16">
        <f>VLOOKUP(I1860,episodes!$A$1:$D$81,3,FALSE)</f>
        <v>2</v>
      </c>
      <c r="M1860" s="16">
        <f>VLOOKUP(I1860,episodes!$A$1:$D$81,4,FALSE)</f>
        <v>1</v>
      </c>
      <c r="N1860" s="14"/>
      <c r="O1860" s="14">
        <v>0</v>
      </c>
      <c r="P1860" s="24">
        <f>LEN(E1860)+LEN(K1860)</f>
        <v>78</v>
      </c>
      <c r="Q1860" s="24">
        <f>COUNTIFS(B:B,B1859)</f>
        <v>8</v>
      </c>
      <c r="R1860" s="24">
        <f>COUNTIFS(D:D,D1860)</f>
        <v>34</v>
      </c>
      <c r="S1860" s="1"/>
    </row>
    <row r="1861" spans="1:19" s="21" customFormat="1" x14ac:dyDescent="0.3">
      <c r="A1861" s="14">
        <v>2704</v>
      </c>
      <c r="B1861" s="21" t="s">
        <v>241</v>
      </c>
      <c r="C1861" s="21" t="s">
        <v>2612</v>
      </c>
      <c r="D1861" s="1" t="s">
        <v>1138</v>
      </c>
      <c r="E1861" s="1" t="s">
        <v>448</v>
      </c>
      <c r="F1861" s="21" t="s">
        <v>2225</v>
      </c>
      <c r="G1861" s="14">
        <v>0</v>
      </c>
      <c r="H1861" s="14">
        <v>0</v>
      </c>
      <c r="I1861" s="25">
        <v>100</v>
      </c>
      <c r="J1861" s="23">
        <f>VLOOKUP(I1861,episodes!$A$1:$B$76,2,FALSE)</f>
        <v>1</v>
      </c>
      <c r="K1861" s="16" t="str">
        <f>VLOOKUP(I1861,episodes!$A$1:$E$81,5,FALSE)</f>
        <v>The Cage</v>
      </c>
      <c r="L1861" s="16">
        <f>VLOOKUP(I1861,episodes!$A$1:$D$81,3,FALSE)</f>
        <v>1</v>
      </c>
      <c r="M1861" s="16">
        <f>VLOOKUP(I1861,episodes!$A$1:$D$81,4,FALSE)</f>
        <v>0</v>
      </c>
      <c r="N1861" s="14"/>
      <c r="O1861" s="14">
        <v>0</v>
      </c>
      <c r="P1861" s="24">
        <f>LEN(E1861)+LEN(K1861)</f>
        <v>37</v>
      </c>
      <c r="Q1861" s="24">
        <f>COUNTIFS(B:B,B1860)</f>
        <v>8</v>
      </c>
      <c r="R1861" s="24">
        <f>COUNTIFS(D:D,D1861)</f>
        <v>34</v>
      </c>
      <c r="S1861" s="1"/>
    </row>
    <row r="1862" spans="1:19" s="21" customFormat="1" x14ac:dyDescent="0.3">
      <c r="A1862" s="14">
        <v>2764</v>
      </c>
      <c r="B1862" s="21" t="s">
        <v>241</v>
      </c>
      <c r="C1862" s="21" t="s">
        <v>2612</v>
      </c>
      <c r="D1862" s="1" t="s">
        <v>1138</v>
      </c>
      <c r="E1862" s="1" t="s">
        <v>1811</v>
      </c>
      <c r="F1862" s="21" t="s">
        <v>2225</v>
      </c>
      <c r="G1862" s="14">
        <v>0</v>
      </c>
      <c r="H1862" s="14">
        <v>0</v>
      </c>
      <c r="I1862" s="25">
        <v>116</v>
      </c>
      <c r="J1862" s="23">
        <f>VLOOKUP(I1862,episodes!$A$1:$B$76,2,FALSE)</f>
        <v>17</v>
      </c>
      <c r="K1862" s="16" t="str">
        <f>VLOOKUP(I1862,episodes!$A$1:$E$81,5,FALSE)</f>
        <v>The Galileo Seven</v>
      </c>
      <c r="L1862" s="16">
        <f>VLOOKUP(I1862,episodes!$A$1:$D$81,3,FALSE)</f>
        <v>1</v>
      </c>
      <c r="M1862" s="16">
        <f>VLOOKUP(I1862,episodes!$A$1:$D$81,4,FALSE)</f>
        <v>16</v>
      </c>
      <c r="N1862" s="14"/>
      <c r="O1862" s="14">
        <v>0</v>
      </c>
      <c r="P1862" s="24">
        <f>LEN(E1862)+LEN(K1862)</f>
        <v>81</v>
      </c>
      <c r="Q1862" s="24">
        <f>COUNTIFS(B:B,B1861)</f>
        <v>29</v>
      </c>
      <c r="R1862" s="24">
        <f>COUNTIFS(D:D,D1862)</f>
        <v>34</v>
      </c>
      <c r="S1862" s="1"/>
    </row>
    <row r="1863" spans="1:19" s="21" customFormat="1" x14ac:dyDescent="0.3">
      <c r="A1863" s="14">
        <v>2730</v>
      </c>
      <c r="B1863" s="21" t="s">
        <v>241</v>
      </c>
      <c r="C1863" s="21" t="s">
        <v>2612</v>
      </c>
      <c r="D1863" s="1" t="s">
        <v>1138</v>
      </c>
      <c r="E1863" s="1" t="s">
        <v>1709</v>
      </c>
      <c r="F1863" s="21" t="s">
        <v>2225</v>
      </c>
      <c r="G1863" s="14">
        <v>0</v>
      </c>
      <c r="H1863" s="14">
        <v>0</v>
      </c>
      <c r="I1863" s="25">
        <v>108</v>
      </c>
      <c r="J1863" s="23">
        <f>VLOOKUP(I1863,episodes!$A$1:$B$76,2,FALSE)</f>
        <v>9</v>
      </c>
      <c r="K1863" s="16" t="str">
        <f>VLOOKUP(I1863,episodes!$A$1:$E$81,5,FALSE)</f>
        <v>Miri</v>
      </c>
      <c r="L1863" s="16">
        <f>VLOOKUP(I1863,episodes!$A$1:$D$81,3,FALSE)</f>
        <v>1</v>
      </c>
      <c r="M1863" s="16">
        <f>VLOOKUP(I1863,episodes!$A$1:$D$81,4,FALSE)</f>
        <v>8</v>
      </c>
      <c r="N1863" s="14"/>
      <c r="O1863" s="14">
        <v>0</v>
      </c>
      <c r="P1863" s="24">
        <f>LEN(E1863)+LEN(K1863)</f>
        <v>63</v>
      </c>
      <c r="Q1863" s="24">
        <f>COUNTIFS(B:B,B1862)</f>
        <v>29</v>
      </c>
      <c r="R1863" s="24">
        <f>COUNTIFS(D:D,D1863)</f>
        <v>34</v>
      </c>
      <c r="S1863" s="1"/>
    </row>
    <row r="1864" spans="1:19" s="21" customFormat="1" x14ac:dyDescent="0.3">
      <c r="A1864" s="14">
        <v>2709</v>
      </c>
      <c r="B1864" s="21" t="s">
        <v>241</v>
      </c>
      <c r="C1864" s="21" t="s">
        <v>2612</v>
      </c>
      <c r="D1864" s="1" t="s">
        <v>1138</v>
      </c>
      <c r="E1864" s="1" t="s">
        <v>1065</v>
      </c>
      <c r="F1864" s="21" t="s">
        <v>2225</v>
      </c>
      <c r="G1864" s="14">
        <v>0</v>
      </c>
      <c r="H1864" s="14">
        <v>0</v>
      </c>
      <c r="I1864" s="14">
        <v>101</v>
      </c>
      <c r="J1864" s="23">
        <f>VLOOKUP(I1864,episodes!$A$1:$B$81,2,FALSE)</f>
        <v>2</v>
      </c>
      <c r="K1864" s="16" t="str">
        <f>VLOOKUP(I1864,episodes!$A$1:$E$81,5,FALSE)</f>
        <v>The Man Trap</v>
      </c>
      <c r="L1864" s="16">
        <f>VLOOKUP(I1864,episodes!$A$1:$D$81,3,FALSE)</f>
        <v>1</v>
      </c>
      <c r="M1864" s="16">
        <f>VLOOKUP(I1864,episodes!$A$1:$D$81,4,FALSE)</f>
        <v>1</v>
      </c>
      <c r="N1864" s="14"/>
      <c r="O1864" s="14">
        <v>0</v>
      </c>
      <c r="P1864" s="24">
        <f>LEN(E1864)+LEN(K1864)</f>
        <v>42</v>
      </c>
      <c r="Q1864" s="24">
        <f>COUNTIFS(B:B,B1863)</f>
        <v>29</v>
      </c>
      <c r="R1864" s="24">
        <f>COUNTIFS(D:D,D1864)</f>
        <v>34</v>
      </c>
      <c r="S1864" s="1"/>
    </row>
    <row r="1865" spans="1:19" s="21" customFormat="1" x14ac:dyDescent="0.3">
      <c r="A1865" s="14">
        <v>2710</v>
      </c>
      <c r="B1865" s="21" t="s">
        <v>241</v>
      </c>
      <c r="C1865" s="21" t="s">
        <v>2612</v>
      </c>
      <c r="D1865" s="1" t="s">
        <v>1138</v>
      </c>
      <c r="E1865" s="1" t="s">
        <v>1066</v>
      </c>
      <c r="F1865" s="21" t="s">
        <v>2225</v>
      </c>
      <c r="G1865" s="14">
        <v>0</v>
      </c>
      <c r="H1865" s="14">
        <v>0</v>
      </c>
      <c r="I1865" s="25">
        <v>101</v>
      </c>
      <c r="J1865" s="23">
        <f>VLOOKUP(I1865,episodes!$A$1:$B$76,2,FALSE)</f>
        <v>2</v>
      </c>
      <c r="K1865" s="16" t="str">
        <f>VLOOKUP(I1865,episodes!$A$1:$E$81,5,FALSE)</f>
        <v>The Man Trap</v>
      </c>
      <c r="L1865" s="16">
        <f>VLOOKUP(I1865,episodes!$A$1:$D$81,3,FALSE)</f>
        <v>1</v>
      </c>
      <c r="M1865" s="16">
        <f>VLOOKUP(I1865,episodes!$A$1:$D$81,4,FALSE)</f>
        <v>1</v>
      </c>
      <c r="N1865" s="14"/>
      <c r="O1865" s="14">
        <v>0</v>
      </c>
      <c r="P1865" s="24">
        <f>LEN(E1865)+LEN(K1865)</f>
        <v>51</v>
      </c>
      <c r="Q1865" s="24">
        <f>COUNTIFS(B:B,B1864)</f>
        <v>29</v>
      </c>
      <c r="R1865" s="24">
        <f>COUNTIFS(D:D,D1865)</f>
        <v>34</v>
      </c>
      <c r="S1865" s="1"/>
    </row>
    <row r="1866" spans="1:19" s="21" customFormat="1" x14ac:dyDescent="0.3">
      <c r="A1866" s="14">
        <v>2731</v>
      </c>
      <c r="B1866" s="21" t="s">
        <v>241</v>
      </c>
      <c r="C1866" s="21" t="s">
        <v>2612</v>
      </c>
      <c r="D1866" s="1" t="s">
        <v>1138</v>
      </c>
      <c r="E1866" s="1" t="s">
        <v>1710</v>
      </c>
      <c r="F1866" s="21" t="s">
        <v>2225</v>
      </c>
      <c r="G1866" s="14">
        <v>0</v>
      </c>
      <c r="H1866" s="14">
        <v>0</v>
      </c>
      <c r="I1866" s="25">
        <v>108</v>
      </c>
      <c r="J1866" s="23">
        <f>VLOOKUP(I1866,episodes!$A$1:$B$76,2,FALSE)</f>
        <v>9</v>
      </c>
      <c r="K1866" s="16" t="str">
        <f>VLOOKUP(I1866,episodes!$A$1:$E$81,5,FALSE)</f>
        <v>Miri</v>
      </c>
      <c r="L1866" s="16">
        <f>VLOOKUP(I1866,episodes!$A$1:$D$81,3,FALSE)</f>
        <v>1</v>
      </c>
      <c r="M1866" s="16">
        <f>VLOOKUP(I1866,episodes!$A$1:$D$81,4,FALSE)</f>
        <v>8</v>
      </c>
      <c r="N1866" s="14"/>
      <c r="O1866" s="14">
        <v>0</v>
      </c>
      <c r="P1866" s="24">
        <f>LEN(E1866)+LEN(K1866)</f>
        <v>113</v>
      </c>
      <c r="Q1866" s="24">
        <f>COUNTIFS(B:B,B1865)</f>
        <v>29</v>
      </c>
      <c r="R1866" s="24">
        <f>COUNTIFS(D:D,D1866)</f>
        <v>34</v>
      </c>
      <c r="S1866" s="1"/>
    </row>
    <row r="1867" spans="1:19" s="21" customFormat="1" x14ac:dyDescent="0.3">
      <c r="A1867" s="14">
        <v>2705</v>
      </c>
      <c r="B1867" s="21" t="s">
        <v>241</v>
      </c>
      <c r="C1867" s="21" t="s">
        <v>2612</v>
      </c>
      <c r="D1867" s="1" t="s">
        <v>1137</v>
      </c>
      <c r="E1867" s="1" t="s">
        <v>1199</v>
      </c>
      <c r="F1867" s="21" t="s">
        <v>2225</v>
      </c>
      <c r="G1867" s="14">
        <v>0</v>
      </c>
      <c r="H1867" s="14">
        <v>0</v>
      </c>
      <c r="I1867" s="25">
        <v>100</v>
      </c>
      <c r="J1867" s="23">
        <f>VLOOKUP(I1867,episodes!$A$1:$B$76,2,FALSE)</f>
        <v>1</v>
      </c>
      <c r="K1867" s="16" t="str">
        <f>VLOOKUP(I1867,episodes!$A$1:$E$81,5,FALSE)</f>
        <v>The Cage</v>
      </c>
      <c r="L1867" s="16">
        <f>VLOOKUP(I1867,episodes!$A$1:$D$81,3,FALSE)</f>
        <v>1</v>
      </c>
      <c r="M1867" s="16">
        <f>VLOOKUP(I1867,episodes!$A$1:$D$81,4,FALSE)</f>
        <v>0</v>
      </c>
      <c r="N1867" s="14"/>
      <c r="O1867" s="14">
        <v>0</v>
      </c>
      <c r="P1867" s="24">
        <f>LEN(E1867)+LEN(K1867)</f>
        <v>77</v>
      </c>
      <c r="Q1867" s="24">
        <f>COUNTIFS(B:B,B1866)</f>
        <v>29</v>
      </c>
      <c r="R1867" s="24">
        <f>COUNTIFS(D:D,D1867)</f>
        <v>2</v>
      </c>
    </row>
    <row r="1868" spans="1:19" s="21" customFormat="1" x14ac:dyDescent="0.3">
      <c r="A1868" s="14">
        <v>2732</v>
      </c>
      <c r="B1868" s="21" t="s">
        <v>241</v>
      </c>
      <c r="C1868" s="21" t="s">
        <v>2612</v>
      </c>
      <c r="D1868" s="1" t="s">
        <v>1137</v>
      </c>
      <c r="E1868" s="1" t="s">
        <v>1717</v>
      </c>
      <c r="F1868" s="21" t="s">
        <v>2225</v>
      </c>
      <c r="G1868" s="14">
        <v>0</v>
      </c>
      <c r="H1868" s="14">
        <v>0</v>
      </c>
      <c r="I1868" s="25">
        <v>108</v>
      </c>
      <c r="J1868" s="23">
        <f>VLOOKUP(I1868,episodes!$A$1:$B$76,2,FALSE)</f>
        <v>9</v>
      </c>
      <c r="K1868" s="16" t="str">
        <f>VLOOKUP(I1868,episodes!$A$1:$E$81,5,FALSE)</f>
        <v>Miri</v>
      </c>
      <c r="L1868" s="16">
        <f>VLOOKUP(I1868,episodes!$A$1:$D$81,3,FALSE)</f>
        <v>1</v>
      </c>
      <c r="M1868" s="16">
        <f>VLOOKUP(I1868,episodes!$A$1:$D$81,4,FALSE)</f>
        <v>8</v>
      </c>
      <c r="N1868" s="14"/>
      <c r="O1868" s="14">
        <v>0</v>
      </c>
      <c r="P1868" s="24">
        <f>LEN(E1868)+LEN(K1868)</f>
        <v>74</v>
      </c>
      <c r="Q1868" s="24">
        <f>COUNTIFS(B:B,B1867)</f>
        <v>29</v>
      </c>
      <c r="R1868" s="24">
        <f>COUNTIFS(D:D,D1868)</f>
        <v>2</v>
      </c>
    </row>
    <row r="1869" spans="1:19" s="21" customFormat="1" x14ac:dyDescent="0.3">
      <c r="A1869" s="14">
        <v>540</v>
      </c>
      <c r="B1869" s="21" t="s">
        <v>241</v>
      </c>
      <c r="C1869" s="21" t="s">
        <v>2612</v>
      </c>
      <c r="D1869" s="1" t="s">
        <v>145</v>
      </c>
      <c r="E1869" s="1" t="s">
        <v>642</v>
      </c>
      <c r="F1869" s="21" t="s">
        <v>4</v>
      </c>
      <c r="G1869" s="14">
        <v>1</v>
      </c>
      <c r="H1869" s="14">
        <v>0</v>
      </c>
      <c r="I1869" s="25">
        <v>122</v>
      </c>
      <c r="J1869" s="23">
        <f>VLOOKUP(I1869,episodes!$A$1:$B$76,2,FALSE)</f>
        <v>23</v>
      </c>
      <c r="K1869" s="16" t="str">
        <f>VLOOKUP(I1869,episodes!$A$1:$E$81,5,FALSE)</f>
        <v>Space Seed</v>
      </c>
      <c r="L1869" s="16">
        <f>VLOOKUP(I1869,episodes!$A$1:$D$81,3,FALSE)</f>
        <v>1</v>
      </c>
      <c r="M1869" s="16">
        <f>VLOOKUP(I1869,episodes!$A$1:$D$81,4,FALSE)</f>
        <v>22</v>
      </c>
      <c r="N1869" s="14"/>
      <c r="O1869" s="14">
        <v>0</v>
      </c>
      <c r="P1869" s="24">
        <f>LEN(E1869)+LEN(K1869)</f>
        <v>96</v>
      </c>
      <c r="Q1869" s="24">
        <f>COUNTIFS(B:B,B1868)</f>
        <v>29</v>
      </c>
      <c r="R1869" s="24">
        <f>COUNTIFS(D:D,D1869)</f>
        <v>36</v>
      </c>
    </row>
    <row r="1870" spans="1:19" s="21" customFormat="1" x14ac:dyDescent="0.3">
      <c r="A1870" s="14">
        <v>205</v>
      </c>
      <c r="B1870" s="21" t="s">
        <v>260</v>
      </c>
      <c r="C1870" s="21" t="s">
        <v>149</v>
      </c>
      <c r="D1870" s="21" t="s">
        <v>149</v>
      </c>
      <c r="E1870" s="1" t="s">
        <v>656</v>
      </c>
      <c r="F1870" s="21" t="s">
        <v>2321</v>
      </c>
      <c r="G1870" s="14">
        <v>0</v>
      </c>
      <c r="H1870" s="14">
        <v>0</v>
      </c>
      <c r="I1870" s="22">
        <v>123</v>
      </c>
      <c r="J1870" s="23">
        <f>VLOOKUP(I1870,episodes!$A$1:$B$76,2,FALSE)</f>
        <v>24</v>
      </c>
      <c r="K1870" s="16" t="str">
        <f>VLOOKUP(I1870,episodes!$A$1:$E$81,5,FALSE)</f>
        <v>A Taste of Armageddon</v>
      </c>
      <c r="L1870" s="16">
        <f>VLOOKUP(I1870,episodes!$A$1:$D$81,3,FALSE)</f>
        <v>1</v>
      </c>
      <c r="M1870" s="16">
        <f>VLOOKUP(I1870,episodes!$A$1:$D$81,4,FALSE)</f>
        <v>23</v>
      </c>
      <c r="N1870" s="14"/>
      <c r="O1870" s="14">
        <v>0</v>
      </c>
      <c r="P1870" s="24">
        <f>LEN(E1870)+LEN(K1870)</f>
        <v>61</v>
      </c>
      <c r="Q1870" s="24">
        <f>COUNTIFS(B:B,B1869)</f>
        <v>29</v>
      </c>
      <c r="R1870" s="24">
        <f>COUNTIFS(D:D,D1870)</f>
        <v>12</v>
      </c>
    </row>
    <row r="1871" spans="1:19" s="21" customFormat="1" x14ac:dyDescent="0.3">
      <c r="A1871" s="14">
        <v>237</v>
      </c>
      <c r="B1871" s="21" t="s">
        <v>260</v>
      </c>
      <c r="C1871" s="21" t="s">
        <v>149</v>
      </c>
      <c r="D1871" s="21" t="s">
        <v>149</v>
      </c>
      <c r="E1871" s="1" t="s">
        <v>1749</v>
      </c>
      <c r="F1871" s="21" t="s">
        <v>56</v>
      </c>
      <c r="G1871" s="14">
        <v>0</v>
      </c>
      <c r="H1871" s="14">
        <v>0</v>
      </c>
      <c r="I1871" s="25">
        <v>110</v>
      </c>
      <c r="J1871" s="23">
        <f>VLOOKUP(I1871,episodes!$A$1:$B$76,2,FALSE)</f>
        <v>11</v>
      </c>
      <c r="K1871" s="16" t="str">
        <f>VLOOKUP(I1871,episodes!$A$1:$E$81,5,FALSE)</f>
        <v>The Corbomite Maneuver</v>
      </c>
      <c r="L1871" s="16">
        <f>VLOOKUP(I1871,episodes!$A$1:$D$81,3,FALSE)</f>
        <v>1</v>
      </c>
      <c r="M1871" s="16">
        <f>VLOOKUP(I1871,episodes!$A$1:$D$81,4,FALSE)</f>
        <v>10</v>
      </c>
      <c r="N1871" s="14"/>
      <c r="O1871" s="14">
        <v>0</v>
      </c>
      <c r="P1871" s="24">
        <f>LEN(E1871)+LEN(K1871)</f>
        <v>127</v>
      </c>
      <c r="Q1871" s="24">
        <f>COUNTIFS(B:B,B1870)</f>
        <v>147</v>
      </c>
      <c r="R1871" s="24">
        <f>COUNTIFS(D:D,D1871)</f>
        <v>12</v>
      </c>
    </row>
    <row r="1872" spans="1:19" s="21" customFormat="1" x14ac:dyDescent="0.3">
      <c r="A1872" s="14">
        <v>1740</v>
      </c>
      <c r="B1872" s="21" t="s">
        <v>260</v>
      </c>
      <c r="C1872" s="21" t="s">
        <v>149</v>
      </c>
      <c r="D1872" s="21" t="s">
        <v>149</v>
      </c>
      <c r="E1872" s="1" t="s">
        <v>1760</v>
      </c>
      <c r="F1872" s="21" t="s">
        <v>2332</v>
      </c>
      <c r="G1872" s="14">
        <v>0</v>
      </c>
      <c r="H1872" s="14">
        <v>0</v>
      </c>
      <c r="I1872" s="25">
        <v>111</v>
      </c>
      <c r="J1872" s="23">
        <f>VLOOKUP(I1872,episodes!$A$1:$B$76,2,FALSE)</f>
        <v>12</v>
      </c>
      <c r="K1872" s="16" t="str">
        <f>VLOOKUP(I1872,episodes!$A$1:$E$81,5,FALSE)</f>
        <v>The Menagerie, Part I</v>
      </c>
      <c r="L1872" s="16">
        <f>VLOOKUP(I1872,episodes!$A$1:$D$81,3,FALSE)</f>
        <v>1</v>
      </c>
      <c r="M1872" s="16">
        <f>VLOOKUP(I1872,episodes!$A$1:$D$81,4,FALSE)</f>
        <v>11</v>
      </c>
      <c r="N1872" s="14"/>
      <c r="O1872" s="14">
        <v>0</v>
      </c>
      <c r="P1872" s="24">
        <f>LEN(E1872)+LEN(K1872)</f>
        <v>69</v>
      </c>
      <c r="Q1872" s="24">
        <f>COUNTIFS(B:B,B1871)</f>
        <v>147</v>
      </c>
      <c r="R1872" s="24">
        <f>COUNTIFS(D:D,D1872)</f>
        <v>12</v>
      </c>
    </row>
    <row r="1873" spans="1:18" s="21" customFormat="1" x14ac:dyDescent="0.3">
      <c r="A1873" s="14">
        <v>1741</v>
      </c>
      <c r="B1873" s="21" t="s">
        <v>260</v>
      </c>
      <c r="C1873" s="21" t="s">
        <v>149</v>
      </c>
      <c r="D1873" s="21" t="s">
        <v>149</v>
      </c>
      <c r="E1873" s="1" t="s">
        <v>1761</v>
      </c>
      <c r="F1873" s="21" t="s">
        <v>2332</v>
      </c>
      <c r="G1873" s="14">
        <v>0</v>
      </c>
      <c r="H1873" s="14">
        <v>0</v>
      </c>
      <c r="I1873" s="25">
        <v>111</v>
      </c>
      <c r="J1873" s="23">
        <f>VLOOKUP(I1873,episodes!$A$1:$B$76,2,FALSE)</f>
        <v>12</v>
      </c>
      <c r="K1873" s="16" t="str">
        <f>VLOOKUP(I1873,episodes!$A$1:$E$81,5,FALSE)</f>
        <v>The Menagerie, Part I</v>
      </c>
      <c r="L1873" s="16">
        <f>VLOOKUP(I1873,episodes!$A$1:$D$81,3,FALSE)</f>
        <v>1</v>
      </c>
      <c r="M1873" s="16">
        <f>VLOOKUP(I1873,episodes!$A$1:$D$81,4,FALSE)</f>
        <v>11</v>
      </c>
      <c r="N1873" s="14"/>
      <c r="O1873" s="14">
        <v>0</v>
      </c>
      <c r="P1873" s="24">
        <f>LEN(E1873)+LEN(K1873)</f>
        <v>107</v>
      </c>
      <c r="Q1873" s="24">
        <f>COUNTIFS(B:B,B1872)</f>
        <v>147</v>
      </c>
      <c r="R1873" s="24">
        <f>COUNTIFS(D:D,D1873)</f>
        <v>12</v>
      </c>
    </row>
    <row r="1874" spans="1:18" s="21" customFormat="1" x14ac:dyDescent="0.3">
      <c r="A1874" s="14">
        <v>2553</v>
      </c>
      <c r="B1874" s="21" t="s">
        <v>260</v>
      </c>
      <c r="C1874" s="21" t="s">
        <v>149</v>
      </c>
      <c r="D1874" s="21" t="s">
        <v>149</v>
      </c>
      <c r="E1874" s="1" t="s">
        <v>1629</v>
      </c>
      <c r="F1874" s="21" t="s">
        <v>2245</v>
      </c>
      <c r="G1874" s="14">
        <v>0</v>
      </c>
      <c r="H1874" s="14">
        <v>0</v>
      </c>
      <c r="I1874" s="22">
        <v>207</v>
      </c>
      <c r="J1874" s="23">
        <f>VLOOKUP(I1874,episodes!$A$1:$B$81,2,FALSE)</f>
        <v>37</v>
      </c>
      <c r="K1874" s="16" t="str">
        <f>VLOOKUP(I1874,episodes!$A$1:$E$81,5,FALSE)</f>
        <v>Catspaw</v>
      </c>
      <c r="L1874" s="16">
        <f>VLOOKUP(I1874,episodes!$A$1:$D$81,3,FALSE)</f>
        <v>2</v>
      </c>
      <c r="M1874" s="16">
        <f>VLOOKUP(I1874,episodes!$A$1:$D$81,4,FALSE)</f>
        <v>7</v>
      </c>
      <c r="N1874" s="14"/>
      <c r="O1874" s="14">
        <v>0</v>
      </c>
      <c r="P1874" s="24">
        <f>LEN(E1874)+LEN(K1874)</f>
        <v>130</v>
      </c>
      <c r="Q1874" s="24"/>
      <c r="R1874" s="24"/>
    </row>
    <row r="1875" spans="1:18" s="21" customFormat="1" x14ac:dyDescent="0.3">
      <c r="A1875" s="14">
        <v>2616</v>
      </c>
      <c r="B1875" s="21" t="s">
        <v>260</v>
      </c>
      <c r="C1875" s="21" t="s">
        <v>149</v>
      </c>
      <c r="D1875" s="21" t="s">
        <v>149</v>
      </c>
      <c r="E1875" s="1" t="s">
        <v>633</v>
      </c>
      <c r="F1875" s="21" t="s">
        <v>1863</v>
      </c>
      <c r="G1875" s="14">
        <v>1</v>
      </c>
      <c r="H1875" s="14">
        <v>0</v>
      </c>
      <c r="I1875" s="22">
        <v>121</v>
      </c>
      <c r="J1875" s="23">
        <f>VLOOKUP(I1875,episodes!$A$1:$B$76,2,FALSE)</f>
        <v>22</v>
      </c>
      <c r="K1875" s="16" t="str">
        <f>VLOOKUP(I1875,episodes!$A$1:$E$81,5,FALSE)</f>
        <v>The Return of the Archons</v>
      </c>
      <c r="L1875" s="16">
        <f>VLOOKUP(I1875,episodes!$A$1:$D$81,3,FALSE)</f>
        <v>1</v>
      </c>
      <c r="M1875" s="16">
        <f>VLOOKUP(I1875,episodes!$A$1:$D$81,4,FALSE)</f>
        <v>21</v>
      </c>
      <c r="N1875" s="14"/>
      <c r="O1875" s="14">
        <v>0</v>
      </c>
      <c r="P1875" s="24">
        <f>LEN(E1875)+LEN(K1875)</f>
        <v>125</v>
      </c>
      <c r="Q1875" s="24">
        <f>COUNTIFS(B:B,B1874)</f>
        <v>147</v>
      </c>
      <c r="R1875" s="24">
        <f>COUNTIFS(D:D,D1875)</f>
        <v>12</v>
      </c>
    </row>
    <row r="1876" spans="1:18" s="21" customFormat="1" x14ac:dyDescent="0.3">
      <c r="A1876" s="14">
        <v>203</v>
      </c>
      <c r="B1876" s="21" t="s">
        <v>260</v>
      </c>
      <c r="C1876" s="21" t="s">
        <v>149</v>
      </c>
      <c r="D1876" s="21" t="s">
        <v>149</v>
      </c>
      <c r="E1876" s="1" t="s">
        <v>1327</v>
      </c>
      <c r="F1876" s="21" t="s">
        <v>2321</v>
      </c>
      <c r="G1876" s="14">
        <v>0</v>
      </c>
      <c r="H1876" s="14">
        <v>0</v>
      </c>
      <c r="I1876" s="22">
        <v>123</v>
      </c>
      <c r="J1876" s="23">
        <f>VLOOKUP(I1876,episodes!$A$1:$B$76,2,FALSE)</f>
        <v>24</v>
      </c>
      <c r="K1876" s="16" t="str">
        <f>VLOOKUP(I1876,episodes!$A$1:$E$81,5,FALSE)</f>
        <v>A Taste of Armageddon</v>
      </c>
      <c r="L1876" s="16">
        <f>VLOOKUP(I1876,episodes!$A$1:$D$81,3,FALSE)</f>
        <v>1</v>
      </c>
      <c r="M1876" s="16">
        <f>VLOOKUP(I1876,episodes!$A$1:$D$81,4,FALSE)</f>
        <v>23</v>
      </c>
      <c r="N1876" s="14"/>
      <c r="O1876" s="14">
        <v>0</v>
      </c>
      <c r="P1876" s="24">
        <f>LEN(E1876)+LEN(K1876)</f>
        <v>66</v>
      </c>
      <c r="Q1876" s="24">
        <f>COUNTIFS(B:B,B1874)</f>
        <v>147</v>
      </c>
      <c r="R1876" s="24">
        <f>COUNTIFS(D:D,D1876)</f>
        <v>12</v>
      </c>
    </row>
    <row r="1877" spans="1:18" s="21" customFormat="1" x14ac:dyDescent="0.3">
      <c r="A1877" s="14">
        <v>305</v>
      </c>
      <c r="B1877" s="21" t="s">
        <v>260</v>
      </c>
      <c r="C1877" s="21" t="s">
        <v>149</v>
      </c>
      <c r="D1877" s="21" t="s">
        <v>149</v>
      </c>
      <c r="E1877" s="1" t="s">
        <v>1557</v>
      </c>
      <c r="F1877" s="21" t="s">
        <v>2224</v>
      </c>
      <c r="G1877" s="14">
        <v>0</v>
      </c>
      <c r="H1877" s="14">
        <v>0</v>
      </c>
      <c r="I1877" s="22">
        <v>122</v>
      </c>
      <c r="J1877" s="23">
        <f>VLOOKUP(I1877,episodes!$A$1:$B$76,2,FALSE)</f>
        <v>23</v>
      </c>
      <c r="K1877" s="16" t="str">
        <f>VLOOKUP(I1877,episodes!$A$1:$E$81,5,FALSE)</f>
        <v>Space Seed</v>
      </c>
      <c r="L1877" s="16">
        <f>VLOOKUP(I1877,episodes!$A$1:$D$81,3,FALSE)</f>
        <v>1</v>
      </c>
      <c r="M1877" s="16">
        <f>VLOOKUP(I1877,episodes!$A$1:$D$81,4,FALSE)</f>
        <v>22</v>
      </c>
      <c r="N1877" s="14"/>
      <c r="O1877" s="14">
        <v>0</v>
      </c>
      <c r="P1877" s="24">
        <f>LEN(E1877)+LEN(K1877)</f>
        <v>42</v>
      </c>
      <c r="Q1877" s="24">
        <f>COUNTIFS(B:B,B1876)</f>
        <v>147</v>
      </c>
      <c r="R1877" s="24">
        <f>COUNTIFS(D:D,D1877)</f>
        <v>12</v>
      </c>
    </row>
    <row r="1878" spans="1:18" s="21" customFormat="1" x14ac:dyDescent="0.3">
      <c r="A1878" s="14">
        <v>1471</v>
      </c>
      <c r="B1878" s="21" t="s">
        <v>260</v>
      </c>
      <c r="C1878" s="21" t="s">
        <v>149</v>
      </c>
      <c r="D1878" s="1" t="s">
        <v>149</v>
      </c>
      <c r="E1878" s="1" t="s">
        <v>1563</v>
      </c>
      <c r="F1878" s="21" t="s">
        <v>2331</v>
      </c>
      <c r="G1878" s="14">
        <v>0</v>
      </c>
      <c r="H1878" s="14">
        <v>0</v>
      </c>
      <c r="I1878" s="25">
        <v>106</v>
      </c>
      <c r="J1878" s="23">
        <f>VLOOKUP(I1878,episodes!$A$1:$B$76,2,FALSE)</f>
        <v>7</v>
      </c>
      <c r="K1878" s="16" t="str">
        <f>VLOOKUP(I1878,episodes!$A$1:$E$81,5,FALSE)</f>
        <v>Mudd's Women</v>
      </c>
      <c r="L1878" s="16">
        <f>VLOOKUP(I1878,episodes!$A$1:$D$81,3,FALSE)</f>
        <v>1</v>
      </c>
      <c r="M1878" s="16">
        <f>VLOOKUP(I1878,episodes!$A$1:$D$81,4,FALSE)</f>
        <v>6</v>
      </c>
      <c r="N1878" s="14"/>
      <c r="O1878" s="14">
        <v>0</v>
      </c>
      <c r="P1878" s="24">
        <f>LEN(E1878)+LEN(K1878)</f>
        <v>103</v>
      </c>
      <c r="Q1878" s="24">
        <f>COUNTIFS(B:B,B1877)</f>
        <v>147</v>
      </c>
      <c r="R1878" s="24">
        <f>COUNTIFS(D:D,D1878)</f>
        <v>12</v>
      </c>
    </row>
    <row r="1879" spans="1:18" s="21" customFormat="1" x14ac:dyDescent="0.3">
      <c r="A1879" s="14">
        <v>318</v>
      </c>
      <c r="B1879" s="21" t="s">
        <v>260</v>
      </c>
      <c r="C1879" s="21" t="s">
        <v>149</v>
      </c>
      <c r="D1879" s="21" t="s">
        <v>149</v>
      </c>
      <c r="E1879" s="1" t="s">
        <v>1451</v>
      </c>
      <c r="F1879" s="21" t="s">
        <v>2224</v>
      </c>
      <c r="G1879" s="14">
        <v>0</v>
      </c>
      <c r="H1879" s="14">
        <v>0</v>
      </c>
      <c r="I1879" s="22">
        <v>124</v>
      </c>
      <c r="J1879" s="23">
        <f>VLOOKUP(I1879,episodes!$A$1:$B$76,2,FALSE)</f>
        <v>25</v>
      </c>
      <c r="K1879" s="16" t="str">
        <f>VLOOKUP(I1879,episodes!$A$1:$E$81,5,FALSE)</f>
        <v>This Side of Paradise</v>
      </c>
      <c r="L1879" s="16">
        <f>VLOOKUP(I1879,episodes!$A$1:$D$81,3,FALSE)</f>
        <v>1</v>
      </c>
      <c r="M1879" s="16">
        <f>VLOOKUP(I1879,episodes!$A$1:$D$81,4,FALSE)</f>
        <v>24</v>
      </c>
      <c r="N1879" s="14"/>
      <c r="O1879" s="14">
        <v>0</v>
      </c>
      <c r="P1879" s="24">
        <f>LEN(E1879)+LEN(K1879)</f>
        <v>67</v>
      </c>
      <c r="Q1879" s="24">
        <f>COUNTIFS(B:B,B1878)</f>
        <v>147</v>
      </c>
      <c r="R1879" s="24">
        <f>COUNTIFS(D:D,D1879)</f>
        <v>12</v>
      </c>
    </row>
    <row r="1880" spans="1:18" s="21" customFormat="1" x14ac:dyDescent="0.3">
      <c r="A1880" s="14">
        <v>1971</v>
      </c>
      <c r="B1880" s="21" t="s">
        <v>260</v>
      </c>
      <c r="C1880" s="21" t="s">
        <v>149</v>
      </c>
      <c r="D1880" s="21" t="s">
        <v>149</v>
      </c>
      <c r="E1880" s="1" t="s">
        <v>1328</v>
      </c>
      <c r="F1880" s="21" t="s">
        <v>6</v>
      </c>
      <c r="G1880" s="14">
        <v>0</v>
      </c>
      <c r="H1880" s="14">
        <v>1</v>
      </c>
      <c r="I1880" s="22">
        <v>123</v>
      </c>
      <c r="J1880" s="23">
        <f>VLOOKUP(I1880,episodes!$A$1:$B$76,2,FALSE)</f>
        <v>24</v>
      </c>
      <c r="K1880" s="16" t="str">
        <f>VLOOKUP(I1880,episodes!$A$1:$E$81,5,FALSE)</f>
        <v>A Taste of Armageddon</v>
      </c>
      <c r="L1880" s="16">
        <f>VLOOKUP(I1880,episodes!$A$1:$D$81,3,FALSE)</f>
        <v>1</v>
      </c>
      <c r="M1880" s="16">
        <f>VLOOKUP(I1880,episodes!$A$1:$D$81,4,FALSE)</f>
        <v>23</v>
      </c>
      <c r="N1880" s="14"/>
      <c r="O1880" s="14">
        <v>0</v>
      </c>
      <c r="P1880" s="24">
        <f>LEN(E1880)+LEN(K1880)</f>
        <v>48</v>
      </c>
      <c r="Q1880" s="24">
        <f>COUNTIFS(B:B,B1879)</f>
        <v>147</v>
      </c>
      <c r="R1880" s="24">
        <f>COUNTIFS(D:D,D1880)</f>
        <v>12</v>
      </c>
    </row>
    <row r="1881" spans="1:18" s="21" customFormat="1" x14ac:dyDescent="0.3">
      <c r="A1881" s="14">
        <v>2499</v>
      </c>
      <c r="B1881" s="21" t="s">
        <v>260</v>
      </c>
      <c r="C1881" s="21" t="s">
        <v>149</v>
      </c>
      <c r="D1881" s="21" t="s">
        <v>149</v>
      </c>
      <c r="E1881" s="1" t="s">
        <v>1282</v>
      </c>
      <c r="F1881" s="21" t="s">
        <v>1863</v>
      </c>
      <c r="G1881" s="14">
        <v>1</v>
      </c>
      <c r="H1881" s="14">
        <v>0</v>
      </c>
      <c r="I1881" s="22">
        <v>117</v>
      </c>
      <c r="J1881" s="23">
        <f>VLOOKUP(I1881,episodes!$A$1:$B$76,2,FALSE)</f>
        <v>18</v>
      </c>
      <c r="K1881" s="16" t="str">
        <f>VLOOKUP(I1881,episodes!$A$1:$E$81,5,FALSE)</f>
        <v>The Squire of Gothos</v>
      </c>
      <c r="L1881" s="16">
        <f>VLOOKUP(I1881,episodes!$A$1:$D$81,3,FALSE)</f>
        <v>1</v>
      </c>
      <c r="M1881" s="16">
        <f>VLOOKUP(I1881,episodes!$A$1:$D$81,4,FALSE)</f>
        <v>17</v>
      </c>
      <c r="N1881" s="14"/>
      <c r="O1881" s="14">
        <v>0</v>
      </c>
      <c r="P1881" s="24">
        <f>LEN(E1881)+LEN(K1881)</f>
        <v>54</v>
      </c>
      <c r="Q1881" s="24">
        <f>COUNTIFS(B:B,B1880)</f>
        <v>147</v>
      </c>
      <c r="R1881" s="24">
        <f>COUNTIFS(D:D,D1881)</f>
        <v>12</v>
      </c>
    </row>
    <row r="1882" spans="1:18" s="21" customFormat="1" x14ac:dyDescent="0.3">
      <c r="A1882" s="14">
        <v>1164</v>
      </c>
      <c r="B1882" s="21" t="s">
        <v>260</v>
      </c>
      <c r="C1882" s="21" t="s">
        <v>149</v>
      </c>
      <c r="D1882" s="21" t="s">
        <v>2592</v>
      </c>
      <c r="E1882" s="1" t="s">
        <v>1784</v>
      </c>
      <c r="F1882" s="21" t="s">
        <v>1862</v>
      </c>
      <c r="G1882" s="14">
        <v>0</v>
      </c>
      <c r="H1882" s="14">
        <v>2</v>
      </c>
      <c r="I1882" s="22">
        <v>114</v>
      </c>
      <c r="J1882" s="23">
        <f>VLOOKUP(I1882,episodes!$A$1:$B$76,2,FALSE)</f>
        <v>15</v>
      </c>
      <c r="K1882" s="16" t="str">
        <f>VLOOKUP(I1882,episodes!$A$1:$E$81,5,FALSE)</f>
        <v>Balance of Terror</v>
      </c>
      <c r="L1882" s="16">
        <f>VLOOKUP(I1882,episodes!$A$1:$D$81,3,FALSE)</f>
        <v>1</v>
      </c>
      <c r="M1882" s="16">
        <f>VLOOKUP(I1882,episodes!$A$1:$D$81,4,FALSE)</f>
        <v>14</v>
      </c>
      <c r="N1882" s="14"/>
      <c r="O1882" s="14">
        <v>0</v>
      </c>
      <c r="P1882" s="24">
        <f>LEN(E1882)+LEN(K1882)</f>
        <v>102</v>
      </c>
      <c r="Q1882" s="24"/>
      <c r="R1882" s="24"/>
    </row>
    <row r="1883" spans="1:18" s="21" customFormat="1" x14ac:dyDescent="0.3">
      <c r="A1883" s="14">
        <v>2379</v>
      </c>
      <c r="B1883" s="21" t="s">
        <v>260</v>
      </c>
      <c r="C1883" s="21" t="s">
        <v>149</v>
      </c>
      <c r="D1883" s="1" t="s">
        <v>2589</v>
      </c>
      <c r="E1883" s="1" t="s">
        <v>936</v>
      </c>
      <c r="F1883" s="21" t="s">
        <v>146</v>
      </c>
      <c r="G1883" s="14">
        <v>0</v>
      </c>
      <c r="H1883" s="14">
        <v>0</v>
      </c>
      <c r="I1883" s="25">
        <v>206</v>
      </c>
      <c r="J1883" s="23">
        <f>VLOOKUP(I1883,episodes!$A$1:$B$81,2,FALSE)</f>
        <v>36</v>
      </c>
      <c r="K1883" s="16" t="str">
        <f>VLOOKUP(I1883,episodes!$A$1:$E$81,5,FALSE)</f>
        <v>The Doomsday Machine</v>
      </c>
      <c r="L1883" s="16">
        <f>VLOOKUP(I1883,episodes!$A$1:$D$81,3,FALSE)</f>
        <v>2</v>
      </c>
      <c r="M1883" s="16">
        <f>VLOOKUP(I1883,episodes!$A$1:$D$81,4,FALSE)</f>
        <v>6</v>
      </c>
      <c r="N1883" s="14"/>
      <c r="O1883" s="14">
        <v>0</v>
      </c>
      <c r="P1883" s="24">
        <f>LEN(E1883)+LEN(K1883)</f>
        <v>69</v>
      </c>
      <c r="Q1883" s="24"/>
      <c r="R1883" s="24"/>
    </row>
    <row r="1884" spans="1:18" x14ac:dyDescent="0.3">
      <c r="A1884" s="14">
        <v>2381</v>
      </c>
      <c r="B1884" s="21" t="s">
        <v>260</v>
      </c>
      <c r="C1884" s="21" t="s">
        <v>149</v>
      </c>
      <c r="D1884" s="1" t="s">
        <v>2589</v>
      </c>
      <c r="E1884" s="1" t="s">
        <v>1414</v>
      </c>
      <c r="F1884" s="21" t="s">
        <v>146</v>
      </c>
      <c r="G1884" s="14">
        <v>0</v>
      </c>
      <c r="H1884" s="14">
        <v>0</v>
      </c>
      <c r="I1884" s="25">
        <v>206</v>
      </c>
      <c r="J1884" s="23">
        <f>VLOOKUP(I1884,episodes!$A$1:$B$81,2,FALSE)</f>
        <v>36</v>
      </c>
      <c r="K1884" s="16" t="str">
        <f>VLOOKUP(I1884,episodes!$A$1:$E$81,5,FALSE)</f>
        <v>The Doomsday Machine</v>
      </c>
      <c r="L1884" s="16">
        <f>VLOOKUP(I1884,episodes!$A$1:$D$81,3,FALSE)</f>
        <v>2</v>
      </c>
      <c r="M1884" s="16">
        <f>VLOOKUP(I1884,episodes!$A$1:$D$81,4,FALSE)</f>
        <v>6</v>
      </c>
      <c r="O1884" s="14">
        <v>0</v>
      </c>
      <c r="P1884" s="24">
        <f>LEN(E1884)+LEN(K1884)</f>
        <v>78</v>
      </c>
      <c r="Q1884" s="24"/>
      <c r="R1884" s="24"/>
    </row>
    <row r="1885" spans="1:18" x14ac:dyDescent="0.3">
      <c r="A1885" s="14">
        <v>2383</v>
      </c>
      <c r="B1885" s="21" t="s">
        <v>260</v>
      </c>
      <c r="C1885" s="21" t="s">
        <v>149</v>
      </c>
      <c r="D1885" s="1" t="s">
        <v>2589</v>
      </c>
      <c r="E1885" s="1" t="s">
        <v>2357</v>
      </c>
      <c r="F1885" s="21" t="s">
        <v>146</v>
      </c>
      <c r="G1885" s="14">
        <v>0</v>
      </c>
      <c r="H1885" s="14">
        <v>0</v>
      </c>
      <c r="I1885" s="25">
        <v>206</v>
      </c>
      <c r="J1885" s="23">
        <f>VLOOKUP(I1885,episodes!$A$1:$B$81,2,FALSE)</f>
        <v>36</v>
      </c>
      <c r="K1885" s="16" t="str">
        <f>VLOOKUP(I1885,episodes!$A$1:$E$81,5,FALSE)</f>
        <v>The Doomsday Machine</v>
      </c>
      <c r="L1885" s="16">
        <f>VLOOKUP(I1885,episodes!$A$1:$D$81,3,FALSE)</f>
        <v>2</v>
      </c>
      <c r="M1885" s="16">
        <f>VLOOKUP(I1885,episodes!$A$1:$D$81,4,FALSE)</f>
        <v>6</v>
      </c>
      <c r="O1885" s="14">
        <v>0</v>
      </c>
      <c r="P1885" s="24">
        <f>LEN(E1885)+LEN(K1885)</f>
        <v>180</v>
      </c>
      <c r="Q1885" s="24"/>
      <c r="R1885" s="24"/>
    </row>
    <row r="1886" spans="1:18" x14ac:dyDescent="0.3">
      <c r="A1886" s="14">
        <v>2385</v>
      </c>
      <c r="B1886" s="21" t="s">
        <v>260</v>
      </c>
      <c r="C1886" s="21" t="s">
        <v>149</v>
      </c>
      <c r="D1886" s="1" t="s">
        <v>2589</v>
      </c>
      <c r="E1886" s="1" t="s">
        <v>1971</v>
      </c>
      <c r="F1886" s="21" t="s">
        <v>146</v>
      </c>
      <c r="G1886" s="14">
        <v>0</v>
      </c>
      <c r="H1886" s="14">
        <v>0</v>
      </c>
      <c r="I1886" s="25">
        <v>206</v>
      </c>
      <c r="J1886" s="23">
        <f>VLOOKUP(I1886,episodes!$A$1:$B$81,2,FALSE)</f>
        <v>36</v>
      </c>
      <c r="K1886" s="16" t="str">
        <f>VLOOKUP(I1886,episodes!$A$1:$E$81,5,FALSE)</f>
        <v>The Doomsday Machine</v>
      </c>
      <c r="L1886" s="16">
        <f>VLOOKUP(I1886,episodes!$A$1:$D$81,3,FALSE)</f>
        <v>2</v>
      </c>
      <c r="M1886" s="16">
        <f>VLOOKUP(I1886,episodes!$A$1:$D$81,4,FALSE)</f>
        <v>6</v>
      </c>
      <c r="O1886" s="14">
        <v>0</v>
      </c>
      <c r="P1886" s="24">
        <f>LEN(E1886)+LEN(K1886)</f>
        <v>104</v>
      </c>
      <c r="Q1886" s="24"/>
      <c r="R1886" s="24"/>
    </row>
    <row r="1887" spans="1:18" x14ac:dyDescent="0.3">
      <c r="A1887" s="14">
        <v>1154</v>
      </c>
      <c r="B1887" s="21" t="s">
        <v>260</v>
      </c>
      <c r="C1887" s="21" t="s">
        <v>149</v>
      </c>
      <c r="D1887" s="1" t="s">
        <v>2589</v>
      </c>
      <c r="E1887" s="1" t="s">
        <v>1449</v>
      </c>
      <c r="F1887" s="21" t="s">
        <v>2233</v>
      </c>
      <c r="G1887" s="14">
        <v>0</v>
      </c>
      <c r="H1887" s="14">
        <v>0</v>
      </c>
      <c r="I1887" s="25">
        <v>206</v>
      </c>
      <c r="J1887" s="23">
        <f>VLOOKUP(I1887,episodes!$A$1:$B$81,2,FALSE)</f>
        <v>36</v>
      </c>
      <c r="K1887" s="16" t="str">
        <f>VLOOKUP(I1887,episodes!$A$1:$E$81,5,FALSE)</f>
        <v>The Doomsday Machine</v>
      </c>
      <c r="L1887" s="16">
        <f>VLOOKUP(I1887,episodes!$A$1:$D$81,3,FALSE)</f>
        <v>2</v>
      </c>
      <c r="M1887" s="16">
        <f>VLOOKUP(I1887,episodes!$A$1:$D$81,4,FALSE)</f>
        <v>6</v>
      </c>
      <c r="O1887" s="14">
        <v>0</v>
      </c>
      <c r="P1887" s="24">
        <f>LEN(E1887)+LEN(K1887)</f>
        <v>175</v>
      </c>
      <c r="Q1887" s="24"/>
      <c r="R1887" s="24"/>
    </row>
    <row r="1888" spans="1:18" x14ac:dyDescent="0.3">
      <c r="A1888" s="14">
        <v>1430</v>
      </c>
      <c r="B1888" s="21" t="s">
        <v>260</v>
      </c>
      <c r="C1888" s="21" t="s">
        <v>149</v>
      </c>
      <c r="D1888" s="21" t="s">
        <v>2588</v>
      </c>
      <c r="E1888" s="1" t="s">
        <v>1758</v>
      </c>
      <c r="F1888" s="21" t="s">
        <v>4</v>
      </c>
      <c r="G1888" s="14">
        <v>1</v>
      </c>
      <c r="H1888" s="14">
        <v>0</v>
      </c>
      <c r="I1888" s="25">
        <v>206</v>
      </c>
      <c r="J1888" s="23">
        <f>VLOOKUP(I1888,episodes!$A$1:$B$81,2,FALSE)</f>
        <v>36</v>
      </c>
      <c r="K1888" s="16" t="str">
        <f>VLOOKUP(I1888,episodes!$A$1:$E$81,5,FALSE)</f>
        <v>The Doomsday Machine</v>
      </c>
      <c r="L1888" s="16">
        <f>VLOOKUP(I1888,episodes!$A$1:$D$81,3,FALSE)</f>
        <v>2</v>
      </c>
      <c r="M1888" s="16">
        <f>VLOOKUP(I1888,episodes!$A$1:$D$81,4,FALSE)</f>
        <v>6</v>
      </c>
      <c r="O1888" s="14">
        <v>0</v>
      </c>
      <c r="P1888" s="24">
        <f>LEN(E1888)+LEN(K1888)</f>
        <v>167</v>
      </c>
      <c r="Q1888" s="24">
        <f>COUNTIFS(B:B,#REF!)</f>
        <v>0</v>
      </c>
      <c r="R1888" s="24">
        <f>COUNTIFS(D:D,D1888)</f>
        <v>45</v>
      </c>
    </row>
    <row r="1889" spans="1:18" x14ac:dyDescent="0.3">
      <c r="A1889" s="14">
        <v>1406</v>
      </c>
      <c r="B1889" s="21" t="s">
        <v>260</v>
      </c>
      <c r="C1889" s="21" t="s">
        <v>149</v>
      </c>
      <c r="D1889" s="21" t="s">
        <v>2587</v>
      </c>
      <c r="E1889" s="1" t="s">
        <v>2171</v>
      </c>
      <c r="F1889" s="21" t="s">
        <v>4</v>
      </c>
      <c r="G1889" s="14">
        <v>1</v>
      </c>
      <c r="H1889" s="14">
        <v>0</v>
      </c>
      <c r="I1889" s="22">
        <v>129</v>
      </c>
      <c r="J1889" s="23">
        <f>VLOOKUP(I1889,episodes!$A$1:$B$76,2,FALSE)</f>
        <v>30</v>
      </c>
      <c r="K1889" s="16" t="str">
        <f>VLOOKUP(I1889,episodes!$A$1:$E$81,5,FALSE)</f>
        <v>Operation: Annihilate!</v>
      </c>
      <c r="L1889" s="16">
        <f>VLOOKUP(I1889,episodes!$A$1:$D$81,3,FALSE)</f>
        <v>1</v>
      </c>
      <c r="M1889" s="16">
        <f>VLOOKUP(I1889,episodes!$A$1:$D$81,4,FALSE)</f>
        <v>29</v>
      </c>
      <c r="O1889" s="14">
        <v>0</v>
      </c>
      <c r="P1889" s="24">
        <f>LEN(E1889)+LEN(K1889)</f>
        <v>209</v>
      </c>
      <c r="Q1889" s="24">
        <f>COUNTIFS(B:B,B1888)</f>
        <v>147</v>
      </c>
      <c r="R1889" s="24">
        <f>COUNTIFS(D:D,D1889)</f>
        <v>44</v>
      </c>
    </row>
    <row r="1890" spans="1:18" x14ac:dyDescent="0.3">
      <c r="A1890" s="14">
        <v>608</v>
      </c>
      <c r="B1890" s="21" t="s">
        <v>260</v>
      </c>
      <c r="C1890" s="21" t="s">
        <v>149</v>
      </c>
      <c r="D1890" s="21" t="s">
        <v>2587</v>
      </c>
      <c r="E1890" s="1" t="s">
        <v>1562</v>
      </c>
      <c r="F1890" s="21" t="s">
        <v>4</v>
      </c>
      <c r="G1890" s="14">
        <v>1</v>
      </c>
      <c r="H1890" s="14">
        <v>0</v>
      </c>
      <c r="I1890" s="25">
        <v>106</v>
      </c>
      <c r="J1890" s="23">
        <f>VLOOKUP(I1890,episodes!$A$1:$B$76,2,FALSE)</f>
        <v>7</v>
      </c>
      <c r="K1890" s="16" t="str">
        <f>VLOOKUP(I1890,episodes!$A$1:$E$81,5,FALSE)</f>
        <v>Mudd's Women</v>
      </c>
      <c r="L1890" s="16">
        <f>VLOOKUP(I1890,episodes!$A$1:$D$81,3,FALSE)</f>
        <v>1</v>
      </c>
      <c r="M1890" s="16">
        <f>VLOOKUP(I1890,episodes!$A$1:$D$81,4,FALSE)</f>
        <v>6</v>
      </c>
      <c r="O1890" s="14">
        <v>0</v>
      </c>
      <c r="P1890" s="24">
        <f>LEN(E1890)+LEN(K1890)</f>
        <v>75</v>
      </c>
      <c r="Q1890" s="24">
        <f>COUNTIFS(B:B,#REF!)</f>
        <v>0</v>
      </c>
      <c r="R1890" s="24">
        <f>COUNTIFS(D:D,D1890)</f>
        <v>44</v>
      </c>
    </row>
    <row r="1891" spans="1:18" x14ac:dyDescent="0.3">
      <c r="A1891" s="14">
        <v>1378</v>
      </c>
      <c r="B1891" s="21" t="s">
        <v>260</v>
      </c>
      <c r="C1891" s="21" t="s">
        <v>149</v>
      </c>
      <c r="D1891" s="21" t="s">
        <v>2587</v>
      </c>
      <c r="E1891" s="1" t="s">
        <v>1260</v>
      </c>
      <c r="F1891" s="21" t="s">
        <v>4</v>
      </c>
      <c r="G1891" s="14">
        <v>1</v>
      </c>
      <c r="H1891" s="14">
        <v>0</v>
      </c>
      <c r="I1891" s="25">
        <v>113</v>
      </c>
      <c r="J1891" s="23">
        <f>VLOOKUP(I1891,episodes!$A$1:$B$76,2,FALSE)</f>
        <v>14</v>
      </c>
      <c r="K1891" s="16" t="str">
        <f>VLOOKUP(I1891,episodes!$A$1:$E$81,5,FALSE)</f>
        <v>The Conscience of the King</v>
      </c>
      <c r="L1891" s="16">
        <f>VLOOKUP(I1891,episodes!$A$1:$D$81,3,FALSE)</f>
        <v>1</v>
      </c>
      <c r="M1891" s="16">
        <f>VLOOKUP(I1891,episodes!$A$1:$D$81,4,FALSE)</f>
        <v>13</v>
      </c>
      <c r="O1891" s="14">
        <v>0</v>
      </c>
      <c r="P1891" s="24">
        <f>LEN(E1891)+LEN(K1891)</f>
        <v>90</v>
      </c>
      <c r="Q1891" s="24">
        <f>COUNTIFS(B:B,#REF!)</f>
        <v>0</v>
      </c>
      <c r="R1891" s="24">
        <f>COUNTIFS(D:D,D1891)</f>
        <v>44</v>
      </c>
    </row>
    <row r="1892" spans="1:18" x14ac:dyDescent="0.3">
      <c r="A1892" s="14">
        <v>1414</v>
      </c>
      <c r="B1892" s="21" t="s">
        <v>260</v>
      </c>
      <c r="C1892" s="21" t="s">
        <v>149</v>
      </c>
      <c r="D1892" s="21" t="s">
        <v>2587</v>
      </c>
      <c r="E1892" s="1" t="s">
        <v>1390</v>
      </c>
      <c r="F1892" s="21" t="s">
        <v>4</v>
      </c>
      <c r="G1892" s="14">
        <v>1</v>
      </c>
      <c r="H1892" s="14">
        <v>0</v>
      </c>
      <c r="I1892" s="25">
        <v>203</v>
      </c>
      <c r="J1892" s="23">
        <f>VLOOKUP(I1892,episodes!$A$1:$B$76,2,FALSE)</f>
        <v>33</v>
      </c>
      <c r="K1892" s="16" t="str">
        <f>VLOOKUP(I1892,episodes!$A$1:$E$81,5,FALSE)</f>
        <v>The Changeling</v>
      </c>
      <c r="L1892" s="16">
        <f>VLOOKUP(I1892,episodes!$A$1:$D$81,3,FALSE)</f>
        <v>2</v>
      </c>
      <c r="M1892" s="16">
        <f>VLOOKUP(I1892,episodes!$A$1:$D$81,4,FALSE)</f>
        <v>3</v>
      </c>
      <c r="O1892" s="14">
        <v>0</v>
      </c>
      <c r="P1892" s="24">
        <f>LEN(E1892)+LEN(K1892)</f>
        <v>70</v>
      </c>
      <c r="Q1892" s="24">
        <f>COUNTIFS(B:B,#REF!)</f>
        <v>0</v>
      </c>
      <c r="R1892" s="24">
        <f>COUNTIFS(D:D,D1892)</f>
        <v>44</v>
      </c>
    </row>
    <row r="1893" spans="1:18" x14ac:dyDescent="0.3">
      <c r="A1893" s="14">
        <v>1438</v>
      </c>
      <c r="B1893" s="21" t="s">
        <v>260</v>
      </c>
      <c r="C1893" s="21" t="s">
        <v>149</v>
      </c>
      <c r="D1893" s="21" t="s">
        <v>2587</v>
      </c>
      <c r="E1893" s="1" t="s">
        <v>1912</v>
      </c>
      <c r="F1893" s="21" t="s">
        <v>4</v>
      </c>
      <c r="G1893" s="14">
        <v>1</v>
      </c>
      <c r="H1893" s="14">
        <v>0</v>
      </c>
      <c r="I1893" s="22">
        <v>210</v>
      </c>
      <c r="J1893" s="23">
        <f>VLOOKUP(I1893,episodes!$A$1:$B$81,2,FALSE)</f>
        <v>40</v>
      </c>
      <c r="K1893" s="16" t="str">
        <f>VLOOKUP(I1893,episodes!$A$1:$E$81,5,FALSE)</f>
        <v>Journey to Babel</v>
      </c>
      <c r="L1893" s="16">
        <f>VLOOKUP(I1893,episodes!$A$1:$D$81,3,FALSE)</f>
        <v>2</v>
      </c>
      <c r="M1893" s="16">
        <f>VLOOKUP(I1893,episodes!$A$1:$D$81,4,FALSE)</f>
        <v>10</v>
      </c>
      <c r="O1893" s="14">
        <v>0</v>
      </c>
      <c r="P1893" s="24">
        <f>LEN(E1893)+LEN(K1893)</f>
        <v>70</v>
      </c>
      <c r="Q1893" s="24">
        <f>COUNTIFS(B:B,B1892)</f>
        <v>147</v>
      </c>
      <c r="R1893" s="24">
        <f>COUNTIFS(D:D,D1893)</f>
        <v>44</v>
      </c>
    </row>
    <row r="1894" spans="1:18" x14ac:dyDescent="0.3">
      <c r="A1894" s="14">
        <v>1416</v>
      </c>
      <c r="B1894" s="21" t="s">
        <v>260</v>
      </c>
      <c r="C1894" s="21" t="s">
        <v>149</v>
      </c>
      <c r="D1894" s="21" t="s">
        <v>2587</v>
      </c>
      <c r="E1894" s="1" t="s">
        <v>1446</v>
      </c>
      <c r="F1894" s="21" t="s">
        <v>4</v>
      </c>
      <c r="G1894" s="14">
        <v>1</v>
      </c>
      <c r="H1894" s="14">
        <v>0</v>
      </c>
      <c r="I1894" s="25">
        <v>203</v>
      </c>
      <c r="J1894" s="23">
        <f>VLOOKUP(I1894,episodes!$A$1:$B$76,2,FALSE)</f>
        <v>33</v>
      </c>
      <c r="K1894" s="16" t="str">
        <f>VLOOKUP(I1894,episodes!$A$1:$E$81,5,FALSE)</f>
        <v>The Changeling</v>
      </c>
      <c r="L1894" s="16">
        <f>VLOOKUP(I1894,episodes!$A$1:$D$81,3,FALSE)</f>
        <v>2</v>
      </c>
      <c r="M1894" s="16">
        <f>VLOOKUP(I1894,episodes!$A$1:$D$81,4,FALSE)</f>
        <v>3</v>
      </c>
      <c r="O1894" s="14">
        <v>0</v>
      </c>
      <c r="P1894" s="24">
        <f>LEN(E1894)+LEN(K1894)</f>
        <v>141</v>
      </c>
      <c r="Q1894" s="24">
        <f>COUNTIFS(B:B,B1893)</f>
        <v>147</v>
      </c>
      <c r="R1894" s="24">
        <f>COUNTIFS(D:D,D1894)</f>
        <v>44</v>
      </c>
    </row>
    <row r="1895" spans="1:18" x14ac:dyDescent="0.3">
      <c r="A1895" s="14">
        <v>1386</v>
      </c>
      <c r="B1895" s="21" t="s">
        <v>260</v>
      </c>
      <c r="C1895" s="21" t="s">
        <v>149</v>
      </c>
      <c r="D1895" s="21" t="s">
        <v>2587</v>
      </c>
      <c r="E1895" s="1" t="s">
        <v>2169</v>
      </c>
      <c r="F1895" s="21" t="s">
        <v>4</v>
      </c>
      <c r="G1895" s="14">
        <v>1</v>
      </c>
      <c r="H1895" s="14">
        <v>0</v>
      </c>
      <c r="I1895" s="22">
        <v>116</v>
      </c>
      <c r="J1895" s="23">
        <f>VLOOKUP(I1895,episodes!$A$1:$B$76,2,FALSE)</f>
        <v>17</v>
      </c>
      <c r="K1895" s="16" t="str">
        <f>VLOOKUP(I1895,episodes!$A$1:$E$81,5,FALSE)</f>
        <v>The Galileo Seven</v>
      </c>
      <c r="L1895" s="16">
        <f>VLOOKUP(I1895,episodes!$A$1:$D$81,3,FALSE)</f>
        <v>1</v>
      </c>
      <c r="M1895" s="16">
        <f>VLOOKUP(I1895,episodes!$A$1:$D$81,4,FALSE)</f>
        <v>16</v>
      </c>
      <c r="O1895" s="14">
        <v>0</v>
      </c>
      <c r="P1895" s="24">
        <f>LEN(E1895)+LEN(K1895)</f>
        <v>133</v>
      </c>
      <c r="Q1895" s="24">
        <f>COUNTIFS(B:B,#REF!)</f>
        <v>0</v>
      </c>
      <c r="R1895" s="24">
        <f>COUNTIFS(D:D,D1895)</f>
        <v>44</v>
      </c>
    </row>
    <row r="1896" spans="1:18" x14ac:dyDescent="0.3">
      <c r="A1896" s="14">
        <v>1408</v>
      </c>
      <c r="B1896" s="21" t="s">
        <v>260</v>
      </c>
      <c r="C1896" s="21" t="s">
        <v>149</v>
      </c>
      <c r="D1896" s="21" t="s">
        <v>2587</v>
      </c>
      <c r="E1896" s="1" t="s">
        <v>2172</v>
      </c>
      <c r="F1896" s="21" t="s">
        <v>4</v>
      </c>
      <c r="G1896" s="14">
        <v>1</v>
      </c>
      <c r="H1896" s="14">
        <v>0</v>
      </c>
      <c r="I1896" s="22">
        <v>129</v>
      </c>
      <c r="J1896" s="23">
        <f>VLOOKUP(I1896,episodes!$A$1:$B$76,2,FALSE)</f>
        <v>30</v>
      </c>
      <c r="K1896" s="16" t="str">
        <f>VLOOKUP(I1896,episodes!$A$1:$E$81,5,FALSE)</f>
        <v>Operation: Annihilate!</v>
      </c>
      <c r="L1896" s="16">
        <f>VLOOKUP(I1896,episodes!$A$1:$D$81,3,FALSE)</f>
        <v>1</v>
      </c>
      <c r="M1896" s="16">
        <f>VLOOKUP(I1896,episodes!$A$1:$D$81,4,FALSE)</f>
        <v>29</v>
      </c>
      <c r="O1896" s="14">
        <v>0</v>
      </c>
      <c r="P1896" s="24">
        <f>LEN(E1896)+LEN(K1896)</f>
        <v>151</v>
      </c>
      <c r="Q1896" s="24">
        <f>COUNTIFS(B:B,#REF!)</f>
        <v>0</v>
      </c>
      <c r="R1896" s="24">
        <f>COUNTIFS(D:D,D1896)</f>
        <v>44</v>
      </c>
    </row>
    <row r="1897" spans="1:18" x14ac:dyDescent="0.3">
      <c r="A1897" s="14">
        <v>1402</v>
      </c>
      <c r="B1897" s="21" t="s">
        <v>260</v>
      </c>
      <c r="C1897" s="21" t="s">
        <v>149</v>
      </c>
      <c r="D1897" s="21" t="s">
        <v>2587</v>
      </c>
      <c r="E1897" s="1" t="s">
        <v>1357</v>
      </c>
      <c r="F1897" s="21" t="s">
        <v>4</v>
      </c>
      <c r="G1897" s="14">
        <v>1</v>
      </c>
      <c r="H1897" s="14">
        <v>0</v>
      </c>
      <c r="I1897" s="22">
        <v>128</v>
      </c>
      <c r="J1897" s="23">
        <f>VLOOKUP(I1897,episodes!$A$1:$B$76,2,FALSE)</f>
        <v>29</v>
      </c>
      <c r="K1897" s="16" t="str">
        <f>VLOOKUP(I1897,episodes!$A$1:$E$81,5,FALSE)</f>
        <v>The City on the Edge of Forever</v>
      </c>
      <c r="L1897" s="16">
        <f>VLOOKUP(I1897,episodes!$A$1:$D$81,3,FALSE)</f>
        <v>1</v>
      </c>
      <c r="M1897" s="16">
        <f>VLOOKUP(I1897,episodes!$A$1:$D$81,4,FALSE)</f>
        <v>28</v>
      </c>
      <c r="O1897" s="14">
        <v>0</v>
      </c>
      <c r="P1897" s="24">
        <f>LEN(E1897)+LEN(K1897)</f>
        <v>94</v>
      </c>
      <c r="Q1897" s="24">
        <f>COUNTIFS(B:B,#REF!)</f>
        <v>0</v>
      </c>
      <c r="R1897" s="24">
        <f>COUNTIFS(D:D,D1897)</f>
        <v>44</v>
      </c>
    </row>
    <row r="1898" spans="1:18" x14ac:dyDescent="0.3">
      <c r="A1898" s="14">
        <v>1380</v>
      </c>
      <c r="B1898" s="21" t="s">
        <v>260</v>
      </c>
      <c r="C1898" s="21" t="s">
        <v>149</v>
      </c>
      <c r="D1898" s="21" t="s">
        <v>2587</v>
      </c>
      <c r="E1898" s="1" t="s">
        <v>1262</v>
      </c>
      <c r="F1898" s="21" t="s">
        <v>4</v>
      </c>
      <c r="G1898" s="14">
        <v>1</v>
      </c>
      <c r="H1898" s="14">
        <v>0</v>
      </c>
      <c r="I1898" s="22">
        <v>114</v>
      </c>
      <c r="J1898" s="23">
        <f>VLOOKUP(I1898,episodes!$A$1:$B$76,2,FALSE)</f>
        <v>15</v>
      </c>
      <c r="K1898" s="16" t="str">
        <f>VLOOKUP(I1898,episodes!$A$1:$E$81,5,FALSE)</f>
        <v>Balance of Terror</v>
      </c>
      <c r="L1898" s="16">
        <f>VLOOKUP(I1898,episodes!$A$1:$D$81,3,FALSE)</f>
        <v>1</v>
      </c>
      <c r="M1898" s="16">
        <f>VLOOKUP(I1898,episodes!$A$1:$D$81,4,FALSE)</f>
        <v>14</v>
      </c>
      <c r="O1898" s="14">
        <v>0</v>
      </c>
      <c r="P1898" s="24">
        <f>LEN(E1898)+LEN(K1898)</f>
        <v>50</v>
      </c>
      <c r="Q1898" s="24">
        <f>COUNTIFS(B:B,#REF!)</f>
        <v>0</v>
      </c>
      <c r="R1898" s="24">
        <f>COUNTIFS(D:D,D1898)</f>
        <v>44</v>
      </c>
    </row>
    <row r="1899" spans="1:18" x14ac:dyDescent="0.3">
      <c r="A1899" s="14">
        <v>1440</v>
      </c>
      <c r="B1899" s="21" t="s">
        <v>260</v>
      </c>
      <c r="C1899" s="21" t="s">
        <v>149</v>
      </c>
      <c r="D1899" s="21" t="s">
        <v>2587</v>
      </c>
      <c r="E1899" s="1" t="s">
        <v>2014</v>
      </c>
      <c r="F1899" s="21" t="s">
        <v>4</v>
      </c>
      <c r="G1899" s="14">
        <v>1</v>
      </c>
      <c r="H1899" s="14">
        <v>0</v>
      </c>
      <c r="I1899" s="22">
        <v>210</v>
      </c>
      <c r="J1899" s="23">
        <f>VLOOKUP(I1899,episodes!$A$1:$B$81,2,FALSE)</f>
        <v>40</v>
      </c>
      <c r="K1899" s="16" t="str">
        <f>VLOOKUP(I1899,episodes!$A$1:$E$81,5,FALSE)</f>
        <v>Journey to Babel</v>
      </c>
      <c r="L1899" s="16">
        <f>VLOOKUP(I1899,episodes!$A$1:$D$81,3,FALSE)</f>
        <v>2</v>
      </c>
      <c r="M1899" s="16">
        <f>VLOOKUP(I1899,episodes!$A$1:$D$81,4,FALSE)</f>
        <v>10</v>
      </c>
      <c r="O1899" s="14">
        <v>0</v>
      </c>
      <c r="P1899" s="24">
        <f>LEN(E1899)+LEN(K1899)</f>
        <v>137</v>
      </c>
      <c r="Q1899" s="24">
        <f>COUNTIFS(B:B,B1898)</f>
        <v>147</v>
      </c>
      <c r="R1899" s="24">
        <f>COUNTIFS(D:D,D1899)</f>
        <v>44</v>
      </c>
    </row>
    <row r="1900" spans="1:18" x14ac:dyDescent="0.3">
      <c r="A1900" s="14">
        <v>1418</v>
      </c>
      <c r="B1900" s="21" t="s">
        <v>260</v>
      </c>
      <c r="C1900" s="21" t="s">
        <v>149</v>
      </c>
      <c r="D1900" s="21" t="s">
        <v>2587</v>
      </c>
      <c r="E1900" s="1" t="s">
        <v>1391</v>
      </c>
      <c r="F1900" s="21" t="s">
        <v>4</v>
      </c>
      <c r="G1900" s="14">
        <v>1</v>
      </c>
      <c r="H1900" s="14">
        <v>0</v>
      </c>
      <c r="I1900" s="25">
        <v>203</v>
      </c>
      <c r="J1900" s="23">
        <f>VLOOKUP(I1900,episodes!$A$1:$B$76,2,FALSE)</f>
        <v>33</v>
      </c>
      <c r="K1900" s="16" t="str">
        <f>VLOOKUP(I1900,episodes!$A$1:$E$81,5,FALSE)</f>
        <v>The Changeling</v>
      </c>
      <c r="L1900" s="16">
        <f>VLOOKUP(I1900,episodes!$A$1:$D$81,3,FALSE)</f>
        <v>2</v>
      </c>
      <c r="M1900" s="16">
        <f>VLOOKUP(I1900,episodes!$A$1:$D$81,4,FALSE)</f>
        <v>3</v>
      </c>
      <c r="O1900" s="14">
        <v>0</v>
      </c>
      <c r="P1900" s="24">
        <f>LEN(E1900)+LEN(K1900)</f>
        <v>102</v>
      </c>
      <c r="Q1900" s="24">
        <f>COUNTIFS(B:B,B1899)</f>
        <v>147</v>
      </c>
      <c r="R1900" s="24">
        <f>COUNTIFS(D:D,D1900)</f>
        <v>44</v>
      </c>
    </row>
    <row r="1901" spans="1:18" x14ac:dyDescent="0.3">
      <c r="A1901" s="14">
        <v>1412</v>
      </c>
      <c r="B1901" s="21" t="s">
        <v>260</v>
      </c>
      <c r="C1901" s="21" t="s">
        <v>149</v>
      </c>
      <c r="D1901" s="21" t="s">
        <v>2587</v>
      </c>
      <c r="E1901" s="1" t="s">
        <v>2017</v>
      </c>
      <c r="F1901" s="21" t="s">
        <v>4</v>
      </c>
      <c r="G1901" s="14">
        <v>1</v>
      </c>
      <c r="H1901" s="14">
        <v>0</v>
      </c>
      <c r="I1901" s="22">
        <v>201</v>
      </c>
      <c r="J1901" s="23">
        <f>VLOOKUP(I1901,episodes!$A$1:$B$76,2,FALSE)</f>
        <v>31</v>
      </c>
      <c r="K1901" s="16" t="str">
        <f>VLOOKUP(I1901,episodes!$A$1:$E$81,5,FALSE)</f>
        <v>Amok Time</v>
      </c>
      <c r="L1901" s="16">
        <f>VLOOKUP(I1901,episodes!$A$1:$D$81,3,FALSE)</f>
        <v>2</v>
      </c>
      <c r="M1901" s="16">
        <f>VLOOKUP(I1901,episodes!$A$1:$D$81,4,FALSE)</f>
        <v>1</v>
      </c>
      <c r="O1901" s="14">
        <v>0</v>
      </c>
      <c r="P1901" s="24">
        <f>LEN(E1901)+LEN(K1901)</f>
        <v>79</v>
      </c>
      <c r="Q1901" s="24">
        <f>COUNTIFS(B:B,#REF!)</f>
        <v>0</v>
      </c>
      <c r="R1901" s="24">
        <f>COUNTIFS(D:D,D1901)</f>
        <v>44</v>
      </c>
    </row>
    <row r="1902" spans="1:18" x14ac:dyDescent="0.3">
      <c r="A1902" s="14">
        <v>679</v>
      </c>
      <c r="B1902" s="21" t="s">
        <v>260</v>
      </c>
      <c r="C1902" s="21" t="s">
        <v>149</v>
      </c>
      <c r="D1902" s="21" t="s">
        <v>2587</v>
      </c>
      <c r="E1902" s="1" t="s">
        <v>1258</v>
      </c>
      <c r="F1902" s="21" t="s">
        <v>4</v>
      </c>
      <c r="G1902" s="14">
        <v>1</v>
      </c>
      <c r="H1902" s="14">
        <v>0</v>
      </c>
      <c r="I1902" s="25">
        <v>111</v>
      </c>
      <c r="J1902" s="23">
        <f>VLOOKUP(I1902,episodes!$A$1:$B$76,2,FALSE)</f>
        <v>12</v>
      </c>
      <c r="K1902" s="16" t="str">
        <f>VLOOKUP(I1902,episodes!$A$1:$E$81,5,FALSE)</f>
        <v>The Menagerie, Part I</v>
      </c>
      <c r="L1902" s="16">
        <f>VLOOKUP(I1902,episodes!$A$1:$D$81,3,FALSE)</f>
        <v>1</v>
      </c>
      <c r="M1902" s="16">
        <f>VLOOKUP(I1902,episodes!$A$1:$D$81,4,FALSE)</f>
        <v>11</v>
      </c>
      <c r="O1902" s="14">
        <v>0</v>
      </c>
      <c r="P1902" s="24">
        <f>LEN(E1902)+LEN(K1902)</f>
        <v>75</v>
      </c>
      <c r="Q1902" s="24">
        <f>COUNTIFS(B:B,B1901)</f>
        <v>147</v>
      </c>
      <c r="R1902" s="24">
        <f>COUNTIFS(D:D,D1902)</f>
        <v>44</v>
      </c>
    </row>
    <row r="1903" spans="1:18" x14ac:dyDescent="0.3">
      <c r="A1903" s="14">
        <v>1225</v>
      </c>
      <c r="B1903" s="21" t="s">
        <v>260</v>
      </c>
      <c r="C1903" s="21" t="s">
        <v>149</v>
      </c>
      <c r="D1903" s="21" t="s">
        <v>2587</v>
      </c>
      <c r="E1903" s="1" t="s">
        <v>1747</v>
      </c>
      <c r="F1903" s="21" t="s">
        <v>4</v>
      </c>
      <c r="G1903" s="14">
        <v>1</v>
      </c>
      <c r="H1903" s="14">
        <v>0</v>
      </c>
      <c r="I1903" s="25">
        <v>110</v>
      </c>
      <c r="J1903" s="23">
        <f>VLOOKUP(I1903,episodes!$A$1:$B$76,2,FALSE)</f>
        <v>11</v>
      </c>
      <c r="K1903" s="16" t="str">
        <f>VLOOKUP(I1903,episodes!$A$1:$E$81,5,FALSE)</f>
        <v>The Corbomite Maneuver</v>
      </c>
      <c r="L1903" s="16">
        <f>VLOOKUP(I1903,episodes!$A$1:$D$81,3,FALSE)</f>
        <v>1</v>
      </c>
      <c r="M1903" s="16">
        <f>VLOOKUP(I1903,episodes!$A$1:$D$81,4,FALSE)</f>
        <v>10</v>
      </c>
      <c r="O1903" s="14">
        <v>0</v>
      </c>
      <c r="P1903" s="24">
        <f>LEN(E1903)+LEN(K1903)</f>
        <v>113</v>
      </c>
      <c r="Q1903" s="24">
        <f>COUNTIFS(B:B,B1901)</f>
        <v>147</v>
      </c>
      <c r="R1903" s="24">
        <f>COUNTIFS(D:D,D1903)</f>
        <v>44</v>
      </c>
    </row>
    <row r="1904" spans="1:18" x14ac:dyDescent="0.3">
      <c r="A1904" s="14">
        <v>1434</v>
      </c>
      <c r="B1904" s="21" t="s">
        <v>260</v>
      </c>
      <c r="C1904" s="21" t="s">
        <v>149</v>
      </c>
      <c r="D1904" s="21" t="s">
        <v>2587</v>
      </c>
      <c r="E1904" s="1" t="s">
        <v>1422</v>
      </c>
      <c r="F1904" s="21" t="s">
        <v>4</v>
      </c>
      <c r="G1904" s="14">
        <v>1</v>
      </c>
      <c r="H1904" s="14">
        <v>0</v>
      </c>
      <c r="I1904" s="22">
        <v>208</v>
      </c>
      <c r="J1904" s="23">
        <f>VLOOKUP(I1904,episodes!$A$1:$B$81,2,FALSE)</f>
        <v>38</v>
      </c>
      <c r="K1904" s="16" t="str">
        <f>VLOOKUP(I1904,episodes!$A$1:$E$81,5,FALSE)</f>
        <v>I, Mudd</v>
      </c>
      <c r="L1904" s="16">
        <f>VLOOKUP(I1904,episodes!$A$1:$D$81,3,FALSE)</f>
        <v>2</v>
      </c>
      <c r="M1904" s="16">
        <f>VLOOKUP(I1904,episodes!$A$1:$D$81,4,FALSE)</f>
        <v>8</v>
      </c>
      <c r="O1904" s="14">
        <v>0</v>
      </c>
      <c r="P1904" s="24">
        <f>LEN(E1904)+LEN(K1904)</f>
        <v>81</v>
      </c>
      <c r="Q1904" s="24">
        <f>COUNTIFS(B:B,#REF!)</f>
        <v>0</v>
      </c>
      <c r="R1904" s="24">
        <f>COUNTIFS(D:D,D1904)</f>
        <v>44</v>
      </c>
    </row>
    <row r="1905" spans="1:18" x14ac:dyDescent="0.3">
      <c r="A1905" s="14">
        <v>1360</v>
      </c>
      <c r="B1905" s="21" t="s">
        <v>260</v>
      </c>
      <c r="C1905" s="21" t="s">
        <v>149</v>
      </c>
      <c r="D1905" s="21" t="s">
        <v>2587</v>
      </c>
      <c r="E1905" s="1" t="s">
        <v>1204</v>
      </c>
      <c r="F1905" s="21" t="s">
        <v>4</v>
      </c>
      <c r="G1905" s="14">
        <v>1</v>
      </c>
      <c r="H1905" s="14">
        <v>0</v>
      </c>
      <c r="I1905" s="25">
        <v>101</v>
      </c>
      <c r="J1905" s="23">
        <f>VLOOKUP(I1905,episodes!$A$1:$B$76,2,FALSE)</f>
        <v>2</v>
      </c>
      <c r="K1905" s="16" t="str">
        <f>VLOOKUP(I1905,episodes!$A$1:$E$81,5,FALSE)</f>
        <v>The Man Trap</v>
      </c>
      <c r="L1905" s="16">
        <f>VLOOKUP(I1905,episodes!$A$1:$D$81,3,FALSE)</f>
        <v>1</v>
      </c>
      <c r="M1905" s="16">
        <f>VLOOKUP(I1905,episodes!$A$1:$D$81,4,FALSE)</f>
        <v>1</v>
      </c>
      <c r="O1905" s="14">
        <v>0</v>
      </c>
      <c r="P1905" s="24">
        <f>LEN(E1905)+LEN(K1905)</f>
        <v>48</v>
      </c>
      <c r="Q1905" s="24">
        <f>COUNTIFS(B:B,B1903)</f>
        <v>147</v>
      </c>
      <c r="R1905" s="24">
        <f>COUNTIFS(D:D,D1905)</f>
        <v>44</v>
      </c>
    </row>
    <row r="1906" spans="1:18" x14ac:dyDescent="0.3">
      <c r="A1906" s="14">
        <v>1428</v>
      </c>
      <c r="B1906" s="21" t="s">
        <v>260</v>
      </c>
      <c r="C1906" s="21" t="s">
        <v>149</v>
      </c>
      <c r="D1906" s="21" t="s">
        <v>2587</v>
      </c>
      <c r="E1906" s="1" t="s">
        <v>1413</v>
      </c>
      <c r="F1906" s="21" t="s">
        <v>4</v>
      </c>
      <c r="G1906" s="14">
        <v>1</v>
      </c>
      <c r="H1906" s="14">
        <v>0</v>
      </c>
      <c r="I1906" s="25">
        <v>206</v>
      </c>
      <c r="J1906" s="23">
        <f>VLOOKUP(I1906,episodes!$A$1:$B$81,2,FALSE)</f>
        <v>36</v>
      </c>
      <c r="K1906" s="16" t="str">
        <f>VLOOKUP(I1906,episodes!$A$1:$E$81,5,FALSE)</f>
        <v>The Doomsday Machine</v>
      </c>
      <c r="L1906" s="16">
        <f>VLOOKUP(I1906,episodes!$A$1:$D$81,3,FALSE)</f>
        <v>2</v>
      </c>
      <c r="M1906" s="16">
        <f>VLOOKUP(I1906,episodes!$A$1:$D$81,4,FALSE)</f>
        <v>6</v>
      </c>
      <c r="O1906" s="14">
        <v>0</v>
      </c>
      <c r="P1906" s="24">
        <f>LEN(E1906)+LEN(K1906)</f>
        <v>121</v>
      </c>
      <c r="Q1906" s="24">
        <f>COUNTIFS(B:B,B1905)</f>
        <v>147</v>
      </c>
      <c r="R1906" s="24">
        <f>COUNTIFS(D:D,D1906)</f>
        <v>44</v>
      </c>
    </row>
    <row r="1907" spans="1:18" x14ac:dyDescent="0.3">
      <c r="A1907" s="14">
        <v>1442</v>
      </c>
      <c r="B1907" s="21" t="s">
        <v>260</v>
      </c>
      <c r="C1907" s="21" t="s">
        <v>149</v>
      </c>
      <c r="D1907" s="21" t="s">
        <v>2587</v>
      </c>
      <c r="E1907" s="1" t="s">
        <v>1924</v>
      </c>
      <c r="F1907" s="21" t="s">
        <v>4</v>
      </c>
      <c r="G1907" s="14">
        <v>1</v>
      </c>
      <c r="H1907" s="14">
        <v>0</v>
      </c>
      <c r="I1907" s="22">
        <v>210</v>
      </c>
      <c r="J1907" s="23">
        <f>VLOOKUP(I1907,episodes!$A$1:$B$81,2,FALSE)</f>
        <v>40</v>
      </c>
      <c r="K1907" s="16" t="str">
        <f>VLOOKUP(I1907,episodes!$A$1:$E$81,5,FALSE)</f>
        <v>Journey to Babel</v>
      </c>
      <c r="L1907" s="16">
        <f>VLOOKUP(I1907,episodes!$A$1:$D$81,3,FALSE)</f>
        <v>2</v>
      </c>
      <c r="M1907" s="16">
        <f>VLOOKUP(I1907,episodes!$A$1:$D$81,4,FALSE)</f>
        <v>10</v>
      </c>
      <c r="O1907" s="14">
        <v>0</v>
      </c>
      <c r="P1907" s="24">
        <f>LEN(E1907)+LEN(K1907)</f>
        <v>78</v>
      </c>
      <c r="Q1907" s="24">
        <f>COUNTIFS(B:B,B1906)</f>
        <v>147</v>
      </c>
      <c r="R1907" s="24">
        <f>COUNTIFS(D:D,D1907)</f>
        <v>44</v>
      </c>
    </row>
    <row r="1908" spans="1:18" x14ac:dyDescent="0.3">
      <c r="A1908" s="14">
        <v>1444</v>
      </c>
      <c r="B1908" s="21" t="s">
        <v>260</v>
      </c>
      <c r="C1908" s="21" t="s">
        <v>149</v>
      </c>
      <c r="D1908" s="21" t="s">
        <v>2587</v>
      </c>
      <c r="E1908" s="1" t="s">
        <v>1926</v>
      </c>
      <c r="F1908" s="21" t="s">
        <v>4</v>
      </c>
      <c r="G1908" s="14">
        <v>1</v>
      </c>
      <c r="H1908" s="14">
        <v>0</v>
      </c>
      <c r="I1908" s="22">
        <v>210</v>
      </c>
      <c r="J1908" s="23">
        <f>VLOOKUP(I1908,episodes!$A$1:$B$81,2,FALSE)</f>
        <v>40</v>
      </c>
      <c r="K1908" s="16" t="str">
        <f>VLOOKUP(I1908,episodes!$A$1:$E$81,5,FALSE)</f>
        <v>Journey to Babel</v>
      </c>
      <c r="L1908" s="16">
        <f>VLOOKUP(I1908,episodes!$A$1:$D$81,3,FALSE)</f>
        <v>2</v>
      </c>
      <c r="M1908" s="16">
        <f>VLOOKUP(I1908,episodes!$A$1:$D$81,4,FALSE)</f>
        <v>10</v>
      </c>
      <c r="O1908" s="14">
        <v>0</v>
      </c>
      <c r="P1908" s="24">
        <f>LEN(E1908)+LEN(K1908)</f>
        <v>99</v>
      </c>
      <c r="Q1908" s="24">
        <f>COUNTIFS(B:B,B1907)</f>
        <v>147</v>
      </c>
      <c r="R1908" s="24">
        <f>COUNTIFS(D:D,D1908)</f>
        <v>44</v>
      </c>
    </row>
    <row r="1909" spans="1:18" x14ac:dyDescent="0.3">
      <c r="A1909" s="14">
        <v>1422</v>
      </c>
      <c r="B1909" s="21" t="s">
        <v>260</v>
      </c>
      <c r="C1909" s="21" t="s">
        <v>149</v>
      </c>
      <c r="D1909" s="21" t="s">
        <v>2587</v>
      </c>
      <c r="E1909" s="1" t="s">
        <v>2018</v>
      </c>
      <c r="F1909" s="21" t="s">
        <v>4</v>
      </c>
      <c r="G1909" s="14">
        <v>1</v>
      </c>
      <c r="H1909" s="14">
        <v>0</v>
      </c>
      <c r="I1909" s="25">
        <v>204</v>
      </c>
      <c r="J1909" s="23">
        <f>VLOOKUP(I1909,episodes!$A$1:$B$81,2,FALSE)</f>
        <v>34</v>
      </c>
      <c r="K1909" s="16" t="str">
        <f>VLOOKUP(I1909,episodes!$A$1:$E$81,5,FALSE)</f>
        <v>Mirror, Mirror</v>
      </c>
      <c r="L1909" s="16">
        <f>VLOOKUP(I1909,episodes!$A$1:$D$81,3,FALSE)</f>
        <v>2</v>
      </c>
      <c r="M1909" s="16">
        <f>VLOOKUP(I1909,episodes!$A$1:$D$81,4,FALSE)</f>
        <v>4</v>
      </c>
      <c r="O1909" s="14">
        <v>0</v>
      </c>
      <c r="P1909" s="24">
        <f>LEN(E1909)+LEN(K1909)</f>
        <v>88</v>
      </c>
      <c r="Q1909" s="24">
        <f>COUNTIFS(B:B,#REF!)</f>
        <v>0</v>
      </c>
      <c r="R1909" s="24">
        <f>COUNTIFS(D:D,D1909)</f>
        <v>44</v>
      </c>
    </row>
    <row r="1910" spans="1:18" x14ac:dyDescent="0.3">
      <c r="A1910" s="14">
        <v>1424</v>
      </c>
      <c r="B1910" s="21" t="s">
        <v>260</v>
      </c>
      <c r="C1910" s="21" t="s">
        <v>149</v>
      </c>
      <c r="D1910" s="21" t="s">
        <v>2587</v>
      </c>
      <c r="E1910" s="1" t="s">
        <v>1404</v>
      </c>
      <c r="F1910" s="21" t="s">
        <v>4</v>
      </c>
      <c r="G1910" s="14">
        <v>1</v>
      </c>
      <c r="H1910" s="14">
        <v>0</v>
      </c>
      <c r="I1910" s="25">
        <v>204</v>
      </c>
      <c r="J1910" s="23">
        <f>VLOOKUP(I1910,episodes!$A$1:$B$81,2,FALSE)</f>
        <v>34</v>
      </c>
      <c r="K1910" s="16" t="str">
        <f>VLOOKUP(I1910,episodes!$A$1:$E$81,5,FALSE)</f>
        <v>Mirror, Mirror</v>
      </c>
      <c r="L1910" s="16">
        <f>VLOOKUP(I1910,episodes!$A$1:$D$81,3,FALSE)</f>
        <v>2</v>
      </c>
      <c r="M1910" s="16">
        <f>VLOOKUP(I1910,episodes!$A$1:$D$81,4,FALSE)</f>
        <v>4</v>
      </c>
      <c r="O1910" s="14">
        <v>0</v>
      </c>
      <c r="P1910" s="24">
        <f>LEN(E1910)+LEN(K1910)</f>
        <v>83</v>
      </c>
      <c r="Q1910" s="24">
        <f>COUNTIFS(B:B,B1909)</f>
        <v>147</v>
      </c>
      <c r="R1910" s="24">
        <f>COUNTIFS(D:D,D1910)</f>
        <v>44</v>
      </c>
    </row>
    <row r="1911" spans="1:18" x14ac:dyDescent="0.3">
      <c r="A1911" s="14">
        <v>1410</v>
      </c>
      <c r="B1911" s="21" t="s">
        <v>260</v>
      </c>
      <c r="C1911" s="21" t="s">
        <v>149</v>
      </c>
      <c r="D1911" s="21" t="s">
        <v>2587</v>
      </c>
      <c r="E1911" s="1" t="s">
        <v>1366</v>
      </c>
      <c r="F1911" s="21" t="s">
        <v>4</v>
      </c>
      <c r="G1911" s="14">
        <v>1</v>
      </c>
      <c r="H1911" s="14">
        <v>0</v>
      </c>
      <c r="I1911" s="22">
        <v>129</v>
      </c>
      <c r="J1911" s="23">
        <f>VLOOKUP(I1911,episodes!$A$1:$B$76,2,FALSE)</f>
        <v>30</v>
      </c>
      <c r="K1911" s="16" t="str">
        <f>VLOOKUP(I1911,episodes!$A$1:$E$81,5,FALSE)</f>
        <v>Operation: Annihilate!</v>
      </c>
      <c r="L1911" s="16">
        <f>VLOOKUP(I1911,episodes!$A$1:$D$81,3,FALSE)</f>
        <v>1</v>
      </c>
      <c r="M1911" s="16">
        <f>VLOOKUP(I1911,episodes!$A$1:$D$81,4,FALSE)</f>
        <v>29</v>
      </c>
      <c r="O1911" s="14">
        <v>0</v>
      </c>
      <c r="P1911" s="24">
        <f>LEN(E1911)+LEN(K1911)</f>
        <v>64</v>
      </c>
      <c r="Q1911" s="24">
        <f>COUNTIFS(B:B,B1910)</f>
        <v>147</v>
      </c>
      <c r="R1911" s="24">
        <f>COUNTIFS(D:D,D1911)</f>
        <v>44</v>
      </c>
    </row>
    <row r="1912" spans="1:18" x14ac:dyDescent="0.3">
      <c r="A1912" s="14">
        <v>1420</v>
      </c>
      <c r="B1912" s="21" t="s">
        <v>260</v>
      </c>
      <c r="C1912" s="21" t="s">
        <v>149</v>
      </c>
      <c r="D1912" s="21" t="s">
        <v>2587</v>
      </c>
      <c r="E1912" s="1" t="s">
        <v>1392</v>
      </c>
      <c r="F1912" s="21" t="s">
        <v>4</v>
      </c>
      <c r="G1912" s="14">
        <v>1</v>
      </c>
      <c r="H1912" s="14">
        <v>0</v>
      </c>
      <c r="I1912" s="25">
        <v>203</v>
      </c>
      <c r="J1912" s="23">
        <f>VLOOKUP(I1912,episodes!$A$1:$B$76,2,FALSE)</f>
        <v>33</v>
      </c>
      <c r="K1912" s="16" t="str">
        <f>VLOOKUP(I1912,episodes!$A$1:$E$81,5,FALSE)</f>
        <v>The Changeling</v>
      </c>
      <c r="L1912" s="16">
        <f>VLOOKUP(I1912,episodes!$A$1:$D$81,3,FALSE)</f>
        <v>2</v>
      </c>
      <c r="M1912" s="16">
        <f>VLOOKUP(I1912,episodes!$A$1:$D$81,4,FALSE)</f>
        <v>3</v>
      </c>
      <c r="O1912" s="14">
        <v>0</v>
      </c>
      <c r="P1912" s="24">
        <f>LEN(E1912)+LEN(K1912)</f>
        <v>66</v>
      </c>
      <c r="Q1912" s="24">
        <f>COUNTIFS(B:B,B1911)</f>
        <v>147</v>
      </c>
      <c r="R1912" s="24">
        <f>COUNTIFS(D:D,D1912)</f>
        <v>44</v>
      </c>
    </row>
    <row r="1913" spans="1:18" x14ac:dyDescent="0.3">
      <c r="A1913" s="14">
        <v>1382</v>
      </c>
      <c r="B1913" s="21" t="s">
        <v>260</v>
      </c>
      <c r="C1913" s="21" t="s">
        <v>149</v>
      </c>
      <c r="D1913" s="21" t="s">
        <v>2587</v>
      </c>
      <c r="E1913" s="1" t="s">
        <v>1779</v>
      </c>
      <c r="F1913" s="21" t="s">
        <v>4</v>
      </c>
      <c r="G1913" s="14">
        <v>1</v>
      </c>
      <c r="H1913" s="14">
        <v>0</v>
      </c>
      <c r="I1913" s="22">
        <v>114</v>
      </c>
      <c r="J1913" s="23">
        <f>VLOOKUP(I1913,episodes!$A$1:$B$76,2,FALSE)</f>
        <v>15</v>
      </c>
      <c r="K1913" s="16" t="str">
        <f>VLOOKUP(I1913,episodes!$A$1:$E$81,5,FALSE)</f>
        <v>Balance of Terror</v>
      </c>
      <c r="L1913" s="16">
        <f>VLOOKUP(I1913,episodes!$A$1:$D$81,3,FALSE)</f>
        <v>1</v>
      </c>
      <c r="M1913" s="16">
        <f>VLOOKUP(I1913,episodes!$A$1:$D$81,4,FALSE)</f>
        <v>14</v>
      </c>
      <c r="O1913" s="14">
        <v>0</v>
      </c>
      <c r="P1913" s="24">
        <f>LEN(E1913)+LEN(K1913)</f>
        <v>109</v>
      </c>
      <c r="Q1913" s="24">
        <f>COUNTIFS(B:B,B1912)</f>
        <v>147</v>
      </c>
      <c r="R1913" s="24">
        <f>COUNTIFS(D:D,D1913)</f>
        <v>44</v>
      </c>
    </row>
    <row r="1914" spans="1:18" x14ac:dyDescent="0.3">
      <c r="A1914" s="14">
        <v>1396</v>
      </c>
      <c r="B1914" s="21" t="s">
        <v>260</v>
      </c>
      <c r="C1914" s="21" t="s">
        <v>149</v>
      </c>
      <c r="D1914" s="21" t="s">
        <v>2587</v>
      </c>
      <c r="E1914" s="1" t="s">
        <v>1326</v>
      </c>
      <c r="F1914" s="21" t="s">
        <v>4</v>
      </c>
      <c r="G1914" s="14">
        <v>1</v>
      </c>
      <c r="H1914" s="14">
        <v>0</v>
      </c>
      <c r="I1914" s="22">
        <v>123</v>
      </c>
      <c r="J1914" s="23">
        <f>VLOOKUP(I1914,episodes!$A$1:$B$76,2,FALSE)</f>
        <v>24</v>
      </c>
      <c r="K1914" s="16" t="str">
        <f>VLOOKUP(I1914,episodes!$A$1:$E$81,5,FALSE)</f>
        <v>A Taste of Armageddon</v>
      </c>
      <c r="L1914" s="16">
        <f>VLOOKUP(I1914,episodes!$A$1:$D$81,3,FALSE)</f>
        <v>1</v>
      </c>
      <c r="M1914" s="16">
        <f>VLOOKUP(I1914,episodes!$A$1:$D$81,4,FALSE)</f>
        <v>23</v>
      </c>
      <c r="O1914" s="14">
        <v>0</v>
      </c>
      <c r="P1914" s="24">
        <f>LEN(E1914)+LEN(K1914)</f>
        <v>105</v>
      </c>
      <c r="Q1914" s="24">
        <f>COUNTIFS(B:B,B1912)</f>
        <v>147</v>
      </c>
      <c r="R1914" s="24">
        <f>COUNTIFS(D:D,D1914)</f>
        <v>44</v>
      </c>
    </row>
    <row r="1915" spans="1:18" x14ac:dyDescent="0.3">
      <c r="A1915" s="14">
        <v>1394</v>
      </c>
      <c r="B1915" s="21" t="s">
        <v>260</v>
      </c>
      <c r="C1915" s="21" t="s">
        <v>149</v>
      </c>
      <c r="D1915" s="21" t="s">
        <v>2587</v>
      </c>
      <c r="E1915" s="1" t="s">
        <v>1281</v>
      </c>
      <c r="F1915" s="21" t="s">
        <v>4</v>
      </c>
      <c r="G1915" s="14">
        <v>1</v>
      </c>
      <c r="H1915" s="14">
        <v>0</v>
      </c>
      <c r="I1915" s="22">
        <v>117</v>
      </c>
      <c r="J1915" s="23">
        <f>VLOOKUP(I1915,episodes!$A$1:$B$76,2,FALSE)</f>
        <v>18</v>
      </c>
      <c r="K1915" s="16" t="str">
        <f>VLOOKUP(I1915,episodes!$A$1:$E$81,5,FALSE)</f>
        <v>The Squire of Gothos</v>
      </c>
      <c r="L1915" s="16">
        <f>VLOOKUP(I1915,episodes!$A$1:$D$81,3,FALSE)</f>
        <v>1</v>
      </c>
      <c r="M1915" s="16">
        <f>VLOOKUP(I1915,episodes!$A$1:$D$81,4,FALSE)</f>
        <v>17</v>
      </c>
      <c r="O1915" s="14">
        <v>0</v>
      </c>
      <c r="P1915" s="24">
        <f>LEN(E1915)+LEN(K1915)</f>
        <v>65</v>
      </c>
      <c r="Q1915" s="24">
        <f>COUNTIFS(B:B,B1913)</f>
        <v>147</v>
      </c>
      <c r="R1915" s="24">
        <f>COUNTIFS(D:D,D1915)</f>
        <v>44</v>
      </c>
    </row>
    <row r="1916" spans="1:18" x14ac:dyDescent="0.3">
      <c r="A1916" s="14">
        <v>1432</v>
      </c>
      <c r="B1916" s="21" t="s">
        <v>260</v>
      </c>
      <c r="C1916" s="21" t="s">
        <v>149</v>
      </c>
      <c r="D1916" s="21" t="s">
        <v>2587</v>
      </c>
      <c r="E1916" s="1" t="s">
        <v>1421</v>
      </c>
      <c r="F1916" s="21" t="s">
        <v>4</v>
      </c>
      <c r="G1916" s="14">
        <v>1</v>
      </c>
      <c r="H1916" s="14">
        <v>0</v>
      </c>
      <c r="I1916" s="22">
        <v>207</v>
      </c>
      <c r="J1916" s="23">
        <f>VLOOKUP(I1916,episodes!$A$1:$B$81,2,FALSE)</f>
        <v>37</v>
      </c>
      <c r="K1916" s="16" t="str">
        <f>VLOOKUP(I1916,episodes!$A$1:$E$81,5,FALSE)</f>
        <v>Catspaw</v>
      </c>
      <c r="L1916" s="16">
        <f>VLOOKUP(I1916,episodes!$A$1:$D$81,3,FALSE)</f>
        <v>2</v>
      </c>
      <c r="M1916" s="16">
        <f>VLOOKUP(I1916,episodes!$A$1:$D$81,4,FALSE)</f>
        <v>7</v>
      </c>
      <c r="O1916" s="14">
        <v>0</v>
      </c>
      <c r="P1916" s="24">
        <f>LEN(E1916)+LEN(K1916)</f>
        <v>164</v>
      </c>
      <c r="Q1916" s="24">
        <f>COUNTIFS(B:B,B1915)</f>
        <v>147</v>
      </c>
      <c r="R1916" s="24">
        <f>COUNTIFS(D:D,D1916)</f>
        <v>44</v>
      </c>
    </row>
    <row r="1917" spans="1:18" x14ac:dyDescent="0.3">
      <c r="A1917" s="14">
        <v>1404</v>
      </c>
      <c r="B1917" s="21" t="s">
        <v>260</v>
      </c>
      <c r="C1917" s="21" t="s">
        <v>149</v>
      </c>
      <c r="D1917" s="21" t="s">
        <v>2587</v>
      </c>
      <c r="E1917" s="1" t="s">
        <v>1358</v>
      </c>
      <c r="F1917" s="21" t="s">
        <v>4</v>
      </c>
      <c r="G1917" s="14">
        <v>1</v>
      </c>
      <c r="H1917" s="14">
        <v>0</v>
      </c>
      <c r="I1917" s="22">
        <v>128</v>
      </c>
      <c r="J1917" s="23">
        <f>VLOOKUP(I1917,episodes!$A$1:$B$76,2,FALSE)</f>
        <v>29</v>
      </c>
      <c r="K1917" s="16" t="str">
        <f>VLOOKUP(I1917,episodes!$A$1:$E$81,5,FALSE)</f>
        <v>The City on the Edge of Forever</v>
      </c>
      <c r="L1917" s="16">
        <f>VLOOKUP(I1917,episodes!$A$1:$D$81,3,FALSE)</f>
        <v>1</v>
      </c>
      <c r="M1917" s="16">
        <f>VLOOKUP(I1917,episodes!$A$1:$D$81,4,FALSE)</f>
        <v>28</v>
      </c>
      <c r="O1917" s="14">
        <v>0</v>
      </c>
      <c r="P1917" s="24">
        <f>LEN(E1917)+LEN(K1917)</f>
        <v>73</v>
      </c>
      <c r="Q1917" s="24">
        <f>COUNTIFS(B:B,B1916)</f>
        <v>147</v>
      </c>
      <c r="R1917" s="24">
        <f>COUNTIFS(D:D,D1917)</f>
        <v>44</v>
      </c>
    </row>
    <row r="1918" spans="1:18" x14ac:dyDescent="0.3">
      <c r="A1918" s="14">
        <v>1388</v>
      </c>
      <c r="B1918" s="21" t="s">
        <v>260</v>
      </c>
      <c r="C1918" s="21" t="s">
        <v>149</v>
      </c>
      <c r="D1918" s="21" t="s">
        <v>2587</v>
      </c>
      <c r="E1918" s="1" t="s">
        <v>1271</v>
      </c>
      <c r="F1918" s="21" t="s">
        <v>4</v>
      </c>
      <c r="G1918" s="14">
        <v>1</v>
      </c>
      <c r="H1918" s="14">
        <v>0</v>
      </c>
      <c r="I1918" s="22">
        <v>116</v>
      </c>
      <c r="J1918" s="23">
        <f>VLOOKUP(I1918,episodes!$A$1:$B$76,2,FALSE)</f>
        <v>17</v>
      </c>
      <c r="K1918" s="16" t="str">
        <f>VLOOKUP(I1918,episodes!$A$1:$E$81,5,FALSE)</f>
        <v>The Galileo Seven</v>
      </c>
      <c r="L1918" s="16">
        <f>VLOOKUP(I1918,episodes!$A$1:$D$81,3,FALSE)</f>
        <v>1</v>
      </c>
      <c r="M1918" s="16">
        <f>VLOOKUP(I1918,episodes!$A$1:$D$81,4,FALSE)</f>
        <v>16</v>
      </c>
      <c r="O1918" s="14">
        <v>0</v>
      </c>
      <c r="P1918" s="24">
        <f>LEN(E1918)+LEN(K1918)</f>
        <v>186</v>
      </c>
      <c r="Q1918" s="24">
        <f>COUNTIFS(B:B,B1917)</f>
        <v>147</v>
      </c>
      <c r="R1918" s="24">
        <f>COUNTIFS(D:D,D1918)</f>
        <v>44</v>
      </c>
    </row>
    <row r="1919" spans="1:18" x14ac:dyDescent="0.3">
      <c r="A1919" s="14">
        <v>1390</v>
      </c>
      <c r="B1919" s="21" t="s">
        <v>260</v>
      </c>
      <c r="C1919" s="21" t="s">
        <v>149</v>
      </c>
      <c r="D1919" s="21" t="s">
        <v>2587</v>
      </c>
      <c r="E1919" s="1" t="s">
        <v>1272</v>
      </c>
      <c r="F1919" s="21" t="s">
        <v>4</v>
      </c>
      <c r="G1919" s="14">
        <v>1</v>
      </c>
      <c r="H1919" s="14">
        <v>0</v>
      </c>
      <c r="I1919" s="22">
        <v>116</v>
      </c>
      <c r="J1919" s="23">
        <f>VLOOKUP(I1919,episodes!$A$1:$B$76,2,FALSE)</f>
        <v>17</v>
      </c>
      <c r="K1919" s="16" t="str">
        <f>VLOOKUP(I1919,episodes!$A$1:$E$81,5,FALSE)</f>
        <v>The Galileo Seven</v>
      </c>
      <c r="L1919" s="16">
        <f>VLOOKUP(I1919,episodes!$A$1:$D$81,3,FALSE)</f>
        <v>1</v>
      </c>
      <c r="M1919" s="16">
        <f>VLOOKUP(I1919,episodes!$A$1:$D$81,4,FALSE)</f>
        <v>16</v>
      </c>
      <c r="O1919" s="14">
        <v>0</v>
      </c>
      <c r="P1919" s="24">
        <f>LEN(E1919)+LEN(K1919)</f>
        <v>57</v>
      </c>
      <c r="Q1919" s="24">
        <f>COUNTIFS(B:B,B1918)</f>
        <v>147</v>
      </c>
      <c r="R1919" s="24">
        <f>COUNTIFS(D:D,D1919)</f>
        <v>44</v>
      </c>
    </row>
    <row r="1920" spans="1:18" x14ac:dyDescent="0.3">
      <c r="A1920" s="14">
        <v>1364</v>
      </c>
      <c r="B1920" s="21" t="s">
        <v>260</v>
      </c>
      <c r="C1920" s="21" t="s">
        <v>149</v>
      </c>
      <c r="D1920" s="21" t="s">
        <v>2587</v>
      </c>
      <c r="E1920" s="1" t="s">
        <v>1233</v>
      </c>
      <c r="F1920" s="21" t="s">
        <v>4</v>
      </c>
      <c r="G1920" s="14">
        <v>1</v>
      </c>
      <c r="H1920" s="14">
        <v>0</v>
      </c>
      <c r="I1920" s="25">
        <v>107</v>
      </c>
      <c r="J1920" s="23">
        <f>VLOOKUP(I1920,episodes!$A$1:$B$76,2,FALSE)</f>
        <v>8</v>
      </c>
      <c r="K1920" s="16" t="str">
        <f>VLOOKUP(I1920,episodes!$A$1:$E$81,5,FALSE)</f>
        <v>What Are Little Girls Made Of?</v>
      </c>
      <c r="L1920" s="16">
        <f>VLOOKUP(I1920,episodes!$A$1:$D$81,3,FALSE)</f>
        <v>1</v>
      </c>
      <c r="M1920" s="16">
        <f>VLOOKUP(I1920,episodes!$A$1:$D$81,4,FALSE)</f>
        <v>7</v>
      </c>
      <c r="O1920" s="14">
        <v>0</v>
      </c>
      <c r="P1920" s="24">
        <f>LEN(E1920)+LEN(K1920)</f>
        <v>62</v>
      </c>
      <c r="Q1920" s="24">
        <f>COUNTIFS(B:B,#REF!)</f>
        <v>0</v>
      </c>
      <c r="R1920" s="24">
        <f>COUNTIFS(D:D,D1920)</f>
        <v>44</v>
      </c>
    </row>
    <row r="1921" spans="1:18" x14ac:dyDescent="0.3">
      <c r="A1921" s="14">
        <v>1398</v>
      </c>
      <c r="B1921" s="21" t="s">
        <v>260</v>
      </c>
      <c r="C1921" s="21" t="s">
        <v>149</v>
      </c>
      <c r="D1921" s="21" t="s">
        <v>2587</v>
      </c>
      <c r="E1921" s="1" t="s">
        <v>1432</v>
      </c>
      <c r="F1921" s="21" t="s">
        <v>4</v>
      </c>
      <c r="G1921" s="14">
        <v>1</v>
      </c>
      <c r="H1921" s="14">
        <v>0</v>
      </c>
      <c r="I1921" s="22">
        <v>124</v>
      </c>
      <c r="J1921" s="23">
        <f>VLOOKUP(I1921,episodes!$A$1:$B$76,2,FALSE)</f>
        <v>25</v>
      </c>
      <c r="K1921" s="16" t="str">
        <f>VLOOKUP(I1921,episodes!$A$1:$E$81,5,FALSE)</f>
        <v>This Side of Paradise</v>
      </c>
      <c r="L1921" s="16">
        <f>VLOOKUP(I1921,episodes!$A$1:$D$81,3,FALSE)</f>
        <v>1</v>
      </c>
      <c r="M1921" s="16">
        <f>VLOOKUP(I1921,episodes!$A$1:$D$81,4,FALSE)</f>
        <v>24</v>
      </c>
      <c r="O1921" s="14">
        <v>0</v>
      </c>
      <c r="P1921" s="24">
        <f>LEN(E1921)+LEN(K1921)</f>
        <v>77</v>
      </c>
      <c r="Q1921" s="24">
        <f>COUNTIFS(B:B,B1919)</f>
        <v>147</v>
      </c>
      <c r="R1921" s="24">
        <f>COUNTIFS(D:D,D1921)</f>
        <v>44</v>
      </c>
    </row>
    <row r="1922" spans="1:18" x14ac:dyDescent="0.3">
      <c r="A1922" s="14">
        <v>1392</v>
      </c>
      <c r="B1922" s="21" t="s">
        <v>260</v>
      </c>
      <c r="C1922" s="21" t="s">
        <v>149</v>
      </c>
      <c r="D1922" s="21" t="s">
        <v>2587</v>
      </c>
      <c r="E1922" s="1" t="s">
        <v>1273</v>
      </c>
      <c r="F1922" s="21" t="s">
        <v>4</v>
      </c>
      <c r="G1922" s="14">
        <v>1</v>
      </c>
      <c r="H1922" s="14">
        <v>0</v>
      </c>
      <c r="I1922" s="22">
        <v>116</v>
      </c>
      <c r="J1922" s="23">
        <f>VLOOKUP(I1922,episodes!$A$1:$B$76,2,FALSE)</f>
        <v>17</v>
      </c>
      <c r="K1922" s="16" t="str">
        <f>VLOOKUP(I1922,episodes!$A$1:$E$81,5,FALSE)</f>
        <v>The Galileo Seven</v>
      </c>
      <c r="L1922" s="16">
        <f>VLOOKUP(I1922,episodes!$A$1:$D$81,3,FALSE)</f>
        <v>1</v>
      </c>
      <c r="M1922" s="16">
        <f>VLOOKUP(I1922,episodes!$A$1:$D$81,4,FALSE)</f>
        <v>16</v>
      </c>
      <c r="O1922" s="14">
        <v>0</v>
      </c>
      <c r="P1922" s="24">
        <f>LEN(E1922)+LEN(K1922)</f>
        <v>69</v>
      </c>
      <c r="Q1922" s="24">
        <f>COUNTIFS(B:B,B1921)</f>
        <v>147</v>
      </c>
      <c r="R1922" s="24">
        <f>COUNTIFS(D:D,D1922)</f>
        <v>44</v>
      </c>
    </row>
    <row r="1923" spans="1:18" x14ac:dyDescent="0.3">
      <c r="A1923" s="14">
        <v>537</v>
      </c>
      <c r="B1923" s="21" t="s">
        <v>260</v>
      </c>
      <c r="C1923" s="21" t="s">
        <v>149</v>
      </c>
      <c r="D1923" s="21" t="s">
        <v>2587</v>
      </c>
      <c r="E1923" s="1" t="s">
        <v>2254</v>
      </c>
      <c r="F1923" s="21" t="s">
        <v>4</v>
      </c>
      <c r="G1923" s="14">
        <v>1</v>
      </c>
      <c r="H1923" s="14">
        <v>0</v>
      </c>
      <c r="I1923" s="25">
        <v>102</v>
      </c>
      <c r="J1923" s="23">
        <f>VLOOKUP(I1923,episodes!$A$1:$B$76,2,FALSE)</f>
        <v>3</v>
      </c>
      <c r="K1923" s="16" t="str">
        <f>VLOOKUP(I1923,episodes!$A$1:$E$81,5,FALSE)</f>
        <v>Charlie X</v>
      </c>
      <c r="L1923" s="16">
        <f>VLOOKUP(I1923,episodes!$A$1:$D$81,3,FALSE)</f>
        <v>1</v>
      </c>
      <c r="M1923" s="16">
        <f>VLOOKUP(I1923,episodes!$A$1:$D$81,4,FALSE)</f>
        <v>2</v>
      </c>
      <c r="O1923" s="14">
        <v>0</v>
      </c>
      <c r="P1923" s="24">
        <f>LEN(E1923)+LEN(K1923)</f>
        <v>88</v>
      </c>
      <c r="Q1923" s="24">
        <f>COUNTIFS(B:B,#REF!)</f>
        <v>0</v>
      </c>
      <c r="R1923" s="24">
        <f>COUNTIFS(D:D,D1923)</f>
        <v>44</v>
      </c>
    </row>
    <row r="1924" spans="1:18" x14ac:dyDescent="0.3">
      <c r="A1924" s="14">
        <v>1400</v>
      </c>
      <c r="B1924" s="21" t="s">
        <v>260</v>
      </c>
      <c r="C1924" s="21" t="s">
        <v>149</v>
      </c>
      <c r="D1924" s="21" t="s">
        <v>2587</v>
      </c>
      <c r="E1924" s="1" t="s">
        <v>1346</v>
      </c>
      <c r="F1924" s="21" t="s">
        <v>4</v>
      </c>
      <c r="G1924" s="14">
        <v>1</v>
      </c>
      <c r="H1924" s="14">
        <v>0</v>
      </c>
      <c r="I1924" s="22">
        <v>127</v>
      </c>
      <c r="J1924" s="23">
        <f>VLOOKUP(I1924,episodes!$A$1:$B$76,2,FALSE)</f>
        <v>28</v>
      </c>
      <c r="K1924" s="16" t="str">
        <f>VLOOKUP(I1924,episodes!$A$1:$E$81,5,FALSE)</f>
        <v>The Alternative Factor</v>
      </c>
      <c r="L1924" s="16">
        <f>VLOOKUP(I1924,episodes!$A$1:$D$81,3,FALSE)</f>
        <v>1</v>
      </c>
      <c r="M1924" s="16">
        <f>VLOOKUP(I1924,episodes!$A$1:$D$81,4,FALSE)</f>
        <v>27</v>
      </c>
      <c r="O1924" s="14">
        <v>0</v>
      </c>
      <c r="P1924" s="24">
        <f>LEN(E1924)+LEN(K1924)</f>
        <v>65</v>
      </c>
      <c r="Q1924" s="24">
        <f>COUNTIFS(B:B,#REF!)</f>
        <v>0</v>
      </c>
      <c r="R1924" s="24">
        <f>COUNTIFS(D:D,D1924)</f>
        <v>44</v>
      </c>
    </row>
    <row r="1925" spans="1:18" x14ac:dyDescent="0.3">
      <c r="A1925" s="14">
        <v>1368</v>
      </c>
      <c r="B1925" s="21" t="s">
        <v>260</v>
      </c>
      <c r="C1925" s="21" t="s">
        <v>149</v>
      </c>
      <c r="D1925" s="21" t="s">
        <v>2587</v>
      </c>
      <c r="E1925" s="1" t="s">
        <v>1244</v>
      </c>
      <c r="F1925" s="21" t="s">
        <v>4</v>
      </c>
      <c r="G1925" s="14">
        <v>1</v>
      </c>
      <c r="H1925" s="14">
        <v>0</v>
      </c>
      <c r="I1925" s="25">
        <v>110</v>
      </c>
      <c r="J1925" s="23">
        <f>VLOOKUP(I1925,episodes!$A$1:$B$76,2,FALSE)</f>
        <v>11</v>
      </c>
      <c r="K1925" s="16" t="str">
        <f>VLOOKUP(I1925,episodes!$A$1:$E$81,5,FALSE)</f>
        <v>The Corbomite Maneuver</v>
      </c>
      <c r="L1925" s="16">
        <f>VLOOKUP(I1925,episodes!$A$1:$D$81,3,FALSE)</f>
        <v>1</v>
      </c>
      <c r="M1925" s="16">
        <f>VLOOKUP(I1925,episodes!$A$1:$D$81,4,FALSE)</f>
        <v>10</v>
      </c>
      <c r="O1925" s="14">
        <v>0</v>
      </c>
      <c r="P1925" s="24">
        <f>LEN(E1925)+LEN(K1925)</f>
        <v>76</v>
      </c>
      <c r="Q1925" s="24">
        <f>COUNTIFS(B:B,B1924)</f>
        <v>147</v>
      </c>
      <c r="R1925" s="24">
        <f>COUNTIFS(D:D,D1925)</f>
        <v>44</v>
      </c>
    </row>
    <row r="1926" spans="1:18" x14ac:dyDescent="0.3">
      <c r="A1926" s="14">
        <v>1370</v>
      </c>
      <c r="B1926" s="21" t="s">
        <v>260</v>
      </c>
      <c r="C1926" s="21" t="s">
        <v>149</v>
      </c>
      <c r="D1926" s="21" t="s">
        <v>2587</v>
      </c>
      <c r="E1926" s="1" t="s">
        <v>1244</v>
      </c>
      <c r="F1926" s="21" t="s">
        <v>4</v>
      </c>
      <c r="G1926" s="14">
        <v>1</v>
      </c>
      <c r="H1926" s="14">
        <v>0</v>
      </c>
      <c r="I1926" s="25">
        <v>110</v>
      </c>
      <c r="J1926" s="23">
        <f>VLOOKUP(I1926,episodes!$A$1:$B$76,2,FALSE)</f>
        <v>11</v>
      </c>
      <c r="K1926" s="16" t="str">
        <f>VLOOKUP(I1926,episodes!$A$1:$E$81,5,FALSE)</f>
        <v>The Corbomite Maneuver</v>
      </c>
      <c r="L1926" s="16">
        <f>VLOOKUP(I1926,episodes!$A$1:$D$81,3,FALSE)</f>
        <v>1</v>
      </c>
      <c r="M1926" s="16">
        <f>VLOOKUP(I1926,episodes!$A$1:$D$81,4,FALSE)</f>
        <v>10</v>
      </c>
      <c r="O1926" s="14">
        <v>0</v>
      </c>
      <c r="P1926" s="24">
        <f>LEN(E1926)+LEN(K1926)</f>
        <v>76</v>
      </c>
      <c r="Q1926" s="24">
        <f>COUNTIFS(B:B,#REF!)</f>
        <v>0</v>
      </c>
      <c r="R1926" s="24">
        <f>COUNTIFS(D:D,D1926)</f>
        <v>44</v>
      </c>
    </row>
    <row r="1927" spans="1:18" x14ac:dyDescent="0.3">
      <c r="A1927" s="14">
        <v>1372</v>
      </c>
      <c r="B1927" s="21" t="s">
        <v>260</v>
      </c>
      <c r="C1927" s="21" t="s">
        <v>149</v>
      </c>
      <c r="D1927" s="21" t="s">
        <v>2587</v>
      </c>
      <c r="E1927" s="1" t="s">
        <v>1244</v>
      </c>
      <c r="F1927" s="21" t="s">
        <v>4</v>
      </c>
      <c r="G1927" s="14">
        <v>1</v>
      </c>
      <c r="H1927" s="14">
        <v>0</v>
      </c>
      <c r="I1927" s="25">
        <v>110</v>
      </c>
      <c r="J1927" s="23">
        <f>VLOOKUP(I1927,episodes!$A$1:$B$76,2,FALSE)</f>
        <v>11</v>
      </c>
      <c r="K1927" s="16" t="str">
        <f>VLOOKUP(I1927,episodes!$A$1:$E$81,5,FALSE)</f>
        <v>The Corbomite Maneuver</v>
      </c>
      <c r="L1927" s="16">
        <f>VLOOKUP(I1927,episodes!$A$1:$D$81,3,FALSE)</f>
        <v>1</v>
      </c>
      <c r="M1927" s="16">
        <f>VLOOKUP(I1927,episodes!$A$1:$D$81,4,FALSE)</f>
        <v>10</v>
      </c>
      <c r="O1927" s="14">
        <v>0</v>
      </c>
      <c r="P1927" s="24">
        <f>LEN(E1927)+LEN(K1927)</f>
        <v>76</v>
      </c>
      <c r="Q1927" s="24">
        <f>COUNTIFS(B:B,B1925)</f>
        <v>147</v>
      </c>
      <c r="R1927" s="24">
        <f>COUNTIFS(D:D,D1927)</f>
        <v>44</v>
      </c>
    </row>
    <row r="1928" spans="1:18" x14ac:dyDescent="0.3">
      <c r="A1928" s="14">
        <v>1374</v>
      </c>
      <c r="B1928" s="21" t="s">
        <v>260</v>
      </c>
      <c r="C1928" s="21" t="s">
        <v>149</v>
      </c>
      <c r="D1928" s="21" t="s">
        <v>2587</v>
      </c>
      <c r="E1928" s="1" t="s">
        <v>1244</v>
      </c>
      <c r="F1928" s="21" t="s">
        <v>4</v>
      </c>
      <c r="G1928" s="14">
        <v>1</v>
      </c>
      <c r="H1928" s="14">
        <v>0</v>
      </c>
      <c r="I1928" s="25">
        <v>110</v>
      </c>
      <c r="J1928" s="23">
        <f>VLOOKUP(I1928,episodes!$A$1:$B$76,2,FALSE)</f>
        <v>11</v>
      </c>
      <c r="K1928" s="16" t="str">
        <f>VLOOKUP(I1928,episodes!$A$1:$E$81,5,FALSE)</f>
        <v>The Corbomite Maneuver</v>
      </c>
      <c r="L1928" s="16">
        <f>VLOOKUP(I1928,episodes!$A$1:$D$81,3,FALSE)</f>
        <v>1</v>
      </c>
      <c r="M1928" s="16">
        <f>VLOOKUP(I1928,episodes!$A$1:$D$81,4,FALSE)</f>
        <v>10</v>
      </c>
      <c r="O1928" s="14">
        <v>0</v>
      </c>
      <c r="P1928" s="24">
        <f>LEN(E1928)+LEN(K1928)</f>
        <v>76</v>
      </c>
      <c r="Q1928" s="24">
        <f>COUNTIFS(B:B,B1926)</f>
        <v>147</v>
      </c>
      <c r="R1928" s="24">
        <f>COUNTIFS(D:D,D1928)</f>
        <v>44</v>
      </c>
    </row>
    <row r="1929" spans="1:18" x14ac:dyDescent="0.3">
      <c r="A1929" s="14">
        <v>1376</v>
      </c>
      <c r="B1929" s="21" t="s">
        <v>260</v>
      </c>
      <c r="C1929" s="21" t="s">
        <v>149</v>
      </c>
      <c r="D1929" s="21" t="s">
        <v>2587</v>
      </c>
      <c r="E1929" s="1" t="s">
        <v>1244</v>
      </c>
      <c r="F1929" s="21" t="s">
        <v>4</v>
      </c>
      <c r="G1929" s="14">
        <v>1</v>
      </c>
      <c r="H1929" s="14">
        <v>0</v>
      </c>
      <c r="I1929" s="25">
        <v>110</v>
      </c>
      <c r="J1929" s="23">
        <f>VLOOKUP(I1929,episodes!$A$1:$B$76,2,FALSE)</f>
        <v>11</v>
      </c>
      <c r="K1929" s="16" t="str">
        <f>VLOOKUP(I1929,episodes!$A$1:$E$81,5,FALSE)</f>
        <v>The Corbomite Maneuver</v>
      </c>
      <c r="L1929" s="16">
        <f>VLOOKUP(I1929,episodes!$A$1:$D$81,3,FALSE)</f>
        <v>1</v>
      </c>
      <c r="M1929" s="16">
        <f>VLOOKUP(I1929,episodes!$A$1:$D$81,4,FALSE)</f>
        <v>10</v>
      </c>
      <c r="O1929" s="14">
        <v>0</v>
      </c>
      <c r="P1929" s="24">
        <f>LEN(E1929)+LEN(K1929)</f>
        <v>76</v>
      </c>
      <c r="Q1929" s="24">
        <f>COUNTIFS(B:B,B1927)</f>
        <v>147</v>
      </c>
      <c r="R1929" s="24">
        <f>COUNTIFS(D:D,D1929)</f>
        <v>44</v>
      </c>
    </row>
    <row r="1930" spans="1:18" x14ac:dyDescent="0.3">
      <c r="A1930" s="14">
        <v>1367</v>
      </c>
      <c r="B1930" s="21" t="s">
        <v>260</v>
      </c>
      <c r="C1930" s="21" t="s">
        <v>149</v>
      </c>
      <c r="D1930" s="21" t="s">
        <v>2587</v>
      </c>
      <c r="E1930" s="1" t="s">
        <v>1741</v>
      </c>
      <c r="F1930" s="21" t="s">
        <v>1863</v>
      </c>
      <c r="G1930" s="14">
        <v>1</v>
      </c>
      <c r="H1930" s="14">
        <v>0</v>
      </c>
      <c r="I1930" s="25">
        <v>109</v>
      </c>
      <c r="J1930" s="23">
        <f>VLOOKUP(I1930,episodes!$A$1:$B$76,2,FALSE)</f>
        <v>10</v>
      </c>
      <c r="K1930" s="16" t="str">
        <f>VLOOKUP(I1930,episodes!$A$1:$E$81,5,FALSE)</f>
        <v>Dagger of the Mind</v>
      </c>
      <c r="L1930" s="16">
        <f>VLOOKUP(I1930,episodes!$A$1:$D$81,3,FALSE)</f>
        <v>1</v>
      </c>
      <c r="M1930" s="16">
        <f>VLOOKUP(I1930,episodes!$A$1:$D$81,4,FALSE)</f>
        <v>9</v>
      </c>
      <c r="O1930" s="14">
        <v>0</v>
      </c>
      <c r="P1930" s="24">
        <f>LEN(E1930)+LEN(K1930)</f>
        <v>57</v>
      </c>
      <c r="Q1930" s="24"/>
      <c r="R1930" s="24"/>
    </row>
    <row r="1931" spans="1:18" x14ac:dyDescent="0.3">
      <c r="A1931" s="14">
        <v>662</v>
      </c>
      <c r="B1931" s="21" t="s">
        <v>260</v>
      </c>
      <c r="C1931" s="21" t="s">
        <v>149</v>
      </c>
      <c r="D1931" s="21" t="s">
        <v>2587</v>
      </c>
      <c r="E1931" s="1" t="s">
        <v>2166</v>
      </c>
      <c r="F1931" s="21" t="s">
        <v>4</v>
      </c>
      <c r="G1931" s="14">
        <v>1</v>
      </c>
      <c r="H1931" s="14">
        <v>0</v>
      </c>
      <c r="I1931" s="25">
        <v>110</v>
      </c>
      <c r="J1931" s="23">
        <f>VLOOKUP(I1931,episodes!$A$1:$B$76,2,FALSE)</f>
        <v>11</v>
      </c>
      <c r="K1931" s="16" t="str">
        <f>VLOOKUP(I1931,episodes!$A$1:$E$81,5,FALSE)</f>
        <v>The Corbomite Maneuver</v>
      </c>
      <c r="L1931" s="16">
        <f>VLOOKUP(I1931,episodes!$A$1:$D$81,3,FALSE)</f>
        <v>1</v>
      </c>
      <c r="M1931" s="16">
        <f>VLOOKUP(I1931,episodes!$A$1:$D$81,4,FALSE)</f>
        <v>10</v>
      </c>
      <c r="O1931" s="14">
        <v>0</v>
      </c>
      <c r="P1931" s="24">
        <f>LEN(E1931)+LEN(K1931)</f>
        <v>589</v>
      </c>
      <c r="Q1931" s="24">
        <f>COUNTIFS(B:B,#REF!)</f>
        <v>0</v>
      </c>
      <c r="R1931" s="24">
        <f>COUNTIFS(D:D,D1931)</f>
        <v>44</v>
      </c>
    </row>
    <row r="1932" spans="1:18" x14ac:dyDescent="0.3">
      <c r="A1932" s="14">
        <v>1384</v>
      </c>
      <c r="B1932" s="21" t="s">
        <v>260</v>
      </c>
      <c r="C1932" s="21" t="s">
        <v>149</v>
      </c>
      <c r="D1932" s="21" t="s">
        <v>2587</v>
      </c>
      <c r="E1932" s="1" t="s">
        <v>1783</v>
      </c>
      <c r="F1932" s="21" t="s">
        <v>4</v>
      </c>
      <c r="G1932" s="14">
        <v>1</v>
      </c>
      <c r="H1932" s="14">
        <v>0</v>
      </c>
      <c r="I1932" s="22">
        <v>114</v>
      </c>
      <c r="J1932" s="23">
        <f>VLOOKUP(I1932,episodes!$A$1:$B$76,2,FALSE)</f>
        <v>15</v>
      </c>
      <c r="K1932" s="16" t="str">
        <f>VLOOKUP(I1932,episodes!$A$1:$E$81,5,FALSE)</f>
        <v>Balance of Terror</v>
      </c>
      <c r="L1932" s="16">
        <f>VLOOKUP(I1932,episodes!$A$1:$D$81,3,FALSE)</f>
        <v>1</v>
      </c>
      <c r="M1932" s="16">
        <f>VLOOKUP(I1932,episodes!$A$1:$D$81,4,FALSE)</f>
        <v>14</v>
      </c>
      <c r="O1932" s="14">
        <v>0</v>
      </c>
      <c r="P1932" s="24">
        <f>LEN(E1932)+LEN(K1932)</f>
        <v>74</v>
      </c>
      <c r="Q1932" s="24">
        <f>COUNTIFS(B:B,B1931)</f>
        <v>147</v>
      </c>
      <c r="R1932" s="24">
        <f>COUNTIFS(D:D,D1932)</f>
        <v>44</v>
      </c>
    </row>
    <row r="1933" spans="1:18" x14ac:dyDescent="0.3">
      <c r="A1933" s="14">
        <v>2387</v>
      </c>
      <c r="B1933" s="21" t="s">
        <v>260</v>
      </c>
      <c r="C1933" s="21" t="s">
        <v>149</v>
      </c>
      <c r="D1933" s="21" t="s">
        <v>2593</v>
      </c>
      <c r="E1933" s="1" t="s">
        <v>1412</v>
      </c>
      <c r="F1933" s="21" t="s">
        <v>5</v>
      </c>
      <c r="G1933" s="14">
        <v>1</v>
      </c>
      <c r="H1933" s="14">
        <v>0</v>
      </c>
      <c r="I1933" s="25">
        <v>206</v>
      </c>
      <c r="J1933" s="23">
        <f>VLOOKUP(I1933,episodes!$A$1:$B$81,2,FALSE)</f>
        <v>36</v>
      </c>
      <c r="K1933" s="16" t="str">
        <f>VLOOKUP(I1933,episodes!$A$1:$E$81,5,FALSE)</f>
        <v>The Doomsday Machine</v>
      </c>
      <c r="L1933" s="16">
        <f>VLOOKUP(I1933,episodes!$A$1:$D$81,3,FALSE)</f>
        <v>2</v>
      </c>
      <c r="M1933" s="16">
        <f>VLOOKUP(I1933,episodes!$A$1:$D$81,4,FALSE)</f>
        <v>6</v>
      </c>
      <c r="O1933" s="14">
        <v>0</v>
      </c>
      <c r="P1933" s="24">
        <f>LEN(E1933)+LEN(K1933)</f>
        <v>117</v>
      </c>
      <c r="Q1933" s="24"/>
      <c r="R1933" s="24"/>
    </row>
    <row r="1934" spans="1:18" x14ac:dyDescent="0.3">
      <c r="A1934" s="14">
        <v>2413</v>
      </c>
      <c r="B1934" s="21" t="s">
        <v>260</v>
      </c>
      <c r="C1934" s="21" t="s">
        <v>149</v>
      </c>
      <c r="D1934" s="21" t="s">
        <v>2590</v>
      </c>
      <c r="E1934" s="1" t="s">
        <v>1280</v>
      </c>
      <c r="F1934" s="21" t="s">
        <v>5</v>
      </c>
      <c r="G1934" s="14">
        <v>1</v>
      </c>
      <c r="H1934" s="14">
        <v>0</v>
      </c>
      <c r="I1934" s="22">
        <v>117</v>
      </c>
      <c r="J1934" s="23">
        <f>VLOOKUP(I1934,episodes!$A$1:$B$76,2,FALSE)</f>
        <v>18</v>
      </c>
      <c r="K1934" s="16" t="str">
        <f>VLOOKUP(I1934,episodes!$A$1:$E$81,5,FALSE)</f>
        <v>The Squire of Gothos</v>
      </c>
      <c r="L1934" s="16">
        <f>VLOOKUP(I1934,episodes!$A$1:$D$81,3,FALSE)</f>
        <v>1</v>
      </c>
      <c r="M1934" s="16">
        <f>VLOOKUP(I1934,episodes!$A$1:$D$81,4,FALSE)</f>
        <v>17</v>
      </c>
      <c r="O1934" s="14">
        <v>0</v>
      </c>
      <c r="P1934" s="24">
        <f>LEN(E1934)+LEN(K1934)</f>
        <v>58</v>
      </c>
      <c r="Q1934" s="24">
        <f>COUNTIFS(B:B,B1933)</f>
        <v>147</v>
      </c>
      <c r="R1934" s="24">
        <f>COUNTIFS(D:D,D1934)</f>
        <v>8</v>
      </c>
    </row>
    <row r="1935" spans="1:18" x14ac:dyDescent="0.3">
      <c r="A1935" s="14">
        <v>2409</v>
      </c>
      <c r="B1935" s="21" t="s">
        <v>260</v>
      </c>
      <c r="C1935" s="21" t="s">
        <v>149</v>
      </c>
      <c r="D1935" s="21" t="s">
        <v>2590</v>
      </c>
      <c r="E1935" s="1" t="s">
        <v>1539</v>
      </c>
      <c r="F1935" s="21" t="s">
        <v>5</v>
      </c>
      <c r="G1935" s="14">
        <v>1</v>
      </c>
      <c r="H1935" s="14">
        <v>0</v>
      </c>
      <c r="I1935" s="22">
        <v>114</v>
      </c>
      <c r="J1935" s="23">
        <f>VLOOKUP(I1935,episodes!$A$1:$B$76,2,FALSE)</f>
        <v>15</v>
      </c>
      <c r="K1935" s="16" t="str">
        <f>VLOOKUP(I1935,episodes!$A$1:$E$81,5,FALSE)</f>
        <v>Balance of Terror</v>
      </c>
      <c r="L1935" s="16">
        <f>VLOOKUP(I1935,episodes!$A$1:$D$81,3,FALSE)</f>
        <v>1</v>
      </c>
      <c r="M1935" s="16">
        <f>VLOOKUP(I1935,episodes!$A$1:$D$81,4,FALSE)</f>
        <v>14</v>
      </c>
      <c r="O1935" s="14">
        <v>0</v>
      </c>
      <c r="P1935" s="24">
        <f>LEN(E1935)+LEN(K1935)</f>
        <v>69</v>
      </c>
      <c r="Q1935" s="24">
        <f>COUNTIFS(B:B,B1934)</f>
        <v>147</v>
      </c>
      <c r="R1935" s="24">
        <f>COUNTIFS(D:D,D1935)</f>
        <v>8</v>
      </c>
    </row>
    <row r="1936" spans="1:18" x14ac:dyDescent="0.3">
      <c r="A1936" s="14">
        <v>2407</v>
      </c>
      <c r="B1936" s="21" t="s">
        <v>260</v>
      </c>
      <c r="C1936" s="21" t="s">
        <v>149</v>
      </c>
      <c r="D1936" s="21" t="s">
        <v>2590</v>
      </c>
      <c r="E1936" s="1" t="s">
        <v>1240</v>
      </c>
      <c r="F1936" s="21" t="s">
        <v>5</v>
      </c>
      <c r="G1936" s="14">
        <v>1</v>
      </c>
      <c r="H1936" s="14">
        <v>0</v>
      </c>
      <c r="I1936" s="25">
        <v>109</v>
      </c>
      <c r="J1936" s="23">
        <f>VLOOKUP(I1936,episodes!$A$1:$B$76,2,FALSE)</f>
        <v>10</v>
      </c>
      <c r="K1936" s="16" t="str">
        <f>VLOOKUP(I1936,episodes!$A$1:$E$81,5,FALSE)</f>
        <v>Dagger of the Mind</v>
      </c>
      <c r="L1936" s="16">
        <f>VLOOKUP(I1936,episodes!$A$1:$D$81,3,FALSE)</f>
        <v>1</v>
      </c>
      <c r="M1936" s="16">
        <f>VLOOKUP(I1936,episodes!$A$1:$D$81,4,FALSE)</f>
        <v>9</v>
      </c>
      <c r="O1936" s="14">
        <v>0</v>
      </c>
      <c r="P1936" s="24">
        <f>LEN(E1936)+LEN(K1936)</f>
        <v>45</v>
      </c>
      <c r="Q1936" s="24">
        <f>COUNTIFS(B:B,#REF!)</f>
        <v>0</v>
      </c>
      <c r="R1936" s="24">
        <f>COUNTIFS(D:D,D1936)</f>
        <v>8</v>
      </c>
    </row>
    <row r="1937" spans="1:18" x14ac:dyDescent="0.3">
      <c r="A1937" s="14">
        <v>2415</v>
      </c>
      <c r="B1937" s="21" t="s">
        <v>260</v>
      </c>
      <c r="C1937" s="21" t="s">
        <v>149</v>
      </c>
      <c r="D1937" s="21" t="s">
        <v>2590</v>
      </c>
      <c r="E1937" s="1" t="s">
        <v>1287</v>
      </c>
      <c r="F1937" s="21" t="s">
        <v>5</v>
      </c>
      <c r="G1937" s="14">
        <v>1</v>
      </c>
      <c r="H1937" s="14">
        <v>0</v>
      </c>
      <c r="I1937" s="22">
        <v>118</v>
      </c>
      <c r="J1937" s="23">
        <f>VLOOKUP(I1937,episodes!$A$1:$B$76,2,FALSE)</f>
        <v>19</v>
      </c>
      <c r="K1937" s="16" t="str">
        <f>VLOOKUP(I1937,episodes!$A$1:$E$81,5,FALSE)</f>
        <v>Arena</v>
      </c>
      <c r="L1937" s="16">
        <f>VLOOKUP(I1937,episodes!$A$1:$D$81,3,FALSE)</f>
        <v>1</v>
      </c>
      <c r="M1937" s="16">
        <f>VLOOKUP(I1937,episodes!$A$1:$D$81,4,FALSE)</f>
        <v>18</v>
      </c>
      <c r="O1937" s="14">
        <v>0</v>
      </c>
      <c r="P1937" s="24">
        <f>LEN(E1937)+LEN(K1937)</f>
        <v>47</v>
      </c>
      <c r="Q1937" s="24">
        <f>COUNTIFS(B:B,#REF!)</f>
        <v>0</v>
      </c>
      <c r="R1937" s="24">
        <f>COUNTIFS(D:D,D1937)</f>
        <v>8</v>
      </c>
    </row>
    <row r="1938" spans="1:18" x14ac:dyDescent="0.3">
      <c r="A1938" s="14">
        <v>2417</v>
      </c>
      <c r="B1938" s="21" t="s">
        <v>260</v>
      </c>
      <c r="C1938" s="21" t="s">
        <v>149</v>
      </c>
      <c r="D1938" s="21" t="s">
        <v>2590</v>
      </c>
      <c r="E1938" s="1" t="s">
        <v>2890</v>
      </c>
      <c r="F1938" s="21" t="s">
        <v>5</v>
      </c>
      <c r="G1938" s="14">
        <v>1</v>
      </c>
      <c r="H1938" s="14">
        <v>0</v>
      </c>
      <c r="I1938" s="22">
        <v>119</v>
      </c>
      <c r="J1938" s="23">
        <f>VLOOKUP(I1938,episodes!$A$1:$B$76,2,FALSE)</f>
        <v>20</v>
      </c>
      <c r="K1938" s="16" t="str">
        <f>VLOOKUP(I1938,episodes!$A$1:$E$81,5,FALSE)</f>
        <v>Tomorrow Is Yesterday</v>
      </c>
      <c r="L1938" s="16">
        <f>VLOOKUP(I1938,episodes!$A$1:$D$81,3,FALSE)</f>
        <v>1</v>
      </c>
      <c r="M1938" s="16">
        <f>VLOOKUP(I1938,episodes!$A$1:$D$81,4,FALSE)</f>
        <v>19</v>
      </c>
      <c r="O1938" s="14">
        <v>0</v>
      </c>
      <c r="P1938" s="24">
        <f>LEN(E1938)+LEN(K1938)</f>
        <v>58</v>
      </c>
      <c r="Q1938" s="24">
        <f>COUNTIFS(B:B,#REF!)</f>
        <v>0</v>
      </c>
      <c r="R1938" s="24">
        <f>COUNTIFS(D:D,D1938)</f>
        <v>8</v>
      </c>
    </row>
    <row r="1939" spans="1:18" x14ac:dyDescent="0.3">
      <c r="A1939" s="14">
        <v>2419</v>
      </c>
      <c r="B1939" s="21" t="s">
        <v>260</v>
      </c>
      <c r="C1939" s="21" t="s">
        <v>149</v>
      </c>
      <c r="D1939" s="21" t="s">
        <v>2590</v>
      </c>
      <c r="E1939" s="1" t="s">
        <v>2891</v>
      </c>
      <c r="F1939" s="21" t="s">
        <v>5</v>
      </c>
      <c r="G1939" s="14">
        <v>1</v>
      </c>
      <c r="H1939" s="14">
        <v>0</v>
      </c>
      <c r="I1939" s="22">
        <v>119</v>
      </c>
      <c r="J1939" s="23">
        <f>VLOOKUP(I1939,episodes!$A$1:$B$76,2,FALSE)</f>
        <v>20</v>
      </c>
      <c r="K1939" s="16" t="str">
        <f>VLOOKUP(I1939,episodes!$A$1:$E$81,5,FALSE)</f>
        <v>Tomorrow Is Yesterday</v>
      </c>
      <c r="L1939" s="16">
        <f>VLOOKUP(I1939,episodes!$A$1:$D$81,3,FALSE)</f>
        <v>1</v>
      </c>
      <c r="M1939" s="16">
        <f>VLOOKUP(I1939,episodes!$A$1:$D$81,4,FALSE)</f>
        <v>19</v>
      </c>
      <c r="O1939" s="14">
        <v>0</v>
      </c>
      <c r="P1939" s="24">
        <f>LEN(E1939)+LEN(K1939)</f>
        <v>58</v>
      </c>
      <c r="Q1939" s="24">
        <f>COUNTIFS(B:B,B1937)</f>
        <v>147</v>
      </c>
      <c r="R1939" s="24">
        <f>COUNTIFS(D:D,D1939)</f>
        <v>8</v>
      </c>
    </row>
    <row r="1940" spans="1:18" x14ac:dyDescent="0.3">
      <c r="A1940" s="14">
        <v>2411</v>
      </c>
      <c r="B1940" s="21" t="s">
        <v>260</v>
      </c>
      <c r="C1940" s="21" t="s">
        <v>149</v>
      </c>
      <c r="D1940" s="21" t="s">
        <v>2590</v>
      </c>
      <c r="E1940" s="1" t="s">
        <v>1778</v>
      </c>
      <c r="F1940" s="21" t="s">
        <v>5</v>
      </c>
      <c r="G1940" s="14">
        <v>1</v>
      </c>
      <c r="H1940" s="14">
        <v>0</v>
      </c>
      <c r="I1940" s="22">
        <v>114</v>
      </c>
      <c r="J1940" s="23">
        <f>VLOOKUP(I1940,episodes!$A$1:$B$76,2,FALSE)</f>
        <v>15</v>
      </c>
      <c r="K1940" s="16" t="str">
        <f>VLOOKUP(I1940,episodes!$A$1:$E$81,5,FALSE)</f>
        <v>Balance of Terror</v>
      </c>
      <c r="L1940" s="16">
        <f>VLOOKUP(I1940,episodes!$A$1:$D$81,3,FALSE)</f>
        <v>1</v>
      </c>
      <c r="M1940" s="16">
        <f>VLOOKUP(I1940,episodes!$A$1:$D$81,4,FALSE)</f>
        <v>14</v>
      </c>
      <c r="O1940" s="14">
        <v>0</v>
      </c>
      <c r="P1940" s="24">
        <f>LEN(E1940)+LEN(K1940)</f>
        <v>98</v>
      </c>
      <c r="Q1940" s="24">
        <f>COUNTIFS(B:B,B1939)</f>
        <v>147</v>
      </c>
      <c r="R1940" s="24">
        <f>COUNTIFS(D:D,D1940)</f>
        <v>8</v>
      </c>
    </row>
    <row r="1941" spans="1:18" x14ac:dyDescent="0.3">
      <c r="A1941" s="14">
        <v>2421</v>
      </c>
      <c r="B1941" s="21" t="s">
        <v>260</v>
      </c>
      <c r="C1941" s="21" t="s">
        <v>149</v>
      </c>
      <c r="D1941" s="21" t="s">
        <v>2590</v>
      </c>
      <c r="E1941" s="1" t="s">
        <v>1433</v>
      </c>
      <c r="F1941" s="21" t="s">
        <v>5</v>
      </c>
      <c r="G1941" s="14">
        <v>1</v>
      </c>
      <c r="H1941" s="14">
        <v>0</v>
      </c>
      <c r="I1941" s="22">
        <v>202</v>
      </c>
      <c r="J1941" s="23">
        <f>VLOOKUP(I1941,episodes!$A$1:$B$76,2,FALSE)</f>
        <v>32</v>
      </c>
      <c r="K1941" s="16" t="str">
        <f>VLOOKUP(I1941,episodes!$A$1:$E$81,5,FALSE)</f>
        <v>Who Mourns for Adonais?</v>
      </c>
      <c r="L1941" s="16">
        <f>VLOOKUP(I1941,episodes!$A$1:$D$81,3,FALSE)</f>
        <v>2</v>
      </c>
      <c r="M1941" s="16">
        <f>VLOOKUP(I1941,episodes!$A$1:$D$81,4,FALSE)</f>
        <v>2</v>
      </c>
      <c r="O1941" s="14">
        <v>0</v>
      </c>
      <c r="P1941" s="24">
        <f>LEN(E1941)+LEN(K1941)</f>
        <v>198</v>
      </c>
      <c r="Q1941" s="24">
        <f>COUNTIFS(B:B,#REF!)</f>
        <v>0</v>
      </c>
      <c r="R1941" s="24">
        <f>COUNTIFS(D:D,D1941)</f>
        <v>8</v>
      </c>
    </row>
    <row r="1942" spans="1:18" x14ac:dyDescent="0.3">
      <c r="A1942" s="14">
        <v>2997</v>
      </c>
      <c r="B1942" s="21" t="s">
        <v>260</v>
      </c>
      <c r="C1942" s="21" t="s">
        <v>149</v>
      </c>
      <c r="D1942" s="21" t="s">
        <v>2591</v>
      </c>
      <c r="E1942" s="4" t="s">
        <v>2818</v>
      </c>
      <c r="F1942" s="21" t="s">
        <v>6</v>
      </c>
      <c r="G1942" s="14">
        <v>0</v>
      </c>
      <c r="H1942" s="14">
        <v>1</v>
      </c>
      <c r="I1942" s="7">
        <v>211</v>
      </c>
      <c r="J1942" s="23">
        <f>VLOOKUP(I1942,episodes!$A$1:$B$81,2,FALSE)</f>
        <v>41</v>
      </c>
      <c r="K1942" s="16" t="str">
        <f>VLOOKUP(I1942,episodes!$A$1:$E$81,5,FALSE)</f>
        <v>Friday's Child</v>
      </c>
      <c r="L1942" s="16">
        <f>VLOOKUP(I1942,episodes!$A$1:$D$81,3,FALSE)</f>
        <v>2</v>
      </c>
      <c r="M1942" s="16">
        <f>VLOOKUP(I1942,episodes!$A$1:$D$81,4,FALSE)</f>
        <v>11</v>
      </c>
      <c r="O1942" s="14">
        <v>0</v>
      </c>
      <c r="P1942" s="24">
        <f>LEN(E1942)+LEN(K1942)</f>
        <v>49</v>
      </c>
      <c r="Q1942" s="24"/>
      <c r="R1942" s="24"/>
    </row>
    <row r="1943" spans="1:18" x14ac:dyDescent="0.3">
      <c r="A1943" s="14">
        <v>2963</v>
      </c>
      <c r="B1943" s="21" t="s">
        <v>260</v>
      </c>
      <c r="C1943" s="21" t="s">
        <v>149</v>
      </c>
      <c r="D1943" s="21" t="s">
        <v>2591</v>
      </c>
      <c r="E1943" s="4" t="s">
        <v>2790</v>
      </c>
      <c r="F1943" s="21" t="s">
        <v>6</v>
      </c>
      <c r="G1943" s="14">
        <v>0</v>
      </c>
      <c r="H1943" s="14">
        <v>1</v>
      </c>
      <c r="I1943" s="7">
        <v>211</v>
      </c>
      <c r="J1943" s="23">
        <f>VLOOKUP(I1943,episodes!$A$1:$B$81,2,FALSE)</f>
        <v>41</v>
      </c>
      <c r="K1943" s="16" t="str">
        <f>VLOOKUP(I1943,episodes!$A$1:$E$81,5,FALSE)</f>
        <v>Friday's Child</v>
      </c>
      <c r="L1943" s="16">
        <f>VLOOKUP(I1943,episodes!$A$1:$D$81,3,FALSE)</f>
        <v>2</v>
      </c>
      <c r="M1943" s="16">
        <f>VLOOKUP(I1943,episodes!$A$1:$D$81,4,FALSE)</f>
        <v>11</v>
      </c>
      <c r="O1943" s="14">
        <v>0</v>
      </c>
      <c r="P1943" s="24">
        <f>LEN(E1943)+LEN(K1943)</f>
        <v>62</v>
      </c>
      <c r="Q1943" s="24"/>
      <c r="R1943" s="24"/>
    </row>
    <row r="1944" spans="1:18" x14ac:dyDescent="0.3">
      <c r="A1944" s="14">
        <v>2947</v>
      </c>
      <c r="B1944" s="21" t="s">
        <v>260</v>
      </c>
      <c r="C1944" s="21" t="s">
        <v>149</v>
      </c>
      <c r="D1944" s="21" t="s">
        <v>2591</v>
      </c>
      <c r="E1944" s="4" t="s">
        <v>2781</v>
      </c>
      <c r="F1944" s="21" t="s">
        <v>1863</v>
      </c>
      <c r="G1944" s="14">
        <v>1</v>
      </c>
      <c r="H1944" s="14">
        <v>0</v>
      </c>
      <c r="I1944" s="7">
        <v>211</v>
      </c>
      <c r="J1944" s="23">
        <f>VLOOKUP(I1944,episodes!$A$1:$B$81,2,FALSE)</f>
        <v>41</v>
      </c>
      <c r="K1944" s="16" t="str">
        <f>VLOOKUP(I1944,episodes!$A$1:$E$81,5,FALSE)</f>
        <v>Friday's Child</v>
      </c>
      <c r="L1944" s="16">
        <f>VLOOKUP(I1944,episodes!$A$1:$D$81,3,FALSE)</f>
        <v>2</v>
      </c>
      <c r="M1944" s="16">
        <f>VLOOKUP(I1944,episodes!$A$1:$D$81,4,FALSE)</f>
        <v>11</v>
      </c>
      <c r="O1944" s="14">
        <v>0</v>
      </c>
      <c r="P1944" s="24">
        <f>LEN(E1944)+LEN(K1944)</f>
        <v>92</v>
      </c>
      <c r="Q1944" s="24"/>
      <c r="R1944" s="24"/>
    </row>
    <row r="1945" spans="1:18" x14ac:dyDescent="0.3">
      <c r="A1945" s="14">
        <v>2626</v>
      </c>
      <c r="B1945" s="21" t="s">
        <v>260</v>
      </c>
      <c r="C1945" s="21" t="s">
        <v>149</v>
      </c>
      <c r="D1945" s="21" t="s">
        <v>2591</v>
      </c>
      <c r="E1945" s="1" t="s">
        <v>1468</v>
      </c>
      <c r="F1945" s="21" t="s">
        <v>1863</v>
      </c>
      <c r="G1945" s="14">
        <v>1</v>
      </c>
      <c r="H1945" s="14">
        <v>0</v>
      </c>
      <c r="I1945" s="22">
        <v>124</v>
      </c>
      <c r="J1945" s="23">
        <f>VLOOKUP(I1945,episodes!$A$1:$B$76,2,FALSE)</f>
        <v>25</v>
      </c>
      <c r="K1945" s="16" t="str">
        <f>VLOOKUP(I1945,episodes!$A$1:$E$81,5,FALSE)</f>
        <v>This Side of Paradise</v>
      </c>
      <c r="L1945" s="16">
        <f>VLOOKUP(I1945,episodes!$A$1:$D$81,3,FALSE)</f>
        <v>1</v>
      </c>
      <c r="M1945" s="16">
        <f>VLOOKUP(I1945,episodes!$A$1:$D$81,4,FALSE)</f>
        <v>24</v>
      </c>
      <c r="O1945" s="14">
        <v>0</v>
      </c>
      <c r="P1945" s="24">
        <f>LEN(E1945)+LEN(K1945)</f>
        <v>101</v>
      </c>
      <c r="Q1945" s="24">
        <f>COUNTIFS(B:B,#REF!)</f>
        <v>0</v>
      </c>
      <c r="R1945" s="24">
        <f>COUNTIFS(D:D,D1945)</f>
        <v>75</v>
      </c>
    </row>
    <row r="1946" spans="1:18" x14ac:dyDescent="0.3">
      <c r="A1946" s="14">
        <v>2502</v>
      </c>
      <c r="B1946" s="21" t="s">
        <v>260</v>
      </c>
      <c r="C1946" s="21" t="s">
        <v>149</v>
      </c>
      <c r="D1946" s="21" t="s">
        <v>2591</v>
      </c>
      <c r="E1946" s="1" t="s">
        <v>821</v>
      </c>
      <c r="F1946" s="21" t="s">
        <v>1863</v>
      </c>
      <c r="G1946" s="14">
        <v>1</v>
      </c>
      <c r="H1946" s="14">
        <v>0</v>
      </c>
      <c r="I1946" s="25">
        <v>101</v>
      </c>
      <c r="J1946" s="23">
        <f>VLOOKUP(I1946,episodes!$A$1:$B$76,2,FALSE)</f>
        <v>2</v>
      </c>
      <c r="K1946" s="16" t="str">
        <f>VLOOKUP(I1946,episodes!$A$1:$E$81,5,FALSE)</f>
        <v>The Man Trap</v>
      </c>
      <c r="L1946" s="16">
        <f>VLOOKUP(I1946,episodes!$A$1:$D$81,3,FALSE)</f>
        <v>1</v>
      </c>
      <c r="M1946" s="16">
        <f>VLOOKUP(I1946,episodes!$A$1:$D$81,4,FALSE)</f>
        <v>1</v>
      </c>
      <c r="O1946" s="14">
        <v>0</v>
      </c>
      <c r="P1946" s="24">
        <f>LEN(E1946)+LEN(K1946)</f>
        <v>64</v>
      </c>
      <c r="Q1946" s="24">
        <f>COUNTIFS(B:B,#REF!)</f>
        <v>0</v>
      </c>
      <c r="R1946" s="24">
        <f>COUNTIFS(D:D,D1946)</f>
        <v>75</v>
      </c>
    </row>
    <row r="1947" spans="1:18" x14ac:dyDescent="0.3">
      <c r="A1947" s="14">
        <v>2660</v>
      </c>
      <c r="B1947" s="21" t="s">
        <v>260</v>
      </c>
      <c r="C1947" s="21" t="s">
        <v>149</v>
      </c>
      <c r="D1947" s="21" t="s">
        <v>2591</v>
      </c>
      <c r="E1947" s="1" t="s">
        <v>2022</v>
      </c>
      <c r="F1947" s="21" t="s">
        <v>1863</v>
      </c>
      <c r="G1947" s="14">
        <v>1</v>
      </c>
      <c r="H1947" s="14">
        <v>0</v>
      </c>
      <c r="I1947" s="22">
        <v>202</v>
      </c>
      <c r="J1947" s="23">
        <f>VLOOKUP(I1947,episodes!$A$1:$B$76,2,FALSE)</f>
        <v>32</v>
      </c>
      <c r="K1947" s="16" t="str">
        <f>VLOOKUP(I1947,episodes!$A$1:$E$81,5,FALSE)</f>
        <v>Who Mourns for Adonais?</v>
      </c>
      <c r="L1947" s="16">
        <f>VLOOKUP(I1947,episodes!$A$1:$D$81,3,FALSE)</f>
        <v>2</v>
      </c>
      <c r="M1947" s="16">
        <f>VLOOKUP(I1947,episodes!$A$1:$D$81,4,FALSE)</f>
        <v>2</v>
      </c>
      <c r="O1947" s="14">
        <v>0</v>
      </c>
      <c r="P1947" s="24">
        <f>LEN(E1947)+LEN(K1947)</f>
        <v>63</v>
      </c>
      <c r="Q1947" s="24">
        <f>COUNTIFS(B:B,#REF!)</f>
        <v>0</v>
      </c>
      <c r="R1947" s="24">
        <f>COUNTIFS(D:D,D1947)</f>
        <v>75</v>
      </c>
    </row>
    <row r="1948" spans="1:18" x14ac:dyDescent="0.3">
      <c r="A1948" s="14">
        <v>2662</v>
      </c>
      <c r="B1948" s="21" t="s">
        <v>260</v>
      </c>
      <c r="C1948" s="21" t="s">
        <v>149</v>
      </c>
      <c r="D1948" s="21" t="s">
        <v>2591</v>
      </c>
      <c r="E1948" s="1" t="s">
        <v>1382</v>
      </c>
      <c r="F1948" s="21" t="s">
        <v>1863</v>
      </c>
      <c r="G1948" s="14">
        <v>1</v>
      </c>
      <c r="H1948" s="14">
        <v>0</v>
      </c>
      <c r="I1948" s="22">
        <v>202</v>
      </c>
      <c r="J1948" s="23">
        <f>VLOOKUP(I1948,episodes!$A$1:$B$76,2,FALSE)</f>
        <v>32</v>
      </c>
      <c r="K1948" s="16" t="str">
        <f>VLOOKUP(I1948,episodes!$A$1:$E$81,5,FALSE)</f>
        <v>Who Mourns for Adonais?</v>
      </c>
      <c r="L1948" s="16">
        <f>VLOOKUP(I1948,episodes!$A$1:$D$81,3,FALSE)</f>
        <v>2</v>
      </c>
      <c r="M1948" s="16">
        <f>VLOOKUP(I1948,episodes!$A$1:$D$81,4,FALSE)</f>
        <v>2</v>
      </c>
      <c r="O1948" s="14">
        <v>0</v>
      </c>
      <c r="P1948" s="24">
        <f>LEN(E1948)+LEN(K1948)</f>
        <v>135</v>
      </c>
      <c r="Q1948" s="24">
        <f>COUNTIFS(B:B,B1947)</f>
        <v>147</v>
      </c>
      <c r="R1948" s="24">
        <f>COUNTIFS(D:D,D1948)</f>
        <v>75</v>
      </c>
    </row>
    <row r="1949" spans="1:18" x14ac:dyDescent="0.3">
      <c r="A1949" s="14">
        <v>2618</v>
      </c>
      <c r="B1949" s="21" t="s">
        <v>260</v>
      </c>
      <c r="C1949" s="21" t="s">
        <v>149</v>
      </c>
      <c r="D1949" s="21" t="s">
        <v>2591</v>
      </c>
      <c r="E1949" s="1" t="s">
        <v>1311</v>
      </c>
      <c r="F1949" s="21" t="s">
        <v>1863</v>
      </c>
      <c r="G1949" s="14">
        <v>1</v>
      </c>
      <c r="H1949" s="14">
        <v>0</v>
      </c>
      <c r="I1949" s="22">
        <v>122</v>
      </c>
      <c r="J1949" s="23">
        <f>VLOOKUP(I1949,episodes!$A$1:$B$76,2,FALSE)</f>
        <v>23</v>
      </c>
      <c r="K1949" s="16" t="str">
        <f>VLOOKUP(I1949,episodes!$A$1:$E$81,5,FALSE)</f>
        <v>Space Seed</v>
      </c>
      <c r="L1949" s="16">
        <f>VLOOKUP(I1949,episodes!$A$1:$D$81,3,FALSE)</f>
        <v>1</v>
      </c>
      <c r="M1949" s="16">
        <f>VLOOKUP(I1949,episodes!$A$1:$D$81,4,FALSE)</f>
        <v>22</v>
      </c>
      <c r="O1949" s="14">
        <v>0</v>
      </c>
      <c r="P1949" s="24">
        <f>LEN(E1949)+LEN(K1949)</f>
        <v>49</v>
      </c>
      <c r="Q1949" s="24">
        <f>COUNTIFS(B:B,B1948)</f>
        <v>147</v>
      </c>
      <c r="R1949" s="24">
        <f>COUNTIFS(D:D,D1949)</f>
        <v>75</v>
      </c>
    </row>
    <row r="1950" spans="1:18" x14ac:dyDescent="0.3">
      <c r="A1950" s="14">
        <v>2630</v>
      </c>
      <c r="B1950" s="21" t="s">
        <v>260</v>
      </c>
      <c r="C1950" s="21" t="s">
        <v>149</v>
      </c>
      <c r="D1950" s="21" t="s">
        <v>2591</v>
      </c>
      <c r="E1950" s="1" t="s">
        <v>1341</v>
      </c>
      <c r="F1950" s="21" t="s">
        <v>1863</v>
      </c>
      <c r="G1950" s="14">
        <v>1</v>
      </c>
      <c r="H1950" s="14">
        <v>0</v>
      </c>
      <c r="I1950" s="22">
        <v>126</v>
      </c>
      <c r="J1950" s="23">
        <f>VLOOKUP(I1950,episodes!$A$1:$B$76,2,FALSE)</f>
        <v>27</v>
      </c>
      <c r="K1950" s="16" t="str">
        <f>VLOOKUP(I1950,episodes!$A$1:$E$81,5,FALSE)</f>
        <v>Errand of Mercy</v>
      </c>
      <c r="L1950" s="16">
        <f>VLOOKUP(I1950,episodes!$A$1:$D$81,3,FALSE)</f>
        <v>1</v>
      </c>
      <c r="M1950" s="16">
        <f>VLOOKUP(I1950,episodes!$A$1:$D$81,4,FALSE)</f>
        <v>26</v>
      </c>
      <c r="O1950" s="14">
        <v>0</v>
      </c>
      <c r="P1950" s="24">
        <f>LEN(E1950)+LEN(K1950)</f>
        <v>69</v>
      </c>
      <c r="Q1950" s="24">
        <f>COUNTIFS(B:B,B1949)</f>
        <v>147</v>
      </c>
      <c r="R1950" s="24">
        <f>COUNTIFS(D:D,D1950)</f>
        <v>75</v>
      </c>
    </row>
    <row r="1951" spans="1:18" x14ac:dyDescent="0.3">
      <c r="A1951" s="14">
        <v>2580</v>
      </c>
      <c r="B1951" s="21" t="s">
        <v>260</v>
      </c>
      <c r="C1951" s="21" t="s">
        <v>149</v>
      </c>
      <c r="D1951" s="21" t="s">
        <v>2591</v>
      </c>
      <c r="E1951" s="1" t="s">
        <v>2167</v>
      </c>
      <c r="F1951" s="21" t="s">
        <v>1863</v>
      </c>
      <c r="G1951" s="14">
        <v>1</v>
      </c>
      <c r="H1951" s="14">
        <v>0</v>
      </c>
      <c r="I1951" s="25">
        <v>110</v>
      </c>
      <c r="J1951" s="23">
        <f>VLOOKUP(I1951,episodes!$A$1:$B$76,2,FALSE)</f>
        <v>11</v>
      </c>
      <c r="K1951" s="16" t="str">
        <f>VLOOKUP(I1951,episodes!$A$1:$E$81,5,FALSE)</f>
        <v>The Corbomite Maneuver</v>
      </c>
      <c r="L1951" s="16">
        <f>VLOOKUP(I1951,episodes!$A$1:$D$81,3,FALSE)</f>
        <v>1</v>
      </c>
      <c r="M1951" s="16">
        <f>VLOOKUP(I1951,episodes!$A$1:$D$81,4,FALSE)</f>
        <v>10</v>
      </c>
      <c r="O1951" s="14">
        <v>0</v>
      </c>
      <c r="P1951" s="24">
        <f>LEN(E1951)+LEN(K1951)</f>
        <v>75</v>
      </c>
      <c r="Q1951" s="24">
        <f>COUNTIFS(B:B,B1950)</f>
        <v>147</v>
      </c>
      <c r="R1951" s="24">
        <f>COUNTIFS(D:D,D1951)</f>
        <v>75</v>
      </c>
    </row>
    <row r="1952" spans="1:18" x14ac:dyDescent="0.3">
      <c r="A1952" s="14">
        <v>2570</v>
      </c>
      <c r="B1952" s="21" t="s">
        <v>260</v>
      </c>
      <c r="C1952" s="21" t="s">
        <v>149</v>
      </c>
      <c r="D1952" s="21" t="s">
        <v>2591</v>
      </c>
      <c r="E1952" s="1" t="s">
        <v>1234</v>
      </c>
      <c r="F1952" s="21" t="s">
        <v>1863</v>
      </c>
      <c r="G1952" s="14">
        <v>1</v>
      </c>
      <c r="H1952" s="14">
        <v>0</v>
      </c>
      <c r="I1952" s="25">
        <v>107</v>
      </c>
      <c r="J1952" s="23">
        <f>VLOOKUP(I1952,episodes!$A$1:$B$76,2,FALSE)</f>
        <v>8</v>
      </c>
      <c r="K1952" s="16" t="str">
        <f>VLOOKUP(I1952,episodes!$A$1:$E$81,5,FALSE)</f>
        <v>What Are Little Girls Made Of?</v>
      </c>
      <c r="L1952" s="16">
        <f>VLOOKUP(I1952,episodes!$A$1:$D$81,3,FALSE)</f>
        <v>1</v>
      </c>
      <c r="M1952" s="16">
        <f>VLOOKUP(I1952,episodes!$A$1:$D$81,4,FALSE)</f>
        <v>7</v>
      </c>
      <c r="O1952" s="14">
        <v>0</v>
      </c>
      <c r="P1952" s="24">
        <f>LEN(E1952)+LEN(K1952)</f>
        <v>70</v>
      </c>
      <c r="Q1952" s="24">
        <f>COUNTIFS(B:B,#REF!)</f>
        <v>0</v>
      </c>
      <c r="R1952" s="24">
        <f>COUNTIFS(D:D,D1952)</f>
        <v>75</v>
      </c>
    </row>
    <row r="1953" spans="1:18" x14ac:dyDescent="0.3">
      <c r="A1953" s="14">
        <v>2554</v>
      </c>
      <c r="B1953" s="21" t="s">
        <v>260</v>
      </c>
      <c r="C1953" s="21" t="s">
        <v>149</v>
      </c>
      <c r="D1953" s="21" t="s">
        <v>2591</v>
      </c>
      <c r="E1953" s="1" t="s">
        <v>1211</v>
      </c>
      <c r="F1953" s="21" t="s">
        <v>1863</v>
      </c>
      <c r="G1953" s="14">
        <v>1</v>
      </c>
      <c r="H1953" s="14">
        <v>0</v>
      </c>
      <c r="I1953" s="25">
        <v>102</v>
      </c>
      <c r="J1953" s="23">
        <f>VLOOKUP(I1953,episodes!$A$1:$B$76,2,FALSE)</f>
        <v>3</v>
      </c>
      <c r="K1953" s="16" t="str">
        <f>VLOOKUP(I1953,episodes!$A$1:$E$81,5,FALSE)</f>
        <v>Charlie X</v>
      </c>
      <c r="L1953" s="16">
        <f>VLOOKUP(I1953,episodes!$A$1:$D$81,3,FALSE)</f>
        <v>1</v>
      </c>
      <c r="M1953" s="16">
        <f>VLOOKUP(I1953,episodes!$A$1:$D$81,4,FALSE)</f>
        <v>2</v>
      </c>
      <c r="O1953" s="14">
        <v>0</v>
      </c>
      <c r="P1953" s="24">
        <f>LEN(E1953)+LEN(K1953)</f>
        <v>55</v>
      </c>
      <c r="Q1953" s="24">
        <f>COUNTIFS(B:B,B1952)</f>
        <v>147</v>
      </c>
      <c r="R1953" s="24">
        <f>COUNTIFS(D:D,D1953)</f>
        <v>75</v>
      </c>
    </row>
    <row r="1954" spans="1:18" x14ac:dyDescent="0.3">
      <c r="A1954" s="14">
        <v>1447</v>
      </c>
      <c r="B1954" s="21" t="s">
        <v>260</v>
      </c>
      <c r="C1954" s="21" t="s">
        <v>149</v>
      </c>
      <c r="D1954" s="21" t="s">
        <v>2591</v>
      </c>
      <c r="E1954" s="1" t="s">
        <v>1913</v>
      </c>
      <c r="F1954" s="21" t="s">
        <v>1863</v>
      </c>
      <c r="G1954" s="14">
        <v>1</v>
      </c>
      <c r="H1954" s="14">
        <v>0</v>
      </c>
      <c r="I1954" s="22">
        <v>210</v>
      </c>
      <c r="J1954" s="23">
        <f>VLOOKUP(I1954,episodes!$A$1:$B$81,2,FALSE)</f>
        <v>40</v>
      </c>
      <c r="K1954" s="16" t="str">
        <f>VLOOKUP(I1954,episodes!$A$1:$E$81,5,FALSE)</f>
        <v>Journey to Babel</v>
      </c>
      <c r="L1954" s="16">
        <f>VLOOKUP(I1954,episodes!$A$1:$D$81,3,FALSE)</f>
        <v>2</v>
      </c>
      <c r="M1954" s="16">
        <f>VLOOKUP(I1954,episodes!$A$1:$D$81,4,FALSE)</f>
        <v>10</v>
      </c>
      <c r="O1954" s="14">
        <v>0</v>
      </c>
      <c r="P1954" s="24">
        <f>LEN(E1954)+LEN(K1954)</f>
        <v>163</v>
      </c>
      <c r="Q1954" s="24"/>
      <c r="R1954" s="24"/>
    </row>
    <row r="1955" spans="1:18" x14ac:dyDescent="0.3">
      <c r="A1955" s="14">
        <v>2668</v>
      </c>
      <c r="B1955" s="21" t="s">
        <v>260</v>
      </c>
      <c r="C1955" s="21" t="s">
        <v>149</v>
      </c>
      <c r="D1955" s="21" t="s">
        <v>2591</v>
      </c>
      <c r="E1955" s="1" t="s">
        <v>1393</v>
      </c>
      <c r="F1955" s="21" t="s">
        <v>1863</v>
      </c>
      <c r="G1955" s="14">
        <v>1</v>
      </c>
      <c r="H1955" s="14">
        <v>0</v>
      </c>
      <c r="I1955" s="25">
        <v>203</v>
      </c>
      <c r="J1955" s="23">
        <f>VLOOKUP(I1955,episodes!$A$1:$B$76,2,FALSE)</f>
        <v>33</v>
      </c>
      <c r="K1955" s="16" t="str">
        <f>VLOOKUP(I1955,episodes!$A$1:$E$81,5,FALSE)</f>
        <v>The Changeling</v>
      </c>
      <c r="L1955" s="16">
        <f>VLOOKUP(I1955,episodes!$A$1:$D$81,3,FALSE)</f>
        <v>2</v>
      </c>
      <c r="M1955" s="16">
        <f>VLOOKUP(I1955,episodes!$A$1:$D$81,4,FALSE)</f>
        <v>3</v>
      </c>
      <c r="O1955" s="14">
        <v>0</v>
      </c>
      <c r="P1955" s="24">
        <f>LEN(E1955)+LEN(K1955)</f>
        <v>59</v>
      </c>
      <c r="Q1955" s="24">
        <f>COUNTIFS(B:B,#REF!)</f>
        <v>0</v>
      </c>
      <c r="R1955" s="24">
        <f>COUNTIFS(D:D,D1955)</f>
        <v>75</v>
      </c>
    </row>
    <row r="1956" spans="1:18" x14ac:dyDescent="0.3">
      <c r="A1956" s="14">
        <v>2670</v>
      </c>
      <c r="B1956" s="21" t="s">
        <v>260</v>
      </c>
      <c r="C1956" s="21" t="s">
        <v>149</v>
      </c>
      <c r="D1956" s="21" t="s">
        <v>2591</v>
      </c>
      <c r="E1956" s="1" t="s">
        <v>1394</v>
      </c>
      <c r="F1956" s="21" t="s">
        <v>1863</v>
      </c>
      <c r="G1956" s="14">
        <v>1</v>
      </c>
      <c r="H1956" s="14">
        <v>0</v>
      </c>
      <c r="I1956" s="25">
        <v>203</v>
      </c>
      <c r="J1956" s="23">
        <f>VLOOKUP(I1956,episodes!$A$1:$B$76,2,FALSE)</f>
        <v>33</v>
      </c>
      <c r="K1956" s="16" t="str">
        <f>VLOOKUP(I1956,episodes!$A$1:$E$81,5,FALSE)</f>
        <v>The Changeling</v>
      </c>
      <c r="L1956" s="16">
        <f>VLOOKUP(I1956,episodes!$A$1:$D$81,3,FALSE)</f>
        <v>2</v>
      </c>
      <c r="M1956" s="16">
        <f>VLOOKUP(I1956,episodes!$A$1:$D$81,4,FALSE)</f>
        <v>3</v>
      </c>
      <c r="O1956" s="14">
        <v>0</v>
      </c>
      <c r="P1956" s="24">
        <f>LEN(E1956)+LEN(K1956)</f>
        <v>100</v>
      </c>
      <c r="Q1956" s="24">
        <f>COUNTIFS(B:B,B1955)</f>
        <v>147</v>
      </c>
      <c r="R1956" s="24">
        <f>COUNTIFS(D:D,D1956)</f>
        <v>75</v>
      </c>
    </row>
    <row r="1957" spans="1:18" x14ac:dyDescent="0.3">
      <c r="A1957" s="14">
        <v>2676</v>
      </c>
      <c r="B1957" s="21" t="s">
        <v>260</v>
      </c>
      <c r="C1957" s="21" t="s">
        <v>149</v>
      </c>
      <c r="D1957" s="21" t="s">
        <v>2591</v>
      </c>
      <c r="E1957" s="1" t="s">
        <v>1906</v>
      </c>
      <c r="F1957" s="21" t="s">
        <v>1863</v>
      </c>
      <c r="G1957" s="14">
        <v>1</v>
      </c>
      <c r="H1957" s="14">
        <v>0</v>
      </c>
      <c r="I1957" s="22">
        <v>210</v>
      </c>
      <c r="J1957" s="23">
        <f>VLOOKUP(I1957,episodes!$A$1:$B$81,2,FALSE)</f>
        <v>40</v>
      </c>
      <c r="K1957" s="16" t="str">
        <f>VLOOKUP(I1957,episodes!$A$1:$E$81,5,FALSE)</f>
        <v>Journey to Babel</v>
      </c>
      <c r="L1957" s="16">
        <f>VLOOKUP(I1957,episodes!$A$1:$D$81,3,FALSE)</f>
        <v>2</v>
      </c>
      <c r="M1957" s="16">
        <f>VLOOKUP(I1957,episodes!$A$1:$D$81,4,FALSE)</f>
        <v>10</v>
      </c>
      <c r="O1957" s="14">
        <v>0</v>
      </c>
      <c r="P1957" s="24">
        <f>LEN(E1957)+LEN(K1957)</f>
        <v>167</v>
      </c>
      <c r="Q1957" s="24">
        <f>COUNTIFS(B:B,B1956)</f>
        <v>147</v>
      </c>
      <c r="R1957" s="24">
        <f>COUNTIFS(D:D,D1957)</f>
        <v>75</v>
      </c>
    </row>
    <row r="1958" spans="1:18" x14ac:dyDescent="0.3">
      <c r="A1958" s="14">
        <v>2678</v>
      </c>
      <c r="B1958" s="21" t="s">
        <v>260</v>
      </c>
      <c r="C1958" s="21" t="s">
        <v>149</v>
      </c>
      <c r="D1958" s="21" t="s">
        <v>2591</v>
      </c>
      <c r="E1958" s="1" t="s">
        <v>2013</v>
      </c>
      <c r="F1958" s="21" t="s">
        <v>1863</v>
      </c>
      <c r="G1958" s="14">
        <v>1</v>
      </c>
      <c r="H1958" s="14">
        <v>0</v>
      </c>
      <c r="I1958" s="22">
        <v>210</v>
      </c>
      <c r="J1958" s="23">
        <f>VLOOKUP(I1958,episodes!$A$1:$B$81,2,FALSE)</f>
        <v>40</v>
      </c>
      <c r="K1958" s="16" t="str">
        <f>VLOOKUP(I1958,episodes!$A$1:$E$81,5,FALSE)</f>
        <v>Journey to Babel</v>
      </c>
      <c r="L1958" s="16">
        <f>VLOOKUP(I1958,episodes!$A$1:$D$81,3,FALSE)</f>
        <v>2</v>
      </c>
      <c r="M1958" s="16">
        <f>VLOOKUP(I1958,episodes!$A$1:$D$81,4,FALSE)</f>
        <v>10</v>
      </c>
      <c r="O1958" s="14">
        <v>0</v>
      </c>
      <c r="P1958" s="24">
        <f>LEN(E1958)+LEN(K1958)</f>
        <v>177</v>
      </c>
      <c r="Q1958" s="24">
        <f>COUNTIFS(B:B,B1957)</f>
        <v>147</v>
      </c>
      <c r="R1958" s="24">
        <f>COUNTIFS(D:D,D1958)</f>
        <v>75</v>
      </c>
    </row>
    <row r="1959" spans="1:18" x14ac:dyDescent="0.3">
      <c r="A1959" s="14">
        <v>2606</v>
      </c>
      <c r="B1959" s="21" t="s">
        <v>260</v>
      </c>
      <c r="C1959" s="21" t="s">
        <v>149</v>
      </c>
      <c r="D1959" s="21" t="s">
        <v>2591</v>
      </c>
      <c r="E1959" s="1" t="s">
        <v>1283</v>
      </c>
      <c r="F1959" s="21" t="s">
        <v>1863</v>
      </c>
      <c r="G1959" s="14">
        <v>1</v>
      </c>
      <c r="H1959" s="14">
        <v>0</v>
      </c>
      <c r="I1959" s="22">
        <v>117</v>
      </c>
      <c r="J1959" s="23">
        <f>VLOOKUP(I1959,episodes!$A$1:$B$76,2,FALSE)</f>
        <v>18</v>
      </c>
      <c r="K1959" s="16" t="str">
        <f>VLOOKUP(I1959,episodes!$A$1:$E$81,5,FALSE)</f>
        <v>The Squire of Gothos</v>
      </c>
      <c r="L1959" s="16">
        <f>VLOOKUP(I1959,episodes!$A$1:$D$81,3,FALSE)</f>
        <v>1</v>
      </c>
      <c r="M1959" s="16">
        <f>VLOOKUP(I1959,episodes!$A$1:$D$81,4,FALSE)</f>
        <v>17</v>
      </c>
      <c r="O1959" s="14">
        <v>0</v>
      </c>
      <c r="P1959" s="24">
        <f>LEN(E1959)+LEN(K1959)</f>
        <v>62</v>
      </c>
      <c r="Q1959" s="24">
        <f>COUNTIFS(B:B,#REF!)</f>
        <v>0</v>
      </c>
      <c r="R1959" s="24">
        <f>COUNTIFS(D:D,D1959)</f>
        <v>75</v>
      </c>
    </row>
    <row r="1960" spans="1:18" x14ac:dyDescent="0.3">
      <c r="A1960" s="14">
        <v>2600</v>
      </c>
      <c r="B1960" s="21" t="s">
        <v>260</v>
      </c>
      <c r="C1960" s="21" t="s">
        <v>149</v>
      </c>
      <c r="D1960" s="21" t="s">
        <v>2591</v>
      </c>
      <c r="E1960" s="1" t="s">
        <v>1274</v>
      </c>
      <c r="F1960" s="21" t="s">
        <v>1863</v>
      </c>
      <c r="G1960" s="14">
        <v>1</v>
      </c>
      <c r="H1960" s="14">
        <v>0</v>
      </c>
      <c r="I1960" s="22">
        <v>116</v>
      </c>
      <c r="J1960" s="23">
        <f>VLOOKUP(I1960,episodes!$A$1:$B$76,2,FALSE)</f>
        <v>17</v>
      </c>
      <c r="K1960" s="16" t="str">
        <f>VLOOKUP(I1960,episodes!$A$1:$E$81,5,FALSE)</f>
        <v>The Galileo Seven</v>
      </c>
      <c r="L1960" s="16">
        <f>VLOOKUP(I1960,episodes!$A$1:$D$81,3,FALSE)</f>
        <v>1</v>
      </c>
      <c r="M1960" s="16">
        <f>VLOOKUP(I1960,episodes!$A$1:$D$81,4,FALSE)</f>
        <v>16</v>
      </c>
      <c r="O1960" s="14">
        <v>0</v>
      </c>
      <c r="P1960" s="24">
        <f>LEN(E1960)+LEN(K1960)</f>
        <v>64</v>
      </c>
      <c r="Q1960" s="24">
        <f>COUNTIFS(B:B,#REF!)</f>
        <v>0</v>
      </c>
      <c r="R1960" s="24">
        <f>COUNTIFS(D:D,D1960)</f>
        <v>75</v>
      </c>
    </row>
    <row r="1961" spans="1:18" x14ac:dyDescent="0.3">
      <c r="A1961" s="14">
        <v>2620</v>
      </c>
      <c r="B1961" s="21" t="s">
        <v>260</v>
      </c>
      <c r="C1961" s="21" t="s">
        <v>149</v>
      </c>
      <c r="D1961" s="21" t="s">
        <v>2591</v>
      </c>
      <c r="E1961" s="1" t="s">
        <v>1312</v>
      </c>
      <c r="F1961" s="21" t="s">
        <v>1863</v>
      </c>
      <c r="G1961" s="14">
        <v>1</v>
      </c>
      <c r="H1961" s="14">
        <v>0</v>
      </c>
      <c r="I1961" s="22">
        <v>122</v>
      </c>
      <c r="J1961" s="23">
        <f>VLOOKUP(I1961,episodes!$A$1:$B$76,2,FALSE)</f>
        <v>23</v>
      </c>
      <c r="K1961" s="16" t="str">
        <f>VLOOKUP(I1961,episodes!$A$1:$E$81,5,FALSE)</f>
        <v>Space Seed</v>
      </c>
      <c r="L1961" s="16">
        <f>VLOOKUP(I1961,episodes!$A$1:$D$81,3,FALSE)</f>
        <v>1</v>
      </c>
      <c r="M1961" s="16">
        <f>VLOOKUP(I1961,episodes!$A$1:$D$81,4,FALSE)</f>
        <v>22</v>
      </c>
      <c r="O1961" s="14">
        <v>0</v>
      </c>
      <c r="P1961" s="24">
        <f>LEN(E1961)+LEN(K1961)</f>
        <v>49</v>
      </c>
      <c r="Q1961" s="24">
        <f>COUNTIFS(B:B,B1960)</f>
        <v>147</v>
      </c>
      <c r="R1961" s="24">
        <f>COUNTIFS(D:D,D1961)</f>
        <v>75</v>
      </c>
    </row>
    <row r="1962" spans="1:18" x14ac:dyDescent="0.3">
      <c r="A1962" s="14">
        <v>2644</v>
      </c>
      <c r="B1962" s="21" t="s">
        <v>260</v>
      </c>
      <c r="C1962" s="21" t="s">
        <v>149</v>
      </c>
      <c r="D1962" s="21" t="s">
        <v>2591</v>
      </c>
      <c r="E1962" s="1" t="s">
        <v>1367</v>
      </c>
      <c r="F1962" s="21" t="s">
        <v>1863</v>
      </c>
      <c r="G1962" s="14">
        <v>1</v>
      </c>
      <c r="H1962" s="14">
        <v>0</v>
      </c>
      <c r="I1962" s="22">
        <v>129</v>
      </c>
      <c r="J1962" s="23">
        <f>VLOOKUP(I1962,episodes!$A$1:$B$76,2,FALSE)</f>
        <v>30</v>
      </c>
      <c r="K1962" s="16" t="str">
        <f>VLOOKUP(I1962,episodes!$A$1:$E$81,5,FALSE)</f>
        <v>Operation: Annihilate!</v>
      </c>
      <c r="L1962" s="16">
        <f>VLOOKUP(I1962,episodes!$A$1:$D$81,3,FALSE)</f>
        <v>1</v>
      </c>
      <c r="M1962" s="16">
        <f>VLOOKUP(I1962,episodes!$A$1:$D$81,4,FALSE)</f>
        <v>29</v>
      </c>
      <c r="O1962" s="14">
        <v>0</v>
      </c>
      <c r="P1962" s="24">
        <f>LEN(E1962)+LEN(K1962)</f>
        <v>81</v>
      </c>
      <c r="Q1962" s="24">
        <f>COUNTIFS(B:B,#REF!)</f>
        <v>0</v>
      </c>
      <c r="R1962" s="24">
        <f>COUNTIFS(D:D,D1962)</f>
        <v>75</v>
      </c>
    </row>
    <row r="1963" spans="1:18" x14ac:dyDescent="0.3">
      <c r="A1963" s="14">
        <v>2590</v>
      </c>
      <c r="B1963" s="21" t="s">
        <v>260</v>
      </c>
      <c r="C1963" s="21" t="s">
        <v>149</v>
      </c>
      <c r="D1963" s="21" t="s">
        <v>2591</v>
      </c>
      <c r="E1963" s="1" t="s">
        <v>1263</v>
      </c>
      <c r="F1963" s="21" t="s">
        <v>1863</v>
      </c>
      <c r="G1963" s="14">
        <v>1</v>
      </c>
      <c r="H1963" s="14">
        <v>0</v>
      </c>
      <c r="I1963" s="22">
        <v>114</v>
      </c>
      <c r="J1963" s="23">
        <f>VLOOKUP(I1963,episodes!$A$1:$B$76,2,FALSE)</f>
        <v>15</v>
      </c>
      <c r="K1963" s="16" t="str">
        <f>VLOOKUP(I1963,episodes!$A$1:$E$81,5,FALSE)</f>
        <v>Balance of Terror</v>
      </c>
      <c r="L1963" s="16">
        <f>VLOOKUP(I1963,episodes!$A$1:$D$81,3,FALSE)</f>
        <v>1</v>
      </c>
      <c r="M1963" s="16">
        <f>VLOOKUP(I1963,episodes!$A$1:$D$81,4,FALSE)</f>
        <v>14</v>
      </c>
      <c r="O1963" s="14">
        <v>0</v>
      </c>
      <c r="P1963" s="24">
        <f>LEN(E1963)+LEN(K1963)</f>
        <v>67</v>
      </c>
      <c r="Q1963" s="24">
        <f>COUNTIFS(B:B,#REF!)</f>
        <v>0</v>
      </c>
      <c r="R1963" s="24">
        <f>COUNTIFS(D:D,D1963)</f>
        <v>75</v>
      </c>
    </row>
    <row r="1964" spans="1:18" x14ac:dyDescent="0.3">
      <c r="A1964" s="14">
        <v>2680</v>
      </c>
      <c r="B1964" s="21" t="s">
        <v>260</v>
      </c>
      <c r="C1964" s="21" t="s">
        <v>149</v>
      </c>
      <c r="D1964" s="21" t="s">
        <v>2591</v>
      </c>
      <c r="E1964" s="1" t="s">
        <v>2015</v>
      </c>
      <c r="F1964" s="21" t="s">
        <v>1863</v>
      </c>
      <c r="G1964" s="14">
        <v>1</v>
      </c>
      <c r="H1964" s="14">
        <v>0</v>
      </c>
      <c r="I1964" s="22">
        <v>210</v>
      </c>
      <c r="J1964" s="23">
        <f>VLOOKUP(I1964,episodes!$A$1:$B$81,2,FALSE)</f>
        <v>40</v>
      </c>
      <c r="K1964" s="16" t="str">
        <f>VLOOKUP(I1964,episodes!$A$1:$E$81,5,FALSE)</f>
        <v>Journey to Babel</v>
      </c>
      <c r="L1964" s="16">
        <f>VLOOKUP(I1964,episodes!$A$1:$D$81,3,FALSE)</f>
        <v>2</v>
      </c>
      <c r="M1964" s="16">
        <f>VLOOKUP(I1964,episodes!$A$1:$D$81,4,FALSE)</f>
        <v>10</v>
      </c>
      <c r="O1964" s="14">
        <v>0</v>
      </c>
      <c r="P1964" s="24">
        <f>LEN(E1964)+LEN(K1964)</f>
        <v>69</v>
      </c>
      <c r="Q1964" s="24">
        <f>COUNTIFS(B:B,B1963)</f>
        <v>147</v>
      </c>
      <c r="R1964" s="24">
        <f>COUNTIFS(D:D,D1964)</f>
        <v>75</v>
      </c>
    </row>
    <row r="1965" spans="1:18" x14ac:dyDescent="0.3">
      <c r="A1965" s="14">
        <v>2664</v>
      </c>
      <c r="B1965" s="21" t="s">
        <v>260</v>
      </c>
      <c r="C1965" s="21" t="s">
        <v>149</v>
      </c>
      <c r="D1965" s="21" t="s">
        <v>2591</v>
      </c>
      <c r="E1965" s="1" t="s">
        <v>1383</v>
      </c>
      <c r="F1965" s="21" t="s">
        <v>1863</v>
      </c>
      <c r="G1965" s="14">
        <v>1</v>
      </c>
      <c r="H1965" s="14">
        <v>0</v>
      </c>
      <c r="I1965" s="22">
        <v>202</v>
      </c>
      <c r="J1965" s="23">
        <f>VLOOKUP(I1965,episodes!$A$1:$B$76,2,FALSE)</f>
        <v>32</v>
      </c>
      <c r="K1965" s="16" t="str">
        <f>VLOOKUP(I1965,episodes!$A$1:$E$81,5,FALSE)</f>
        <v>Who Mourns for Adonais?</v>
      </c>
      <c r="L1965" s="16">
        <f>VLOOKUP(I1965,episodes!$A$1:$D$81,3,FALSE)</f>
        <v>2</v>
      </c>
      <c r="M1965" s="16">
        <f>VLOOKUP(I1965,episodes!$A$1:$D$81,4,FALSE)</f>
        <v>2</v>
      </c>
      <c r="O1965" s="14">
        <v>0</v>
      </c>
      <c r="P1965" s="24">
        <f>LEN(E1965)+LEN(K1965)</f>
        <v>94</v>
      </c>
      <c r="Q1965" s="24">
        <f>COUNTIFS(B:B,B1964)</f>
        <v>147</v>
      </c>
      <c r="R1965" s="24">
        <f>COUNTIFS(D:D,D1965)</f>
        <v>75</v>
      </c>
    </row>
    <row r="1966" spans="1:18" x14ac:dyDescent="0.3">
      <c r="A1966" s="14">
        <v>2634</v>
      </c>
      <c r="B1966" s="21" t="s">
        <v>260</v>
      </c>
      <c r="C1966" s="21" t="s">
        <v>149</v>
      </c>
      <c r="D1966" s="21" t="s">
        <v>2591</v>
      </c>
      <c r="E1966" s="1" t="s">
        <v>1347</v>
      </c>
      <c r="F1966" s="21" t="s">
        <v>1863</v>
      </c>
      <c r="G1966" s="14">
        <v>1</v>
      </c>
      <c r="H1966" s="14">
        <v>0</v>
      </c>
      <c r="I1966" s="22">
        <v>127</v>
      </c>
      <c r="J1966" s="23">
        <f>VLOOKUP(I1966,episodes!$A$1:$B$76,2,FALSE)</f>
        <v>28</v>
      </c>
      <c r="K1966" s="16" t="str">
        <f>VLOOKUP(I1966,episodes!$A$1:$E$81,5,FALSE)</f>
        <v>The Alternative Factor</v>
      </c>
      <c r="L1966" s="16">
        <f>VLOOKUP(I1966,episodes!$A$1:$D$81,3,FALSE)</f>
        <v>1</v>
      </c>
      <c r="M1966" s="16">
        <f>VLOOKUP(I1966,episodes!$A$1:$D$81,4,FALSE)</f>
        <v>27</v>
      </c>
      <c r="O1966" s="14">
        <v>0</v>
      </c>
      <c r="P1966" s="24">
        <f>LEN(E1966)+LEN(K1966)</f>
        <v>69</v>
      </c>
      <c r="Q1966" s="24">
        <f>COUNTIFS(B:B,#REF!)</f>
        <v>0</v>
      </c>
      <c r="R1966" s="24">
        <f>COUNTIFS(D:D,D1966)</f>
        <v>75</v>
      </c>
    </row>
    <row r="1967" spans="1:18" x14ac:dyDescent="0.3">
      <c r="A1967" s="14">
        <v>2592</v>
      </c>
      <c r="B1967" s="21" t="s">
        <v>260</v>
      </c>
      <c r="C1967" s="21" t="s">
        <v>149</v>
      </c>
      <c r="D1967" s="21" t="s">
        <v>2591</v>
      </c>
      <c r="E1967" s="1" t="s">
        <v>1540</v>
      </c>
      <c r="F1967" s="21" t="s">
        <v>1863</v>
      </c>
      <c r="G1967" s="14">
        <v>1</v>
      </c>
      <c r="H1967" s="14">
        <v>0</v>
      </c>
      <c r="I1967" s="22">
        <v>114</v>
      </c>
      <c r="J1967" s="23">
        <f>VLOOKUP(I1967,episodes!$A$1:$B$76,2,FALSE)</f>
        <v>15</v>
      </c>
      <c r="K1967" s="16" t="str">
        <f>VLOOKUP(I1967,episodes!$A$1:$E$81,5,FALSE)</f>
        <v>Balance of Terror</v>
      </c>
      <c r="L1967" s="16">
        <f>VLOOKUP(I1967,episodes!$A$1:$D$81,3,FALSE)</f>
        <v>1</v>
      </c>
      <c r="M1967" s="16">
        <f>VLOOKUP(I1967,episodes!$A$1:$D$81,4,FALSE)</f>
        <v>14</v>
      </c>
      <c r="O1967" s="14">
        <v>0</v>
      </c>
      <c r="P1967" s="24">
        <f>LEN(E1967)+LEN(K1967)</f>
        <v>86</v>
      </c>
      <c r="Q1967" s="24">
        <f>COUNTIFS(B:B,B1966)</f>
        <v>147</v>
      </c>
      <c r="R1967" s="24">
        <f>COUNTIFS(D:D,D1967)</f>
        <v>75</v>
      </c>
    </row>
    <row r="1968" spans="1:18" x14ac:dyDescent="0.3">
      <c r="A1968" s="14">
        <v>2954</v>
      </c>
      <c r="B1968" s="21" t="s">
        <v>260</v>
      </c>
      <c r="C1968" s="21" t="s">
        <v>149</v>
      </c>
      <c r="D1968" s="21" t="s">
        <v>2591</v>
      </c>
      <c r="E1968" s="4" t="s">
        <v>2783</v>
      </c>
      <c r="F1968" s="21" t="s">
        <v>1863</v>
      </c>
      <c r="G1968" s="14">
        <v>1</v>
      </c>
      <c r="H1968" s="14">
        <v>0</v>
      </c>
      <c r="I1968" s="7">
        <v>211</v>
      </c>
      <c r="J1968" s="23">
        <f>VLOOKUP(I1968,episodes!$A$1:$B$81,2,FALSE)</f>
        <v>41</v>
      </c>
      <c r="K1968" s="16" t="str">
        <f>VLOOKUP(I1968,episodes!$A$1:$E$81,5,FALSE)</f>
        <v>Friday's Child</v>
      </c>
      <c r="L1968" s="16">
        <f>VLOOKUP(I1968,episodes!$A$1:$D$81,3,FALSE)</f>
        <v>2</v>
      </c>
      <c r="M1968" s="16">
        <f>VLOOKUP(I1968,episodes!$A$1:$D$81,4,FALSE)</f>
        <v>11</v>
      </c>
      <c r="O1968" s="14">
        <v>0</v>
      </c>
      <c r="P1968" s="24">
        <f>LEN(E1968)+LEN(K1968)</f>
        <v>72</v>
      </c>
      <c r="Q1968" s="24"/>
      <c r="R1968" s="24"/>
    </row>
    <row r="1969" spans="1:18" x14ac:dyDescent="0.3">
      <c r="A1969" s="14">
        <v>2636</v>
      </c>
      <c r="B1969" s="21" t="s">
        <v>260</v>
      </c>
      <c r="C1969" s="21" t="s">
        <v>149</v>
      </c>
      <c r="D1969" s="21" t="s">
        <v>2591</v>
      </c>
      <c r="E1969" s="1" t="s">
        <v>1348</v>
      </c>
      <c r="F1969" s="21" t="s">
        <v>1863</v>
      </c>
      <c r="G1969" s="14">
        <v>1</v>
      </c>
      <c r="H1969" s="14">
        <v>0</v>
      </c>
      <c r="I1969" s="22">
        <v>127</v>
      </c>
      <c r="J1969" s="23">
        <f>VLOOKUP(I1969,episodes!$A$1:$B$76,2,FALSE)</f>
        <v>28</v>
      </c>
      <c r="K1969" s="16" t="str">
        <f>VLOOKUP(I1969,episodes!$A$1:$E$81,5,FALSE)</f>
        <v>The Alternative Factor</v>
      </c>
      <c r="L1969" s="16">
        <f>VLOOKUP(I1969,episodes!$A$1:$D$81,3,FALSE)</f>
        <v>1</v>
      </c>
      <c r="M1969" s="16">
        <f>VLOOKUP(I1969,episodes!$A$1:$D$81,4,FALSE)</f>
        <v>27</v>
      </c>
      <c r="O1969" s="14">
        <v>0</v>
      </c>
      <c r="P1969" s="24">
        <f>LEN(E1969)+LEN(K1969)</f>
        <v>69</v>
      </c>
      <c r="Q1969" s="24">
        <f>COUNTIFS(B:B,B1968)</f>
        <v>147</v>
      </c>
      <c r="R1969" s="24">
        <f>COUNTIFS(D:D,D1969)</f>
        <v>75</v>
      </c>
    </row>
    <row r="1970" spans="1:18" x14ac:dyDescent="0.3">
      <c r="A1970" s="14">
        <v>2696</v>
      </c>
      <c r="B1970" s="21" t="s">
        <v>260</v>
      </c>
      <c r="C1970" s="21" t="s">
        <v>149</v>
      </c>
      <c r="D1970" s="21" t="s">
        <v>2591</v>
      </c>
      <c r="E1970" s="1" t="s">
        <v>1235</v>
      </c>
      <c r="F1970" s="21" t="s">
        <v>1863</v>
      </c>
      <c r="G1970" s="14">
        <v>1</v>
      </c>
      <c r="H1970" s="14">
        <v>0</v>
      </c>
      <c r="I1970" s="25">
        <v>107</v>
      </c>
      <c r="J1970" s="23">
        <f>VLOOKUP(I1970,episodes!$A$1:$B$76,2,FALSE)</f>
        <v>8</v>
      </c>
      <c r="K1970" s="16" t="str">
        <f>VLOOKUP(I1970,episodes!$A$1:$E$81,5,FALSE)</f>
        <v>What Are Little Girls Made Of?</v>
      </c>
      <c r="L1970" s="16">
        <f>VLOOKUP(I1970,episodes!$A$1:$D$81,3,FALSE)</f>
        <v>1</v>
      </c>
      <c r="M1970" s="16">
        <f>VLOOKUP(I1970,episodes!$A$1:$D$81,4,FALSE)</f>
        <v>7</v>
      </c>
      <c r="O1970" s="14">
        <v>0</v>
      </c>
      <c r="P1970" s="24">
        <f>LEN(E1970)+LEN(K1970)</f>
        <v>62</v>
      </c>
      <c r="Q1970" s="24">
        <f>COUNTIFS(B:B,B1969)</f>
        <v>147</v>
      </c>
      <c r="R1970" s="24">
        <f>COUNTIFS(D:D,D1970)</f>
        <v>75</v>
      </c>
    </row>
    <row r="1971" spans="1:18" x14ac:dyDescent="0.3">
      <c r="A1971" s="14">
        <v>2556</v>
      </c>
      <c r="B1971" s="21" t="s">
        <v>260</v>
      </c>
      <c r="C1971" s="21" t="s">
        <v>149</v>
      </c>
      <c r="D1971" s="21" t="s">
        <v>2591</v>
      </c>
      <c r="E1971" s="1" t="s">
        <v>1212</v>
      </c>
      <c r="F1971" s="21" t="s">
        <v>1863</v>
      </c>
      <c r="G1971" s="14">
        <v>1</v>
      </c>
      <c r="H1971" s="14">
        <v>0</v>
      </c>
      <c r="I1971" s="25">
        <v>102</v>
      </c>
      <c r="J1971" s="23">
        <f>VLOOKUP(I1971,episodes!$A$1:$B$76,2,FALSE)</f>
        <v>3</v>
      </c>
      <c r="K1971" s="16" t="str">
        <f>VLOOKUP(I1971,episodes!$A$1:$E$81,5,FALSE)</f>
        <v>Charlie X</v>
      </c>
      <c r="L1971" s="16">
        <f>VLOOKUP(I1971,episodes!$A$1:$D$81,3,FALSE)</f>
        <v>1</v>
      </c>
      <c r="M1971" s="16">
        <f>VLOOKUP(I1971,episodes!$A$1:$D$81,4,FALSE)</f>
        <v>2</v>
      </c>
      <c r="O1971" s="14">
        <v>0</v>
      </c>
      <c r="P1971" s="24">
        <f>LEN(E1971)+LEN(K1971)</f>
        <v>73</v>
      </c>
      <c r="Q1971" s="24">
        <f>COUNTIFS(B:B,B1970)</f>
        <v>147</v>
      </c>
      <c r="R1971" s="24">
        <f>COUNTIFS(D:D,D1971)</f>
        <v>75</v>
      </c>
    </row>
    <row r="1972" spans="1:18" x14ac:dyDescent="0.3">
      <c r="A1972" s="14">
        <v>2582</v>
      </c>
      <c r="B1972" s="21" t="s">
        <v>260</v>
      </c>
      <c r="C1972" s="21" t="s">
        <v>149</v>
      </c>
      <c r="D1972" s="21" t="s">
        <v>2591</v>
      </c>
      <c r="E1972" s="1" t="s">
        <v>1245</v>
      </c>
      <c r="F1972" s="21" t="s">
        <v>1863</v>
      </c>
      <c r="G1972" s="14">
        <v>1</v>
      </c>
      <c r="H1972" s="14">
        <v>0</v>
      </c>
      <c r="I1972" s="25">
        <v>110</v>
      </c>
      <c r="J1972" s="23">
        <f>VLOOKUP(I1972,episodes!$A$1:$B$76,2,FALSE)</f>
        <v>11</v>
      </c>
      <c r="K1972" s="16" t="str">
        <f>VLOOKUP(I1972,episodes!$A$1:$E$81,5,FALSE)</f>
        <v>The Corbomite Maneuver</v>
      </c>
      <c r="L1972" s="16">
        <f>VLOOKUP(I1972,episodes!$A$1:$D$81,3,FALSE)</f>
        <v>1</v>
      </c>
      <c r="M1972" s="16">
        <f>VLOOKUP(I1972,episodes!$A$1:$D$81,4,FALSE)</f>
        <v>10</v>
      </c>
      <c r="O1972" s="14">
        <v>0</v>
      </c>
      <c r="P1972" s="24">
        <f>LEN(E1972)+LEN(K1972)</f>
        <v>88</v>
      </c>
      <c r="Q1972" s="24">
        <f>COUNTIFS(B:B,B1971)</f>
        <v>147</v>
      </c>
      <c r="R1972" s="24">
        <f>COUNTIFS(D:D,D1972)</f>
        <v>75</v>
      </c>
    </row>
    <row r="1973" spans="1:18" x14ac:dyDescent="0.3">
      <c r="A1973" s="14">
        <v>2666</v>
      </c>
      <c r="B1973" s="21" t="s">
        <v>260</v>
      </c>
      <c r="C1973" s="21" t="s">
        <v>149</v>
      </c>
      <c r="D1973" s="21" t="s">
        <v>2591</v>
      </c>
      <c r="E1973" s="1" t="s">
        <v>1434</v>
      </c>
      <c r="F1973" s="21" t="s">
        <v>1863</v>
      </c>
      <c r="G1973" s="14">
        <v>1</v>
      </c>
      <c r="H1973" s="14">
        <v>0</v>
      </c>
      <c r="I1973" s="22">
        <v>202</v>
      </c>
      <c r="J1973" s="23">
        <f>VLOOKUP(I1973,episodes!$A$1:$B$76,2,FALSE)</f>
        <v>32</v>
      </c>
      <c r="K1973" s="16" t="str">
        <f>VLOOKUP(I1973,episodes!$A$1:$E$81,5,FALSE)</f>
        <v>Who Mourns for Adonais?</v>
      </c>
      <c r="L1973" s="16">
        <f>VLOOKUP(I1973,episodes!$A$1:$D$81,3,FALSE)</f>
        <v>2</v>
      </c>
      <c r="M1973" s="16">
        <f>VLOOKUP(I1973,episodes!$A$1:$D$81,4,FALSE)</f>
        <v>2</v>
      </c>
      <c r="O1973" s="14">
        <v>0</v>
      </c>
      <c r="P1973" s="24">
        <f>LEN(E1973)+LEN(K1973)</f>
        <v>126</v>
      </c>
      <c r="Q1973" s="24">
        <f>COUNTIFS(B:B,B1972)</f>
        <v>147</v>
      </c>
      <c r="R1973" s="24">
        <f>COUNTIFS(D:D,D1973)</f>
        <v>75</v>
      </c>
    </row>
    <row r="1974" spans="1:18" x14ac:dyDescent="0.3">
      <c r="A1974" s="14">
        <v>2558</v>
      </c>
      <c r="B1974" s="21" t="s">
        <v>260</v>
      </c>
      <c r="C1974" s="21" t="s">
        <v>149</v>
      </c>
      <c r="D1974" s="21" t="s">
        <v>2591</v>
      </c>
      <c r="E1974" s="1" t="s">
        <v>1430</v>
      </c>
      <c r="F1974" s="21" t="s">
        <v>1863</v>
      </c>
      <c r="G1974" s="14">
        <v>1</v>
      </c>
      <c r="H1974" s="14">
        <v>0</v>
      </c>
      <c r="I1974" s="25">
        <v>102</v>
      </c>
      <c r="J1974" s="23">
        <f>VLOOKUP(I1974,episodes!$A$1:$B$76,2,FALSE)</f>
        <v>3</v>
      </c>
      <c r="K1974" s="16" t="str">
        <f>VLOOKUP(I1974,episodes!$A$1:$E$81,5,FALSE)</f>
        <v>Charlie X</v>
      </c>
      <c r="L1974" s="16">
        <f>VLOOKUP(I1974,episodes!$A$1:$D$81,3,FALSE)</f>
        <v>1</v>
      </c>
      <c r="M1974" s="16">
        <f>VLOOKUP(I1974,episodes!$A$1:$D$81,4,FALSE)</f>
        <v>2</v>
      </c>
      <c r="O1974" s="14">
        <v>0</v>
      </c>
      <c r="P1974" s="24">
        <f>LEN(E1974)+LEN(K1974)</f>
        <v>42</v>
      </c>
      <c r="Q1974" s="24">
        <f>COUNTIFS(B:B,B1973)</f>
        <v>147</v>
      </c>
      <c r="R1974" s="24">
        <f>COUNTIFS(D:D,D1974)</f>
        <v>75</v>
      </c>
    </row>
    <row r="1975" spans="1:18" x14ac:dyDescent="0.3">
      <c r="A1975" s="14">
        <v>2946</v>
      </c>
      <c r="B1975" s="21" t="s">
        <v>260</v>
      </c>
      <c r="C1975" s="21" t="s">
        <v>149</v>
      </c>
      <c r="D1975" s="21" t="s">
        <v>2591</v>
      </c>
      <c r="E1975" s="4" t="s">
        <v>2780</v>
      </c>
      <c r="F1975" s="21" t="s">
        <v>1863</v>
      </c>
      <c r="G1975" s="14">
        <v>1</v>
      </c>
      <c r="H1975" s="14">
        <v>0</v>
      </c>
      <c r="I1975" s="7">
        <v>211</v>
      </c>
      <c r="J1975" s="23">
        <f>VLOOKUP(I1975,episodes!$A$1:$B$81,2,FALSE)</f>
        <v>41</v>
      </c>
      <c r="K1975" s="16" t="str">
        <f>VLOOKUP(I1975,episodes!$A$1:$E$81,5,FALSE)</f>
        <v>Friday's Child</v>
      </c>
      <c r="L1975" s="16">
        <f>VLOOKUP(I1975,episodes!$A$1:$D$81,3,FALSE)</f>
        <v>2</v>
      </c>
      <c r="M1975" s="16">
        <f>VLOOKUP(I1975,episodes!$A$1:$D$81,4,FALSE)</f>
        <v>11</v>
      </c>
      <c r="O1975" s="14">
        <v>0</v>
      </c>
      <c r="P1975" s="24">
        <f>LEN(E1975)+LEN(K1975)</f>
        <v>263</v>
      </c>
      <c r="Q1975" s="24"/>
      <c r="R1975" s="24"/>
    </row>
    <row r="1976" spans="1:18" x14ac:dyDescent="0.3">
      <c r="A1976" s="14">
        <v>2628</v>
      </c>
      <c r="B1976" s="21" t="s">
        <v>260</v>
      </c>
      <c r="C1976" s="21" t="s">
        <v>149</v>
      </c>
      <c r="D1976" s="21" t="s">
        <v>2591</v>
      </c>
      <c r="E1976" s="1" t="s">
        <v>2020</v>
      </c>
      <c r="F1976" s="21" t="s">
        <v>1863</v>
      </c>
      <c r="G1976" s="14">
        <v>1</v>
      </c>
      <c r="H1976" s="14">
        <v>0</v>
      </c>
      <c r="I1976" s="22">
        <v>124</v>
      </c>
      <c r="J1976" s="23">
        <f>VLOOKUP(I1976,episodes!$A$1:$B$76,2,FALSE)</f>
        <v>25</v>
      </c>
      <c r="K1976" s="16" t="str">
        <f>VLOOKUP(I1976,episodes!$A$1:$E$81,5,FALSE)</f>
        <v>This Side of Paradise</v>
      </c>
      <c r="L1976" s="16">
        <f>VLOOKUP(I1976,episodes!$A$1:$D$81,3,FALSE)</f>
        <v>1</v>
      </c>
      <c r="M1976" s="16">
        <f>VLOOKUP(I1976,episodes!$A$1:$D$81,4,FALSE)</f>
        <v>24</v>
      </c>
      <c r="O1976" s="14">
        <v>0</v>
      </c>
      <c r="P1976" s="24">
        <f>LEN(E1976)+LEN(K1976)</f>
        <v>146</v>
      </c>
      <c r="Q1976" s="24">
        <f>COUNTIFS(B:B,B1975)</f>
        <v>147</v>
      </c>
      <c r="R1976" s="24">
        <f>COUNTIFS(D:D,D1976)</f>
        <v>75</v>
      </c>
    </row>
    <row r="1977" spans="1:18" x14ac:dyDescent="0.3">
      <c r="A1977" s="14">
        <v>2610</v>
      </c>
      <c r="B1977" s="21" t="s">
        <v>260</v>
      </c>
      <c r="C1977" s="21" t="s">
        <v>149</v>
      </c>
      <c r="D1977" s="21" t="s">
        <v>2591</v>
      </c>
      <c r="E1977" s="1" t="s">
        <v>2019</v>
      </c>
      <c r="F1977" s="21" t="s">
        <v>1863</v>
      </c>
      <c r="G1977" s="14">
        <v>1</v>
      </c>
      <c r="H1977" s="14">
        <v>0</v>
      </c>
      <c r="I1977" s="22">
        <v>119</v>
      </c>
      <c r="J1977" s="23">
        <f>VLOOKUP(I1977,episodes!$A$1:$B$76,2,FALSE)</f>
        <v>20</v>
      </c>
      <c r="K1977" s="16" t="str">
        <f>VLOOKUP(I1977,episodes!$A$1:$E$81,5,FALSE)</f>
        <v>Tomorrow Is Yesterday</v>
      </c>
      <c r="L1977" s="16">
        <f>VLOOKUP(I1977,episodes!$A$1:$D$81,3,FALSE)</f>
        <v>1</v>
      </c>
      <c r="M1977" s="16">
        <f>VLOOKUP(I1977,episodes!$A$1:$D$81,4,FALSE)</f>
        <v>19</v>
      </c>
      <c r="O1977" s="14">
        <v>0</v>
      </c>
      <c r="P1977" s="24">
        <f>LEN(E1977)+LEN(K1977)</f>
        <v>67</v>
      </c>
      <c r="Q1977" s="24">
        <f>COUNTIFS(B:B,#REF!)</f>
        <v>0</v>
      </c>
      <c r="R1977" s="24">
        <f>COUNTIFS(D:D,D1977)</f>
        <v>75</v>
      </c>
    </row>
    <row r="1978" spans="1:18" x14ac:dyDescent="0.3">
      <c r="A1978" s="14">
        <v>2646</v>
      </c>
      <c r="B1978" s="21" t="s">
        <v>260</v>
      </c>
      <c r="C1978" s="21" t="s">
        <v>149</v>
      </c>
      <c r="D1978" s="21" t="s">
        <v>2591</v>
      </c>
      <c r="E1978" s="1" t="s">
        <v>2173</v>
      </c>
      <c r="F1978" s="21" t="s">
        <v>1863</v>
      </c>
      <c r="G1978" s="14">
        <v>1</v>
      </c>
      <c r="H1978" s="14">
        <v>0</v>
      </c>
      <c r="I1978" s="22">
        <v>129</v>
      </c>
      <c r="J1978" s="23">
        <f>VLOOKUP(I1978,episodes!$A$1:$B$76,2,FALSE)</f>
        <v>30</v>
      </c>
      <c r="K1978" s="16" t="str">
        <f>VLOOKUP(I1978,episodes!$A$1:$E$81,5,FALSE)</f>
        <v>Operation: Annihilate!</v>
      </c>
      <c r="L1978" s="16">
        <f>VLOOKUP(I1978,episodes!$A$1:$D$81,3,FALSE)</f>
        <v>1</v>
      </c>
      <c r="M1978" s="16">
        <f>VLOOKUP(I1978,episodes!$A$1:$D$81,4,FALSE)</f>
        <v>29</v>
      </c>
      <c r="O1978" s="14">
        <v>0</v>
      </c>
      <c r="P1978" s="24">
        <f>LEN(E1978)+LEN(K1978)</f>
        <v>86</v>
      </c>
      <c r="Q1978" s="24">
        <f>COUNTIFS(B:B,B1977)</f>
        <v>147</v>
      </c>
      <c r="R1978" s="24">
        <f>COUNTIFS(D:D,D1978)</f>
        <v>75</v>
      </c>
    </row>
    <row r="1979" spans="1:18" x14ac:dyDescent="0.3">
      <c r="A1979" s="14">
        <v>2622</v>
      </c>
      <c r="B1979" s="21" t="s">
        <v>260</v>
      </c>
      <c r="C1979" s="21" t="s">
        <v>149</v>
      </c>
      <c r="D1979" s="21" t="s">
        <v>2591</v>
      </c>
      <c r="E1979" s="1" t="s">
        <v>1441</v>
      </c>
      <c r="F1979" s="21" t="s">
        <v>1863</v>
      </c>
      <c r="G1979" s="14">
        <v>1</v>
      </c>
      <c r="H1979" s="14">
        <v>0</v>
      </c>
      <c r="I1979" s="22">
        <v>122</v>
      </c>
      <c r="J1979" s="23">
        <f>VLOOKUP(I1979,episodes!$A$1:$B$76,2,FALSE)</f>
        <v>23</v>
      </c>
      <c r="K1979" s="16" t="str">
        <f>VLOOKUP(I1979,episodes!$A$1:$E$81,5,FALSE)</f>
        <v>Space Seed</v>
      </c>
      <c r="L1979" s="16">
        <f>VLOOKUP(I1979,episodes!$A$1:$D$81,3,FALSE)</f>
        <v>1</v>
      </c>
      <c r="M1979" s="16">
        <f>VLOOKUP(I1979,episodes!$A$1:$D$81,4,FALSE)</f>
        <v>22</v>
      </c>
      <c r="O1979" s="14">
        <v>0</v>
      </c>
      <c r="P1979" s="24">
        <f>LEN(E1979)+LEN(K1979)</f>
        <v>41</v>
      </c>
      <c r="Q1979" s="24">
        <f>COUNTIFS(B:B,B1978)</f>
        <v>147</v>
      </c>
      <c r="R1979" s="24">
        <f>COUNTIFS(D:D,D1979)</f>
        <v>75</v>
      </c>
    </row>
    <row r="1980" spans="1:18" x14ac:dyDescent="0.3">
      <c r="A1980" s="14">
        <v>2584</v>
      </c>
      <c r="B1980" s="21" t="s">
        <v>260</v>
      </c>
      <c r="C1980" s="21" t="s">
        <v>149</v>
      </c>
      <c r="D1980" s="21" t="s">
        <v>2591</v>
      </c>
      <c r="E1980" s="1" t="s">
        <v>1748</v>
      </c>
      <c r="F1980" s="21" t="s">
        <v>1863</v>
      </c>
      <c r="G1980" s="14">
        <v>1</v>
      </c>
      <c r="H1980" s="14">
        <v>0</v>
      </c>
      <c r="I1980" s="25">
        <v>110</v>
      </c>
      <c r="J1980" s="23">
        <f>VLOOKUP(I1980,episodes!$A$1:$B$76,2,FALSE)</f>
        <v>11</v>
      </c>
      <c r="K1980" s="16" t="str">
        <f>VLOOKUP(I1980,episodes!$A$1:$E$81,5,FALSE)</f>
        <v>The Corbomite Maneuver</v>
      </c>
      <c r="L1980" s="16">
        <f>VLOOKUP(I1980,episodes!$A$1:$D$81,3,FALSE)</f>
        <v>1</v>
      </c>
      <c r="M1980" s="16">
        <f>VLOOKUP(I1980,episodes!$A$1:$D$81,4,FALSE)</f>
        <v>10</v>
      </c>
      <c r="O1980" s="14">
        <v>0</v>
      </c>
      <c r="P1980" s="24">
        <f>LEN(E1980)+LEN(K1980)</f>
        <v>283</v>
      </c>
      <c r="Q1980" s="24">
        <f>COUNTIFS(B:B,B1979)</f>
        <v>147</v>
      </c>
      <c r="R1980" s="24">
        <f>COUNTIFS(D:D,D1980)</f>
        <v>75</v>
      </c>
    </row>
    <row r="1981" spans="1:18" x14ac:dyDescent="0.3">
      <c r="A1981" s="14">
        <v>2648</v>
      </c>
      <c r="B1981" s="21" t="s">
        <v>260</v>
      </c>
      <c r="C1981" s="21" t="s">
        <v>149</v>
      </c>
      <c r="D1981" s="21" t="s">
        <v>2591</v>
      </c>
      <c r="E1981" s="1" t="s">
        <v>1631</v>
      </c>
      <c r="F1981" s="21" t="s">
        <v>1863</v>
      </c>
      <c r="G1981" s="14">
        <v>1</v>
      </c>
      <c r="H1981" s="14">
        <v>0</v>
      </c>
      <c r="I1981" s="22">
        <v>129</v>
      </c>
      <c r="J1981" s="23">
        <f>VLOOKUP(I1981,episodes!$A$1:$B$76,2,FALSE)</f>
        <v>30</v>
      </c>
      <c r="K1981" s="16" t="str">
        <f>VLOOKUP(I1981,episodes!$A$1:$E$81,5,FALSE)</f>
        <v>Operation: Annihilate!</v>
      </c>
      <c r="L1981" s="16">
        <f>VLOOKUP(I1981,episodes!$A$1:$D$81,3,FALSE)</f>
        <v>1</v>
      </c>
      <c r="M1981" s="16">
        <f>VLOOKUP(I1981,episodes!$A$1:$D$81,4,FALSE)</f>
        <v>29</v>
      </c>
      <c r="O1981" s="14">
        <v>0</v>
      </c>
      <c r="P1981" s="24">
        <f>LEN(E1981)+LEN(K1981)</f>
        <v>103</v>
      </c>
      <c r="Q1981" s="24">
        <f>COUNTIFS(B:B,B1980)</f>
        <v>147</v>
      </c>
      <c r="R1981" s="24">
        <f>COUNTIFS(D:D,D1981)</f>
        <v>75</v>
      </c>
    </row>
    <row r="1982" spans="1:18" x14ac:dyDescent="0.3">
      <c r="A1982" s="14">
        <v>2682</v>
      </c>
      <c r="B1982" s="21" t="s">
        <v>260</v>
      </c>
      <c r="C1982" s="21" t="s">
        <v>149</v>
      </c>
      <c r="D1982" s="21" t="s">
        <v>2591</v>
      </c>
      <c r="E1982" s="1" t="s">
        <v>1895</v>
      </c>
      <c r="F1982" s="21" t="s">
        <v>1863</v>
      </c>
      <c r="G1982" s="14">
        <v>1</v>
      </c>
      <c r="H1982" s="14">
        <v>0</v>
      </c>
      <c r="I1982" s="22">
        <v>210</v>
      </c>
      <c r="J1982" s="23">
        <f>VLOOKUP(I1982,episodes!$A$1:$B$81,2,FALSE)</f>
        <v>40</v>
      </c>
      <c r="K1982" s="16" t="str">
        <f>VLOOKUP(I1982,episodes!$A$1:$E$81,5,FALSE)</f>
        <v>Journey to Babel</v>
      </c>
      <c r="L1982" s="16">
        <f>VLOOKUP(I1982,episodes!$A$1:$D$81,3,FALSE)</f>
        <v>2</v>
      </c>
      <c r="M1982" s="16">
        <f>VLOOKUP(I1982,episodes!$A$1:$D$81,4,FALSE)</f>
        <v>10</v>
      </c>
      <c r="O1982" s="14">
        <v>0</v>
      </c>
      <c r="P1982" s="24">
        <f>LEN(E1982)+LEN(K1982)</f>
        <v>170</v>
      </c>
      <c r="Q1982" s="24">
        <f>COUNTIFS(B:B,B1981)</f>
        <v>147</v>
      </c>
      <c r="R1982" s="24">
        <f>COUNTIFS(D:D,D1982)</f>
        <v>75</v>
      </c>
    </row>
    <row r="1983" spans="1:18" x14ac:dyDescent="0.3">
      <c r="A1983" s="14">
        <v>2572</v>
      </c>
      <c r="B1983" s="21" t="s">
        <v>260</v>
      </c>
      <c r="C1983" s="21" t="s">
        <v>149</v>
      </c>
      <c r="D1983" s="21" t="s">
        <v>2591</v>
      </c>
      <c r="E1983" s="1" t="s">
        <v>1706</v>
      </c>
      <c r="F1983" s="21" t="s">
        <v>1863</v>
      </c>
      <c r="G1983" s="14">
        <v>1</v>
      </c>
      <c r="H1983" s="14">
        <v>0</v>
      </c>
      <c r="I1983" s="25">
        <v>107</v>
      </c>
      <c r="J1983" s="23">
        <f>VLOOKUP(I1983,episodes!$A$1:$B$76,2,FALSE)</f>
        <v>8</v>
      </c>
      <c r="K1983" s="16" t="str">
        <f>VLOOKUP(I1983,episodes!$A$1:$E$81,5,FALSE)</f>
        <v>What Are Little Girls Made Of?</v>
      </c>
      <c r="L1983" s="16">
        <f>VLOOKUP(I1983,episodes!$A$1:$D$81,3,FALSE)</f>
        <v>1</v>
      </c>
      <c r="M1983" s="16">
        <f>VLOOKUP(I1983,episodes!$A$1:$D$81,4,FALSE)</f>
        <v>7</v>
      </c>
      <c r="O1983" s="14">
        <v>0</v>
      </c>
      <c r="P1983" s="24">
        <f>LEN(E1983)+LEN(K1983)</f>
        <v>89</v>
      </c>
      <c r="Q1983" s="24">
        <f>COUNTIFS(B:B,B1982)</f>
        <v>147</v>
      </c>
      <c r="R1983" s="24">
        <f>COUNTIFS(D:D,D1983)</f>
        <v>75</v>
      </c>
    </row>
    <row r="1984" spans="1:18" x14ac:dyDescent="0.3">
      <c r="A1984" s="14">
        <v>2568</v>
      </c>
      <c r="B1984" s="21" t="s">
        <v>260</v>
      </c>
      <c r="C1984" s="21" t="s">
        <v>149</v>
      </c>
      <c r="D1984" s="21" t="s">
        <v>2591</v>
      </c>
      <c r="E1984" s="1" t="s">
        <v>1578</v>
      </c>
      <c r="F1984" s="21" t="s">
        <v>1863</v>
      </c>
      <c r="G1984" s="14">
        <v>1</v>
      </c>
      <c r="H1984" s="14">
        <v>0</v>
      </c>
      <c r="I1984" s="25">
        <v>106</v>
      </c>
      <c r="J1984" s="23">
        <f>VLOOKUP(I1984,episodes!$A$1:$B$76,2,FALSE)</f>
        <v>7</v>
      </c>
      <c r="K1984" s="16" t="str">
        <f>VLOOKUP(I1984,episodes!$A$1:$E$81,5,FALSE)</f>
        <v>Mudd's Women</v>
      </c>
      <c r="L1984" s="16">
        <f>VLOOKUP(I1984,episodes!$A$1:$D$81,3,FALSE)</f>
        <v>1</v>
      </c>
      <c r="M1984" s="16">
        <f>VLOOKUP(I1984,episodes!$A$1:$D$81,4,FALSE)</f>
        <v>6</v>
      </c>
      <c r="O1984" s="14">
        <v>0</v>
      </c>
      <c r="P1984" s="24">
        <f>LEN(E1984)+LEN(K1984)</f>
        <v>68</v>
      </c>
      <c r="Q1984" s="24">
        <f>COUNTIFS(B:B,B1983)</f>
        <v>147</v>
      </c>
      <c r="R1984" s="24">
        <f>COUNTIFS(D:D,D1984)</f>
        <v>75</v>
      </c>
    </row>
    <row r="1985" spans="1:18" x14ac:dyDescent="0.3">
      <c r="A1985" s="14">
        <v>2574</v>
      </c>
      <c r="B1985" s="21" t="s">
        <v>260</v>
      </c>
      <c r="C1985" s="21" t="s">
        <v>149</v>
      </c>
      <c r="D1985" s="21" t="s">
        <v>2591</v>
      </c>
      <c r="E1985" s="1" t="s">
        <v>1630</v>
      </c>
      <c r="F1985" s="21" t="s">
        <v>1863</v>
      </c>
      <c r="G1985" s="14">
        <v>1</v>
      </c>
      <c r="H1985" s="14">
        <v>0</v>
      </c>
      <c r="I1985" s="25">
        <v>107</v>
      </c>
      <c r="J1985" s="23">
        <f>VLOOKUP(I1985,episodes!$A$1:$B$76,2,FALSE)</f>
        <v>8</v>
      </c>
      <c r="K1985" s="16" t="str">
        <f>VLOOKUP(I1985,episodes!$A$1:$E$81,5,FALSE)</f>
        <v>What Are Little Girls Made Of?</v>
      </c>
      <c r="L1985" s="16">
        <f>VLOOKUP(I1985,episodes!$A$1:$D$81,3,FALSE)</f>
        <v>1</v>
      </c>
      <c r="M1985" s="16">
        <f>VLOOKUP(I1985,episodes!$A$1:$D$81,4,FALSE)</f>
        <v>7</v>
      </c>
      <c r="O1985" s="14">
        <v>0</v>
      </c>
      <c r="P1985" s="24">
        <f>LEN(E1985)+LEN(K1985)</f>
        <v>64</v>
      </c>
      <c r="Q1985" s="24">
        <f>COUNTIFS(B:B,B1984)</f>
        <v>147</v>
      </c>
      <c r="R1985" s="24">
        <f>COUNTIFS(D:D,D1985)</f>
        <v>75</v>
      </c>
    </row>
    <row r="1986" spans="1:18" x14ac:dyDescent="0.3">
      <c r="A1986" s="14">
        <v>2650</v>
      </c>
      <c r="B1986" s="21" t="s">
        <v>260</v>
      </c>
      <c r="C1986" s="21" t="s">
        <v>149</v>
      </c>
      <c r="D1986" s="21" t="s">
        <v>2591</v>
      </c>
      <c r="E1986" s="1" t="s">
        <v>1368</v>
      </c>
      <c r="F1986" s="21" t="s">
        <v>1863</v>
      </c>
      <c r="G1986" s="14">
        <v>1</v>
      </c>
      <c r="H1986" s="14">
        <v>0</v>
      </c>
      <c r="I1986" s="22">
        <v>129</v>
      </c>
      <c r="J1986" s="23">
        <f>VLOOKUP(I1986,episodes!$A$1:$B$76,2,FALSE)</f>
        <v>30</v>
      </c>
      <c r="K1986" s="16" t="str">
        <f>VLOOKUP(I1986,episodes!$A$1:$E$81,5,FALSE)</f>
        <v>Operation: Annihilate!</v>
      </c>
      <c r="L1986" s="16">
        <f>VLOOKUP(I1986,episodes!$A$1:$D$81,3,FALSE)</f>
        <v>1</v>
      </c>
      <c r="M1986" s="16">
        <f>VLOOKUP(I1986,episodes!$A$1:$D$81,4,FALSE)</f>
        <v>29</v>
      </c>
      <c r="O1986" s="14">
        <v>0</v>
      </c>
      <c r="P1986" s="24">
        <f>LEN(E1986)+LEN(K1986)</f>
        <v>52</v>
      </c>
      <c r="Q1986" s="24">
        <f>COUNTIFS(B:B,B1985)</f>
        <v>147</v>
      </c>
      <c r="R1986" s="24">
        <f>COUNTIFS(D:D,D1986)</f>
        <v>75</v>
      </c>
    </row>
    <row r="1987" spans="1:18" x14ac:dyDescent="0.3">
      <c r="A1987" s="14">
        <v>2598</v>
      </c>
      <c r="B1987" s="21" t="s">
        <v>260</v>
      </c>
      <c r="C1987" s="21" t="s">
        <v>149</v>
      </c>
      <c r="D1987" s="21" t="s">
        <v>2591</v>
      </c>
      <c r="E1987" s="1" t="s">
        <v>1269</v>
      </c>
      <c r="F1987" s="21" t="s">
        <v>1863</v>
      </c>
      <c r="G1987" s="14">
        <v>1</v>
      </c>
      <c r="H1987" s="14">
        <v>0</v>
      </c>
      <c r="I1987" s="22">
        <v>115</v>
      </c>
      <c r="J1987" s="23">
        <f>VLOOKUP(I1987,episodes!$A$1:$B$76,2,FALSE)</f>
        <v>16</v>
      </c>
      <c r="K1987" s="16" t="str">
        <f>VLOOKUP(I1987,episodes!$A$1:$E$81,5,FALSE)</f>
        <v>Shore Leave</v>
      </c>
      <c r="L1987" s="16">
        <f>VLOOKUP(I1987,episodes!$A$1:$D$81,3,FALSE)</f>
        <v>1</v>
      </c>
      <c r="M1987" s="16">
        <f>VLOOKUP(I1987,episodes!$A$1:$D$81,4,FALSE)</f>
        <v>15</v>
      </c>
      <c r="O1987" s="14">
        <v>0</v>
      </c>
      <c r="P1987" s="24">
        <f>LEN(E1987)+LEN(K1987)</f>
        <v>77</v>
      </c>
      <c r="Q1987" s="24">
        <f>COUNTIFS(B:B,B1986)</f>
        <v>147</v>
      </c>
      <c r="R1987" s="24">
        <f>COUNTIFS(D:D,D1987)</f>
        <v>75</v>
      </c>
    </row>
    <row r="1988" spans="1:18" x14ac:dyDescent="0.3">
      <c r="A1988" s="14">
        <v>2576</v>
      </c>
      <c r="B1988" s="21" t="s">
        <v>260</v>
      </c>
      <c r="C1988" s="21" t="s">
        <v>149</v>
      </c>
      <c r="D1988" s="21" t="s">
        <v>2591</v>
      </c>
      <c r="E1988" s="1" t="s">
        <v>1241</v>
      </c>
      <c r="F1988" s="21" t="s">
        <v>1863</v>
      </c>
      <c r="G1988" s="14">
        <v>1</v>
      </c>
      <c r="H1988" s="14">
        <v>0</v>
      </c>
      <c r="I1988" s="25">
        <v>109</v>
      </c>
      <c r="J1988" s="23">
        <f>VLOOKUP(I1988,episodes!$A$1:$B$76,2,FALSE)</f>
        <v>10</v>
      </c>
      <c r="K1988" s="16" t="str">
        <f>VLOOKUP(I1988,episodes!$A$1:$E$81,5,FALSE)</f>
        <v>Dagger of the Mind</v>
      </c>
      <c r="L1988" s="16">
        <f>VLOOKUP(I1988,episodes!$A$1:$D$81,3,FALSE)</f>
        <v>1</v>
      </c>
      <c r="M1988" s="16">
        <f>VLOOKUP(I1988,episodes!$A$1:$D$81,4,FALSE)</f>
        <v>9</v>
      </c>
      <c r="O1988" s="14">
        <v>0</v>
      </c>
      <c r="P1988" s="24">
        <f>LEN(E1988)+LEN(K1988)</f>
        <v>64</v>
      </c>
      <c r="Q1988" s="24">
        <f>COUNTIFS(B:B,#REF!)</f>
        <v>0</v>
      </c>
      <c r="R1988" s="24">
        <f>COUNTIFS(D:D,D1988)</f>
        <v>75</v>
      </c>
    </row>
    <row r="1989" spans="1:18" x14ac:dyDescent="0.3">
      <c r="A1989" s="14">
        <v>2624</v>
      </c>
      <c r="B1989" s="21" t="s">
        <v>260</v>
      </c>
      <c r="C1989" s="21" t="s">
        <v>149</v>
      </c>
      <c r="D1989" s="21" t="s">
        <v>2591</v>
      </c>
      <c r="E1989" s="1" t="s">
        <v>1329</v>
      </c>
      <c r="F1989" s="21" t="s">
        <v>1863</v>
      </c>
      <c r="G1989" s="14">
        <v>1</v>
      </c>
      <c r="H1989" s="14">
        <v>0</v>
      </c>
      <c r="I1989" s="22">
        <v>123</v>
      </c>
      <c r="J1989" s="23">
        <f>VLOOKUP(I1989,episodes!$A$1:$B$76,2,FALSE)</f>
        <v>24</v>
      </c>
      <c r="K1989" s="16" t="str">
        <f>VLOOKUP(I1989,episodes!$A$1:$E$81,5,FALSE)</f>
        <v>A Taste of Armageddon</v>
      </c>
      <c r="L1989" s="16">
        <f>VLOOKUP(I1989,episodes!$A$1:$D$81,3,FALSE)</f>
        <v>1</v>
      </c>
      <c r="M1989" s="16">
        <f>VLOOKUP(I1989,episodes!$A$1:$D$81,4,FALSE)</f>
        <v>23</v>
      </c>
      <c r="O1989" s="14">
        <v>0</v>
      </c>
      <c r="P1989" s="24">
        <f>LEN(E1989)+LEN(K1989)</f>
        <v>76</v>
      </c>
      <c r="Q1989" s="24">
        <f>COUNTIFS(B:B,#REF!)</f>
        <v>0</v>
      </c>
      <c r="R1989" s="24">
        <f>COUNTIFS(D:D,D1989)</f>
        <v>75</v>
      </c>
    </row>
    <row r="1990" spans="1:18" x14ac:dyDescent="0.3">
      <c r="A1990" s="14">
        <v>2654</v>
      </c>
      <c r="B1990" s="21" t="s">
        <v>260</v>
      </c>
      <c r="C1990" s="21" t="s">
        <v>149</v>
      </c>
      <c r="D1990" s="21" t="s">
        <v>2591</v>
      </c>
      <c r="E1990" s="1" t="s">
        <v>1376</v>
      </c>
      <c r="F1990" s="21" t="s">
        <v>1863</v>
      </c>
      <c r="G1990" s="14">
        <v>1</v>
      </c>
      <c r="H1990" s="14">
        <v>0</v>
      </c>
      <c r="I1990" s="22">
        <v>201</v>
      </c>
      <c r="J1990" s="23">
        <f>VLOOKUP(I1990,episodes!$A$1:$B$76,2,FALSE)</f>
        <v>31</v>
      </c>
      <c r="K1990" s="16" t="str">
        <f>VLOOKUP(I1990,episodes!$A$1:$E$81,5,FALSE)</f>
        <v>Amok Time</v>
      </c>
      <c r="L1990" s="16">
        <f>VLOOKUP(I1990,episodes!$A$1:$D$81,3,FALSE)</f>
        <v>2</v>
      </c>
      <c r="M1990" s="16">
        <f>VLOOKUP(I1990,episodes!$A$1:$D$81,4,FALSE)</f>
        <v>1</v>
      </c>
      <c r="O1990" s="14">
        <v>0</v>
      </c>
      <c r="P1990" s="24">
        <f>LEN(E1990)+LEN(K1990)</f>
        <v>82</v>
      </c>
      <c r="Q1990" s="24">
        <f>COUNTIFS(B:B,#REF!)</f>
        <v>0</v>
      </c>
      <c r="R1990" s="24">
        <f>COUNTIFS(D:D,D1990)</f>
        <v>75</v>
      </c>
    </row>
    <row r="1991" spans="1:18" x14ac:dyDescent="0.3">
      <c r="A1991" s="14">
        <v>2985</v>
      </c>
      <c r="B1991" s="21" t="s">
        <v>260</v>
      </c>
      <c r="C1991" s="21" t="s">
        <v>149</v>
      </c>
      <c r="D1991" s="21" t="s">
        <v>2591</v>
      </c>
      <c r="E1991" s="4" t="s">
        <v>2808</v>
      </c>
      <c r="F1991" s="21" t="s">
        <v>1863</v>
      </c>
      <c r="G1991" s="14">
        <v>1</v>
      </c>
      <c r="H1991" s="14">
        <v>0</v>
      </c>
      <c r="I1991" s="7">
        <v>211</v>
      </c>
      <c r="J1991" s="23">
        <f>VLOOKUP(I1991,episodes!$A$1:$B$81,2,FALSE)</f>
        <v>41</v>
      </c>
      <c r="K1991" s="16" t="str">
        <f>VLOOKUP(I1991,episodes!$A$1:$E$81,5,FALSE)</f>
        <v>Friday's Child</v>
      </c>
      <c r="L1991" s="16">
        <f>VLOOKUP(I1991,episodes!$A$1:$D$81,3,FALSE)</f>
        <v>2</v>
      </c>
      <c r="M1991" s="16">
        <f>VLOOKUP(I1991,episodes!$A$1:$D$81,4,FALSE)</f>
        <v>11</v>
      </c>
      <c r="O1991" s="14">
        <v>0</v>
      </c>
      <c r="P1991" s="24">
        <f>LEN(E1991)+LEN(K1991)</f>
        <v>229</v>
      </c>
      <c r="Q1991" s="24"/>
      <c r="R1991" s="24"/>
    </row>
    <row r="1992" spans="1:18" x14ac:dyDescent="0.3">
      <c r="A1992" s="14">
        <v>2945</v>
      </c>
      <c r="B1992" s="21" t="s">
        <v>260</v>
      </c>
      <c r="C1992" s="21" t="s">
        <v>149</v>
      </c>
      <c r="D1992" s="21" t="s">
        <v>2591</v>
      </c>
      <c r="E1992" s="4" t="s">
        <v>2773</v>
      </c>
      <c r="F1992" s="21" t="s">
        <v>1863</v>
      </c>
      <c r="G1992" s="14">
        <v>1</v>
      </c>
      <c r="H1992" s="14">
        <v>0</v>
      </c>
      <c r="I1992" s="7">
        <v>211</v>
      </c>
      <c r="J1992" s="23">
        <f>VLOOKUP(I1992,episodes!$A$1:$B$81,2,FALSE)</f>
        <v>41</v>
      </c>
      <c r="K1992" s="16" t="str">
        <f>VLOOKUP(I1992,episodes!$A$1:$E$81,5,FALSE)</f>
        <v>Friday's Child</v>
      </c>
      <c r="L1992" s="16">
        <f>VLOOKUP(I1992,episodes!$A$1:$D$81,3,FALSE)</f>
        <v>2</v>
      </c>
      <c r="M1992" s="16">
        <f>VLOOKUP(I1992,episodes!$A$1:$D$81,4,FALSE)</f>
        <v>11</v>
      </c>
      <c r="O1992" s="14">
        <v>0</v>
      </c>
      <c r="P1992" s="24">
        <f>LEN(E1992)+LEN(K1992)</f>
        <v>171</v>
      </c>
      <c r="Q1992" s="24"/>
      <c r="R1992" s="24"/>
    </row>
    <row r="1993" spans="1:18" x14ac:dyDescent="0.3">
      <c r="A1993" s="14">
        <v>2612</v>
      </c>
      <c r="B1993" s="21" t="s">
        <v>260</v>
      </c>
      <c r="C1993" s="21" t="s">
        <v>149</v>
      </c>
      <c r="D1993" s="21" t="s">
        <v>2591</v>
      </c>
      <c r="E1993" s="1" t="s">
        <v>1295</v>
      </c>
      <c r="F1993" s="21" t="s">
        <v>1863</v>
      </c>
      <c r="G1993" s="14">
        <v>1</v>
      </c>
      <c r="H1993" s="14">
        <v>0</v>
      </c>
      <c r="I1993" s="22">
        <v>119</v>
      </c>
      <c r="J1993" s="23">
        <f>VLOOKUP(I1993,episodes!$A$1:$B$76,2,FALSE)</f>
        <v>20</v>
      </c>
      <c r="K1993" s="16" t="str">
        <f>VLOOKUP(I1993,episodes!$A$1:$E$81,5,FALSE)</f>
        <v>Tomorrow Is Yesterday</v>
      </c>
      <c r="L1993" s="16">
        <f>VLOOKUP(I1993,episodes!$A$1:$D$81,3,FALSE)</f>
        <v>1</v>
      </c>
      <c r="M1993" s="16">
        <f>VLOOKUP(I1993,episodes!$A$1:$D$81,4,FALSE)</f>
        <v>19</v>
      </c>
      <c r="O1993" s="14">
        <v>0</v>
      </c>
      <c r="P1993" s="24">
        <f>LEN(E1993)+LEN(K1993)</f>
        <v>82</v>
      </c>
      <c r="Q1993" s="24">
        <f>COUNTIFS(B:B,B1992)</f>
        <v>147</v>
      </c>
      <c r="R1993" s="24">
        <f>COUNTIFS(D:D,D1993)</f>
        <v>75</v>
      </c>
    </row>
    <row r="1994" spans="1:18" x14ac:dyDescent="0.3">
      <c r="A1994" s="14">
        <v>2602</v>
      </c>
      <c r="B1994" s="21" t="s">
        <v>260</v>
      </c>
      <c r="C1994" s="21" t="s">
        <v>149</v>
      </c>
      <c r="D1994" s="21" t="s">
        <v>2591</v>
      </c>
      <c r="E1994" s="1" t="s">
        <v>1275</v>
      </c>
      <c r="F1994" s="21" t="s">
        <v>1863</v>
      </c>
      <c r="G1994" s="14">
        <v>1</v>
      </c>
      <c r="H1994" s="14">
        <v>0</v>
      </c>
      <c r="I1994" s="22">
        <v>116</v>
      </c>
      <c r="J1994" s="23">
        <f>VLOOKUP(I1994,episodes!$A$1:$B$76,2,FALSE)</f>
        <v>17</v>
      </c>
      <c r="K1994" s="16" t="str">
        <f>VLOOKUP(I1994,episodes!$A$1:$E$81,5,FALSE)</f>
        <v>The Galileo Seven</v>
      </c>
      <c r="L1994" s="16">
        <f>VLOOKUP(I1994,episodes!$A$1:$D$81,3,FALSE)</f>
        <v>1</v>
      </c>
      <c r="M1994" s="16">
        <f>VLOOKUP(I1994,episodes!$A$1:$D$81,4,FALSE)</f>
        <v>16</v>
      </c>
      <c r="O1994" s="14">
        <v>0</v>
      </c>
      <c r="P1994" s="24">
        <f>LEN(E1994)+LEN(K1994)</f>
        <v>68</v>
      </c>
      <c r="Q1994" s="24">
        <f>COUNTIFS(B:B,B1993)</f>
        <v>147</v>
      </c>
      <c r="R1994" s="24">
        <f>COUNTIFS(D:D,D1994)</f>
        <v>75</v>
      </c>
    </row>
    <row r="1995" spans="1:18" x14ac:dyDescent="0.3">
      <c r="A1995" s="14">
        <v>2578</v>
      </c>
      <c r="B1995" s="21" t="s">
        <v>260</v>
      </c>
      <c r="C1995" s="21" t="s">
        <v>149</v>
      </c>
      <c r="D1995" s="21" t="s">
        <v>2591</v>
      </c>
      <c r="E1995" s="1" t="s">
        <v>1728</v>
      </c>
      <c r="F1995" s="21" t="s">
        <v>1863</v>
      </c>
      <c r="G1995" s="14">
        <v>1</v>
      </c>
      <c r="H1995" s="14">
        <v>0</v>
      </c>
      <c r="I1995" s="25">
        <v>109</v>
      </c>
      <c r="J1995" s="23">
        <f>VLOOKUP(I1995,episodes!$A$1:$B$76,2,FALSE)</f>
        <v>10</v>
      </c>
      <c r="K1995" s="16" t="str">
        <f>VLOOKUP(I1995,episodes!$A$1:$E$81,5,FALSE)</f>
        <v>Dagger of the Mind</v>
      </c>
      <c r="L1995" s="16">
        <f>VLOOKUP(I1995,episodes!$A$1:$D$81,3,FALSE)</f>
        <v>1</v>
      </c>
      <c r="M1995" s="16">
        <f>VLOOKUP(I1995,episodes!$A$1:$D$81,4,FALSE)</f>
        <v>9</v>
      </c>
      <c r="O1995" s="14">
        <v>0</v>
      </c>
      <c r="P1995" s="24">
        <f>LEN(E1995)+LEN(K1995)</f>
        <v>215</v>
      </c>
      <c r="Q1995" s="24">
        <f>COUNTIFS(B:B,B1994)</f>
        <v>147</v>
      </c>
      <c r="R1995" s="24">
        <f>COUNTIFS(D:D,D1995)</f>
        <v>75</v>
      </c>
    </row>
    <row r="1996" spans="1:18" x14ac:dyDescent="0.3">
      <c r="A1996" s="14">
        <v>2594</v>
      </c>
      <c r="B1996" s="21" t="s">
        <v>260</v>
      </c>
      <c r="C1996" s="21" t="s">
        <v>149</v>
      </c>
      <c r="D1996" s="21" t="s">
        <v>2591</v>
      </c>
      <c r="E1996" s="1" t="s">
        <v>1264</v>
      </c>
      <c r="F1996" s="21" t="s">
        <v>1863</v>
      </c>
      <c r="G1996" s="14">
        <v>1</v>
      </c>
      <c r="H1996" s="14">
        <v>0</v>
      </c>
      <c r="I1996" s="22">
        <v>114</v>
      </c>
      <c r="J1996" s="23">
        <f>VLOOKUP(I1996,episodes!$A$1:$B$76,2,FALSE)</f>
        <v>15</v>
      </c>
      <c r="K1996" s="16" t="str">
        <f>VLOOKUP(I1996,episodes!$A$1:$E$81,5,FALSE)</f>
        <v>Balance of Terror</v>
      </c>
      <c r="L1996" s="16">
        <f>VLOOKUP(I1996,episodes!$A$1:$D$81,3,FALSE)</f>
        <v>1</v>
      </c>
      <c r="M1996" s="16">
        <f>VLOOKUP(I1996,episodes!$A$1:$D$81,4,FALSE)</f>
        <v>14</v>
      </c>
      <c r="O1996" s="14">
        <v>0</v>
      </c>
      <c r="P1996" s="24">
        <f>LEN(E1996)+LEN(K1996)</f>
        <v>63</v>
      </c>
      <c r="Q1996" s="24">
        <f>COUNTIFS(B:B,B1995)</f>
        <v>147</v>
      </c>
      <c r="R1996" s="24">
        <f>COUNTIFS(D:D,D1996)</f>
        <v>75</v>
      </c>
    </row>
    <row r="1997" spans="1:18" x14ac:dyDescent="0.3">
      <c r="A1997" s="14">
        <v>2652</v>
      </c>
      <c r="B1997" s="21" t="s">
        <v>260</v>
      </c>
      <c r="C1997" s="21" t="s">
        <v>149</v>
      </c>
      <c r="D1997" s="21" t="s">
        <v>2591</v>
      </c>
      <c r="E1997" s="1" t="s">
        <v>1369</v>
      </c>
      <c r="F1997" s="21" t="s">
        <v>1863</v>
      </c>
      <c r="G1997" s="14">
        <v>1</v>
      </c>
      <c r="H1997" s="14">
        <v>0</v>
      </c>
      <c r="I1997" s="22">
        <v>129</v>
      </c>
      <c r="J1997" s="23">
        <f>VLOOKUP(I1997,episodes!$A$1:$B$76,2,FALSE)</f>
        <v>30</v>
      </c>
      <c r="K1997" s="16" t="str">
        <f>VLOOKUP(I1997,episodes!$A$1:$E$81,5,FALSE)</f>
        <v>Operation: Annihilate!</v>
      </c>
      <c r="L1997" s="16">
        <f>VLOOKUP(I1997,episodes!$A$1:$D$81,3,FALSE)</f>
        <v>1</v>
      </c>
      <c r="M1997" s="16">
        <f>VLOOKUP(I1997,episodes!$A$1:$D$81,4,FALSE)</f>
        <v>29</v>
      </c>
      <c r="O1997" s="14">
        <v>0</v>
      </c>
      <c r="P1997" s="24">
        <f>LEN(E1997)+LEN(K1997)</f>
        <v>87</v>
      </c>
      <c r="Q1997" s="24">
        <f>COUNTIFS(B:B,B1996)</f>
        <v>147</v>
      </c>
      <c r="R1997" s="24">
        <f>COUNTIFS(D:D,D1997)</f>
        <v>75</v>
      </c>
    </row>
    <row r="1998" spans="1:18" x14ac:dyDescent="0.3">
      <c r="A1998" s="14">
        <v>2638</v>
      </c>
      <c r="B1998" s="21" t="s">
        <v>260</v>
      </c>
      <c r="C1998" s="21" t="s">
        <v>149</v>
      </c>
      <c r="D1998" s="21" t="s">
        <v>2591</v>
      </c>
      <c r="E1998" s="1" t="s">
        <v>1349</v>
      </c>
      <c r="F1998" s="21" t="s">
        <v>1863</v>
      </c>
      <c r="G1998" s="14">
        <v>1</v>
      </c>
      <c r="H1998" s="14">
        <v>0</v>
      </c>
      <c r="I1998" s="22">
        <v>127</v>
      </c>
      <c r="J1998" s="23">
        <f>VLOOKUP(I1998,episodes!$A$1:$B$76,2,FALSE)</f>
        <v>28</v>
      </c>
      <c r="K1998" s="16" t="str">
        <f>VLOOKUP(I1998,episodes!$A$1:$E$81,5,FALSE)</f>
        <v>The Alternative Factor</v>
      </c>
      <c r="L1998" s="16">
        <f>VLOOKUP(I1998,episodes!$A$1:$D$81,3,FALSE)</f>
        <v>1</v>
      </c>
      <c r="M1998" s="16">
        <f>VLOOKUP(I1998,episodes!$A$1:$D$81,4,FALSE)</f>
        <v>27</v>
      </c>
      <c r="O1998" s="14">
        <v>0</v>
      </c>
      <c r="P1998" s="24">
        <f>LEN(E1998)+LEN(K1998)</f>
        <v>78</v>
      </c>
      <c r="Q1998" s="24">
        <f>COUNTIFS(B:B,B1997)</f>
        <v>147</v>
      </c>
      <c r="R1998" s="24">
        <f>COUNTIFS(D:D,D1998)</f>
        <v>75</v>
      </c>
    </row>
    <row r="1999" spans="1:18" x14ac:dyDescent="0.3">
      <c r="A1999" s="14">
        <v>2596</v>
      </c>
      <c r="B1999" s="21" t="s">
        <v>260</v>
      </c>
      <c r="C1999" s="21" t="s">
        <v>149</v>
      </c>
      <c r="D1999" s="21" t="s">
        <v>2591</v>
      </c>
      <c r="E1999" s="1" t="s">
        <v>1265</v>
      </c>
      <c r="F1999" s="21" t="s">
        <v>1863</v>
      </c>
      <c r="G1999" s="14">
        <v>1</v>
      </c>
      <c r="H1999" s="14">
        <v>0</v>
      </c>
      <c r="I1999" s="22">
        <v>114</v>
      </c>
      <c r="J1999" s="23">
        <f>VLOOKUP(I1999,episodes!$A$1:$B$76,2,FALSE)</f>
        <v>15</v>
      </c>
      <c r="K1999" s="16" t="str">
        <f>VLOOKUP(I1999,episodes!$A$1:$E$81,5,FALSE)</f>
        <v>Balance of Terror</v>
      </c>
      <c r="L1999" s="16">
        <f>VLOOKUP(I1999,episodes!$A$1:$D$81,3,FALSE)</f>
        <v>1</v>
      </c>
      <c r="M1999" s="16">
        <f>VLOOKUP(I1999,episodes!$A$1:$D$81,4,FALSE)</f>
        <v>14</v>
      </c>
      <c r="O1999" s="14">
        <v>0</v>
      </c>
      <c r="P1999" s="24">
        <f>LEN(E1999)+LEN(K1999)</f>
        <v>79</v>
      </c>
      <c r="Q1999" s="24">
        <f>COUNTIFS(B:B,B1998)</f>
        <v>147</v>
      </c>
      <c r="R1999" s="24">
        <f>COUNTIFS(D:D,D1999)</f>
        <v>75</v>
      </c>
    </row>
    <row r="2000" spans="1:18" x14ac:dyDescent="0.3">
      <c r="A2000" s="14">
        <v>2604</v>
      </c>
      <c r="B2000" s="21" t="s">
        <v>260</v>
      </c>
      <c r="C2000" s="21" t="s">
        <v>149</v>
      </c>
      <c r="D2000" s="21" t="s">
        <v>2591</v>
      </c>
      <c r="E2000" s="1" t="s">
        <v>1276</v>
      </c>
      <c r="F2000" s="21" t="s">
        <v>1863</v>
      </c>
      <c r="G2000" s="14">
        <v>1</v>
      </c>
      <c r="H2000" s="14">
        <v>0</v>
      </c>
      <c r="I2000" s="22">
        <v>116</v>
      </c>
      <c r="J2000" s="23">
        <f>VLOOKUP(I2000,episodes!$A$1:$B$76,2,FALSE)</f>
        <v>17</v>
      </c>
      <c r="K2000" s="16" t="str">
        <f>VLOOKUP(I2000,episodes!$A$1:$E$81,5,FALSE)</f>
        <v>The Galileo Seven</v>
      </c>
      <c r="L2000" s="16">
        <f>VLOOKUP(I2000,episodes!$A$1:$D$81,3,FALSE)</f>
        <v>1</v>
      </c>
      <c r="M2000" s="16">
        <f>VLOOKUP(I2000,episodes!$A$1:$D$81,4,FALSE)</f>
        <v>16</v>
      </c>
      <c r="O2000" s="14">
        <v>0</v>
      </c>
      <c r="P2000" s="24">
        <f>LEN(E2000)+LEN(K2000)</f>
        <v>50</v>
      </c>
      <c r="Q2000" s="24">
        <f>COUNTIFS(B:B,B1999)</f>
        <v>147</v>
      </c>
      <c r="R2000" s="24">
        <f>COUNTIFS(D:D,D2000)</f>
        <v>75</v>
      </c>
    </row>
    <row r="2001" spans="1:18" x14ac:dyDescent="0.3">
      <c r="A2001" s="14">
        <v>2586</v>
      </c>
      <c r="B2001" s="21" t="s">
        <v>260</v>
      </c>
      <c r="C2001" s="21" t="s">
        <v>149</v>
      </c>
      <c r="D2001" s="21" t="s">
        <v>2591</v>
      </c>
      <c r="E2001" s="1" t="s">
        <v>1259</v>
      </c>
      <c r="F2001" s="21" t="s">
        <v>1863</v>
      </c>
      <c r="G2001" s="14">
        <v>1</v>
      </c>
      <c r="H2001" s="14">
        <v>0</v>
      </c>
      <c r="I2001" s="25">
        <v>111</v>
      </c>
      <c r="J2001" s="23">
        <f>VLOOKUP(I2001,episodes!$A$1:$B$76,2,FALSE)</f>
        <v>12</v>
      </c>
      <c r="K2001" s="16" t="str">
        <f>VLOOKUP(I2001,episodes!$A$1:$E$81,5,FALSE)</f>
        <v>The Menagerie, Part I</v>
      </c>
      <c r="L2001" s="16">
        <f>VLOOKUP(I2001,episodes!$A$1:$D$81,3,FALSE)</f>
        <v>1</v>
      </c>
      <c r="M2001" s="16">
        <f>VLOOKUP(I2001,episodes!$A$1:$D$81,4,FALSE)</f>
        <v>11</v>
      </c>
      <c r="O2001" s="14">
        <v>0</v>
      </c>
      <c r="P2001" s="24">
        <f>LEN(E2001)+LEN(K2001)</f>
        <v>64</v>
      </c>
      <c r="Q2001" s="24">
        <f>COUNTIFS(B:B,B2000)</f>
        <v>147</v>
      </c>
      <c r="R2001" s="24">
        <f>COUNTIFS(D:D,D2001)</f>
        <v>75</v>
      </c>
    </row>
    <row r="2002" spans="1:18" x14ac:dyDescent="0.3">
      <c r="A2002" s="14">
        <v>2608</v>
      </c>
      <c r="B2002" s="21" t="s">
        <v>260</v>
      </c>
      <c r="C2002" s="21" t="s">
        <v>149</v>
      </c>
      <c r="D2002" s="21" t="s">
        <v>2591</v>
      </c>
      <c r="E2002" s="1" t="s">
        <v>1288</v>
      </c>
      <c r="F2002" s="21" t="s">
        <v>1863</v>
      </c>
      <c r="G2002" s="14">
        <v>1</v>
      </c>
      <c r="H2002" s="14">
        <v>0</v>
      </c>
      <c r="I2002" s="22">
        <v>118</v>
      </c>
      <c r="J2002" s="23">
        <f>VLOOKUP(I2002,episodes!$A$1:$B$76,2,FALSE)</f>
        <v>19</v>
      </c>
      <c r="K2002" s="16" t="str">
        <f>VLOOKUP(I2002,episodes!$A$1:$E$81,5,FALSE)</f>
        <v>Arena</v>
      </c>
      <c r="L2002" s="16">
        <f>VLOOKUP(I2002,episodes!$A$1:$D$81,3,FALSE)</f>
        <v>1</v>
      </c>
      <c r="M2002" s="16">
        <f>VLOOKUP(I2002,episodes!$A$1:$D$81,4,FALSE)</f>
        <v>18</v>
      </c>
      <c r="O2002" s="14">
        <v>0</v>
      </c>
      <c r="P2002" s="24">
        <f>LEN(E2002)+LEN(K2002)</f>
        <v>49</v>
      </c>
      <c r="Q2002" s="24">
        <f>COUNTIFS(B:B,#REF!)</f>
        <v>0</v>
      </c>
      <c r="R2002" s="24">
        <f>COUNTIFS(D:D,D2002)</f>
        <v>75</v>
      </c>
    </row>
    <row r="2003" spans="1:18" x14ac:dyDescent="0.3">
      <c r="A2003" s="14">
        <v>2640</v>
      </c>
      <c r="B2003" s="21" t="s">
        <v>260</v>
      </c>
      <c r="C2003" s="21" t="s">
        <v>149</v>
      </c>
      <c r="D2003" s="21" t="s">
        <v>2591</v>
      </c>
      <c r="E2003" s="1" t="s">
        <v>1350</v>
      </c>
      <c r="F2003" s="21" t="s">
        <v>1863</v>
      </c>
      <c r="G2003" s="14">
        <v>1</v>
      </c>
      <c r="H2003" s="14">
        <v>0</v>
      </c>
      <c r="I2003" s="22">
        <v>127</v>
      </c>
      <c r="J2003" s="23">
        <f>VLOOKUP(I2003,episodes!$A$1:$B$76,2,FALSE)</f>
        <v>28</v>
      </c>
      <c r="K2003" s="16" t="str">
        <f>VLOOKUP(I2003,episodes!$A$1:$E$81,5,FALSE)</f>
        <v>The Alternative Factor</v>
      </c>
      <c r="L2003" s="16">
        <f>VLOOKUP(I2003,episodes!$A$1:$D$81,3,FALSE)</f>
        <v>1</v>
      </c>
      <c r="M2003" s="16">
        <f>VLOOKUP(I2003,episodes!$A$1:$D$81,4,FALSE)</f>
        <v>27</v>
      </c>
      <c r="O2003" s="14">
        <v>0</v>
      </c>
      <c r="P2003" s="24">
        <f>LEN(E2003)+LEN(K2003)</f>
        <v>62</v>
      </c>
      <c r="Q2003" s="24">
        <f>COUNTIFS(B:B,B2002)</f>
        <v>147</v>
      </c>
      <c r="R2003" s="24">
        <f>COUNTIFS(D:D,D2003)</f>
        <v>75</v>
      </c>
    </row>
    <row r="2004" spans="1:18" x14ac:dyDescent="0.3">
      <c r="A2004" s="14">
        <v>2684</v>
      </c>
      <c r="B2004" s="21" t="s">
        <v>260</v>
      </c>
      <c r="C2004" s="21" t="s">
        <v>149</v>
      </c>
      <c r="D2004" s="21" t="s">
        <v>2591</v>
      </c>
      <c r="E2004" s="1" t="s">
        <v>1907</v>
      </c>
      <c r="F2004" s="21" t="s">
        <v>1863</v>
      </c>
      <c r="G2004" s="14">
        <v>1</v>
      </c>
      <c r="H2004" s="14">
        <v>0</v>
      </c>
      <c r="I2004" s="22">
        <v>210</v>
      </c>
      <c r="J2004" s="23">
        <f>VLOOKUP(I2004,episodes!$A$1:$B$81,2,FALSE)</f>
        <v>40</v>
      </c>
      <c r="K2004" s="16" t="str">
        <f>VLOOKUP(I2004,episodes!$A$1:$E$81,5,FALSE)</f>
        <v>Journey to Babel</v>
      </c>
      <c r="L2004" s="16">
        <f>VLOOKUP(I2004,episodes!$A$1:$D$81,3,FALSE)</f>
        <v>2</v>
      </c>
      <c r="M2004" s="16">
        <f>VLOOKUP(I2004,episodes!$A$1:$D$81,4,FALSE)</f>
        <v>10</v>
      </c>
      <c r="O2004" s="14">
        <v>0</v>
      </c>
      <c r="P2004" s="24">
        <f>LEN(E2004)+LEN(K2004)</f>
        <v>117</v>
      </c>
      <c r="Q2004" s="24">
        <f>COUNTIFS(B:B,B2003)</f>
        <v>147</v>
      </c>
      <c r="R2004" s="24">
        <f>COUNTIFS(D:D,D2004)</f>
        <v>75</v>
      </c>
    </row>
    <row r="2005" spans="1:18" x14ac:dyDescent="0.3">
      <c r="A2005" s="14">
        <v>2588</v>
      </c>
      <c r="B2005" s="21" t="s">
        <v>260</v>
      </c>
      <c r="C2005" s="21" t="s">
        <v>149</v>
      </c>
      <c r="D2005" s="21" t="s">
        <v>2591</v>
      </c>
      <c r="E2005" s="1" t="s">
        <v>1762</v>
      </c>
      <c r="F2005" s="21" t="s">
        <v>1863</v>
      </c>
      <c r="G2005" s="14">
        <v>1</v>
      </c>
      <c r="H2005" s="14">
        <v>0</v>
      </c>
      <c r="I2005" s="25">
        <v>111</v>
      </c>
      <c r="J2005" s="23">
        <f>VLOOKUP(I2005,episodes!$A$1:$B$76,2,FALSE)</f>
        <v>12</v>
      </c>
      <c r="K2005" s="16" t="str">
        <f>VLOOKUP(I2005,episodes!$A$1:$E$81,5,FALSE)</f>
        <v>The Menagerie, Part I</v>
      </c>
      <c r="L2005" s="16">
        <f>VLOOKUP(I2005,episodes!$A$1:$D$81,3,FALSE)</f>
        <v>1</v>
      </c>
      <c r="M2005" s="16">
        <f>VLOOKUP(I2005,episodes!$A$1:$D$81,4,FALSE)</f>
        <v>11</v>
      </c>
      <c r="O2005" s="14">
        <v>0</v>
      </c>
      <c r="P2005" s="24">
        <f>LEN(E2005)+LEN(K2005)</f>
        <v>157</v>
      </c>
      <c r="Q2005" s="24">
        <f>COUNTIFS(B:B,B2004)</f>
        <v>147</v>
      </c>
      <c r="R2005" s="24">
        <f>COUNTIFS(D:D,D2005)</f>
        <v>75</v>
      </c>
    </row>
    <row r="2006" spans="1:18" x14ac:dyDescent="0.3">
      <c r="A2006" s="14">
        <v>2656</v>
      </c>
      <c r="B2006" s="21" t="s">
        <v>260</v>
      </c>
      <c r="C2006" s="21" t="s">
        <v>149</v>
      </c>
      <c r="D2006" s="21" t="s">
        <v>2591</v>
      </c>
      <c r="E2006" s="1" t="s">
        <v>2021</v>
      </c>
      <c r="F2006" s="21" t="s">
        <v>1863</v>
      </c>
      <c r="G2006" s="14">
        <v>1</v>
      </c>
      <c r="H2006" s="14">
        <v>0</v>
      </c>
      <c r="I2006" s="22">
        <v>201</v>
      </c>
      <c r="J2006" s="23">
        <f>VLOOKUP(I2006,episodes!$A$1:$B$76,2,FALSE)</f>
        <v>31</v>
      </c>
      <c r="K2006" s="16" t="str">
        <f>VLOOKUP(I2006,episodes!$A$1:$E$81,5,FALSE)</f>
        <v>Amok Time</v>
      </c>
      <c r="L2006" s="16">
        <f>VLOOKUP(I2006,episodes!$A$1:$D$81,3,FALSE)</f>
        <v>2</v>
      </c>
      <c r="M2006" s="16">
        <f>VLOOKUP(I2006,episodes!$A$1:$D$81,4,FALSE)</f>
        <v>1</v>
      </c>
      <c r="O2006" s="14">
        <v>0</v>
      </c>
      <c r="P2006" s="24">
        <f>LEN(E2006)+LEN(K2006)</f>
        <v>116</v>
      </c>
      <c r="Q2006" s="24">
        <f>COUNTIFS(B:B,B2005)</f>
        <v>147</v>
      </c>
      <c r="R2006" s="24">
        <f>COUNTIFS(D:D,D2006)</f>
        <v>75</v>
      </c>
    </row>
    <row r="2007" spans="1:18" x14ac:dyDescent="0.3">
      <c r="A2007" s="14">
        <v>2658</v>
      </c>
      <c r="B2007" s="21" t="s">
        <v>260</v>
      </c>
      <c r="C2007" s="21" t="s">
        <v>149</v>
      </c>
      <c r="D2007" s="21" t="s">
        <v>2591</v>
      </c>
      <c r="E2007" s="1" t="s">
        <v>1377</v>
      </c>
      <c r="F2007" s="21" t="s">
        <v>1863</v>
      </c>
      <c r="G2007" s="14">
        <v>1</v>
      </c>
      <c r="H2007" s="14">
        <v>0</v>
      </c>
      <c r="I2007" s="22">
        <v>201</v>
      </c>
      <c r="J2007" s="23">
        <f>VLOOKUP(I2007,episodes!$A$1:$B$76,2,FALSE)</f>
        <v>31</v>
      </c>
      <c r="K2007" s="16" t="str">
        <f>VLOOKUP(I2007,episodes!$A$1:$E$81,5,FALSE)</f>
        <v>Amok Time</v>
      </c>
      <c r="L2007" s="16">
        <f>VLOOKUP(I2007,episodes!$A$1:$D$81,3,FALSE)</f>
        <v>2</v>
      </c>
      <c r="M2007" s="16">
        <f>VLOOKUP(I2007,episodes!$A$1:$D$81,4,FALSE)</f>
        <v>1</v>
      </c>
      <c r="O2007" s="14">
        <v>0</v>
      </c>
      <c r="P2007" s="24">
        <f>LEN(E2007)+LEN(K2007)</f>
        <v>62</v>
      </c>
      <c r="Q2007" s="24">
        <f>COUNTIFS(B:B,B2006)</f>
        <v>147</v>
      </c>
      <c r="R2007" s="24">
        <f>COUNTIFS(D:D,D2007)</f>
        <v>75</v>
      </c>
    </row>
    <row r="2008" spans="1:18" x14ac:dyDescent="0.3">
      <c r="A2008" s="14">
        <v>2686</v>
      </c>
      <c r="B2008" s="21" t="s">
        <v>260</v>
      </c>
      <c r="C2008" s="21" t="s">
        <v>149</v>
      </c>
      <c r="D2008" s="21" t="s">
        <v>2591</v>
      </c>
      <c r="E2008" s="1" t="s">
        <v>2016</v>
      </c>
      <c r="F2008" s="21" t="s">
        <v>1863</v>
      </c>
      <c r="G2008" s="14">
        <v>1</v>
      </c>
      <c r="H2008" s="14">
        <v>0</v>
      </c>
      <c r="I2008" s="22">
        <v>210</v>
      </c>
      <c r="J2008" s="23">
        <f>VLOOKUP(I2008,episodes!$A$1:$B$81,2,FALSE)</f>
        <v>40</v>
      </c>
      <c r="K2008" s="16" t="str">
        <f>VLOOKUP(I2008,episodes!$A$1:$E$81,5,FALSE)</f>
        <v>Journey to Babel</v>
      </c>
      <c r="L2008" s="16">
        <f>VLOOKUP(I2008,episodes!$A$1:$D$81,3,FALSE)</f>
        <v>2</v>
      </c>
      <c r="M2008" s="16">
        <f>VLOOKUP(I2008,episodes!$A$1:$D$81,4,FALSE)</f>
        <v>10</v>
      </c>
      <c r="O2008" s="14">
        <v>0</v>
      </c>
      <c r="P2008" s="24">
        <f>LEN(E2008)+LEN(K2008)</f>
        <v>134</v>
      </c>
      <c r="Q2008" s="24">
        <f>COUNTIFS(B:B,B2007)</f>
        <v>147</v>
      </c>
      <c r="R2008" s="24">
        <f>COUNTIFS(D:D,D2008)</f>
        <v>75</v>
      </c>
    </row>
    <row r="2009" spans="1:18" x14ac:dyDescent="0.3">
      <c r="A2009" s="14">
        <v>2614</v>
      </c>
      <c r="B2009" s="21" t="s">
        <v>260</v>
      </c>
      <c r="C2009" s="21" t="s">
        <v>149</v>
      </c>
      <c r="D2009" s="21" t="s">
        <v>2591</v>
      </c>
      <c r="E2009" s="1" t="s">
        <v>1296</v>
      </c>
      <c r="F2009" s="21" t="s">
        <v>1863</v>
      </c>
      <c r="G2009" s="14">
        <v>1</v>
      </c>
      <c r="H2009" s="14">
        <v>0</v>
      </c>
      <c r="I2009" s="22">
        <v>119</v>
      </c>
      <c r="J2009" s="23">
        <f>VLOOKUP(I2009,episodes!$A$1:$B$76,2,FALSE)</f>
        <v>20</v>
      </c>
      <c r="K2009" s="16" t="str">
        <f>VLOOKUP(I2009,episodes!$A$1:$E$81,5,FALSE)</f>
        <v>Tomorrow Is Yesterday</v>
      </c>
      <c r="L2009" s="16">
        <f>VLOOKUP(I2009,episodes!$A$1:$D$81,3,FALSE)</f>
        <v>1</v>
      </c>
      <c r="M2009" s="16">
        <f>VLOOKUP(I2009,episodes!$A$1:$D$81,4,FALSE)</f>
        <v>19</v>
      </c>
      <c r="O2009" s="14">
        <v>0</v>
      </c>
      <c r="P2009" s="24">
        <f>LEN(E2009)+LEN(K2009)</f>
        <v>65</v>
      </c>
      <c r="Q2009" s="24">
        <f>COUNTIFS(B:B,B2008)</f>
        <v>147</v>
      </c>
      <c r="R2009" s="24">
        <f>COUNTIFS(D:D,D2009)</f>
        <v>75</v>
      </c>
    </row>
    <row r="2010" spans="1:18" x14ac:dyDescent="0.3">
      <c r="A2010" s="14">
        <v>2674</v>
      </c>
      <c r="B2010" s="21" t="s">
        <v>260</v>
      </c>
      <c r="C2010" s="21" t="s">
        <v>149</v>
      </c>
      <c r="D2010" s="21" t="s">
        <v>2591</v>
      </c>
      <c r="E2010" s="1" t="s">
        <v>2023</v>
      </c>
      <c r="F2010" s="21" t="s">
        <v>1863</v>
      </c>
      <c r="G2010" s="14">
        <v>1</v>
      </c>
      <c r="H2010" s="14">
        <v>0</v>
      </c>
      <c r="I2010" s="22">
        <v>207</v>
      </c>
      <c r="J2010" s="23">
        <f>VLOOKUP(I2010,episodes!$A$1:$B$81,2,FALSE)</f>
        <v>37</v>
      </c>
      <c r="K2010" s="16" t="str">
        <f>VLOOKUP(I2010,episodes!$A$1:$E$81,5,FALSE)</f>
        <v>Catspaw</v>
      </c>
      <c r="L2010" s="16">
        <f>VLOOKUP(I2010,episodes!$A$1:$D$81,3,FALSE)</f>
        <v>2</v>
      </c>
      <c r="M2010" s="16">
        <f>VLOOKUP(I2010,episodes!$A$1:$D$81,4,FALSE)</f>
        <v>7</v>
      </c>
      <c r="O2010" s="14">
        <v>0</v>
      </c>
      <c r="P2010" s="24">
        <f>LEN(E2010)+LEN(K2010)</f>
        <v>58</v>
      </c>
      <c r="Q2010" s="24">
        <f>COUNTIFS(B:B,#REF!)</f>
        <v>0</v>
      </c>
      <c r="R2010" s="24">
        <f>COUNTIFS(D:D,D2010)</f>
        <v>75</v>
      </c>
    </row>
    <row r="2011" spans="1:18" x14ac:dyDescent="0.3">
      <c r="A2011" s="14">
        <v>2560</v>
      </c>
      <c r="B2011" s="21" t="s">
        <v>260</v>
      </c>
      <c r="C2011" s="21" t="s">
        <v>149</v>
      </c>
      <c r="D2011" s="21" t="s">
        <v>2591</v>
      </c>
      <c r="E2011" s="1" t="s">
        <v>1213</v>
      </c>
      <c r="F2011" s="21" t="s">
        <v>1863</v>
      </c>
      <c r="G2011" s="14">
        <v>1</v>
      </c>
      <c r="H2011" s="14">
        <v>0</v>
      </c>
      <c r="I2011" s="25">
        <v>102</v>
      </c>
      <c r="J2011" s="23">
        <f>VLOOKUP(I2011,episodes!$A$1:$B$76,2,FALSE)</f>
        <v>3</v>
      </c>
      <c r="K2011" s="16" t="str">
        <f>VLOOKUP(I2011,episodes!$A$1:$E$81,5,FALSE)</f>
        <v>Charlie X</v>
      </c>
      <c r="L2011" s="16">
        <f>VLOOKUP(I2011,episodes!$A$1:$D$81,3,FALSE)</f>
        <v>1</v>
      </c>
      <c r="M2011" s="16">
        <f>VLOOKUP(I2011,episodes!$A$1:$D$81,4,FALSE)</f>
        <v>2</v>
      </c>
      <c r="O2011" s="14">
        <v>0</v>
      </c>
      <c r="P2011" s="24">
        <f>LEN(E2011)+LEN(K2011)</f>
        <v>41</v>
      </c>
      <c r="Q2011" s="24">
        <f>COUNTIFS(B:B,B2010)</f>
        <v>147</v>
      </c>
      <c r="R2011" s="24">
        <f>COUNTIFS(D:D,D2011)</f>
        <v>75</v>
      </c>
    </row>
    <row r="2012" spans="1:18" x14ac:dyDescent="0.3">
      <c r="A2012" s="14">
        <v>2978</v>
      </c>
      <c r="B2012" s="21" t="s">
        <v>260</v>
      </c>
      <c r="C2012" s="21" t="s">
        <v>149</v>
      </c>
      <c r="D2012" s="21" t="s">
        <v>2591</v>
      </c>
      <c r="E2012" s="4" t="s">
        <v>2802</v>
      </c>
      <c r="F2012" s="21" t="s">
        <v>1863</v>
      </c>
      <c r="G2012" s="14">
        <v>1</v>
      </c>
      <c r="H2012" s="14">
        <v>0</v>
      </c>
      <c r="I2012" s="7">
        <v>211</v>
      </c>
      <c r="J2012" s="23">
        <f>VLOOKUP(I2012,episodes!$A$1:$B$81,2,FALSE)</f>
        <v>41</v>
      </c>
      <c r="K2012" s="16" t="str">
        <f>VLOOKUP(I2012,episodes!$A$1:$E$81,5,FALSE)</f>
        <v>Friday's Child</v>
      </c>
      <c r="L2012" s="16">
        <f>VLOOKUP(I2012,episodes!$A$1:$D$81,3,FALSE)</f>
        <v>2</v>
      </c>
      <c r="M2012" s="16">
        <f>VLOOKUP(I2012,episodes!$A$1:$D$81,4,FALSE)</f>
        <v>11</v>
      </c>
      <c r="O2012" s="14">
        <v>0</v>
      </c>
      <c r="P2012" s="24">
        <f>LEN(E2012)+LEN(K2012)</f>
        <v>87</v>
      </c>
      <c r="Q2012" s="24"/>
      <c r="R2012" s="24"/>
    </row>
    <row r="2013" spans="1:18" x14ac:dyDescent="0.3">
      <c r="A2013" s="14">
        <v>2996</v>
      </c>
      <c r="B2013" s="21" t="s">
        <v>260</v>
      </c>
      <c r="C2013" s="21" t="s">
        <v>149</v>
      </c>
      <c r="D2013" s="21" t="s">
        <v>2591</v>
      </c>
      <c r="E2013" s="4" t="s">
        <v>2817</v>
      </c>
      <c r="F2013" s="21" t="s">
        <v>1863</v>
      </c>
      <c r="G2013" s="14">
        <v>1</v>
      </c>
      <c r="H2013" s="14">
        <v>0</v>
      </c>
      <c r="I2013" s="7">
        <v>211</v>
      </c>
      <c r="J2013" s="23">
        <f>VLOOKUP(I2013,episodes!$A$1:$B$81,2,FALSE)</f>
        <v>41</v>
      </c>
      <c r="K2013" s="16" t="str">
        <f>VLOOKUP(I2013,episodes!$A$1:$E$81,5,FALSE)</f>
        <v>Friday's Child</v>
      </c>
      <c r="L2013" s="16">
        <f>VLOOKUP(I2013,episodes!$A$1:$D$81,3,FALSE)</f>
        <v>2</v>
      </c>
      <c r="M2013" s="16">
        <f>VLOOKUP(I2013,episodes!$A$1:$D$81,4,FALSE)</f>
        <v>11</v>
      </c>
      <c r="O2013" s="14">
        <v>0</v>
      </c>
      <c r="P2013" s="24">
        <f>LEN(E2013)+LEN(K2013)</f>
        <v>98</v>
      </c>
      <c r="Q2013" s="24"/>
      <c r="R2013" s="24"/>
    </row>
    <row r="2014" spans="1:18" x14ac:dyDescent="0.3">
      <c r="A2014" s="14">
        <v>2562</v>
      </c>
      <c r="B2014" s="21" t="s">
        <v>260</v>
      </c>
      <c r="C2014" s="21" t="s">
        <v>149</v>
      </c>
      <c r="D2014" s="21" t="s">
        <v>2591</v>
      </c>
      <c r="E2014" s="1" t="s">
        <v>1214</v>
      </c>
      <c r="F2014" s="21" t="s">
        <v>1863</v>
      </c>
      <c r="G2014" s="14">
        <v>1</v>
      </c>
      <c r="H2014" s="14">
        <v>0</v>
      </c>
      <c r="I2014" s="25">
        <v>102</v>
      </c>
      <c r="J2014" s="23">
        <f>VLOOKUP(I2014,episodes!$A$1:$B$76,2,FALSE)</f>
        <v>3</v>
      </c>
      <c r="K2014" s="16" t="str">
        <f>VLOOKUP(I2014,episodes!$A$1:$E$81,5,FALSE)</f>
        <v>Charlie X</v>
      </c>
      <c r="L2014" s="16">
        <f>VLOOKUP(I2014,episodes!$A$1:$D$81,3,FALSE)</f>
        <v>1</v>
      </c>
      <c r="M2014" s="16">
        <f>VLOOKUP(I2014,episodes!$A$1:$D$81,4,FALSE)</f>
        <v>2</v>
      </c>
      <c r="O2014" s="14">
        <v>0</v>
      </c>
      <c r="P2014" s="24">
        <f>LEN(E2014)+LEN(K2014)</f>
        <v>38</v>
      </c>
      <c r="Q2014" s="24">
        <f>COUNTIFS(B:B,B2013)</f>
        <v>147</v>
      </c>
      <c r="R2014" s="24">
        <f>COUNTIFS(D:D,D2014)</f>
        <v>75</v>
      </c>
    </row>
    <row r="2015" spans="1:18" x14ac:dyDescent="0.3">
      <c r="A2015" s="14">
        <v>2632</v>
      </c>
      <c r="B2015" s="21" t="s">
        <v>260</v>
      </c>
      <c r="C2015" s="21" t="s">
        <v>149</v>
      </c>
      <c r="D2015" s="21" t="s">
        <v>2591</v>
      </c>
      <c r="E2015" s="1" t="s">
        <v>1342</v>
      </c>
      <c r="F2015" s="21" t="s">
        <v>1863</v>
      </c>
      <c r="G2015" s="14">
        <v>1</v>
      </c>
      <c r="H2015" s="14">
        <v>0</v>
      </c>
      <c r="I2015" s="26">
        <v>126</v>
      </c>
      <c r="J2015" s="23">
        <f>VLOOKUP(I2015,episodes!$A$1:$B$76,2,FALSE)</f>
        <v>27</v>
      </c>
      <c r="K2015" s="16" t="str">
        <f>VLOOKUP(I2015,episodes!$A$1:$E$81,5,FALSE)</f>
        <v>Errand of Mercy</v>
      </c>
      <c r="L2015" s="16">
        <f>VLOOKUP(I2015,episodes!$A$1:$D$81,3,FALSE)</f>
        <v>1</v>
      </c>
      <c r="M2015" s="16">
        <f>VLOOKUP(I2015,episodes!$A$1:$D$81,4,FALSE)</f>
        <v>26</v>
      </c>
      <c r="O2015" s="14">
        <v>0</v>
      </c>
      <c r="P2015" s="24">
        <f>LEN(E2015)+LEN(K2015)</f>
        <v>68</v>
      </c>
      <c r="Q2015" s="24">
        <f>COUNTIFS(B:B,B2014)</f>
        <v>147</v>
      </c>
      <c r="R2015" s="24">
        <f>COUNTIFS(D:D,D2015)</f>
        <v>75</v>
      </c>
    </row>
    <row r="2016" spans="1:18" x14ac:dyDescent="0.3">
      <c r="A2016" s="14">
        <v>2564</v>
      </c>
      <c r="B2016" s="21" t="s">
        <v>260</v>
      </c>
      <c r="C2016" s="21" t="s">
        <v>149</v>
      </c>
      <c r="D2016" s="21" t="s">
        <v>2591</v>
      </c>
      <c r="E2016" s="1" t="s">
        <v>1789</v>
      </c>
      <c r="F2016" s="21" t="s">
        <v>1863</v>
      </c>
      <c r="G2016" s="14">
        <v>1</v>
      </c>
      <c r="H2016" s="14">
        <v>0</v>
      </c>
      <c r="I2016" s="25">
        <v>102</v>
      </c>
      <c r="J2016" s="23">
        <f>VLOOKUP(I2016,episodes!$A$1:$B$76,2,FALSE)</f>
        <v>3</v>
      </c>
      <c r="K2016" s="16" t="str">
        <f>VLOOKUP(I2016,episodes!$A$1:$E$81,5,FALSE)</f>
        <v>Charlie X</v>
      </c>
      <c r="L2016" s="16">
        <f>VLOOKUP(I2016,episodes!$A$1:$D$81,3,FALSE)</f>
        <v>1</v>
      </c>
      <c r="M2016" s="16">
        <f>VLOOKUP(I2016,episodes!$A$1:$D$81,4,FALSE)</f>
        <v>2</v>
      </c>
      <c r="O2016" s="14">
        <v>0</v>
      </c>
      <c r="P2016" s="24">
        <f>LEN(E2016)+LEN(K2016)</f>
        <v>55</v>
      </c>
      <c r="Q2016" s="24">
        <f>COUNTIFS(B:B,B2015)</f>
        <v>147</v>
      </c>
      <c r="R2016" s="24">
        <f>COUNTIFS(D:D,D2016)</f>
        <v>75</v>
      </c>
    </row>
    <row r="2017" spans="1:18" x14ac:dyDescent="0.3">
      <c r="A2017" s="14">
        <v>212</v>
      </c>
      <c r="B2017" s="21" t="s">
        <v>356</v>
      </c>
      <c r="C2017" s="21" t="s">
        <v>2672</v>
      </c>
      <c r="D2017" s="1" t="s">
        <v>2892</v>
      </c>
      <c r="E2017" s="1" t="s">
        <v>449</v>
      </c>
      <c r="F2017" s="21"/>
      <c r="G2017" s="14">
        <v>0</v>
      </c>
      <c r="H2017" s="14">
        <v>0</v>
      </c>
      <c r="I2017" s="25">
        <v>102</v>
      </c>
      <c r="J2017" s="23">
        <f>VLOOKUP(I2017,episodes!$A$1:$B$76,2,FALSE)</f>
        <v>3</v>
      </c>
      <c r="K2017" s="16" t="str">
        <f>VLOOKUP(I2017,episodes!$A$1:$E$81,5,FALSE)</f>
        <v>Charlie X</v>
      </c>
      <c r="L2017" s="16">
        <f>VLOOKUP(I2017,episodes!$A$1:$D$81,3,FALSE)</f>
        <v>1</v>
      </c>
      <c r="M2017" s="16">
        <f>VLOOKUP(I2017,episodes!$A$1:$D$81,4,FALSE)</f>
        <v>2</v>
      </c>
      <c r="O2017" s="14">
        <v>0</v>
      </c>
      <c r="P2017" s="24">
        <f>LEN(E2017)+LEN(K2017)</f>
        <v>93</v>
      </c>
      <c r="Q2017" s="24">
        <f>COUNTIFS(B:B,#REF!)</f>
        <v>0</v>
      </c>
      <c r="R2017" s="24">
        <f>COUNTIFS(D:D,D2017)</f>
        <v>1</v>
      </c>
    </row>
    <row r="2018" spans="1:18" x14ac:dyDescent="0.3">
      <c r="A2018" s="14">
        <v>1886</v>
      </c>
      <c r="B2018" s="21" t="s">
        <v>356</v>
      </c>
      <c r="C2018" s="21" t="s">
        <v>2672</v>
      </c>
      <c r="D2018" s="1" t="s">
        <v>2893</v>
      </c>
      <c r="E2018" s="1" t="s">
        <v>2243</v>
      </c>
      <c r="F2018" s="21"/>
      <c r="G2018" s="14">
        <v>0</v>
      </c>
      <c r="H2018" s="14">
        <v>0</v>
      </c>
      <c r="I2018" s="25">
        <v>107</v>
      </c>
      <c r="J2018" s="23">
        <f>VLOOKUP(I2018,episodes!$A$1:$B$76,2,FALSE)</f>
        <v>8</v>
      </c>
      <c r="K2018" s="16" t="str">
        <f>VLOOKUP(I2018,episodes!$A$1:$E$81,5,FALSE)</f>
        <v>What Are Little Girls Made Of?</v>
      </c>
      <c r="L2018" s="16">
        <f>VLOOKUP(I2018,episodes!$A$1:$D$81,3,FALSE)</f>
        <v>1</v>
      </c>
      <c r="M2018" s="16">
        <f>VLOOKUP(I2018,episodes!$A$1:$D$81,4,FALSE)</f>
        <v>7</v>
      </c>
      <c r="O2018" s="14">
        <v>0</v>
      </c>
      <c r="P2018" s="24">
        <f>LEN(E2018)+LEN(K2018)</f>
        <v>98</v>
      </c>
      <c r="Q2018" s="24"/>
      <c r="R2018" s="24"/>
    </row>
    <row r="2019" spans="1:18" x14ac:dyDescent="0.3">
      <c r="A2019" s="14">
        <v>2719</v>
      </c>
      <c r="B2019" s="21" t="s">
        <v>356</v>
      </c>
      <c r="C2019" s="21" t="s">
        <v>2672</v>
      </c>
      <c r="D2019" s="1" t="s">
        <v>2286</v>
      </c>
      <c r="E2019" s="1" t="s">
        <v>1087</v>
      </c>
      <c r="F2019" s="21"/>
      <c r="G2019" s="14">
        <v>0</v>
      </c>
      <c r="H2019" s="14">
        <v>0</v>
      </c>
      <c r="I2019" s="25">
        <v>103</v>
      </c>
      <c r="J2019" s="23">
        <f>VLOOKUP(I2019,episodes!$A$1:$B$76,2,FALSE)</f>
        <v>4</v>
      </c>
      <c r="K2019" s="16" t="str">
        <f>VLOOKUP(I2019,episodes!$A$1:$E$81,5,FALSE)</f>
        <v>Where No Man Has Gone Before</v>
      </c>
      <c r="L2019" s="16">
        <f>VLOOKUP(I2019,episodes!$A$1:$D$81,3,FALSE)</f>
        <v>1</v>
      </c>
      <c r="M2019" s="16">
        <f>VLOOKUP(I2019,episodes!$A$1:$D$81,4,FALSE)</f>
        <v>3</v>
      </c>
      <c r="O2019" s="14">
        <v>0</v>
      </c>
      <c r="P2019" s="24">
        <f>LEN(E2019)+LEN(K2019)</f>
        <v>78</v>
      </c>
      <c r="Q2019" s="24">
        <f>COUNTIFS(B:B,B2018)</f>
        <v>94</v>
      </c>
      <c r="R2019" s="24">
        <f>COUNTIFS(D:D,D2019)</f>
        <v>1</v>
      </c>
    </row>
    <row r="2020" spans="1:18" x14ac:dyDescent="0.3">
      <c r="A2020" s="14">
        <v>2781</v>
      </c>
      <c r="B2020" s="21" t="s">
        <v>356</v>
      </c>
      <c r="C2020" s="21" t="s">
        <v>2672</v>
      </c>
      <c r="D2020" s="1" t="s">
        <v>2894</v>
      </c>
      <c r="E2020" s="1" t="s">
        <v>627</v>
      </c>
      <c r="F2020" s="21"/>
      <c r="G2020" s="14">
        <v>0</v>
      </c>
      <c r="H2020" s="14">
        <v>0</v>
      </c>
      <c r="I2020" s="22">
        <v>119</v>
      </c>
      <c r="J2020" s="23">
        <f>VLOOKUP(I2020,episodes!$A$1:$B$76,2,FALSE)</f>
        <v>20</v>
      </c>
      <c r="K2020" s="16" t="str">
        <f>VLOOKUP(I2020,episodes!$A$1:$E$81,5,FALSE)</f>
        <v>Tomorrow Is Yesterday</v>
      </c>
      <c r="L2020" s="16">
        <f>VLOOKUP(I2020,episodes!$A$1:$D$81,3,FALSE)</f>
        <v>1</v>
      </c>
      <c r="M2020" s="16">
        <f>VLOOKUP(I2020,episodes!$A$1:$D$81,4,FALSE)</f>
        <v>19</v>
      </c>
      <c r="O2020" s="14">
        <v>0</v>
      </c>
      <c r="P2020" s="24">
        <f>LEN(E2020)+LEN(K2020)</f>
        <v>113</v>
      </c>
      <c r="Q2020" s="24">
        <f>COUNTIFS(B:B,B2019)</f>
        <v>94</v>
      </c>
      <c r="R2020" s="24">
        <f>COUNTIFS(D:D,D2020)</f>
        <v>1</v>
      </c>
    </row>
    <row r="2021" spans="1:18" x14ac:dyDescent="0.3">
      <c r="A2021" s="14">
        <v>598</v>
      </c>
      <c r="B2021" s="21" t="s">
        <v>356</v>
      </c>
      <c r="C2021" s="21" t="s">
        <v>2672</v>
      </c>
      <c r="E2021" s="1" t="s">
        <v>1544</v>
      </c>
      <c r="F2021" s="21"/>
      <c r="G2021" s="14">
        <v>1</v>
      </c>
      <c r="H2021" s="14">
        <v>0</v>
      </c>
      <c r="I2021" s="25">
        <v>105</v>
      </c>
      <c r="J2021" s="23">
        <f>VLOOKUP(I2021,episodes!$A$1:$B$76,2,FALSE)</f>
        <v>6</v>
      </c>
      <c r="K2021" s="16" t="str">
        <f>VLOOKUP(I2021,episodes!$A$1:$E$81,5,FALSE)</f>
        <v>The Enemy Within</v>
      </c>
      <c r="L2021" s="16">
        <f>VLOOKUP(I2021,episodes!$A$1:$D$81,3,FALSE)</f>
        <v>1</v>
      </c>
      <c r="M2021" s="16">
        <f>VLOOKUP(I2021,episodes!$A$1:$D$81,4,FALSE)</f>
        <v>5</v>
      </c>
      <c r="O2021" s="14">
        <v>0</v>
      </c>
      <c r="P2021" s="24">
        <f>LEN(E2021)+LEN(K2021)</f>
        <v>114</v>
      </c>
      <c r="Q2021" s="24">
        <f>COUNTIFS(B:B,B2020)</f>
        <v>94</v>
      </c>
      <c r="R2021" s="24">
        <f>COUNTIFS(D:D,D2021)</f>
        <v>0</v>
      </c>
    </row>
    <row r="2022" spans="1:18" x14ac:dyDescent="0.3">
      <c r="A2022" s="14">
        <v>204</v>
      </c>
      <c r="B2022" s="21" t="s">
        <v>356</v>
      </c>
      <c r="C2022" s="21" t="s">
        <v>2672</v>
      </c>
      <c r="E2022" s="1" t="s">
        <v>1693</v>
      </c>
      <c r="F2022" s="21"/>
      <c r="G2022" s="14">
        <v>0</v>
      </c>
      <c r="H2022" s="14">
        <v>0</v>
      </c>
      <c r="I2022" s="22">
        <v>123</v>
      </c>
      <c r="J2022" s="23">
        <f>VLOOKUP(I2022,episodes!$A$1:$B$76,2,FALSE)</f>
        <v>24</v>
      </c>
      <c r="K2022" s="16" t="str">
        <f>VLOOKUP(I2022,episodes!$A$1:$E$81,5,FALSE)</f>
        <v>A Taste of Armageddon</v>
      </c>
      <c r="L2022" s="16">
        <f>VLOOKUP(I2022,episodes!$A$1:$D$81,3,FALSE)</f>
        <v>1</v>
      </c>
      <c r="M2022" s="16">
        <f>VLOOKUP(I2022,episodes!$A$1:$D$81,4,FALSE)</f>
        <v>23</v>
      </c>
      <c r="O2022" s="14">
        <v>0</v>
      </c>
      <c r="P2022" s="24">
        <f>LEN(E2022)+LEN(K2022)</f>
        <v>105</v>
      </c>
      <c r="Q2022" s="24">
        <f>COUNTIFS(B:B,B2021)</f>
        <v>94</v>
      </c>
      <c r="R2022" s="24">
        <f>COUNTIFS(D:D,D2022)</f>
        <v>0</v>
      </c>
    </row>
    <row r="2023" spans="1:18" x14ac:dyDescent="0.3">
      <c r="A2023" s="14">
        <v>297</v>
      </c>
      <c r="B2023" s="21" t="s">
        <v>356</v>
      </c>
      <c r="C2023" s="21" t="s">
        <v>2672</v>
      </c>
      <c r="E2023" s="1" t="s">
        <v>2135</v>
      </c>
      <c r="F2023" s="21"/>
      <c r="G2023" s="14">
        <v>0</v>
      </c>
      <c r="H2023" s="14">
        <v>0</v>
      </c>
      <c r="I2023" s="22">
        <v>119</v>
      </c>
      <c r="J2023" s="23">
        <f>VLOOKUP(I2023,episodes!$A$1:$B$76,2,FALSE)</f>
        <v>20</v>
      </c>
      <c r="K2023" s="16" t="str">
        <f>VLOOKUP(I2023,episodes!$A$1:$E$81,5,FALSE)</f>
        <v>Tomorrow Is Yesterday</v>
      </c>
      <c r="L2023" s="16">
        <f>VLOOKUP(I2023,episodes!$A$1:$D$81,3,FALSE)</f>
        <v>1</v>
      </c>
      <c r="M2023" s="16">
        <f>VLOOKUP(I2023,episodes!$A$1:$D$81,4,FALSE)</f>
        <v>19</v>
      </c>
      <c r="O2023" s="14">
        <v>0</v>
      </c>
      <c r="P2023" s="24">
        <f>LEN(E2023)+LEN(K2023)</f>
        <v>88</v>
      </c>
      <c r="Q2023" s="24">
        <f>COUNTIFS(B:B,#REF!)</f>
        <v>0</v>
      </c>
      <c r="R2023" s="24">
        <f>COUNTIFS(D:D,D2023)</f>
        <v>0</v>
      </c>
    </row>
    <row r="2024" spans="1:18" x14ac:dyDescent="0.3">
      <c r="A2024" s="14">
        <v>2739</v>
      </c>
      <c r="B2024" s="21" t="s">
        <v>356</v>
      </c>
      <c r="C2024" s="21" t="s">
        <v>2672</v>
      </c>
      <c r="E2024" s="1" t="s">
        <v>1735</v>
      </c>
      <c r="F2024" s="21"/>
      <c r="G2024" s="14">
        <v>0</v>
      </c>
      <c r="H2024" s="14">
        <v>0</v>
      </c>
      <c r="I2024" s="25">
        <v>109</v>
      </c>
      <c r="J2024" s="23">
        <f>VLOOKUP(I2024,episodes!$A$1:$B$76,2,FALSE)</f>
        <v>10</v>
      </c>
      <c r="K2024" s="16" t="str">
        <f>VLOOKUP(I2024,episodes!$A$1:$E$81,5,FALSE)</f>
        <v>Dagger of the Mind</v>
      </c>
      <c r="L2024" s="16">
        <f>VLOOKUP(I2024,episodes!$A$1:$D$81,3,FALSE)</f>
        <v>1</v>
      </c>
      <c r="M2024" s="16">
        <f>VLOOKUP(I2024,episodes!$A$1:$D$81,4,FALSE)</f>
        <v>9</v>
      </c>
      <c r="O2024" s="14">
        <v>0</v>
      </c>
      <c r="P2024" s="24">
        <f>LEN(E2024)+LEN(K2024)</f>
        <v>62</v>
      </c>
      <c r="Q2024" s="24">
        <f>COUNTIFS(B:B,B2023)</f>
        <v>94</v>
      </c>
      <c r="R2024" s="24">
        <f>COUNTIFS(D:D,D2024)</f>
        <v>0</v>
      </c>
    </row>
    <row r="2025" spans="1:18" x14ac:dyDescent="0.3">
      <c r="A2025" s="14">
        <v>2740</v>
      </c>
      <c r="B2025" s="21" t="s">
        <v>356</v>
      </c>
      <c r="C2025" s="21" t="s">
        <v>2672</v>
      </c>
      <c r="E2025" s="1" t="s">
        <v>1736</v>
      </c>
      <c r="F2025" s="21"/>
      <c r="G2025" s="14">
        <v>0</v>
      </c>
      <c r="H2025" s="14">
        <v>0</v>
      </c>
      <c r="I2025" s="25">
        <v>109</v>
      </c>
      <c r="J2025" s="23">
        <f>VLOOKUP(I2025,episodes!$A$1:$B$76,2,FALSE)</f>
        <v>10</v>
      </c>
      <c r="K2025" s="16" t="str">
        <f>VLOOKUP(I2025,episodes!$A$1:$E$81,5,FALSE)</f>
        <v>Dagger of the Mind</v>
      </c>
      <c r="L2025" s="16">
        <f>VLOOKUP(I2025,episodes!$A$1:$D$81,3,FALSE)</f>
        <v>1</v>
      </c>
      <c r="M2025" s="16">
        <f>VLOOKUP(I2025,episodes!$A$1:$D$81,4,FALSE)</f>
        <v>9</v>
      </c>
      <c r="O2025" s="14">
        <v>0</v>
      </c>
      <c r="P2025" s="24">
        <f>LEN(E2025)+LEN(K2025)</f>
        <v>64</v>
      </c>
      <c r="Q2025" s="24">
        <f>COUNTIFS(B:B,B2024)</f>
        <v>94</v>
      </c>
      <c r="R2025" s="24">
        <f>COUNTIFS(D:D,D2025)</f>
        <v>0</v>
      </c>
    </row>
    <row r="2026" spans="1:18" x14ac:dyDescent="0.3">
      <c r="A2026" s="14">
        <v>233</v>
      </c>
      <c r="B2026" s="21" t="s">
        <v>356</v>
      </c>
      <c r="C2026" s="21" t="s">
        <v>2672</v>
      </c>
      <c r="E2026" s="1" t="s">
        <v>1697</v>
      </c>
      <c r="F2026" s="21"/>
      <c r="G2026" s="14">
        <v>0</v>
      </c>
      <c r="H2026" s="14">
        <v>0</v>
      </c>
      <c r="I2026" s="25">
        <v>206</v>
      </c>
      <c r="J2026" s="23">
        <f>VLOOKUP(I2026,episodes!$A$1:$B$81,2,FALSE)</f>
        <v>36</v>
      </c>
      <c r="K2026" s="16" t="str">
        <f>VLOOKUP(I2026,episodes!$A$1:$E$81,5,FALSE)</f>
        <v>The Doomsday Machine</v>
      </c>
      <c r="L2026" s="16">
        <f>VLOOKUP(I2026,episodes!$A$1:$D$81,3,FALSE)</f>
        <v>2</v>
      </c>
      <c r="M2026" s="16">
        <f>VLOOKUP(I2026,episodes!$A$1:$D$81,4,FALSE)</f>
        <v>6</v>
      </c>
      <c r="O2026" s="14">
        <v>0</v>
      </c>
      <c r="P2026" s="24">
        <f>LEN(E2026)+LEN(K2026)</f>
        <v>126</v>
      </c>
      <c r="Q2026" s="24">
        <f>COUNTIFS(B:B,B2025)</f>
        <v>94</v>
      </c>
      <c r="R2026" s="24">
        <f>COUNTIFS(D:D,D2026)</f>
        <v>0</v>
      </c>
    </row>
    <row r="2027" spans="1:18" x14ac:dyDescent="0.3">
      <c r="A2027" s="14">
        <v>196</v>
      </c>
      <c r="B2027" s="21" t="s">
        <v>356</v>
      </c>
      <c r="C2027" s="21" t="s">
        <v>2672</v>
      </c>
      <c r="E2027" s="1" t="s">
        <v>590</v>
      </c>
      <c r="F2027" s="21"/>
      <c r="G2027" s="14">
        <v>0</v>
      </c>
      <c r="H2027" s="14">
        <v>0</v>
      </c>
      <c r="I2027" s="25">
        <v>106</v>
      </c>
      <c r="J2027" s="23">
        <f>VLOOKUP(I2027,episodes!$A$1:$B$76,2,FALSE)</f>
        <v>7</v>
      </c>
      <c r="K2027" s="16" t="str">
        <f>VLOOKUP(I2027,episodes!$A$1:$E$81,5,FALSE)</f>
        <v>Mudd's Women</v>
      </c>
      <c r="L2027" s="16">
        <f>VLOOKUP(I2027,episodes!$A$1:$D$81,3,FALSE)</f>
        <v>1</v>
      </c>
      <c r="M2027" s="16">
        <f>VLOOKUP(I2027,episodes!$A$1:$D$81,4,FALSE)</f>
        <v>6</v>
      </c>
      <c r="O2027" s="14">
        <v>0</v>
      </c>
      <c r="P2027" s="24">
        <f>LEN(E2027)+LEN(K2027)</f>
        <v>102</v>
      </c>
      <c r="Q2027" s="24"/>
      <c r="R2027" s="24"/>
    </row>
    <row r="2028" spans="1:18" x14ac:dyDescent="0.3">
      <c r="A2028" s="14">
        <v>2727</v>
      </c>
      <c r="B2028" s="21" t="s">
        <v>356</v>
      </c>
      <c r="C2028" s="21" t="s">
        <v>2672</v>
      </c>
      <c r="E2028" s="1" t="s">
        <v>1227</v>
      </c>
      <c r="F2028" s="21"/>
      <c r="G2028" s="14">
        <v>0</v>
      </c>
      <c r="H2028" s="14">
        <v>0</v>
      </c>
      <c r="I2028" s="25">
        <v>105</v>
      </c>
      <c r="J2028" s="23">
        <f>VLOOKUP(I2028,episodes!$A$1:$B$76,2,FALSE)</f>
        <v>6</v>
      </c>
      <c r="K2028" s="16" t="str">
        <f>VLOOKUP(I2028,episodes!$A$1:$E$81,5,FALSE)</f>
        <v>The Enemy Within</v>
      </c>
      <c r="L2028" s="16">
        <f>VLOOKUP(I2028,episodes!$A$1:$D$81,3,FALSE)</f>
        <v>1</v>
      </c>
      <c r="M2028" s="16">
        <f>VLOOKUP(I2028,episodes!$A$1:$D$81,4,FALSE)</f>
        <v>5</v>
      </c>
      <c r="O2028" s="14">
        <v>0</v>
      </c>
      <c r="P2028" s="24">
        <f>LEN(E2028)+LEN(K2028)</f>
        <v>94</v>
      </c>
      <c r="Q2028" s="24">
        <f>COUNTIFS(B:B,B2027)</f>
        <v>94</v>
      </c>
      <c r="R2028" s="24">
        <f>COUNTIFS(D:D,D2028)</f>
        <v>0</v>
      </c>
    </row>
    <row r="2029" spans="1:18" x14ac:dyDescent="0.3">
      <c r="A2029" s="14">
        <v>2373</v>
      </c>
      <c r="B2029" s="21" t="s">
        <v>356</v>
      </c>
      <c r="C2029" s="21" t="s">
        <v>2672</v>
      </c>
      <c r="E2029" s="1" t="s">
        <v>593</v>
      </c>
      <c r="F2029" s="21"/>
      <c r="G2029" s="14">
        <v>1</v>
      </c>
      <c r="H2029" s="14">
        <v>0</v>
      </c>
      <c r="I2029" s="22">
        <v>116</v>
      </c>
      <c r="J2029" s="23">
        <f>VLOOKUP(I2029,episodes!$A$1:$B$76,2,FALSE)</f>
        <v>17</v>
      </c>
      <c r="K2029" s="16" t="str">
        <f>VLOOKUP(I2029,episodes!$A$1:$E$81,5,FALSE)</f>
        <v>The Galileo Seven</v>
      </c>
      <c r="L2029" s="16">
        <f>VLOOKUP(I2029,episodes!$A$1:$D$81,3,FALSE)</f>
        <v>1</v>
      </c>
      <c r="M2029" s="16">
        <f>VLOOKUP(I2029,episodes!$A$1:$D$81,4,FALSE)</f>
        <v>16</v>
      </c>
      <c r="O2029" s="14">
        <v>0</v>
      </c>
      <c r="P2029" s="24">
        <f>LEN(E2029)+LEN(K2029)</f>
        <v>126</v>
      </c>
      <c r="Q2029" s="24">
        <f>COUNTIFS(B:B,#REF!)</f>
        <v>0</v>
      </c>
      <c r="R2029" s="24">
        <f>COUNTIFS(D:D,D2029)</f>
        <v>0</v>
      </c>
    </row>
    <row r="2030" spans="1:18" x14ac:dyDescent="0.3">
      <c r="A2030" s="14">
        <v>1769</v>
      </c>
      <c r="B2030" s="21" t="s">
        <v>356</v>
      </c>
      <c r="C2030" s="21" t="s">
        <v>2672</v>
      </c>
      <c r="E2030" s="1" t="s">
        <v>1104</v>
      </c>
      <c r="F2030" s="21"/>
      <c r="G2030" s="14">
        <v>0</v>
      </c>
      <c r="H2030" s="14">
        <v>0</v>
      </c>
      <c r="I2030" s="25">
        <v>106</v>
      </c>
      <c r="J2030" s="23">
        <f>VLOOKUP(I2030,episodes!$A$1:$B$76,2,FALSE)</f>
        <v>7</v>
      </c>
      <c r="K2030" s="16" t="str">
        <f>VLOOKUP(I2030,episodes!$A$1:$E$81,5,FALSE)</f>
        <v>Mudd's Women</v>
      </c>
      <c r="L2030" s="16">
        <f>VLOOKUP(I2030,episodes!$A$1:$D$81,3,FALSE)</f>
        <v>1</v>
      </c>
      <c r="M2030" s="16">
        <f>VLOOKUP(I2030,episodes!$A$1:$D$81,4,FALSE)</f>
        <v>6</v>
      </c>
      <c r="O2030" s="14">
        <v>0</v>
      </c>
      <c r="P2030" s="24">
        <f>LEN(E2030)+LEN(K2030)</f>
        <v>83</v>
      </c>
      <c r="Q2030" s="24">
        <f>COUNTIFS(B:B,B2029)</f>
        <v>94</v>
      </c>
      <c r="R2030" s="24">
        <f>COUNTIFS(D:D,D2030)</f>
        <v>0</v>
      </c>
    </row>
    <row r="2031" spans="1:18" x14ac:dyDescent="0.3">
      <c r="A2031" s="14">
        <v>235</v>
      </c>
      <c r="B2031" s="21" t="s">
        <v>356</v>
      </c>
      <c r="C2031" s="21" t="s">
        <v>2672</v>
      </c>
      <c r="E2031" s="1" t="s">
        <v>1620</v>
      </c>
      <c r="F2031" s="21"/>
      <c r="G2031" s="14">
        <v>0</v>
      </c>
      <c r="H2031" s="14">
        <v>0</v>
      </c>
      <c r="I2031" s="22">
        <v>207</v>
      </c>
      <c r="J2031" s="23">
        <f>VLOOKUP(I2031,episodes!$A$1:$B$81,2,FALSE)</f>
        <v>37</v>
      </c>
      <c r="K2031" s="16" t="str">
        <f>VLOOKUP(I2031,episodes!$A$1:$E$81,5,FALSE)</f>
        <v>Catspaw</v>
      </c>
      <c r="L2031" s="16">
        <f>VLOOKUP(I2031,episodes!$A$1:$D$81,3,FALSE)</f>
        <v>2</v>
      </c>
      <c r="M2031" s="16">
        <f>VLOOKUP(I2031,episodes!$A$1:$D$81,4,FALSE)</f>
        <v>7</v>
      </c>
      <c r="O2031" s="14">
        <v>0</v>
      </c>
      <c r="P2031" s="24">
        <f>LEN(E2031)+LEN(K2031)</f>
        <v>52</v>
      </c>
      <c r="Q2031" s="24">
        <f>COUNTIFS(B:B,B2030)</f>
        <v>94</v>
      </c>
      <c r="R2031" s="24">
        <f>COUNTIFS(D:D,D2031)</f>
        <v>0</v>
      </c>
    </row>
    <row r="2032" spans="1:18" x14ac:dyDescent="0.3">
      <c r="A2032" s="14">
        <v>426</v>
      </c>
      <c r="B2032" s="21" t="s">
        <v>356</v>
      </c>
      <c r="C2032" s="21" t="s">
        <v>2672</v>
      </c>
      <c r="E2032" s="1" t="s">
        <v>1691</v>
      </c>
      <c r="F2032" s="21"/>
      <c r="G2032" s="14">
        <v>0</v>
      </c>
      <c r="H2032" s="14">
        <v>0</v>
      </c>
      <c r="I2032" s="22">
        <v>122</v>
      </c>
      <c r="J2032" s="23">
        <f>VLOOKUP(I2032,episodes!$A$1:$B$76,2,FALSE)</f>
        <v>23</v>
      </c>
      <c r="K2032" s="16" t="str">
        <f>VLOOKUP(I2032,episodes!$A$1:$E$81,5,FALSE)</f>
        <v>Space Seed</v>
      </c>
      <c r="L2032" s="16">
        <f>VLOOKUP(I2032,episodes!$A$1:$D$81,3,FALSE)</f>
        <v>1</v>
      </c>
      <c r="M2032" s="16">
        <f>VLOOKUP(I2032,episodes!$A$1:$D$81,4,FALSE)</f>
        <v>22</v>
      </c>
      <c r="O2032" s="14">
        <v>0</v>
      </c>
      <c r="P2032" s="24">
        <f>LEN(E2032)+LEN(K2032)</f>
        <v>115</v>
      </c>
      <c r="Q2032" s="24">
        <f>COUNTIFS(B:B,B2031)</f>
        <v>94</v>
      </c>
      <c r="R2032" s="24">
        <f>COUNTIFS(D:D,D2032)</f>
        <v>0</v>
      </c>
    </row>
    <row r="2033" spans="1:18" x14ac:dyDescent="0.3">
      <c r="A2033" s="14">
        <v>427</v>
      </c>
      <c r="B2033" s="21" t="s">
        <v>356</v>
      </c>
      <c r="C2033" s="21" t="s">
        <v>2672</v>
      </c>
      <c r="E2033" s="1" t="s">
        <v>687</v>
      </c>
      <c r="F2033" s="21"/>
      <c r="G2033" s="14">
        <v>0</v>
      </c>
      <c r="H2033" s="14">
        <v>0</v>
      </c>
      <c r="I2033" s="22">
        <v>122</v>
      </c>
      <c r="J2033" s="23">
        <f>VLOOKUP(I2033,episodes!$A$1:$B$76,2,FALSE)</f>
        <v>23</v>
      </c>
      <c r="K2033" s="16" t="str">
        <f>VLOOKUP(I2033,episodes!$A$1:$E$81,5,FALSE)</f>
        <v>Space Seed</v>
      </c>
      <c r="L2033" s="16">
        <f>VLOOKUP(I2033,episodes!$A$1:$D$81,3,FALSE)</f>
        <v>1</v>
      </c>
      <c r="M2033" s="16">
        <f>VLOOKUP(I2033,episodes!$A$1:$D$81,4,FALSE)</f>
        <v>22</v>
      </c>
      <c r="O2033" s="14">
        <v>0</v>
      </c>
      <c r="P2033" s="24">
        <f>LEN(E2033)+LEN(K2033)</f>
        <v>84</v>
      </c>
      <c r="Q2033" s="24">
        <f>COUNTIFS(B:B,B2032)</f>
        <v>94</v>
      </c>
      <c r="R2033" s="24">
        <f>COUNTIFS(D:D,D2033)</f>
        <v>0</v>
      </c>
    </row>
    <row r="2034" spans="1:18" x14ac:dyDescent="0.3">
      <c r="A2034" s="14">
        <v>1059</v>
      </c>
      <c r="B2034" s="21" t="s">
        <v>356</v>
      </c>
      <c r="C2034" s="21" t="s">
        <v>2672</v>
      </c>
      <c r="E2034" s="1" t="s">
        <v>811</v>
      </c>
      <c r="F2034" s="21"/>
      <c r="G2034" s="14">
        <v>0</v>
      </c>
      <c r="H2034" s="14">
        <v>1</v>
      </c>
      <c r="I2034" s="22">
        <v>201</v>
      </c>
      <c r="J2034" s="23">
        <f>VLOOKUP(I2034,episodes!$A$1:$B$76,2,FALSE)</f>
        <v>31</v>
      </c>
      <c r="K2034" s="16" t="str">
        <f>VLOOKUP(I2034,episodes!$A$1:$E$81,5,FALSE)</f>
        <v>Amok Time</v>
      </c>
      <c r="L2034" s="16">
        <f>VLOOKUP(I2034,episodes!$A$1:$D$81,3,FALSE)</f>
        <v>2</v>
      </c>
      <c r="M2034" s="16">
        <f>VLOOKUP(I2034,episodes!$A$1:$D$81,4,FALSE)</f>
        <v>1</v>
      </c>
      <c r="O2034" s="14">
        <v>0</v>
      </c>
      <c r="P2034" s="24">
        <f>LEN(E2034)+LEN(K2034)</f>
        <v>78</v>
      </c>
      <c r="Q2034" s="24"/>
      <c r="R2034" s="24"/>
    </row>
    <row r="2035" spans="1:18" x14ac:dyDescent="0.3">
      <c r="A2035" s="14">
        <v>1104</v>
      </c>
      <c r="B2035" s="21" t="s">
        <v>356</v>
      </c>
      <c r="C2035" s="21" t="s">
        <v>2672</v>
      </c>
      <c r="E2035" s="1" t="s">
        <v>592</v>
      </c>
      <c r="F2035" s="21"/>
      <c r="G2035" s="14">
        <v>0</v>
      </c>
      <c r="H2035" s="14">
        <v>0</v>
      </c>
      <c r="I2035" s="25">
        <v>111</v>
      </c>
      <c r="J2035" s="23">
        <f>VLOOKUP(I2035,episodes!$A$1:$B$76,2,FALSE)</f>
        <v>12</v>
      </c>
      <c r="K2035" s="16" t="str">
        <f>VLOOKUP(I2035,episodes!$A$1:$E$81,5,FALSE)</f>
        <v>The Menagerie, Part I</v>
      </c>
      <c r="L2035" s="16">
        <f>VLOOKUP(I2035,episodes!$A$1:$D$81,3,FALSE)</f>
        <v>1</v>
      </c>
      <c r="M2035" s="16">
        <f>VLOOKUP(I2035,episodes!$A$1:$D$81,4,FALSE)</f>
        <v>11</v>
      </c>
      <c r="O2035" s="14">
        <v>0</v>
      </c>
      <c r="P2035" s="24">
        <f>LEN(E2035)+LEN(K2035)</f>
        <v>97</v>
      </c>
      <c r="Q2035" s="24"/>
      <c r="R2035" s="24"/>
    </row>
    <row r="2036" spans="1:18" x14ac:dyDescent="0.3">
      <c r="A2036" s="14">
        <v>1150</v>
      </c>
      <c r="B2036" s="21" t="s">
        <v>356</v>
      </c>
      <c r="C2036" s="21" t="s">
        <v>2672</v>
      </c>
      <c r="E2036" s="1" t="s">
        <v>1737</v>
      </c>
      <c r="F2036" s="21"/>
      <c r="G2036" s="14">
        <v>0</v>
      </c>
      <c r="H2036" s="14">
        <v>0</v>
      </c>
      <c r="I2036" s="25">
        <v>109</v>
      </c>
      <c r="J2036" s="23">
        <f>VLOOKUP(I2036,episodes!$A$1:$B$76,2,FALSE)</f>
        <v>10</v>
      </c>
      <c r="K2036" s="16" t="str">
        <f>VLOOKUP(I2036,episodes!$A$1:$E$81,5,FALSE)</f>
        <v>Dagger of the Mind</v>
      </c>
      <c r="L2036" s="16">
        <f>VLOOKUP(I2036,episodes!$A$1:$D$81,3,FALSE)</f>
        <v>1</v>
      </c>
      <c r="M2036" s="16">
        <f>VLOOKUP(I2036,episodes!$A$1:$D$81,4,FALSE)</f>
        <v>9</v>
      </c>
      <c r="O2036" s="14">
        <v>0</v>
      </c>
      <c r="P2036" s="24">
        <f>LEN(E2036)+LEN(K2036)</f>
        <v>80</v>
      </c>
      <c r="Q2036" s="24"/>
      <c r="R2036" s="24"/>
    </row>
    <row r="2037" spans="1:18" x14ac:dyDescent="0.3">
      <c r="A2037" s="14">
        <v>1138</v>
      </c>
      <c r="B2037" s="21" t="s">
        <v>356</v>
      </c>
      <c r="C2037" s="21" t="s">
        <v>2672</v>
      </c>
      <c r="E2037" s="1" t="s">
        <v>1574</v>
      </c>
      <c r="F2037" s="21"/>
      <c r="G2037" s="14">
        <v>0</v>
      </c>
      <c r="H2037" s="14">
        <v>0</v>
      </c>
      <c r="I2037" s="25">
        <v>106</v>
      </c>
      <c r="J2037" s="23">
        <f>VLOOKUP(I2037,episodes!$A$1:$B$76,2,FALSE)</f>
        <v>7</v>
      </c>
      <c r="K2037" s="16" t="str">
        <f>VLOOKUP(I2037,episodes!$A$1:$E$81,5,FALSE)</f>
        <v>Mudd's Women</v>
      </c>
      <c r="L2037" s="16">
        <f>VLOOKUP(I2037,episodes!$A$1:$D$81,3,FALSE)</f>
        <v>1</v>
      </c>
      <c r="M2037" s="16">
        <f>VLOOKUP(I2037,episodes!$A$1:$D$81,4,FALSE)</f>
        <v>6</v>
      </c>
      <c r="O2037" s="14">
        <v>0</v>
      </c>
      <c r="P2037" s="24">
        <f>LEN(E2037)+LEN(K2037)</f>
        <v>86</v>
      </c>
      <c r="Q2037" s="24"/>
      <c r="R2037" s="24"/>
    </row>
    <row r="2038" spans="1:18" x14ac:dyDescent="0.3">
      <c r="A2038" s="14">
        <v>1055</v>
      </c>
      <c r="B2038" s="21" t="s">
        <v>356</v>
      </c>
      <c r="C2038" s="21" t="s">
        <v>2672</v>
      </c>
      <c r="E2038" s="1" t="s">
        <v>674</v>
      </c>
      <c r="F2038" s="21"/>
      <c r="G2038" s="14">
        <v>0</v>
      </c>
      <c r="H2038" s="14">
        <v>1</v>
      </c>
      <c r="I2038" s="25">
        <v>101</v>
      </c>
      <c r="J2038" s="23">
        <f>VLOOKUP(I2038,episodes!$A$1:$B$76,2,FALSE)</f>
        <v>2</v>
      </c>
      <c r="K2038" s="16" t="str">
        <f>VLOOKUP(I2038,episodes!$A$1:$E$81,5,FALSE)</f>
        <v>The Man Trap</v>
      </c>
      <c r="L2038" s="16">
        <f>VLOOKUP(I2038,episodes!$A$1:$D$81,3,FALSE)</f>
        <v>1</v>
      </c>
      <c r="M2038" s="16">
        <f>VLOOKUP(I2038,episodes!$A$1:$D$81,4,FALSE)</f>
        <v>1</v>
      </c>
      <c r="O2038" s="14">
        <v>0</v>
      </c>
      <c r="P2038" s="24">
        <f>LEN(E2038)+LEN(K2038)</f>
        <v>62</v>
      </c>
      <c r="Q2038" s="24"/>
      <c r="R2038" s="24"/>
    </row>
    <row r="2039" spans="1:18" x14ac:dyDescent="0.3">
      <c r="A2039" s="14">
        <v>992</v>
      </c>
      <c r="B2039" s="21" t="s">
        <v>356</v>
      </c>
      <c r="C2039" s="21" t="s">
        <v>2672</v>
      </c>
      <c r="E2039" s="1" t="s">
        <v>1172</v>
      </c>
      <c r="F2039" s="21"/>
      <c r="G2039" s="14">
        <v>0</v>
      </c>
      <c r="H2039" s="14">
        <v>2</v>
      </c>
      <c r="I2039" s="25">
        <v>107</v>
      </c>
      <c r="J2039" s="23">
        <f>VLOOKUP(I2039,episodes!$A$1:$B$76,2,FALSE)</f>
        <v>8</v>
      </c>
      <c r="K2039" s="16" t="str">
        <f>VLOOKUP(I2039,episodes!$A$1:$E$81,5,FALSE)</f>
        <v>What Are Little Girls Made Of?</v>
      </c>
      <c r="L2039" s="16">
        <f>VLOOKUP(I2039,episodes!$A$1:$D$81,3,FALSE)</f>
        <v>1</v>
      </c>
      <c r="M2039" s="16">
        <f>VLOOKUP(I2039,episodes!$A$1:$D$81,4,FALSE)</f>
        <v>7</v>
      </c>
      <c r="O2039" s="14">
        <v>0</v>
      </c>
      <c r="P2039" s="24">
        <f>LEN(E2039)+LEN(K2039)</f>
        <v>117</v>
      </c>
      <c r="Q2039" s="24"/>
      <c r="R2039" s="24"/>
    </row>
    <row r="2040" spans="1:18" x14ac:dyDescent="0.3">
      <c r="A2040" s="14">
        <v>975</v>
      </c>
      <c r="B2040" s="21" t="s">
        <v>356</v>
      </c>
      <c r="C2040" s="21" t="s">
        <v>2672</v>
      </c>
      <c r="E2040" s="1" t="s">
        <v>1181</v>
      </c>
      <c r="F2040" s="21"/>
      <c r="G2040" s="14">
        <v>1</v>
      </c>
      <c r="H2040" s="14">
        <v>0</v>
      </c>
      <c r="I2040" s="25">
        <v>101</v>
      </c>
      <c r="J2040" s="23">
        <f>VLOOKUP(I2040,episodes!$A$1:$B$76,2,FALSE)</f>
        <v>2</v>
      </c>
      <c r="K2040" s="16" t="str">
        <f>VLOOKUP(I2040,episodes!$A$1:$E$81,5,FALSE)</f>
        <v>The Man Trap</v>
      </c>
      <c r="L2040" s="16">
        <f>VLOOKUP(I2040,episodes!$A$1:$D$81,3,FALSE)</f>
        <v>1</v>
      </c>
      <c r="M2040" s="16">
        <f>VLOOKUP(I2040,episodes!$A$1:$D$81,4,FALSE)</f>
        <v>1</v>
      </c>
      <c r="O2040" s="14">
        <v>0</v>
      </c>
      <c r="P2040" s="24">
        <f>LEN(E2040)+LEN(K2040)</f>
        <v>92</v>
      </c>
      <c r="Q2040" s="24">
        <f>COUNTIFS(B:B,#REF!)</f>
        <v>0</v>
      </c>
      <c r="R2040" s="24">
        <f>COUNTIFS(D:D,D2040)</f>
        <v>0</v>
      </c>
    </row>
    <row r="2041" spans="1:18" x14ac:dyDescent="0.3">
      <c r="A2041" s="14">
        <v>1219</v>
      </c>
      <c r="B2041" s="21" t="s">
        <v>356</v>
      </c>
      <c r="C2041" s="21" t="s">
        <v>2672</v>
      </c>
      <c r="E2041" s="1" t="s">
        <v>689</v>
      </c>
      <c r="F2041" s="21"/>
      <c r="G2041" s="14">
        <v>1</v>
      </c>
      <c r="H2041" s="14">
        <v>0</v>
      </c>
      <c r="I2041" s="26">
        <v>126</v>
      </c>
      <c r="J2041" s="23">
        <f>VLOOKUP(I2041,episodes!$A$1:$B$76,2,FALSE)</f>
        <v>27</v>
      </c>
      <c r="K2041" s="16" t="str">
        <f>VLOOKUP(I2041,episodes!$A$1:$E$81,5,FALSE)</f>
        <v>Errand of Mercy</v>
      </c>
      <c r="L2041" s="16">
        <f>VLOOKUP(I2041,episodes!$A$1:$D$81,3,FALSE)</f>
        <v>1</v>
      </c>
      <c r="M2041" s="16">
        <f>VLOOKUP(I2041,episodes!$A$1:$D$81,4,FALSE)</f>
        <v>26</v>
      </c>
      <c r="O2041" s="14">
        <v>0</v>
      </c>
      <c r="P2041" s="24">
        <f>LEN(E2041)+LEN(K2041)</f>
        <v>67</v>
      </c>
      <c r="Q2041" s="24">
        <f>COUNTIFS(B:B,#REF!)</f>
        <v>0</v>
      </c>
      <c r="R2041" s="24">
        <f>COUNTIFS(D:D,D2041)</f>
        <v>0</v>
      </c>
    </row>
    <row r="2042" spans="1:18" x14ac:dyDescent="0.3">
      <c r="A2042" s="14">
        <v>1341</v>
      </c>
      <c r="B2042" s="21" t="s">
        <v>356</v>
      </c>
      <c r="C2042" s="21" t="s">
        <v>2672</v>
      </c>
      <c r="E2042" s="1" t="s">
        <v>625</v>
      </c>
      <c r="F2042" s="21"/>
      <c r="G2042" s="14">
        <v>0</v>
      </c>
      <c r="H2042" s="14">
        <v>1</v>
      </c>
      <c r="I2042" s="22">
        <v>119</v>
      </c>
      <c r="J2042" s="23">
        <f>VLOOKUP(I2042,episodes!$A$1:$B$76,2,FALSE)</f>
        <v>20</v>
      </c>
      <c r="K2042" s="16" t="str">
        <f>VLOOKUP(I2042,episodes!$A$1:$E$81,5,FALSE)</f>
        <v>Tomorrow Is Yesterday</v>
      </c>
      <c r="L2042" s="16">
        <f>VLOOKUP(I2042,episodes!$A$1:$D$81,3,FALSE)</f>
        <v>1</v>
      </c>
      <c r="M2042" s="16">
        <f>VLOOKUP(I2042,episodes!$A$1:$D$81,4,FALSE)</f>
        <v>19</v>
      </c>
      <c r="O2042" s="14">
        <v>0</v>
      </c>
      <c r="P2042" s="24">
        <f>LEN(E2042)+LEN(K2042)</f>
        <v>99</v>
      </c>
      <c r="Q2042" s="24"/>
      <c r="R2042" s="24"/>
    </row>
    <row r="2043" spans="1:18" x14ac:dyDescent="0.3">
      <c r="A2043" s="14">
        <v>990</v>
      </c>
      <c r="B2043" s="21" t="s">
        <v>356</v>
      </c>
      <c r="C2043" s="21" t="s">
        <v>2672</v>
      </c>
      <c r="E2043" s="1" t="s">
        <v>1686</v>
      </c>
      <c r="F2043" s="21"/>
      <c r="G2043" s="14">
        <v>0</v>
      </c>
      <c r="H2043" s="14">
        <v>0</v>
      </c>
      <c r="I2043" s="22">
        <v>115</v>
      </c>
      <c r="J2043" s="23">
        <f>VLOOKUP(I2043,episodes!$A$1:$B$76,2,FALSE)</f>
        <v>16</v>
      </c>
      <c r="K2043" s="16" t="str">
        <f>VLOOKUP(I2043,episodes!$A$1:$E$81,5,FALSE)</f>
        <v>Shore Leave</v>
      </c>
      <c r="L2043" s="16">
        <f>VLOOKUP(I2043,episodes!$A$1:$D$81,3,FALSE)</f>
        <v>1</v>
      </c>
      <c r="M2043" s="16">
        <f>VLOOKUP(I2043,episodes!$A$1:$D$81,4,FALSE)</f>
        <v>15</v>
      </c>
      <c r="O2043" s="14">
        <v>0</v>
      </c>
      <c r="P2043" s="24">
        <f>LEN(E2043)+LEN(K2043)</f>
        <v>112</v>
      </c>
      <c r="Q2043" s="24"/>
      <c r="R2043" s="24"/>
    </row>
    <row r="2044" spans="1:18" x14ac:dyDescent="0.3">
      <c r="A2044" s="14">
        <v>952</v>
      </c>
      <c r="B2044" s="21" t="s">
        <v>356</v>
      </c>
      <c r="C2044" s="21" t="s">
        <v>2672</v>
      </c>
      <c r="E2044" s="1" t="s">
        <v>939</v>
      </c>
      <c r="F2044" s="21"/>
      <c r="G2044" s="14">
        <v>1</v>
      </c>
      <c r="H2044" s="14">
        <v>0</v>
      </c>
      <c r="I2044" s="25">
        <v>206</v>
      </c>
      <c r="J2044" s="23">
        <f>VLOOKUP(I2044,episodes!$A$1:$B$81,2,FALSE)</f>
        <v>36</v>
      </c>
      <c r="K2044" s="16" t="str">
        <f>VLOOKUP(I2044,episodes!$A$1:$E$81,5,FALSE)</f>
        <v>The Doomsday Machine</v>
      </c>
      <c r="L2044" s="16">
        <f>VLOOKUP(I2044,episodes!$A$1:$D$81,3,FALSE)</f>
        <v>2</v>
      </c>
      <c r="M2044" s="16">
        <f>VLOOKUP(I2044,episodes!$A$1:$D$81,4,FALSE)</f>
        <v>6</v>
      </c>
      <c r="O2044" s="14">
        <v>0</v>
      </c>
      <c r="P2044" s="24">
        <f>LEN(E2044)+LEN(K2044)</f>
        <v>107</v>
      </c>
      <c r="Q2044" s="24">
        <f>COUNTIFS(B:B,B2043)</f>
        <v>94</v>
      </c>
      <c r="R2044" s="24">
        <f>COUNTIFS(D:D,D2044)</f>
        <v>0</v>
      </c>
    </row>
    <row r="2045" spans="1:18" x14ac:dyDescent="0.3">
      <c r="A2045" s="14">
        <v>599</v>
      </c>
      <c r="B2045" s="21" t="s">
        <v>356</v>
      </c>
      <c r="C2045" s="21" t="s">
        <v>2672</v>
      </c>
      <c r="E2045" s="1" t="s">
        <v>1545</v>
      </c>
      <c r="F2045" s="21"/>
      <c r="G2045" s="14">
        <v>1</v>
      </c>
      <c r="H2045" s="14">
        <v>0</v>
      </c>
      <c r="I2045" s="25">
        <v>105</v>
      </c>
      <c r="J2045" s="23">
        <f>VLOOKUP(I2045,episodes!$A$1:$B$76,2,FALSE)</f>
        <v>6</v>
      </c>
      <c r="K2045" s="16" t="str">
        <f>VLOOKUP(I2045,episodes!$A$1:$E$81,5,FALSE)</f>
        <v>The Enemy Within</v>
      </c>
      <c r="L2045" s="16">
        <f>VLOOKUP(I2045,episodes!$A$1:$D$81,3,FALSE)</f>
        <v>1</v>
      </c>
      <c r="M2045" s="16">
        <f>VLOOKUP(I2045,episodes!$A$1:$D$81,4,FALSE)</f>
        <v>5</v>
      </c>
      <c r="O2045" s="14">
        <v>0</v>
      </c>
      <c r="P2045" s="24">
        <f>LEN(E2045)+LEN(K2045)</f>
        <v>111</v>
      </c>
      <c r="Q2045" s="24">
        <f>COUNTIFS(B:B,B2044)</f>
        <v>94</v>
      </c>
      <c r="R2045" s="24">
        <f>COUNTIFS(D:D,D2045)</f>
        <v>0</v>
      </c>
    </row>
    <row r="2046" spans="1:18" x14ac:dyDescent="0.3">
      <c r="A2046" s="14">
        <v>953</v>
      </c>
      <c r="B2046" s="21" t="s">
        <v>356</v>
      </c>
      <c r="C2046" s="21" t="s">
        <v>2672</v>
      </c>
      <c r="E2046" s="1" t="s">
        <v>2163</v>
      </c>
      <c r="F2046" s="21"/>
      <c r="G2046" s="14">
        <v>1</v>
      </c>
      <c r="H2046" s="14">
        <v>0</v>
      </c>
      <c r="I2046" s="25">
        <v>206</v>
      </c>
      <c r="J2046" s="23">
        <f>VLOOKUP(I2046,episodes!$A$1:$B$81,2,FALSE)</f>
        <v>36</v>
      </c>
      <c r="K2046" s="16" t="str">
        <f>VLOOKUP(I2046,episodes!$A$1:$E$81,5,FALSE)</f>
        <v>The Doomsday Machine</v>
      </c>
      <c r="L2046" s="16">
        <f>VLOOKUP(I2046,episodes!$A$1:$D$81,3,FALSE)</f>
        <v>2</v>
      </c>
      <c r="M2046" s="16">
        <f>VLOOKUP(I2046,episodes!$A$1:$D$81,4,FALSE)</f>
        <v>6</v>
      </c>
      <c r="O2046" s="14">
        <v>0</v>
      </c>
      <c r="P2046" s="24">
        <f>LEN(E2046)+LEN(K2046)</f>
        <v>94</v>
      </c>
      <c r="Q2046" s="24">
        <f>COUNTIFS(B:B,B2045)</f>
        <v>94</v>
      </c>
      <c r="R2046" s="24">
        <f>COUNTIFS(D:D,D2046)</f>
        <v>0</v>
      </c>
    </row>
    <row r="2047" spans="1:18" x14ac:dyDescent="0.3">
      <c r="A2047" s="14">
        <v>870</v>
      </c>
      <c r="B2047" s="21" t="s">
        <v>356</v>
      </c>
      <c r="C2047" s="21" t="s">
        <v>2672</v>
      </c>
      <c r="E2047" s="1" t="s">
        <v>1695</v>
      </c>
      <c r="F2047" s="21"/>
      <c r="G2047" s="14">
        <v>1</v>
      </c>
      <c r="H2047" s="14">
        <v>0</v>
      </c>
      <c r="I2047" s="22">
        <v>127</v>
      </c>
      <c r="J2047" s="23">
        <f>VLOOKUP(I2047,episodes!$A$1:$B$76,2,FALSE)</f>
        <v>28</v>
      </c>
      <c r="K2047" s="16" t="str">
        <f>VLOOKUP(I2047,episodes!$A$1:$E$81,5,FALSE)</f>
        <v>The Alternative Factor</v>
      </c>
      <c r="L2047" s="16">
        <f>VLOOKUP(I2047,episodes!$A$1:$D$81,3,FALSE)</f>
        <v>1</v>
      </c>
      <c r="M2047" s="16">
        <f>VLOOKUP(I2047,episodes!$A$1:$D$81,4,FALSE)</f>
        <v>27</v>
      </c>
      <c r="O2047" s="14">
        <v>0</v>
      </c>
      <c r="P2047" s="24">
        <f>LEN(E2047)+LEN(K2047)</f>
        <v>77</v>
      </c>
      <c r="Q2047" s="24">
        <f>COUNTIFS(B:B,#REF!)</f>
        <v>0</v>
      </c>
      <c r="R2047" s="24">
        <f>COUNTIFS(D:D,D2047)</f>
        <v>0</v>
      </c>
    </row>
    <row r="2048" spans="1:18" x14ac:dyDescent="0.3">
      <c r="A2048" s="14">
        <v>1313</v>
      </c>
      <c r="B2048" s="21" t="s">
        <v>356</v>
      </c>
      <c r="C2048" s="21" t="s">
        <v>2672</v>
      </c>
      <c r="E2048" s="1" t="s">
        <v>691</v>
      </c>
      <c r="F2048" s="21"/>
      <c r="G2048" s="14">
        <v>1</v>
      </c>
      <c r="H2048" s="14">
        <v>0</v>
      </c>
      <c r="I2048" s="22">
        <v>129</v>
      </c>
      <c r="J2048" s="23">
        <f>VLOOKUP(I2048,episodes!$A$1:$B$76,2,FALSE)</f>
        <v>30</v>
      </c>
      <c r="K2048" s="16" t="str">
        <f>VLOOKUP(I2048,episodes!$A$1:$E$81,5,FALSE)</f>
        <v>Operation: Annihilate!</v>
      </c>
      <c r="L2048" s="16">
        <f>VLOOKUP(I2048,episodes!$A$1:$D$81,3,FALSE)</f>
        <v>1</v>
      </c>
      <c r="M2048" s="16">
        <f>VLOOKUP(I2048,episodes!$A$1:$D$81,4,FALSE)</f>
        <v>29</v>
      </c>
      <c r="O2048" s="14">
        <v>0</v>
      </c>
      <c r="P2048" s="24">
        <f>LEN(E2048)+LEN(K2048)</f>
        <v>64</v>
      </c>
      <c r="Q2048" s="24"/>
      <c r="R2048" s="24"/>
    </row>
    <row r="2049" spans="1:18" x14ac:dyDescent="0.3">
      <c r="A2049" s="14">
        <v>694</v>
      </c>
      <c r="B2049" s="21" t="s">
        <v>356</v>
      </c>
      <c r="C2049" s="21" t="s">
        <v>2672</v>
      </c>
      <c r="E2049" s="1" t="s">
        <v>1775</v>
      </c>
      <c r="F2049" s="21"/>
      <c r="G2049" s="14">
        <v>1</v>
      </c>
      <c r="H2049" s="14">
        <v>0</v>
      </c>
      <c r="I2049" s="25">
        <v>113</v>
      </c>
      <c r="J2049" s="23">
        <f>VLOOKUP(I2049,episodes!$A$1:$B$76,2,FALSE)</f>
        <v>14</v>
      </c>
      <c r="K2049" s="16" t="str">
        <f>VLOOKUP(I2049,episodes!$A$1:$E$81,5,FALSE)</f>
        <v>The Conscience of the King</v>
      </c>
      <c r="L2049" s="16">
        <f>VLOOKUP(I2049,episodes!$A$1:$D$81,3,FALSE)</f>
        <v>1</v>
      </c>
      <c r="M2049" s="16">
        <f>VLOOKUP(I2049,episodes!$A$1:$D$81,4,FALSE)</f>
        <v>13</v>
      </c>
      <c r="O2049" s="14">
        <v>0</v>
      </c>
      <c r="P2049" s="24">
        <f>LEN(E2049)+LEN(K2049)</f>
        <v>83</v>
      </c>
      <c r="Q2049" s="24">
        <f>COUNTIFS(B:B,B2048)</f>
        <v>94</v>
      </c>
      <c r="R2049" s="24">
        <f>COUNTIFS(D:D,D2049)</f>
        <v>0</v>
      </c>
    </row>
    <row r="2050" spans="1:18" x14ac:dyDescent="0.3">
      <c r="A2050" s="14">
        <v>695</v>
      </c>
      <c r="B2050" s="21" t="s">
        <v>356</v>
      </c>
      <c r="C2050" s="21" t="s">
        <v>2672</v>
      </c>
      <c r="E2050" s="1" t="s">
        <v>679</v>
      </c>
      <c r="F2050" s="21"/>
      <c r="G2050" s="14">
        <v>1</v>
      </c>
      <c r="H2050" s="14">
        <v>0</v>
      </c>
      <c r="I2050" s="25">
        <v>113</v>
      </c>
      <c r="J2050" s="23">
        <f>VLOOKUP(I2050,episodes!$A$1:$B$76,2,FALSE)</f>
        <v>14</v>
      </c>
      <c r="K2050" s="16" t="str">
        <f>VLOOKUP(I2050,episodes!$A$1:$E$81,5,FALSE)</f>
        <v>The Conscience of the King</v>
      </c>
      <c r="L2050" s="16">
        <f>VLOOKUP(I2050,episodes!$A$1:$D$81,3,FALSE)</f>
        <v>1</v>
      </c>
      <c r="M2050" s="16">
        <f>VLOOKUP(I2050,episodes!$A$1:$D$81,4,FALSE)</f>
        <v>13</v>
      </c>
      <c r="O2050" s="14">
        <v>0</v>
      </c>
      <c r="P2050" s="24">
        <f>LEN(E2050)+LEN(K2050)</f>
        <v>82</v>
      </c>
      <c r="Q2050" s="24">
        <f>COUNTIFS(B:B,B2049)</f>
        <v>94</v>
      </c>
      <c r="R2050" s="24">
        <f>COUNTIFS(D:D,D2050)</f>
        <v>0</v>
      </c>
    </row>
    <row r="2051" spans="1:18" x14ac:dyDescent="0.3">
      <c r="A2051" s="14">
        <v>1099</v>
      </c>
      <c r="B2051" s="21" t="s">
        <v>356</v>
      </c>
      <c r="C2051" s="21" t="s">
        <v>2672</v>
      </c>
      <c r="E2051" s="1" t="s">
        <v>686</v>
      </c>
      <c r="F2051" s="21"/>
      <c r="G2051" s="14">
        <v>0</v>
      </c>
      <c r="H2051" s="14">
        <v>0</v>
      </c>
      <c r="I2051" s="22">
        <v>122</v>
      </c>
      <c r="J2051" s="23">
        <f>VLOOKUP(I2051,episodes!$A$1:$B$76,2,FALSE)</f>
        <v>23</v>
      </c>
      <c r="K2051" s="16" t="str">
        <f>VLOOKUP(I2051,episodes!$A$1:$E$81,5,FALSE)</f>
        <v>Space Seed</v>
      </c>
      <c r="L2051" s="16">
        <f>VLOOKUP(I2051,episodes!$A$1:$D$81,3,FALSE)</f>
        <v>1</v>
      </c>
      <c r="M2051" s="16">
        <f>VLOOKUP(I2051,episodes!$A$1:$D$81,4,FALSE)</f>
        <v>22</v>
      </c>
      <c r="O2051" s="14">
        <v>0</v>
      </c>
      <c r="P2051" s="24">
        <f>LEN(E2051)+LEN(K2051)</f>
        <v>89</v>
      </c>
      <c r="Q2051" s="24"/>
      <c r="R2051" s="24"/>
    </row>
    <row r="2052" spans="1:18" x14ac:dyDescent="0.3">
      <c r="A2052" s="14">
        <v>1062</v>
      </c>
      <c r="B2052" s="21" t="s">
        <v>356</v>
      </c>
      <c r="C2052" s="21" t="s">
        <v>2672</v>
      </c>
      <c r="E2052" s="1" t="s">
        <v>1754</v>
      </c>
      <c r="F2052" s="21"/>
      <c r="G2052" s="14">
        <v>0</v>
      </c>
      <c r="H2052" s="14">
        <v>1</v>
      </c>
      <c r="I2052" s="25">
        <v>110</v>
      </c>
      <c r="J2052" s="23">
        <f>VLOOKUP(I2052,episodes!$A$1:$B$76,2,FALSE)</f>
        <v>11</v>
      </c>
      <c r="K2052" s="16" t="str">
        <f>VLOOKUP(I2052,episodes!$A$1:$E$81,5,FALSE)</f>
        <v>The Corbomite Maneuver</v>
      </c>
      <c r="L2052" s="16">
        <f>VLOOKUP(I2052,episodes!$A$1:$D$81,3,FALSE)</f>
        <v>1</v>
      </c>
      <c r="M2052" s="16">
        <f>VLOOKUP(I2052,episodes!$A$1:$D$81,4,FALSE)</f>
        <v>10</v>
      </c>
      <c r="O2052" s="14">
        <v>0</v>
      </c>
      <c r="P2052" s="24">
        <f>LEN(E2052)+LEN(K2052)</f>
        <v>92</v>
      </c>
      <c r="Q2052" s="24"/>
      <c r="R2052" s="24"/>
    </row>
    <row r="2053" spans="1:18" x14ac:dyDescent="0.3">
      <c r="A2053" s="14">
        <v>1078</v>
      </c>
      <c r="B2053" s="21" t="s">
        <v>356</v>
      </c>
      <c r="C2053" s="21" t="s">
        <v>2672</v>
      </c>
      <c r="E2053" s="1" t="s">
        <v>866</v>
      </c>
      <c r="F2053" s="21"/>
      <c r="G2053" s="14">
        <v>1</v>
      </c>
      <c r="H2053" s="14">
        <v>0</v>
      </c>
      <c r="I2053" s="25">
        <v>204</v>
      </c>
      <c r="J2053" s="23">
        <f>VLOOKUP(I2053,episodes!$A$1:$B$81,2,FALSE)</f>
        <v>34</v>
      </c>
      <c r="K2053" s="16" t="str">
        <f>VLOOKUP(I2053,episodes!$A$1:$E$81,5,FALSE)</f>
        <v>Mirror, Mirror</v>
      </c>
      <c r="L2053" s="16">
        <f>VLOOKUP(I2053,episodes!$A$1:$D$81,3,FALSE)</f>
        <v>2</v>
      </c>
      <c r="M2053" s="16">
        <f>VLOOKUP(I2053,episodes!$A$1:$D$81,4,FALSE)</f>
        <v>4</v>
      </c>
      <c r="O2053" s="14">
        <v>0</v>
      </c>
      <c r="P2053" s="24">
        <f>LEN(E2053)+LEN(K2053)</f>
        <v>88</v>
      </c>
      <c r="Q2053" s="24">
        <f>COUNTIFS(B:B,B2052)</f>
        <v>94</v>
      </c>
      <c r="R2053" s="24">
        <f>COUNTIFS(D:D,D2053)</f>
        <v>0</v>
      </c>
    </row>
    <row r="2054" spans="1:18" x14ac:dyDescent="0.3">
      <c r="A2054" s="14">
        <v>1082</v>
      </c>
      <c r="B2054" s="21" t="s">
        <v>356</v>
      </c>
      <c r="C2054" s="21" t="s">
        <v>2672</v>
      </c>
      <c r="E2054" s="1" t="s">
        <v>867</v>
      </c>
      <c r="F2054" s="21"/>
      <c r="G2054" s="14">
        <v>1</v>
      </c>
      <c r="H2054" s="14">
        <v>0</v>
      </c>
      <c r="I2054" s="25">
        <v>204</v>
      </c>
      <c r="J2054" s="23">
        <f>VLOOKUP(I2054,episodes!$A$1:$B$81,2,FALSE)</f>
        <v>34</v>
      </c>
      <c r="K2054" s="16" t="str">
        <f>VLOOKUP(I2054,episodes!$A$1:$E$81,5,FALSE)</f>
        <v>Mirror, Mirror</v>
      </c>
      <c r="L2054" s="16">
        <f>VLOOKUP(I2054,episodes!$A$1:$D$81,3,FALSE)</f>
        <v>2</v>
      </c>
      <c r="M2054" s="16">
        <f>VLOOKUP(I2054,episodes!$A$1:$D$81,4,FALSE)</f>
        <v>4</v>
      </c>
      <c r="O2054" s="14">
        <v>0</v>
      </c>
      <c r="P2054" s="24">
        <f>LEN(E2054)+LEN(K2054)</f>
        <v>92</v>
      </c>
      <c r="Q2054" s="24">
        <f>COUNTIFS(B:B,B2053)</f>
        <v>94</v>
      </c>
      <c r="R2054" s="24">
        <f>COUNTIFS(D:D,D2054)</f>
        <v>0</v>
      </c>
    </row>
    <row r="2055" spans="1:18" x14ac:dyDescent="0.3">
      <c r="A2055" s="14">
        <v>1071</v>
      </c>
      <c r="B2055" s="21" t="s">
        <v>356</v>
      </c>
      <c r="C2055" s="21" t="s">
        <v>2672</v>
      </c>
      <c r="E2055" s="1" t="s">
        <v>694</v>
      </c>
      <c r="F2055" s="21"/>
      <c r="G2055" s="14">
        <v>0</v>
      </c>
      <c r="H2055" s="14">
        <v>1</v>
      </c>
      <c r="I2055" s="22">
        <v>202</v>
      </c>
      <c r="J2055" s="23">
        <f>VLOOKUP(I2055,episodes!$A$1:$B$76,2,FALSE)</f>
        <v>32</v>
      </c>
      <c r="K2055" s="16" t="str">
        <f>VLOOKUP(I2055,episodes!$A$1:$E$81,5,FALSE)</f>
        <v>Who Mourns for Adonais?</v>
      </c>
      <c r="L2055" s="16">
        <f>VLOOKUP(I2055,episodes!$A$1:$D$81,3,FALSE)</f>
        <v>2</v>
      </c>
      <c r="M2055" s="16">
        <f>VLOOKUP(I2055,episodes!$A$1:$D$81,4,FALSE)</f>
        <v>2</v>
      </c>
      <c r="O2055" s="14">
        <v>0</v>
      </c>
      <c r="P2055" s="24">
        <f>LEN(E2055)+LEN(K2055)</f>
        <v>115</v>
      </c>
      <c r="Q2055" s="24"/>
      <c r="R2055" s="24"/>
    </row>
    <row r="2056" spans="1:18" x14ac:dyDescent="0.3">
      <c r="A2056" s="14">
        <v>1066</v>
      </c>
      <c r="B2056" s="21" t="s">
        <v>356</v>
      </c>
      <c r="C2056" s="21" t="s">
        <v>2672</v>
      </c>
      <c r="E2056" s="1" t="s">
        <v>2319</v>
      </c>
      <c r="F2056" s="21"/>
      <c r="G2056" s="14">
        <v>0</v>
      </c>
      <c r="H2056" s="14">
        <v>1</v>
      </c>
      <c r="I2056" s="25">
        <v>206</v>
      </c>
      <c r="J2056" s="23">
        <f>VLOOKUP(I2056,episodes!$A$1:$B$81,2,FALSE)</f>
        <v>36</v>
      </c>
      <c r="K2056" s="16" t="str">
        <f>VLOOKUP(I2056,episodes!$A$1:$E$81,5,FALSE)</f>
        <v>The Doomsday Machine</v>
      </c>
      <c r="L2056" s="16">
        <f>VLOOKUP(I2056,episodes!$A$1:$D$81,3,FALSE)</f>
        <v>2</v>
      </c>
      <c r="M2056" s="16">
        <f>VLOOKUP(I2056,episodes!$A$1:$D$81,4,FALSE)</f>
        <v>6</v>
      </c>
      <c r="O2056" s="14">
        <v>0</v>
      </c>
      <c r="P2056" s="24">
        <f>LEN(E2056)+LEN(K2056)</f>
        <v>116</v>
      </c>
      <c r="Q2056" s="24"/>
      <c r="R2056" s="24"/>
    </row>
    <row r="2057" spans="1:18" x14ac:dyDescent="0.3">
      <c r="A2057" s="14">
        <v>1199</v>
      </c>
      <c r="B2057" s="21" t="s">
        <v>356</v>
      </c>
      <c r="C2057" s="21" t="s">
        <v>2672</v>
      </c>
      <c r="E2057" s="1" t="s">
        <v>868</v>
      </c>
      <c r="F2057" s="21"/>
      <c r="G2057" s="14">
        <v>1</v>
      </c>
      <c r="H2057" s="14">
        <v>0</v>
      </c>
      <c r="I2057" s="25">
        <v>204</v>
      </c>
      <c r="J2057" s="23">
        <f>VLOOKUP(I2057,episodes!$A$1:$B$81,2,FALSE)</f>
        <v>34</v>
      </c>
      <c r="K2057" s="16" t="str">
        <f>VLOOKUP(I2057,episodes!$A$1:$E$81,5,FALSE)</f>
        <v>Mirror, Mirror</v>
      </c>
      <c r="L2057" s="16">
        <f>VLOOKUP(I2057,episodes!$A$1:$D$81,3,FALSE)</f>
        <v>2</v>
      </c>
      <c r="M2057" s="16">
        <f>VLOOKUP(I2057,episodes!$A$1:$D$81,4,FALSE)</f>
        <v>4</v>
      </c>
      <c r="O2057" s="14">
        <v>0</v>
      </c>
      <c r="P2057" s="24">
        <f>LEN(E2057)+LEN(K2057)</f>
        <v>99</v>
      </c>
      <c r="Q2057" s="24"/>
      <c r="R2057" s="24"/>
    </row>
    <row r="2058" spans="1:18" x14ac:dyDescent="0.3">
      <c r="A2058" s="14">
        <v>1240</v>
      </c>
      <c r="B2058" s="21" t="s">
        <v>356</v>
      </c>
      <c r="C2058" s="21" t="s">
        <v>2672</v>
      </c>
      <c r="E2058" s="1" t="s">
        <v>2164</v>
      </c>
      <c r="F2058" s="21"/>
      <c r="G2058" s="14">
        <v>1</v>
      </c>
      <c r="H2058" s="14">
        <v>0</v>
      </c>
      <c r="I2058" s="25">
        <v>206</v>
      </c>
      <c r="J2058" s="23">
        <f>VLOOKUP(I2058,episodes!$A$1:$B$81,2,FALSE)</f>
        <v>36</v>
      </c>
      <c r="K2058" s="16" t="str">
        <f>VLOOKUP(I2058,episodes!$A$1:$E$81,5,FALSE)</f>
        <v>The Doomsday Machine</v>
      </c>
      <c r="L2058" s="16">
        <f>VLOOKUP(I2058,episodes!$A$1:$D$81,3,FALSE)</f>
        <v>2</v>
      </c>
      <c r="M2058" s="16">
        <f>VLOOKUP(I2058,episodes!$A$1:$D$81,4,FALSE)</f>
        <v>6</v>
      </c>
      <c r="O2058" s="14">
        <v>0</v>
      </c>
      <c r="P2058" s="24">
        <f>LEN(E2058)+LEN(K2058)</f>
        <v>155</v>
      </c>
      <c r="Q2058" s="24"/>
      <c r="R2058" s="24"/>
    </row>
    <row r="2059" spans="1:18" x14ac:dyDescent="0.3">
      <c r="A2059" s="14">
        <v>1253</v>
      </c>
      <c r="B2059" s="21" t="s">
        <v>356</v>
      </c>
      <c r="C2059" s="21" t="s">
        <v>2672</v>
      </c>
      <c r="E2059" s="1" t="s">
        <v>675</v>
      </c>
      <c r="F2059" s="21"/>
      <c r="G2059" s="14">
        <v>1</v>
      </c>
      <c r="H2059" s="14">
        <v>0</v>
      </c>
      <c r="I2059" s="25">
        <v>101</v>
      </c>
      <c r="J2059" s="23">
        <f>VLOOKUP(I2059,episodes!$A$1:$B$76,2,FALSE)</f>
        <v>2</v>
      </c>
      <c r="K2059" s="16" t="str">
        <f>VLOOKUP(I2059,episodes!$A$1:$E$81,5,FALSE)</f>
        <v>The Man Trap</v>
      </c>
      <c r="L2059" s="16">
        <f>VLOOKUP(I2059,episodes!$A$1:$D$81,3,FALSE)</f>
        <v>1</v>
      </c>
      <c r="M2059" s="16">
        <f>VLOOKUP(I2059,episodes!$A$1:$D$81,4,FALSE)</f>
        <v>1</v>
      </c>
      <c r="O2059" s="14">
        <v>0</v>
      </c>
      <c r="P2059" s="24">
        <f>LEN(E2059)+LEN(K2059)</f>
        <v>75</v>
      </c>
      <c r="Q2059" s="24"/>
      <c r="R2059" s="24"/>
    </row>
    <row r="2060" spans="1:18" x14ac:dyDescent="0.3">
      <c r="A2060" s="14">
        <v>1307</v>
      </c>
      <c r="B2060" s="21" t="s">
        <v>356</v>
      </c>
      <c r="C2060" s="21" t="s">
        <v>2672</v>
      </c>
      <c r="E2060" s="1" t="s">
        <v>1696</v>
      </c>
      <c r="F2060" s="21"/>
      <c r="G2060" s="14">
        <v>1</v>
      </c>
      <c r="H2060" s="14">
        <v>0</v>
      </c>
      <c r="I2060" s="22">
        <v>127</v>
      </c>
      <c r="J2060" s="23">
        <f>VLOOKUP(I2060,episodes!$A$1:$B$76,2,FALSE)</f>
        <v>28</v>
      </c>
      <c r="K2060" s="16" t="str">
        <f>VLOOKUP(I2060,episodes!$A$1:$E$81,5,FALSE)</f>
        <v>The Alternative Factor</v>
      </c>
      <c r="L2060" s="16">
        <f>VLOOKUP(I2060,episodes!$A$1:$D$81,3,FALSE)</f>
        <v>1</v>
      </c>
      <c r="M2060" s="16">
        <f>VLOOKUP(I2060,episodes!$A$1:$D$81,4,FALSE)</f>
        <v>27</v>
      </c>
      <c r="O2060" s="14">
        <v>0</v>
      </c>
      <c r="P2060" s="24">
        <f>LEN(E2060)+LEN(K2060)</f>
        <v>103</v>
      </c>
      <c r="Q2060" s="24"/>
      <c r="R2060" s="24"/>
    </row>
    <row r="2061" spans="1:18" x14ac:dyDescent="0.3">
      <c r="A2061" s="14">
        <v>1304</v>
      </c>
      <c r="B2061" s="21" t="s">
        <v>356</v>
      </c>
      <c r="C2061" s="21" t="s">
        <v>2672</v>
      </c>
      <c r="E2061" s="1" t="s">
        <v>1105</v>
      </c>
      <c r="F2061" s="21"/>
      <c r="G2061" s="14">
        <v>1</v>
      </c>
      <c r="H2061" s="14">
        <v>0</v>
      </c>
      <c r="I2061" s="25">
        <v>106</v>
      </c>
      <c r="J2061" s="23">
        <f>VLOOKUP(I2061,episodes!$A$1:$B$76,2,FALSE)</f>
        <v>7</v>
      </c>
      <c r="K2061" s="16" t="str">
        <f>VLOOKUP(I2061,episodes!$A$1:$E$81,5,FALSE)</f>
        <v>Mudd's Women</v>
      </c>
      <c r="L2061" s="16">
        <f>VLOOKUP(I2061,episodes!$A$1:$D$81,3,FALSE)</f>
        <v>1</v>
      </c>
      <c r="M2061" s="16">
        <f>VLOOKUP(I2061,episodes!$A$1:$D$81,4,FALSE)</f>
        <v>6</v>
      </c>
      <c r="O2061" s="14">
        <v>0</v>
      </c>
      <c r="P2061" s="24">
        <f>LEN(E2061)+LEN(K2061)</f>
        <v>114</v>
      </c>
      <c r="Q2061" s="24"/>
      <c r="R2061" s="24"/>
    </row>
    <row r="2062" spans="1:18" x14ac:dyDescent="0.3">
      <c r="A2062" s="14">
        <v>464</v>
      </c>
      <c r="B2062" s="21" t="s">
        <v>356</v>
      </c>
      <c r="C2062" s="21" t="s">
        <v>2672</v>
      </c>
      <c r="E2062" s="1" t="s">
        <v>1016</v>
      </c>
      <c r="F2062" s="21"/>
      <c r="G2062" s="14">
        <v>1</v>
      </c>
      <c r="H2062" s="14">
        <v>0</v>
      </c>
      <c r="I2062" s="22">
        <v>207</v>
      </c>
      <c r="J2062" s="23">
        <f>VLOOKUP(I2062,episodes!$A$1:$B$81,2,FALSE)</f>
        <v>37</v>
      </c>
      <c r="K2062" s="16" t="str">
        <f>VLOOKUP(I2062,episodes!$A$1:$E$81,5,FALSE)</f>
        <v>Catspaw</v>
      </c>
      <c r="L2062" s="16">
        <f>VLOOKUP(I2062,episodes!$A$1:$D$81,3,FALSE)</f>
        <v>2</v>
      </c>
      <c r="M2062" s="16">
        <f>VLOOKUP(I2062,episodes!$A$1:$D$81,4,FALSE)</f>
        <v>7</v>
      </c>
      <c r="O2062" s="14">
        <v>0</v>
      </c>
      <c r="P2062" s="24">
        <f>LEN(E2062)+LEN(K2062)</f>
        <v>69</v>
      </c>
      <c r="Q2062" s="24">
        <f>COUNTIFS(B:B,#REF!)</f>
        <v>0</v>
      </c>
      <c r="R2062" s="24">
        <f>COUNTIFS(D:D,D2062)</f>
        <v>0</v>
      </c>
    </row>
    <row r="2063" spans="1:18" x14ac:dyDescent="0.3">
      <c r="A2063" s="14">
        <v>463</v>
      </c>
      <c r="B2063" s="21" t="s">
        <v>356</v>
      </c>
      <c r="C2063" s="21" t="s">
        <v>2672</v>
      </c>
      <c r="E2063" s="1" t="s">
        <v>693</v>
      </c>
      <c r="F2063" s="21"/>
      <c r="G2063" s="14">
        <v>1</v>
      </c>
      <c r="H2063" s="14">
        <v>0</v>
      </c>
      <c r="I2063" s="22">
        <v>201</v>
      </c>
      <c r="J2063" s="23">
        <f>VLOOKUP(I2063,episodes!$A$1:$B$76,2,FALSE)</f>
        <v>31</v>
      </c>
      <c r="K2063" s="16" t="str">
        <f>VLOOKUP(I2063,episodes!$A$1:$E$81,5,FALSE)</f>
        <v>Amok Time</v>
      </c>
      <c r="L2063" s="16">
        <f>VLOOKUP(I2063,episodes!$A$1:$D$81,3,FALSE)</f>
        <v>2</v>
      </c>
      <c r="M2063" s="16">
        <f>VLOOKUP(I2063,episodes!$A$1:$D$81,4,FALSE)</f>
        <v>1</v>
      </c>
      <c r="O2063" s="14">
        <v>0</v>
      </c>
      <c r="P2063" s="24">
        <f>LEN(E2063)+LEN(K2063)</f>
        <v>68</v>
      </c>
      <c r="Q2063" s="24">
        <f>COUNTIFS(B:B,#REF!)</f>
        <v>0</v>
      </c>
      <c r="R2063" s="24">
        <f>COUNTIFS(D:D,D2063)</f>
        <v>0</v>
      </c>
    </row>
    <row r="2064" spans="1:18" x14ac:dyDescent="0.3">
      <c r="A2064" s="14">
        <v>447</v>
      </c>
      <c r="B2064" s="21" t="s">
        <v>356</v>
      </c>
      <c r="C2064" s="21" t="s">
        <v>2672</v>
      </c>
      <c r="E2064" s="1" t="s">
        <v>1685</v>
      </c>
      <c r="F2064" s="21"/>
      <c r="G2064" s="14">
        <v>1</v>
      </c>
      <c r="H2064" s="14">
        <v>0</v>
      </c>
      <c r="I2064" s="25">
        <v>111</v>
      </c>
      <c r="J2064" s="23">
        <f>VLOOKUP(I2064,episodes!$A$1:$B$76,2,FALSE)</f>
        <v>12</v>
      </c>
      <c r="K2064" s="16" t="str">
        <f>VLOOKUP(I2064,episodes!$A$1:$E$81,5,FALSE)</f>
        <v>The Menagerie, Part I</v>
      </c>
      <c r="L2064" s="16">
        <f>VLOOKUP(I2064,episodes!$A$1:$D$81,3,FALSE)</f>
        <v>1</v>
      </c>
      <c r="M2064" s="16">
        <f>VLOOKUP(I2064,episodes!$A$1:$D$81,4,FALSE)</f>
        <v>11</v>
      </c>
      <c r="O2064" s="14">
        <v>0</v>
      </c>
      <c r="P2064" s="24">
        <f>LEN(E2064)+LEN(K2064)</f>
        <v>69</v>
      </c>
      <c r="Q2064" s="24">
        <f>COUNTIFS(B:B,#REF!)</f>
        <v>0</v>
      </c>
      <c r="R2064" s="24">
        <f>COUNTIFS(D:D,D2064)</f>
        <v>0</v>
      </c>
    </row>
    <row r="2065" spans="1:18" x14ac:dyDescent="0.3">
      <c r="A2065" s="14">
        <v>520</v>
      </c>
      <c r="B2065" s="21" t="s">
        <v>356</v>
      </c>
      <c r="C2065" s="21" t="s">
        <v>2672</v>
      </c>
      <c r="E2065" s="1" t="s">
        <v>688</v>
      </c>
      <c r="F2065" s="21"/>
      <c r="G2065" s="14">
        <v>1</v>
      </c>
      <c r="H2065" s="14">
        <v>0</v>
      </c>
      <c r="I2065" s="22">
        <v>125</v>
      </c>
      <c r="J2065" s="23">
        <f>VLOOKUP(I2065,episodes!$A$1:$B$76,2,FALSE)</f>
        <v>26</v>
      </c>
      <c r="K2065" s="16" t="str">
        <f>VLOOKUP(I2065,episodes!$A$1:$E$81,5,FALSE)</f>
        <v>The Devil in the Dark</v>
      </c>
      <c r="L2065" s="16">
        <f>VLOOKUP(I2065,episodes!$A$1:$D$81,3,FALSE)</f>
        <v>1</v>
      </c>
      <c r="M2065" s="16">
        <f>VLOOKUP(I2065,episodes!$A$1:$D$81,4,FALSE)</f>
        <v>25</v>
      </c>
      <c r="O2065" s="14">
        <v>0</v>
      </c>
      <c r="P2065" s="24">
        <f>LEN(E2065)+LEN(K2065)</f>
        <v>83</v>
      </c>
      <c r="Q2065" s="24">
        <f>COUNTIFS(B:B,B2064)</f>
        <v>94</v>
      </c>
      <c r="R2065" s="24">
        <f>COUNTIFS(D:D,D2065)</f>
        <v>0</v>
      </c>
    </row>
    <row r="2066" spans="1:18" x14ac:dyDescent="0.3">
      <c r="A2066" s="14">
        <v>431</v>
      </c>
      <c r="B2066" s="21" t="s">
        <v>356</v>
      </c>
      <c r="C2066" s="21" t="s">
        <v>2672</v>
      </c>
      <c r="E2066" s="1" t="s">
        <v>917</v>
      </c>
      <c r="F2066" s="21"/>
      <c r="G2066" s="14">
        <v>1</v>
      </c>
      <c r="H2066" s="14">
        <v>0</v>
      </c>
      <c r="I2066" s="25">
        <v>205</v>
      </c>
      <c r="J2066" s="23">
        <f>VLOOKUP(I2066,episodes!$A$1:$B$81,2,FALSE)</f>
        <v>35</v>
      </c>
      <c r="K2066" s="16" t="str">
        <f>VLOOKUP(I2066,episodes!$A$1:$E$81,5,FALSE)</f>
        <v>The Apple</v>
      </c>
      <c r="L2066" s="16">
        <f>VLOOKUP(I2066,episodes!$A$1:$D$81,3,FALSE)</f>
        <v>2</v>
      </c>
      <c r="M2066" s="16">
        <f>VLOOKUP(I2066,episodes!$A$1:$D$81,4,FALSE)</f>
        <v>5</v>
      </c>
      <c r="O2066" s="14">
        <v>0</v>
      </c>
      <c r="P2066" s="24">
        <f>LEN(E2066)+LEN(K2066)</f>
        <v>101</v>
      </c>
      <c r="Q2066" s="24"/>
      <c r="R2066" s="24"/>
    </row>
    <row r="2067" spans="1:18" x14ac:dyDescent="0.3">
      <c r="A2067" s="14">
        <v>1248</v>
      </c>
      <c r="B2067" s="21" t="s">
        <v>356</v>
      </c>
      <c r="C2067" s="21" t="s">
        <v>2672</v>
      </c>
      <c r="E2067" s="1" t="s">
        <v>918</v>
      </c>
      <c r="F2067" s="21"/>
      <c r="G2067" s="14">
        <v>1</v>
      </c>
      <c r="H2067" s="14">
        <v>0</v>
      </c>
      <c r="I2067" s="25">
        <v>205</v>
      </c>
      <c r="J2067" s="23">
        <f>VLOOKUP(I2067,episodes!$A$1:$B$81,2,FALSE)</f>
        <v>35</v>
      </c>
      <c r="K2067" s="16" t="str">
        <f>VLOOKUP(I2067,episodes!$A$1:$E$81,5,FALSE)</f>
        <v>The Apple</v>
      </c>
      <c r="L2067" s="16">
        <f>VLOOKUP(I2067,episodes!$A$1:$D$81,3,FALSE)</f>
        <v>2</v>
      </c>
      <c r="M2067" s="16">
        <f>VLOOKUP(I2067,episodes!$A$1:$D$81,4,FALSE)</f>
        <v>5</v>
      </c>
      <c r="O2067" s="14">
        <v>0</v>
      </c>
      <c r="P2067" s="24">
        <f>LEN(E2067)+LEN(K2067)</f>
        <v>105</v>
      </c>
      <c r="Q2067" s="24"/>
      <c r="R2067" s="24"/>
    </row>
    <row r="2068" spans="1:18" x14ac:dyDescent="0.3">
      <c r="A2068" s="14">
        <v>1244</v>
      </c>
      <c r="B2068" s="21" t="s">
        <v>356</v>
      </c>
      <c r="C2068" s="21" t="s">
        <v>2672</v>
      </c>
      <c r="E2068" s="1" t="s">
        <v>2134</v>
      </c>
      <c r="F2068" s="21"/>
      <c r="G2068" s="26">
        <v>0</v>
      </c>
      <c r="H2068" s="14">
        <v>0</v>
      </c>
      <c r="I2068" s="22">
        <v>118</v>
      </c>
      <c r="J2068" s="23">
        <f>VLOOKUP(I2068,episodes!$A$1:$B$76,2,FALSE)</f>
        <v>19</v>
      </c>
      <c r="K2068" s="16" t="str">
        <f>VLOOKUP(I2068,episodes!$A$1:$E$81,5,FALSE)</f>
        <v>Arena</v>
      </c>
      <c r="L2068" s="16">
        <f>VLOOKUP(I2068,episodes!$A$1:$D$81,3,FALSE)</f>
        <v>1</v>
      </c>
      <c r="M2068" s="16">
        <f>VLOOKUP(I2068,episodes!$A$1:$D$81,4,FALSE)</f>
        <v>18</v>
      </c>
      <c r="O2068" s="14">
        <v>0</v>
      </c>
      <c r="P2068" s="24">
        <f>LEN(E2068)+LEN(K2068)</f>
        <v>113</v>
      </c>
      <c r="Q2068" s="24"/>
      <c r="R2068" s="24"/>
    </row>
    <row r="2069" spans="1:18" x14ac:dyDescent="0.3">
      <c r="A2069" s="14">
        <v>2905</v>
      </c>
      <c r="B2069" s="21" t="s">
        <v>356</v>
      </c>
      <c r="C2069" s="21" t="s">
        <v>2672</v>
      </c>
      <c r="E2069" s="1" t="s">
        <v>2583</v>
      </c>
      <c r="F2069" s="21"/>
      <c r="G2069" s="14">
        <v>1</v>
      </c>
      <c r="H2069" s="14">
        <v>0</v>
      </c>
      <c r="I2069" s="22">
        <v>129</v>
      </c>
      <c r="J2069" s="23">
        <f>VLOOKUP(I2069,episodes!$A$1:$B$76,2,FALSE)</f>
        <v>30</v>
      </c>
      <c r="K2069" s="16" t="str">
        <f>VLOOKUP(I2069,episodes!$A$1:$E$81,5,FALSE)</f>
        <v>Operation: Annihilate!</v>
      </c>
      <c r="L2069" s="16">
        <f>VLOOKUP(I2069,episodes!$A$1:$D$81,3,FALSE)</f>
        <v>1</v>
      </c>
      <c r="M2069" s="16">
        <f>VLOOKUP(I2069,episodes!$A$1:$D$81,4,FALSE)</f>
        <v>29</v>
      </c>
      <c r="O2069" s="14">
        <v>0</v>
      </c>
      <c r="P2069" s="24">
        <f>LEN(E2069)+LEN(K2069)</f>
        <v>105</v>
      </c>
      <c r="Q2069" s="24"/>
      <c r="R2069" s="24"/>
    </row>
    <row r="2070" spans="1:18" x14ac:dyDescent="0.3">
      <c r="A2070" s="14">
        <v>1289</v>
      </c>
      <c r="B2070" s="21" t="s">
        <v>356</v>
      </c>
      <c r="C2070" s="21" t="s">
        <v>2672</v>
      </c>
      <c r="E2070" s="1" t="s">
        <v>692</v>
      </c>
      <c r="F2070" s="21"/>
      <c r="G2070" s="14">
        <v>0</v>
      </c>
      <c r="H2070" s="14">
        <v>0</v>
      </c>
      <c r="I2070" s="22">
        <v>129</v>
      </c>
      <c r="J2070" s="23">
        <f>VLOOKUP(I2070,episodes!$A$1:$B$76,2,FALSE)</f>
        <v>30</v>
      </c>
      <c r="K2070" s="16" t="str">
        <f>VLOOKUP(I2070,episodes!$A$1:$E$81,5,FALSE)</f>
        <v>Operation: Annihilate!</v>
      </c>
      <c r="L2070" s="16">
        <f>VLOOKUP(I2070,episodes!$A$1:$D$81,3,FALSE)</f>
        <v>1</v>
      </c>
      <c r="M2070" s="16">
        <f>VLOOKUP(I2070,episodes!$A$1:$D$81,4,FALSE)</f>
        <v>29</v>
      </c>
      <c r="O2070" s="14">
        <v>0</v>
      </c>
      <c r="P2070" s="24">
        <f>LEN(E2070)+LEN(K2070)</f>
        <v>113</v>
      </c>
      <c r="Q2070" s="24"/>
      <c r="R2070" s="24"/>
    </row>
    <row r="2071" spans="1:18" x14ac:dyDescent="0.3">
      <c r="A2071" s="14">
        <v>1294</v>
      </c>
      <c r="B2071" s="21" t="s">
        <v>356</v>
      </c>
      <c r="C2071" s="21" t="s">
        <v>2672</v>
      </c>
      <c r="E2071" s="1" t="s">
        <v>669</v>
      </c>
      <c r="F2071" s="21"/>
      <c r="G2071" s="14">
        <v>0</v>
      </c>
      <c r="H2071" s="14">
        <v>1</v>
      </c>
      <c r="I2071" s="22">
        <v>124</v>
      </c>
      <c r="J2071" s="23">
        <f>VLOOKUP(I2071,episodes!$A$1:$B$76,2,FALSE)</f>
        <v>25</v>
      </c>
      <c r="K2071" s="16" t="str">
        <f>VLOOKUP(I2071,episodes!$A$1:$E$81,5,FALSE)</f>
        <v>This Side of Paradise</v>
      </c>
      <c r="L2071" s="16">
        <f>VLOOKUP(I2071,episodes!$A$1:$D$81,3,FALSE)</f>
        <v>1</v>
      </c>
      <c r="M2071" s="16">
        <f>VLOOKUP(I2071,episodes!$A$1:$D$81,4,FALSE)</f>
        <v>24</v>
      </c>
      <c r="O2071" s="14">
        <v>0</v>
      </c>
      <c r="P2071" s="24">
        <f>LEN(E2071)+LEN(K2071)</f>
        <v>123</v>
      </c>
      <c r="Q2071" s="24"/>
      <c r="R2071" s="24"/>
    </row>
    <row r="2072" spans="1:18" x14ac:dyDescent="0.3">
      <c r="A2072" s="14">
        <v>1265</v>
      </c>
      <c r="B2072" s="21" t="s">
        <v>356</v>
      </c>
      <c r="C2072" s="21" t="s">
        <v>2672</v>
      </c>
      <c r="E2072" s="1" t="s">
        <v>683</v>
      </c>
      <c r="F2072" s="21"/>
      <c r="G2072" s="14">
        <v>1</v>
      </c>
      <c r="H2072" s="14">
        <v>0</v>
      </c>
      <c r="I2072" s="22">
        <v>121</v>
      </c>
      <c r="J2072" s="23">
        <f>VLOOKUP(I2072,episodes!$A$1:$B$76,2,FALSE)</f>
        <v>22</v>
      </c>
      <c r="K2072" s="16" t="str">
        <f>VLOOKUP(I2072,episodes!$A$1:$E$81,5,FALSE)</f>
        <v>The Return of the Archons</v>
      </c>
      <c r="L2072" s="16">
        <f>VLOOKUP(I2072,episodes!$A$1:$D$81,3,FALSE)</f>
        <v>1</v>
      </c>
      <c r="M2072" s="16">
        <f>VLOOKUP(I2072,episodes!$A$1:$D$81,4,FALSE)</f>
        <v>21</v>
      </c>
      <c r="O2072" s="14">
        <v>0</v>
      </c>
      <c r="P2072" s="24">
        <f>LEN(E2072)+LEN(K2072)</f>
        <v>129</v>
      </c>
      <c r="Q2072" s="24"/>
      <c r="R2072" s="24"/>
    </row>
    <row r="2073" spans="1:18" x14ac:dyDescent="0.3">
      <c r="A2073" s="14">
        <v>1300</v>
      </c>
      <c r="B2073" s="21" t="s">
        <v>356</v>
      </c>
      <c r="C2073" s="21" t="s">
        <v>2672</v>
      </c>
      <c r="E2073" s="1" t="s">
        <v>1698</v>
      </c>
      <c r="F2073" s="21"/>
      <c r="G2073" s="14">
        <v>1</v>
      </c>
      <c r="H2073" s="14">
        <v>0</v>
      </c>
      <c r="I2073" s="22">
        <v>208</v>
      </c>
      <c r="J2073" s="23">
        <f>VLOOKUP(I2073,episodes!$A$1:$B$81,2,FALSE)</f>
        <v>38</v>
      </c>
      <c r="K2073" s="16" t="str">
        <f>VLOOKUP(I2073,episodes!$A$1:$E$81,5,FALSE)</f>
        <v>I, Mudd</v>
      </c>
      <c r="L2073" s="16">
        <f>VLOOKUP(I2073,episodes!$A$1:$D$81,3,FALSE)</f>
        <v>2</v>
      </c>
      <c r="M2073" s="16">
        <f>VLOOKUP(I2073,episodes!$A$1:$D$81,4,FALSE)</f>
        <v>8</v>
      </c>
      <c r="O2073" s="14">
        <v>0</v>
      </c>
      <c r="P2073" s="24">
        <f>LEN(E2073)+LEN(K2073)</f>
        <v>105</v>
      </c>
      <c r="Q2073" s="24"/>
      <c r="R2073" s="24"/>
    </row>
    <row r="2074" spans="1:18" x14ac:dyDescent="0.3">
      <c r="A2074" s="14">
        <v>1274</v>
      </c>
      <c r="B2074" s="21" t="s">
        <v>356</v>
      </c>
      <c r="C2074" s="21" t="s">
        <v>2672</v>
      </c>
      <c r="E2074" s="1" t="s">
        <v>591</v>
      </c>
      <c r="F2074" s="21"/>
      <c r="G2074" s="14">
        <v>1</v>
      </c>
      <c r="H2074" s="14">
        <v>0</v>
      </c>
      <c r="I2074" s="25">
        <v>108</v>
      </c>
      <c r="J2074" s="23">
        <f>VLOOKUP(I2074,episodes!$A$1:$B$76,2,FALSE)</f>
        <v>9</v>
      </c>
      <c r="K2074" s="16" t="str">
        <f>VLOOKUP(I2074,episodes!$A$1:$E$81,5,FALSE)</f>
        <v>Miri</v>
      </c>
      <c r="L2074" s="16">
        <f>VLOOKUP(I2074,episodes!$A$1:$D$81,3,FALSE)</f>
        <v>1</v>
      </c>
      <c r="M2074" s="16">
        <f>VLOOKUP(I2074,episodes!$A$1:$D$81,4,FALSE)</f>
        <v>8</v>
      </c>
      <c r="O2074" s="14">
        <v>0</v>
      </c>
      <c r="P2074" s="24">
        <f>LEN(E2074)+LEN(K2074)</f>
        <v>80</v>
      </c>
      <c r="Q2074" s="24"/>
      <c r="R2074" s="24"/>
    </row>
    <row r="2075" spans="1:18" x14ac:dyDescent="0.3">
      <c r="A2075" s="14">
        <v>1315</v>
      </c>
      <c r="B2075" s="21" t="s">
        <v>356</v>
      </c>
      <c r="C2075" s="21" t="s">
        <v>2672</v>
      </c>
      <c r="E2075" s="1" t="s">
        <v>2584</v>
      </c>
      <c r="F2075" s="21"/>
      <c r="G2075" s="14">
        <v>0</v>
      </c>
      <c r="H2075" s="14">
        <v>0</v>
      </c>
      <c r="I2075" s="22">
        <v>129</v>
      </c>
      <c r="J2075" s="23">
        <f>VLOOKUP(I2075,episodes!$A$1:$B$76,2,FALSE)</f>
        <v>30</v>
      </c>
      <c r="K2075" s="16" t="str">
        <f>VLOOKUP(I2075,episodes!$A$1:$E$81,5,FALSE)</f>
        <v>Operation: Annihilate!</v>
      </c>
      <c r="L2075" s="16">
        <f>VLOOKUP(I2075,episodes!$A$1:$D$81,3,FALSE)</f>
        <v>1</v>
      </c>
      <c r="M2075" s="16">
        <f>VLOOKUP(I2075,episodes!$A$1:$D$81,4,FALSE)</f>
        <v>29</v>
      </c>
      <c r="O2075" s="14">
        <v>0</v>
      </c>
      <c r="P2075" s="24">
        <f>LEN(E2075)+LEN(K2075)</f>
        <v>81</v>
      </c>
      <c r="Q2075" s="24"/>
      <c r="R2075" s="24"/>
    </row>
    <row r="2076" spans="1:18" x14ac:dyDescent="0.3">
      <c r="A2076" s="14">
        <v>1325</v>
      </c>
      <c r="B2076" s="21" t="s">
        <v>356</v>
      </c>
      <c r="C2076" s="21" t="s">
        <v>2672</v>
      </c>
      <c r="E2076" s="1" t="s">
        <v>1363</v>
      </c>
      <c r="F2076" s="21"/>
      <c r="G2076" s="14">
        <v>1</v>
      </c>
      <c r="H2076" s="14">
        <v>0</v>
      </c>
      <c r="I2076" s="22">
        <v>128</v>
      </c>
      <c r="J2076" s="23">
        <f>VLOOKUP(I2076,episodes!$A$1:$B$76,2,FALSE)</f>
        <v>29</v>
      </c>
      <c r="K2076" s="16" t="str">
        <f>VLOOKUP(I2076,episodes!$A$1:$E$81,5,FALSE)</f>
        <v>The City on the Edge of Forever</v>
      </c>
      <c r="L2076" s="16">
        <f>VLOOKUP(I2076,episodes!$A$1:$D$81,3,FALSE)</f>
        <v>1</v>
      </c>
      <c r="M2076" s="16">
        <f>VLOOKUP(I2076,episodes!$A$1:$D$81,4,FALSE)</f>
        <v>28</v>
      </c>
      <c r="O2076" s="14">
        <v>0</v>
      </c>
      <c r="P2076" s="24">
        <f>LEN(E2076)+LEN(K2076)</f>
        <v>128</v>
      </c>
      <c r="Q2076" s="24"/>
      <c r="R2076" s="24"/>
    </row>
    <row r="2077" spans="1:18" x14ac:dyDescent="0.3">
      <c r="A2077" s="14">
        <v>1332</v>
      </c>
      <c r="B2077" s="21" t="s">
        <v>356</v>
      </c>
      <c r="C2077" s="21" t="s">
        <v>2672</v>
      </c>
      <c r="E2077" s="1" t="s">
        <v>1364</v>
      </c>
      <c r="F2077" s="21"/>
      <c r="G2077" s="14">
        <v>1</v>
      </c>
      <c r="H2077" s="14">
        <v>0</v>
      </c>
      <c r="I2077" s="22">
        <v>128</v>
      </c>
      <c r="J2077" s="23">
        <f>VLOOKUP(I2077,episodes!$A$1:$B$76,2,FALSE)</f>
        <v>29</v>
      </c>
      <c r="K2077" s="16" t="str">
        <f>VLOOKUP(I2077,episodes!$A$1:$E$81,5,FALSE)</f>
        <v>The City on the Edge of Forever</v>
      </c>
      <c r="L2077" s="16">
        <f>VLOOKUP(I2077,episodes!$A$1:$D$81,3,FALSE)</f>
        <v>1</v>
      </c>
      <c r="M2077" s="16">
        <f>VLOOKUP(I2077,episodes!$A$1:$D$81,4,FALSE)</f>
        <v>28</v>
      </c>
      <c r="O2077" s="14">
        <v>0</v>
      </c>
      <c r="P2077" s="24">
        <f>LEN(E2077)+LEN(K2077)</f>
        <v>123</v>
      </c>
      <c r="Q2077" s="24"/>
      <c r="R2077" s="24"/>
    </row>
    <row r="2078" spans="1:18" x14ac:dyDescent="0.3">
      <c r="A2078" s="14">
        <v>1318</v>
      </c>
      <c r="B2078" s="21" t="s">
        <v>356</v>
      </c>
      <c r="C2078" s="21" t="s">
        <v>2672</v>
      </c>
      <c r="E2078" s="1" t="s">
        <v>1692</v>
      </c>
      <c r="F2078" s="21"/>
      <c r="G2078" s="14">
        <v>1</v>
      </c>
      <c r="H2078" s="14">
        <v>0</v>
      </c>
      <c r="I2078" s="22">
        <v>123</v>
      </c>
      <c r="J2078" s="23">
        <f>VLOOKUP(I2078,episodes!$A$1:$B$76,2,FALSE)</f>
        <v>24</v>
      </c>
      <c r="K2078" s="16" t="str">
        <f>VLOOKUP(I2078,episodes!$A$1:$E$81,5,FALSE)</f>
        <v>A Taste of Armageddon</v>
      </c>
      <c r="L2078" s="16">
        <f>VLOOKUP(I2078,episodes!$A$1:$D$81,3,FALSE)</f>
        <v>1</v>
      </c>
      <c r="M2078" s="16">
        <f>VLOOKUP(I2078,episodes!$A$1:$D$81,4,FALSE)</f>
        <v>23</v>
      </c>
      <c r="O2078" s="14">
        <v>0</v>
      </c>
      <c r="P2078" s="24">
        <f>LEN(E2078)+LEN(K2078)</f>
        <v>124</v>
      </c>
      <c r="Q2078" s="24"/>
      <c r="R2078" s="24"/>
    </row>
    <row r="2079" spans="1:18" x14ac:dyDescent="0.3">
      <c r="A2079" s="14">
        <v>1344</v>
      </c>
      <c r="B2079" s="21" t="s">
        <v>356</v>
      </c>
      <c r="C2079" s="21" t="s">
        <v>2672</v>
      </c>
      <c r="E2079" s="1" t="s">
        <v>1688</v>
      </c>
      <c r="F2079" s="21"/>
      <c r="G2079" s="14">
        <v>1</v>
      </c>
      <c r="H2079" s="14">
        <v>0</v>
      </c>
      <c r="I2079" s="22">
        <v>117</v>
      </c>
      <c r="J2079" s="23">
        <f>VLOOKUP(I2079,episodes!$A$1:$B$76,2,FALSE)</f>
        <v>18</v>
      </c>
      <c r="K2079" s="16" t="str">
        <f>VLOOKUP(I2079,episodes!$A$1:$E$81,5,FALSE)</f>
        <v>The Squire of Gothos</v>
      </c>
      <c r="L2079" s="16">
        <f>VLOOKUP(I2079,episodes!$A$1:$D$81,3,FALSE)</f>
        <v>1</v>
      </c>
      <c r="M2079" s="16">
        <f>VLOOKUP(I2079,episodes!$A$1:$D$81,4,FALSE)</f>
        <v>17</v>
      </c>
      <c r="O2079" s="14">
        <v>0</v>
      </c>
      <c r="P2079" s="24">
        <f>LEN(E2079)+LEN(K2079)</f>
        <v>147</v>
      </c>
      <c r="Q2079" s="24">
        <f>COUNTIFS(B:B,#REF!)</f>
        <v>0</v>
      </c>
      <c r="R2079" s="24">
        <f>COUNTIFS(D:D,D2079)</f>
        <v>0</v>
      </c>
    </row>
    <row r="2080" spans="1:18" x14ac:dyDescent="0.3">
      <c r="A2080" s="14">
        <v>173</v>
      </c>
      <c r="B2080" s="21" t="s">
        <v>356</v>
      </c>
      <c r="C2080" s="21" t="s">
        <v>2672</v>
      </c>
      <c r="E2080" s="1" t="s">
        <v>756</v>
      </c>
      <c r="F2080" s="21"/>
      <c r="G2080" s="14">
        <v>0</v>
      </c>
      <c r="H2080" s="14">
        <v>0</v>
      </c>
      <c r="I2080" s="25">
        <v>103</v>
      </c>
      <c r="J2080" s="23">
        <f>VLOOKUP(I2080,episodes!$A$1:$B$76,2,FALSE)</f>
        <v>4</v>
      </c>
      <c r="K2080" s="16" t="str">
        <f>VLOOKUP(I2080,episodes!$A$1:$E$81,5,FALSE)</f>
        <v>Where No Man Has Gone Before</v>
      </c>
      <c r="L2080" s="16">
        <f>VLOOKUP(I2080,episodes!$A$1:$D$81,3,FALSE)</f>
        <v>1</v>
      </c>
      <c r="M2080" s="16">
        <f>VLOOKUP(I2080,episodes!$A$1:$D$81,4,FALSE)</f>
        <v>3</v>
      </c>
      <c r="O2080" s="14">
        <v>0</v>
      </c>
      <c r="P2080" s="24">
        <f>LEN(E2080)+LEN(K2080)</f>
        <v>96</v>
      </c>
      <c r="Q2080" s="24">
        <f>COUNTIFS(B:B,B2079)</f>
        <v>94</v>
      </c>
      <c r="R2080" s="24">
        <f>COUNTIFS(D:D,D2080)</f>
        <v>0</v>
      </c>
    </row>
    <row r="2081" spans="1:18" x14ac:dyDescent="0.3">
      <c r="A2081" s="14">
        <v>1463</v>
      </c>
      <c r="B2081" s="21" t="s">
        <v>356</v>
      </c>
      <c r="C2081" s="21" t="s">
        <v>2672</v>
      </c>
      <c r="E2081" s="1" t="s">
        <v>1694</v>
      </c>
      <c r="F2081" s="21"/>
      <c r="G2081" s="14">
        <v>0</v>
      </c>
      <c r="H2081" s="14">
        <v>0</v>
      </c>
      <c r="I2081" s="22">
        <v>127</v>
      </c>
      <c r="J2081" s="23">
        <f>VLOOKUP(I2081,episodes!$A$1:$B$76,2,FALSE)</f>
        <v>28</v>
      </c>
      <c r="K2081" s="16" t="str">
        <f>VLOOKUP(I2081,episodes!$A$1:$E$81,5,FALSE)</f>
        <v>The Alternative Factor</v>
      </c>
      <c r="L2081" s="16">
        <f>VLOOKUP(I2081,episodes!$A$1:$D$81,3,FALSE)</f>
        <v>1</v>
      </c>
      <c r="M2081" s="16">
        <f>VLOOKUP(I2081,episodes!$A$1:$D$81,4,FALSE)</f>
        <v>27</v>
      </c>
      <c r="O2081" s="14">
        <v>0</v>
      </c>
      <c r="P2081" s="24">
        <f>LEN(E2081)+LEN(K2081)</f>
        <v>80</v>
      </c>
      <c r="Q2081" s="24">
        <f>COUNTIFS(B:B,B2080)</f>
        <v>94</v>
      </c>
      <c r="R2081" s="24">
        <f>COUNTIFS(D:D,D2081)</f>
        <v>0</v>
      </c>
    </row>
    <row r="2082" spans="1:18" x14ac:dyDescent="0.3">
      <c r="A2082" s="14">
        <v>1464</v>
      </c>
      <c r="B2082" s="21" t="s">
        <v>356</v>
      </c>
      <c r="C2082" s="21" t="s">
        <v>2672</v>
      </c>
      <c r="E2082" s="1" t="s">
        <v>670</v>
      </c>
      <c r="F2082" s="21"/>
      <c r="G2082" s="14">
        <v>0</v>
      </c>
      <c r="H2082" s="14">
        <v>0</v>
      </c>
      <c r="I2082" s="22">
        <v>124</v>
      </c>
      <c r="J2082" s="23">
        <f>VLOOKUP(I2082,episodes!$A$1:$B$76,2,FALSE)</f>
        <v>25</v>
      </c>
      <c r="K2082" s="16" t="str">
        <f>VLOOKUP(I2082,episodes!$A$1:$E$81,5,FALSE)</f>
        <v>This Side of Paradise</v>
      </c>
      <c r="L2082" s="16">
        <f>VLOOKUP(I2082,episodes!$A$1:$D$81,3,FALSE)</f>
        <v>1</v>
      </c>
      <c r="M2082" s="16">
        <f>VLOOKUP(I2082,episodes!$A$1:$D$81,4,FALSE)</f>
        <v>24</v>
      </c>
      <c r="O2082" s="14">
        <v>0</v>
      </c>
      <c r="P2082" s="24">
        <f>LEN(E2082)+LEN(K2082)</f>
        <v>74</v>
      </c>
      <c r="Q2082" s="24">
        <f>COUNTIFS(B:B,B2081)</f>
        <v>94</v>
      </c>
      <c r="R2082" s="24">
        <f>COUNTIFS(D:D,D2082)</f>
        <v>0</v>
      </c>
    </row>
    <row r="2083" spans="1:18" x14ac:dyDescent="0.3">
      <c r="A2083" s="14">
        <v>1467</v>
      </c>
      <c r="B2083" s="21" t="s">
        <v>356</v>
      </c>
      <c r="C2083" s="21" t="s">
        <v>2672</v>
      </c>
      <c r="E2083" s="1" t="s">
        <v>1776</v>
      </c>
      <c r="F2083" s="21"/>
      <c r="G2083" s="14">
        <v>0</v>
      </c>
      <c r="H2083" s="14">
        <v>0</v>
      </c>
      <c r="I2083" s="25">
        <v>113</v>
      </c>
      <c r="J2083" s="23">
        <f>VLOOKUP(I2083,episodes!$A$1:$B$76,2,FALSE)</f>
        <v>14</v>
      </c>
      <c r="K2083" s="16" t="str">
        <f>VLOOKUP(I2083,episodes!$A$1:$E$81,5,FALSE)</f>
        <v>The Conscience of the King</v>
      </c>
      <c r="L2083" s="16">
        <f>VLOOKUP(I2083,episodes!$A$1:$D$81,3,FALSE)</f>
        <v>1</v>
      </c>
      <c r="M2083" s="16">
        <f>VLOOKUP(I2083,episodes!$A$1:$D$81,4,FALSE)</f>
        <v>13</v>
      </c>
      <c r="O2083" s="14">
        <v>0</v>
      </c>
      <c r="P2083" s="24">
        <f>LEN(E2083)+LEN(K2083)</f>
        <v>100</v>
      </c>
      <c r="Q2083" s="24">
        <f>COUNTIFS(B:B,B2082)</f>
        <v>94</v>
      </c>
      <c r="R2083" s="24">
        <f>COUNTIFS(D:D,D2083)</f>
        <v>0</v>
      </c>
    </row>
    <row r="2084" spans="1:18" x14ac:dyDescent="0.3">
      <c r="A2084" s="14">
        <v>1695</v>
      </c>
      <c r="B2084" s="21" t="s">
        <v>356</v>
      </c>
      <c r="C2084" s="21" t="s">
        <v>2672</v>
      </c>
      <c r="E2084" s="1" t="s">
        <v>931</v>
      </c>
      <c r="F2084" s="21"/>
      <c r="G2084" s="14">
        <v>0</v>
      </c>
      <c r="H2084" s="14">
        <v>1</v>
      </c>
      <c r="I2084" s="25">
        <v>206</v>
      </c>
      <c r="J2084" s="23">
        <f>VLOOKUP(I2084,episodes!$A$1:$B$81,2,FALSE)</f>
        <v>36</v>
      </c>
      <c r="K2084" s="16" t="str">
        <f>VLOOKUP(I2084,episodes!$A$1:$E$81,5,FALSE)</f>
        <v>The Doomsday Machine</v>
      </c>
      <c r="L2084" s="16">
        <f>VLOOKUP(I2084,episodes!$A$1:$D$81,3,FALSE)</f>
        <v>2</v>
      </c>
      <c r="M2084" s="16">
        <f>VLOOKUP(I2084,episodes!$A$1:$D$81,4,FALSE)</f>
        <v>6</v>
      </c>
      <c r="O2084" s="14">
        <v>0</v>
      </c>
      <c r="P2084" s="24">
        <f>LEN(E2084)+LEN(K2084)</f>
        <v>89</v>
      </c>
      <c r="Q2084" s="24">
        <f>COUNTIFS(B:B,B2083)</f>
        <v>94</v>
      </c>
      <c r="R2084" s="24">
        <f>COUNTIFS(D:D,D2084)</f>
        <v>0</v>
      </c>
    </row>
    <row r="2085" spans="1:18" x14ac:dyDescent="0.3">
      <c r="A2085" s="14">
        <v>1711</v>
      </c>
      <c r="B2085" s="21" t="s">
        <v>356</v>
      </c>
      <c r="C2085" s="21" t="s">
        <v>2672</v>
      </c>
      <c r="E2085" s="1" t="s">
        <v>919</v>
      </c>
      <c r="F2085" s="21"/>
      <c r="G2085" s="14">
        <v>0</v>
      </c>
      <c r="H2085" s="14">
        <v>0</v>
      </c>
      <c r="I2085" s="25">
        <v>205</v>
      </c>
      <c r="J2085" s="23">
        <f>VLOOKUP(I2085,episodes!$A$1:$B$81,2,FALSE)</f>
        <v>35</v>
      </c>
      <c r="K2085" s="16" t="str">
        <f>VLOOKUP(I2085,episodes!$A$1:$E$81,5,FALSE)</f>
        <v>The Apple</v>
      </c>
      <c r="L2085" s="16">
        <f>VLOOKUP(I2085,episodes!$A$1:$D$81,3,FALSE)</f>
        <v>2</v>
      </c>
      <c r="M2085" s="16">
        <f>VLOOKUP(I2085,episodes!$A$1:$D$81,4,FALSE)</f>
        <v>5</v>
      </c>
      <c r="O2085" s="14">
        <v>0</v>
      </c>
      <c r="P2085" s="24">
        <f>LEN(E2085)+LEN(K2085)</f>
        <v>86</v>
      </c>
      <c r="Q2085" s="24"/>
      <c r="R2085" s="24"/>
    </row>
    <row r="2086" spans="1:18" x14ac:dyDescent="0.3">
      <c r="A2086" s="14">
        <v>1616</v>
      </c>
      <c r="B2086" s="21" t="s">
        <v>356</v>
      </c>
      <c r="C2086" s="21" t="s">
        <v>2672</v>
      </c>
      <c r="E2086" s="1" t="s">
        <v>1362</v>
      </c>
      <c r="F2086" s="21"/>
      <c r="G2086" s="14">
        <v>0</v>
      </c>
      <c r="H2086" s="14">
        <v>1</v>
      </c>
      <c r="I2086" s="22">
        <v>128</v>
      </c>
      <c r="J2086" s="23">
        <f>VLOOKUP(I2086,episodes!$A$1:$B$76,2,FALSE)</f>
        <v>29</v>
      </c>
      <c r="K2086" s="16" t="str">
        <f>VLOOKUP(I2086,episodes!$A$1:$E$81,5,FALSE)</f>
        <v>The City on the Edge of Forever</v>
      </c>
      <c r="L2086" s="16">
        <f>VLOOKUP(I2086,episodes!$A$1:$D$81,3,FALSE)</f>
        <v>1</v>
      </c>
      <c r="M2086" s="16">
        <f>VLOOKUP(I2086,episodes!$A$1:$D$81,4,FALSE)</f>
        <v>28</v>
      </c>
      <c r="O2086" s="14">
        <v>0</v>
      </c>
      <c r="P2086" s="24">
        <f>LEN(E2086)+LEN(K2086)</f>
        <v>88</v>
      </c>
      <c r="Q2086" s="24">
        <f>COUNTIFS(B:B,B2085)</f>
        <v>94</v>
      </c>
      <c r="R2086" s="24">
        <f>COUNTIFS(D:D,D2086)</f>
        <v>0</v>
      </c>
    </row>
    <row r="2087" spans="1:18" x14ac:dyDescent="0.3">
      <c r="A2087" s="14">
        <v>1687</v>
      </c>
      <c r="B2087" s="21" t="s">
        <v>356</v>
      </c>
      <c r="C2087" s="21" t="s">
        <v>2672</v>
      </c>
      <c r="E2087" s="1" t="s">
        <v>2132</v>
      </c>
      <c r="F2087" s="21"/>
      <c r="G2087" s="26">
        <v>0</v>
      </c>
      <c r="H2087" s="14">
        <v>0</v>
      </c>
      <c r="I2087" s="22">
        <v>117</v>
      </c>
      <c r="J2087" s="23">
        <f>VLOOKUP(I2087,episodes!$A$1:$B$76,2,FALSE)</f>
        <v>18</v>
      </c>
      <c r="K2087" s="16" t="str">
        <f>VLOOKUP(I2087,episodes!$A$1:$E$81,5,FALSE)</f>
        <v>The Squire of Gothos</v>
      </c>
      <c r="L2087" s="16">
        <f>VLOOKUP(I2087,episodes!$A$1:$D$81,3,FALSE)</f>
        <v>1</v>
      </c>
      <c r="M2087" s="16">
        <f>VLOOKUP(I2087,episodes!$A$1:$D$81,4,FALSE)</f>
        <v>17</v>
      </c>
      <c r="O2087" s="14">
        <v>0</v>
      </c>
      <c r="P2087" s="24">
        <f>LEN(E2087)+LEN(K2087)</f>
        <v>147</v>
      </c>
      <c r="Q2087" s="24"/>
      <c r="R2087" s="24"/>
    </row>
    <row r="2088" spans="1:18" x14ac:dyDescent="0.3">
      <c r="A2088" s="14">
        <v>1928</v>
      </c>
      <c r="B2088" s="21" t="s">
        <v>356</v>
      </c>
      <c r="C2088" s="21" t="s">
        <v>2672</v>
      </c>
      <c r="E2088" s="1" t="s">
        <v>902</v>
      </c>
      <c r="F2088" s="21"/>
      <c r="G2088" s="14">
        <v>0</v>
      </c>
      <c r="H2088" s="14">
        <v>0</v>
      </c>
      <c r="I2088" s="25">
        <v>203</v>
      </c>
      <c r="J2088" s="23">
        <f>VLOOKUP(I2088,episodes!$A$1:$B$76,2,FALSE)</f>
        <v>33</v>
      </c>
      <c r="K2088" s="16" t="str">
        <f>VLOOKUP(I2088,episodes!$A$1:$E$81,5,FALSE)</f>
        <v>The Changeling</v>
      </c>
      <c r="L2088" s="16">
        <f>VLOOKUP(I2088,episodes!$A$1:$D$81,3,FALSE)</f>
        <v>2</v>
      </c>
      <c r="M2088" s="16">
        <f>VLOOKUP(I2088,episodes!$A$1:$D$81,4,FALSE)</f>
        <v>3</v>
      </c>
      <c r="O2088" s="14">
        <v>0</v>
      </c>
      <c r="P2088" s="24">
        <f>LEN(E2088)+LEN(K2088)</f>
        <v>57</v>
      </c>
      <c r="Q2088" s="24">
        <f>COUNTIFS(B:B,B2087)</f>
        <v>94</v>
      </c>
      <c r="R2088" s="24">
        <f>COUNTIFS(D:D,D2088)</f>
        <v>0</v>
      </c>
    </row>
    <row r="2089" spans="1:18" x14ac:dyDescent="0.3">
      <c r="A2089" s="14">
        <v>1929</v>
      </c>
      <c r="B2089" s="21" t="s">
        <v>356</v>
      </c>
      <c r="C2089" s="21" t="s">
        <v>2672</v>
      </c>
      <c r="E2089" s="1" t="s">
        <v>1647</v>
      </c>
      <c r="F2089" s="21"/>
      <c r="G2089" s="14">
        <v>0</v>
      </c>
      <c r="H2089" s="14">
        <v>0</v>
      </c>
      <c r="I2089" s="25">
        <v>203</v>
      </c>
      <c r="J2089" s="23">
        <f>VLOOKUP(I2089,episodes!$A$1:$B$76,2,FALSE)</f>
        <v>33</v>
      </c>
      <c r="K2089" s="16" t="str">
        <f>VLOOKUP(I2089,episodes!$A$1:$E$81,5,FALSE)</f>
        <v>The Changeling</v>
      </c>
      <c r="L2089" s="16">
        <f>VLOOKUP(I2089,episodes!$A$1:$D$81,3,FALSE)</f>
        <v>2</v>
      </c>
      <c r="M2089" s="16">
        <f>VLOOKUP(I2089,episodes!$A$1:$D$81,4,FALSE)</f>
        <v>3</v>
      </c>
      <c r="O2089" s="14">
        <v>0</v>
      </c>
      <c r="P2089" s="24">
        <f>LEN(E2089)+LEN(K2089)</f>
        <v>102</v>
      </c>
      <c r="Q2089" s="24">
        <f>COUNTIFS(B:B,B2088)</f>
        <v>94</v>
      </c>
      <c r="R2089" s="24">
        <f>COUNTIFS(D:D,D2089)</f>
        <v>0</v>
      </c>
    </row>
    <row r="2090" spans="1:18" x14ac:dyDescent="0.3">
      <c r="A2090" s="14">
        <v>1798</v>
      </c>
      <c r="B2090" s="21" t="s">
        <v>356</v>
      </c>
      <c r="C2090" s="21" t="s">
        <v>2672</v>
      </c>
      <c r="E2090" s="1" t="s">
        <v>1061</v>
      </c>
      <c r="F2090" s="21"/>
      <c r="G2090" s="14">
        <v>0</v>
      </c>
      <c r="H2090" s="14">
        <v>0</v>
      </c>
      <c r="I2090" s="25">
        <v>100</v>
      </c>
      <c r="J2090" s="23">
        <f>VLOOKUP(I2090,episodes!$A$1:$B$76,2,FALSE)</f>
        <v>1</v>
      </c>
      <c r="K2090" s="16" t="str">
        <f>VLOOKUP(I2090,episodes!$A$1:$E$81,5,FALSE)</f>
        <v>The Cage</v>
      </c>
      <c r="L2090" s="16">
        <f>VLOOKUP(I2090,episodes!$A$1:$D$81,3,FALSE)</f>
        <v>1</v>
      </c>
      <c r="M2090" s="16">
        <f>VLOOKUP(I2090,episodes!$A$1:$D$81,4,FALSE)</f>
        <v>0</v>
      </c>
      <c r="O2090" s="14">
        <v>0</v>
      </c>
      <c r="P2090" s="24">
        <f>LEN(E2090)+LEN(K2090)</f>
        <v>81</v>
      </c>
      <c r="Q2090" s="24">
        <f>COUNTIFS(B:B,#REF!)</f>
        <v>0</v>
      </c>
      <c r="R2090" s="24">
        <f>COUNTIFS(D:D,D2090)</f>
        <v>0</v>
      </c>
    </row>
    <row r="2091" spans="1:18" x14ac:dyDescent="0.3">
      <c r="A2091" s="14">
        <v>1800</v>
      </c>
      <c r="B2091" s="21" t="s">
        <v>356</v>
      </c>
      <c r="C2091" s="21" t="s">
        <v>2672</v>
      </c>
      <c r="E2091" s="1" t="s">
        <v>1063</v>
      </c>
      <c r="F2091" s="21"/>
      <c r="G2091" s="14">
        <v>0</v>
      </c>
      <c r="H2091" s="14">
        <v>0</v>
      </c>
      <c r="I2091" s="25">
        <v>100</v>
      </c>
      <c r="J2091" s="23">
        <f>VLOOKUP(I2091,episodes!$A$1:$B$76,2,FALSE)</f>
        <v>1</v>
      </c>
      <c r="K2091" s="16" t="str">
        <f>VLOOKUP(I2091,episodes!$A$1:$E$81,5,FALSE)</f>
        <v>The Cage</v>
      </c>
      <c r="L2091" s="16">
        <f>VLOOKUP(I2091,episodes!$A$1:$D$81,3,FALSE)</f>
        <v>1</v>
      </c>
      <c r="M2091" s="16">
        <f>VLOOKUP(I2091,episodes!$A$1:$D$81,4,FALSE)</f>
        <v>0</v>
      </c>
      <c r="O2091" s="14">
        <v>0</v>
      </c>
      <c r="P2091" s="24">
        <f>LEN(E2091)+LEN(K2091)</f>
        <v>110</v>
      </c>
      <c r="Q2091" s="24">
        <f>COUNTIFS(B:B,B2090)</f>
        <v>94</v>
      </c>
      <c r="R2091" s="24">
        <f>COUNTIFS(D:D,D2091)</f>
        <v>0</v>
      </c>
    </row>
    <row r="2092" spans="1:18" x14ac:dyDescent="0.3">
      <c r="A2092" s="14">
        <v>1831</v>
      </c>
      <c r="B2092" s="21" t="s">
        <v>356</v>
      </c>
      <c r="C2092" s="21" t="s">
        <v>2672</v>
      </c>
      <c r="E2092" s="1" t="s">
        <v>1060</v>
      </c>
      <c r="F2092" s="21"/>
      <c r="G2092" s="14">
        <v>0</v>
      </c>
      <c r="H2092" s="14">
        <v>0</v>
      </c>
      <c r="I2092" s="25">
        <v>100</v>
      </c>
      <c r="J2092" s="23">
        <f>VLOOKUP(I2092,episodes!$A$1:$B$76,2,FALSE)</f>
        <v>1</v>
      </c>
      <c r="K2092" s="16" t="str">
        <f>VLOOKUP(I2092,episodes!$A$1:$E$81,5,FALSE)</f>
        <v>The Cage</v>
      </c>
      <c r="L2092" s="16">
        <f>VLOOKUP(I2092,episodes!$A$1:$D$81,3,FALSE)</f>
        <v>1</v>
      </c>
      <c r="M2092" s="16">
        <f>VLOOKUP(I2092,episodes!$A$1:$D$81,4,FALSE)</f>
        <v>0</v>
      </c>
      <c r="O2092" s="14">
        <v>0</v>
      </c>
      <c r="P2092" s="24">
        <f>LEN(E2092)+LEN(K2092)</f>
        <v>64</v>
      </c>
      <c r="Q2092" s="24">
        <f>COUNTIFS(B:B,B2091)</f>
        <v>94</v>
      </c>
      <c r="R2092" s="24">
        <f>COUNTIFS(D:D,D2092)</f>
        <v>0</v>
      </c>
    </row>
    <row r="2093" spans="1:18" x14ac:dyDescent="0.3">
      <c r="A2093" s="14">
        <v>1845</v>
      </c>
      <c r="B2093" s="21" t="s">
        <v>356</v>
      </c>
      <c r="C2093" s="21" t="s">
        <v>2672</v>
      </c>
      <c r="E2093" s="1" t="s">
        <v>1062</v>
      </c>
      <c r="F2093" s="21"/>
      <c r="G2093" s="14">
        <v>0</v>
      </c>
      <c r="H2093" s="14">
        <v>0</v>
      </c>
      <c r="I2093" s="25">
        <v>100</v>
      </c>
      <c r="J2093" s="23">
        <f>VLOOKUP(I2093,episodes!$A$1:$B$76,2,FALSE)</f>
        <v>1</v>
      </c>
      <c r="K2093" s="16" t="str">
        <f>VLOOKUP(I2093,episodes!$A$1:$E$81,5,FALSE)</f>
        <v>The Cage</v>
      </c>
      <c r="L2093" s="16">
        <f>VLOOKUP(I2093,episodes!$A$1:$D$81,3,FALSE)</f>
        <v>1</v>
      </c>
      <c r="M2093" s="16">
        <f>VLOOKUP(I2093,episodes!$A$1:$D$81,4,FALSE)</f>
        <v>0</v>
      </c>
      <c r="O2093" s="14">
        <v>0</v>
      </c>
      <c r="P2093" s="24">
        <f>LEN(E2093)+LEN(K2093)</f>
        <v>88</v>
      </c>
      <c r="Q2093" s="24"/>
      <c r="R2093" s="24"/>
    </row>
    <row r="2094" spans="1:18" x14ac:dyDescent="0.3">
      <c r="A2094" s="14">
        <v>298</v>
      </c>
      <c r="B2094" s="21" t="s">
        <v>356</v>
      </c>
      <c r="C2094" s="21" t="s">
        <v>2672</v>
      </c>
      <c r="E2094" s="1" t="s">
        <v>2136</v>
      </c>
      <c r="F2094" s="21"/>
      <c r="G2094" s="14">
        <v>0</v>
      </c>
      <c r="H2094" s="14">
        <v>0</v>
      </c>
      <c r="I2094" s="22">
        <v>119</v>
      </c>
      <c r="J2094" s="23">
        <f>VLOOKUP(I2094,episodes!$A$1:$B$76,2,FALSE)</f>
        <v>20</v>
      </c>
      <c r="K2094" s="16" t="str">
        <f>VLOOKUP(I2094,episodes!$A$1:$E$81,5,FALSE)</f>
        <v>Tomorrow Is Yesterday</v>
      </c>
      <c r="L2094" s="16">
        <f>VLOOKUP(I2094,episodes!$A$1:$D$81,3,FALSE)</f>
        <v>1</v>
      </c>
      <c r="M2094" s="16">
        <f>VLOOKUP(I2094,episodes!$A$1:$D$81,4,FALSE)</f>
        <v>19</v>
      </c>
      <c r="O2094" s="14">
        <v>0</v>
      </c>
      <c r="P2094" s="24">
        <f>LEN(E2094)+LEN(K2094)</f>
        <v>97</v>
      </c>
      <c r="Q2094" s="24">
        <f>COUNTIFS(B:B,B2093)</f>
        <v>94</v>
      </c>
      <c r="R2094" s="24">
        <f>COUNTIFS(D:D,D2094)</f>
        <v>0</v>
      </c>
    </row>
    <row r="2095" spans="1:18" x14ac:dyDescent="0.3">
      <c r="A2095" s="14">
        <v>1995</v>
      </c>
      <c r="B2095" s="21" t="s">
        <v>356</v>
      </c>
      <c r="C2095" s="21" t="s">
        <v>2672</v>
      </c>
      <c r="E2095" s="1" t="s">
        <v>937</v>
      </c>
      <c r="F2095" s="21"/>
      <c r="G2095" s="14">
        <v>0</v>
      </c>
      <c r="H2095" s="14">
        <v>1</v>
      </c>
      <c r="I2095" s="25">
        <v>206</v>
      </c>
      <c r="J2095" s="23">
        <f>VLOOKUP(I2095,episodes!$A$1:$B$81,2,FALSE)</f>
        <v>36</v>
      </c>
      <c r="K2095" s="16" t="str">
        <f>VLOOKUP(I2095,episodes!$A$1:$E$81,5,FALSE)</f>
        <v>The Doomsday Machine</v>
      </c>
      <c r="L2095" s="16">
        <f>VLOOKUP(I2095,episodes!$A$1:$D$81,3,FALSE)</f>
        <v>2</v>
      </c>
      <c r="M2095" s="16">
        <f>VLOOKUP(I2095,episodes!$A$1:$D$81,4,FALSE)</f>
        <v>6</v>
      </c>
      <c r="O2095" s="14">
        <v>0</v>
      </c>
      <c r="P2095" s="24">
        <f>LEN(E2095)+LEN(K2095)</f>
        <v>70</v>
      </c>
      <c r="Q2095" s="24">
        <f>COUNTIFS(B:B,B2094)</f>
        <v>94</v>
      </c>
      <c r="R2095" s="24">
        <f>COUNTIFS(D:D,D2095)</f>
        <v>0</v>
      </c>
    </row>
    <row r="2096" spans="1:18" x14ac:dyDescent="0.3">
      <c r="A2096" s="14">
        <v>1967</v>
      </c>
      <c r="B2096" s="21" t="s">
        <v>356</v>
      </c>
      <c r="C2096" s="21" t="s">
        <v>2672</v>
      </c>
      <c r="E2096" s="1" t="s">
        <v>1226</v>
      </c>
      <c r="F2096" s="21"/>
      <c r="G2096" s="14">
        <v>0</v>
      </c>
      <c r="H2096" s="14">
        <v>1</v>
      </c>
      <c r="I2096" s="25">
        <v>105</v>
      </c>
      <c r="J2096" s="23">
        <f>VLOOKUP(I2096,episodes!$A$1:$B$76,2,FALSE)</f>
        <v>6</v>
      </c>
      <c r="K2096" s="16" t="str">
        <f>VLOOKUP(I2096,episodes!$A$1:$E$81,5,FALSE)</f>
        <v>The Enemy Within</v>
      </c>
      <c r="L2096" s="16">
        <f>VLOOKUP(I2096,episodes!$A$1:$D$81,3,FALSE)</f>
        <v>1</v>
      </c>
      <c r="M2096" s="16">
        <f>VLOOKUP(I2096,episodes!$A$1:$D$81,4,FALSE)</f>
        <v>5</v>
      </c>
      <c r="O2096" s="14">
        <v>0</v>
      </c>
      <c r="P2096" s="24">
        <f>LEN(E2096)+LEN(K2096)</f>
        <v>103</v>
      </c>
      <c r="Q2096" s="24">
        <f>COUNTIFS(B:B,B2095)</f>
        <v>94</v>
      </c>
      <c r="R2096" s="24">
        <f>COUNTIFS(D:D,D2096)</f>
        <v>0</v>
      </c>
    </row>
    <row r="2097" spans="1:18" x14ac:dyDescent="0.3">
      <c r="A2097" s="14">
        <v>1885</v>
      </c>
      <c r="B2097" s="21" t="s">
        <v>356</v>
      </c>
      <c r="C2097" s="21" t="s">
        <v>2672</v>
      </c>
      <c r="E2097" s="1" t="s">
        <v>2242</v>
      </c>
      <c r="F2097" s="21"/>
      <c r="G2097" s="14">
        <v>0</v>
      </c>
      <c r="H2097" s="14">
        <v>0</v>
      </c>
      <c r="I2097" s="25">
        <v>107</v>
      </c>
      <c r="J2097" s="23">
        <f>VLOOKUP(I2097,episodes!$A$1:$B$76,2,FALSE)</f>
        <v>8</v>
      </c>
      <c r="K2097" s="16" t="str">
        <f>VLOOKUP(I2097,episodes!$A$1:$E$81,5,FALSE)</f>
        <v>What Are Little Girls Made Of?</v>
      </c>
      <c r="L2097" s="16">
        <f>VLOOKUP(I2097,episodes!$A$1:$D$81,3,FALSE)</f>
        <v>1</v>
      </c>
      <c r="M2097" s="16">
        <f>VLOOKUP(I2097,episodes!$A$1:$D$81,4,FALSE)</f>
        <v>7</v>
      </c>
      <c r="O2097" s="14">
        <v>0</v>
      </c>
      <c r="P2097" s="24">
        <f>LEN(E2097)+LEN(K2097)</f>
        <v>99</v>
      </c>
      <c r="Q2097" s="24">
        <f>COUNTIFS(B:B,#REF!)</f>
        <v>0</v>
      </c>
      <c r="R2097" s="24">
        <f>COUNTIFS(D:D,D2097)</f>
        <v>0</v>
      </c>
    </row>
    <row r="2098" spans="1:18" x14ac:dyDescent="0.3">
      <c r="A2098" s="14">
        <v>180</v>
      </c>
      <c r="B2098" s="21" t="s">
        <v>356</v>
      </c>
      <c r="C2098" s="21" t="s">
        <v>2672</v>
      </c>
      <c r="E2098" s="1" t="s">
        <v>668</v>
      </c>
      <c r="F2098" s="21"/>
      <c r="G2098" s="14">
        <v>0</v>
      </c>
      <c r="H2098" s="14">
        <v>0</v>
      </c>
      <c r="I2098" s="22">
        <v>124</v>
      </c>
      <c r="J2098" s="23">
        <f>VLOOKUP(I2098,episodes!$A$1:$B$76,2,FALSE)</f>
        <v>25</v>
      </c>
      <c r="K2098" s="16" t="str">
        <f>VLOOKUP(I2098,episodes!$A$1:$E$81,5,FALSE)</f>
        <v>This Side of Paradise</v>
      </c>
      <c r="L2098" s="16">
        <f>VLOOKUP(I2098,episodes!$A$1:$D$81,3,FALSE)</f>
        <v>1</v>
      </c>
      <c r="M2098" s="16">
        <f>VLOOKUP(I2098,episodes!$A$1:$D$81,4,FALSE)</f>
        <v>24</v>
      </c>
      <c r="O2098" s="14">
        <v>0</v>
      </c>
      <c r="P2098" s="24">
        <f>LEN(E2098)+LEN(K2098)</f>
        <v>84</v>
      </c>
      <c r="Q2098" s="24">
        <f>COUNTIFS(B:B,#REF!)</f>
        <v>0</v>
      </c>
      <c r="R2098" s="24">
        <f>COUNTIFS(D:D,D2098)</f>
        <v>0</v>
      </c>
    </row>
    <row r="2099" spans="1:18" x14ac:dyDescent="0.3">
      <c r="A2099" s="14">
        <v>2323</v>
      </c>
      <c r="B2099" s="21" t="s">
        <v>356</v>
      </c>
      <c r="C2099" s="21" t="s">
        <v>2672</v>
      </c>
      <c r="E2099" s="1" t="s">
        <v>1096</v>
      </c>
      <c r="F2099" s="21"/>
      <c r="G2099" s="14">
        <v>1</v>
      </c>
      <c r="H2099" s="14">
        <v>0</v>
      </c>
      <c r="I2099" s="14">
        <v>104</v>
      </c>
      <c r="J2099" s="23">
        <f>VLOOKUP(I2099,episodes!$A$1:$B$76,2,FALSE)</f>
        <v>5</v>
      </c>
      <c r="K2099" s="16" t="str">
        <f>VLOOKUP(I2099,episodes!$A$1:$E$81,5,FALSE)</f>
        <v>The Naked Time</v>
      </c>
      <c r="L2099" s="16">
        <f>VLOOKUP(I2099,episodes!$A$1:$D$81,3,FALSE)</f>
        <v>1</v>
      </c>
      <c r="M2099" s="16">
        <f>VLOOKUP(I2099,episodes!$A$1:$D$81,4,FALSE)</f>
        <v>4</v>
      </c>
      <c r="O2099" s="14">
        <v>0</v>
      </c>
      <c r="P2099" s="24">
        <f>LEN(E2099)+LEN(K2099)</f>
        <v>95</v>
      </c>
      <c r="Q2099" s="24">
        <f>COUNTIFS(B:B,#REF!)</f>
        <v>0</v>
      </c>
      <c r="R2099" s="24">
        <f>COUNTIFS(D:D,D2099)</f>
        <v>0</v>
      </c>
    </row>
    <row r="2100" spans="1:18" x14ac:dyDescent="0.3">
      <c r="A2100" s="14">
        <v>2092</v>
      </c>
      <c r="B2100" s="21" t="s">
        <v>356</v>
      </c>
      <c r="C2100" s="21" t="s">
        <v>2672</v>
      </c>
      <c r="E2100" s="1" t="s">
        <v>1687</v>
      </c>
      <c r="F2100" s="21"/>
      <c r="G2100" s="14">
        <v>1</v>
      </c>
      <c r="H2100" s="14">
        <v>0</v>
      </c>
      <c r="I2100" s="22">
        <v>115</v>
      </c>
      <c r="J2100" s="23">
        <f>VLOOKUP(I2100,episodes!$A$1:$B$76,2,FALSE)</f>
        <v>16</v>
      </c>
      <c r="K2100" s="16" t="str">
        <f>VLOOKUP(I2100,episodes!$A$1:$E$81,5,FALSE)</f>
        <v>Shore Leave</v>
      </c>
      <c r="L2100" s="16">
        <f>VLOOKUP(I2100,episodes!$A$1:$D$81,3,FALSE)</f>
        <v>1</v>
      </c>
      <c r="M2100" s="16">
        <f>VLOOKUP(I2100,episodes!$A$1:$D$81,4,FALSE)</f>
        <v>15</v>
      </c>
      <c r="O2100" s="14">
        <v>0</v>
      </c>
      <c r="P2100" s="24">
        <f>LEN(E2100)+LEN(K2100)</f>
        <v>95</v>
      </c>
      <c r="Q2100" s="24">
        <f>COUNTIFS(B:B,B2099)</f>
        <v>94</v>
      </c>
      <c r="R2100" s="24">
        <f>COUNTIFS(D:D,D2100)</f>
        <v>0</v>
      </c>
    </row>
    <row r="2101" spans="1:18" x14ac:dyDescent="0.3">
      <c r="A2101" s="14">
        <v>2213</v>
      </c>
      <c r="B2101" s="21" t="s">
        <v>356</v>
      </c>
      <c r="C2101" s="21" t="s">
        <v>2672</v>
      </c>
      <c r="E2101" s="1" t="s">
        <v>2152</v>
      </c>
      <c r="F2101" s="21"/>
      <c r="G2101" s="14">
        <v>1</v>
      </c>
      <c r="H2101" s="14">
        <v>0</v>
      </c>
      <c r="I2101" s="22">
        <v>129</v>
      </c>
      <c r="J2101" s="23">
        <f>VLOOKUP(I2101,episodes!$A$1:$B$76,2,FALSE)</f>
        <v>30</v>
      </c>
      <c r="K2101" s="16" t="str">
        <f>VLOOKUP(I2101,episodes!$A$1:$E$81,5,FALSE)</f>
        <v>Operation: Annihilate!</v>
      </c>
      <c r="L2101" s="16">
        <f>VLOOKUP(I2101,episodes!$A$1:$D$81,3,FALSE)</f>
        <v>1</v>
      </c>
      <c r="M2101" s="16">
        <f>VLOOKUP(I2101,episodes!$A$1:$D$81,4,FALSE)</f>
        <v>29</v>
      </c>
      <c r="O2101" s="14">
        <v>0</v>
      </c>
      <c r="P2101" s="24">
        <f>LEN(E2101)+LEN(K2101)</f>
        <v>90</v>
      </c>
      <c r="Q2101" s="24">
        <f>COUNTIFS(B:B,B2100)</f>
        <v>94</v>
      </c>
      <c r="R2101" s="24">
        <f>COUNTIFS(D:D,D2101)</f>
        <v>0</v>
      </c>
    </row>
    <row r="2102" spans="1:18" x14ac:dyDescent="0.3">
      <c r="A2102" s="14">
        <v>2119</v>
      </c>
      <c r="B2102" s="21" t="s">
        <v>356</v>
      </c>
      <c r="C2102" s="21" t="s">
        <v>2672</v>
      </c>
      <c r="E2102" s="1" t="s">
        <v>1690</v>
      </c>
      <c r="F2102" s="21"/>
      <c r="G2102" s="14">
        <v>1</v>
      </c>
      <c r="H2102" s="14">
        <v>0</v>
      </c>
      <c r="I2102" s="22">
        <v>120</v>
      </c>
      <c r="J2102" s="23">
        <f>VLOOKUP(I2102,episodes!$A$1:$B$76,2,FALSE)</f>
        <v>21</v>
      </c>
      <c r="K2102" s="16" t="str">
        <f>VLOOKUP(I2102,episodes!$A$1:$E$81,5,FALSE)</f>
        <v>Court Martial</v>
      </c>
      <c r="L2102" s="16">
        <f>VLOOKUP(I2102,episodes!$A$1:$D$81,3,FALSE)</f>
        <v>1</v>
      </c>
      <c r="M2102" s="16">
        <f>VLOOKUP(I2102,episodes!$A$1:$D$81,4,FALSE)</f>
        <v>20</v>
      </c>
      <c r="O2102" s="14">
        <v>0</v>
      </c>
      <c r="P2102" s="24">
        <f>LEN(E2102)+LEN(K2102)</f>
        <v>60</v>
      </c>
      <c r="Q2102" s="24">
        <f>COUNTIFS(B:B,B2101)</f>
        <v>94</v>
      </c>
      <c r="R2102" s="24">
        <f>COUNTIFS(D:D,D2102)</f>
        <v>0</v>
      </c>
    </row>
    <row r="2103" spans="1:18" x14ac:dyDescent="0.3">
      <c r="A2103" s="14">
        <v>2150</v>
      </c>
      <c r="B2103" s="21" t="s">
        <v>356</v>
      </c>
      <c r="C2103" s="21" t="s">
        <v>2672</v>
      </c>
      <c r="E2103" s="1" t="s">
        <v>671</v>
      </c>
      <c r="F2103" s="21"/>
      <c r="G2103" s="14">
        <v>1</v>
      </c>
      <c r="H2103" s="14">
        <v>0</v>
      </c>
      <c r="I2103" s="22">
        <v>124</v>
      </c>
      <c r="J2103" s="23">
        <f>VLOOKUP(I2103,episodes!$A$1:$B$76,2,FALSE)</f>
        <v>25</v>
      </c>
      <c r="K2103" s="16" t="str">
        <f>VLOOKUP(I2103,episodes!$A$1:$E$81,5,FALSE)</f>
        <v>This Side of Paradise</v>
      </c>
      <c r="L2103" s="16">
        <f>VLOOKUP(I2103,episodes!$A$1:$D$81,3,FALSE)</f>
        <v>1</v>
      </c>
      <c r="M2103" s="16">
        <f>VLOOKUP(I2103,episodes!$A$1:$D$81,4,FALSE)</f>
        <v>24</v>
      </c>
      <c r="O2103" s="14">
        <v>0</v>
      </c>
      <c r="P2103" s="24">
        <f>LEN(E2103)+LEN(K2103)</f>
        <v>74</v>
      </c>
      <c r="Q2103" s="24">
        <f>COUNTIFS(B:B,B2102)</f>
        <v>94</v>
      </c>
      <c r="R2103" s="24">
        <f>COUNTIFS(D:D,D2103)</f>
        <v>0</v>
      </c>
    </row>
    <row r="2104" spans="1:18" x14ac:dyDescent="0.3">
      <c r="A2104" s="14">
        <v>2040</v>
      </c>
      <c r="B2104" s="21" t="s">
        <v>356</v>
      </c>
      <c r="C2104" s="21" t="s">
        <v>2672</v>
      </c>
      <c r="E2104" s="1" t="s">
        <v>1059</v>
      </c>
      <c r="F2104" s="21"/>
      <c r="G2104" s="14">
        <v>1</v>
      </c>
      <c r="H2104" s="14">
        <v>0</v>
      </c>
      <c r="I2104" s="25">
        <v>100</v>
      </c>
      <c r="J2104" s="23">
        <f>VLOOKUP(I2104,episodes!$A$1:$B$76,2,FALSE)</f>
        <v>1</v>
      </c>
      <c r="K2104" s="16" t="str">
        <f>VLOOKUP(I2104,episodes!$A$1:$E$81,5,FALSE)</f>
        <v>The Cage</v>
      </c>
      <c r="L2104" s="16">
        <f>VLOOKUP(I2104,episodes!$A$1:$D$81,3,FALSE)</f>
        <v>1</v>
      </c>
      <c r="M2104" s="16">
        <f>VLOOKUP(I2104,episodes!$A$1:$D$81,4,FALSE)</f>
        <v>0</v>
      </c>
      <c r="O2104" s="14">
        <v>0</v>
      </c>
      <c r="P2104" s="24">
        <f>LEN(E2104)+LEN(K2104)</f>
        <v>53</v>
      </c>
      <c r="Q2104" s="24">
        <f>COUNTIFS(B:B,#REF!)</f>
        <v>0</v>
      </c>
      <c r="R2104" s="24">
        <f>COUNTIFS(D:D,D2104)</f>
        <v>0</v>
      </c>
    </row>
    <row r="2105" spans="1:18" x14ac:dyDescent="0.3">
      <c r="A2105" s="14">
        <v>2401</v>
      </c>
      <c r="B2105" s="21" t="s">
        <v>356</v>
      </c>
      <c r="C2105" s="21" t="s">
        <v>2672</v>
      </c>
      <c r="E2105" s="1" t="s">
        <v>626</v>
      </c>
      <c r="F2105" s="21"/>
      <c r="G2105" s="14">
        <v>0</v>
      </c>
      <c r="H2105" s="14">
        <v>1</v>
      </c>
      <c r="I2105" s="22">
        <v>119</v>
      </c>
      <c r="J2105" s="23">
        <f>VLOOKUP(I2105,episodes!$A$1:$B$76,2,FALSE)</f>
        <v>20</v>
      </c>
      <c r="K2105" s="16" t="str">
        <f>VLOOKUP(I2105,episodes!$A$1:$E$81,5,FALSE)</f>
        <v>Tomorrow Is Yesterday</v>
      </c>
      <c r="L2105" s="16">
        <f>VLOOKUP(I2105,episodes!$A$1:$D$81,3,FALSE)</f>
        <v>1</v>
      </c>
      <c r="M2105" s="16">
        <f>VLOOKUP(I2105,episodes!$A$1:$D$81,4,FALSE)</f>
        <v>19</v>
      </c>
      <c r="O2105" s="14">
        <v>0</v>
      </c>
      <c r="P2105" s="24">
        <f>LEN(E2105)+LEN(K2105)</f>
        <v>115</v>
      </c>
      <c r="Q2105" s="24"/>
      <c r="R2105" s="24"/>
    </row>
    <row r="2106" spans="1:18" x14ac:dyDescent="0.3">
      <c r="A2106" s="14">
        <v>94</v>
      </c>
      <c r="B2106" s="21" t="s">
        <v>356</v>
      </c>
      <c r="C2106" s="21" t="s">
        <v>2672</v>
      </c>
      <c r="E2106" s="1" t="s">
        <v>1210</v>
      </c>
      <c r="F2106" s="21"/>
      <c r="G2106" s="14">
        <v>0</v>
      </c>
      <c r="H2106" s="14">
        <v>0</v>
      </c>
      <c r="I2106" s="25">
        <v>101</v>
      </c>
      <c r="J2106" s="23">
        <f>VLOOKUP(I2106,episodes!$A$1:$B$76,2,FALSE)</f>
        <v>2</v>
      </c>
      <c r="K2106" s="16" t="str">
        <f>VLOOKUP(I2106,episodes!$A$1:$E$81,5,FALSE)</f>
        <v>The Man Trap</v>
      </c>
      <c r="L2106" s="16">
        <f>VLOOKUP(I2106,episodes!$A$1:$D$81,3,FALSE)</f>
        <v>1</v>
      </c>
      <c r="M2106" s="16">
        <f>VLOOKUP(I2106,episodes!$A$1:$D$81,4,FALSE)</f>
        <v>1</v>
      </c>
      <c r="O2106" s="14">
        <v>0</v>
      </c>
      <c r="P2106" s="24">
        <f>LEN(E2106)+LEN(K2106)</f>
        <v>64</v>
      </c>
      <c r="Q2106" s="24">
        <f>COUNTIFS(B:B,B2105)</f>
        <v>94</v>
      </c>
      <c r="R2106" s="24">
        <f>COUNTIFS(D:D,D2106)</f>
        <v>0</v>
      </c>
    </row>
    <row r="2107" spans="1:18" x14ac:dyDescent="0.3">
      <c r="A2107" s="14">
        <v>2458</v>
      </c>
      <c r="B2107" s="21" t="s">
        <v>356</v>
      </c>
      <c r="C2107" s="21" t="s">
        <v>2672</v>
      </c>
      <c r="E2107" s="1" t="s">
        <v>1546</v>
      </c>
      <c r="F2107" s="21"/>
      <c r="G2107" s="14">
        <v>0</v>
      </c>
      <c r="H2107" s="14">
        <v>1</v>
      </c>
      <c r="I2107" s="25">
        <v>105</v>
      </c>
      <c r="J2107" s="23">
        <f>VLOOKUP(I2107,episodes!$A$1:$B$76,2,FALSE)</f>
        <v>6</v>
      </c>
      <c r="K2107" s="16" t="str">
        <f>VLOOKUP(I2107,episodes!$A$1:$E$81,5,FALSE)</f>
        <v>The Enemy Within</v>
      </c>
      <c r="L2107" s="16">
        <f>VLOOKUP(I2107,episodes!$A$1:$D$81,3,FALSE)</f>
        <v>1</v>
      </c>
      <c r="M2107" s="16">
        <f>VLOOKUP(I2107,episodes!$A$1:$D$81,4,FALSE)</f>
        <v>5</v>
      </c>
      <c r="O2107" s="14">
        <v>0</v>
      </c>
      <c r="P2107" s="24">
        <f>LEN(E2107)+LEN(K2107)</f>
        <v>90</v>
      </c>
      <c r="Q2107" s="24">
        <f>COUNTIFS(B:B,B2106)</f>
        <v>94</v>
      </c>
      <c r="R2107" s="24">
        <f>COUNTIFS(D:D,D2107)</f>
        <v>0</v>
      </c>
    </row>
    <row r="2108" spans="1:18" x14ac:dyDescent="0.3">
      <c r="A2108" s="14">
        <v>2451</v>
      </c>
      <c r="B2108" s="21" t="s">
        <v>356</v>
      </c>
      <c r="C2108" s="21" t="s">
        <v>2672</v>
      </c>
      <c r="E2108" s="1" t="s">
        <v>684</v>
      </c>
      <c r="F2108" s="21"/>
      <c r="G2108" s="14">
        <v>0</v>
      </c>
      <c r="H2108" s="14">
        <v>1</v>
      </c>
      <c r="I2108" s="22">
        <v>121</v>
      </c>
      <c r="J2108" s="23">
        <f>VLOOKUP(I2108,episodes!$A$1:$B$76,2,FALSE)</f>
        <v>22</v>
      </c>
      <c r="K2108" s="16" t="str">
        <f>VLOOKUP(I2108,episodes!$A$1:$E$81,5,FALSE)</f>
        <v>The Return of the Archons</v>
      </c>
      <c r="L2108" s="16">
        <f>VLOOKUP(I2108,episodes!$A$1:$D$81,3,FALSE)</f>
        <v>1</v>
      </c>
      <c r="M2108" s="16">
        <f>VLOOKUP(I2108,episodes!$A$1:$D$81,4,FALSE)</f>
        <v>21</v>
      </c>
      <c r="O2108" s="14">
        <v>0</v>
      </c>
      <c r="P2108" s="24">
        <f>LEN(E2108)+LEN(K2108)</f>
        <v>96</v>
      </c>
      <c r="Q2108" s="24">
        <f>COUNTIFS(B:B,B2107)</f>
        <v>94</v>
      </c>
      <c r="R2108" s="24">
        <f>COUNTIFS(D:D,D2108)</f>
        <v>0</v>
      </c>
    </row>
    <row r="2109" spans="1:18" x14ac:dyDescent="0.3">
      <c r="A2109" s="14">
        <v>2485</v>
      </c>
      <c r="B2109" s="21" t="s">
        <v>356</v>
      </c>
      <c r="C2109" s="21" t="s">
        <v>2672</v>
      </c>
      <c r="E2109" s="1" t="s">
        <v>1553</v>
      </c>
      <c r="F2109" s="21"/>
      <c r="G2109" s="14">
        <v>0</v>
      </c>
      <c r="H2109" s="14">
        <v>0</v>
      </c>
      <c r="I2109" s="25">
        <v>105</v>
      </c>
      <c r="J2109" s="23">
        <f>VLOOKUP(I2109,episodes!$A$1:$B$76,2,FALSE)</f>
        <v>6</v>
      </c>
      <c r="K2109" s="16" t="str">
        <f>VLOOKUP(I2109,episodes!$A$1:$E$81,5,FALSE)</f>
        <v>The Enemy Within</v>
      </c>
      <c r="L2109" s="16">
        <f>VLOOKUP(I2109,episodes!$A$1:$D$81,3,FALSE)</f>
        <v>1</v>
      </c>
      <c r="M2109" s="16">
        <f>VLOOKUP(I2109,episodes!$A$1:$D$81,4,FALSE)</f>
        <v>5</v>
      </c>
      <c r="O2109" s="14">
        <v>0</v>
      </c>
      <c r="P2109" s="24">
        <f>LEN(E2109)+LEN(K2109)</f>
        <v>130</v>
      </c>
      <c r="Q2109" s="24">
        <f>COUNTIFS(B:B,B2108)</f>
        <v>94</v>
      </c>
      <c r="R2109" s="24">
        <f>COUNTIFS(D:D,D2109)</f>
        <v>0</v>
      </c>
    </row>
    <row r="2110" spans="1:18" x14ac:dyDescent="0.3">
      <c r="A2110" s="14">
        <v>2726</v>
      </c>
      <c r="B2110" s="21" t="s">
        <v>356</v>
      </c>
      <c r="C2110" s="21" t="s">
        <v>2672</v>
      </c>
      <c r="E2110" s="1" t="s">
        <v>589</v>
      </c>
      <c r="F2110" s="21"/>
      <c r="G2110" s="14">
        <v>0</v>
      </c>
      <c r="H2110" s="14">
        <v>0</v>
      </c>
      <c r="I2110" s="25">
        <v>105</v>
      </c>
      <c r="J2110" s="23">
        <f>VLOOKUP(I2110,episodes!$A$1:$B$76,2,FALSE)</f>
        <v>6</v>
      </c>
      <c r="K2110" s="16" t="str">
        <f>VLOOKUP(I2110,episodes!$A$1:$E$81,5,FALSE)</f>
        <v>The Enemy Within</v>
      </c>
      <c r="L2110" s="16">
        <f>VLOOKUP(I2110,episodes!$A$1:$D$81,3,FALSE)</f>
        <v>1</v>
      </c>
      <c r="M2110" s="16">
        <f>VLOOKUP(I2110,episodes!$A$1:$D$81,4,FALSE)</f>
        <v>5</v>
      </c>
      <c r="O2110" s="14">
        <v>0</v>
      </c>
      <c r="P2110" s="24">
        <f>LEN(E2110)+LEN(K2110)</f>
        <v>127</v>
      </c>
      <c r="Q2110" s="24">
        <f>COUNTIFS(B:B,B2109)</f>
        <v>94</v>
      </c>
      <c r="R2110" s="24">
        <f>COUNTIFS(D:D,D2110)</f>
        <v>0</v>
      </c>
    </row>
    <row r="2111" spans="1:18" x14ac:dyDescent="0.3">
      <c r="A2111" s="14">
        <v>101</v>
      </c>
      <c r="B2111" s="21" t="s">
        <v>275</v>
      </c>
      <c r="C2111" s="21" t="s">
        <v>921</v>
      </c>
      <c r="D2111" s="1" t="s">
        <v>2606</v>
      </c>
      <c r="E2111" s="1" t="s">
        <v>2048</v>
      </c>
      <c r="F2111" s="1" t="s">
        <v>46</v>
      </c>
      <c r="G2111" s="14">
        <v>0</v>
      </c>
      <c r="H2111" s="14">
        <v>0</v>
      </c>
      <c r="I2111" s="22">
        <v>202</v>
      </c>
      <c r="J2111" s="23">
        <f>VLOOKUP(I2111,episodes!$A$1:$B$76,2,FALSE)</f>
        <v>32</v>
      </c>
      <c r="K2111" s="16" t="str">
        <f>VLOOKUP(I2111,episodes!$A$1:$E$81,5,FALSE)</f>
        <v>Who Mourns for Adonais?</v>
      </c>
      <c r="L2111" s="16">
        <f>VLOOKUP(I2111,episodes!$A$1:$D$81,3,FALSE)</f>
        <v>2</v>
      </c>
      <c r="M2111" s="16">
        <f>VLOOKUP(I2111,episodes!$A$1:$D$81,4,FALSE)</f>
        <v>2</v>
      </c>
      <c r="O2111" s="14">
        <v>0</v>
      </c>
      <c r="P2111" s="24">
        <f>LEN(E2111)+LEN(K2111)</f>
        <v>58</v>
      </c>
      <c r="Q2111" s="24">
        <f>COUNTIFS(B:B,B2110)</f>
        <v>94</v>
      </c>
      <c r="R2111" s="24">
        <f>COUNTIFS(D:D,D2111)</f>
        <v>97</v>
      </c>
    </row>
    <row r="2112" spans="1:18" x14ac:dyDescent="0.3">
      <c r="A2112" s="14">
        <v>112</v>
      </c>
      <c r="B2112" s="21" t="s">
        <v>275</v>
      </c>
      <c r="C2112" s="21" t="s">
        <v>921</v>
      </c>
      <c r="D2112" s="1" t="s">
        <v>2606</v>
      </c>
      <c r="E2112" s="1" t="s">
        <v>2582</v>
      </c>
      <c r="F2112" s="1" t="s">
        <v>2284</v>
      </c>
      <c r="G2112" s="14">
        <v>0</v>
      </c>
      <c r="H2112" s="14">
        <v>0</v>
      </c>
      <c r="I2112" s="22">
        <v>202</v>
      </c>
      <c r="J2112" s="23">
        <f>VLOOKUP(I2112,episodes!$A$1:$B$76,2,FALSE)</f>
        <v>32</v>
      </c>
      <c r="K2112" s="16" t="str">
        <f>VLOOKUP(I2112,episodes!$A$1:$E$81,5,FALSE)</f>
        <v>Who Mourns for Adonais?</v>
      </c>
      <c r="L2112" s="16">
        <f>VLOOKUP(I2112,episodes!$A$1:$D$81,3,FALSE)</f>
        <v>2</v>
      </c>
      <c r="M2112" s="16">
        <f>VLOOKUP(I2112,episodes!$A$1:$D$81,4,FALSE)</f>
        <v>2</v>
      </c>
      <c r="O2112" s="14">
        <v>0</v>
      </c>
      <c r="P2112" s="24">
        <f>LEN(E2112)+LEN(K2112)</f>
        <v>59</v>
      </c>
      <c r="Q2112" s="24">
        <f>COUNTIFS(B:B,B2111)</f>
        <v>103</v>
      </c>
      <c r="R2112" s="24">
        <f>COUNTIFS(D:D,D2112)</f>
        <v>97</v>
      </c>
    </row>
    <row r="2113" spans="1:18" x14ac:dyDescent="0.3">
      <c r="A2113" s="14">
        <v>132</v>
      </c>
      <c r="B2113" s="21" t="s">
        <v>275</v>
      </c>
      <c r="C2113" s="21" t="s">
        <v>921</v>
      </c>
      <c r="D2113" s="1" t="s">
        <v>2606</v>
      </c>
      <c r="E2113" s="1" t="s">
        <v>2050</v>
      </c>
      <c r="F2113" s="21" t="s">
        <v>7</v>
      </c>
      <c r="G2113" s="14">
        <v>0</v>
      </c>
      <c r="H2113" s="14">
        <v>2</v>
      </c>
      <c r="I2113" s="22">
        <v>202</v>
      </c>
      <c r="J2113" s="23">
        <f>VLOOKUP(I2113,episodes!$A$1:$B$76,2,FALSE)</f>
        <v>32</v>
      </c>
      <c r="K2113" s="16" t="str">
        <f>VLOOKUP(I2113,episodes!$A$1:$E$81,5,FALSE)</f>
        <v>Who Mourns for Adonais?</v>
      </c>
      <c r="L2113" s="16">
        <f>VLOOKUP(I2113,episodes!$A$1:$D$81,3,FALSE)</f>
        <v>2</v>
      </c>
      <c r="M2113" s="16">
        <f>VLOOKUP(I2113,episodes!$A$1:$D$81,4,FALSE)</f>
        <v>2</v>
      </c>
      <c r="O2113" s="14">
        <v>0</v>
      </c>
      <c r="P2113" s="24">
        <f>LEN(E2113)+LEN(K2113)</f>
        <v>104</v>
      </c>
      <c r="Q2113" s="24">
        <f>COUNTIFS(B:B,B2112)</f>
        <v>103</v>
      </c>
      <c r="R2113" s="24">
        <f>COUNTIFS(D:D,D2113)</f>
        <v>97</v>
      </c>
    </row>
    <row r="2114" spans="1:18" x14ac:dyDescent="0.3">
      <c r="A2114" s="14">
        <v>133</v>
      </c>
      <c r="B2114" s="21" t="s">
        <v>275</v>
      </c>
      <c r="C2114" s="21" t="s">
        <v>921</v>
      </c>
      <c r="D2114" s="1" t="s">
        <v>2606</v>
      </c>
      <c r="E2114" s="1" t="s">
        <v>814</v>
      </c>
      <c r="F2114" s="21" t="s">
        <v>7</v>
      </c>
      <c r="G2114" s="14">
        <v>0</v>
      </c>
      <c r="H2114" s="14">
        <v>2</v>
      </c>
      <c r="I2114" s="22">
        <v>202</v>
      </c>
      <c r="J2114" s="23">
        <f>VLOOKUP(I2114,episodes!$A$1:$B$76,2,FALSE)</f>
        <v>32</v>
      </c>
      <c r="K2114" s="16" t="str">
        <f>VLOOKUP(I2114,episodes!$A$1:$E$81,5,FALSE)</f>
        <v>Who Mourns for Adonais?</v>
      </c>
      <c r="L2114" s="16">
        <f>VLOOKUP(I2114,episodes!$A$1:$D$81,3,FALSE)</f>
        <v>2</v>
      </c>
      <c r="M2114" s="16">
        <f>VLOOKUP(I2114,episodes!$A$1:$D$81,4,FALSE)</f>
        <v>2</v>
      </c>
      <c r="O2114" s="14">
        <v>0</v>
      </c>
      <c r="P2114" s="24">
        <f>LEN(E2114)+LEN(K2114)</f>
        <v>62</v>
      </c>
      <c r="Q2114" s="24">
        <f>COUNTIFS(B:B,B2113)</f>
        <v>103</v>
      </c>
      <c r="R2114" s="24">
        <f>COUNTIFS(D:D,D2114)</f>
        <v>97</v>
      </c>
    </row>
    <row r="2115" spans="1:18" x14ac:dyDescent="0.3">
      <c r="A2115" s="14">
        <v>141</v>
      </c>
      <c r="B2115" s="21" t="s">
        <v>275</v>
      </c>
      <c r="C2115" s="21" t="s">
        <v>921</v>
      </c>
      <c r="D2115" s="1" t="s">
        <v>2606</v>
      </c>
      <c r="E2115" s="1" t="s">
        <v>539</v>
      </c>
      <c r="F2115" s="21" t="s">
        <v>7</v>
      </c>
      <c r="G2115" s="14">
        <v>0</v>
      </c>
      <c r="H2115" s="14">
        <v>2</v>
      </c>
      <c r="I2115" s="25">
        <v>205</v>
      </c>
      <c r="J2115" s="23">
        <f>VLOOKUP(I2115,episodes!$A$1:$B$81,2,FALSE)</f>
        <v>35</v>
      </c>
      <c r="K2115" s="16" t="str">
        <f>VLOOKUP(I2115,episodes!$A$1:$E$81,5,FALSE)</f>
        <v>The Apple</v>
      </c>
      <c r="L2115" s="16">
        <f>VLOOKUP(I2115,episodes!$A$1:$D$81,3,FALSE)</f>
        <v>2</v>
      </c>
      <c r="M2115" s="16">
        <f>VLOOKUP(I2115,episodes!$A$1:$D$81,4,FALSE)</f>
        <v>5</v>
      </c>
      <c r="O2115" s="14">
        <v>0</v>
      </c>
      <c r="P2115" s="24">
        <f>LEN(E2115)+LEN(K2115)</f>
        <v>41</v>
      </c>
      <c r="Q2115" s="24">
        <f>COUNTIFS(B:B,B2114)</f>
        <v>103</v>
      </c>
      <c r="R2115" s="24">
        <f>COUNTIFS(D:D,D2115)</f>
        <v>97</v>
      </c>
    </row>
    <row r="2116" spans="1:18" x14ac:dyDescent="0.3">
      <c r="A2116" s="14">
        <v>1888</v>
      </c>
      <c r="B2116" s="21" t="s">
        <v>275</v>
      </c>
      <c r="C2116" s="21" t="s">
        <v>921</v>
      </c>
      <c r="D2116" s="1" t="s">
        <v>2606</v>
      </c>
      <c r="E2116" s="1" t="s">
        <v>1628</v>
      </c>
      <c r="F2116" s="21" t="s">
        <v>45</v>
      </c>
      <c r="G2116" s="14">
        <v>0</v>
      </c>
      <c r="H2116" s="14">
        <v>0</v>
      </c>
      <c r="I2116" s="22">
        <v>120</v>
      </c>
      <c r="J2116" s="23">
        <f>VLOOKUP(I2116,episodes!$A$1:$B$76,2,FALSE)</f>
        <v>21</v>
      </c>
      <c r="K2116" s="16" t="str">
        <f>VLOOKUP(I2116,episodes!$A$1:$E$81,5,FALSE)</f>
        <v>Court Martial</v>
      </c>
      <c r="L2116" s="16">
        <f>VLOOKUP(I2116,episodes!$A$1:$D$81,3,FALSE)</f>
        <v>1</v>
      </c>
      <c r="M2116" s="16">
        <f>VLOOKUP(I2116,episodes!$A$1:$D$81,4,FALSE)</f>
        <v>20</v>
      </c>
      <c r="O2116" s="14">
        <v>0</v>
      </c>
      <c r="P2116" s="24">
        <f>LEN(E2116)+LEN(K2116)</f>
        <v>52</v>
      </c>
      <c r="Q2116" s="24">
        <f>COUNTIFS(B:B,B2115)</f>
        <v>103</v>
      </c>
      <c r="R2116" s="24">
        <f>COUNTIFS(D:D,D2116)</f>
        <v>97</v>
      </c>
    </row>
    <row r="2117" spans="1:18" x14ac:dyDescent="0.3">
      <c r="A2117" s="14">
        <v>221</v>
      </c>
      <c r="B2117" s="21" t="s">
        <v>275</v>
      </c>
      <c r="C2117" s="21" t="s">
        <v>921</v>
      </c>
      <c r="D2117" s="1" t="s">
        <v>2606</v>
      </c>
      <c r="E2117" s="1" t="s">
        <v>501</v>
      </c>
      <c r="F2117" s="21" t="s">
        <v>56</v>
      </c>
      <c r="G2117" s="14">
        <v>0</v>
      </c>
      <c r="H2117" s="14">
        <v>0</v>
      </c>
      <c r="I2117" s="22">
        <v>117</v>
      </c>
      <c r="J2117" s="23">
        <f>VLOOKUP(I2117,episodes!$A$1:$B$76,2,FALSE)</f>
        <v>18</v>
      </c>
      <c r="K2117" s="16" t="str">
        <f>VLOOKUP(I2117,episodes!$A$1:$E$81,5,FALSE)</f>
        <v>The Squire of Gothos</v>
      </c>
      <c r="L2117" s="16">
        <f>VLOOKUP(I2117,episodes!$A$1:$D$81,3,FALSE)</f>
        <v>1</v>
      </c>
      <c r="M2117" s="16">
        <f>VLOOKUP(I2117,episodes!$A$1:$D$81,4,FALSE)</f>
        <v>17</v>
      </c>
      <c r="O2117" s="14">
        <v>0</v>
      </c>
      <c r="P2117" s="24">
        <f>LEN(E2117)+LEN(K2117)</f>
        <v>55</v>
      </c>
      <c r="Q2117" s="24">
        <f>COUNTIFS(B:B,B2116)</f>
        <v>103</v>
      </c>
      <c r="R2117" s="24">
        <f>COUNTIFS(D:D,D2117)</f>
        <v>97</v>
      </c>
    </row>
    <row r="2118" spans="1:18" x14ac:dyDescent="0.3">
      <c r="A2118" s="14">
        <v>222</v>
      </c>
      <c r="B2118" s="21" t="s">
        <v>275</v>
      </c>
      <c r="C2118" s="21" t="s">
        <v>921</v>
      </c>
      <c r="D2118" s="1" t="s">
        <v>2606</v>
      </c>
      <c r="E2118" s="1" t="s">
        <v>466</v>
      </c>
      <c r="F2118" s="21" t="s">
        <v>56</v>
      </c>
      <c r="G2118" s="14">
        <v>0</v>
      </c>
      <c r="H2118" s="14">
        <v>0</v>
      </c>
      <c r="I2118" s="22">
        <v>120</v>
      </c>
      <c r="J2118" s="23">
        <f>VLOOKUP(I2118,episodes!$A$1:$B$76,2,FALSE)</f>
        <v>21</v>
      </c>
      <c r="K2118" s="16" t="str">
        <f>VLOOKUP(I2118,episodes!$A$1:$E$81,5,FALSE)</f>
        <v>Court Martial</v>
      </c>
      <c r="L2118" s="16">
        <f>VLOOKUP(I2118,episodes!$A$1:$D$81,3,FALSE)</f>
        <v>1</v>
      </c>
      <c r="M2118" s="16">
        <f>VLOOKUP(I2118,episodes!$A$1:$D$81,4,FALSE)</f>
        <v>20</v>
      </c>
      <c r="O2118" s="14">
        <v>0</v>
      </c>
      <c r="P2118" s="24">
        <f>LEN(E2118)+LEN(K2118)</f>
        <v>54</v>
      </c>
      <c r="Q2118" s="24">
        <f>COUNTIFS(B:B,B2117)</f>
        <v>103</v>
      </c>
      <c r="R2118" s="24">
        <f>COUNTIFS(D:D,D2118)</f>
        <v>97</v>
      </c>
    </row>
    <row r="2119" spans="1:18" x14ac:dyDescent="0.3">
      <c r="A2119" s="14">
        <v>1177</v>
      </c>
      <c r="B2119" s="21" t="s">
        <v>275</v>
      </c>
      <c r="C2119" s="21" t="s">
        <v>921</v>
      </c>
      <c r="D2119" s="1" t="s">
        <v>2606</v>
      </c>
      <c r="E2119" s="1" t="s">
        <v>511</v>
      </c>
      <c r="F2119" s="21" t="s">
        <v>4</v>
      </c>
      <c r="G2119" s="14">
        <v>1</v>
      </c>
      <c r="H2119" s="14">
        <v>0</v>
      </c>
      <c r="I2119" s="22">
        <v>120</v>
      </c>
      <c r="J2119" s="23">
        <f>VLOOKUP(I2119,episodes!$A$1:$B$76,2,FALSE)</f>
        <v>21</v>
      </c>
      <c r="K2119" s="16" t="str">
        <f>VLOOKUP(I2119,episodes!$A$1:$E$81,5,FALSE)</f>
        <v>Court Martial</v>
      </c>
      <c r="L2119" s="16">
        <f>VLOOKUP(I2119,episodes!$A$1:$D$81,3,FALSE)</f>
        <v>1</v>
      </c>
      <c r="M2119" s="16">
        <f>VLOOKUP(I2119,episodes!$A$1:$D$81,4,FALSE)</f>
        <v>20</v>
      </c>
      <c r="O2119" s="14">
        <v>0</v>
      </c>
      <c r="P2119" s="24">
        <f>LEN(E2119)+LEN(K2119)</f>
        <v>56</v>
      </c>
      <c r="Q2119" s="24">
        <f>COUNTIFS(B:B,B2117)</f>
        <v>103</v>
      </c>
      <c r="R2119" s="24">
        <f>COUNTIFS(D:D,D2119)</f>
        <v>97</v>
      </c>
    </row>
    <row r="2120" spans="1:18" x14ac:dyDescent="0.3">
      <c r="A2120" s="14">
        <v>1452</v>
      </c>
      <c r="B2120" s="21" t="s">
        <v>275</v>
      </c>
      <c r="C2120" s="21" t="s">
        <v>921</v>
      </c>
      <c r="D2120" s="1" t="s">
        <v>2606</v>
      </c>
      <c r="E2120" s="1" t="s">
        <v>426</v>
      </c>
      <c r="F2120" s="21" t="s">
        <v>4</v>
      </c>
      <c r="G2120" s="14">
        <v>1</v>
      </c>
      <c r="H2120" s="14">
        <v>0</v>
      </c>
      <c r="I2120" s="22">
        <v>129</v>
      </c>
      <c r="J2120" s="23">
        <f>VLOOKUP(I2120,episodes!$A$1:$B$76,2,FALSE)</f>
        <v>30</v>
      </c>
      <c r="K2120" s="16" t="str">
        <f>VLOOKUP(I2120,episodes!$A$1:$E$81,5,FALSE)</f>
        <v>Operation: Annihilate!</v>
      </c>
      <c r="L2120" s="16">
        <f>VLOOKUP(I2120,episodes!$A$1:$D$81,3,FALSE)</f>
        <v>1</v>
      </c>
      <c r="M2120" s="16">
        <f>VLOOKUP(I2120,episodes!$A$1:$D$81,4,FALSE)</f>
        <v>29</v>
      </c>
      <c r="O2120" s="14">
        <v>0</v>
      </c>
      <c r="P2120" s="24">
        <f>LEN(E2120)+LEN(K2120)</f>
        <v>69</v>
      </c>
      <c r="Q2120" s="24">
        <f>COUNTIFS(B:B,B2119)</f>
        <v>103</v>
      </c>
      <c r="R2120" s="24">
        <f>COUNTIFS(D:D,D2120)</f>
        <v>97</v>
      </c>
    </row>
    <row r="2121" spans="1:18" x14ac:dyDescent="0.3">
      <c r="A2121" s="14">
        <v>652</v>
      </c>
      <c r="B2121" s="21" t="s">
        <v>275</v>
      </c>
      <c r="C2121" s="21" t="s">
        <v>921</v>
      </c>
      <c r="D2121" s="1" t="s">
        <v>2606</v>
      </c>
      <c r="E2121" s="1" t="s">
        <v>1242</v>
      </c>
      <c r="F2121" s="21" t="s">
        <v>4</v>
      </c>
      <c r="G2121" s="14">
        <v>1</v>
      </c>
      <c r="H2121" s="14">
        <v>0</v>
      </c>
      <c r="I2121" s="25">
        <v>109</v>
      </c>
      <c r="J2121" s="23">
        <f>VLOOKUP(I2121,episodes!$A$1:$B$76,2,FALSE)</f>
        <v>10</v>
      </c>
      <c r="K2121" s="16" t="str">
        <f>VLOOKUP(I2121,episodes!$A$1:$E$81,5,FALSE)</f>
        <v>Dagger of the Mind</v>
      </c>
      <c r="L2121" s="16">
        <f>VLOOKUP(I2121,episodes!$A$1:$D$81,3,FALSE)</f>
        <v>1</v>
      </c>
      <c r="M2121" s="16">
        <f>VLOOKUP(I2121,episodes!$A$1:$D$81,4,FALSE)</f>
        <v>9</v>
      </c>
      <c r="O2121" s="14">
        <v>0</v>
      </c>
      <c r="P2121" s="24">
        <f>LEN(E2121)+LEN(K2121)</f>
        <v>57</v>
      </c>
      <c r="Q2121" s="24">
        <f>COUNTIFS(B:B,B2120)</f>
        <v>103</v>
      </c>
      <c r="R2121" s="24">
        <f>COUNTIFS(D:D,D2121)</f>
        <v>97</v>
      </c>
    </row>
    <row r="2122" spans="1:18" x14ac:dyDescent="0.3">
      <c r="A2122" s="14">
        <v>642</v>
      </c>
      <c r="B2122" s="21" t="s">
        <v>275</v>
      </c>
      <c r="C2122" s="21" t="s">
        <v>921</v>
      </c>
      <c r="D2122" s="1" t="s">
        <v>2606</v>
      </c>
      <c r="E2122" s="1" t="s">
        <v>464</v>
      </c>
      <c r="F2122" s="21" t="s">
        <v>4</v>
      </c>
      <c r="G2122" s="14">
        <v>1</v>
      </c>
      <c r="H2122" s="14">
        <v>0</v>
      </c>
      <c r="I2122" s="25">
        <v>108</v>
      </c>
      <c r="J2122" s="23">
        <f>VLOOKUP(I2122,episodes!$A$1:$B$76,2,FALSE)</f>
        <v>9</v>
      </c>
      <c r="K2122" s="16" t="str">
        <f>VLOOKUP(I2122,episodes!$A$1:$E$81,5,FALSE)</f>
        <v>Miri</v>
      </c>
      <c r="L2122" s="16">
        <f>VLOOKUP(I2122,episodes!$A$1:$D$81,3,FALSE)</f>
        <v>1</v>
      </c>
      <c r="M2122" s="16">
        <f>VLOOKUP(I2122,episodes!$A$1:$D$81,4,FALSE)</f>
        <v>8</v>
      </c>
      <c r="O2122" s="14">
        <v>0</v>
      </c>
      <c r="P2122" s="24">
        <f>LEN(E2122)+LEN(K2122)</f>
        <v>24</v>
      </c>
      <c r="Q2122" s="24">
        <f>COUNTIFS(B:B,B2121)</f>
        <v>103</v>
      </c>
      <c r="R2122" s="24">
        <f>COUNTIFS(D:D,D2122)</f>
        <v>97</v>
      </c>
    </row>
    <row r="2123" spans="1:18" x14ac:dyDescent="0.3">
      <c r="A2123" s="14">
        <v>653</v>
      </c>
      <c r="B2123" s="21" t="s">
        <v>275</v>
      </c>
      <c r="C2123" s="21" t="s">
        <v>921</v>
      </c>
      <c r="D2123" s="1" t="s">
        <v>2606</v>
      </c>
      <c r="E2123" s="1" t="s">
        <v>464</v>
      </c>
      <c r="F2123" s="21" t="s">
        <v>4</v>
      </c>
      <c r="G2123" s="14">
        <v>1</v>
      </c>
      <c r="H2123" s="14">
        <v>0</v>
      </c>
      <c r="I2123" s="25">
        <v>109</v>
      </c>
      <c r="J2123" s="23">
        <f>VLOOKUP(I2123,episodes!$A$1:$B$76,2,FALSE)</f>
        <v>10</v>
      </c>
      <c r="K2123" s="16" t="str">
        <f>VLOOKUP(I2123,episodes!$A$1:$E$81,5,FALSE)</f>
        <v>Dagger of the Mind</v>
      </c>
      <c r="L2123" s="16">
        <f>VLOOKUP(I2123,episodes!$A$1:$D$81,3,FALSE)</f>
        <v>1</v>
      </c>
      <c r="M2123" s="16">
        <f>VLOOKUP(I2123,episodes!$A$1:$D$81,4,FALSE)</f>
        <v>9</v>
      </c>
      <c r="O2123" s="14">
        <v>0</v>
      </c>
      <c r="P2123" s="24">
        <f>LEN(E2123)+LEN(K2123)</f>
        <v>38</v>
      </c>
      <c r="Q2123" s="24">
        <f>COUNTIFS(B:B,B2122)</f>
        <v>103</v>
      </c>
      <c r="R2123" s="24">
        <f>COUNTIFS(D:D,D2123)</f>
        <v>97</v>
      </c>
    </row>
    <row r="2124" spans="1:18" x14ac:dyDescent="0.3">
      <c r="A2124" s="14">
        <v>1810</v>
      </c>
      <c r="B2124" s="21" t="s">
        <v>275</v>
      </c>
      <c r="C2124" s="21" t="s">
        <v>921</v>
      </c>
      <c r="D2124" s="1" t="s">
        <v>2606</v>
      </c>
      <c r="E2124" s="1" t="s">
        <v>2049</v>
      </c>
      <c r="F2124" s="21" t="s">
        <v>2233</v>
      </c>
      <c r="G2124" s="14">
        <v>0</v>
      </c>
      <c r="H2124" s="14">
        <v>0</v>
      </c>
      <c r="I2124" s="22">
        <v>202</v>
      </c>
      <c r="J2124" s="23">
        <f>VLOOKUP(I2124,episodes!$A$1:$B$76,2,FALSE)</f>
        <v>32</v>
      </c>
      <c r="K2124" s="16" t="str">
        <f>VLOOKUP(I2124,episodes!$A$1:$E$81,5,FALSE)</f>
        <v>Who Mourns for Adonais?</v>
      </c>
      <c r="L2124" s="16">
        <f>VLOOKUP(I2124,episodes!$A$1:$D$81,3,FALSE)</f>
        <v>2</v>
      </c>
      <c r="M2124" s="16">
        <f>VLOOKUP(I2124,episodes!$A$1:$D$81,4,FALSE)</f>
        <v>2</v>
      </c>
      <c r="O2124" s="14">
        <v>0</v>
      </c>
      <c r="P2124" s="24">
        <f>LEN(E2124)+LEN(K2124)</f>
        <v>117</v>
      </c>
      <c r="Q2124" s="24">
        <f>COUNTIFS(B:B,B2123)</f>
        <v>103</v>
      </c>
      <c r="R2124" s="24">
        <f>COUNTIFS(D:D,D2124)</f>
        <v>97</v>
      </c>
    </row>
    <row r="2125" spans="1:18" x14ac:dyDescent="0.3">
      <c r="A2125" s="14">
        <v>1811</v>
      </c>
      <c r="B2125" s="21" t="s">
        <v>275</v>
      </c>
      <c r="C2125" s="21" t="s">
        <v>921</v>
      </c>
      <c r="D2125" s="1" t="s">
        <v>2606</v>
      </c>
      <c r="E2125" s="1" t="s">
        <v>815</v>
      </c>
      <c r="F2125" s="21" t="s">
        <v>2233</v>
      </c>
      <c r="G2125" s="14">
        <v>0</v>
      </c>
      <c r="H2125" s="14">
        <v>0</v>
      </c>
      <c r="I2125" s="22">
        <v>202</v>
      </c>
      <c r="J2125" s="23">
        <f>VLOOKUP(I2125,episodes!$A$1:$B$76,2,FALSE)</f>
        <v>32</v>
      </c>
      <c r="K2125" s="16" t="str">
        <f>VLOOKUP(I2125,episodes!$A$1:$E$81,5,FALSE)</f>
        <v>Who Mourns for Adonais?</v>
      </c>
      <c r="L2125" s="16">
        <f>VLOOKUP(I2125,episodes!$A$1:$D$81,3,FALSE)</f>
        <v>2</v>
      </c>
      <c r="M2125" s="16">
        <f>VLOOKUP(I2125,episodes!$A$1:$D$81,4,FALSE)</f>
        <v>2</v>
      </c>
      <c r="O2125" s="14">
        <v>0</v>
      </c>
      <c r="P2125" s="24">
        <f>LEN(E2125)+LEN(K2125)</f>
        <v>75</v>
      </c>
      <c r="Q2125" s="24">
        <f>COUNTIFS(B:B,B2124)</f>
        <v>103</v>
      </c>
      <c r="R2125" s="24">
        <f>COUNTIFS(D:D,D2125)</f>
        <v>97</v>
      </c>
    </row>
    <row r="2126" spans="1:18" x14ac:dyDescent="0.3">
      <c r="A2126" s="14">
        <v>189</v>
      </c>
      <c r="B2126" s="21" t="s">
        <v>275</v>
      </c>
      <c r="C2126" s="21" t="s">
        <v>921</v>
      </c>
      <c r="D2126" s="1" t="s">
        <v>2606</v>
      </c>
      <c r="E2126" s="1" t="s">
        <v>411</v>
      </c>
      <c r="F2126" s="21" t="s">
        <v>1864</v>
      </c>
      <c r="G2126" s="14">
        <v>0</v>
      </c>
      <c r="H2126" s="14">
        <v>0</v>
      </c>
      <c r="I2126" s="22">
        <v>124</v>
      </c>
      <c r="J2126" s="23">
        <f>VLOOKUP(I2126,episodes!$A$1:$B$76,2,FALSE)</f>
        <v>25</v>
      </c>
      <c r="K2126" s="16" t="str">
        <f>VLOOKUP(I2126,episodes!$A$1:$E$81,5,FALSE)</f>
        <v>This Side of Paradise</v>
      </c>
      <c r="L2126" s="16">
        <f>VLOOKUP(I2126,episodes!$A$1:$D$81,3,FALSE)</f>
        <v>1</v>
      </c>
      <c r="M2126" s="16">
        <f>VLOOKUP(I2126,episodes!$A$1:$D$81,4,FALSE)</f>
        <v>24</v>
      </c>
      <c r="O2126" s="14">
        <v>0</v>
      </c>
      <c r="P2126" s="24">
        <f>LEN(E2126)+LEN(K2126)</f>
        <v>72</v>
      </c>
      <c r="Q2126" s="24">
        <f>COUNTIFS(B:B,B2125)</f>
        <v>103</v>
      </c>
      <c r="R2126" s="24">
        <f>COUNTIFS(D:D,D2126)</f>
        <v>97</v>
      </c>
    </row>
    <row r="2127" spans="1:18" x14ac:dyDescent="0.3">
      <c r="A2127" s="14">
        <v>1714</v>
      </c>
      <c r="B2127" s="21" t="s">
        <v>275</v>
      </c>
      <c r="C2127" s="21" t="s">
        <v>921</v>
      </c>
      <c r="D2127" s="1" t="s">
        <v>2606</v>
      </c>
      <c r="E2127" s="1" t="s">
        <v>685</v>
      </c>
      <c r="F2127" s="21" t="s">
        <v>1865</v>
      </c>
      <c r="G2127" s="14">
        <v>0</v>
      </c>
      <c r="H2127" s="14">
        <v>0</v>
      </c>
      <c r="I2127" s="22">
        <v>122</v>
      </c>
      <c r="J2127" s="23">
        <f>VLOOKUP(I2127,episodes!$A$1:$B$76,2,FALSE)</f>
        <v>23</v>
      </c>
      <c r="K2127" s="16" t="str">
        <f>VLOOKUP(I2127,episodes!$A$1:$E$81,5,FALSE)</f>
        <v>Space Seed</v>
      </c>
      <c r="L2127" s="16">
        <f>VLOOKUP(I2127,episodes!$A$1:$D$81,3,FALSE)</f>
        <v>1</v>
      </c>
      <c r="M2127" s="16">
        <f>VLOOKUP(I2127,episodes!$A$1:$D$81,4,FALSE)</f>
        <v>22</v>
      </c>
      <c r="O2127" s="14">
        <v>0</v>
      </c>
      <c r="P2127" s="24">
        <f>LEN(E2127)+LEN(K2127)</f>
        <v>56</v>
      </c>
      <c r="Q2127" s="24">
        <f>COUNTIFS(B:B,B2125)</f>
        <v>103</v>
      </c>
      <c r="R2127" s="24">
        <f>COUNTIFS(D:D,D2127)</f>
        <v>97</v>
      </c>
    </row>
    <row r="2128" spans="1:18" x14ac:dyDescent="0.3">
      <c r="A2128" s="14">
        <v>1523</v>
      </c>
      <c r="B2128" s="21" t="s">
        <v>275</v>
      </c>
      <c r="C2128" s="21" t="s">
        <v>921</v>
      </c>
      <c r="D2128" s="1" t="s">
        <v>2606</v>
      </c>
      <c r="E2128" s="1" t="s">
        <v>1163</v>
      </c>
      <c r="F2128" s="21" t="s">
        <v>8</v>
      </c>
      <c r="G2128" s="14">
        <v>0</v>
      </c>
      <c r="H2128" s="14">
        <v>1</v>
      </c>
      <c r="I2128" s="25">
        <v>101</v>
      </c>
      <c r="J2128" s="23">
        <f>VLOOKUP(I2128,episodes!$A$1:$B$76,2,FALSE)</f>
        <v>2</v>
      </c>
      <c r="K2128" s="16" t="str">
        <f>VLOOKUP(I2128,episodes!$A$1:$E$81,5,FALSE)</f>
        <v>The Man Trap</v>
      </c>
      <c r="L2128" s="16">
        <f>VLOOKUP(I2128,episodes!$A$1:$D$81,3,FALSE)</f>
        <v>1</v>
      </c>
      <c r="M2128" s="16">
        <f>VLOOKUP(I2128,episodes!$A$1:$D$81,4,FALSE)</f>
        <v>1</v>
      </c>
      <c r="O2128" s="14">
        <v>0</v>
      </c>
      <c r="P2128" s="24">
        <f>LEN(E2128)+LEN(K2128)</f>
        <v>75</v>
      </c>
      <c r="Q2128" s="24">
        <f>COUNTIFS(B:B,B2127)</f>
        <v>103</v>
      </c>
      <c r="R2128" s="24">
        <f>COUNTIFS(D:D,D2128)</f>
        <v>97</v>
      </c>
    </row>
    <row r="2129" spans="1:18" x14ac:dyDescent="0.3">
      <c r="A2129" s="14">
        <v>1576</v>
      </c>
      <c r="B2129" s="21" t="s">
        <v>275</v>
      </c>
      <c r="C2129" s="21" t="s">
        <v>921</v>
      </c>
      <c r="D2129" s="1" t="s">
        <v>2606</v>
      </c>
      <c r="E2129" s="1" t="s">
        <v>602</v>
      </c>
      <c r="F2129" s="21" t="s">
        <v>8</v>
      </c>
      <c r="G2129" s="14">
        <v>0</v>
      </c>
      <c r="H2129" s="14">
        <v>1</v>
      </c>
      <c r="I2129" s="22">
        <v>117</v>
      </c>
      <c r="J2129" s="23">
        <f>VLOOKUP(I2129,episodes!$A$1:$B$76,2,FALSE)</f>
        <v>18</v>
      </c>
      <c r="K2129" s="16" t="str">
        <f>VLOOKUP(I2129,episodes!$A$1:$E$81,5,FALSE)</f>
        <v>The Squire of Gothos</v>
      </c>
      <c r="L2129" s="16">
        <f>VLOOKUP(I2129,episodes!$A$1:$D$81,3,FALSE)</f>
        <v>1</v>
      </c>
      <c r="M2129" s="16">
        <f>VLOOKUP(I2129,episodes!$A$1:$D$81,4,FALSE)</f>
        <v>17</v>
      </c>
      <c r="O2129" s="14">
        <v>0</v>
      </c>
      <c r="P2129" s="24">
        <f>LEN(E2129)+LEN(K2129)</f>
        <v>93</v>
      </c>
      <c r="Q2129" s="24">
        <f>COUNTIFS(B:B,B2128)</f>
        <v>103</v>
      </c>
      <c r="R2129" s="24">
        <f>COUNTIFS(D:D,D2129)</f>
        <v>97</v>
      </c>
    </row>
    <row r="2130" spans="1:18" x14ac:dyDescent="0.3">
      <c r="A2130" s="14">
        <v>1656</v>
      </c>
      <c r="B2130" s="21" t="s">
        <v>275</v>
      </c>
      <c r="C2130" s="21" t="s">
        <v>921</v>
      </c>
      <c r="D2130" s="1" t="s">
        <v>2606</v>
      </c>
      <c r="E2130" s="1" t="s">
        <v>2053</v>
      </c>
      <c r="F2130" s="21" t="s">
        <v>8</v>
      </c>
      <c r="G2130" s="14">
        <v>0</v>
      </c>
      <c r="H2130" s="14">
        <v>1</v>
      </c>
      <c r="I2130" s="14">
        <v>209</v>
      </c>
      <c r="J2130" s="23">
        <f>VLOOKUP(I2130,episodes!$A$1:$B$81,2,FALSE)</f>
        <v>39</v>
      </c>
      <c r="K2130" s="16" t="str">
        <f>VLOOKUP(I2130,episodes!$A$1:$E$81,5,FALSE)</f>
        <v>Metamorphosis</v>
      </c>
      <c r="L2130" s="16">
        <f>VLOOKUP(I2130,episodes!$A$1:$D$81,3,FALSE)</f>
        <v>2</v>
      </c>
      <c r="M2130" s="16">
        <f>VLOOKUP(I2130,episodes!$A$1:$D$81,4,FALSE)</f>
        <v>9</v>
      </c>
      <c r="O2130" s="14">
        <v>0</v>
      </c>
      <c r="P2130" s="24">
        <f>LEN(E2130)+LEN(K2130)</f>
        <v>140</v>
      </c>
      <c r="Q2130" s="24">
        <f>COUNTIFS(B:B,B2129)</f>
        <v>103</v>
      </c>
      <c r="R2130" s="24">
        <f>COUNTIFS(D:D,D2130)</f>
        <v>97</v>
      </c>
    </row>
    <row r="2131" spans="1:18" x14ac:dyDescent="0.3">
      <c r="A2131" s="14">
        <v>1712</v>
      </c>
      <c r="B2131" s="21" t="s">
        <v>275</v>
      </c>
      <c r="C2131" s="21" t="s">
        <v>921</v>
      </c>
      <c r="D2131" s="1" t="s">
        <v>2606</v>
      </c>
      <c r="E2131" s="1" t="s">
        <v>2052</v>
      </c>
      <c r="F2131" s="21" t="s">
        <v>8</v>
      </c>
      <c r="G2131" s="14">
        <v>0</v>
      </c>
      <c r="H2131" s="14">
        <v>1</v>
      </c>
      <c r="I2131" s="22">
        <v>208</v>
      </c>
      <c r="J2131" s="23">
        <f>VLOOKUP(I2131,episodes!$A$1:$B$81,2,FALSE)</f>
        <v>38</v>
      </c>
      <c r="K2131" s="16" t="str">
        <f>VLOOKUP(I2131,episodes!$A$1:$E$81,5,FALSE)</f>
        <v>I, Mudd</v>
      </c>
      <c r="L2131" s="16">
        <f>VLOOKUP(I2131,episodes!$A$1:$D$81,3,FALSE)</f>
        <v>2</v>
      </c>
      <c r="M2131" s="16">
        <f>VLOOKUP(I2131,episodes!$A$1:$D$81,4,FALSE)</f>
        <v>8</v>
      </c>
      <c r="O2131" s="14">
        <v>0</v>
      </c>
      <c r="P2131" s="24">
        <f>LEN(E2131)+LEN(K2131)</f>
        <v>67</v>
      </c>
      <c r="Q2131" s="24">
        <f>COUNTIFS(B:B,B2128)</f>
        <v>103</v>
      </c>
      <c r="R2131" s="24">
        <f>COUNTIFS(D:D,D2131)</f>
        <v>97</v>
      </c>
    </row>
    <row r="2132" spans="1:18" x14ac:dyDescent="0.3">
      <c r="A2132" s="14">
        <v>1588</v>
      </c>
      <c r="B2132" s="21" t="s">
        <v>275</v>
      </c>
      <c r="C2132" s="21" t="s">
        <v>921</v>
      </c>
      <c r="D2132" s="1" t="s">
        <v>2606</v>
      </c>
      <c r="E2132" s="1" t="s">
        <v>405</v>
      </c>
      <c r="F2132" s="21" t="s">
        <v>8</v>
      </c>
      <c r="G2132" s="14">
        <v>0</v>
      </c>
      <c r="H2132" s="14">
        <v>1</v>
      </c>
      <c r="I2132" s="22">
        <v>122</v>
      </c>
      <c r="J2132" s="23">
        <f>VLOOKUP(I2132,episodes!$A$1:$B$76,2,FALSE)</f>
        <v>23</v>
      </c>
      <c r="K2132" s="16" t="str">
        <f>VLOOKUP(I2132,episodes!$A$1:$E$81,5,FALSE)</f>
        <v>Space Seed</v>
      </c>
      <c r="L2132" s="16">
        <f>VLOOKUP(I2132,episodes!$A$1:$D$81,3,FALSE)</f>
        <v>1</v>
      </c>
      <c r="M2132" s="16">
        <f>VLOOKUP(I2132,episodes!$A$1:$D$81,4,FALSE)</f>
        <v>22</v>
      </c>
      <c r="O2132" s="14">
        <v>0</v>
      </c>
      <c r="P2132" s="24">
        <f>LEN(E2132)+LEN(K2132)</f>
        <v>52</v>
      </c>
      <c r="Q2132" s="24">
        <f>COUNTIFS(B:B,#REF!)</f>
        <v>0</v>
      </c>
      <c r="R2132" s="24">
        <f>COUNTIFS(D:D,D2132)</f>
        <v>97</v>
      </c>
    </row>
    <row r="2133" spans="1:18" x14ac:dyDescent="0.3">
      <c r="A2133" s="14">
        <v>1601</v>
      </c>
      <c r="B2133" s="21" t="s">
        <v>275</v>
      </c>
      <c r="C2133" s="21" t="s">
        <v>921</v>
      </c>
      <c r="D2133" s="1" t="s">
        <v>2606</v>
      </c>
      <c r="E2133" s="1" t="s">
        <v>412</v>
      </c>
      <c r="F2133" s="21" t="s">
        <v>8</v>
      </c>
      <c r="G2133" s="14">
        <v>0</v>
      </c>
      <c r="H2133" s="14">
        <v>1</v>
      </c>
      <c r="I2133" s="22">
        <v>124</v>
      </c>
      <c r="J2133" s="23">
        <f>VLOOKUP(I2133,episodes!$A$1:$B$76,2,FALSE)</f>
        <v>25</v>
      </c>
      <c r="K2133" s="16" t="str">
        <f>VLOOKUP(I2133,episodes!$A$1:$E$81,5,FALSE)</f>
        <v>This Side of Paradise</v>
      </c>
      <c r="L2133" s="16">
        <f>VLOOKUP(I2133,episodes!$A$1:$D$81,3,FALSE)</f>
        <v>1</v>
      </c>
      <c r="M2133" s="16">
        <f>VLOOKUP(I2133,episodes!$A$1:$D$81,4,FALSE)</f>
        <v>24</v>
      </c>
      <c r="O2133" s="14">
        <v>0</v>
      </c>
      <c r="P2133" s="24">
        <f>LEN(E2133)+LEN(K2133)</f>
        <v>67</v>
      </c>
      <c r="Q2133" s="24">
        <f>COUNTIFS(B:B,B2132)</f>
        <v>103</v>
      </c>
      <c r="R2133" s="24">
        <f>COUNTIFS(D:D,D2133)</f>
        <v>97</v>
      </c>
    </row>
    <row r="2134" spans="1:18" x14ac:dyDescent="0.3">
      <c r="A2134" s="14">
        <v>1606</v>
      </c>
      <c r="B2134" s="21" t="s">
        <v>275</v>
      </c>
      <c r="C2134" s="21" t="s">
        <v>921</v>
      </c>
      <c r="D2134" s="1" t="s">
        <v>2606</v>
      </c>
      <c r="E2134" s="1" t="s">
        <v>696</v>
      </c>
      <c r="F2134" s="21" t="s">
        <v>8</v>
      </c>
      <c r="G2134" s="14">
        <v>0</v>
      </c>
      <c r="H2134" s="14">
        <v>1</v>
      </c>
      <c r="I2134" s="22">
        <v>125</v>
      </c>
      <c r="J2134" s="23">
        <f>VLOOKUP(I2134,episodes!$A$1:$B$76,2,FALSE)</f>
        <v>26</v>
      </c>
      <c r="K2134" s="16" t="str">
        <f>VLOOKUP(I2134,episodes!$A$1:$E$81,5,FALSE)</f>
        <v>The Devil in the Dark</v>
      </c>
      <c r="L2134" s="16">
        <f>VLOOKUP(I2134,episodes!$A$1:$D$81,3,FALSE)</f>
        <v>1</v>
      </c>
      <c r="M2134" s="16">
        <f>VLOOKUP(I2134,episodes!$A$1:$D$81,4,FALSE)</f>
        <v>25</v>
      </c>
      <c r="O2134" s="14">
        <v>0</v>
      </c>
      <c r="P2134" s="24">
        <f>LEN(E2134)+LEN(K2134)</f>
        <v>68</v>
      </c>
      <c r="Q2134" s="24">
        <f>COUNTIFS(B:B,B2133)</f>
        <v>103</v>
      </c>
      <c r="R2134" s="24">
        <f>COUNTIFS(D:D,D2134)</f>
        <v>97</v>
      </c>
    </row>
    <row r="2135" spans="1:18" x14ac:dyDescent="0.3">
      <c r="A2135" s="14">
        <v>1577</v>
      </c>
      <c r="B2135" s="21" t="s">
        <v>275</v>
      </c>
      <c r="C2135" s="21" t="s">
        <v>921</v>
      </c>
      <c r="D2135" s="1" t="s">
        <v>2606</v>
      </c>
      <c r="E2135" s="1" t="s">
        <v>603</v>
      </c>
      <c r="F2135" s="21" t="s">
        <v>8</v>
      </c>
      <c r="G2135" s="14">
        <v>0</v>
      </c>
      <c r="H2135" s="14">
        <v>1</v>
      </c>
      <c r="I2135" s="22">
        <v>117</v>
      </c>
      <c r="J2135" s="23">
        <f>VLOOKUP(I2135,episodes!$A$1:$B$76,2,FALSE)</f>
        <v>18</v>
      </c>
      <c r="K2135" s="16" t="str">
        <f>VLOOKUP(I2135,episodes!$A$1:$E$81,5,FALSE)</f>
        <v>The Squire of Gothos</v>
      </c>
      <c r="L2135" s="16">
        <f>VLOOKUP(I2135,episodes!$A$1:$D$81,3,FALSE)</f>
        <v>1</v>
      </c>
      <c r="M2135" s="16">
        <f>VLOOKUP(I2135,episodes!$A$1:$D$81,4,FALSE)</f>
        <v>17</v>
      </c>
      <c r="O2135" s="14">
        <v>0</v>
      </c>
      <c r="P2135" s="24">
        <f>LEN(E2135)+LEN(K2135)</f>
        <v>97</v>
      </c>
      <c r="Q2135" s="24">
        <f>COUNTIFS(B:B,B2134)</f>
        <v>103</v>
      </c>
      <c r="R2135" s="24">
        <f>COUNTIFS(D:D,D2135)</f>
        <v>97</v>
      </c>
    </row>
    <row r="2136" spans="1:18" x14ac:dyDescent="0.3">
      <c r="A2136" s="14">
        <v>1657</v>
      </c>
      <c r="B2136" s="21" t="s">
        <v>275</v>
      </c>
      <c r="C2136" s="21" t="s">
        <v>921</v>
      </c>
      <c r="D2136" s="1" t="s">
        <v>2606</v>
      </c>
      <c r="E2136" s="1" t="s">
        <v>1587</v>
      </c>
      <c r="F2136" s="21" t="s">
        <v>8</v>
      </c>
      <c r="G2136" s="14">
        <v>0</v>
      </c>
      <c r="H2136" s="14">
        <v>1</v>
      </c>
      <c r="I2136" s="14">
        <v>209</v>
      </c>
      <c r="J2136" s="23">
        <f>VLOOKUP(I2136,episodes!$A$1:$B$81,2,FALSE)</f>
        <v>39</v>
      </c>
      <c r="K2136" s="16" t="str">
        <f>VLOOKUP(I2136,episodes!$A$1:$E$81,5,FALSE)</f>
        <v>Metamorphosis</v>
      </c>
      <c r="L2136" s="16">
        <f>VLOOKUP(I2136,episodes!$A$1:$D$81,3,FALSE)</f>
        <v>2</v>
      </c>
      <c r="M2136" s="16">
        <f>VLOOKUP(I2136,episodes!$A$1:$D$81,4,FALSE)</f>
        <v>9</v>
      </c>
      <c r="O2136" s="14">
        <v>0</v>
      </c>
      <c r="P2136" s="24">
        <f>LEN(E2136)+LEN(K2136)</f>
        <v>65</v>
      </c>
      <c r="Q2136" s="24">
        <f>COUNTIFS(B:B,B2135)</f>
        <v>103</v>
      </c>
      <c r="R2136" s="24">
        <f>COUNTIFS(D:D,D2136)</f>
        <v>97</v>
      </c>
    </row>
    <row r="2137" spans="1:18" x14ac:dyDescent="0.3">
      <c r="A2137" s="14">
        <v>1564</v>
      </c>
      <c r="B2137" s="21" t="s">
        <v>275</v>
      </c>
      <c r="C2137" s="21" t="s">
        <v>921</v>
      </c>
      <c r="D2137" s="1" t="s">
        <v>2606</v>
      </c>
      <c r="E2137" s="1" t="s">
        <v>465</v>
      </c>
      <c r="F2137" s="21" t="s">
        <v>8</v>
      </c>
      <c r="G2137" s="14">
        <v>0</v>
      </c>
      <c r="H2137" s="14">
        <v>1</v>
      </c>
      <c r="I2137" s="25">
        <v>113</v>
      </c>
      <c r="J2137" s="23">
        <f>VLOOKUP(I2137,episodes!$A$1:$B$76,2,FALSE)</f>
        <v>14</v>
      </c>
      <c r="K2137" s="16" t="str">
        <f>VLOOKUP(I2137,episodes!$A$1:$E$81,5,FALSE)</f>
        <v>The Conscience of the King</v>
      </c>
      <c r="L2137" s="16">
        <f>VLOOKUP(I2137,episodes!$A$1:$D$81,3,FALSE)</f>
        <v>1</v>
      </c>
      <c r="M2137" s="16">
        <f>VLOOKUP(I2137,episodes!$A$1:$D$81,4,FALSE)</f>
        <v>13</v>
      </c>
      <c r="O2137" s="14">
        <v>0</v>
      </c>
      <c r="P2137" s="24">
        <f>LEN(E2137)+LEN(K2137)</f>
        <v>59</v>
      </c>
      <c r="Q2137" s="24">
        <f>COUNTIFS(B:B,B2136)</f>
        <v>103</v>
      </c>
      <c r="R2137" s="24">
        <f>COUNTIFS(D:D,D2137)</f>
        <v>97</v>
      </c>
    </row>
    <row r="2138" spans="1:18" x14ac:dyDescent="0.3">
      <c r="A2138" s="14">
        <v>1529</v>
      </c>
      <c r="B2138" s="21" t="s">
        <v>275</v>
      </c>
      <c r="C2138" s="21" t="s">
        <v>921</v>
      </c>
      <c r="D2138" s="1" t="s">
        <v>2606</v>
      </c>
      <c r="E2138" s="1" t="s">
        <v>461</v>
      </c>
      <c r="F2138" s="21" t="s">
        <v>8</v>
      </c>
      <c r="G2138" s="14">
        <v>0</v>
      </c>
      <c r="H2138" s="14">
        <v>1</v>
      </c>
      <c r="I2138" s="14">
        <v>102</v>
      </c>
      <c r="J2138" s="23">
        <f>VLOOKUP(I2138,episodes!$A$1:$B$76,2,FALSE)</f>
        <v>3</v>
      </c>
      <c r="K2138" s="16" t="str">
        <f>VLOOKUP(I2138,episodes!$A$1:$E$81,5,FALSE)</f>
        <v>Charlie X</v>
      </c>
      <c r="L2138" s="16">
        <f>VLOOKUP(I2138,episodes!$A$1:$D$81,3,FALSE)</f>
        <v>1</v>
      </c>
      <c r="M2138" s="16">
        <f>VLOOKUP(I2138,episodes!$A$1:$D$81,4,FALSE)</f>
        <v>2</v>
      </c>
      <c r="O2138" s="14">
        <v>0</v>
      </c>
      <c r="P2138" s="24">
        <f>LEN(E2138)+LEN(K2138)</f>
        <v>30</v>
      </c>
      <c r="Q2138" s="24">
        <f>COUNTIFS(B:B,B2137)</f>
        <v>103</v>
      </c>
      <c r="R2138" s="24">
        <f>COUNTIFS(D:D,D2138)</f>
        <v>97</v>
      </c>
    </row>
    <row r="2139" spans="1:18" x14ac:dyDescent="0.3">
      <c r="A2139" s="14">
        <v>1550</v>
      </c>
      <c r="B2139" s="21" t="s">
        <v>275</v>
      </c>
      <c r="C2139" s="21" t="s">
        <v>921</v>
      </c>
      <c r="D2139" s="1" t="s">
        <v>2606</v>
      </c>
      <c r="E2139" s="1" t="s">
        <v>461</v>
      </c>
      <c r="F2139" s="21" t="s">
        <v>8</v>
      </c>
      <c r="G2139" s="14">
        <v>0</v>
      </c>
      <c r="H2139" s="14">
        <v>1</v>
      </c>
      <c r="I2139" s="25">
        <v>108</v>
      </c>
      <c r="J2139" s="23">
        <f>VLOOKUP(I2139,episodes!$A$1:$B$76,2,FALSE)</f>
        <v>9</v>
      </c>
      <c r="K2139" s="16" t="str">
        <f>VLOOKUP(I2139,episodes!$A$1:$E$81,5,FALSE)</f>
        <v>Miri</v>
      </c>
      <c r="L2139" s="16">
        <f>VLOOKUP(I2139,episodes!$A$1:$D$81,3,FALSE)</f>
        <v>1</v>
      </c>
      <c r="M2139" s="16">
        <f>VLOOKUP(I2139,episodes!$A$1:$D$81,4,FALSE)</f>
        <v>8</v>
      </c>
      <c r="O2139" s="14">
        <v>0</v>
      </c>
      <c r="P2139" s="24">
        <f>LEN(E2139)+LEN(K2139)</f>
        <v>25</v>
      </c>
      <c r="Q2139" s="24">
        <f>COUNTIFS(B:B,B2138)</f>
        <v>103</v>
      </c>
      <c r="R2139" s="24">
        <f>COUNTIFS(D:D,D2139)</f>
        <v>97</v>
      </c>
    </row>
    <row r="2140" spans="1:18" x14ac:dyDescent="0.3">
      <c r="A2140" s="14">
        <v>1621</v>
      </c>
      <c r="B2140" s="21" t="s">
        <v>275</v>
      </c>
      <c r="C2140" s="21" t="s">
        <v>921</v>
      </c>
      <c r="D2140" s="1" t="s">
        <v>2606</v>
      </c>
      <c r="E2140" s="1" t="s">
        <v>461</v>
      </c>
      <c r="F2140" s="21" t="s">
        <v>8</v>
      </c>
      <c r="G2140" s="14">
        <v>0</v>
      </c>
      <c r="H2140" s="14">
        <v>1</v>
      </c>
      <c r="I2140" s="22">
        <v>129</v>
      </c>
      <c r="J2140" s="23">
        <f>VLOOKUP(I2140,episodes!$A$1:$B$76,2,FALSE)</f>
        <v>30</v>
      </c>
      <c r="K2140" s="16" t="str">
        <f>VLOOKUP(I2140,episodes!$A$1:$E$81,5,FALSE)</f>
        <v>Operation: Annihilate!</v>
      </c>
      <c r="L2140" s="16">
        <f>VLOOKUP(I2140,episodes!$A$1:$D$81,3,FALSE)</f>
        <v>1</v>
      </c>
      <c r="M2140" s="16">
        <f>VLOOKUP(I2140,episodes!$A$1:$D$81,4,FALSE)</f>
        <v>29</v>
      </c>
      <c r="O2140" s="14">
        <v>0</v>
      </c>
      <c r="P2140" s="24">
        <f>LEN(E2140)+LEN(K2140)</f>
        <v>43</v>
      </c>
      <c r="Q2140" s="24">
        <f>COUNTIFS(B:B,B2139)</f>
        <v>103</v>
      </c>
      <c r="R2140" s="24">
        <f>COUNTIFS(D:D,D2140)</f>
        <v>97</v>
      </c>
    </row>
    <row r="2141" spans="1:18" x14ac:dyDescent="0.3">
      <c r="A2141" s="14">
        <v>1572</v>
      </c>
      <c r="B2141" s="21" t="s">
        <v>275</v>
      </c>
      <c r="C2141" s="21" t="s">
        <v>921</v>
      </c>
      <c r="D2141" s="1" t="s">
        <v>2606</v>
      </c>
      <c r="E2141" s="1" t="s">
        <v>1820</v>
      </c>
      <c r="F2141" s="21" t="s">
        <v>8</v>
      </c>
      <c r="G2141" s="14">
        <v>0</v>
      </c>
      <c r="H2141" s="14">
        <v>1</v>
      </c>
      <c r="I2141" s="22">
        <v>116</v>
      </c>
      <c r="J2141" s="23">
        <f>VLOOKUP(I2141,episodes!$A$1:$B$76,2,FALSE)</f>
        <v>17</v>
      </c>
      <c r="K2141" s="16" t="str">
        <f>VLOOKUP(I2141,episodes!$A$1:$E$81,5,FALSE)</f>
        <v>The Galileo Seven</v>
      </c>
      <c r="L2141" s="16">
        <f>VLOOKUP(I2141,episodes!$A$1:$D$81,3,FALSE)</f>
        <v>1</v>
      </c>
      <c r="M2141" s="16">
        <f>VLOOKUP(I2141,episodes!$A$1:$D$81,4,FALSE)</f>
        <v>16</v>
      </c>
      <c r="O2141" s="14">
        <v>0</v>
      </c>
      <c r="P2141" s="24">
        <f>LEN(E2141)+LEN(K2141)</f>
        <v>318</v>
      </c>
      <c r="Q2141" s="24">
        <f>COUNTIFS(B:B,B2140)</f>
        <v>103</v>
      </c>
      <c r="R2141" s="24">
        <f>COUNTIFS(D:D,D2141)</f>
        <v>97</v>
      </c>
    </row>
    <row r="2142" spans="1:18" x14ac:dyDescent="0.3">
      <c r="A2142" s="14">
        <v>1909</v>
      </c>
      <c r="B2142" s="21" t="s">
        <v>275</v>
      </c>
      <c r="C2142" s="21" t="s">
        <v>921</v>
      </c>
      <c r="D2142" s="1" t="s">
        <v>2606</v>
      </c>
      <c r="E2142" s="1" t="s">
        <v>2572</v>
      </c>
      <c r="F2142" s="21" t="s">
        <v>146</v>
      </c>
      <c r="G2142" s="14">
        <v>0</v>
      </c>
      <c r="H2142" s="14">
        <v>0</v>
      </c>
      <c r="I2142" s="25">
        <v>203</v>
      </c>
      <c r="J2142" s="23">
        <f>VLOOKUP(I2142,episodes!$A$1:$B$76,2,FALSE)</f>
        <v>33</v>
      </c>
      <c r="K2142" s="16" t="str">
        <f>VLOOKUP(I2142,episodes!$A$1:$E$81,5,FALSE)</f>
        <v>The Changeling</v>
      </c>
      <c r="L2142" s="16">
        <f>VLOOKUP(I2142,episodes!$A$1:$D$81,3,FALSE)</f>
        <v>2</v>
      </c>
      <c r="M2142" s="16">
        <f>VLOOKUP(I2142,episodes!$A$1:$D$81,4,FALSE)</f>
        <v>3</v>
      </c>
      <c r="O2142" s="14">
        <v>0</v>
      </c>
      <c r="P2142" s="24">
        <f>LEN(E2142)+LEN(K2142)</f>
        <v>50</v>
      </c>
      <c r="Q2142" s="24">
        <f>COUNTIFS(B:B,B2141)</f>
        <v>103</v>
      </c>
      <c r="R2142" s="24">
        <f>COUNTIFS(D:D,D2142)</f>
        <v>97</v>
      </c>
    </row>
    <row r="2143" spans="1:18" x14ac:dyDescent="0.3">
      <c r="A2143" s="14">
        <v>1904</v>
      </c>
      <c r="B2143" s="21" t="s">
        <v>275</v>
      </c>
      <c r="C2143" s="21" t="s">
        <v>921</v>
      </c>
      <c r="D2143" s="1" t="s">
        <v>2606</v>
      </c>
      <c r="E2143" s="1" t="s">
        <v>2573</v>
      </c>
      <c r="F2143" s="21" t="s">
        <v>146</v>
      </c>
      <c r="G2143" s="14">
        <v>0</v>
      </c>
      <c r="H2143" s="14">
        <v>0</v>
      </c>
      <c r="I2143" s="25">
        <v>111</v>
      </c>
      <c r="J2143" s="23">
        <f>VLOOKUP(I2143,episodes!$A$1:$B$76,2,FALSE)</f>
        <v>12</v>
      </c>
      <c r="K2143" s="16" t="str">
        <f>VLOOKUP(I2143,episodes!$A$1:$E$81,5,FALSE)</f>
        <v>The Menagerie, Part I</v>
      </c>
      <c r="L2143" s="16">
        <f>VLOOKUP(I2143,episodes!$A$1:$D$81,3,FALSE)</f>
        <v>1</v>
      </c>
      <c r="M2143" s="16">
        <f>VLOOKUP(I2143,episodes!$A$1:$D$81,4,FALSE)</f>
        <v>11</v>
      </c>
      <c r="O2143" s="14">
        <v>0</v>
      </c>
      <c r="P2143" s="24">
        <f>LEN(E2143)+LEN(K2143)</f>
        <v>63</v>
      </c>
      <c r="Q2143" s="24">
        <f>COUNTIFS(B:B,B2142)</f>
        <v>103</v>
      </c>
      <c r="R2143" s="24">
        <f>COUNTIFS(D:D,D2143)</f>
        <v>97</v>
      </c>
    </row>
    <row r="2144" spans="1:18" x14ac:dyDescent="0.3">
      <c r="A2144" s="14">
        <v>1905</v>
      </c>
      <c r="B2144" s="21" t="s">
        <v>275</v>
      </c>
      <c r="C2144" s="21" t="s">
        <v>921</v>
      </c>
      <c r="D2144" s="1" t="s">
        <v>2606</v>
      </c>
      <c r="E2144" s="1" t="s">
        <v>2574</v>
      </c>
      <c r="F2144" s="21" t="s">
        <v>146</v>
      </c>
      <c r="G2144" s="14">
        <v>0</v>
      </c>
      <c r="H2144" s="14">
        <v>0</v>
      </c>
      <c r="I2144" s="22">
        <v>121</v>
      </c>
      <c r="J2144" s="23">
        <f>VLOOKUP(I2144,episodes!$A$1:$B$76,2,FALSE)</f>
        <v>22</v>
      </c>
      <c r="K2144" s="16" t="str">
        <f>VLOOKUP(I2144,episodes!$A$1:$E$81,5,FALSE)</f>
        <v>The Return of the Archons</v>
      </c>
      <c r="L2144" s="16">
        <f>VLOOKUP(I2144,episodes!$A$1:$D$81,3,FALSE)</f>
        <v>1</v>
      </c>
      <c r="M2144" s="16">
        <f>VLOOKUP(I2144,episodes!$A$1:$D$81,4,FALSE)</f>
        <v>21</v>
      </c>
      <c r="O2144" s="14">
        <v>0</v>
      </c>
      <c r="P2144" s="24">
        <f>LEN(E2144)+LEN(K2144)</f>
        <v>60</v>
      </c>
      <c r="Q2144" s="24">
        <f>COUNTIFS(B:B,B2143)</f>
        <v>103</v>
      </c>
      <c r="R2144" s="24">
        <f>COUNTIFS(D:D,D2144)</f>
        <v>97</v>
      </c>
    </row>
    <row r="2145" spans="1:18" x14ac:dyDescent="0.3">
      <c r="A2145" s="14">
        <v>1907</v>
      </c>
      <c r="B2145" s="21" t="s">
        <v>275</v>
      </c>
      <c r="C2145" s="21" t="s">
        <v>921</v>
      </c>
      <c r="D2145" s="1" t="s">
        <v>2606</v>
      </c>
      <c r="E2145" s="1" t="s">
        <v>2574</v>
      </c>
      <c r="F2145" s="21" t="s">
        <v>146</v>
      </c>
      <c r="G2145" s="14">
        <v>0</v>
      </c>
      <c r="H2145" s="14">
        <v>0</v>
      </c>
      <c r="I2145" s="22">
        <v>128</v>
      </c>
      <c r="J2145" s="23">
        <f>VLOOKUP(I2145,episodes!$A$1:$B$76,2,FALSE)</f>
        <v>29</v>
      </c>
      <c r="K2145" s="16" t="str">
        <f>VLOOKUP(I2145,episodes!$A$1:$E$81,5,FALSE)</f>
        <v>The City on the Edge of Forever</v>
      </c>
      <c r="L2145" s="16">
        <f>VLOOKUP(I2145,episodes!$A$1:$D$81,3,FALSE)</f>
        <v>1</v>
      </c>
      <c r="M2145" s="16">
        <f>VLOOKUP(I2145,episodes!$A$1:$D$81,4,FALSE)</f>
        <v>28</v>
      </c>
      <c r="O2145" s="14">
        <v>0</v>
      </c>
      <c r="P2145" s="24">
        <f>LEN(E2145)+LEN(K2145)</f>
        <v>66</v>
      </c>
      <c r="Q2145" s="24">
        <f>COUNTIFS(B:B,B2144)</f>
        <v>103</v>
      </c>
      <c r="R2145" s="24">
        <f>COUNTIFS(D:D,D2145)</f>
        <v>97</v>
      </c>
    </row>
    <row r="2146" spans="1:18" x14ac:dyDescent="0.3">
      <c r="A2146" s="14">
        <v>1908</v>
      </c>
      <c r="B2146" s="21" t="s">
        <v>275</v>
      </c>
      <c r="C2146" s="21" t="s">
        <v>921</v>
      </c>
      <c r="D2146" s="1" t="s">
        <v>2606</v>
      </c>
      <c r="E2146" s="1" t="s">
        <v>2574</v>
      </c>
      <c r="F2146" s="21" t="s">
        <v>146</v>
      </c>
      <c r="G2146" s="14">
        <v>0</v>
      </c>
      <c r="H2146" s="14">
        <v>0</v>
      </c>
      <c r="I2146" s="22">
        <v>129</v>
      </c>
      <c r="J2146" s="23">
        <f>VLOOKUP(I2146,episodes!$A$1:$B$76,2,FALSE)</f>
        <v>30</v>
      </c>
      <c r="K2146" s="16" t="str">
        <f>VLOOKUP(I2146,episodes!$A$1:$E$81,5,FALSE)</f>
        <v>Operation: Annihilate!</v>
      </c>
      <c r="L2146" s="16">
        <f>VLOOKUP(I2146,episodes!$A$1:$D$81,3,FALSE)</f>
        <v>1</v>
      </c>
      <c r="M2146" s="16">
        <f>VLOOKUP(I2146,episodes!$A$1:$D$81,4,FALSE)</f>
        <v>29</v>
      </c>
      <c r="O2146" s="14">
        <v>0</v>
      </c>
      <c r="P2146" s="24">
        <f>LEN(E2146)+LEN(K2146)</f>
        <v>57</v>
      </c>
      <c r="Q2146" s="24">
        <f>COUNTIFS(B:B,B2145)</f>
        <v>103</v>
      </c>
      <c r="R2146" s="24">
        <f>COUNTIFS(D:D,D2146)</f>
        <v>97</v>
      </c>
    </row>
    <row r="2147" spans="1:18" x14ac:dyDescent="0.3">
      <c r="A2147" s="14">
        <v>1910</v>
      </c>
      <c r="B2147" s="21" t="s">
        <v>275</v>
      </c>
      <c r="C2147" s="21" t="s">
        <v>921</v>
      </c>
      <c r="D2147" s="1" t="s">
        <v>2606</v>
      </c>
      <c r="E2147" s="1" t="s">
        <v>2575</v>
      </c>
      <c r="F2147" s="21" t="s">
        <v>146</v>
      </c>
      <c r="G2147" s="14">
        <v>0</v>
      </c>
      <c r="H2147" s="14">
        <v>0</v>
      </c>
      <c r="I2147" s="25">
        <v>205</v>
      </c>
      <c r="J2147" s="23">
        <f>VLOOKUP(I2147,episodes!$A$1:$B$81,2,FALSE)</f>
        <v>35</v>
      </c>
      <c r="K2147" s="16" t="str">
        <f>VLOOKUP(I2147,episodes!$A$1:$E$81,5,FALSE)</f>
        <v>The Apple</v>
      </c>
      <c r="L2147" s="16">
        <f>VLOOKUP(I2147,episodes!$A$1:$D$81,3,FALSE)</f>
        <v>2</v>
      </c>
      <c r="M2147" s="16">
        <f>VLOOKUP(I2147,episodes!$A$1:$D$81,4,FALSE)</f>
        <v>5</v>
      </c>
      <c r="O2147" s="14">
        <v>0</v>
      </c>
      <c r="P2147" s="24">
        <f>LEN(E2147)+LEN(K2147)</f>
        <v>44</v>
      </c>
      <c r="Q2147" s="24">
        <f>COUNTIFS(B:B,B2146)</f>
        <v>103</v>
      </c>
      <c r="R2147" s="24">
        <f>COUNTIFS(D:D,D2147)</f>
        <v>97</v>
      </c>
    </row>
    <row r="2148" spans="1:18" x14ac:dyDescent="0.3">
      <c r="A2148" s="14">
        <v>98</v>
      </c>
      <c r="B2148" s="21" t="s">
        <v>275</v>
      </c>
      <c r="C2148" s="21" t="s">
        <v>921</v>
      </c>
      <c r="D2148" s="1" t="s">
        <v>2606</v>
      </c>
      <c r="E2148" s="1" t="s">
        <v>395</v>
      </c>
      <c r="F2148" s="21" t="s">
        <v>46</v>
      </c>
      <c r="G2148" s="14">
        <v>0</v>
      </c>
      <c r="H2148" s="14">
        <v>0</v>
      </c>
      <c r="I2148" s="22">
        <v>115</v>
      </c>
      <c r="J2148" s="23">
        <f>VLOOKUP(I2148,episodes!$A$1:$B$76,2,FALSE)</f>
        <v>16</v>
      </c>
      <c r="K2148" s="16" t="str">
        <f>VLOOKUP(I2148,episodes!$A$1:$E$81,5,FALSE)</f>
        <v>Shore Leave</v>
      </c>
      <c r="L2148" s="16">
        <f>VLOOKUP(I2148,episodes!$A$1:$D$81,3,FALSE)</f>
        <v>1</v>
      </c>
      <c r="M2148" s="16">
        <f>VLOOKUP(I2148,episodes!$A$1:$D$81,4,FALSE)</f>
        <v>15</v>
      </c>
      <c r="O2148" s="14">
        <v>0</v>
      </c>
      <c r="P2148" s="24">
        <f>LEN(E2148)+LEN(K2148)</f>
        <v>61</v>
      </c>
      <c r="Q2148" s="24">
        <f>COUNTIFS(B:B,B2147)</f>
        <v>103</v>
      </c>
      <c r="R2148" s="24">
        <f>COUNTIFS(D:D,D2148)</f>
        <v>97</v>
      </c>
    </row>
    <row r="2149" spans="1:18" x14ac:dyDescent="0.3">
      <c r="A2149" s="14">
        <v>1979</v>
      </c>
      <c r="B2149" s="21" t="s">
        <v>275</v>
      </c>
      <c r="C2149" s="21" t="s">
        <v>921</v>
      </c>
      <c r="D2149" s="1" t="s">
        <v>2606</v>
      </c>
      <c r="E2149" s="1" t="s">
        <v>2054</v>
      </c>
      <c r="F2149" s="21" t="s">
        <v>6</v>
      </c>
      <c r="G2149" s="14">
        <v>0</v>
      </c>
      <c r="H2149" s="14">
        <v>1</v>
      </c>
      <c r="I2149" s="22">
        <v>202</v>
      </c>
      <c r="J2149" s="23">
        <f>VLOOKUP(I2149,episodes!$A$1:$B$76,2,FALSE)</f>
        <v>32</v>
      </c>
      <c r="K2149" s="16" t="str">
        <f>VLOOKUP(I2149,episodes!$A$1:$E$81,5,FALSE)</f>
        <v>Who Mourns for Adonais?</v>
      </c>
      <c r="L2149" s="16">
        <f>VLOOKUP(I2149,episodes!$A$1:$D$81,3,FALSE)</f>
        <v>2</v>
      </c>
      <c r="M2149" s="16">
        <f>VLOOKUP(I2149,episodes!$A$1:$D$81,4,FALSE)</f>
        <v>2</v>
      </c>
      <c r="O2149" s="14">
        <v>0</v>
      </c>
      <c r="P2149" s="24">
        <f>LEN(E2149)+LEN(K2149)</f>
        <v>104</v>
      </c>
      <c r="Q2149" s="24">
        <f>COUNTIFS(B:B,B2148)</f>
        <v>103</v>
      </c>
      <c r="R2149" s="24">
        <f>COUNTIFS(D:D,D2149)</f>
        <v>97</v>
      </c>
    </row>
    <row r="2150" spans="1:18" x14ac:dyDescent="0.3">
      <c r="A2150" s="14">
        <v>1966</v>
      </c>
      <c r="B2150" s="21" t="s">
        <v>275</v>
      </c>
      <c r="C2150" s="21" t="s">
        <v>921</v>
      </c>
      <c r="D2150" s="1" t="s">
        <v>2606</v>
      </c>
      <c r="E2150" s="1" t="s">
        <v>1097</v>
      </c>
      <c r="F2150" s="21" t="s">
        <v>6</v>
      </c>
      <c r="G2150" s="14">
        <v>0</v>
      </c>
      <c r="H2150" s="14">
        <v>1</v>
      </c>
      <c r="I2150" s="25">
        <v>105</v>
      </c>
      <c r="J2150" s="23">
        <f>VLOOKUP(I2150,episodes!$A$1:$B$76,2,FALSE)</f>
        <v>6</v>
      </c>
      <c r="K2150" s="16" t="str">
        <f>VLOOKUP(I2150,episodes!$A$1:$E$81,5,FALSE)</f>
        <v>The Enemy Within</v>
      </c>
      <c r="L2150" s="16">
        <f>VLOOKUP(I2150,episodes!$A$1:$D$81,3,FALSE)</f>
        <v>1</v>
      </c>
      <c r="M2150" s="16">
        <f>VLOOKUP(I2150,episodes!$A$1:$D$81,4,FALSE)</f>
        <v>5</v>
      </c>
      <c r="O2150" s="14">
        <v>0</v>
      </c>
      <c r="P2150" s="24">
        <f>LEN(E2150)+LEN(K2150)</f>
        <v>85</v>
      </c>
      <c r="Q2150" s="24">
        <f>COUNTIFS(B:B,B2149)</f>
        <v>103</v>
      </c>
      <c r="R2150" s="24">
        <f>COUNTIFS(D:D,D2150)</f>
        <v>97</v>
      </c>
    </row>
    <row r="2151" spans="1:18" x14ac:dyDescent="0.3">
      <c r="A2151" s="14">
        <v>1980</v>
      </c>
      <c r="B2151" s="21" t="s">
        <v>275</v>
      </c>
      <c r="C2151" s="21" t="s">
        <v>921</v>
      </c>
      <c r="D2151" s="1" t="s">
        <v>2606</v>
      </c>
      <c r="E2151" s="1" t="s">
        <v>816</v>
      </c>
      <c r="F2151" s="21" t="s">
        <v>6</v>
      </c>
      <c r="G2151" s="14">
        <v>0</v>
      </c>
      <c r="H2151" s="14">
        <v>1</v>
      </c>
      <c r="I2151" s="22">
        <v>202</v>
      </c>
      <c r="J2151" s="23">
        <f>VLOOKUP(I2151,episodes!$A$1:$B$76,2,FALSE)</f>
        <v>32</v>
      </c>
      <c r="K2151" s="16" t="str">
        <f>VLOOKUP(I2151,episodes!$A$1:$E$81,5,FALSE)</f>
        <v>Who Mourns for Adonais?</v>
      </c>
      <c r="L2151" s="16">
        <f>VLOOKUP(I2151,episodes!$A$1:$D$81,3,FALSE)</f>
        <v>2</v>
      </c>
      <c r="M2151" s="16">
        <f>VLOOKUP(I2151,episodes!$A$1:$D$81,4,FALSE)</f>
        <v>2</v>
      </c>
      <c r="O2151" s="14">
        <v>0</v>
      </c>
      <c r="P2151" s="24">
        <f>LEN(E2151)+LEN(K2151)</f>
        <v>62</v>
      </c>
      <c r="Q2151" s="24">
        <f>COUNTIFS(B:B,B2150)</f>
        <v>103</v>
      </c>
      <c r="R2151" s="24">
        <f>COUNTIFS(D:D,D2151)</f>
        <v>97</v>
      </c>
    </row>
    <row r="2152" spans="1:18" x14ac:dyDescent="0.3">
      <c r="A2152" s="14">
        <v>2176</v>
      </c>
      <c r="B2152" s="21" t="s">
        <v>275</v>
      </c>
      <c r="C2152" s="21" t="s">
        <v>921</v>
      </c>
      <c r="D2152" s="1" t="s">
        <v>2606</v>
      </c>
      <c r="E2152" s="1" t="s">
        <v>2058</v>
      </c>
      <c r="F2152" s="21" t="s">
        <v>5</v>
      </c>
      <c r="G2152" s="14">
        <v>1</v>
      </c>
      <c r="H2152" s="14">
        <v>0</v>
      </c>
      <c r="I2152" s="22">
        <v>127</v>
      </c>
      <c r="J2152" s="23">
        <f>VLOOKUP(I2152,episodes!$A$1:$B$76,2,FALSE)</f>
        <v>28</v>
      </c>
      <c r="K2152" s="16" t="str">
        <f>VLOOKUP(I2152,episodes!$A$1:$E$81,5,FALSE)</f>
        <v>The Alternative Factor</v>
      </c>
      <c r="L2152" s="16">
        <f>VLOOKUP(I2152,episodes!$A$1:$D$81,3,FALSE)</f>
        <v>1</v>
      </c>
      <c r="M2152" s="16">
        <f>VLOOKUP(I2152,episodes!$A$1:$D$81,4,FALSE)</f>
        <v>27</v>
      </c>
      <c r="O2152" s="14">
        <v>0</v>
      </c>
      <c r="P2152" s="24">
        <f>LEN(E2152)+LEN(K2152)</f>
        <v>64</v>
      </c>
      <c r="Q2152" s="24">
        <f>COUNTIFS(B:B,B2151)</f>
        <v>103</v>
      </c>
      <c r="R2152" s="24">
        <f>COUNTIFS(D:D,D2152)</f>
        <v>97</v>
      </c>
    </row>
    <row r="2153" spans="1:18" x14ac:dyDescent="0.3">
      <c r="A2153" s="14">
        <v>2177</v>
      </c>
      <c r="B2153" s="21" t="s">
        <v>275</v>
      </c>
      <c r="C2153" s="21" t="s">
        <v>921</v>
      </c>
      <c r="D2153" s="1" t="s">
        <v>2606</v>
      </c>
      <c r="E2153" s="1" t="s">
        <v>2059</v>
      </c>
      <c r="F2153" s="21" t="s">
        <v>5</v>
      </c>
      <c r="G2153" s="14">
        <v>1</v>
      </c>
      <c r="H2153" s="14">
        <v>0</v>
      </c>
      <c r="I2153" s="22">
        <v>127</v>
      </c>
      <c r="J2153" s="23">
        <f>VLOOKUP(I2153,episodes!$A$1:$B$76,2,FALSE)</f>
        <v>28</v>
      </c>
      <c r="K2153" s="16" t="str">
        <f>VLOOKUP(I2153,episodes!$A$1:$E$81,5,FALSE)</f>
        <v>The Alternative Factor</v>
      </c>
      <c r="L2153" s="16">
        <f>VLOOKUP(I2153,episodes!$A$1:$D$81,3,FALSE)</f>
        <v>1</v>
      </c>
      <c r="M2153" s="16">
        <f>VLOOKUP(I2153,episodes!$A$1:$D$81,4,FALSE)</f>
        <v>27</v>
      </c>
      <c r="O2153" s="14">
        <v>0</v>
      </c>
      <c r="P2153" s="24">
        <f>LEN(E2153)+LEN(K2153)</f>
        <v>85</v>
      </c>
      <c r="Q2153" s="24">
        <f>COUNTIFS(B:B,B2152)</f>
        <v>103</v>
      </c>
      <c r="R2153" s="24">
        <f>COUNTIFS(D:D,D2153)</f>
        <v>97</v>
      </c>
    </row>
    <row r="2154" spans="1:18" x14ac:dyDescent="0.3">
      <c r="A2154" s="14">
        <v>2167</v>
      </c>
      <c r="B2154" s="21" t="s">
        <v>275</v>
      </c>
      <c r="C2154" s="21" t="s">
        <v>921</v>
      </c>
      <c r="D2154" s="1" t="s">
        <v>2606</v>
      </c>
      <c r="E2154" s="1" t="s">
        <v>705</v>
      </c>
      <c r="F2154" s="21" t="s">
        <v>5</v>
      </c>
      <c r="G2154" s="14">
        <v>1</v>
      </c>
      <c r="H2154" s="14">
        <v>0</v>
      </c>
      <c r="I2154" s="22">
        <v>126</v>
      </c>
      <c r="J2154" s="23">
        <f>VLOOKUP(I2154,episodes!$A$1:$B$76,2,FALSE)</f>
        <v>27</v>
      </c>
      <c r="K2154" s="16" t="str">
        <f>VLOOKUP(I2154,episodes!$A$1:$E$81,5,FALSE)</f>
        <v>Errand of Mercy</v>
      </c>
      <c r="L2154" s="16">
        <f>VLOOKUP(I2154,episodes!$A$1:$D$81,3,FALSE)</f>
        <v>1</v>
      </c>
      <c r="M2154" s="16">
        <f>VLOOKUP(I2154,episodes!$A$1:$D$81,4,FALSE)</f>
        <v>26</v>
      </c>
      <c r="O2154" s="14">
        <v>0</v>
      </c>
      <c r="P2154" s="24">
        <f>LEN(E2154)+LEN(K2154)</f>
        <v>103</v>
      </c>
      <c r="Q2154" s="24">
        <f>COUNTIFS(B:B,B2153)</f>
        <v>103</v>
      </c>
      <c r="R2154" s="24">
        <f>COUNTIFS(D:D,D2154)</f>
        <v>97</v>
      </c>
    </row>
    <row r="2155" spans="1:18" x14ac:dyDescent="0.3">
      <c r="A2155" s="14">
        <v>2123</v>
      </c>
      <c r="B2155" s="21" t="s">
        <v>275</v>
      </c>
      <c r="C2155" s="21" t="s">
        <v>921</v>
      </c>
      <c r="D2155" s="1" t="s">
        <v>2606</v>
      </c>
      <c r="E2155" s="1" t="s">
        <v>635</v>
      </c>
      <c r="F2155" s="21" t="s">
        <v>5</v>
      </c>
      <c r="G2155" s="14">
        <v>1</v>
      </c>
      <c r="H2155" s="14">
        <v>0</v>
      </c>
      <c r="I2155" s="22">
        <v>121</v>
      </c>
      <c r="J2155" s="23">
        <f>VLOOKUP(I2155,episodes!$A$1:$B$76,2,FALSE)</f>
        <v>22</v>
      </c>
      <c r="K2155" s="16" t="str">
        <f>VLOOKUP(I2155,episodes!$A$1:$E$81,5,FALSE)</f>
        <v>The Return of the Archons</v>
      </c>
      <c r="L2155" s="16">
        <f>VLOOKUP(I2155,episodes!$A$1:$D$81,3,FALSE)</f>
        <v>1</v>
      </c>
      <c r="M2155" s="16">
        <f>VLOOKUP(I2155,episodes!$A$1:$D$81,4,FALSE)</f>
        <v>21</v>
      </c>
      <c r="O2155" s="14">
        <v>0</v>
      </c>
      <c r="P2155" s="24">
        <f>LEN(E2155)+LEN(K2155)</f>
        <v>68</v>
      </c>
      <c r="Q2155" s="24">
        <f>COUNTIFS(B:B,B2154)</f>
        <v>103</v>
      </c>
      <c r="R2155" s="24">
        <f>COUNTIFS(D:D,D2155)</f>
        <v>97</v>
      </c>
    </row>
    <row r="2156" spans="1:18" x14ac:dyDescent="0.3">
      <c r="A2156" s="14">
        <v>2260</v>
      </c>
      <c r="B2156" s="21" t="s">
        <v>275</v>
      </c>
      <c r="C2156" s="21" t="s">
        <v>921</v>
      </c>
      <c r="D2156" s="1" t="s">
        <v>2606</v>
      </c>
      <c r="E2156" s="1" t="s">
        <v>2062</v>
      </c>
      <c r="F2156" s="21" t="s">
        <v>5</v>
      </c>
      <c r="G2156" s="14">
        <v>1</v>
      </c>
      <c r="H2156" s="14">
        <v>0</v>
      </c>
      <c r="I2156" s="22">
        <v>207</v>
      </c>
      <c r="J2156" s="23">
        <f>VLOOKUP(I2156,episodes!$A$1:$B$81,2,FALSE)</f>
        <v>37</v>
      </c>
      <c r="K2156" s="16" t="str">
        <f>VLOOKUP(I2156,episodes!$A$1:$E$81,5,FALSE)</f>
        <v>Catspaw</v>
      </c>
      <c r="L2156" s="16">
        <f>VLOOKUP(I2156,episodes!$A$1:$D$81,3,FALSE)</f>
        <v>2</v>
      </c>
      <c r="M2156" s="16">
        <f>VLOOKUP(I2156,episodes!$A$1:$D$81,4,FALSE)</f>
        <v>7</v>
      </c>
      <c r="O2156" s="14">
        <v>0</v>
      </c>
      <c r="P2156" s="24">
        <f>LEN(E2156)+LEN(K2156)</f>
        <v>68</v>
      </c>
      <c r="Q2156" s="24">
        <f>COUNTIFS(B:B,B2155)</f>
        <v>103</v>
      </c>
      <c r="R2156" s="24">
        <f>COUNTIFS(D:D,D2156)</f>
        <v>97</v>
      </c>
    </row>
    <row r="2157" spans="1:18" x14ac:dyDescent="0.3">
      <c r="A2157" s="14">
        <v>2246</v>
      </c>
      <c r="B2157" s="21" t="s">
        <v>275</v>
      </c>
      <c r="C2157" s="21" t="s">
        <v>921</v>
      </c>
      <c r="D2157" s="1" t="s">
        <v>2606</v>
      </c>
      <c r="E2157" s="1" t="s">
        <v>1606</v>
      </c>
      <c r="F2157" s="21" t="s">
        <v>5</v>
      </c>
      <c r="G2157" s="14">
        <v>1</v>
      </c>
      <c r="H2157" s="14">
        <v>0</v>
      </c>
      <c r="I2157" s="25">
        <v>205</v>
      </c>
      <c r="J2157" s="23">
        <f>VLOOKUP(I2157,episodes!$A$1:$B$81,2,FALSE)</f>
        <v>35</v>
      </c>
      <c r="K2157" s="16" t="str">
        <f>VLOOKUP(I2157,episodes!$A$1:$E$81,5,FALSE)</f>
        <v>The Apple</v>
      </c>
      <c r="L2157" s="16">
        <f>VLOOKUP(I2157,episodes!$A$1:$D$81,3,FALSE)</f>
        <v>2</v>
      </c>
      <c r="M2157" s="16">
        <f>VLOOKUP(I2157,episodes!$A$1:$D$81,4,FALSE)</f>
        <v>5</v>
      </c>
      <c r="O2157" s="14">
        <v>0</v>
      </c>
      <c r="P2157" s="24">
        <f>LEN(E2157)+LEN(K2157)</f>
        <v>63</v>
      </c>
      <c r="Q2157" s="24">
        <f>COUNTIFS(B:B,B2156)</f>
        <v>103</v>
      </c>
      <c r="R2157" s="24">
        <f>COUNTIFS(D:D,D2157)</f>
        <v>97</v>
      </c>
    </row>
    <row r="2158" spans="1:18" x14ac:dyDescent="0.3">
      <c r="A2158" s="14">
        <v>2247</v>
      </c>
      <c r="B2158" s="21" t="s">
        <v>275</v>
      </c>
      <c r="C2158" s="21" t="s">
        <v>921</v>
      </c>
      <c r="D2158" s="1" t="s">
        <v>2606</v>
      </c>
      <c r="E2158" s="1" t="s">
        <v>1607</v>
      </c>
      <c r="F2158" s="21" t="s">
        <v>5</v>
      </c>
      <c r="G2158" s="14">
        <v>1</v>
      </c>
      <c r="H2158" s="14">
        <v>0</v>
      </c>
      <c r="I2158" s="25">
        <v>205</v>
      </c>
      <c r="J2158" s="23">
        <f>VLOOKUP(I2158,episodes!$A$1:$B$81,2,FALSE)</f>
        <v>35</v>
      </c>
      <c r="K2158" s="16" t="str">
        <f>VLOOKUP(I2158,episodes!$A$1:$E$81,5,FALSE)</f>
        <v>The Apple</v>
      </c>
      <c r="L2158" s="16">
        <f>VLOOKUP(I2158,episodes!$A$1:$D$81,3,FALSE)</f>
        <v>2</v>
      </c>
      <c r="M2158" s="16">
        <f>VLOOKUP(I2158,episodes!$A$1:$D$81,4,FALSE)</f>
        <v>5</v>
      </c>
      <c r="O2158" s="14">
        <v>0</v>
      </c>
      <c r="P2158" s="24">
        <f>LEN(E2158)+LEN(K2158)</f>
        <v>63</v>
      </c>
      <c r="Q2158" s="24">
        <f>COUNTIFS(B:B,B2157)</f>
        <v>103</v>
      </c>
      <c r="R2158" s="24">
        <f>COUNTIFS(D:D,D2158)</f>
        <v>97</v>
      </c>
    </row>
    <row r="2159" spans="1:18" x14ac:dyDescent="0.3">
      <c r="A2159" s="14">
        <v>2107</v>
      </c>
      <c r="B2159" s="21" t="s">
        <v>275</v>
      </c>
      <c r="C2159" s="21" t="s">
        <v>921</v>
      </c>
      <c r="D2159" s="1" t="s">
        <v>2606</v>
      </c>
      <c r="E2159" s="1" t="s">
        <v>2055</v>
      </c>
      <c r="F2159" s="21" t="s">
        <v>5</v>
      </c>
      <c r="G2159" s="14">
        <v>1</v>
      </c>
      <c r="H2159" s="14">
        <v>0</v>
      </c>
      <c r="I2159" s="22">
        <v>118</v>
      </c>
      <c r="J2159" s="23">
        <f>VLOOKUP(I2159,episodes!$A$1:$B$76,2,FALSE)</f>
        <v>19</v>
      </c>
      <c r="K2159" s="16" t="str">
        <f>VLOOKUP(I2159,episodes!$A$1:$E$81,5,FALSE)</f>
        <v>Arena</v>
      </c>
      <c r="L2159" s="16">
        <f>VLOOKUP(I2159,episodes!$A$1:$D$81,3,FALSE)</f>
        <v>1</v>
      </c>
      <c r="M2159" s="16">
        <f>VLOOKUP(I2159,episodes!$A$1:$D$81,4,FALSE)</f>
        <v>18</v>
      </c>
      <c r="O2159" s="14">
        <v>0</v>
      </c>
      <c r="P2159" s="24">
        <f>LEN(E2159)+LEN(K2159)</f>
        <v>64</v>
      </c>
      <c r="Q2159" s="24">
        <f>COUNTIFS(B:B,B2158)</f>
        <v>103</v>
      </c>
      <c r="R2159" s="24">
        <f>COUNTIFS(D:D,D2159)</f>
        <v>97</v>
      </c>
    </row>
    <row r="2160" spans="1:18" x14ac:dyDescent="0.3">
      <c r="A2160" s="14">
        <v>2108</v>
      </c>
      <c r="B2160" s="21" t="s">
        <v>275</v>
      </c>
      <c r="C2160" s="21" t="s">
        <v>921</v>
      </c>
      <c r="D2160" s="1" t="s">
        <v>2606</v>
      </c>
      <c r="E2160" s="1" t="s">
        <v>610</v>
      </c>
      <c r="F2160" s="21" t="s">
        <v>5</v>
      </c>
      <c r="G2160" s="14">
        <v>1</v>
      </c>
      <c r="H2160" s="14">
        <v>0</v>
      </c>
      <c r="I2160" s="22">
        <v>118</v>
      </c>
      <c r="J2160" s="23">
        <f>VLOOKUP(I2160,episodes!$A$1:$B$76,2,FALSE)</f>
        <v>19</v>
      </c>
      <c r="K2160" s="16" t="str">
        <f>VLOOKUP(I2160,episodes!$A$1:$E$81,5,FALSE)</f>
        <v>Arena</v>
      </c>
      <c r="L2160" s="16">
        <f>VLOOKUP(I2160,episodes!$A$1:$D$81,3,FALSE)</f>
        <v>1</v>
      </c>
      <c r="M2160" s="16">
        <f>VLOOKUP(I2160,episodes!$A$1:$D$81,4,FALSE)</f>
        <v>18</v>
      </c>
      <c r="O2160" s="14">
        <v>0</v>
      </c>
      <c r="P2160" s="24">
        <f>LEN(E2160)+LEN(K2160)</f>
        <v>59</v>
      </c>
      <c r="Q2160" s="24">
        <f>COUNTIFS(B:B,B2159)</f>
        <v>103</v>
      </c>
      <c r="R2160" s="24">
        <f>COUNTIFS(D:D,D2160)</f>
        <v>97</v>
      </c>
    </row>
    <row r="2161" spans="1:18" x14ac:dyDescent="0.3">
      <c r="A2161" s="14">
        <v>2185</v>
      </c>
      <c r="B2161" s="21" t="s">
        <v>275</v>
      </c>
      <c r="C2161" s="21" t="s">
        <v>921</v>
      </c>
      <c r="D2161" s="1" t="s">
        <v>2606</v>
      </c>
      <c r="E2161" s="1" t="s">
        <v>1616</v>
      </c>
      <c r="F2161" s="21" t="s">
        <v>5</v>
      </c>
      <c r="G2161" s="14">
        <v>1</v>
      </c>
      <c r="H2161" s="14">
        <v>0</v>
      </c>
      <c r="I2161" s="22">
        <v>128</v>
      </c>
      <c r="J2161" s="23">
        <f>VLOOKUP(I2161,episodes!$A$1:$B$76,2,FALSE)</f>
        <v>29</v>
      </c>
      <c r="K2161" s="16" t="str">
        <f>VLOOKUP(I2161,episodes!$A$1:$E$81,5,FALSE)</f>
        <v>The City on the Edge of Forever</v>
      </c>
      <c r="L2161" s="16">
        <f>VLOOKUP(I2161,episodes!$A$1:$D$81,3,FALSE)</f>
        <v>1</v>
      </c>
      <c r="M2161" s="16">
        <f>VLOOKUP(I2161,episodes!$A$1:$D$81,4,FALSE)</f>
        <v>28</v>
      </c>
      <c r="O2161" s="14">
        <v>0</v>
      </c>
      <c r="P2161" s="24">
        <f>LEN(E2161)+LEN(K2161)</f>
        <v>103</v>
      </c>
      <c r="Q2161" s="24">
        <f>COUNTIFS(B:B,B2160)</f>
        <v>103</v>
      </c>
      <c r="R2161" s="24">
        <f>COUNTIFS(D:D,D2161)</f>
        <v>97</v>
      </c>
    </row>
    <row r="2162" spans="1:18" x14ac:dyDescent="0.3">
      <c r="A2162" s="14">
        <v>2275</v>
      </c>
      <c r="B2162" s="21" t="s">
        <v>275</v>
      </c>
      <c r="C2162" s="21" t="s">
        <v>921</v>
      </c>
      <c r="D2162" s="1" t="s">
        <v>2606</v>
      </c>
      <c r="E2162" s="1" t="s">
        <v>1040</v>
      </c>
      <c r="F2162" s="21" t="s">
        <v>5</v>
      </c>
      <c r="G2162" s="14">
        <v>1</v>
      </c>
      <c r="H2162" s="14">
        <v>0</v>
      </c>
      <c r="I2162" s="14">
        <v>209</v>
      </c>
      <c r="J2162" s="23">
        <f>VLOOKUP(I2162,episodes!$A$1:$B$81,2,FALSE)</f>
        <v>39</v>
      </c>
      <c r="K2162" s="16" t="str">
        <f>VLOOKUP(I2162,episodes!$A$1:$E$81,5,FALSE)</f>
        <v>Metamorphosis</v>
      </c>
      <c r="L2162" s="16">
        <f>VLOOKUP(I2162,episodes!$A$1:$D$81,3,FALSE)</f>
        <v>2</v>
      </c>
      <c r="M2162" s="16">
        <f>VLOOKUP(I2162,episodes!$A$1:$D$81,4,FALSE)</f>
        <v>9</v>
      </c>
      <c r="O2162" s="14">
        <v>0</v>
      </c>
      <c r="P2162" s="24">
        <f>LEN(E2162)+LEN(K2162)</f>
        <v>49</v>
      </c>
      <c r="Q2162" s="24">
        <f>COUNTIFS(B:B,B2161)</f>
        <v>103</v>
      </c>
      <c r="R2162" s="24">
        <f>COUNTIFS(D:D,D2162)</f>
        <v>97</v>
      </c>
    </row>
    <row r="2163" spans="1:18" x14ac:dyDescent="0.3">
      <c r="A2163" s="14">
        <v>2201</v>
      </c>
      <c r="B2163" s="21" t="s">
        <v>275</v>
      </c>
      <c r="C2163" s="21" t="s">
        <v>921</v>
      </c>
      <c r="D2163" s="1" t="s">
        <v>2606</v>
      </c>
      <c r="E2163" s="1" t="s">
        <v>781</v>
      </c>
      <c r="F2163" s="21" t="s">
        <v>5</v>
      </c>
      <c r="G2163" s="14">
        <v>1</v>
      </c>
      <c r="H2163" s="14">
        <v>0</v>
      </c>
      <c r="I2163" s="22">
        <v>129</v>
      </c>
      <c r="J2163" s="23">
        <f>VLOOKUP(I2163,episodes!$A$1:$B$76,2,FALSE)</f>
        <v>30</v>
      </c>
      <c r="K2163" s="16" t="str">
        <f>VLOOKUP(I2163,episodes!$A$1:$E$81,5,FALSE)</f>
        <v>Operation: Annihilate!</v>
      </c>
      <c r="L2163" s="16">
        <f>VLOOKUP(I2163,episodes!$A$1:$D$81,3,FALSE)</f>
        <v>1</v>
      </c>
      <c r="M2163" s="16">
        <f>VLOOKUP(I2163,episodes!$A$1:$D$81,4,FALSE)</f>
        <v>29</v>
      </c>
      <c r="O2163" s="14">
        <v>0</v>
      </c>
      <c r="P2163" s="24">
        <f>LEN(E2163)+LEN(K2163)</f>
        <v>55</v>
      </c>
      <c r="Q2163" s="24">
        <f>COUNTIFS(B:B,B2162)</f>
        <v>103</v>
      </c>
      <c r="R2163" s="24">
        <f>COUNTIFS(D:D,D2163)</f>
        <v>97</v>
      </c>
    </row>
    <row r="2164" spans="1:18" x14ac:dyDescent="0.3">
      <c r="A2164" s="14">
        <v>2261</v>
      </c>
      <c r="B2164" s="21" t="s">
        <v>275</v>
      </c>
      <c r="C2164" s="21" t="s">
        <v>921</v>
      </c>
      <c r="D2164" s="1" t="s">
        <v>2606</v>
      </c>
      <c r="E2164" s="1" t="s">
        <v>1017</v>
      </c>
      <c r="F2164" s="21" t="s">
        <v>5</v>
      </c>
      <c r="G2164" s="14">
        <v>1</v>
      </c>
      <c r="H2164" s="14">
        <v>0</v>
      </c>
      <c r="I2164" s="22">
        <v>207</v>
      </c>
      <c r="J2164" s="23">
        <f>VLOOKUP(I2164,episodes!$A$1:$B$81,2,FALSE)</f>
        <v>37</v>
      </c>
      <c r="K2164" s="16" t="str">
        <f>VLOOKUP(I2164,episodes!$A$1:$E$81,5,FALSE)</f>
        <v>Catspaw</v>
      </c>
      <c r="L2164" s="16">
        <f>VLOOKUP(I2164,episodes!$A$1:$D$81,3,FALSE)</f>
        <v>2</v>
      </c>
      <c r="M2164" s="16">
        <f>VLOOKUP(I2164,episodes!$A$1:$D$81,4,FALSE)</f>
        <v>7</v>
      </c>
      <c r="O2164" s="14">
        <v>0</v>
      </c>
      <c r="P2164" s="24">
        <f>LEN(E2164)+LEN(K2164)</f>
        <v>74</v>
      </c>
      <c r="Q2164" s="24">
        <f>COUNTIFS(B:B,B2163)</f>
        <v>103</v>
      </c>
      <c r="R2164" s="24">
        <f>COUNTIFS(D:D,D2164)</f>
        <v>97</v>
      </c>
    </row>
    <row r="2165" spans="1:18" x14ac:dyDescent="0.3">
      <c r="A2165" s="14">
        <v>2124</v>
      </c>
      <c r="B2165" s="21" t="s">
        <v>275</v>
      </c>
      <c r="C2165" s="21" t="s">
        <v>921</v>
      </c>
      <c r="D2165" s="1" t="s">
        <v>2606</v>
      </c>
      <c r="E2165" s="1" t="s">
        <v>2056</v>
      </c>
      <c r="F2165" s="21" t="s">
        <v>5</v>
      </c>
      <c r="G2165" s="14">
        <v>1</v>
      </c>
      <c r="H2165" s="14">
        <v>0</v>
      </c>
      <c r="I2165" s="22">
        <v>121</v>
      </c>
      <c r="J2165" s="23">
        <f>VLOOKUP(I2165,episodes!$A$1:$B$76,2,FALSE)</f>
        <v>22</v>
      </c>
      <c r="K2165" s="16" t="str">
        <f>VLOOKUP(I2165,episodes!$A$1:$E$81,5,FALSE)</f>
        <v>The Return of the Archons</v>
      </c>
      <c r="L2165" s="16">
        <f>VLOOKUP(I2165,episodes!$A$1:$D$81,3,FALSE)</f>
        <v>1</v>
      </c>
      <c r="M2165" s="16">
        <f>VLOOKUP(I2165,episodes!$A$1:$D$81,4,FALSE)</f>
        <v>21</v>
      </c>
      <c r="O2165" s="14">
        <v>0</v>
      </c>
      <c r="P2165" s="24">
        <f>LEN(E2165)+LEN(K2165)</f>
        <v>78</v>
      </c>
      <c r="Q2165" s="24">
        <f>COUNTIFS(B:B,B2164)</f>
        <v>103</v>
      </c>
      <c r="R2165" s="24">
        <f>COUNTIFS(D:D,D2165)</f>
        <v>97</v>
      </c>
    </row>
    <row r="2166" spans="1:18" x14ac:dyDescent="0.3">
      <c r="A2166" s="14">
        <v>2069</v>
      </c>
      <c r="B2166" s="21" t="s">
        <v>275</v>
      </c>
      <c r="C2166" s="21" t="s">
        <v>921</v>
      </c>
      <c r="D2166" s="1" t="s">
        <v>2606</v>
      </c>
      <c r="E2166" s="1" t="s">
        <v>384</v>
      </c>
      <c r="F2166" s="21" t="s">
        <v>5</v>
      </c>
      <c r="G2166" s="14">
        <v>1</v>
      </c>
      <c r="H2166" s="14">
        <v>0</v>
      </c>
      <c r="I2166" s="25">
        <v>108</v>
      </c>
      <c r="J2166" s="23">
        <f>VLOOKUP(I2166,episodes!$A$1:$B$76,2,FALSE)</f>
        <v>9</v>
      </c>
      <c r="K2166" s="16" t="str">
        <f>VLOOKUP(I2166,episodes!$A$1:$E$81,5,FALSE)</f>
        <v>Miri</v>
      </c>
      <c r="L2166" s="16">
        <f>VLOOKUP(I2166,episodes!$A$1:$D$81,3,FALSE)</f>
        <v>1</v>
      </c>
      <c r="M2166" s="16">
        <f>VLOOKUP(I2166,episodes!$A$1:$D$81,4,FALSE)</f>
        <v>8</v>
      </c>
      <c r="O2166" s="14">
        <v>0</v>
      </c>
      <c r="P2166" s="24">
        <f>LEN(E2166)+LEN(K2166)</f>
        <v>36</v>
      </c>
      <c r="Q2166" s="24">
        <f>COUNTIFS(B:B,B2165)</f>
        <v>103</v>
      </c>
      <c r="R2166" s="24">
        <f>COUNTIFS(D:D,D2166)</f>
        <v>97</v>
      </c>
    </row>
    <row r="2167" spans="1:18" x14ac:dyDescent="0.3">
      <c r="A2167" s="14">
        <v>2070</v>
      </c>
      <c r="B2167" s="21" t="s">
        <v>275</v>
      </c>
      <c r="C2167" s="21" t="s">
        <v>921</v>
      </c>
      <c r="D2167" s="1" t="s">
        <v>2606</v>
      </c>
      <c r="E2167" s="1" t="s">
        <v>384</v>
      </c>
      <c r="F2167" s="21" t="s">
        <v>5</v>
      </c>
      <c r="G2167" s="14">
        <v>1</v>
      </c>
      <c r="H2167" s="14">
        <v>0</v>
      </c>
      <c r="I2167" s="25">
        <v>108</v>
      </c>
      <c r="J2167" s="23">
        <f>VLOOKUP(I2167,episodes!$A$1:$B$76,2,FALSE)</f>
        <v>9</v>
      </c>
      <c r="K2167" s="16" t="str">
        <f>VLOOKUP(I2167,episodes!$A$1:$E$81,5,FALSE)</f>
        <v>Miri</v>
      </c>
      <c r="L2167" s="16">
        <f>VLOOKUP(I2167,episodes!$A$1:$D$81,3,FALSE)</f>
        <v>1</v>
      </c>
      <c r="M2167" s="16">
        <f>VLOOKUP(I2167,episodes!$A$1:$D$81,4,FALSE)</f>
        <v>8</v>
      </c>
      <c r="O2167" s="14">
        <v>0</v>
      </c>
      <c r="P2167" s="24">
        <f>LEN(E2167)+LEN(K2167)</f>
        <v>36</v>
      </c>
      <c r="Q2167" s="24">
        <f>COUNTIFS(B:B,B2166)</f>
        <v>103</v>
      </c>
      <c r="R2167" s="24">
        <f>COUNTIFS(D:D,D2167)</f>
        <v>97</v>
      </c>
    </row>
    <row r="2168" spans="1:18" x14ac:dyDescent="0.3">
      <c r="A2168" s="14">
        <v>2262</v>
      </c>
      <c r="B2168" s="21" t="s">
        <v>275</v>
      </c>
      <c r="C2168" s="21" t="s">
        <v>921</v>
      </c>
      <c r="D2168" s="1" t="s">
        <v>2606</v>
      </c>
      <c r="E2168" s="1" t="s">
        <v>1019</v>
      </c>
      <c r="F2168" s="21" t="s">
        <v>5</v>
      </c>
      <c r="G2168" s="14">
        <v>1</v>
      </c>
      <c r="H2168" s="14">
        <v>0</v>
      </c>
      <c r="I2168" s="22">
        <v>207</v>
      </c>
      <c r="J2168" s="23">
        <f>VLOOKUP(I2168,episodes!$A$1:$B$81,2,FALSE)</f>
        <v>37</v>
      </c>
      <c r="K2168" s="16" t="str">
        <f>VLOOKUP(I2168,episodes!$A$1:$E$81,5,FALSE)</f>
        <v>Catspaw</v>
      </c>
      <c r="L2168" s="16">
        <f>VLOOKUP(I2168,episodes!$A$1:$D$81,3,FALSE)</f>
        <v>2</v>
      </c>
      <c r="M2168" s="16">
        <f>VLOOKUP(I2168,episodes!$A$1:$D$81,4,FALSE)</f>
        <v>7</v>
      </c>
      <c r="O2168" s="14">
        <v>0</v>
      </c>
      <c r="P2168" s="24">
        <f>LEN(E2168)+LEN(K2168)</f>
        <v>70</v>
      </c>
      <c r="Q2168" s="24">
        <f>COUNTIFS(B:B,B2167)</f>
        <v>103</v>
      </c>
      <c r="R2168" s="24">
        <f>COUNTIFS(D:D,D2168)</f>
        <v>97</v>
      </c>
    </row>
    <row r="2169" spans="1:18" x14ac:dyDescent="0.3">
      <c r="A2169" s="14">
        <v>2147</v>
      </c>
      <c r="B2169" s="21" t="s">
        <v>275</v>
      </c>
      <c r="C2169" s="21" t="s">
        <v>921</v>
      </c>
      <c r="D2169" s="1" t="s">
        <v>2606</v>
      </c>
      <c r="E2169" s="1" t="s">
        <v>1127</v>
      </c>
      <c r="F2169" s="21" t="s">
        <v>5</v>
      </c>
      <c r="G2169" s="14">
        <v>1</v>
      </c>
      <c r="H2169" s="14">
        <v>0</v>
      </c>
      <c r="I2169" s="22">
        <v>124</v>
      </c>
      <c r="J2169" s="23">
        <f>VLOOKUP(I2169,episodes!$A$1:$B$76,2,FALSE)</f>
        <v>25</v>
      </c>
      <c r="K2169" s="16" t="str">
        <f>VLOOKUP(I2169,episodes!$A$1:$E$81,5,FALSE)</f>
        <v>This Side of Paradise</v>
      </c>
      <c r="L2169" s="16">
        <f>VLOOKUP(I2169,episodes!$A$1:$D$81,3,FALSE)</f>
        <v>1</v>
      </c>
      <c r="M2169" s="16">
        <f>VLOOKUP(I2169,episodes!$A$1:$D$81,4,FALSE)</f>
        <v>24</v>
      </c>
      <c r="O2169" s="14">
        <v>0</v>
      </c>
      <c r="P2169" s="24">
        <f>LEN(E2169)+LEN(K2169)</f>
        <v>63</v>
      </c>
      <c r="Q2169" s="24">
        <f>COUNTIFS(B:B,B2168)</f>
        <v>103</v>
      </c>
      <c r="R2169" s="24">
        <f>COUNTIFS(D:D,D2169)</f>
        <v>97</v>
      </c>
    </row>
    <row r="2170" spans="1:18" x14ac:dyDescent="0.3">
      <c r="A2170" s="14">
        <v>2202</v>
      </c>
      <c r="B2170" s="21" t="s">
        <v>275</v>
      </c>
      <c r="C2170" s="21" t="s">
        <v>921</v>
      </c>
      <c r="D2170" s="1" t="s">
        <v>2606</v>
      </c>
      <c r="E2170" s="1" t="s">
        <v>2175</v>
      </c>
      <c r="F2170" s="21" t="s">
        <v>5</v>
      </c>
      <c r="G2170" s="14">
        <v>1</v>
      </c>
      <c r="H2170" s="14">
        <v>0</v>
      </c>
      <c r="I2170" s="22">
        <v>129</v>
      </c>
      <c r="J2170" s="23">
        <f>VLOOKUP(I2170,episodes!$A$1:$B$76,2,FALSE)</f>
        <v>30</v>
      </c>
      <c r="K2170" s="16" t="str">
        <f>VLOOKUP(I2170,episodes!$A$1:$E$81,5,FALSE)</f>
        <v>Operation: Annihilate!</v>
      </c>
      <c r="L2170" s="16">
        <f>VLOOKUP(I2170,episodes!$A$1:$D$81,3,FALSE)</f>
        <v>1</v>
      </c>
      <c r="M2170" s="16">
        <f>VLOOKUP(I2170,episodes!$A$1:$D$81,4,FALSE)</f>
        <v>29</v>
      </c>
      <c r="O2170" s="14">
        <v>0</v>
      </c>
      <c r="P2170" s="24">
        <f>LEN(E2170)+LEN(K2170)</f>
        <v>56</v>
      </c>
      <c r="Q2170" s="24">
        <f>COUNTIFS(B:B,B2169)</f>
        <v>103</v>
      </c>
      <c r="R2170" s="24">
        <f>COUNTIFS(D:D,D2170)</f>
        <v>97</v>
      </c>
    </row>
    <row r="2171" spans="1:18" x14ac:dyDescent="0.3">
      <c r="A2171" s="14">
        <v>2109</v>
      </c>
      <c r="B2171" s="21" t="s">
        <v>275</v>
      </c>
      <c r="C2171" s="21" t="s">
        <v>921</v>
      </c>
      <c r="D2171" s="1" t="s">
        <v>2606</v>
      </c>
      <c r="E2171" s="1" t="s">
        <v>611</v>
      </c>
      <c r="F2171" s="21" t="s">
        <v>5</v>
      </c>
      <c r="G2171" s="14">
        <v>1</v>
      </c>
      <c r="H2171" s="14">
        <v>0</v>
      </c>
      <c r="I2171" s="22">
        <v>118</v>
      </c>
      <c r="J2171" s="23">
        <f>VLOOKUP(I2171,episodes!$A$1:$B$76,2,FALSE)</f>
        <v>19</v>
      </c>
      <c r="K2171" s="16" t="str">
        <f>VLOOKUP(I2171,episodes!$A$1:$E$81,5,FALSE)</f>
        <v>Arena</v>
      </c>
      <c r="L2171" s="16">
        <f>VLOOKUP(I2171,episodes!$A$1:$D$81,3,FALSE)</f>
        <v>1</v>
      </c>
      <c r="M2171" s="16">
        <f>VLOOKUP(I2171,episodes!$A$1:$D$81,4,FALSE)</f>
        <v>18</v>
      </c>
      <c r="O2171" s="14">
        <v>0</v>
      </c>
      <c r="P2171" s="24">
        <f>LEN(E2171)+LEN(K2171)</f>
        <v>55</v>
      </c>
      <c r="Q2171" s="24">
        <f>COUNTIFS(B:B,B2170)</f>
        <v>103</v>
      </c>
      <c r="R2171" s="24">
        <f>COUNTIFS(D:D,D2171)</f>
        <v>97</v>
      </c>
    </row>
    <row r="2172" spans="1:18" x14ac:dyDescent="0.3">
      <c r="A2172" s="14">
        <v>2091</v>
      </c>
      <c r="B2172" s="21" t="s">
        <v>275</v>
      </c>
      <c r="C2172" s="21" t="s">
        <v>921</v>
      </c>
      <c r="D2172" s="1" t="s">
        <v>2606</v>
      </c>
      <c r="E2172" s="1" t="s">
        <v>1793</v>
      </c>
      <c r="F2172" s="21" t="s">
        <v>5</v>
      </c>
      <c r="G2172" s="14">
        <v>1</v>
      </c>
      <c r="H2172" s="14">
        <v>0</v>
      </c>
      <c r="I2172" s="22">
        <v>115</v>
      </c>
      <c r="J2172" s="23">
        <f>VLOOKUP(I2172,episodes!$A$1:$B$76,2,FALSE)</f>
        <v>16</v>
      </c>
      <c r="K2172" s="16" t="str">
        <f>VLOOKUP(I2172,episodes!$A$1:$E$81,5,FALSE)</f>
        <v>Shore Leave</v>
      </c>
      <c r="L2172" s="16">
        <f>VLOOKUP(I2172,episodes!$A$1:$D$81,3,FALSE)</f>
        <v>1</v>
      </c>
      <c r="M2172" s="16">
        <f>VLOOKUP(I2172,episodes!$A$1:$D$81,4,FALSE)</f>
        <v>15</v>
      </c>
      <c r="O2172" s="14">
        <v>0</v>
      </c>
      <c r="P2172" s="24">
        <f>LEN(E2172)+LEN(K2172)</f>
        <v>156</v>
      </c>
      <c r="Q2172" s="24">
        <f>COUNTIFS(B:B,B2171)</f>
        <v>103</v>
      </c>
      <c r="R2172" s="24">
        <f>COUNTIFS(D:D,D2172)</f>
        <v>97</v>
      </c>
    </row>
    <row r="2173" spans="1:18" x14ac:dyDescent="0.3">
      <c r="A2173" s="14">
        <v>2276</v>
      </c>
      <c r="B2173" s="21" t="s">
        <v>275</v>
      </c>
      <c r="C2173" s="21" t="s">
        <v>921</v>
      </c>
      <c r="D2173" s="1" t="s">
        <v>2606</v>
      </c>
      <c r="E2173" s="1" t="s">
        <v>2063</v>
      </c>
      <c r="F2173" s="21" t="s">
        <v>5</v>
      </c>
      <c r="G2173" s="14">
        <v>1</v>
      </c>
      <c r="H2173" s="14">
        <v>0</v>
      </c>
      <c r="I2173" s="14">
        <v>209</v>
      </c>
      <c r="J2173" s="23">
        <f>VLOOKUP(I2173,episodes!$A$1:$B$81,2,FALSE)</f>
        <v>39</v>
      </c>
      <c r="K2173" s="16" t="str">
        <f>VLOOKUP(I2173,episodes!$A$1:$E$81,5,FALSE)</f>
        <v>Metamorphosis</v>
      </c>
      <c r="L2173" s="16">
        <f>VLOOKUP(I2173,episodes!$A$1:$D$81,3,FALSE)</f>
        <v>2</v>
      </c>
      <c r="M2173" s="16">
        <f>VLOOKUP(I2173,episodes!$A$1:$D$81,4,FALSE)</f>
        <v>9</v>
      </c>
      <c r="O2173" s="14">
        <v>0</v>
      </c>
      <c r="P2173" s="24">
        <f>LEN(E2173)+LEN(K2173)</f>
        <v>89</v>
      </c>
      <c r="Q2173" s="24">
        <f>COUNTIFS(B:B,B2172)</f>
        <v>103</v>
      </c>
      <c r="R2173" s="24">
        <f>COUNTIFS(D:D,D2173)</f>
        <v>97</v>
      </c>
    </row>
    <row r="2174" spans="1:18" x14ac:dyDescent="0.3">
      <c r="A2174" s="14">
        <v>2186</v>
      </c>
      <c r="B2174" s="21" t="s">
        <v>275</v>
      </c>
      <c r="C2174" s="21" t="s">
        <v>921</v>
      </c>
      <c r="D2174" s="1" t="s">
        <v>2606</v>
      </c>
      <c r="E2174" s="1" t="s">
        <v>1130</v>
      </c>
      <c r="F2174" s="21" t="s">
        <v>5</v>
      </c>
      <c r="G2174" s="14">
        <v>1</v>
      </c>
      <c r="H2174" s="14">
        <v>0</v>
      </c>
      <c r="I2174" s="22">
        <v>128</v>
      </c>
      <c r="J2174" s="23">
        <f>VLOOKUP(I2174,episodes!$A$1:$B$76,2,FALSE)</f>
        <v>29</v>
      </c>
      <c r="K2174" s="16" t="str">
        <f>VLOOKUP(I2174,episodes!$A$1:$E$81,5,FALSE)</f>
        <v>The City on the Edge of Forever</v>
      </c>
      <c r="L2174" s="16">
        <f>VLOOKUP(I2174,episodes!$A$1:$D$81,3,FALSE)</f>
        <v>1</v>
      </c>
      <c r="M2174" s="16">
        <f>VLOOKUP(I2174,episodes!$A$1:$D$81,4,FALSE)</f>
        <v>28</v>
      </c>
      <c r="O2174" s="14">
        <v>0</v>
      </c>
      <c r="P2174" s="24">
        <f>LEN(E2174)+LEN(K2174)</f>
        <v>67</v>
      </c>
      <c r="Q2174" s="24">
        <f>COUNTIFS(B:B,B2173)</f>
        <v>103</v>
      </c>
      <c r="R2174" s="24">
        <f>COUNTIFS(D:D,D2174)</f>
        <v>97</v>
      </c>
    </row>
    <row r="2175" spans="1:18" x14ac:dyDescent="0.3">
      <c r="A2175" s="14">
        <v>2187</v>
      </c>
      <c r="B2175" s="21" t="s">
        <v>275</v>
      </c>
      <c r="C2175" s="21" t="s">
        <v>921</v>
      </c>
      <c r="D2175" s="1" t="s">
        <v>2606</v>
      </c>
      <c r="E2175" s="1" t="s">
        <v>1130</v>
      </c>
      <c r="F2175" s="21" t="s">
        <v>5</v>
      </c>
      <c r="G2175" s="14">
        <v>1</v>
      </c>
      <c r="H2175" s="14">
        <v>0</v>
      </c>
      <c r="I2175" s="22">
        <v>128</v>
      </c>
      <c r="J2175" s="23">
        <f>VLOOKUP(I2175,episodes!$A$1:$B$76,2,FALSE)</f>
        <v>29</v>
      </c>
      <c r="K2175" s="16" t="str">
        <f>VLOOKUP(I2175,episodes!$A$1:$E$81,5,FALSE)</f>
        <v>The City on the Edge of Forever</v>
      </c>
      <c r="L2175" s="16">
        <f>VLOOKUP(I2175,episodes!$A$1:$D$81,3,FALSE)</f>
        <v>1</v>
      </c>
      <c r="M2175" s="16">
        <f>VLOOKUP(I2175,episodes!$A$1:$D$81,4,FALSE)</f>
        <v>28</v>
      </c>
      <c r="O2175" s="14">
        <v>0</v>
      </c>
      <c r="P2175" s="24">
        <f>LEN(E2175)+LEN(K2175)</f>
        <v>67</v>
      </c>
      <c r="Q2175" s="24">
        <f>COUNTIFS(B:B,B2174)</f>
        <v>103</v>
      </c>
      <c r="R2175" s="24">
        <f>COUNTIFS(D:D,D2175)</f>
        <v>97</v>
      </c>
    </row>
    <row r="2176" spans="1:18" x14ac:dyDescent="0.3">
      <c r="A2176" s="14">
        <v>2093</v>
      </c>
      <c r="B2176" s="21" t="s">
        <v>275</v>
      </c>
      <c r="C2176" s="21" t="s">
        <v>921</v>
      </c>
      <c r="D2176" s="1" t="s">
        <v>2606</v>
      </c>
      <c r="E2176" s="1" t="s">
        <v>1886</v>
      </c>
      <c r="F2176" s="21" t="s">
        <v>5</v>
      </c>
      <c r="G2176" s="14">
        <v>1</v>
      </c>
      <c r="H2176" s="14">
        <v>0</v>
      </c>
      <c r="I2176" s="22">
        <v>116</v>
      </c>
      <c r="J2176" s="23">
        <f>VLOOKUP(I2176,episodes!$A$1:$B$76,2,FALSE)</f>
        <v>17</v>
      </c>
      <c r="K2176" s="16" t="str">
        <f>VLOOKUP(I2176,episodes!$A$1:$E$81,5,FALSE)</f>
        <v>The Galileo Seven</v>
      </c>
      <c r="L2176" s="16">
        <f>VLOOKUP(I2176,episodes!$A$1:$D$81,3,FALSE)</f>
        <v>1</v>
      </c>
      <c r="M2176" s="16">
        <f>VLOOKUP(I2176,episodes!$A$1:$D$81,4,FALSE)</f>
        <v>16</v>
      </c>
      <c r="O2176" s="14">
        <v>0</v>
      </c>
      <c r="P2176" s="24">
        <f>LEN(E2176)+LEN(K2176)</f>
        <v>71</v>
      </c>
      <c r="Q2176" s="24">
        <f>COUNTIFS(B:B,B2175)</f>
        <v>103</v>
      </c>
      <c r="R2176" s="24">
        <f>COUNTIFS(D:D,D2176)</f>
        <v>97</v>
      </c>
    </row>
    <row r="2177" spans="1:18" x14ac:dyDescent="0.3">
      <c r="A2177" s="14">
        <v>2178</v>
      </c>
      <c r="B2177" s="21" t="s">
        <v>275</v>
      </c>
      <c r="C2177" s="21" t="s">
        <v>921</v>
      </c>
      <c r="D2177" s="1" t="s">
        <v>2606</v>
      </c>
      <c r="E2177" s="1" t="s">
        <v>1129</v>
      </c>
      <c r="F2177" s="21" t="s">
        <v>5</v>
      </c>
      <c r="G2177" s="14">
        <v>1</v>
      </c>
      <c r="H2177" s="14">
        <v>0</v>
      </c>
      <c r="I2177" s="22">
        <v>127</v>
      </c>
      <c r="J2177" s="23">
        <f>VLOOKUP(I2177,episodes!$A$1:$B$76,2,FALSE)</f>
        <v>28</v>
      </c>
      <c r="K2177" s="16" t="str">
        <f>VLOOKUP(I2177,episodes!$A$1:$E$81,5,FALSE)</f>
        <v>The Alternative Factor</v>
      </c>
      <c r="L2177" s="16">
        <f>VLOOKUP(I2177,episodes!$A$1:$D$81,3,FALSE)</f>
        <v>1</v>
      </c>
      <c r="M2177" s="16">
        <f>VLOOKUP(I2177,episodes!$A$1:$D$81,4,FALSE)</f>
        <v>27</v>
      </c>
      <c r="O2177" s="14">
        <v>0</v>
      </c>
      <c r="P2177" s="24">
        <f>LEN(E2177)+LEN(K2177)</f>
        <v>62</v>
      </c>
      <c r="Q2177" s="24">
        <f>COUNTIFS(B:B,B2176)</f>
        <v>103</v>
      </c>
      <c r="R2177" s="24">
        <f>COUNTIFS(D:D,D2177)</f>
        <v>97</v>
      </c>
    </row>
    <row r="2178" spans="1:18" x14ac:dyDescent="0.3">
      <c r="A2178" s="14">
        <v>2094</v>
      </c>
      <c r="B2178" s="21" t="s">
        <v>275</v>
      </c>
      <c r="C2178" s="21" t="s">
        <v>921</v>
      </c>
      <c r="D2178" s="1" t="s">
        <v>2606</v>
      </c>
      <c r="E2178" s="1" t="s">
        <v>2051</v>
      </c>
      <c r="F2178" s="21" t="s">
        <v>5</v>
      </c>
      <c r="G2178" s="14">
        <v>1</v>
      </c>
      <c r="H2178" s="14">
        <v>0</v>
      </c>
      <c r="I2178" s="22">
        <v>116</v>
      </c>
      <c r="J2178" s="23">
        <f>VLOOKUP(I2178,episodes!$A$1:$B$76,2,FALSE)</f>
        <v>17</v>
      </c>
      <c r="K2178" s="16" t="str">
        <f>VLOOKUP(I2178,episodes!$A$1:$E$81,5,FALSE)</f>
        <v>The Galileo Seven</v>
      </c>
      <c r="L2178" s="16">
        <f>VLOOKUP(I2178,episodes!$A$1:$D$81,3,FALSE)</f>
        <v>1</v>
      </c>
      <c r="M2178" s="16">
        <f>VLOOKUP(I2178,episodes!$A$1:$D$81,4,FALSE)</f>
        <v>16</v>
      </c>
      <c r="O2178" s="14">
        <v>0</v>
      </c>
      <c r="P2178" s="24">
        <f>LEN(E2178)+LEN(K2178)</f>
        <v>52</v>
      </c>
      <c r="Q2178" s="24">
        <f>COUNTIFS(B:B,B2177)</f>
        <v>103</v>
      </c>
      <c r="R2178" s="24">
        <f>COUNTIFS(D:D,D2178)</f>
        <v>97</v>
      </c>
    </row>
    <row r="2179" spans="1:18" x14ac:dyDescent="0.3">
      <c r="A2179" s="14">
        <v>2057</v>
      </c>
      <c r="B2179" s="21" t="s">
        <v>275</v>
      </c>
      <c r="C2179" s="21" t="s">
        <v>921</v>
      </c>
      <c r="D2179" s="1" t="s">
        <v>2606</v>
      </c>
      <c r="E2179" s="1" t="s">
        <v>456</v>
      </c>
      <c r="F2179" s="21" t="s">
        <v>5</v>
      </c>
      <c r="G2179" s="14">
        <v>1</v>
      </c>
      <c r="H2179" s="14">
        <v>0</v>
      </c>
      <c r="I2179" s="14">
        <v>104</v>
      </c>
      <c r="J2179" s="23">
        <f>VLOOKUP(I2179,episodes!$A$1:$B$76,2,FALSE)</f>
        <v>5</v>
      </c>
      <c r="K2179" s="16" t="str">
        <f>VLOOKUP(I2179,episodes!$A$1:$E$81,5,FALSE)</f>
        <v>The Naked Time</v>
      </c>
      <c r="L2179" s="16">
        <f>VLOOKUP(I2179,episodes!$A$1:$D$81,3,FALSE)</f>
        <v>1</v>
      </c>
      <c r="M2179" s="16">
        <f>VLOOKUP(I2179,episodes!$A$1:$D$81,4,FALSE)</f>
        <v>4</v>
      </c>
      <c r="O2179" s="14">
        <v>0</v>
      </c>
      <c r="P2179" s="24">
        <f>LEN(E2179)+LEN(K2179)</f>
        <v>64</v>
      </c>
      <c r="Q2179" s="24">
        <f>COUNTIFS(B:B,B2178)</f>
        <v>103</v>
      </c>
      <c r="R2179" s="24">
        <f>COUNTIFS(D:D,D2179)</f>
        <v>97</v>
      </c>
    </row>
    <row r="2180" spans="1:18" x14ac:dyDescent="0.3">
      <c r="A2180" s="14">
        <v>2148</v>
      </c>
      <c r="B2180" s="21" t="s">
        <v>275</v>
      </c>
      <c r="C2180" s="21" t="s">
        <v>921</v>
      </c>
      <c r="D2180" s="1" t="s">
        <v>2606</v>
      </c>
      <c r="E2180" s="1" t="s">
        <v>1128</v>
      </c>
      <c r="F2180" s="21" t="s">
        <v>5</v>
      </c>
      <c r="G2180" s="14">
        <v>1</v>
      </c>
      <c r="H2180" s="14">
        <v>0</v>
      </c>
      <c r="I2180" s="22">
        <v>124</v>
      </c>
      <c r="J2180" s="23">
        <f>VLOOKUP(I2180,episodes!$A$1:$B$76,2,FALSE)</f>
        <v>25</v>
      </c>
      <c r="K2180" s="16" t="str">
        <f>VLOOKUP(I2180,episodes!$A$1:$E$81,5,FALSE)</f>
        <v>This Side of Paradise</v>
      </c>
      <c r="L2180" s="16">
        <f>VLOOKUP(I2180,episodes!$A$1:$D$81,3,FALSE)</f>
        <v>1</v>
      </c>
      <c r="M2180" s="16">
        <f>VLOOKUP(I2180,episodes!$A$1:$D$81,4,FALSE)</f>
        <v>24</v>
      </c>
      <c r="O2180" s="14">
        <v>0</v>
      </c>
      <c r="P2180" s="24">
        <f>LEN(E2180)+LEN(K2180)</f>
        <v>59</v>
      </c>
      <c r="Q2180" s="24">
        <f>COUNTIFS(B:B,B2179)</f>
        <v>103</v>
      </c>
      <c r="R2180" s="24">
        <f>COUNTIFS(D:D,D2180)</f>
        <v>97</v>
      </c>
    </row>
    <row r="2181" spans="1:18" x14ac:dyDescent="0.3">
      <c r="A2181" s="14">
        <v>2188</v>
      </c>
      <c r="B2181" s="21" t="s">
        <v>275</v>
      </c>
      <c r="C2181" s="21" t="s">
        <v>921</v>
      </c>
      <c r="D2181" s="1" t="s">
        <v>2606</v>
      </c>
      <c r="E2181" s="1" t="s">
        <v>1131</v>
      </c>
      <c r="F2181" s="21" t="s">
        <v>5</v>
      </c>
      <c r="G2181" s="14">
        <v>1</v>
      </c>
      <c r="H2181" s="14">
        <v>0</v>
      </c>
      <c r="I2181" s="22">
        <v>128</v>
      </c>
      <c r="J2181" s="23">
        <f>VLOOKUP(I2181,episodes!$A$1:$B$76,2,FALSE)</f>
        <v>29</v>
      </c>
      <c r="K2181" s="16" t="str">
        <f>VLOOKUP(I2181,episodes!$A$1:$E$81,5,FALSE)</f>
        <v>The City on the Edge of Forever</v>
      </c>
      <c r="L2181" s="16">
        <f>VLOOKUP(I2181,episodes!$A$1:$D$81,3,FALSE)</f>
        <v>1</v>
      </c>
      <c r="M2181" s="16">
        <f>VLOOKUP(I2181,episodes!$A$1:$D$81,4,FALSE)</f>
        <v>28</v>
      </c>
      <c r="O2181" s="14">
        <v>0</v>
      </c>
      <c r="P2181" s="24">
        <f>LEN(E2181)+LEN(K2181)</f>
        <v>71</v>
      </c>
      <c r="Q2181" s="24">
        <f>COUNTIFS(B:B,B2180)</f>
        <v>103</v>
      </c>
      <c r="R2181" s="24">
        <f>COUNTIFS(D:D,D2181)</f>
        <v>97</v>
      </c>
    </row>
    <row r="2182" spans="1:18" x14ac:dyDescent="0.3">
      <c r="A2182" s="14">
        <v>2263</v>
      </c>
      <c r="B2182" s="21" t="s">
        <v>275</v>
      </c>
      <c r="C2182" s="21" t="s">
        <v>921</v>
      </c>
      <c r="D2182" s="1" t="s">
        <v>2606</v>
      </c>
      <c r="E2182" s="1" t="s">
        <v>1619</v>
      </c>
      <c r="F2182" s="21" t="s">
        <v>5</v>
      </c>
      <c r="G2182" s="14">
        <v>1</v>
      </c>
      <c r="H2182" s="14">
        <v>0</v>
      </c>
      <c r="I2182" s="22">
        <v>207</v>
      </c>
      <c r="J2182" s="23">
        <f>VLOOKUP(I2182,episodes!$A$1:$B$81,2,FALSE)</f>
        <v>37</v>
      </c>
      <c r="K2182" s="16" t="str">
        <f>VLOOKUP(I2182,episodes!$A$1:$E$81,5,FALSE)</f>
        <v>Catspaw</v>
      </c>
      <c r="L2182" s="16">
        <f>VLOOKUP(I2182,episodes!$A$1:$D$81,3,FALSE)</f>
        <v>2</v>
      </c>
      <c r="M2182" s="16">
        <f>VLOOKUP(I2182,episodes!$A$1:$D$81,4,FALSE)</f>
        <v>7</v>
      </c>
      <c r="O2182" s="14">
        <v>0</v>
      </c>
      <c r="P2182" s="24">
        <f>LEN(E2182)+LEN(K2182)</f>
        <v>76</v>
      </c>
      <c r="Q2182" s="24">
        <f>COUNTIFS(B:B,B2181)</f>
        <v>103</v>
      </c>
      <c r="R2182" s="24">
        <f>COUNTIFS(D:D,D2182)</f>
        <v>97</v>
      </c>
    </row>
    <row r="2183" spans="1:18" x14ac:dyDescent="0.3">
      <c r="A2183" s="14">
        <v>2248</v>
      </c>
      <c r="B2183" s="21" t="s">
        <v>275</v>
      </c>
      <c r="C2183" s="21" t="s">
        <v>921</v>
      </c>
      <c r="D2183" s="1" t="s">
        <v>2606</v>
      </c>
      <c r="E2183" s="1" t="s">
        <v>2060</v>
      </c>
      <c r="F2183" s="21" t="s">
        <v>5</v>
      </c>
      <c r="G2183" s="14">
        <v>1</v>
      </c>
      <c r="H2183" s="14">
        <v>0</v>
      </c>
      <c r="I2183" s="25">
        <v>205</v>
      </c>
      <c r="J2183" s="23">
        <f>VLOOKUP(I2183,episodes!$A$1:$B$81,2,FALSE)</f>
        <v>35</v>
      </c>
      <c r="K2183" s="16" t="str">
        <f>VLOOKUP(I2183,episodes!$A$1:$E$81,5,FALSE)</f>
        <v>The Apple</v>
      </c>
      <c r="L2183" s="16">
        <f>VLOOKUP(I2183,episodes!$A$1:$D$81,3,FALSE)</f>
        <v>2</v>
      </c>
      <c r="M2183" s="16">
        <f>VLOOKUP(I2183,episodes!$A$1:$D$81,4,FALSE)</f>
        <v>5</v>
      </c>
      <c r="O2183" s="14">
        <v>0</v>
      </c>
      <c r="P2183" s="24">
        <f>LEN(E2183)+LEN(K2183)</f>
        <v>46</v>
      </c>
      <c r="Q2183" s="24">
        <f>COUNTIFS(B:B,B2182)</f>
        <v>103</v>
      </c>
      <c r="R2183" s="24">
        <f>COUNTIFS(D:D,D2183)</f>
        <v>97</v>
      </c>
    </row>
    <row r="2184" spans="1:18" x14ac:dyDescent="0.3">
      <c r="A2184" s="14">
        <v>2249</v>
      </c>
      <c r="B2184" s="21" t="s">
        <v>275</v>
      </c>
      <c r="C2184" s="21" t="s">
        <v>921</v>
      </c>
      <c r="D2184" s="1" t="s">
        <v>2606</v>
      </c>
      <c r="E2184" s="1" t="s">
        <v>2061</v>
      </c>
      <c r="F2184" s="21" t="s">
        <v>5</v>
      </c>
      <c r="G2184" s="14">
        <v>1</v>
      </c>
      <c r="H2184" s="14">
        <v>0</v>
      </c>
      <c r="I2184" s="25">
        <v>205</v>
      </c>
      <c r="J2184" s="23">
        <f>VLOOKUP(I2184,episodes!$A$1:$B$81,2,FALSE)</f>
        <v>35</v>
      </c>
      <c r="K2184" s="16" t="str">
        <f>VLOOKUP(I2184,episodes!$A$1:$E$81,5,FALSE)</f>
        <v>The Apple</v>
      </c>
      <c r="L2184" s="16">
        <f>VLOOKUP(I2184,episodes!$A$1:$D$81,3,FALSE)</f>
        <v>2</v>
      </c>
      <c r="M2184" s="16">
        <f>VLOOKUP(I2184,episodes!$A$1:$D$81,4,FALSE)</f>
        <v>5</v>
      </c>
      <c r="O2184" s="14">
        <v>0</v>
      </c>
      <c r="P2184" s="24">
        <f>LEN(E2184)+LEN(K2184)</f>
        <v>46</v>
      </c>
      <c r="Q2184" s="24">
        <f>COUNTIFS(B:B,B2183)</f>
        <v>103</v>
      </c>
      <c r="R2184" s="24">
        <f>COUNTIFS(D:D,D2184)</f>
        <v>97</v>
      </c>
    </row>
    <row r="2185" spans="1:18" x14ac:dyDescent="0.3">
      <c r="A2185" s="14">
        <v>2168</v>
      </c>
      <c r="B2185" s="21" t="s">
        <v>275</v>
      </c>
      <c r="C2185" s="21" t="s">
        <v>921</v>
      </c>
      <c r="D2185" s="1" t="s">
        <v>2606</v>
      </c>
      <c r="E2185" s="1" t="s">
        <v>706</v>
      </c>
      <c r="F2185" s="21" t="s">
        <v>5</v>
      </c>
      <c r="G2185" s="14">
        <v>1</v>
      </c>
      <c r="H2185" s="14">
        <v>0</v>
      </c>
      <c r="I2185" s="26">
        <v>126</v>
      </c>
      <c r="J2185" s="23">
        <f>VLOOKUP(I2185,episodes!$A$1:$B$76,2,FALSE)</f>
        <v>27</v>
      </c>
      <c r="K2185" s="16" t="str">
        <f>VLOOKUP(I2185,episodes!$A$1:$E$81,5,FALSE)</f>
        <v>Errand of Mercy</v>
      </c>
      <c r="L2185" s="16">
        <f>VLOOKUP(I2185,episodes!$A$1:$D$81,3,FALSE)</f>
        <v>1</v>
      </c>
      <c r="M2185" s="16">
        <f>VLOOKUP(I2185,episodes!$A$1:$D$81,4,FALSE)</f>
        <v>26</v>
      </c>
      <c r="O2185" s="14">
        <v>0</v>
      </c>
      <c r="P2185" s="24">
        <f>LEN(E2185)+LEN(K2185)</f>
        <v>50</v>
      </c>
      <c r="Q2185" s="24">
        <f>COUNTIFS(B:B,B2184)</f>
        <v>103</v>
      </c>
      <c r="R2185" s="24">
        <f>COUNTIFS(D:D,D2185)</f>
        <v>97</v>
      </c>
    </row>
    <row r="2186" spans="1:18" x14ac:dyDescent="0.3">
      <c r="A2186" s="14">
        <v>2158</v>
      </c>
      <c r="B2186" s="21" t="s">
        <v>275</v>
      </c>
      <c r="C2186" s="21" t="s">
        <v>921</v>
      </c>
      <c r="D2186" s="1" t="s">
        <v>2606</v>
      </c>
      <c r="E2186" s="1" t="s">
        <v>2057</v>
      </c>
      <c r="F2186" s="21" t="s">
        <v>5</v>
      </c>
      <c r="G2186" s="14">
        <v>1</v>
      </c>
      <c r="H2186" s="14">
        <v>0</v>
      </c>
      <c r="I2186" s="22">
        <v>125</v>
      </c>
      <c r="J2186" s="23">
        <f>VLOOKUP(I2186,episodes!$A$1:$B$76,2,FALSE)</f>
        <v>26</v>
      </c>
      <c r="K2186" s="16" t="str">
        <f>VLOOKUP(I2186,episodes!$A$1:$E$81,5,FALSE)</f>
        <v>The Devil in the Dark</v>
      </c>
      <c r="L2186" s="16">
        <f>VLOOKUP(I2186,episodes!$A$1:$D$81,3,FALSE)</f>
        <v>1</v>
      </c>
      <c r="M2186" s="16">
        <f>VLOOKUP(I2186,episodes!$A$1:$D$81,4,FALSE)</f>
        <v>25</v>
      </c>
      <c r="O2186" s="14">
        <v>0</v>
      </c>
      <c r="P2186" s="24">
        <f>LEN(E2186)+LEN(K2186)</f>
        <v>76</v>
      </c>
      <c r="Q2186" s="24">
        <f>COUNTIFS(B:B,B2185)</f>
        <v>103</v>
      </c>
      <c r="R2186" s="24">
        <f>COUNTIFS(D:D,D2186)</f>
        <v>97</v>
      </c>
    </row>
    <row r="2187" spans="1:18" x14ac:dyDescent="0.3">
      <c r="A2187" s="14">
        <v>2156</v>
      </c>
      <c r="B2187" s="21" t="s">
        <v>275</v>
      </c>
      <c r="C2187" s="21" t="s">
        <v>921</v>
      </c>
      <c r="D2187" s="1" t="s">
        <v>2606</v>
      </c>
      <c r="E2187" s="1" t="s">
        <v>2961</v>
      </c>
      <c r="F2187" s="21" t="s">
        <v>5</v>
      </c>
      <c r="G2187" s="14">
        <v>1</v>
      </c>
      <c r="H2187" s="14">
        <v>0</v>
      </c>
      <c r="I2187" s="22">
        <v>125</v>
      </c>
      <c r="J2187" s="23">
        <f>VLOOKUP(I2187,episodes!$A$1:$B$76,2,FALSE)</f>
        <v>26</v>
      </c>
      <c r="K2187" s="16" t="str">
        <f>VLOOKUP(I2187,episodes!$A$1:$E$81,5,FALSE)</f>
        <v>The Devil in the Dark</v>
      </c>
      <c r="L2187" s="16">
        <f>VLOOKUP(I2187,episodes!$A$1:$D$81,3,FALSE)</f>
        <v>1</v>
      </c>
      <c r="M2187" s="16">
        <f>VLOOKUP(I2187,episodes!$A$1:$D$81,4,FALSE)</f>
        <v>25</v>
      </c>
      <c r="O2187" s="14">
        <v>0</v>
      </c>
      <c r="P2187" s="24">
        <f>LEN(E2187)+LEN(K2187)</f>
        <v>80</v>
      </c>
      <c r="Q2187" s="24">
        <f>COUNTIFS(B:B,B2186)</f>
        <v>103</v>
      </c>
      <c r="R2187" s="24">
        <f>COUNTIFS(D:D,D2187)</f>
        <v>97</v>
      </c>
    </row>
    <row r="2188" spans="1:18" x14ac:dyDescent="0.3">
      <c r="A2188" s="14">
        <v>2157</v>
      </c>
      <c r="B2188" s="21" t="s">
        <v>275</v>
      </c>
      <c r="C2188" s="21" t="s">
        <v>921</v>
      </c>
      <c r="D2188" s="1" t="s">
        <v>2606</v>
      </c>
      <c r="E2188" s="1" t="s">
        <v>2962</v>
      </c>
      <c r="F2188" s="21" t="s">
        <v>5</v>
      </c>
      <c r="G2188" s="14">
        <v>1</v>
      </c>
      <c r="H2188" s="14">
        <v>0</v>
      </c>
      <c r="I2188" s="22">
        <v>125</v>
      </c>
      <c r="J2188" s="23">
        <f>VLOOKUP(I2188,episodes!$A$1:$B$76,2,FALSE)</f>
        <v>26</v>
      </c>
      <c r="K2188" s="16" t="str">
        <f>VLOOKUP(I2188,episodes!$A$1:$E$81,5,FALSE)</f>
        <v>The Devil in the Dark</v>
      </c>
      <c r="L2188" s="16">
        <f>VLOOKUP(I2188,episodes!$A$1:$D$81,3,FALSE)</f>
        <v>1</v>
      </c>
      <c r="M2188" s="16">
        <f>VLOOKUP(I2188,episodes!$A$1:$D$81,4,FALSE)</f>
        <v>25</v>
      </c>
      <c r="O2188" s="14">
        <v>0</v>
      </c>
      <c r="P2188" s="24">
        <f>LEN(E2188)+LEN(K2188)</f>
        <v>80</v>
      </c>
      <c r="Q2188" s="24">
        <f>COUNTIFS(B:B,B2187)</f>
        <v>103</v>
      </c>
      <c r="R2188" s="24">
        <f>COUNTIFS(D:D,D2188)</f>
        <v>97</v>
      </c>
    </row>
    <row r="2189" spans="1:18" x14ac:dyDescent="0.3">
      <c r="A2189" s="14">
        <v>2179</v>
      </c>
      <c r="B2189" s="21" t="s">
        <v>275</v>
      </c>
      <c r="C2189" s="21" t="s">
        <v>921</v>
      </c>
      <c r="D2189" s="1" t="s">
        <v>2606</v>
      </c>
      <c r="E2189" s="1" t="s">
        <v>467</v>
      </c>
      <c r="F2189" s="21" t="s">
        <v>5</v>
      </c>
      <c r="G2189" s="14">
        <v>1</v>
      </c>
      <c r="H2189" s="14">
        <v>0</v>
      </c>
      <c r="I2189" s="22">
        <v>127</v>
      </c>
      <c r="J2189" s="23">
        <f>VLOOKUP(I2189,episodes!$A$1:$B$76,2,FALSE)</f>
        <v>28</v>
      </c>
      <c r="K2189" s="16" t="str">
        <f>VLOOKUP(I2189,episodes!$A$1:$E$81,5,FALSE)</f>
        <v>The Alternative Factor</v>
      </c>
      <c r="L2189" s="16">
        <f>VLOOKUP(I2189,episodes!$A$1:$D$81,3,FALSE)</f>
        <v>1</v>
      </c>
      <c r="M2189" s="16">
        <f>VLOOKUP(I2189,episodes!$A$1:$D$81,4,FALSE)</f>
        <v>27</v>
      </c>
      <c r="O2189" s="14">
        <v>0</v>
      </c>
      <c r="P2189" s="24">
        <f>LEN(E2189)+LEN(K2189)</f>
        <v>53</v>
      </c>
      <c r="Q2189" s="24">
        <f>COUNTIFS(B:B,B2188)</f>
        <v>103</v>
      </c>
      <c r="R2189" s="24">
        <f>COUNTIFS(D:D,D2189)</f>
        <v>97</v>
      </c>
    </row>
    <row r="2190" spans="1:18" x14ac:dyDescent="0.3">
      <c r="A2190" s="14">
        <v>2250</v>
      </c>
      <c r="B2190" s="21" t="s">
        <v>275</v>
      </c>
      <c r="C2190" s="21" t="s">
        <v>921</v>
      </c>
      <c r="D2190" s="1" t="s">
        <v>2606</v>
      </c>
      <c r="E2190" s="1" t="s">
        <v>467</v>
      </c>
      <c r="F2190" s="21" t="s">
        <v>5</v>
      </c>
      <c r="G2190" s="14">
        <v>1</v>
      </c>
      <c r="H2190" s="14">
        <v>0</v>
      </c>
      <c r="I2190" s="25">
        <v>205</v>
      </c>
      <c r="J2190" s="23">
        <f>VLOOKUP(I2190,episodes!$A$1:$B$81,2,FALSE)</f>
        <v>35</v>
      </c>
      <c r="K2190" s="16" t="str">
        <f>VLOOKUP(I2190,episodes!$A$1:$E$81,5,FALSE)</f>
        <v>The Apple</v>
      </c>
      <c r="L2190" s="16">
        <f>VLOOKUP(I2190,episodes!$A$1:$D$81,3,FALSE)</f>
        <v>2</v>
      </c>
      <c r="M2190" s="16">
        <f>VLOOKUP(I2190,episodes!$A$1:$D$81,4,FALSE)</f>
        <v>5</v>
      </c>
      <c r="O2190" s="14">
        <v>0</v>
      </c>
      <c r="P2190" s="24">
        <f>LEN(E2190)+LEN(K2190)</f>
        <v>40</v>
      </c>
      <c r="Q2190" s="24">
        <f>COUNTIFS(B:B,B2189)</f>
        <v>103</v>
      </c>
      <c r="R2190" s="24">
        <f>COUNTIFS(D:D,D2190)</f>
        <v>97</v>
      </c>
    </row>
    <row r="2191" spans="1:18" x14ac:dyDescent="0.3">
      <c r="A2191" s="14">
        <v>2068</v>
      </c>
      <c r="B2191" s="21" t="s">
        <v>275</v>
      </c>
      <c r="C2191" s="21" t="s">
        <v>921</v>
      </c>
      <c r="D2191" s="1" t="s">
        <v>2606</v>
      </c>
      <c r="E2191" s="1" t="s">
        <v>463</v>
      </c>
      <c r="F2191" s="21" t="s">
        <v>5</v>
      </c>
      <c r="G2191" s="14">
        <v>1</v>
      </c>
      <c r="H2191" s="14">
        <v>0</v>
      </c>
      <c r="I2191" s="25">
        <v>107</v>
      </c>
      <c r="J2191" s="23">
        <f>VLOOKUP(I2191,episodes!$A$1:$B$76,2,FALSE)</f>
        <v>8</v>
      </c>
      <c r="K2191" s="16" t="str">
        <f>VLOOKUP(I2191,episodes!$A$1:$E$81,5,FALSE)</f>
        <v>What Are Little Girls Made Of?</v>
      </c>
      <c r="L2191" s="16">
        <f>VLOOKUP(I2191,episodes!$A$1:$D$81,3,FALSE)</f>
        <v>1</v>
      </c>
      <c r="M2191" s="16">
        <f>VLOOKUP(I2191,episodes!$A$1:$D$81,4,FALSE)</f>
        <v>7</v>
      </c>
      <c r="O2191" s="14">
        <v>0</v>
      </c>
      <c r="P2191" s="24">
        <f>LEN(E2191)+LEN(K2191)</f>
        <v>51</v>
      </c>
      <c r="Q2191" s="24">
        <f>COUNTIFS(B:B,B2190)</f>
        <v>103</v>
      </c>
      <c r="R2191" s="24">
        <f>COUNTIFS(D:D,D2191)</f>
        <v>97</v>
      </c>
    </row>
    <row r="2192" spans="1:18" x14ac:dyDescent="0.3">
      <c r="A2192" s="14">
        <v>2033</v>
      </c>
      <c r="B2192" s="21" t="s">
        <v>275</v>
      </c>
      <c r="C2192" s="21" t="s">
        <v>921</v>
      </c>
      <c r="D2192" s="1" t="s">
        <v>2606</v>
      </c>
      <c r="E2192" s="1" t="s">
        <v>396</v>
      </c>
      <c r="F2192" s="21" t="s">
        <v>5</v>
      </c>
      <c r="G2192" s="14">
        <v>1</v>
      </c>
      <c r="H2192" s="14">
        <v>0</v>
      </c>
      <c r="I2192" s="22">
        <v>115</v>
      </c>
      <c r="J2192" s="23">
        <f>VLOOKUP(I2192,episodes!$A$1:$B$76,2,FALSE)</f>
        <v>16</v>
      </c>
      <c r="K2192" s="16" t="str">
        <f>VLOOKUP(I2192,episodes!$A$1:$E$81,5,FALSE)</f>
        <v>Shore Leave</v>
      </c>
      <c r="L2192" s="16">
        <f>VLOOKUP(I2192,episodes!$A$1:$D$81,3,FALSE)</f>
        <v>1</v>
      </c>
      <c r="M2192" s="16">
        <f>VLOOKUP(I2192,episodes!$A$1:$D$81,4,FALSE)</f>
        <v>15</v>
      </c>
      <c r="O2192" s="14">
        <v>0</v>
      </c>
      <c r="P2192" s="24">
        <f>LEN(E2192)+LEN(K2192)</f>
        <v>55</v>
      </c>
      <c r="Q2192" s="24">
        <f>COUNTIFS(B:B,B2191)</f>
        <v>103</v>
      </c>
      <c r="R2192" s="24">
        <f>COUNTIFS(D:D,D2192)</f>
        <v>97</v>
      </c>
    </row>
    <row r="2193" spans="1:18" x14ac:dyDescent="0.3">
      <c r="A2193" s="14">
        <v>2524</v>
      </c>
      <c r="B2193" s="21" t="s">
        <v>275</v>
      </c>
      <c r="C2193" s="21" t="s">
        <v>921</v>
      </c>
      <c r="D2193" s="1" t="s">
        <v>2606</v>
      </c>
      <c r="E2193" s="1" t="s">
        <v>418</v>
      </c>
      <c r="F2193" s="21" t="s">
        <v>1863</v>
      </c>
      <c r="G2193" s="14">
        <v>1</v>
      </c>
      <c r="H2193" s="14">
        <v>0</v>
      </c>
      <c r="I2193" s="22">
        <v>128</v>
      </c>
      <c r="J2193" s="23">
        <f>VLOOKUP(I2193,episodes!$A$1:$B$76,2,FALSE)</f>
        <v>29</v>
      </c>
      <c r="K2193" s="16" t="str">
        <f>VLOOKUP(I2193,episodes!$A$1:$E$81,5,FALSE)</f>
        <v>The City on the Edge of Forever</v>
      </c>
      <c r="L2193" s="16">
        <f>VLOOKUP(I2193,episodes!$A$1:$D$81,3,FALSE)</f>
        <v>1</v>
      </c>
      <c r="M2193" s="16">
        <f>VLOOKUP(I2193,episodes!$A$1:$D$81,4,FALSE)</f>
        <v>28</v>
      </c>
      <c r="O2193" s="14">
        <v>0</v>
      </c>
      <c r="P2193" s="24">
        <f>LEN(E2193)+LEN(K2193)</f>
        <v>66</v>
      </c>
      <c r="Q2193" s="24">
        <f>COUNTIFS(B:B,B2192)</f>
        <v>103</v>
      </c>
      <c r="R2193" s="24">
        <f>COUNTIFS(D:D,D2193)</f>
        <v>97</v>
      </c>
    </row>
    <row r="2194" spans="1:18" x14ac:dyDescent="0.3">
      <c r="A2194" s="14">
        <v>2537</v>
      </c>
      <c r="B2194" s="21" t="s">
        <v>275</v>
      </c>
      <c r="C2194" s="21" t="s">
        <v>921</v>
      </c>
      <c r="D2194" s="1" t="s">
        <v>2606</v>
      </c>
      <c r="E2194" s="1" t="s">
        <v>514</v>
      </c>
      <c r="F2194" s="21" t="s">
        <v>1863</v>
      </c>
      <c r="G2194" s="14">
        <v>1</v>
      </c>
      <c r="H2194" s="14">
        <v>0</v>
      </c>
      <c r="I2194" s="25">
        <v>204</v>
      </c>
      <c r="J2194" s="23">
        <f>VLOOKUP(I2194,episodes!$A$1:$B$81,2,FALSE)</f>
        <v>34</v>
      </c>
      <c r="K2194" s="16" t="str">
        <f>VLOOKUP(I2194,episodes!$A$1:$E$81,5,FALSE)</f>
        <v>Mirror, Mirror</v>
      </c>
      <c r="L2194" s="16">
        <f>VLOOKUP(I2194,episodes!$A$1:$D$81,3,FALSE)</f>
        <v>2</v>
      </c>
      <c r="M2194" s="16">
        <f>VLOOKUP(I2194,episodes!$A$1:$D$81,4,FALSE)</f>
        <v>4</v>
      </c>
      <c r="O2194" s="14">
        <v>0</v>
      </c>
      <c r="P2194" s="24">
        <f>LEN(E2194)+LEN(K2194)</f>
        <v>45</v>
      </c>
      <c r="Q2194" s="24">
        <f>COUNTIFS(B:B,B2193)</f>
        <v>103</v>
      </c>
      <c r="R2194" s="24">
        <f>COUNTIFS(D:D,D2194)</f>
        <v>97</v>
      </c>
    </row>
    <row r="2195" spans="1:18" x14ac:dyDescent="0.3">
      <c r="A2195" s="14">
        <v>1737</v>
      </c>
      <c r="B2195" s="21" t="s">
        <v>275</v>
      </c>
      <c r="C2195" s="21" t="s">
        <v>921</v>
      </c>
      <c r="D2195" s="1" t="s">
        <v>2606</v>
      </c>
      <c r="E2195" s="1" t="s">
        <v>1890</v>
      </c>
      <c r="F2195" s="21" t="s">
        <v>2237</v>
      </c>
      <c r="G2195" s="14">
        <v>0</v>
      </c>
      <c r="H2195" s="14">
        <v>0</v>
      </c>
      <c r="I2195" s="22">
        <v>116</v>
      </c>
      <c r="J2195" s="23">
        <f>VLOOKUP(I2195,episodes!$A$1:$B$76,2,FALSE)</f>
        <v>17</v>
      </c>
      <c r="K2195" s="16" t="str">
        <f>VLOOKUP(I2195,episodes!$A$1:$E$81,5,FALSE)</f>
        <v>The Galileo Seven</v>
      </c>
      <c r="L2195" s="16">
        <f>VLOOKUP(I2195,episodes!$A$1:$D$81,3,FALSE)</f>
        <v>1</v>
      </c>
      <c r="M2195" s="16">
        <f>VLOOKUP(I2195,episodes!$A$1:$D$81,4,FALSE)</f>
        <v>16</v>
      </c>
      <c r="O2195" s="14">
        <v>0</v>
      </c>
      <c r="P2195" s="24">
        <f>LEN(E2195)+LEN(K2195)</f>
        <v>75</v>
      </c>
      <c r="Q2195" s="24">
        <f>COUNTIFS(B:B,B2194)</f>
        <v>103</v>
      </c>
      <c r="R2195" s="24">
        <f>COUNTIFS(D:D,D2195)</f>
        <v>97</v>
      </c>
    </row>
    <row r="2196" spans="1:18" x14ac:dyDescent="0.3">
      <c r="A2196" s="14">
        <v>1738</v>
      </c>
      <c r="B2196" s="21" t="s">
        <v>275</v>
      </c>
      <c r="C2196" s="21" t="s">
        <v>921</v>
      </c>
      <c r="D2196" s="1" t="s">
        <v>2606</v>
      </c>
      <c r="E2196" s="1" t="s">
        <v>1889</v>
      </c>
      <c r="F2196" s="21" t="s">
        <v>2237</v>
      </c>
      <c r="G2196" s="14">
        <v>0</v>
      </c>
      <c r="H2196" s="14">
        <v>0</v>
      </c>
      <c r="I2196" s="22">
        <v>116</v>
      </c>
      <c r="J2196" s="23">
        <f>VLOOKUP(I2196,episodes!$A$1:$B$76,2,FALSE)</f>
        <v>17</v>
      </c>
      <c r="K2196" s="16" t="str">
        <f>VLOOKUP(I2196,episodes!$A$1:$E$81,5,FALSE)</f>
        <v>The Galileo Seven</v>
      </c>
      <c r="L2196" s="16">
        <f>VLOOKUP(I2196,episodes!$A$1:$D$81,3,FALSE)</f>
        <v>1</v>
      </c>
      <c r="M2196" s="16">
        <f>VLOOKUP(I2196,episodes!$A$1:$D$81,4,FALSE)</f>
        <v>16</v>
      </c>
      <c r="O2196" s="14">
        <v>0</v>
      </c>
      <c r="P2196" s="24">
        <f>LEN(E2196)+LEN(K2196)</f>
        <v>54</v>
      </c>
      <c r="Q2196" s="24">
        <f>COUNTIFS(B:B,B2195)</f>
        <v>103</v>
      </c>
      <c r="R2196" s="24">
        <f>COUNTIFS(D:D,D2196)</f>
        <v>97</v>
      </c>
    </row>
    <row r="2197" spans="1:18" x14ac:dyDescent="0.3">
      <c r="A2197" s="14">
        <v>1876</v>
      </c>
      <c r="B2197" s="21" t="s">
        <v>275</v>
      </c>
      <c r="C2197" s="21" t="s">
        <v>921</v>
      </c>
      <c r="D2197" s="1" t="s">
        <v>2606</v>
      </c>
      <c r="E2197" s="1" t="s">
        <v>393</v>
      </c>
      <c r="F2197" s="21" t="s">
        <v>1862</v>
      </c>
      <c r="G2197" s="14">
        <v>0</v>
      </c>
      <c r="H2197" s="14">
        <v>2</v>
      </c>
      <c r="I2197" s="22">
        <v>114</v>
      </c>
      <c r="J2197" s="23">
        <f>VLOOKUP(I2197,episodes!$A$1:$B$76,2,FALSE)</f>
        <v>15</v>
      </c>
      <c r="K2197" s="16" t="str">
        <f>VLOOKUP(I2197,episodes!$A$1:$E$81,5,FALSE)</f>
        <v>Balance of Terror</v>
      </c>
      <c r="L2197" s="16">
        <f>VLOOKUP(I2197,episodes!$A$1:$D$81,3,FALSE)</f>
        <v>1</v>
      </c>
      <c r="M2197" s="16">
        <f>VLOOKUP(I2197,episodes!$A$1:$D$81,4,FALSE)</f>
        <v>14</v>
      </c>
      <c r="O2197" s="14">
        <v>0</v>
      </c>
      <c r="P2197" s="24">
        <f>LEN(E2197)+LEN(K2197)</f>
        <v>55</v>
      </c>
      <c r="Q2197" s="24">
        <f>COUNTIFS(B:B,B2196)</f>
        <v>103</v>
      </c>
      <c r="R2197" s="24">
        <f>COUNTIFS(D:D,D2197)</f>
        <v>97</v>
      </c>
    </row>
    <row r="2198" spans="1:18" x14ac:dyDescent="0.3">
      <c r="A2198" s="14">
        <v>1859</v>
      </c>
      <c r="B2198" s="21" t="s">
        <v>275</v>
      </c>
      <c r="C2198" s="21" t="s">
        <v>921</v>
      </c>
      <c r="D2198" s="1" t="s">
        <v>2606</v>
      </c>
      <c r="E2198" s="1" t="s">
        <v>1067</v>
      </c>
      <c r="F2198" s="21" t="s">
        <v>1862</v>
      </c>
      <c r="G2198" s="14">
        <v>0</v>
      </c>
      <c r="H2198" s="14">
        <v>2</v>
      </c>
      <c r="I2198" s="25">
        <v>101</v>
      </c>
      <c r="J2198" s="23">
        <f>VLOOKUP(I2198,episodes!$A$1:$B$76,2,FALSE)</f>
        <v>2</v>
      </c>
      <c r="K2198" s="16" t="str">
        <f>VLOOKUP(I2198,episodes!$A$1:$E$81,5,FALSE)</f>
        <v>The Man Trap</v>
      </c>
      <c r="L2198" s="16">
        <f>VLOOKUP(I2198,episodes!$A$1:$D$81,3,FALSE)</f>
        <v>1</v>
      </c>
      <c r="M2198" s="16">
        <f>VLOOKUP(I2198,episodes!$A$1:$D$81,4,FALSE)</f>
        <v>1</v>
      </c>
      <c r="O2198" s="14">
        <v>0</v>
      </c>
      <c r="P2198" s="24">
        <f>LEN(E2198)+LEN(K2198)</f>
        <v>49</v>
      </c>
      <c r="Q2198" s="24">
        <f>COUNTIFS(B:B,B2197)</f>
        <v>103</v>
      </c>
      <c r="R2198" s="24">
        <f>COUNTIFS(D:D,D2198)</f>
        <v>97</v>
      </c>
    </row>
    <row r="2199" spans="1:18" x14ac:dyDescent="0.3">
      <c r="A2199" s="14">
        <v>1858</v>
      </c>
      <c r="B2199" s="21" t="s">
        <v>275</v>
      </c>
      <c r="C2199" s="21" t="s">
        <v>921</v>
      </c>
      <c r="D2199" s="1" t="s">
        <v>2606</v>
      </c>
      <c r="E2199" s="1" t="s">
        <v>1067</v>
      </c>
      <c r="F2199" s="21" t="s">
        <v>1862</v>
      </c>
      <c r="G2199" s="14">
        <v>0</v>
      </c>
      <c r="H2199" s="14">
        <v>2</v>
      </c>
      <c r="I2199" s="14">
        <v>104</v>
      </c>
      <c r="J2199" s="23">
        <f>VLOOKUP(I2199,episodes!$A$1:$B$76,2,FALSE)</f>
        <v>5</v>
      </c>
      <c r="K2199" s="16" t="str">
        <f>VLOOKUP(I2199,episodes!$A$1:$E$81,5,FALSE)</f>
        <v>The Naked Time</v>
      </c>
      <c r="L2199" s="16">
        <f>VLOOKUP(I2199,episodes!$A$1:$D$81,3,FALSE)</f>
        <v>1</v>
      </c>
      <c r="M2199" s="16">
        <f>VLOOKUP(I2199,episodes!$A$1:$D$81,4,FALSE)</f>
        <v>4</v>
      </c>
      <c r="O2199" s="14">
        <v>0</v>
      </c>
      <c r="P2199" s="24">
        <f>LEN(E2199)+LEN(K2199)</f>
        <v>51</v>
      </c>
      <c r="Q2199" s="24">
        <f>COUNTIFS(B:B,B2198)</f>
        <v>103</v>
      </c>
      <c r="R2199" s="24">
        <f>COUNTIFS(D:D,D2199)</f>
        <v>97</v>
      </c>
    </row>
    <row r="2200" spans="1:18" x14ac:dyDescent="0.3">
      <c r="A2200" s="14">
        <v>1861</v>
      </c>
      <c r="B2200" s="21" t="s">
        <v>275</v>
      </c>
      <c r="C2200" s="21" t="s">
        <v>921</v>
      </c>
      <c r="D2200" s="1" t="s">
        <v>2606</v>
      </c>
      <c r="E2200" s="1" t="s">
        <v>462</v>
      </c>
      <c r="F2200" s="21" t="s">
        <v>1862</v>
      </c>
      <c r="G2200" s="14">
        <v>0</v>
      </c>
      <c r="H2200" s="14">
        <v>2</v>
      </c>
      <c r="I2200" s="25">
        <v>102</v>
      </c>
      <c r="J2200" s="23">
        <f>VLOOKUP(I2200,episodes!$A$1:$B$76,2,FALSE)</f>
        <v>3</v>
      </c>
      <c r="K2200" s="16" t="str">
        <f>VLOOKUP(I2200,episodes!$A$1:$E$81,5,FALSE)</f>
        <v>Charlie X</v>
      </c>
      <c r="L2200" s="16">
        <f>VLOOKUP(I2200,episodes!$A$1:$D$81,3,FALSE)</f>
        <v>1</v>
      </c>
      <c r="M2200" s="16">
        <f>VLOOKUP(I2200,episodes!$A$1:$D$81,4,FALSE)</f>
        <v>2</v>
      </c>
      <c r="O2200" s="14">
        <v>0</v>
      </c>
      <c r="P2200" s="24">
        <f>LEN(E2200)+LEN(K2200)</f>
        <v>36</v>
      </c>
      <c r="Q2200" s="24">
        <f>COUNTIFS(B:B,B2199)</f>
        <v>103</v>
      </c>
      <c r="R2200" s="24">
        <f>COUNTIFS(D:D,D2200)</f>
        <v>97</v>
      </c>
    </row>
    <row r="2201" spans="1:18" x14ac:dyDescent="0.3">
      <c r="A2201" s="14">
        <v>1869</v>
      </c>
      <c r="B2201" s="21" t="s">
        <v>275</v>
      </c>
      <c r="C2201" s="21" t="s">
        <v>921</v>
      </c>
      <c r="D2201" s="1" t="s">
        <v>2606</v>
      </c>
      <c r="E2201" s="1" t="s">
        <v>462</v>
      </c>
      <c r="F2201" s="21" t="s">
        <v>1862</v>
      </c>
      <c r="G2201" s="14">
        <v>0</v>
      </c>
      <c r="H2201" s="14">
        <v>2</v>
      </c>
      <c r="I2201" s="25">
        <v>105</v>
      </c>
      <c r="J2201" s="23">
        <f>VLOOKUP(I2201,episodes!$A$1:$B$76,2,FALSE)</f>
        <v>6</v>
      </c>
      <c r="K2201" s="16" t="str">
        <f>VLOOKUP(I2201,episodes!$A$1:$E$81,5,FALSE)</f>
        <v>The Enemy Within</v>
      </c>
      <c r="L2201" s="16">
        <f>VLOOKUP(I2201,episodes!$A$1:$D$81,3,FALSE)</f>
        <v>1</v>
      </c>
      <c r="M2201" s="16">
        <f>VLOOKUP(I2201,episodes!$A$1:$D$81,4,FALSE)</f>
        <v>5</v>
      </c>
      <c r="O2201" s="14">
        <v>0</v>
      </c>
      <c r="P2201" s="24">
        <f>LEN(E2201)+LEN(K2201)</f>
        <v>43</v>
      </c>
      <c r="Q2201" s="24">
        <f>COUNTIFS(B:B,B2200)</f>
        <v>103</v>
      </c>
      <c r="R2201" s="24">
        <f>COUNTIFS(D:D,D2201)</f>
        <v>97</v>
      </c>
    </row>
    <row r="2202" spans="1:18" x14ac:dyDescent="0.3">
      <c r="A2202" s="14">
        <v>1954</v>
      </c>
      <c r="B2202" s="21" t="s">
        <v>275</v>
      </c>
      <c r="C2202" s="21" t="s">
        <v>921</v>
      </c>
      <c r="D2202" s="1" t="s">
        <v>2606</v>
      </c>
      <c r="E2202" s="1" t="s">
        <v>544</v>
      </c>
      <c r="F2202" s="21" t="s">
        <v>2289</v>
      </c>
      <c r="G2202" s="14">
        <v>0</v>
      </c>
      <c r="H2202" s="14">
        <v>0</v>
      </c>
      <c r="I2202" s="22">
        <v>117</v>
      </c>
      <c r="J2202" s="23">
        <f>VLOOKUP(I2202,episodes!$A$1:$B$76,2,FALSE)</f>
        <v>18</v>
      </c>
      <c r="K2202" s="16" t="str">
        <f>VLOOKUP(I2202,episodes!$A$1:$E$81,5,FALSE)</f>
        <v>The Squire of Gothos</v>
      </c>
      <c r="L2202" s="16">
        <f>VLOOKUP(I2202,episodes!$A$1:$D$81,3,FALSE)</f>
        <v>1</v>
      </c>
      <c r="M2202" s="16">
        <f>VLOOKUP(I2202,episodes!$A$1:$D$81,4,FALSE)</f>
        <v>17</v>
      </c>
      <c r="O2202" s="14">
        <v>0</v>
      </c>
      <c r="P2202" s="24">
        <f>LEN(E2202)+LEN(K2202)</f>
        <v>59</v>
      </c>
      <c r="Q2202" s="24">
        <f>COUNTIFS(B:B,B2201)</f>
        <v>103</v>
      </c>
      <c r="R2202" s="24">
        <f>COUNTIFS(D:D,D2202)</f>
        <v>97</v>
      </c>
    </row>
    <row r="2203" spans="1:18" x14ac:dyDescent="0.3">
      <c r="A2203" s="14">
        <v>2482</v>
      </c>
      <c r="B2203" s="21" t="s">
        <v>275</v>
      </c>
      <c r="C2203" s="21" t="s">
        <v>921</v>
      </c>
      <c r="D2203" s="1" t="s">
        <v>2606</v>
      </c>
      <c r="E2203" s="1" t="s">
        <v>652</v>
      </c>
      <c r="F2203" s="21" t="s">
        <v>2238</v>
      </c>
      <c r="G2203" s="14">
        <v>0</v>
      </c>
      <c r="H2203" s="14">
        <v>0</v>
      </c>
      <c r="I2203" s="22">
        <v>123</v>
      </c>
      <c r="J2203" s="23">
        <f>VLOOKUP(I2203,episodes!$A$1:$B$76,2,FALSE)</f>
        <v>24</v>
      </c>
      <c r="K2203" s="16" t="str">
        <f>VLOOKUP(I2203,episodes!$A$1:$E$81,5,FALSE)</f>
        <v>A Taste of Armageddon</v>
      </c>
      <c r="L2203" s="16">
        <f>VLOOKUP(I2203,episodes!$A$1:$D$81,3,FALSE)</f>
        <v>1</v>
      </c>
      <c r="M2203" s="16">
        <f>VLOOKUP(I2203,episodes!$A$1:$D$81,4,FALSE)</f>
        <v>23</v>
      </c>
      <c r="O2203" s="14">
        <v>0</v>
      </c>
      <c r="P2203" s="24">
        <f>LEN(E2203)+LEN(K2203)</f>
        <v>70</v>
      </c>
      <c r="Q2203" s="24">
        <f>COUNTIFS(B:B,B2202)</f>
        <v>103</v>
      </c>
      <c r="R2203" s="24">
        <f>COUNTIFS(D:D,D2203)</f>
        <v>97</v>
      </c>
    </row>
    <row r="2204" spans="1:18" x14ac:dyDescent="0.3">
      <c r="A2204" s="14">
        <v>2898</v>
      </c>
      <c r="B2204" s="21" t="s">
        <v>275</v>
      </c>
      <c r="C2204" s="21" t="s">
        <v>921</v>
      </c>
      <c r="D2204" s="1" t="s">
        <v>2606</v>
      </c>
      <c r="E2204" s="1" t="s">
        <v>782</v>
      </c>
      <c r="F2204" s="21" t="s">
        <v>2239</v>
      </c>
      <c r="G2204" s="14">
        <v>0</v>
      </c>
      <c r="H2204" s="14">
        <v>0</v>
      </c>
      <c r="I2204" s="22">
        <v>129</v>
      </c>
      <c r="J2204" s="23">
        <f>VLOOKUP(I2204,episodes!$A$1:$B$76,2,FALSE)</f>
        <v>30</v>
      </c>
      <c r="K2204" s="16" t="str">
        <f>VLOOKUP(I2204,episodes!$A$1:$E$81,5,FALSE)</f>
        <v>Operation: Annihilate!</v>
      </c>
      <c r="L2204" s="16">
        <f>VLOOKUP(I2204,episodes!$A$1:$D$81,3,FALSE)</f>
        <v>1</v>
      </c>
      <c r="M2204" s="16">
        <f>VLOOKUP(I2204,episodes!$A$1:$D$81,4,FALSE)</f>
        <v>29</v>
      </c>
      <c r="O2204" s="14">
        <v>0</v>
      </c>
      <c r="P2204" s="24">
        <f>LEN(E2204)+LEN(K2204)</f>
        <v>62</v>
      </c>
      <c r="Q2204" s="24">
        <f>COUNTIFS(B:B,B2203)</f>
        <v>103</v>
      </c>
      <c r="R2204" s="24">
        <f>COUNTIFS(D:D,D2204)</f>
        <v>97</v>
      </c>
    </row>
    <row r="2205" spans="1:18" x14ac:dyDescent="0.3">
      <c r="A2205" s="14">
        <v>2899</v>
      </c>
      <c r="B2205" s="21" t="s">
        <v>275</v>
      </c>
      <c r="C2205" s="21" t="s">
        <v>921</v>
      </c>
      <c r="D2205" s="1" t="s">
        <v>2606</v>
      </c>
      <c r="E2205" s="1" t="s">
        <v>2174</v>
      </c>
      <c r="F2205" s="21" t="s">
        <v>2239</v>
      </c>
      <c r="G2205" s="14">
        <v>0</v>
      </c>
      <c r="H2205" s="14">
        <v>0</v>
      </c>
      <c r="I2205" s="22">
        <v>129</v>
      </c>
      <c r="J2205" s="23">
        <f>VLOOKUP(I2205,episodes!$A$1:$B$76,2,FALSE)</f>
        <v>30</v>
      </c>
      <c r="K2205" s="16" t="str">
        <f>VLOOKUP(I2205,episodes!$A$1:$E$81,5,FALSE)</f>
        <v>Operation: Annihilate!</v>
      </c>
      <c r="L2205" s="16">
        <f>VLOOKUP(I2205,episodes!$A$1:$D$81,3,FALSE)</f>
        <v>1</v>
      </c>
      <c r="M2205" s="16">
        <f>VLOOKUP(I2205,episodes!$A$1:$D$81,4,FALSE)</f>
        <v>29</v>
      </c>
      <c r="O2205" s="14">
        <v>0</v>
      </c>
      <c r="P2205" s="24">
        <f>LEN(E2205)+LEN(K2205)</f>
        <v>63</v>
      </c>
      <c r="Q2205" s="24">
        <f>COUNTIFS(B:B,B2204)</f>
        <v>103</v>
      </c>
      <c r="R2205" s="24">
        <f>COUNTIFS(D:D,D2205)</f>
        <v>97</v>
      </c>
    </row>
    <row r="2206" spans="1:18" x14ac:dyDescent="0.3">
      <c r="A2206" s="14">
        <v>2900</v>
      </c>
      <c r="B2206" s="21" t="s">
        <v>275</v>
      </c>
      <c r="C2206" s="21" t="s">
        <v>921</v>
      </c>
      <c r="D2206" s="1" t="s">
        <v>2606</v>
      </c>
      <c r="E2206" s="1" t="s">
        <v>2047</v>
      </c>
      <c r="F2206" s="21" t="s">
        <v>2239</v>
      </c>
      <c r="G2206" s="14">
        <v>0</v>
      </c>
      <c r="H2206" s="14">
        <v>0</v>
      </c>
      <c r="I2206" s="22">
        <v>129</v>
      </c>
      <c r="J2206" s="23">
        <f>VLOOKUP(I2206,episodes!$A$1:$B$76,2,FALSE)</f>
        <v>30</v>
      </c>
      <c r="K2206" s="16" t="str">
        <f>VLOOKUP(I2206,episodes!$A$1:$E$81,5,FALSE)</f>
        <v>Operation: Annihilate!</v>
      </c>
      <c r="L2206" s="16">
        <f>VLOOKUP(I2206,episodes!$A$1:$D$81,3,FALSE)</f>
        <v>1</v>
      </c>
      <c r="M2206" s="16">
        <f>VLOOKUP(I2206,episodes!$A$1:$D$81,4,FALSE)</f>
        <v>29</v>
      </c>
      <c r="O2206" s="14">
        <v>0</v>
      </c>
      <c r="P2206" s="24">
        <f>LEN(E2206)+LEN(K2206)</f>
        <v>101</v>
      </c>
      <c r="Q2206" s="24">
        <f>COUNTIFS(B:B,B2205)</f>
        <v>103</v>
      </c>
      <c r="R2206" s="24">
        <f>COUNTIFS(D:D,D2206)</f>
        <v>97</v>
      </c>
    </row>
    <row r="2207" spans="1:18" x14ac:dyDescent="0.3">
      <c r="A2207" s="14">
        <v>109</v>
      </c>
      <c r="B2207" s="21" t="s">
        <v>275</v>
      </c>
      <c r="C2207" s="21" t="s">
        <v>921</v>
      </c>
      <c r="D2207" s="1" t="s">
        <v>2606</v>
      </c>
      <c r="E2207" s="1" t="s">
        <v>427</v>
      </c>
      <c r="F2207" s="21" t="s">
        <v>2284</v>
      </c>
      <c r="G2207" s="14">
        <v>0</v>
      </c>
      <c r="H2207" s="14">
        <v>0</v>
      </c>
      <c r="I2207" s="22">
        <v>129</v>
      </c>
      <c r="J2207" s="23">
        <f>VLOOKUP(I2207,episodes!$A$1:$B$76,2,FALSE)</f>
        <v>30</v>
      </c>
      <c r="K2207" s="16" t="str">
        <f>VLOOKUP(I2207,episodes!$A$1:$E$81,5,FALSE)</f>
        <v>Operation: Annihilate!</v>
      </c>
      <c r="L2207" s="16">
        <f>VLOOKUP(I2207,episodes!$A$1:$D$81,3,FALSE)</f>
        <v>1</v>
      </c>
      <c r="M2207" s="16">
        <f>VLOOKUP(I2207,episodes!$A$1:$D$81,4,FALSE)</f>
        <v>29</v>
      </c>
      <c r="O2207" s="14">
        <v>0</v>
      </c>
      <c r="P2207" s="24">
        <f>LEN(E2207)+LEN(K2207)</f>
        <v>73</v>
      </c>
      <c r="Q2207" s="24">
        <f>COUNTIFS(B:B,B2205)</f>
        <v>103</v>
      </c>
      <c r="R2207" s="24">
        <f>COUNTIFS(D:D,D2207)</f>
        <v>97</v>
      </c>
    </row>
    <row r="2208" spans="1:18" x14ac:dyDescent="0.3">
      <c r="A2208" s="14">
        <v>228</v>
      </c>
      <c r="B2208" s="21" t="s">
        <v>275</v>
      </c>
      <c r="C2208" s="21" t="s">
        <v>921</v>
      </c>
      <c r="D2208" s="1" t="s">
        <v>2607</v>
      </c>
      <c r="E2208" s="1" t="s">
        <v>1623</v>
      </c>
      <c r="F2208" s="21" t="s">
        <v>56</v>
      </c>
      <c r="G2208" s="14">
        <v>0</v>
      </c>
      <c r="H2208" s="14">
        <v>0</v>
      </c>
      <c r="I2208" s="25">
        <v>206</v>
      </c>
      <c r="J2208" s="23">
        <f>VLOOKUP(I2208,episodes!$A$1:$B$81,2,FALSE)</f>
        <v>36</v>
      </c>
      <c r="K2208" s="16" t="str">
        <f>VLOOKUP(I2208,episodes!$A$1:$E$81,5,FALSE)</f>
        <v>The Doomsday Machine</v>
      </c>
      <c r="L2208" s="16">
        <f>VLOOKUP(I2208,episodes!$A$1:$D$81,3,FALSE)</f>
        <v>2</v>
      </c>
      <c r="M2208" s="16">
        <f>VLOOKUP(I2208,episodes!$A$1:$D$81,4,FALSE)</f>
        <v>6</v>
      </c>
      <c r="O2208" s="14">
        <v>0</v>
      </c>
      <c r="P2208" s="24">
        <f>LEN(E2208)+LEN(K2208)</f>
        <v>80</v>
      </c>
      <c r="Q2208" s="24">
        <f>COUNTIFS(B:B,B2207)</f>
        <v>103</v>
      </c>
      <c r="R2208" s="24">
        <f>COUNTIFS(D:D,D2208)</f>
        <v>1</v>
      </c>
    </row>
    <row r="2209" spans="1:18" x14ac:dyDescent="0.3">
      <c r="A2209" s="14">
        <v>2175</v>
      </c>
      <c r="B2209" s="21" t="s">
        <v>275</v>
      </c>
      <c r="C2209" s="21" t="s">
        <v>921</v>
      </c>
      <c r="D2209" s="1" t="s">
        <v>2353</v>
      </c>
      <c r="E2209" s="1" t="s">
        <v>1351</v>
      </c>
      <c r="F2209" s="21" t="s">
        <v>5</v>
      </c>
      <c r="G2209" s="14">
        <v>1</v>
      </c>
      <c r="H2209" s="14">
        <v>0</v>
      </c>
      <c r="I2209" s="22">
        <v>127</v>
      </c>
      <c r="J2209" s="23">
        <f>VLOOKUP(I2209,episodes!$A$1:$B$76,2,FALSE)</f>
        <v>28</v>
      </c>
      <c r="K2209" s="16" t="str">
        <f>VLOOKUP(I2209,episodes!$A$1:$E$81,5,FALSE)</f>
        <v>The Alternative Factor</v>
      </c>
      <c r="L2209" s="16">
        <f>VLOOKUP(I2209,episodes!$A$1:$D$81,3,FALSE)</f>
        <v>1</v>
      </c>
      <c r="M2209" s="16">
        <f>VLOOKUP(I2209,episodes!$A$1:$D$81,4,FALSE)</f>
        <v>27</v>
      </c>
      <c r="O2209" s="14">
        <v>0</v>
      </c>
      <c r="P2209" s="24">
        <f>LEN(E2209)+LEN(K2209)</f>
        <v>151</v>
      </c>
      <c r="Q2209" s="24">
        <f>COUNTIFS(B:B,B2208)</f>
        <v>103</v>
      </c>
      <c r="R2209" s="24">
        <f>COUNTIFS(D:D,D2209)</f>
        <v>1</v>
      </c>
    </row>
    <row r="2210" spans="1:18" x14ac:dyDescent="0.3">
      <c r="A2210" s="14">
        <v>1902</v>
      </c>
      <c r="B2210" s="21" t="s">
        <v>275</v>
      </c>
      <c r="C2210" s="21" t="s">
        <v>921</v>
      </c>
      <c r="D2210" s="21" t="s">
        <v>1145</v>
      </c>
      <c r="E2210" s="1" t="s">
        <v>1427</v>
      </c>
      <c r="F2210" s="21" t="s">
        <v>45</v>
      </c>
      <c r="G2210" s="14">
        <v>0</v>
      </c>
      <c r="H2210" s="14">
        <v>0</v>
      </c>
      <c r="I2210" s="14">
        <v>224</v>
      </c>
      <c r="J2210" s="23">
        <f>VLOOKUP(I2210,episodes!$A$1:$B$81,2,FALSE)</f>
        <v>54</v>
      </c>
      <c r="K2210" s="16" t="str">
        <f>VLOOKUP(I2210,episodes!$A$1:$E$81,5,FALSE)</f>
        <v>The Ultimate Computer</v>
      </c>
      <c r="L2210" s="16">
        <f>VLOOKUP(I2210,episodes!$A$1:$D$81,3,FALSE)</f>
        <v>2</v>
      </c>
      <c r="M2210" s="16">
        <f>VLOOKUP(I2210,episodes!$A$1:$D$81,4,FALSE)</f>
        <v>24</v>
      </c>
      <c r="O2210" s="14">
        <v>0</v>
      </c>
      <c r="P2210" s="24">
        <f>LEN(E2210)+LEN(K2210)</f>
        <v>248</v>
      </c>
      <c r="Q2210" s="24">
        <f>COUNTIFS(B:B,B2212)</f>
        <v>103</v>
      </c>
      <c r="R2210" s="24">
        <f>COUNTIFS(D:D,D2213)</f>
        <v>3</v>
      </c>
    </row>
    <row r="2211" spans="1:18" x14ac:dyDescent="0.3">
      <c r="A2211" s="14">
        <v>2034</v>
      </c>
      <c r="B2211" s="21" t="s">
        <v>275</v>
      </c>
      <c r="C2211" s="21" t="s">
        <v>921</v>
      </c>
      <c r="D2211" s="21" t="s">
        <v>1145</v>
      </c>
      <c r="E2211" s="1" t="s">
        <v>933</v>
      </c>
      <c r="F2211" s="21" t="s">
        <v>5</v>
      </c>
      <c r="G2211" s="14">
        <v>1</v>
      </c>
      <c r="H2211" s="14">
        <v>0</v>
      </c>
      <c r="I2211" s="25">
        <v>206</v>
      </c>
      <c r="J2211" s="23">
        <f>VLOOKUP(I2211,episodes!$A$1:$B$81,2,FALSE)</f>
        <v>36</v>
      </c>
      <c r="K2211" s="16" t="str">
        <f>VLOOKUP(I2211,episodes!$A$1:$E$81,5,FALSE)</f>
        <v>The Doomsday Machine</v>
      </c>
      <c r="L2211" s="16">
        <f>VLOOKUP(I2211,episodes!$A$1:$D$81,3,FALSE)</f>
        <v>2</v>
      </c>
      <c r="M2211" s="16">
        <f>VLOOKUP(I2211,episodes!$A$1:$D$81,4,FALSE)</f>
        <v>6</v>
      </c>
      <c r="O2211" s="14">
        <v>0</v>
      </c>
      <c r="P2211" s="24">
        <f>LEN(E2211)+LEN(K2211)</f>
        <v>101</v>
      </c>
      <c r="Q2211" s="24">
        <f>COUNTIFS(B:B,B2210)</f>
        <v>103</v>
      </c>
      <c r="R2211" s="24">
        <f>COUNTIFS(D:D,D2211)</f>
        <v>3</v>
      </c>
    </row>
    <row r="2212" spans="1:18" x14ac:dyDescent="0.3">
      <c r="A2212" s="14">
        <v>2277</v>
      </c>
      <c r="B2212" s="21" t="s">
        <v>275</v>
      </c>
      <c r="C2212" s="21" t="s">
        <v>921</v>
      </c>
      <c r="D2212" s="21" t="s">
        <v>1145</v>
      </c>
      <c r="E2212" s="1" t="s">
        <v>1043</v>
      </c>
      <c r="F2212" s="21" t="s">
        <v>5</v>
      </c>
      <c r="G2212" s="14">
        <v>1</v>
      </c>
      <c r="H2212" s="14">
        <v>0</v>
      </c>
      <c r="I2212" s="14">
        <v>209</v>
      </c>
      <c r="J2212" s="23">
        <f>VLOOKUP(I2212,episodes!$A$1:$B$81,2,FALSE)</f>
        <v>39</v>
      </c>
      <c r="K2212" s="16" t="str">
        <f>VLOOKUP(I2212,episodes!$A$1:$E$81,5,FALSE)</f>
        <v>Metamorphosis</v>
      </c>
      <c r="L2212" s="16">
        <f>VLOOKUP(I2212,episodes!$A$1:$D$81,3,FALSE)</f>
        <v>2</v>
      </c>
      <c r="M2212" s="16">
        <f>VLOOKUP(I2212,episodes!$A$1:$D$81,4,FALSE)</f>
        <v>9</v>
      </c>
      <c r="O2212" s="14">
        <v>0</v>
      </c>
      <c r="P2212" s="24">
        <f>LEN(E2212)+LEN(K2212)</f>
        <v>58</v>
      </c>
      <c r="Q2212" s="24">
        <f>COUNTIFS(B:B,B2211)</f>
        <v>103</v>
      </c>
      <c r="R2212" s="24">
        <f>COUNTIFS(D:D,D2212)</f>
        <v>3</v>
      </c>
    </row>
    <row r="2213" spans="1:18" x14ac:dyDescent="0.3">
      <c r="A2213" s="14">
        <v>663</v>
      </c>
      <c r="B2213" s="21" t="s">
        <v>1897</v>
      </c>
      <c r="C2213" s="1" t="s">
        <v>923</v>
      </c>
      <c r="D2213" s="1">
        <v>0.5</v>
      </c>
      <c r="E2213" s="1" t="s">
        <v>1246</v>
      </c>
      <c r="F2213" s="21" t="s">
        <v>4</v>
      </c>
      <c r="G2213" s="14">
        <v>1</v>
      </c>
      <c r="H2213" s="14">
        <v>0</v>
      </c>
      <c r="I2213" s="25">
        <v>110</v>
      </c>
      <c r="J2213" s="23">
        <f>VLOOKUP(I2213,episodes!$A$1:$B$76,2,FALSE)</f>
        <v>11</v>
      </c>
      <c r="K2213" s="16" t="str">
        <f>VLOOKUP(I2213,episodes!$A$1:$E$81,5,FALSE)</f>
        <v>The Corbomite Maneuver</v>
      </c>
      <c r="L2213" s="16">
        <f>VLOOKUP(I2213,episodes!$A$1:$D$81,3,FALSE)</f>
        <v>1</v>
      </c>
      <c r="M2213" s="16">
        <f>VLOOKUP(I2213,episodes!$A$1:$D$81,4,FALSE)</f>
        <v>10</v>
      </c>
      <c r="O2213" s="14">
        <v>0</v>
      </c>
      <c r="P2213" s="24">
        <f>LEN(E2213)+LEN(K2213)</f>
        <v>44</v>
      </c>
      <c r="Q2213" s="24">
        <f>COUNTIFS(B:B,B2212)</f>
        <v>103</v>
      </c>
      <c r="R2213" s="24">
        <f>COUNTIFS(D:D,D2213)</f>
        <v>3</v>
      </c>
    </row>
    <row r="2214" spans="1:18" x14ac:dyDescent="0.3">
      <c r="A2214" s="14">
        <v>665</v>
      </c>
      <c r="B2214" s="21" t="s">
        <v>1897</v>
      </c>
      <c r="C2214" s="1" t="s">
        <v>923</v>
      </c>
      <c r="D2214" s="1">
        <v>0.5</v>
      </c>
      <c r="E2214" s="1" t="s">
        <v>1248</v>
      </c>
      <c r="F2214" s="21" t="s">
        <v>4</v>
      </c>
      <c r="G2214" s="14">
        <v>1</v>
      </c>
      <c r="H2214" s="14">
        <v>0</v>
      </c>
      <c r="I2214" s="25">
        <v>110</v>
      </c>
      <c r="J2214" s="23">
        <f>VLOOKUP(I2214,episodes!$A$1:$B$76,2,FALSE)</f>
        <v>11</v>
      </c>
      <c r="K2214" s="16" t="str">
        <f>VLOOKUP(I2214,episodes!$A$1:$E$81,5,FALSE)</f>
        <v>The Corbomite Maneuver</v>
      </c>
      <c r="L2214" s="16">
        <f>VLOOKUP(I2214,episodes!$A$1:$D$81,3,FALSE)</f>
        <v>1</v>
      </c>
      <c r="M2214" s="16">
        <f>VLOOKUP(I2214,episodes!$A$1:$D$81,4,FALSE)</f>
        <v>10</v>
      </c>
      <c r="O2214" s="14">
        <v>0</v>
      </c>
      <c r="P2214" s="24">
        <f>LEN(E2214)+LEN(K2214)</f>
        <v>45</v>
      </c>
      <c r="Q2214" s="24">
        <f>COUNTIFS(B:B,B2213)</f>
        <v>64</v>
      </c>
      <c r="R2214" s="24">
        <f>COUNTIFS(D:D,D2214)</f>
        <v>3</v>
      </c>
    </row>
    <row r="2215" spans="1:18" x14ac:dyDescent="0.3">
      <c r="A2215" s="14">
        <v>670</v>
      </c>
      <c r="B2215" s="21" t="s">
        <v>1897</v>
      </c>
      <c r="C2215" s="1" t="s">
        <v>923</v>
      </c>
      <c r="D2215" s="1">
        <v>0.5</v>
      </c>
      <c r="E2215" s="1" t="s">
        <v>1252</v>
      </c>
      <c r="F2215" s="21" t="s">
        <v>4</v>
      </c>
      <c r="G2215" s="14">
        <v>1</v>
      </c>
      <c r="H2215" s="14">
        <v>0</v>
      </c>
      <c r="I2215" s="25">
        <v>110</v>
      </c>
      <c r="J2215" s="23">
        <f>VLOOKUP(I2215,episodes!$A$1:$B$76,2,FALSE)</f>
        <v>11</v>
      </c>
      <c r="K2215" s="16" t="str">
        <f>VLOOKUP(I2215,episodes!$A$1:$E$81,5,FALSE)</f>
        <v>The Corbomite Maneuver</v>
      </c>
      <c r="L2215" s="16">
        <f>VLOOKUP(I2215,episodes!$A$1:$D$81,3,FALSE)</f>
        <v>1</v>
      </c>
      <c r="M2215" s="16">
        <f>VLOOKUP(I2215,episodes!$A$1:$D$81,4,FALSE)</f>
        <v>10</v>
      </c>
      <c r="O2215" s="14">
        <v>0</v>
      </c>
      <c r="P2215" s="24">
        <f>LEN(E2215)+LEN(K2215)</f>
        <v>52</v>
      </c>
      <c r="Q2215" s="24">
        <f>COUNTIFS(B:B,B2214)</f>
        <v>64</v>
      </c>
      <c r="R2215" s="24">
        <f>COUNTIFS(D:D,D2215)</f>
        <v>3</v>
      </c>
    </row>
    <row r="2216" spans="1:18" x14ac:dyDescent="0.3">
      <c r="A2216" s="14">
        <v>693</v>
      </c>
      <c r="B2216" s="21" t="s">
        <v>1897</v>
      </c>
      <c r="C2216" s="1" t="s">
        <v>923</v>
      </c>
      <c r="D2216" s="1">
        <v>1</v>
      </c>
      <c r="E2216" s="1" t="s">
        <v>1261</v>
      </c>
      <c r="F2216" s="21" t="s">
        <v>4</v>
      </c>
      <c r="G2216" s="14">
        <v>1</v>
      </c>
      <c r="H2216" s="14">
        <v>0</v>
      </c>
      <c r="I2216" s="25">
        <v>113</v>
      </c>
      <c r="J2216" s="23">
        <f>VLOOKUP(I2216,episodes!$A$1:$B$76,2,FALSE)</f>
        <v>14</v>
      </c>
      <c r="K2216" s="16" t="str">
        <f>VLOOKUP(I2216,episodes!$A$1:$E$81,5,FALSE)</f>
        <v>The Conscience of the King</v>
      </c>
      <c r="L2216" s="16">
        <f>VLOOKUP(I2216,episodes!$A$1:$D$81,3,FALSE)</f>
        <v>1</v>
      </c>
      <c r="M2216" s="16">
        <f>VLOOKUP(I2216,episodes!$A$1:$D$81,4,FALSE)</f>
        <v>13</v>
      </c>
      <c r="O2216" s="14">
        <v>0</v>
      </c>
      <c r="P2216" s="24">
        <f>LEN(E2216)+LEN(K2216)</f>
        <v>52</v>
      </c>
      <c r="Q2216" s="24">
        <f>COUNTIFS(B:B,B2215)</f>
        <v>64</v>
      </c>
      <c r="R2216" s="24">
        <f>COUNTIFS(D:D,D2216)</f>
        <v>14</v>
      </c>
    </row>
    <row r="2217" spans="1:18" x14ac:dyDescent="0.3">
      <c r="A2217" s="14">
        <v>717</v>
      </c>
      <c r="B2217" s="21" t="s">
        <v>1897</v>
      </c>
      <c r="C2217" s="1" t="s">
        <v>923</v>
      </c>
      <c r="D2217" s="1">
        <v>1</v>
      </c>
      <c r="E2217" s="1" t="s">
        <v>1261</v>
      </c>
      <c r="F2217" s="21" t="s">
        <v>4</v>
      </c>
      <c r="G2217" s="14">
        <v>1</v>
      </c>
      <c r="H2217" s="14">
        <v>0</v>
      </c>
      <c r="I2217" s="22">
        <v>115</v>
      </c>
      <c r="J2217" s="23">
        <f>VLOOKUP(I2217,episodes!$A$1:$B$76,2,FALSE)</f>
        <v>16</v>
      </c>
      <c r="K2217" s="16" t="str">
        <f>VLOOKUP(I2217,episodes!$A$1:$E$81,5,FALSE)</f>
        <v>Shore Leave</v>
      </c>
      <c r="L2217" s="16">
        <f>VLOOKUP(I2217,episodes!$A$1:$D$81,3,FALSE)</f>
        <v>1</v>
      </c>
      <c r="M2217" s="16">
        <f>VLOOKUP(I2217,episodes!$A$1:$D$81,4,FALSE)</f>
        <v>15</v>
      </c>
      <c r="O2217" s="14">
        <v>0</v>
      </c>
      <c r="P2217" s="24">
        <f>LEN(E2217)+LEN(K2217)</f>
        <v>37</v>
      </c>
      <c r="Q2217" s="24">
        <f>COUNTIFS(B:B,B2216)</f>
        <v>64</v>
      </c>
      <c r="R2217" s="24">
        <f>COUNTIFS(D:D,D2217)</f>
        <v>14</v>
      </c>
    </row>
    <row r="2218" spans="1:18" x14ac:dyDescent="0.3">
      <c r="A2218" s="14">
        <v>574</v>
      </c>
      <c r="B2218" s="21" t="s">
        <v>1897</v>
      </c>
      <c r="C2218" s="1" t="s">
        <v>923</v>
      </c>
      <c r="D2218" s="1">
        <v>1</v>
      </c>
      <c r="E2218" s="1" t="s">
        <v>1217</v>
      </c>
      <c r="F2218" s="21" t="s">
        <v>4</v>
      </c>
      <c r="G2218" s="14">
        <v>1</v>
      </c>
      <c r="H2218" s="14">
        <v>0</v>
      </c>
      <c r="I2218" s="25">
        <v>103</v>
      </c>
      <c r="J2218" s="23">
        <f>VLOOKUP(I2218,episodes!$A$1:$B$76,2,FALSE)</f>
        <v>4</v>
      </c>
      <c r="K2218" s="16" t="str">
        <f>VLOOKUP(I2218,episodes!$A$1:$E$81,5,FALSE)</f>
        <v>Where No Man Has Gone Before</v>
      </c>
      <c r="L2218" s="16">
        <f>VLOOKUP(I2218,episodes!$A$1:$D$81,3,FALSE)</f>
        <v>1</v>
      </c>
      <c r="M2218" s="16">
        <f>VLOOKUP(I2218,episodes!$A$1:$D$81,4,FALSE)</f>
        <v>3</v>
      </c>
      <c r="O2218" s="14">
        <v>0</v>
      </c>
      <c r="P2218" s="24">
        <f>LEN(E2218)+LEN(K2218)</f>
        <v>54</v>
      </c>
      <c r="Q2218" s="24">
        <f>COUNTIFS(B:B,B2217)</f>
        <v>64</v>
      </c>
      <c r="R2218" s="24">
        <f>COUNTIFS(D:D,D2218)</f>
        <v>14</v>
      </c>
    </row>
    <row r="2219" spans="1:18" x14ac:dyDescent="0.3">
      <c r="A2219" s="14">
        <v>728</v>
      </c>
      <c r="B2219" s="21" t="s">
        <v>1897</v>
      </c>
      <c r="C2219" s="1" t="s">
        <v>923</v>
      </c>
      <c r="D2219" s="1">
        <v>1</v>
      </c>
      <c r="E2219" s="1" t="s">
        <v>1217</v>
      </c>
      <c r="F2219" s="21" t="s">
        <v>4</v>
      </c>
      <c r="G2219" s="14">
        <v>1</v>
      </c>
      <c r="H2219" s="14">
        <v>0</v>
      </c>
      <c r="I2219" s="22">
        <v>116</v>
      </c>
      <c r="J2219" s="23">
        <f>VLOOKUP(I2219,episodes!$A$1:$B$76,2,FALSE)</f>
        <v>17</v>
      </c>
      <c r="K2219" s="16" t="str">
        <f>VLOOKUP(I2219,episodes!$A$1:$E$81,5,FALSE)</f>
        <v>The Galileo Seven</v>
      </c>
      <c r="L2219" s="16">
        <f>VLOOKUP(I2219,episodes!$A$1:$D$81,3,FALSE)</f>
        <v>1</v>
      </c>
      <c r="M2219" s="16">
        <f>VLOOKUP(I2219,episodes!$A$1:$D$81,4,FALSE)</f>
        <v>16</v>
      </c>
      <c r="O2219" s="14">
        <v>0</v>
      </c>
      <c r="P2219" s="24">
        <f>LEN(E2219)+LEN(K2219)</f>
        <v>43</v>
      </c>
      <c r="Q2219" s="24">
        <f>COUNTIFS(B:B,B2218)</f>
        <v>64</v>
      </c>
      <c r="R2219" s="24">
        <f>COUNTIFS(D:D,D2219)</f>
        <v>14</v>
      </c>
    </row>
    <row r="2220" spans="1:18" x14ac:dyDescent="0.3">
      <c r="A2220" s="14">
        <v>866</v>
      </c>
      <c r="B2220" s="21" t="s">
        <v>1897</v>
      </c>
      <c r="C2220" s="1" t="s">
        <v>923</v>
      </c>
      <c r="D2220" s="1">
        <v>1</v>
      </c>
      <c r="E2220" s="1" t="s">
        <v>1352</v>
      </c>
      <c r="F2220" s="21" t="s">
        <v>4</v>
      </c>
      <c r="G2220" s="14">
        <v>1</v>
      </c>
      <c r="H2220" s="14">
        <v>0</v>
      </c>
      <c r="I2220" s="22">
        <v>127</v>
      </c>
      <c r="J2220" s="23">
        <f>VLOOKUP(I2220,episodes!$A$1:$B$76,2,FALSE)</f>
        <v>28</v>
      </c>
      <c r="K2220" s="16" t="str">
        <f>VLOOKUP(I2220,episodes!$A$1:$E$81,5,FALSE)</f>
        <v>The Alternative Factor</v>
      </c>
      <c r="L2220" s="16">
        <f>VLOOKUP(I2220,episodes!$A$1:$D$81,3,FALSE)</f>
        <v>1</v>
      </c>
      <c r="M2220" s="16">
        <f>VLOOKUP(I2220,episodes!$A$1:$D$81,4,FALSE)</f>
        <v>27</v>
      </c>
      <c r="O2220" s="14">
        <v>0</v>
      </c>
      <c r="P2220" s="24">
        <f>LEN(E2220)+LEN(K2220)</f>
        <v>50</v>
      </c>
      <c r="Q2220" s="24">
        <f>COUNTIFS(B:B,B2219)</f>
        <v>64</v>
      </c>
      <c r="R2220" s="24">
        <f>COUNTIFS(D:D,D2220)</f>
        <v>14</v>
      </c>
    </row>
    <row r="2221" spans="1:18" x14ac:dyDescent="0.3">
      <c r="A2221" s="14">
        <v>666</v>
      </c>
      <c r="B2221" s="21" t="s">
        <v>1897</v>
      </c>
      <c r="C2221" s="1" t="s">
        <v>923</v>
      </c>
      <c r="D2221" s="1">
        <v>1</v>
      </c>
      <c r="E2221" s="1" t="s">
        <v>1249</v>
      </c>
      <c r="F2221" s="21" t="s">
        <v>4</v>
      </c>
      <c r="G2221" s="14">
        <v>1</v>
      </c>
      <c r="H2221" s="14">
        <v>0</v>
      </c>
      <c r="I2221" s="25">
        <v>110</v>
      </c>
      <c r="J2221" s="23">
        <f>VLOOKUP(I2221,episodes!$A$1:$B$76,2,FALSE)</f>
        <v>11</v>
      </c>
      <c r="K2221" s="16" t="str">
        <f>VLOOKUP(I2221,episodes!$A$1:$E$81,5,FALSE)</f>
        <v>The Corbomite Maneuver</v>
      </c>
      <c r="L2221" s="16">
        <f>VLOOKUP(I2221,episodes!$A$1:$D$81,3,FALSE)</f>
        <v>1</v>
      </c>
      <c r="M2221" s="16">
        <f>VLOOKUP(I2221,episodes!$A$1:$D$81,4,FALSE)</f>
        <v>10</v>
      </c>
      <c r="O2221" s="14">
        <v>0</v>
      </c>
      <c r="P2221" s="24">
        <f>LEN(E2221)+LEN(K2221)</f>
        <v>42</v>
      </c>
      <c r="Q2221" s="24">
        <f>COUNTIFS(B:B,B2220)</f>
        <v>64</v>
      </c>
      <c r="R2221" s="24">
        <f>COUNTIFS(D:D,D2221)</f>
        <v>14</v>
      </c>
    </row>
    <row r="2222" spans="1:18" x14ac:dyDescent="0.3">
      <c r="A2222" s="14">
        <v>613</v>
      </c>
      <c r="B2222" s="21" t="s">
        <v>1897</v>
      </c>
      <c r="C2222" s="1" t="s">
        <v>923</v>
      </c>
      <c r="D2222" s="1">
        <v>1</v>
      </c>
      <c r="E2222" s="1" t="s">
        <v>1228</v>
      </c>
      <c r="F2222" s="21" t="s">
        <v>4</v>
      </c>
      <c r="G2222" s="14">
        <v>1</v>
      </c>
      <c r="H2222" s="14">
        <v>0</v>
      </c>
      <c r="I2222" s="25">
        <v>106</v>
      </c>
      <c r="J2222" s="23">
        <f>VLOOKUP(I2222,episodes!$A$1:$B$76,2,FALSE)</f>
        <v>7</v>
      </c>
      <c r="K2222" s="16" t="str">
        <f>VLOOKUP(I2222,episodes!$A$1:$E$81,5,FALSE)</f>
        <v>Mudd's Women</v>
      </c>
      <c r="L2222" s="16">
        <f>VLOOKUP(I2222,episodes!$A$1:$D$81,3,FALSE)</f>
        <v>1</v>
      </c>
      <c r="M2222" s="16">
        <f>VLOOKUP(I2222,episodes!$A$1:$D$81,4,FALSE)</f>
        <v>6</v>
      </c>
      <c r="O2222" s="14">
        <v>0</v>
      </c>
      <c r="P2222" s="24">
        <f>LEN(E2222)+LEN(K2222)</f>
        <v>47</v>
      </c>
      <c r="Q2222" s="24">
        <f>COUNTIFS(B:B,B2221)</f>
        <v>64</v>
      </c>
      <c r="R2222" s="24">
        <f>COUNTIFS(D:D,D2222)</f>
        <v>14</v>
      </c>
    </row>
    <row r="2223" spans="1:18" x14ac:dyDescent="0.3">
      <c r="A2223" s="14">
        <v>643</v>
      </c>
      <c r="B2223" s="21" t="s">
        <v>1897</v>
      </c>
      <c r="C2223" s="1" t="s">
        <v>923</v>
      </c>
      <c r="D2223" s="1">
        <v>1</v>
      </c>
      <c r="E2223" s="1" t="s">
        <v>1238</v>
      </c>
      <c r="F2223" s="21" t="s">
        <v>4</v>
      </c>
      <c r="G2223" s="14">
        <v>1</v>
      </c>
      <c r="H2223" s="14">
        <v>0</v>
      </c>
      <c r="I2223" s="25">
        <v>108</v>
      </c>
      <c r="J2223" s="23">
        <f>VLOOKUP(I2223,episodes!$A$1:$B$76,2,FALSE)</f>
        <v>9</v>
      </c>
      <c r="K2223" s="16" t="str">
        <f>VLOOKUP(I2223,episodes!$A$1:$E$81,5,FALSE)</f>
        <v>Miri</v>
      </c>
      <c r="L2223" s="16">
        <f>VLOOKUP(I2223,episodes!$A$1:$D$81,3,FALSE)</f>
        <v>1</v>
      </c>
      <c r="M2223" s="16">
        <f>VLOOKUP(I2223,episodes!$A$1:$D$81,4,FALSE)</f>
        <v>8</v>
      </c>
      <c r="O2223" s="14">
        <v>0</v>
      </c>
      <c r="P2223" s="24">
        <f>LEN(E2223)+LEN(K2223)</f>
        <v>36</v>
      </c>
      <c r="Q2223" s="24">
        <f>COUNTIFS(B:B,B2222)</f>
        <v>64</v>
      </c>
      <c r="R2223" s="24">
        <f>COUNTIFS(D:D,D2223)</f>
        <v>14</v>
      </c>
    </row>
    <row r="2224" spans="1:18" x14ac:dyDescent="0.3">
      <c r="A2224" s="14">
        <v>585</v>
      </c>
      <c r="B2224" s="21" t="s">
        <v>1897</v>
      </c>
      <c r="C2224" s="1" t="s">
        <v>923</v>
      </c>
      <c r="D2224" s="1">
        <v>1</v>
      </c>
      <c r="E2224" s="1" t="s">
        <v>1222</v>
      </c>
      <c r="F2224" s="21" t="s">
        <v>4</v>
      </c>
      <c r="G2224" s="14">
        <v>1</v>
      </c>
      <c r="H2224" s="14">
        <v>0</v>
      </c>
      <c r="I2224" s="25">
        <v>104</v>
      </c>
      <c r="J2224" s="23">
        <f>VLOOKUP(I2224,episodes!$A$1:$B$76,2,FALSE)</f>
        <v>5</v>
      </c>
      <c r="K2224" s="16" t="str">
        <f>VLOOKUP(I2224,episodes!$A$1:$E$81,5,FALSE)</f>
        <v>The Naked Time</v>
      </c>
      <c r="L2224" s="16">
        <f>VLOOKUP(I2224,episodes!$A$1:$D$81,3,FALSE)</f>
        <v>1</v>
      </c>
      <c r="M2224" s="16">
        <f>VLOOKUP(I2224,episodes!$A$1:$D$81,4,FALSE)</f>
        <v>4</v>
      </c>
      <c r="O2224" s="14">
        <v>0</v>
      </c>
      <c r="P2224" s="24">
        <f>LEN(E2224)+LEN(K2224)</f>
        <v>33</v>
      </c>
      <c r="Q2224" s="24">
        <f>COUNTIFS(B:B,B2223)</f>
        <v>64</v>
      </c>
      <c r="R2224" s="24">
        <f>COUNTIFS(D:D,D2224)</f>
        <v>14</v>
      </c>
    </row>
    <row r="2225" spans="1:18" x14ac:dyDescent="0.3">
      <c r="A2225" s="14">
        <v>586</v>
      </c>
      <c r="B2225" s="21" t="s">
        <v>1897</v>
      </c>
      <c r="C2225" s="1" t="s">
        <v>923</v>
      </c>
      <c r="D2225" s="1">
        <v>1</v>
      </c>
      <c r="E2225" s="1" t="s">
        <v>1222</v>
      </c>
      <c r="F2225" s="21" t="s">
        <v>4</v>
      </c>
      <c r="G2225" s="14">
        <v>1</v>
      </c>
      <c r="H2225" s="14">
        <v>0</v>
      </c>
      <c r="I2225" s="14">
        <v>104</v>
      </c>
      <c r="J2225" s="23">
        <f>VLOOKUP(I2225,episodes!$A$1:$B$76,2,FALSE)</f>
        <v>5</v>
      </c>
      <c r="K2225" s="16" t="str">
        <f>VLOOKUP(I2225,episodes!$A$1:$E$81,5,FALSE)</f>
        <v>The Naked Time</v>
      </c>
      <c r="L2225" s="16">
        <f>VLOOKUP(I2225,episodes!$A$1:$D$81,3,FALSE)</f>
        <v>1</v>
      </c>
      <c r="M2225" s="16">
        <f>VLOOKUP(I2225,episodes!$A$1:$D$81,4,FALSE)</f>
        <v>4</v>
      </c>
      <c r="O2225" s="14">
        <v>0</v>
      </c>
      <c r="P2225" s="24">
        <f>LEN(E2225)+LEN(K2225)</f>
        <v>33</v>
      </c>
      <c r="Q2225" s="24">
        <f>COUNTIFS(B:B,B2224)</f>
        <v>64</v>
      </c>
      <c r="R2225" s="24">
        <f>COUNTIFS(D:D,D2225)</f>
        <v>14</v>
      </c>
    </row>
    <row r="2226" spans="1:18" x14ac:dyDescent="0.3">
      <c r="A2226" s="14">
        <v>654</v>
      </c>
      <c r="B2226" s="21" t="s">
        <v>1897</v>
      </c>
      <c r="C2226" s="1" t="s">
        <v>923</v>
      </c>
      <c r="D2226" s="1">
        <v>1</v>
      </c>
      <c r="E2226" s="1" t="s">
        <v>1243</v>
      </c>
      <c r="F2226" s="21" t="s">
        <v>4</v>
      </c>
      <c r="G2226" s="14">
        <v>1</v>
      </c>
      <c r="H2226" s="14">
        <v>0</v>
      </c>
      <c r="I2226" s="25">
        <v>109</v>
      </c>
      <c r="J2226" s="23">
        <f>VLOOKUP(I2226,episodes!$A$1:$B$76,2,FALSE)</f>
        <v>10</v>
      </c>
      <c r="K2226" s="16" t="str">
        <f>VLOOKUP(I2226,episodes!$A$1:$E$81,5,FALSE)</f>
        <v>Dagger of the Mind</v>
      </c>
      <c r="L2226" s="16">
        <f>VLOOKUP(I2226,episodes!$A$1:$D$81,3,FALSE)</f>
        <v>1</v>
      </c>
      <c r="M2226" s="16">
        <f>VLOOKUP(I2226,episodes!$A$1:$D$81,4,FALSE)</f>
        <v>9</v>
      </c>
      <c r="O2226" s="14">
        <v>0</v>
      </c>
      <c r="P2226" s="24">
        <f>LEN(E2226)+LEN(K2226)</f>
        <v>70</v>
      </c>
      <c r="Q2226" s="24">
        <f>COUNTIFS(B:B,B2225)</f>
        <v>64</v>
      </c>
      <c r="R2226" s="24">
        <f>COUNTIFS(D:D,D2226)</f>
        <v>14</v>
      </c>
    </row>
    <row r="2227" spans="1:18" x14ac:dyDescent="0.3">
      <c r="A2227" s="14">
        <v>880</v>
      </c>
      <c r="B2227" s="21" t="s">
        <v>1897</v>
      </c>
      <c r="C2227" s="1" t="s">
        <v>923</v>
      </c>
      <c r="D2227" s="1">
        <v>1</v>
      </c>
      <c r="E2227" s="1" t="s">
        <v>1372</v>
      </c>
      <c r="F2227" s="21" t="s">
        <v>4</v>
      </c>
      <c r="G2227" s="14">
        <v>1</v>
      </c>
      <c r="H2227" s="14">
        <v>0</v>
      </c>
      <c r="I2227" s="22">
        <v>129</v>
      </c>
      <c r="J2227" s="23">
        <f>VLOOKUP(I2227,episodes!$A$1:$B$76,2,FALSE)</f>
        <v>30</v>
      </c>
      <c r="K2227" s="16" t="str">
        <f>VLOOKUP(I2227,episodes!$A$1:$E$81,5,FALSE)</f>
        <v>Operation: Annihilate!</v>
      </c>
      <c r="L2227" s="16">
        <f>VLOOKUP(I2227,episodes!$A$1:$D$81,3,FALSE)</f>
        <v>1</v>
      </c>
      <c r="M2227" s="16">
        <f>VLOOKUP(I2227,episodes!$A$1:$D$81,4,FALSE)</f>
        <v>29</v>
      </c>
      <c r="O2227" s="14">
        <v>0</v>
      </c>
      <c r="P2227" s="24">
        <f>LEN(E2227)+LEN(K2227)</f>
        <v>42</v>
      </c>
      <c r="Q2227" s="24">
        <f>COUNTIFS(B:B,B2226)</f>
        <v>64</v>
      </c>
      <c r="R2227" s="24">
        <f>COUNTIFS(D:D,D2227)</f>
        <v>14</v>
      </c>
    </row>
    <row r="2228" spans="1:18" x14ac:dyDescent="0.3">
      <c r="A2228" s="14">
        <v>556</v>
      </c>
      <c r="B2228" s="21" t="s">
        <v>1897</v>
      </c>
      <c r="C2228" s="1" t="s">
        <v>923</v>
      </c>
      <c r="D2228" s="1">
        <v>1</v>
      </c>
      <c r="E2228" s="1" t="s">
        <v>1205</v>
      </c>
      <c r="F2228" s="21" t="s">
        <v>4</v>
      </c>
      <c r="G2228" s="14">
        <v>1</v>
      </c>
      <c r="H2228" s="14">
        <v>0</v>
      </c>
      <c r="I2228" s="25">
        <v>101</v>
      </c>
      <c r="J2228" s="23">
        <f>VLOOKUP(I2228,episodes!$A$1:$B$76,2,FALSE)</f>
        <v>2</v>
      </c>
      <c r="K2228" s="16" t="str">
        <f>VLOOKUP(I2228,episodes!$A$1:$E$81,5,FALSE)</f>
        <v>The Man Trap</v>
      </c>
      <c r="L2228" s="16">
        <f>VLOOKUP(I2228,episodes!$A$1:$D$81,3,FALSE)</f>
        <v>1</v>
      </c>
      <c r="M2228" s="16">
        <f>VLOOKUP(I2228,episodes!$A$1:$D$81,4,FALSE)</f>
        <v>1</v>
      </c>
      <c r="O2228" s="14">
        <v>0</v>
      </c>
      <c r="P2228" s="24">
        <f>LEN(E2228)+LEN(K2228)</f>
        <v>34</v>
      </c>
      <c r="Q2228" s="24">
        <f>COUNTIFS(B:B,B2227)</f>
        <v>64</v>
      </c>
      <c r="R2228" s="24">
        <f>COUNTIFS(D:D,D2228)</f>
        <v>14</v>
      </c>
    </row>
    <row r="2229" spans="1:18" x14ac:dyDescent="0.3">
      <c r="A2229" s="14">
        <v>2434</v>
      </c>
      <c r="B2229" s="21" t="s">
        <v>1897</v>
      </c>
      <c r="C2229" s="1" t="s">
        <v>923</v>
      </c>
      <c r="D2229" s="1">
        <v>1</v>
      </c>
      <c r="E2229" s="1" t="s">
        <v>1254</v>
      </c>
      <c r="F2229" s="21" t="s">
        <v>1861</v>
      </c>
      <c r="G2229" s="14">
        <v>0</v>
      </c>
      <c r="H2229" s="14">
        <v>1</v>
      </c>
      <c r="I2229" s="25">
        <v>110</v>
      </c>
      <c r="J2229" s="23">
        <f>VLOOKUP(I2229,episodes!$A$1:$B$76,2,FALSE)</f>
        <v>11</v>
      </c>
      <c r="K2229" s="16" t="str">
        <f>VLOOKUP(I2229,episodes!$A$1:$E$81,5,FALSE)</f>
        <v>The Corbomite Maneuver</v>
      </c>
      <c r="L2229" s="16">
        <f>VLOOKUP(I2229,episodes!$A$1:$D$81,3,FALSE)</f>
        <v>1</v>
      </c>
      <c r="M2229" s="16">
        <f>VLOOKUP(I2229,episodes!$A$1:$D$81,4,FALSE)</f>
        <v>10</v>
      </c>
      <c r="O2229" s="14">
        <v>0</v>
      </c>
      <c r="P2229" s="24">
        <f>LEN(E2229)+LEN(K2229)</f>
        <v>47</v>
      </c>
      <c r="Q2229" s="24">
        <f>COUNTIFS(B:B,B2228)</f>
        <v>64</v>
      </c>
      <c r="R2229" s="24">
        <f>COUNTIFS(D:D,D2229)</f>
        <v>14</v>
      </c>
    </row>
    <row r="2230" spans="1:18" x14ac:dyDescent="0.3">
      <c r="A2230" s="14">
        <v>224</v>
      </c>
      <c r="B2230" s="21" t="s">
        <v>1897</v>
      </c>
      <c r="C2230" s="1" t="s">
        <v>923</v>
      </c>
      <c r="D2230" s="1">
        <v>2</v>
      </c>
      <c r="E2230" s="1" t="s">
        <v>1313</v>
      </c>
      <c r="F2230" s="21" t="s">
        <v>56</v>
      </c>
      <c r="G2230" s="14">
        <v>0</v>
      </c>
      <c r="H2230" s="14">
        <v>0</v>
      </c>
      <c r="I2230" s="22">
        <v>122</v>
      </c>
      <c r="J2230" s="23">
        <f>VLOOKUP(I2230,episodes!$A$1:$B$76,2,FALSE)</f>
        <v>23</v>
      </c>
      <c r="K2230" s="16" t="str">
        <f>VLOOKUP(I2230,episodes!$A$1:$E$81,5,FALSE)</f>
        <v>Space Seed</v>
      </c>
      <c r="L2230" s="16">
        <f>VLOOKUP(I2230,episodes!$A$1:$D$81,3,FALSE)</f>
        <v>1</v>
      </c>
      <c r="M2230" s="16">
        <f>VLOOKUP(I2230,episodes!$A$1:$D$81,4,FALSE)</f>
        <v>22</v>
      </c>
      <c r="O2230" s="14">
        <v>0</v>
      </c>
      <c r="P2230" s="24">
        <f>LEN(E2230)+LEN(K2230)</f>
        <v>45</v>
      </c>
      <c r="Q2230" s="24">
        <f>COUNTIFS(B:B,B2229)</f>
        <v>64</v>
      </c>
      <c r="R2230" s="24">
        <f>COUNTIFS(D:D,D2230)</f>
        <v>4</v>
      </c>
    </row>
    <row r="2231" spans="1:18" x14ac:dyDescent="0.3">
      <c r="A2231" s="14">
        <v>901</v>
      </c>
      <c r="B2231" s="21" t="s">
        <v>1897</v>
      </c>
      <c r="C2231" s="1" t="s">
        <v>923</v>
      </c>
      <c r="D2231" s="1">
        <v>2</v>
      </c>
      <c r="E2231" s="1" t="s">
        <v>1396</v>
      </c>
      <c r="F2231" s="21" t="s">
        <v>4</v>
      </c>
      <c r="G2231" s="14">
        <v>1</v>
      </c>
      <c r="H2231" s="14">
        <v>0</v>
      </c>
      <c r="I2231" s="25">
        <v>203</v>
      </c>
      <c r="J2231" s="23">
        <f>VLOOKUP(I2231,episodes!$A$1:$B$76,2,FALSE)</f>
        <v>33</v>
      </c>
      <c r="K2231" s="16" t="str">
        <f>VLOOKUP(I2231,episodes!$A$1:$E$81,5,FALSE)</f>
        <v>The Changeling</v>
      </c>
      <c r="L2231" s="16">
        <f>VLOOKUP(I2231,episodes!$A$1:$D$81,3,FALSE)</f>
        <v>2</v>
      </c>
      <c r="M2231" s="16">
        <f>VLOOKUP(I2231,episodes!$A$1:$D$81,4,FALSE)</f>
        <v>3</v>
      </c>
      <c r="O2231" s="14">
        <v>0</v>
      </c>
      <c r="P2231" s="24">
        <f>LEN(E2231)+LEN(K2231)</f>
        <v>63</v>
      </c>
      <c r="Q2231" s="24">
        <f>COUNTIFS(B:B,B2230)</f>
        <v>64</v>
      </c>
      <c r="R2231" s="24">
        <f>COUNTIFS(D:D,D2231)</f>
        <v>4</v>
      </c>
    </row>
    <row r="2232" spans="1:18" x14ac:dyDescent="0.3">
      <c r="A2232" s="14">
        <v>844</v>
      </c>
      <c r="B2232" s="21" t="s">
        <v>1897</v>
      </c>
      <c r="C2232" s="1" t="s">
        <v>923</v>
      </c>
      <c r="D2232" s="1">
        <v>2</v>
      </c>
      <c r="E2232" s="1" t="s">
        <v>1337</v>
      </c>
      <c r="F2232" s="21" t="s">
        <v>4</v>
      </c>
      <c r="G2232" s="14">
        <v>1</v>
      </c>
      <c r="H2232" s="14">
        <v>0</v>
      </c>
      <c r="I2232" s="22">
        <v>125</v>
      </c>
      <c r="J2232" s="23">
        <f>VLOOKUP(I2232,episodes!$A$1:$B$76,2,FALSE)</f>
        <v>26</v>
      </c>
      <c r="K2232" s="16" t="str">
        <f>VLOOKUP(I2232,episodes!$A$1:$E$81,5,FALSE)</f>
        <v>The Devil in the Dark</v>
      </c>
      <c r="L2232" s="16">
        <f>VLOOKUP(I2232,episodes!$A$1:$D$81,3,FALSE)</f>
        <v>1</v>
      </c>
      <c r="M2232" s="16">
        <f>VLOOKUP(I2232,episodes!$A$1:$D$81,4,FALSE)</f>
        <v>25</v>
      </c>
      <c r="O2232" s="14">
        <v>0</v>
      </c>
      <c r="P2232" s="24">
        <f>LEN(E2232)+LEN(K2232)</f>
        <v>41</v>
      </c>
      <c r="Q2232" s="24">
        <f>COUNTIFS(B:B,B2231)</f>
        <v>64</v>
      </c>
      <c r="R2232" s="24">
        <f>COUNTIFS(D:D,D2232)</f>
        <v>4</v>
      </c>
    </row>
    <row r="2233" spans="1:18" x14ac:dyDescent="0.3">
      <c r="A2233" s="14">
        <v>2436</v>
      </c>
      <c r="B2233" s="21" t="s">
        <v>1897</v>
      </c>
      <c r="C2233" s="1" t="s">
        <v>923</v>
      </c>
      <c r="D2233" s="1">
        <v>2</v>
      </c>
      <c r="E2233" s="1" t="s">
        <v>1256</v>
      </c>
      <c r="F2233" s="21" t="s">
        <v>1861</v>
      </c>
      <c r="G2233" s="14">
        <v>0</v>
      </c>
      <c r="H2233" s="14">
        <v>1</v>
      </c>
      <c r="I2233" s="25">
        <v>110</v>
      </c>
      <c r="J2233" s="23">
        <f>VLOOKUP(I2233,episodes!$A$1:$B$76,2,FALSE)</f>
        <v>11</v>
      </c>
      <c r="K2233" s="16" t="str">
        <f>VLOOKUP(I2233,episodes!$A$1:$E$81,5,FALSE)</f>
        <v>The Corbomite Maneuver</v>
      </c>
      <c r="L2233" s="16">
        <f>VLOOKUP(I2233,episodes!$A$1:$D$81,3,FALSE)</f>
        <v>1</v>
      </c>
      <c r="M2233" s="16">
        <f>VLOOKUP(I2233,episodes!$A$1:$D$81,4,FALSE)</f>
        <v>10</v>
      </c>
      <c r="O2233" s="14">
        <v>0</v>
      </c>
      <c r="P2233" s="24">
        <f>LEN(E2233)+LEN(K2233)</f>
        <v>39</v>
      </c>
      <c r="Q2233" s="24">
        <f>COUNTIFS(B:B,B2232)</f>
        <v>64</v>
      </c>
      <c r="R2233" s="24">
        <f>COUNTIFS(D:D,D2233)</f>
        <v>4</v>
      </c>
    </row>
    <row r="2234" spans="1:18" x14ac:dyDescent="0.3">
      <c r="A2234" s="14">
        <v>736</v>
      </c>
      <c r="B2234" s="21" t="s">
        <v>1897</v>
      </c>
      <c r="C2234" s="1" t="s">
        <v>923</v>
      </c>
      <c r="D2234" s="1">
        <v>3</v>
      </c>
      <c r="E2234" s="1" t="s">
        <v>1285</v>
      </c>
      <c r="F2234" s="21" t="s">
        <v>4</v>
      </c>
      <c r="G2234" s="14">
        <v>1</v>
      </c>
      <c r="H2234" s="14">
        <v>0</v>
      </c>
      <c r="I2234" s="22">
        <v>117</v>
      </c>
      <c r="J2234" s="23">
        <f>VLOOKUP(I2234,episodes!$A$1:$B$76,2,FALSE)</f>
        <v>18</v>
      </c>
      <c r="K2234" s="16" t="str">
        <f>VLOOKUP(I2234,episodes!$A$1:$E$81,5,FALSE)</f>
        <v>The Squire of Gothos</v>
      </c>
      <c r="L2234" s="16">
        <f>VLOOKUP(I2234,episodes!$A$1:$D$81,3,FALSE)</f>
        <v>1</v>
      </c>
      <c r="M2234" s="16">
        <f>VLOOKUP(I2234,episodes!$A$1:$D$81,4,FALSE)</f>
        <v>17</v>
      </c>
      <c r="O2234" s="14">
        <v>0</v>
      </c>
      <c r="P2234" s="24">
        <f>LEN(E2234)+LEN(K2234)</f>
        <v>46</v>
      </c>
      <c r="Q2234" s="24">
        <f>COUNTIFS(B:B,B2233)</f>
        <v>64</v>
      </c>
      <c r="R2234" s="24">
        <f>COUNTIFS(D:D,D2234)</f>
        <v>3</v>
      </c>
    </row>
    <row r="2235" spans="1:18" x14ac:dyDescent="0.3">
      <c r="A2235" s="14">
        <v>764</v>
      </c>
      <c r="B2235" s="21" t="s">
        <v>1897</v>
      </c>
      <c r="C2235" s="1" t="s">
        <v>923</v>
      </c>
      <c r="D2235" s="1">
        <v>3</v>
      </c>
      <c r="E2235" s="1" t="s">
        <v>1285</v>
      </c>
      <c r="F2235" s="21" t="s">
        <v>4</v>
      </c>
      <c r="G2235" s="14">
        <v>1</v>
      </c>
      <c r="H2235" s="14">
        <v>0</v>
      </c>
      <c r="I2235" s="22">
        <v>119</v>
      </c>
      <c r="J2235" s="23">
        <f>VLOOKUP(I2235,episodes!$A$1:$B$76,2,FALSE)</f>
        <v>20</v>
      </c>
      <c r="K2235" s="16" t="str">
        <f>VLOOKUP(I2235,episodes!$A$1:$E$81,5,FALSE)</f>
        <v>Tomorrow Is Yesterday</v>
      </c>
      <c r="L2235" s="16">
        <f>VLOOKUP(I2235,episodes!$A$1:$D$81,3,FALSE)</f>
        <v>1</v>
      </c>
      <c r="M2235" s="16">
        <f>VLOOKUP(I2235,episodes!$A$1:$D$81,4,FALSE)</f>
        <v>19</v>
      </c>
      <c r="O2235" s="14">
        <v>0</v>
      </c>
      <c r="P2235" s="24">
        <f>LEN(E2235)+LEN(K2235)</f>
        <v>47</v>
      </c>
      <c r="Q2235" s="24">
        <f>COUNTIFS(B:B,B2234)</f>
        <v>64</v>
      </c>
      <c r="R2235" s="24">
        <f>COUNTIFS(D:D,D2235)</f>
        <v>3</v>
      </c>
    </row>
    <row r="2236" spans="1:18" x14ac:dyDescent="0.3">
      <c r="A2236" s="14">
        <v>2435</v>
      </c>
      <c r="B2236" s="21" t="s">
        <v>1897</v>
      </c>
      <c r="C2236" s="1" t="s">
        <v>923</v>
      </c>
      <c r="D2236" s="1">
        <v>3</v>
      </c>
      <c r="E2236" s="1" t="s">
        <v>1255</v>
      </c>
      <c r="F2236" s="21" t="s">
        <v>1861</v>
      </c>
      <c r="G2236" s="14">
        <v>0</v>
      </c>
      <c r="H2236" s="14">
        <v>1</v>
      </c>
      <c r="I2236" s="25">
        <v>110</v>
      </c>
      <c r="J2236" s="23">
        <f>VLOOKUP(I2236,episodes!$A$1:$B$76,2,FALSE)</f>
        <v>11</v>
      </c>
      <c r="K2236" s="16" t="str">
        <f>VLOOKUP(I2236,episodes!$A$1:$E$81,5,FALSE)</f>
        <v>The Corbomite Maneuver</v>
      </c>
      <c r="L2236" s="16">
        <f>VLOOKUP(I2236,episodes!$A$1:$D$81,3,FALSE)</f>
        <v>1</v>
      </c>
      <c r="M2236" s="16">
        <f>VLOOKUP(I2236,episodes!$A$1:$D$81,4,FALSE)</f>
        <v>10</v>
      </c>
      <c r="O2236" s="14">
        <v>0</v>
      </c>
      <c r="P2236" s="24">
        <f>LEN(E2236)+LEN(K2236)</f>
        <v>42</v>
      </c>
      <c r="Q2236" s="24">
        <f>COUNTIFS(B:B,B2235)</f>
        <v>64</v>
      </c>
      <c r="R2236" s="24">
        <f>COUNTIFS(D:D,D2236)</f>
        <v>3</v>
      </c>
    </row>
    <row r="2237" spans="1:18" x14ac:dyDescent="0.3">
      <c r="A2237" s="14">
        <v>889</v>
      </c>
      <c r="B2237" s="21" t="s">
        <v>1897</v>
      </c>
      <c r="C2237" s="1" t="s">
        <v>923</v>
      </c>
      <c r="D2237" s="1">
        <v>4</v>
      </c>
      <c r="E2237" s="1" t="s">
        <v>1378</v>
      </c>
      <c r="F2237" s="21" t="s">
        <v>4</v>
      </c>
      <c r="G2237" s="14">
        <v>1</v>
      </c>
      <c r="H2237" s="14">
        <v>0</v>
      </c>
      <c r="I2237" s="22">
        <v>201</v>
      </c>
      <c r="J2237" s="23">
        <f>VLOOKUP(I2237,episodes!$A$1:$B$76,2,FALSE)</f>
        <v>31</v>
      </c>
      <c r="K2237" s="16" t="str">
        <f>VLOOKUP(I2237,episodes!$A$1:$E$81,5,FALSE)</f>
        <v>Amok Time</v>
      </c>
      <c r="L2237" s="16">
        <f>VLOOKUP(I2237,episodes!$A$1:$D$81,3,FALSE)</f>
        <v>2</v>
      </c>
      <c r="M2237" s="16">
        <f>VLOOKUP(I2237,episodes!$A$1:$D$81,4,FALSE)</f>
        <v>1</v>
      </c>
      <c r="O2237" s="14">
        <v>0</v>
      </c>
      <c r="P2237" s="24">
        <f>LEN(E2237)+LEN(K2237)</f>
        <v>64</v>
      </c>
      <c r="Q2237" s="24">
        <f>COUNTIFS(B:B,B2236)</f>
        <v>64</v>
      </c>
      <c r="R2237" s="24">
        <f>COUNTIFS(D:D,D2237)</f>
        <v>2</v>
      </c>
    </row>
    <row r="2238" spans="1:18" x14ac:dyDescent="0.3">
      <c r="A2238" s="14">
        <v>2444</v>
      </c>
      <c r="B2238" s="21" t="s">
        <v>1897</v>
      </c>
      <c r="C2238" s="1" t="s">
        <v>923</v>
      </c>
      <c r="D2238" s="1">
        <v>4</v>
      </c>
      <c r="E2238" s="1" t="s">
        <v>1299</v>
      </c>
      <c r="F2238" s="21" t="s">
        <v>1861</v>
      </c>
      <c r="G2238" s="14">
        <v>0</v>
      </c>
      <c r="H2238" s="14">
        <v>1</v>
      </c>
      <c r="I2238" s="22">
        <v>119</v>
      </c>
      <c r="J2238" s="23">
        <f>VLOOKUP(I2238,episodes!$A$1:$B$76,2,FALSE)</f>
        <v>20</v>
      </c>
      <c r="K2238" s="16" t="str">
        <f>VLOOKUP(I2238,episodes!$A$1:$E$81,5,FALSE)</f>
        <v>Tomorrow Is Yesterday</v>
      </c>
      <c r="L2238" s="16">
        <f>VLOOKUP(I2238,episodes!$A$1:$D$81,3,FALSE)</f>
        <v>1</v>
      </c>
      <c r="M2238" s="16">
        <f>VLOOKUP(I2238,episodes!$A$1:$D$81,4,FALSE)</f>
        <v>19</v>
      </c>
      <c r="O2238" s="14">
        <v>0</v>
      </c>
      <c r="P2238" s="24">
        <f>LEN(E2238)+LEN(K2238)</f>
        <v>34</v>
      </c>
      <c r="Q2238" s="24">
        <f>COUNTIFS(B:B,B2237)</f>
        <v>64</v>
      </c>
      <c r="R2238" s="24">
        <f>COUNTIFS(D:D,D2238)</f>
        <v>2</v>
      </c>
    </row>
    <row r="2239" spans="1:18" x14ac:dyDescent="0.3">
      <c r="A2239" s="14">
        <v>2955</v>
      </c>
      <c r="B2239" s="21" t="s">
        <v>1897</v>
      </c>
      <c r="C2239" s="21" t="s">
        <v>923</v>
      </c>
      <c r="D2239" s="1">
        <v>5</v>
      </c>
      <c r="E2239" s="4" t="s">
        <v>2784</v>
      </c>
      <c r="F2239" s="21" t="s">
        <v>6</v>
      </c>
      <c r="G2239" s="14">
        <v>0</v>
      </c>
      <c r="H2239" s="14">
        <v>1</v>
      </c>
      <c r="I2239" s="7">
        <v>211</v>
      </c>
      <c r="J2239" s="23">
        <f>VLOOKUP(I2239,episodes!$A$1:$B$81,2,FALSE)</f>
        <v>41</v>
      </c>
      <c r="K2239" s="16" t="str">
        <f>VLOOKUP(I2239,episodes!$A$1:$E$81,5,FALSE)</f>
        <v>Friday's Child</v>
      </c>
      <c r="L2239" s="16">
        <f>VLOOKUP(I2239,episodes!$A$1:$D$81,3,FALSE)</f>
        <v>2</v>
      </c>
      <c r="M2239" s="16">
        <f>VLOOKUP(I2239,episodes!$A$1:$D$81,4,FALSE)</f>
        <v>11</v>
      </c>
      <c r="O2239" s="14">
        <v>0</v>
      </c>
      <c r="P2239" s="24">
        <f>LEN(E2239)+LEN(K2239)</f>
        <v>66</v>
      </c>
      <c r="Q2239" s="24"/>
      <c r="R2239" s="24"/>
    </row>
    <row r="2240" spans="1:18" x14ac:dyDescent="0.3">
      <c r="A2240" s="14">
        <v>2983</v>
      </c>
      <c r="B2240" s="21" t="s">
        <v>1897</v>
      </c>
      <c r="C2240" s="21" t="s">
        <v>923</v>
      </c>
      <c r="D2240" s="1">
        <v>5</v>
      </c>
      <c r="E2240" s="4" t="s">
        <v>2806</v>
      </c>
      <c r="F2240" s="21" t="s">
        <v>6</v>
      </c>
      <c r="G2240" s="14">
        <v>0</v>
      </c>
      <c r="H2240" s="14">
        <v>1</v>
      </c>
      <c r="I2240" s="7">
        <v>211</v>
      </c>
      <c r="J2240" s="23">
        <f>VLOOKUP(I2240,episodes!$A$1:$B$81,2,FALSE)</f>
        <v>41</v>
      </c>
      <c r="K2240" s="16" t="str">
        <f>VLOOKUP(I2240,episodes!$A$1:$E$81,5,FALSE)</f>
        <v>Friday's Child</v>
      </c>
      <c r="L2240" s="16">
        <f>VLOOKUP(I2240,episodes!$A$1:$D$81,3,FALSE)</f>
        <v>2</v>
      </c>
      <c r="M2240" s="16">
        <f>VLOOKUP(I2240,episodes!$A$1:$D$81,4,FALSE)</f>
        <v>11</v>
      </c>
      <c r="O2240" s="14">
        <v>0</v>
      </c>
      <c r="P2240" s="24">
        <f>LEN(E2240)+LEN(K2240)</f>
        <v>54</v>
      </c>
      <c r="Q2240" s="24"/>
      <c r="R2240" s="24"/>
    </row>
    <row r="2241" spans="1:18" x14ac:dyDescent="0.3">
      <c r="A2241" s="14">
        <v>129</v>
      </c>
      <c r="B2241" s="21" t="s">
        <v>1897</v>
      </c>
      <c r="C2241" s="1" t="s">
        <v>923</v>
      </c>
      <c r="D2241" s="1">
        <v>6</v>
      </c>
      <c r="E2241" s="1" t="s">
        <v>2558</v>
      </c>
      <c r="F2241" s="21" t="s">
        <v>2225</v>
      </c>
      <c r="G2241" s="14">
        <v>0</v>
      </c>
      <c r="H2241" s="14">
        <v>0</v>
      </c>
      <c r="I2241" s="22">
        <v>201</v>
      </c>
      <c r="J2241" s="23">
        <f>VLOOKUP(I2241,episodes!$A$1:$B$76,2,FALSE)</f>
        <v>31</v>
      </c>
      <c r="K2241" s="16" t="str">
        <f>VLOOKUP(I2241,episodes!$A$1:$E$81,5,FALSE)</f>
        <v>Amok Time</v>
      </c>
      <c r="L2241" s="16">
        <f>VLOOKUP(I2241,episodes!$A$1:$D$81,3,FALSE)</f>
        <v>2</v>
      </c>
      <c r="M2241" s="16">
        <f>VLOOKUP(I2241,episodes!$A$1:$D$81,4,FALSE)</f>
        <v>1</v>
      </c>
      <c r="O2241" s="14">
        <v>0</v>
      </c>
      <c r="P2241" s="24">
        <f>LEN(E2241)+LEN(K2241)</f>
        <v>106</v>
      </c>
      <c r="Q2241" s="24">
        <f>COUNTIFS(B:B,B2239)</f>
        <v>64</v>
      </c>
      <c r="R2241" s="24">
        <f>COUNTIFS(D:D,D2241)</f>
        <v>4</v>
      </c>
    </row>
    <row r="2242" spans="1:18" x14ac:dyDescent="0.3">
      <c r="A2242" s="14">
        <v>749</v>
      </c>
      <c r="B2242" s="21" t="s">
        <v>1897</v>
      </c>
      <c r="C2242" s="1" t="s">
        <v>923</v>
      </c>
      <c r="D2242" s="1">
        <v>6</v>
      </c>
      <c r="E2242" s="1" t="s">
        <v>1290</v>
      </c>
      <c r="F2242" s="21" t="s">
        <v>4</v>
      </c>
      <c r="G2242" s="14">
        <v>1</v>
      </c>
      <c r="H2242" s="14">
        <v>0</v>
      </c>
      <c r="I2242" s="22">
        <v>118</v>
      </c>
      <c r="J2242" s="23">
        <f>VLOOKUP(I2242,episodes!$A$1:$B$76,2,FALSE)</f>
        <v>19</v>
      </c>
      <c r="K2242" s="16" t="str">
        <f>VLOOKUP(I2242,episodes!$A$1:$E$81,5,FALSE)</f>
        <v>Arena</v>
      </c>
      <c r="L2242" s="16">
        <f>VLOOKUP(I2242,episodes!$A$1:$D$81,3,FALSE)</f>
        <v>1</v>
      </c>
      <c r="M2242" s="16">
        <f>VLOOKUP(I2242,episodes!$A$1:$D$81,4,FALSE)</f>
        <v>18</v>
      </c>
      <c r="O2242" s="14">
        <v>0</v>
      </c>
      <c r="P2242" s="24">
        <f>LEN(E2242)+LEN(K2242)</f>
        <v>27</v>
      </c>
      <c r="Q2242" s="24">
        <f>COUNTIFS(B:B,B2241)</f>
        <v>64</v>
      </c>
      <c r="R2242" s="24">
        <f>COUNTIFS(D:D,D2242)</f>
        <v>4</v>
      </c>
    </row>
    <row r="2243" spans="1:18" x14ac:dyDescent="0.3">
      <c r="A2243" s="14">
        <v>890</v>
      </c>
      <c r="B2243" s="21" t="s">
        <v>1897</v>
      </c>
      <c r="C2243" s="1" t="s">
        <v>923</v>
      </c>
      <c r="D2243" s="1">
        <v>6</v>
      </c>
      <c r="E2243" s="1" t="s">
        <v>1672</v>
      </c>
      <c r="F2243" s="21" t="s">
        <v>4</v>
      </c>
      <c r="G2243" s="14">
        <v>1</v>
      </c>
      <c r="H2243" s="14">
        <v>0</v>
      </c>
      <c r="I2243" s="22">
        <v>201</v>
      </c>
      <c r="J2243" s="23">
        <f>VLOOKUP(I2243,episodes!$A$1:$B$76,2,FALSE)</f>
        <v>31</v>
      </c>
      <c r="K2243" s="16" t="str">
        <f>VLOOKUP(I2243,episodes!$A$1:$E$81,5,FALSE)</f>
        <v>Amok Time</v>
      </c>
      <c r="L2243" s="16">
        <f>VLOOKUP(I2243,episodes!$A$1:$D$81,3,FALSE)</f>
        <v>2</v>
      </c>
      <c r="M2243" s="16">
        <f>VLOOKUP(I2243,episodes!$A$1:$D$81,4,FALSE)</f>
        <v>1</v>
      </c>
      <c r="O2243" s="14">
        <v>0</v>
      </c>
      <c r="P2243" s="24">
        <f>LEN(E2243)+LEN(K2243)</f>
        <v>68</v>
      </c>
      <c r="Q2243" s="24">
        <f>COUNTIFS(B:B,B2242)</f>
        <v>64</v>
      </c>
      <c r="R2243" s="24">
        <f>COUNTIFS(D:D,D2243)</f>
        <v>4</v>
      </c>
    </row>
    <row r="2244" spans="1:18" s="35" customFormat="1" x14ac:dyDescent="0.3">
      <c r="A2244" s="14">
        <v>2984</v>
      </c>
      <c r="B2244" s="21" t="s">
        <v>1897</v>
      </c>
      <c r="C2244" s="21" t="s">
        <v>923</v>
      </c>
      <c r="D2244" s="1">
        <v>6</v>
      </c>
      <c r="E2244" s="4" t="s">
        <v>2807</v>
      </c>
      <c r="F2244" s="21" t="s">
        <v>6</v>
      </c>
      <c r="G2244" s="14">
        <v>0</v>
      </c>
      <c r="H2244" s="14">
        <v>1</v>
      </c>
      <c r="I2244" s="7">
        <v>211</v>
      </c>
      <c r="J2244" s="23">
        <f>VLOOKUP(I2244,episodes!$A$1:$B$81,2,FALSE)</f>
        <v>41</v>
      </c>
      <c r="K2244" s="16" t="str">
        <f>VLOOKUP(I2244,episodes!$A$1:$E$81,5,FALSE)</f>
        <v>Friday's Child</v>
      </c>
      <c r="L2244" s="16">
        <f>VLOOKUP(I2244,episodes!$A$1:$D$81,3,FALSE)</f>
        <v>2</v>
      </c>
      <c r="M2244" s="16">
        <f>VLOOKUP(I2244,episodes!$A$1:$D$81,4,FALSE)</f>
        <v>11</v>
      </c>
      <c r="N2244" s="14"/>
      <c r="O2244" s="14">
        <v>0</v>
      </c>
      <c r="P2244" s="24">
        <f>LEN(E2244)+LEN(K2244)</f>
        <v>64</v>
      </c>
      <c r="Q2244" s="24"/>
      <c r="R2244" s="24"/>
    </row>
    <row r="2245" spans="1:18" x14ac:dyDescent="0.3">
      <c r="A2245" s="14">
        <v>854</v>
      </c>
      <c r="B2245" s="21" t="s">
        <v>1897</v>
      </c>
      <c r="C2245" s="1" t="s">
        <v>923</v>
      </c>
      <c r="D2245" s="1">
        <v>7</v>
      </c>
      <c r="E2245" s="1" t="s">
        <v>1343</v>
      </c>
      <c r="F2245" s="21" t="s">
        <v>4</v>
      </c>
      <c r="G2245" s="14">
        <v>1</v>
      </c>
      <c r="H2245" s="14">
        <v>0</v>
      </c>
      <c r="I2245" s="22">
        <v>126</v>
      </c>
      <c r="J2245" s="23">
        <f>VLOOKUP(I2245,episodes!$A$1:$B$76,2,FALSE)</f>
        <v>27</v>
      </c>
      <c r="K2245" s="16" t="str">
        <f>VLOOKUP(I2245,episodes!$A$1:$E$81,5,FALSE)</f>
        <v>Errand of Mercy</v>
      </c>
      <c r="L2245" s="16">
        <f>VLOOKUP(I2245,episodes!$A$1:$D$81,3,FALSE)</f>
        <v>1</v>
      </c>
      <c r="M2245" s="16">
        <f>VLOOKUP(I2245,episodes!$A$1:$D$81,4,FALSE)</f>
        <v>26</v>
      </c>
      <c r="O2245" s="14">
        <v>0</v>
      </c>
      <c r="P2245" s="24">
        <f>LEN(E2245)+LEN(K2245)</f>
        <v>41</v>
      </c>
      <c r="Q2245" s="24">
        <f>COUNTIFS(B:B,B2244)</f>
        <v>64</v>
      </c>
      <c r="R2245" s="24">
        <f>COUNTIFS(D:D,D2245)</f>
        <v>4</v>
      </c>
    </row>
    <row r="2246" spans="1:18" x14ac:dyDescent="0.3">
      <c r="A2246" s="14">
        <v>751</v>
      </c>
      <c r="B2246" s="21" t="s">
        <v>1897</v>
      </c>
      <c r="C2246" s="1" t="s">
        <v>923</v>
      </c>
      <c r="D2246" s="1">
        <v>7</v>
      </c>
      <c r="E2246" s="1" t="s">
        <v>1292</v>
      </c>
      <c r="F2246" s="21" t="s">
        <v>4</v>
      </c>
      <c r="G2246" s="14">
        <v>1</v>
      </c>
      <c r="H2246" s="14">
        <v>0</v>
      </c>
      <c r="I2246" s="22">
        <v>118</v>
      </c>
      <c r="J2246" s="23">
        <f>VLOOKUP(I2246,episodes!$A$1:$B$76,2,FALSE)</f>
        <v>19</v>
      </c>
      <c r="K2246" s="16" t="str">
        <f>VLOOKUP(I2246,episodes!$A$1:$E$81,5,FALSE)</f>
        <v>Arena</v>
      </c>
      <c r="L2246" s="16">
        <f>VLOOKUP(I2246,episodes!$A$1:$D$81,3,FALSE)</f>
        <v>1</v>
      </c>
      <c r="M2246" s="16">
        <f>VLOOKUP(I2246,episodes!$A$1:$D$81,4,FALSE)</f>
        <v>18</v>
      </c>
      <c r="O2246" s="14">
        <v>0</v>
      </c>
      <c r="P2246" s="24">
        <f>LEN(E2246)+LEN(K2246)</f>
        <v>25</v>
      </c>
      <c r="Q2246" s="24">
        <f>COUNTIFS(B:B,B2245)</f>
        <v>64</v>
      </c>
      <c r="R2246" s="24">
        <f>COUNTIFS(D:D,D2246)</f>
        <v>4</v>
      </c>
    </row>
    <row r="2247" spans="1:18" x14ac:dyDescent="0.3">
      <c r="A2247" s="14">
        <v>1827</v>
      </c>
      <c r="B2247" s="21" t="s">
        <v>1897</v>
      </c>
      <c r="C2247" s="1" t="s">
        <v>923</v>
      </c>
      <c r="D2247" s="1">
        <v>7</v>
      </c>
      <c r="E2247" s="1" t="s">
        <v>1201</v>
      </c>
      <c r="F2247" s="21" t="s">
        <v>2231</v>
      </c>
      <c r="G2247" s="14">
        <v>0</v>
      </c>
      <c r="H2247" s="14">
        <v>0</v>
      </c>
      <c r="I2247" s="25">
        <v>100</v>
      </c>
      <c r="J2247" s="23">
        <f>VLOOKUP(I2247,episodes!$A$1:$B$76,2,FALSE)</f>
        <v>1</v>
      </c>
      <c r="K2247" s="16" t="str">
        <f>VLOOKUP(I2247,episodes!$A$1:$E$81,5,FALSE)</f>
        <v>The Cage</v>
      </c>
      <c r="L2247" s="16">
        <f>VLOOKUP(I2247,episodes!$A$1:$D$81,3,FALSE)</f>
        <v>1</v>
      </c>
      <c r="M2247" s="16">
        <f>VLOOKUP(I2247,episodes!$A$1:$D$81,4,FALSE)</f>
        <v>0</v>
      </c>
      <c r="O2247" s="14">
        <v>0</v>
      </c>
      <c r="P2247" s="24">
        <f>LEN(E2247)+LEN(K2247)</f>
        <v>38</v>
      </c>
      <c r="Q2247" s="24">
        <f>COUNTIFS(B:B,B2246)</f>
        <v>64</v>
      </c>
      <c r="R2247" s="24">
        <f>COUNTIFS(D:D,D2247)</f>
        <v>4</v>
      </c>
    </row>
    <row r="2248" spans="1:18" x14ac:dyDescent="0.3">
      <c r="A2248" s="14">
        <v>2445</v>
      </c>
      <c r="B2248" s="21" t="s">
        <v>1897</v>
      </c>
      <c r="C2248" s="1" t="s">
        <v>923</v>
      </c>
      <c r="D2248" s="1">
        <v>7</v>
      </c>
      <c r="E2248" s="1" t="s">
        <v>1300</v>
      </c>
      <c r="F2248" s="21" t="s">
        <v>1861</v>
      </c>
      <c r="G2248" s="14">
        <v>0</v>
      </c>
      <c r="H2248" s="14">
        <v>1</v>
      </c>
      <c r="I2248" s="22">
        <v>119</v>
      </c>
      <c r="J2248" s="23">
        <f>VLOOKUP(I2248,episodes!$A$1:$B$76,2,FALSE)</f>
        <v>20</v>
      </c>
      <c r="K2248" s="16" t="str">
        <f>VLOOKUP(I2248,episodes!$A$1:$E$81,5,FALSE)</f>
        <v>Tomorrow Is Yesterday</v>
      </c>
      <c r="L2248" s="16">
        <f>VLOOKUP(I2248,episodes!$A$1:$D$81,3,FALSE)</f>
        <v>1</v>
      </c>
      <c r="M2248" s="16">
        <f>VLOOKUP(I2248,episodes!$A$1:$D$81,4,FALSE)</f>
        <v>19</v>
      </c>
      <c r="O2248" s="14">
        <v>0</v>
      </c>
      <c r="P2248" s="24">
        <f>LEN(E2248)+LEN(K2248)</f>
        <v>34</v>
      </c>
      <c r="Q2248" s="24">
        <f>COUNTIFS(B:B,B2247)</f>
        <v>64</v>
      </c>
      <c r="R2248" s="24">
        <f>COUNTIFS(D:D,D2248)</f>
        <v>4</v>
      </c>
    </row>
    <row r="2249" spans="1:18" x14ac:dyDescent="0.3">
      <c r="A2249" s="14">
        <v>148</v>
      </c>
      <c r="B2249" s="21" t="s">
        <v>1897</v>
      </c>
      <c r="C2249" s="21" t="s">
        <v>923</v>
      </c>
      <c r="D2249" s="21">
        <v>8</v>
      </c>
      <c r="E2249" s="1" t="s">
        <v>1919</v>
      </c>
      <c r="F2249" s="21" t="s">
        <v>7</v>
      </c>
      <c r="G2249" s="14">
        <v>0</v>
      </c>
      <c r="H2249" s="14">
        <v>2</v>
      </c>
      <c r="I2249" s="22">
        <v>210</v>
      </c>
      <c r="J2249" s="23">
        <f>VLOOKUP(I2249,episodes!$A$1:$B$81,2,FALSE)</f>
        <v>40</v>
      </c>
      <c r="K2249" s="16" t="str">
        <f>VLOOKUP(I2249,episodes!$A$1:$E$81,5,FALSE)</f>
        <v>Journey to Babel</v>
      </c>
      <c r="L2249" s="16">
        <f>VLOOKUP(I2249,episodes!$A$1:$D$81,3,FALSE)</f>
        <v>2</v>
      </c>
      <c r="M2249" s="16">
        <f>VLOOKUP(I2249,episodes!$A$1:$D$81,4,FALSE)</f>
        <v>10</v>
      </c>
      <c r="O2249" s="14">
        <v>0</v>
      </c>
      <c r="P2249" s="24">
        <f>LEN(E2249)+LEN(K2249)</f>
        <v>105</v>
      </c>
      <c r="Q2249" s="24">
        <f>COUNTIFS(B:B,B2248)</f>
        <v>64</v>
      </c>
      <c r="R2249" s="24">
        <f>COUNTIFS(D:D,D2249)</f>
        <v>5</v>
      </c>
    </row>
    <row r="2250" spans="1:18" x14ac:dyDescent="0.3">
      <c r="A2250" s="14">
        <v>891</v>
      </c>
      <c r="B2250" s="21" t="s">
        <v>1897</v>
      </c>
      <c r="C2250" s="1" t="s">
        <v>923</v>
      </c>
      <c r="D2250" s="1">
        <v>8</v>
      </c>
      <c r="E2250" s="1" t="s">
        <v>1379</v>
      </c>
      <c r="F2250" s="21" t="s">
        <v>4</v>
      </c>
      <c r="G2250" s="14">
        <v>1</v>
      </c>
      <c r="H2250" s="14">
        <v>0</v>
      </c>
      <c r="I2250" s="22">
        <v>201</v>
      </c>
      <c r="J2250" s="23">
        <f>VLOOKUP(I2250,episodes!$A$1:$B$76,2,FALSE)</f>
        <v>31</v>
      </c>
      <c r="K2250" s="16" t="str">
        <f>VLOOKUP(I2250,episodes!$A$1:$E$81,5,FALSE)</f>
        <v>Amok Time</v>
      </c>
      <c r="L2250" s="16">
        <f>VLOOKUP(I2250,episodes!$A$1:$D$81,3,FALSE)</f>
        <v>2</v>
      </c>
      <c r="M2250" s="16">
        <f>VLOOKUP(I2250,episodes!$A$1:$D$81,4,FALSE)</f>
        <v>1</v>
      </c>
      <c r="O2250" s="14">
        <v>0</v>
      </c>
      <c r="P2250" s="24">
        <f>LEN(E2250)+LEN(K2250)</f>
        <v>84</v>
      </c>
      <c r="Q2250" s="24">
        <f>COUNTIFS(B:B,B2249)</f>
        <v>64</v>
      </c>
      <c r="R2250" s="24">
        <f>COUNTIFS(D:D,D2250)</f>
        <v>5</v>
      </c>
    </row>
    <row r="2251" spans="1:18" x14ac:dyDescent="0.3">
      <c r="A2251" s="14">
        <v>878</v>
      </c>
      <c r="B2251" s="21" t="s">
        <v>1897</v>
      </c>
      <c r="C2251" s="1" t="s">
        <v>923</v>
      </c>
      <c r="D2251" s="1">
        <v>8</v>
      </c>
      <c r="E2251" s="1" t="s">
        <v>1370</v>
      </c>
      <c r="F2251" s="21" t="s">
        <v>4</v>
      </c>
      <c r="G2251" s="14">
        <v>1</v>
      </c>
      <c r="H2251" s="14">
        <v>0</v>
      </c>
      <c r="I2251" s="22">
        <v>129</v>
      </c>
      <c r="J2251" s="23">
        <f>VLOOKUP(I2251,episodes!$A$1:$B$76,2,FALSE)</f>
        <v>30</v>
      </c>
      <c r="K2251" s="16" t="str">
        <f>VLOOKUP(I2251,episodes!$A$1:$E$81,5,FALSE)</f>
        <v>Operation: Annihilate!</v>
      </c>
      <c r="L2251" s="16">
        <f>VLOOKUP(I2251,episodes!$A$1:$D$81,3,FALSE)</f>
        <v>1</v>
      </c>
      <c r="M2251" s="16">
        <f>VLOOKUP(I2251,episodes!$A$1:$D$81,4,FALSE)</f>
        <v>29</v>
      </c>
      <c r="O2251" s="14">
        <v>0</v>
      </c>
      <c r="P2251" s="24">
        <f>LEN(E2251)+LEN(K2251)</f>
        <v>78</v>
      </c>
      <c r="Q2251" s="24">
        <f>COUNTIFS(B:B,B2250)</f>
        <v>64</v>
      </c>
      <c r="R2251" s="24">
        <f>COUNTIFS(D:D,D2251)</f>
        <v>5</v>
      </c>
    </row>
    <row r="2252" spans="1:18" x14ac:dyDescent="0.3">
      <c r="A2252" s="14">
        <v>752</v>
      </c>
      <c r="B2252" s="21" t="s">
        <v>1897</v>
      </c>
      <c r="C2252" s="1" t="s">
        <v>923</v>
      </c>
      <c r="D2252" s="1">
        <v>8</v>
      </c>
      <c r="E2252" s="1" t="s">
        <v>1293</v>
      </c>
      <c r="F2252" s="21" t="s">
        <v>4</v>
      </c>
      <c r="G2252" s="14">
        <v>1</v>
      </c>
      <c r="H2252" s="14">
        <v>0</v>
      </c>
      <c r="I2252" s="22">
        <v>118</v>
      </c>
      <c r="J2252" s="23">
        <f>VLOOKUP(I2252,episodes!$A$1:$B$76,2,FALSE)</f>
        <v>19</v>
      </c>
      <c r="K2252" s="16" t="str">
        <f>VLOOKUP(I2252,episodes!$A$1:$E$81,5,FALSE)</f>
        <v>Arena</v>
      </c>
      <c r="L2252" s="16">
        <f>VLOOKUP(I2252,episodes!$A$1:$D$81,3,FALSE)</f>
        <v>1</v>
      </c>
      <c r="M2252" s="16">
        <f>VLOOKUP(I2252,episodes!$A$1:$D$81,4,FALSE)</f>
        <v>18</v>
      </c>
      <c r="O2252" s="14">
        <v>0</v>
      </c>
      <c r="P2252" s="24">
        <f>LEN(E2252)+LEN(K2252)</f>
        <v>25</v>
      </c>
      <c r="Q2252" s="24">
        <f>COUNTIFS(B:B,B2251)</f>
        <v>64</v>
      </c>
      <c r="R2252" s="24">
        <f>COUNTIFS(D:D,D2252)</f>
        <v>5</v>
      </c>
    </row>
    <row r="2253" spans="1:18" x14ac:dyDescent="0.3">
      <c r="A2253" s="14">
        <v>2446</v>
      </c>
      <c r="B2253" s="21" t="s">
        <v>1897</v>
      </c>
      <c r="C2253" s="1" t="s">
        <v>923</v>
      </c>
      <c r="D2253" s="1">
        <v>8</v>
      </c>
      <c r="E2253" s="1" t="s">
        <v>1301</v>
      </c>
      <c r="F2253" s="21" t="s">
        <v>1861</v>
      </c>
      <c r="G2253" s="14">
        <v>0</v>
      </c>
      <c r="H2253" s="14">
        <v>1</v>
      </c>
      <c r="I2253" s="22">
        <v>119</v>
      </c>
      <c r="J2253" s="23">
        <f>VLOOKUP(I2253,episodes!$A$1:$B$76,2,FALSE)</f>
        <v>20</v>
      </c>
      <c r="K2253" s="16" t="str">
        <f>VLOOKUP(I2253,episodes!$A$1:$E$81,5,FALSE)</f>
        <v>Tomorrow Is Yesterday</v>
      </c>
      <c r="L2253" s="16">
        <f>VLOOKUP(I2253,episodes!$A$1:$D$81,3,FALSE)</f>
        <v>1</v>
      </c>
      <c r="M2253" s="16">
        <f>VLOOKUP(I2253,episodes!$A$1:$D$81,4,FALSE)</f>
        <v>19</v>
      </c>
      <c r="O2253" s="14">
        <v>0</v>
      </c>
      <c r="P2253" s="24">
        <f>LEN(E2253)+LEN(K2253)</f>
        <v>34</v>
      </c>
      <c r="Q2253" s="24">
        <f>COUNTIFS(B:B,B2252)</f>
        <v>64</v>
      </c>
      <c r="R2253" s="24">
        <f>COUNTIFS(D:D,D2253)</f>
        <v>5</v>
      </c>
    </row>
    <row r="2254" spans="1:18" x14ac:dyDescent="0.3">
      <c r="A2254" s="14">
        <v>2489</v>
      </c>
      <c r="B2254" s="21" t="s">
        <v>1897</v>
      </c>
      <c r="C2254" s="1" t="s">
        <v>923</v>
      </c>
      <c r="D2254" s="1">
        <v>9</v>
      </c>
      <c r="E2254" s="1" t="s">
        <v>2079</v>
      </c>
      <c r="F2254" s="21" t="s">
        <v>2286</v>
      </c>
      <c r="G2254" s="14">
        <v>0</v>
      </c>
      <c r="H2254" s="14">
        <v>0</v>
      </c>
      <c r="I2254" s="25">
        <v>203</v>
      </c>
      <c r="J2254" s="23">
        <f>VLOOKUP(I2254,episodes!$A$1:$B$76,2,FALSE)</f>
        <v>33</v>
      </c>
      <c r="K2254" s="16" t="str">
        <f>VLOOKUP(I2254,episodes!$A$1:$E$81,5,FALSE)</f>
        <v>The Changeling</v>
      </c>
      <c r="L2254" s="16">
        <f>VLOOKUP(I2254,episodes!$A$1:$D$81,3,FALSE)</f>
        <v>2</v>
      </c>
      <c r="M2254" s="16">
        <f>VLOOKUP(I2254,episodes!$A$1:$D$81,4,FALSE)</f>
        <v>3</v>
      </c>
      <c r="O2254" s="14">
        <v>0</v>
      </c>
      <c r="P2254" s="24">
        <f>LEN(E2254)+LEN(K2254)</f>
        <v>49</v>
      </c>
      <c r="Q2254" s="24">
        <f>COUNTIFS(B:B,B2253)</f>
        <v>64</v>
      </c>
      <c r="R2254" s="24">
        <f>COUNTIFS(D:D,D2254)</f>
        <v>1</v>
      </c>
    </row>
    <row r="2255" spans="1:18" x14ac:dyDescent="0.3">
      <c r="A2255" s="14">
        <v>2487</v>
      </c>
      <c r="B2255" s="21" t="s">
        <v>1897</v>
      </c>
      <c r="C2255" s="1" t="s">
        <v>923</v>
      </c>
      <c r="D2255" s="1">
        <v>10</v>
      </c>
      <c r="E2255" s="1" t="s">
        <v>1398</v>
      </c>
      <c r="F2255" s="21" t="s">
        <v>2286</v>
      </c>
      <c r="G2255" s="14">
        <v>0</v>
      </c>
      <c r="H2255" s="14">
        <v>0</v>
      </c>
      <c r="I2255" s="25">
        <v>203</v>
      </c>
      <c r="J2255" s="23">
        <f>VLOOKUP(I2255,episodes!$A$1:$B$76,2,FALSE)</f>
        <v>33</v>
      </c>
      <c r="K2255" s="16" t="str">
        <f>VLOOKUP(I2255,episodes!$A$1:$E$81,5,FALSE)</f>
        <v>The Changeling</v>
      </c>
      <c r="L2255" s="16">
        <f>VLOOKUP(I2255,episodes!$A$1:$D$81,3,FALSE)</f>
        <v>2</v>
      </c>
      <c r="M2255" s="16">
        <f>VLOOKUP(I2255,episodes!$A$1:$D$81,4,FALSE)</f>
        <v>3</v>
      </c>
      <c r="O2255" s="14">
        <v>0</v>
      </c>
      <c r="P2255" s="24">
        <f>LEN(E2255)+LEN(K2255)</f>
        <v>40</v>
      </c>
      <c r="Q2255" s="24">
        <f>COUNTIFS(B:B,B2254)</f>
        <v>64</v>
      </c>
      <c r="R2255" s="24">
        <f>COUNTIFS(D:D,D2255)</f>
        <v>2</v>
      </c>
    </row>
    <row r="2256" spans="1:18" x14ac:dyDescent="0.3">
      <c r="A2256" s="14">
        <v>2289</v>
      </c>
      <c r="B2256" s="21" t="s">
        <v>1897</v>
      </c>
      <c r="C2256" s="21" t="s">
        <v>923</v>
      </c>
      <c r="D2256" s="21">
        <v>10</v>
      </c>
      <c r="E2256" s="1" t="s">
        <v>2078</v>
      </c>
      <c r="F2256" s="21" t="s">
        <v>5</v>
      </c>
      <c r="G2256" s="14">
        <v>1</v>
      </c>
      <c r="H2256" s="14">
        <v>0</v>
      </c>
      <c r="I2256" s="22">
        <v>210</v>
      </c>
      <c r="J2256" s="23">
        <f>VLOOKUP(I2256,episodes!$A$1:$B$81,2,FALSE)</f>
        <v>40</v>
      </c>
      <c r="K2256" s="16" t="str">
        <f>VLOOKUP(I2256,episodes!$A$1:$E$81,5,FALSE)</f>
        <v>Journey to Babel</v>
      </c>
      <c r="L2256" s="16">
        <f>VLOOKUP(I2256,episodes!$A$1:$D$81,3,FALSE)</f>
        <v>2</v>
      </c>
      <c r="M2256" s="16">
        <f>VLOOKUP(I2256,episodes!$A$1:$D$81,4,FALSE)</f>
        <v>10</v>
      </c>
      <c r="O2256" s="14">
        <v>0</v>
      </c>
      <c r="P2256" s="24">
        <f>LEN(E2256)+LEN(K2256)</f>
        <v>81</v>
      </c>
      <c r="Q2256" s="24">
        <f>COUNTIFS(B:B,B2255)</f>
        <v>64</v>
      </c>
      <c r="R2256" s="24">
        <f>COUNTIFS(D:D,D2256)</f>
        <v>2</v>
      </c>
    </row>
    <row r="2257" spans="1:18" x14ac:dyDescent="0.3">
      <c r="A2257" s="14">
        <v>2488</v>
      </c>
      <c r="B2257" s="21" t="s">
        <v>1897</v>
      </c>
      <c r="C2257" s="1" t="s">
        <v>923</v>
      </c>
      <c r="D2257" s="1">
        <v>11</v>
      </c>
      <c r="E2257" s="1" t="s">
        <v>1435</v>
      </c>
      <c r="F2257" s="21" t="s">
        <v>2286</v>
      </c>
      <c r="G2257" s="14">
        <v>0</v>
      </c>
      <c r="H2257" s="14">
        <v>0</v>
      </c>
      <c r="I2257" s="25">
        <v>203</v>
      </c>
      <c r="J2257" s="23">
        <f>VLOOKUP(I2257,episodes!$A$1:$B$76,2,FALSE)</f>
        <v>33</v>
      </c>
      <c r="K2257" s="16" t="str">
        <f>VLOOKUP(I2257,episodes!$A$1:$E$81,5,FALSE)</f>
        <v>The Changeling</v>
      </c>
      <c r="L2257" s="16">
        <f>VLOOKUP(I2257,episodes!$A$1:$D$81,3,FALSE)</f>
        <v>2</v>
      </c>
      <c r="M2257" s="16">
        <f>VLOOKUP(I2257,episodes!$A$1:$D$81,4,FALSE)</f>
        <v>3</v>
      </c>
      <c r="O2257" s="14">
        <v>0</v>
      </c>
      <c r="P2257" s="24">
        <f>LEN(E2257)+LEN(K2257)</f>
        <v>84</v>
      </c>
      <c r="Q2257" s="24">
        <f>COUNTIFS(B:B,B2256)</f>
        <v>64</v>
      </c>
      <c r="R2257" s="24">
        <f>COUNTIFS(D:D,D2257)</f>
        <v>1</v>
      </c>
    </row>
    <row r="2258" spans="1:18" x14ac:dyDescent="0.3">
      <c r="A2258" s="14">
        <v>147</v>
      </c>
      <c r="B2258" s="21" t="s">
        <v>1897</v>
      </c>
      <c r="C2258" s="21" t="s">
        <v>923</v>
      </c>
      <c r="D2258" s="21"/>
      <c r="E2258" s="1" t="s">
        <v>1922</v>
      </c>
      <c r="F2258" s="21" t="s">
        <v>7</v>
      </c>
      <c r="G2258" s="14">
        <v>0</v>
      </c>
      <c r="H2258" s="14">
        <v>2</v>
      </c>
      <c r="I2258" s="22">
        <v>210</v>
      </c>
      <c r="J2258" s="23">
        <f>VLOOKUP(I2258,episodes!$A$1:$B$81,2,FALSE)</f>
        <v>40</v>
      </c>
      <c r="K2258" s="16" t="str">
        <f>VLOOKUP(I2258,episodes!$A$1:$E$81,5,FALSE)</f>
        <v>Journey to Babel</v>
      </c>
      <c r="L2258" s="16">
        <f>VLOOKUP(I2258,episodes!$A$1:$D$81,3,FALSE)</f>
        <v>2</v>
      </c>
      <c r="M2258" s="16">
        <f>VLOOKUP(I2258,episodes!$A$1:$D$81,4,FALSE)</f>
        <v>10</v>
      </c>
      <c r="O2258" s="14">
        <v>0</v>
      </c>
      <c r="P2258" s="24">
        <f>LEN(E2258)+LEN(K2258)</f>
        <v>70</v>
      </c>
      <c r="Q2258" s="24">
        <f>COUNTIFS(B:B,B2257)</f>
        <v>64</v>
      </c>
      <c r="R2258" s="24">
        <f>COUNTIFS(D:D,D2258)</f>
        <v>0</v>
      </c>
    </row>
    <row r="2259" spans="1:18" x14ac:dyDescent="0.3">
      <c r="A2259" s="14">
        <v>664</v>
      </c>
      <c r="B2259" s="21" t="s">
        <v>1897</v>
      </c>
      <c r="C2259" s="1" t="s">
        <v>923</v>
      </c>
      <c r="E2259" s="1" t="s">
        <v>1247</v>
      </c>
      <c r="F2259" s="21" t="s">
        <v>4</v>
      </c>
      <c r="G2259" s="14">
        <v>1</v>
      </c>
      <c r="H2259" s="14">
        <v>0</v>
      </c>
      <c r="I2259" s="25">
        <v>110</v>
      </c>
      <c r="J2259" s="23">
        <f>VLOOKUP(I2259,episodes!$A$1:$B$76,2,FALSE)</f>
        <v>11</v>
      </c>
      <c r="K2259" s="16" t="str">
        <f>VLOOKUP(I2259,episodes!$A$1:$E$81,5,FALSE)</f>
        <v>The Corbomite Maneuver</v>
      </c>
      <c r="L2259" s="16">
        <f>VLOOKUP(I2259,episodes!$A$1:$D$81,3,FALSE)</f>
        <v>1</v>
      </c>
      <c r="M2259" s="16">
        <f>VLOOKUP(I2259,episodes!$A$1:$D$81,4,FALSE)</f>
        <v>10</v>
      </c>
      <c r="O2259" s="14">
        <v>0</v>
      </c>
      <c r="P2259" s="24">
        <f>LEN(E2259)+LEN(K2259)</f>
        <v>39</v>
      </c>
      <c r="Q2259" s="24">
        <f>COUNTIFS(B:B,B2258)</f>
        <v>64</v>
      </c>
      <c r="R2259" s="24">
        <f>COUNTIFS(D:D,D2259)</f>
        <v>0</v>
      </c>
    </row>
    <row r="2260" spans="1:18" x14ac:dyDescent="0.3">
      <c r="A2260" s="14">
        <v>765</v>
      </c>
      <c r="B2260" s="21" t="s">
        <v>1897</v>
      </c>
      <c r="C2260" s="1" t="s">
        <v>923</v>
      </c>
      <c r="E2260" s="1" t="s">
        <v>1297</v>
      </c>
      <c r="F2260" s="21" t="s">
        <v>4</v>
      </c>
      <c r="G2260" s="14">
        <v>1</v>
      </c>
      <c r="H2260" s="14">
        <v>0</v>
      </c>
      <c r="I2260" s="22">
        <v>119</v>
      </c>
      <c r="J2260" s="23">
        <f>VLOOKUP(I2260,episodes!$A$1:$B$76,2,FALSE)</f>
        <v>20</v>
      </c>
      <c r="K2260" s="16" t="str">
        <f>VLOOKUP(I2260,episodes!$A$1:$E$81,5,FALSE)</f>
        <v>Tomorrow Is Yesterday</v>
      </c>
      <c r="L2260" s="16">
        <f>VLOOKUP(I2260,episodes!$A$1:$D$81,3,FALSE)</f>
        <v>1</v>
      </c>
      <c r="M2260" s="16">
        <f>VLOOKUP(I2260,episodes!$A$1:$D$81,4,FALSE)</f>
        <v>19</v>
      </c>
      <c r="O2260" s="14">
        <v>0</v>
      </c>
      <c r="P2260" s="24">
        <f>LEN(E2260)+LEN(K2260)</f>
        <v>46</v>
      </c>
      <c r="Q2260" s="24">
        <f>COUNTIFS(B:B,B2259)</f>
        <v>64</v>
      </c>
      <c r="R2260" s="24">
        <f>COUNTIFS(D:D,D2260)</f>
        <v>0</v>
      </c>
    </row>
    <row r="2261" spans="1:18" x14ac:dyDescent="0.3">
      <c r="A2261" s="14">
        <v>737</v>
      </c>
      <c r="B2261" s="21" t="s">
        <v>1897</v>
      </c>
      <c r="C2261" s="1" t="s">
        <v>923</v>
      </c>
      <c r="E2261" s="1" t="s">
        <v>2080</v>
      </c>
      <c r="F2261" s="21" t="s">
        <v>4</v>
      </c>
      <c r="G2261" s="14">
        <v>1</v>
      </c>
      <c r="H2261" s="14">
        <v>0</v>
      </c>
      <c r="I2261" s="22">
        <v>117</v>
      </c>
      <c r="J2261" s="23">
        <f>VLOOKUP(I2261,episodes!$A$1:$B$76,2,FALSE)</f>
        <v>18</v>
      </c>
      <c r="K2261" s="16" t="str">
        <f>VLOOKUP(I2261,episodes!$A$1:$E$81,5,FALSE)</f>
        <v>The Squire of Gothos</v>
      </c>
      <c r="L2261" s="16">
        <f>VLOOKUP(I2261,episodes!$A$1:$D$81,3,FALSE)</f>
        <v>1</v>
      </c>
      <c r="M2261" s="16">
        <f>VLOOKUP(I2261,episodes!$A$1:$D$81,4,FALSE)</f>
        <v>17</v>
      </c>
      <c r="O2261" s="14">
        <v>0</v>
      </c>
      <c r="P2261" s="24">
        <f>LEN(E2261)+LEN(K2261)</f>
        <v>73</v>
      </c>
      <c r="Q2261" s="24">
        <f>COUNTIFS(B:B,B2260)</f>
        <v>64</v>
      </c>
      <c r="R2261" s="24">
        <f>COUNTIFS(D:D,D2261)</f>
        <v>0</v>
      </c>
    </row>
    <row r="2262" spans="1:18" x14ac:dyDescent="0.3">
      <c r="A2262" s="14">
        <v>667</v>
      </c>
      <c r="B2262" s="21" t="s">
        <v>1897</v>
      </c>
      <c r="C2262" s="1" t="s">
        <v>923</v>
      </c>
      <c r="E2262" s="1" t="s">
        <v>1250</v>
      </c>
      <c r="F2262" s="21" t="s">
        <v>4</v>
      </c>
      <c r="G2262" s="14">
        <v>1</v>
      </c>
      <c r="H2262" s="14">
        <v>0</v>
      </c>
      <c r="I2262" s="25">
        <v>110</v>
      </c>
      <c r="J2262" s="23">
        <f>VLOOKUP(I2262,episodes!$A$1:$B$76,2,FALSE)</f>
        <v>11</v>
      </c>
      <c r="K2262" s="16" t="str">
        <f>VLOOKUP(I2262,episodes!$A$1:$E$81,5,FALSE)</f>
        <v>The Corbomite Maneuver</v>
      </c>
      <c r="L2262" s="16">
        <f>VLOOKUP(I2262,episodes!$A$1:$D$81,3,FALSE)</f>
        <v>1</v>
      </c>
      <c r="M2262" s="16">
        <f>VLOOKUP(I2262,episodes!$A$1:$D$81,4,FALSE)</f>
        <v>10</v>
      </c>
      <c r="O2262" s="14">
        <v>0</v>
      </c>
      <c r="P2262" s="24">
        <f>LEN(E2262)+LEN(K2262)</f>
        <v>55</v>
      </c>
      <c r="Q2262" s="24">
        <f>COUNTIFS(B:B,B2261)</f>
        <v>64</v>
      </c>
      <c r="R2262" s="24">
        <f>COUNTIFS(D:D,D2262)</f>
        <v>0</v>
      </c>
    </row>
    <row r="2263" spans="1:18" x14ac:dyDescent="0.3">
      <c r="A2263" s="14">
        <v>700</v>
      </c>
      <c r="B2263" s="21" t="s">
        <v>1897</v>
      </c>
      <c r="C2263" s="1" t="s">
        <v>923</v>
      </c>
      <c r="E2263" s="1" t="s">
        <v>1266</v>
      </c>
      <c r="F2263" s="21" t="s">
        <v>4</v>
      </c>
      <c r="G2263" s="14">
        <v>1</v>
      </c>
      <c r="H2263" s="14">
        <v>0</v>
      </c>
      <c r="I2263" s="22">
        <v>114</v>
      </c>
      <c r="J2263" s="23">
        <f>VLOOKUP(I2263,episodes!$A$1:$B$76,2,FALSE)</f>
        <v>15</v>
      </c>
      <c r="K2263" s="16" t="str">
        <f>VLOOKUP(I2263,episodes!$A$1:$E$81,5,FALSE)</f>
        <v>Balance of Terror</v>
      </c>
      <c r="L2263" s="16">
        <f>VLOOKUP(I2263,episodes!$A$1:$D$81,3,FALSE)</f>
        <v>1</v>
      </c>
      <c r="M2263" s="16">
        <f>VLOOKUP(I2263,episodes!$A$1:$D$81,4,FALSE)</f>
        <v>14</v>
      </c>
      <c r="O2263" s="14">
        <v>0</v>
      </c>
      <c r="P2263" s="24">
        <f>LEN(E2263)+LEN(K2263)</f>
        <v>48</v>
      </c>
      <c r="Q2263" s="24">
        <f>COUNTIFS(B:B,B2262)</f>
        <v>64</v>
      </c>
      <c r="R2263" s="24">
        <f>COUNTIFS(D:D,D2263)</f>
        <v>0</v>
      </c>
    </row>
    <row r="2264" spans="1:18" x14ac:dyDescent="0.3">
      <c r="A2264" s="14">
        <v>729</v>
      </c>
      <c r="B2264" s="21" t="s">
        <v>1897</v>
      </c>
      <c r="C2264" s="1" t="s">
        <v>923</v>
      </c>
      <c r="E2264" s="1" t="s">
        <v>1277</v>
      </c>
      <c r="F2264" s="21" t="s">
        <v>4</v>
      </c>
      <c r="G2264" s="14">
        <v>1</v>
      </c>
      <c r="H2264" s="14">
        <v>0</v>
      </c>
      <c r="I2264" s="22">
        <v>116</v>
      </c>
      <c r="J2264" s="23">
        <f>VLOOKUP(I2264,episodes!$A$1:$B$76,2,FALSE)</f>
        <v>17</v>
      </c>
      <c r="K2264" s="16" t="str">
        <f>VLOOKUP(I2264,episodes!$A$1:$E$81,5,FALSE)</f>
        <v>The Galileo Seven</v>
      </c>
      <c r="L2264" s="16">
        <f>VLOOKUP(I2264,episodes!$A$1:$D$81,3,FALSE)</f>
        <v>1</v>
      </c>
      <c r="M2264" s="16">
        <f>VLOOKUP(I2264,episodes!$A$1:$D$81,4,FALSE)</f>
        <v>16</v>
      </c>
      <c r="O2264" s="14">
        <v>0</v>
      </c>
      <c r="P2264" s="24">
        <f>LEN(E2264)+LEN(K2264)</f>
        <v>54</v>
      </c>
      <c r="Q2264" s="24">
        <f>COUNTIFS(B:B,B2263)</f>
        <v>64</v>
      </c>
      <c r="R2264" s="24">
        <f>COUNTIFS(D:D,D2264)</f>
        <v>0</v>
      </c>
    </row>
    <row r="2265" spans="1:18" x14ac:dyDescent="0.3">
      <c r="A2265" s="14">
        <v>668</v>
      </c>
      <c r="B2265" s="21" t="s">
        <v>1897</v>
      </c>
      <c r="C2265" s="1" t="s">
        <v>923</v>
      </c>
      <c r="E2265" s="1" t="s">
        <v>1251</v>
      </c>
      <c r="F2265" s="21" t="s">
        <v>4</v>
      </c>
      <c r="G2265" s="14">
        <v>1</v>
      </c>
      <c r="H2265" s="14">
        <v>0</v>
      </c>
      <c r="I2265" s="25">
        <v>110</v>
      </c>
      <c r="J2265" s="23">
        <f>VLOOKUP(I2265,episodes!$A$1:$B$76,2,FALSE)</f>
        <v>11</v>
      </c>
      <c r="K2265" s="16" t="str">
        <f>VLOOKUP(I2265,episodes!$A$1:$E$81,5,FALSE)</f>
        <v>The Corbomite Maneuver</v>
      </c>
      <c r="L2265" s="16">
        <f>VLOOKUP(I2265,episodes!$A$1:$D$81,3,FALSE)</f>
        <v>1</v>
      </c>
      <c r="M2265" s="16">
        <f>VLOOKUP(I2265,episodes!$A$1:$D$81,4,FALSE)</f>
        <v>10</v>
      </c>
      <c r="O2265" s="14">
        <v>0</v>
      </c>
      <c r="P2265" s="24">
        <f>LEN(E2265)+LEN(K2265)</f>
        <v>53</v>
      </c>
      <c r="Q2265" s="24">
        <f>COUNTIFS(B:B,B2264)</f>
        <v>64</v>
      </c>
      <c r="R2265" s="24">
        <f>COUNTIFS(D:D,D2265)</f>
        <v>0</v>
      </c>
    </row>
    <row r="2266" spans="1:18" x14ac:dyDescent="0.3">
      <c r="A2266" s="14">
        <v>587</v>
      </c>
      <c r="B2266" s="21" t="s">
        <v>1897</v>
      </c>
      <c r="C2266" s="1" t="s">
        <v>923</v>
      </c>
      <c r="E2266" s="1" t="s">
        <v>1223</v>
      </c>
      <c r="F2266" s="21" t="s">
        <v>4</v>
      </c>
      <c r="G2266" s="14">
        <v>1</v>
      </c>
      <c r="H2266" s="14">
        <v>0</v>
      </c>
      <c r="I2266" s="25">
        <v>104</v>
      </c>
      <c r="J2266" s="23">
        <f>VLOOKUP(I2266,episodes!$A$1:$B$76,2,FALSE)</f>
        <v>5</v>
      </c>
      <c r="K2266" s="16" t="str">
        <f>VLOOKUP(I2266,episodes!$A$1:$E$81,5,FALSE)</f>
        <v>The Naked Time</v>
      </c>
      <c r="L2266" s="16">
        <f>VLOOKUP(I2266,episodes!$A$1:$D$81,3,FALSE)</f>
        <v>1</v>
      </c>
      <c r="M2266" s="16">
        <f>VLOOKUP(I2266,episodes!$A$1:$D$81,4,FALSE)</f>
        <v>4</v>
      </c>
      <c r="O2266" s="14">
        <v>0</v>
      </c>
      <c r="P2266" s="24">
        <f>LEN(E2266)+LEN(K2266)</f>
        <v>46</v>
      </c>
      <c r="Q2266" s="24">
        <f>COUNTIFS(B:B,B2265)</f>
        <v>64</v>
      </c>
      <c r="R2266" s="24">
        <f>COUNTIFS(D:D,D2266)</f>
        <v>0</v>
      </c>
    </row>
    <row r="2267" spans="1:18" x14ac:dyDescent="0.3">
      <c r="A2267" s="14">
        <v>669</v>
      </c>
      <c r="B2267" s="21" t="s">
        <v>1897</v>
      </c>
      <c r="C2267" s="1" t="s">
        <v>923</v>
      </c>
      <c r="E2267" s="1" t="s">
        <v>1756</v>
      </c>
      <c r="F2267" s="21" t="s">
        <v>4</v>
      </c>
      <c r="G2267" s="14">
        <v>1</v>
      </c>
      <c r="H2267" s="14">
        <v>0</v>
      </c>
      <c r="I2267" s="25">
        <v>110</v>
      </c>
      <c r="J2267" s="23">
        <f>VLOOKUP(I2267,episodes!$A$1:$B$76,2,FALSE)</f>
        <v>11</v>
      </c>
      <c r="K2267" s="16" t="str">
        <f>VLOOKUP(I2267,episodes!$A$1:$E$81,5,FALSE)</f>
        <v>The Corbomite Maneuver</v>
      </c>
      <c r="L2267" s="16">
        <f>VLOOKUP(I2267,episodes!$A$1:$D$81,3,FALSE)</f>
        <v>1</v>
      </c>
      <c r="M2267" s="16">
        <f>VLOOKUP(I2267,episodes!$A$1:$D$81,4,FALSE)</f>
        <v>10</v>
      </c>
      <c r="O2267" s="14">
        <v>0</v>
      </c>
      <c r="P2267" s="24">
        <f>LEN(E2267)+LEN(K2267)</f>
        <v>70</v>
      </c>
      <c r="Q2267" s="24">
        <f>COUNTIFS(B:B,B2266)</f>
        <v>64</v>
      </c>
      <c r="R2267" s="24">
        <f>COUNTIFS(D:D,D2267)</f>
        <v>0</v>
      </c>
    </row>
    <row r="2268" spans="1:18" x14ac:dyDescent="0.3">
      <c r="A2268" s="14">
        <v>879</v>
      </c>
      <c r="B2268" s="21" t="s">
        <v>1897</v>
      </c>
      <c r="C2268" s="1" t="s">
        <v>923</v>
      </c>
      <c r="E2268" s="1" t="s">
        <v>1371</v>
      </c>
      <c r="F2268" s="21" t="s">
        <v>4</v>
      </c>
      <c r="G2268" s="14">
        <v>1</v>
      </c>
      <c r="H2268" s="14">
        <v>0</v>
      </c>
      <c r="I2268" s="22">
        <v>129</v>
      </c>
      <c r="J2268" s="23">
        <f>VLOOKUP(I2268,episodes!$A$1:$B$76,2,FALSE)</f>
        <v>30</v>
      </c>
      <c r="K2268" s="16" t="str">
        <f>VLOOKUP(I2268,episodes!$A$1:$E$81,5,FALSE)</f>
        <v>Operation: Annihilate!</v>
      </c>
      <c r="L2268" s="16">
        <f>VLOOKUP(I2268,episodes!$A$1:$D$81,3,FALSE)</f>
        <v>1</v>
      </c>
      <c r="M2268" s="16">
        <f>VLOOKUP(I2268,episodes!$A$1:$D$81,4,FALSE)</f>
        <v>29</v>
      </c>
      <c r="O2268" s="14">
        <v>0</v>
      </c>
      <c r="P2268" s="24">
        <f>LEN(E2268)+LEN(K2268)</f>
        <v>53</v>
      </c>
      <c r="Q2268" s="24">
        <f>COUNTIFS(B:B,B2267)</f>
        <v>64</v>
      </c>
      <c r="R2268" s="24">
        <f>COUNTIFS(D:D,D2268)</f>
        <v>0</v>
      </c>
    </row>
    <row r="2269" spans="1:18" x14ac:dyDescent="0.3">
      <c r="A2269" s="14">
        <v>671</v>
      </c>
      <c r="B2269" s="21" t="s">
        <v>1897</v>
      </c>
      <c r="C2269" s="1" t="s">
        <v>923</v>
      </c>
      <c r="E2269" s="1" t="s">
        <v>1253</v>
      </c>
      <c r="F2269" s="21" t="s">
        <v>4</v>
      </c>
      <c r="G2269" s="14">
        <v>1</v>
      </c>
      <c r="H2269" s="14">
        <v>0</v>
      </c>
      <c r="I2269" s="25">
        <v>110</v>
      </c>
      <c r="J2269" s="23">
        <f>VLOOKUP(I2269,episodes!$A$1:$B$76,2,FALSE)</f>
        <v>11</v>
      </c>
      <c r="K2269" s="16" t="str">
        <f>VLOOKUP(I2269,episodes!$A$1:$E$81,5,FALSE)</f>
        <v>The Corbomite Maneuver</v>
      </c>
      <c r="L2269" s="16">
        <f>VLOOKUP(I2269,episodes!$A$1:$D$81,3,FALSE)</f>
        <v>1</v>
      </c>
      <c r="M2269" s="16">
        <f>VLOOKUP(I2269,episodes!$A$1:$D$81,4,FALSE)</f>
        <v>10</v>
      </c>
      <c r="O2269" s="14">
        <v>0</v>
      </c>
      <c r="P2269" s="24">
        <f>LEN(E2269)+LEN(K2269)</f>
        <v>46</v>
      </c>
      <c r="Q2269" s="24">
        <f>COUNTIFS(B:B,B2268)</f>
        <v>64</v>
      </c>
      <c r="R2269" s="24">
        <f>COUNTIFS(D:D,D2269)</f>
        <v>0</v>
      </c>
    </row>
    <row r="2270" spans="1:18" x14ac:dyDescent="0.3">
      <c r="A2270" s="14">
        <v>750</v>
      </c>
      <c r="B2270" s="21" t="s">
        <v>1897</v>
      </c>
      <c r="C2270" s="1" t="s">
        <v>923</v>
      </c>
      <c r="E2270" s="1" t="s">
        <v>1291</v>
      </c>
      <c r="F2270" s="21" t="s">
        <v>4</v>
      </c>
      <c r="G2270" s="14">
        <v>1</v>
      </c>
      <c r="H2270" s="14">
        <v>0</v>
      </c>
      <c r="I2270" s="22">
        <v>118</v>
      </c>
      <c r="J2270" s="23">
        <f>VLOOKUP(I2270,episodes!$A$1:$B$76,2,FALSE)</f>
        <v>19</v>
      </c>
      <c r="K2270" s="16" t="str">
        <f>VLOOKUP(I2270,episodes!$A$1:$E$81,5,FALSE)</f>
        <v>Arena</v>
      </c>
      <c r="L2270" s="16">
        <f>VLOOKUP(I2270,episodes!$A$1:$D$81,3,FALSE)</f>
        <v>1</v>
      </c>
      <c r="M2270" s="16">
        <f>VLOOKUP(I2270,episodes!$A$1:$D$81,4,FALSE)</f>
        <v>18</v>
      </c>
      <c r="O2270" s="14">
        <v>0</v>
      </c>
      <c r="P2270" s="24">
        <f>LEN(E2270)+LEN(K2270)</f>
        <v>70</v>
      </c>
      <c r="Q2270" s="24">
        <f>COUNTIFS(B:B,B2269)</f>
        <v>64</v>
      </c>
      <c r="R2270" s="24">
        <f>COUNTIFS(D:D,D2270)</f>
        <v>0</v>
      </c>
    </row>
    <row r="2271" spans="1:18" x14ac:dyDescent="0.3">
      <c r="A2271" s="14">
        <v>777</v>
      </c>
      <c r="B2271" s="21" t="s">
        <v>1897</v>
      </c>
      <c r="C2271" s="1" t="s">
        <v>923</v>
      </c>
      <c r="E2271" s="1" t="s">
        <v>1305</v>
      </c>
      <c r="F2271" s="21" t="s">
        <v>4</v>
      </c>
      <c r="G2271" s="14">
        <v>1</v>
      </c>
      <c r="H2271" s="14">
        <v>0</v>
      </c>
      <c r="I2271" s="22">
        <v>120</v>
      </c>
      <c r="J2271" s="23">
        <f>VLOOKUP(I2271,episodes!$A$1:$B$76,2,FALSE)</f>
        <v>21</v>
      </c>
      <c r="K2271" s="16" t="str">
        <f>VLOOKUP(I2271,episodes!$A$1:$E$81,5,FALSE)</f>
        <v>Court Martial</v>
      </c>
      <c r="L2271" s="16">
        <f>VLOOKUP(I2271,episodes!$A$1:$D$81,3,FALSE)</f>
        <v>1</v>
      </c>
      <c r="M2271" s="16">
        <f>VLOOKUP(I2271,episodes!$A$1:$D$81,4,FALSE)</f>
        <v>20</v>
      </c>
      <c r="O2271" s="14">
        <v>0</v>
      </c>
      <c r="P2271" s="24">
        <f>LEN(E2271)+LEN(K2271)</f>
        <v>46</v>
      </c>
      <c r="Q2271" s="24">
        <f>COUNTIFS(B:B,B2270)</f>
        <v>64</v>
      </c>
      <c r="R2271" s="24">
        <f>COUNTIFS(D:D,D2271)</f>
        <v>0</v>
      </c>
    </row>
    <row r="2272" spans="1:18" x14ac:dyDescent="0.3">
      <c r="A2272" s="14">
        <v>1826</v>
      </c>
      <c r="B2272" s="21" t="s">
        <v>1897</v>
      </c>
      <c r="C2272" s="1" t="s">
        <v>923</v>
      </c>
      <c r="E2272" s="1" t="s">
        <v>1200</v>
      </c>
      <c r="F2272" s="21" t="s">
        <v>2231</v>
      </c>
      <c r="G2272" s="14">
        <v>0</v>
      </c>
      <c r="H2272" s="14">
        <v>0</v>
      </c>
      <c r="I2272" s="25">
        <v>100</v>
      </c>
      <c r="J2272" s="23">
        <f>VLOOKUP(I2272,episodes!$A$1:$B$76,2,FALSE)</f>
        <v>1</v>
      </c>
      <c r="K2272" s="16" t="str">
        <f>VLOOKUP(I2272,episodes!$A$1:$E$81,5,FALSE)</f>
        <v>The Cage</v>
      </c>
      <c r="L2272" s="16">
        <f>VLOOKUP(I2272,episodes!$A$1:$D$81,3,FALSE)</f>
        <v>1</v>
      </c>
      <c r="M2272" s="16">
        <f>VLOOKUP(I2272,episodes!$A$1:$D$81,4,FALSE)</f>
        <v>0</v>
      </c>
      <c r="O2272" s="14">
        <v>0</v>
      </c>
      <c r="P2272" s="24">
        <f>LEN(E2272)+LEN(K2272)</f>
        <v>48</v>
      </c>
      <c r="Q2272" s="24">
        <f>COUNTIFS(B:B,B2271)</f>
        <v>64</v>
      </c>
      <c r="R2272" s="24">
        <f>COUNTIFS(D:D,D2272)</f>
        <v>0</v>
      </c>
    </row>
    <row r="2273" spans="1:18" x14ac:dyDescent="0.3">
      <c r="A2273" s="14">
        <v>2290</v>
      </c>
      <c r="B2273" s="21" t="s">
        <v>1897</v>
      </c>
      <c r="C2273" s="21" t="s">
        <v>923</v>
      </c>
      <c r="D2273" s="21"/>
      <c r="E2273" s="1" t="s">
        <v>1898</v>
      </c>
      <c r="F2273" s="21" t="s">
        <v>5</v>
      </c>
      <c r="G2273" s="14">
        <v>1</v>
      </c>
      <c r="H2273" s="14">
        <v>0</v>
      </c>
      <c r="I2273" s="22">
        <v>210</v>
      </c>
      <c r="J2273" s="23">
        <f>VLOOKUP(I2273,episodes!$A$1:$B$81,2,FALSE)</f>
        <v>40</v>
      </c>
      <c r="K2273" s="16" t="str">
        <f>VLOOKUP(I2273,episodes!$A$1:$E$81,5,FALSE)</f>
        <v>Journey to Babel</v>
      </c>
      <c r="L2273" s="16">
        <f>VLOOKUP(I2273,episodes!$A$1:$D$81,3,FALSE)</f>
        <v>2</v>
      </c>
      <c r="M2273" s="16">
        <f>VLOOKUP(I2273,episodes!$A$1:$D$81,4,FALSE)</f>
        <v>10</v>
      </c>
      <c r="O2273" s="14">
        <v>0</v>
      </c>
      <c r="P2273" s="24">
        <f>LEN(E2273)+LEN(K2273)</f>
        <v>67</v>
      </c>
      <c r="Q2273" s="24">
        <f>COUNTIFS(B:B,B2272)</f>
        <v>64</v>
      </c>
      <c r="R2273" s="24">
        <f>COUNTIFS(D:D,D2273)</f>
        <v>0</v>
      </c>
    </row>
    <row r="2274" spans="1:18" x14ac:dyDescent="0.3">
      <c r="A2274" s="14">
        <v>2443</v>
      </c>
      <c r="B2274" s="21" t="s">
        <v>1897</v>
      </c>
      <c r="C2274" s="1" t="s">
        <v>923</v>
      </c>
      <c r="E2274" s="1" t="s">
        <v>1298</v>
      </c>
      <c r="F2274" s="21" t="s">
        <v>1861</v>
      </c>
      <c r="G2274" s="14">
        <v>0</v>
      </c>
      <c r="H2274" s="14">
        <v>1</v>
      </c>
      <c r="I2274" s="22">
        <v>119</v>
      </c>
      <c r="J2274" s="23">
        <f>VLOOKUP(I2274,episodes!$A$1:$B$76,2,FALSE)</f>
        <v>20</v>
      </c>
      <c r="K2274" s="16" t="str">
        <f>VLOOKUP(I2274,episodes!$A$1:$E$81,5,FALSE)</f>
        <v>Tomorrow Is Yesterday</v>
      </c>
      <c r="L2274" s="16">
        <f>VLOOKUP(I2274,episodes!$A$1:$D$81,3,FALSE)</f>
        <v>1</v>
      </c>
      <c r="M2274" s="16">
        <f>VLOOKUP(I2274,episodes!$A$1:$D$81,4,FALSE)</f>
        <v>19</v>
      </c>
      <c r="O2274" s="14">
        <v>0</v>
      </c>
      <c r="P2274" s="24">
        <f>LEN(E2274)+LEN(K2274)</f>
        <v>65</v>
      </c>
      <c r="Q2274" s="24">
        <f>COUNTIFS(B:B,B2273)</f>
        <v>64</v>
      </c>
      <c r="R2274" s="24">
        <f>COUNTIFS(D:D,D2274)</f>
        <v>0</v>
      </c>
    </row>
    <row r="2275" spans="1:18" x14ac:dyDescent="0.3">
      <c r="A2275" s="14">
        <v>2437</v>
      </c>
      <c r="B2275" s="21" t="s">
        <v>1897</v>
      </c>
      <c r="C2275" s="1" t="s">
        <v>923</v>
      </c>
      <c r="E2275" s="1" t="s">
        <v>1267</v>
      </c>
      <c r="F2275" s="21" t="s">
        <v>1861</v>
      </c>
      <c r="G2275" s="14">
        <v>0</v>
      </c>
      <c r="H2275" s="14">
        <v>1</v>
      </c>
      <c r="I2275" s="22">
        <v>114</v>
      </c>
      <c r="J2275" s="23">
        <f>VLOOKUP(I2275,episodes!$A$1:$B$76,2,FALSE)</f>
        <v>15</v>
      </c>
      <c r="K2275" s="16" t="str">
        <f>VLOOKUP(I2275,episodes!$A$1:$E$81,5,FALSE)</f>
        <v>Balance of Terror</v>
      </c>
      <c r="L2275" s="16">
        <f>VLOOKUP(I2275,episodes!$A$1:$D$81,3,FALSE)</f>
        <v>1</v>
      </c>
      <c r="M2275" s="16">
        <f>VLOOKUP(I2275,episodes!$A$1:$D$81,4,FALSE)</f>
        <v>14</v>
      </c>
      <c r="O2275" s="14">
        <v>0</v>
      </c>
      <c r="P2275" s="24">
        <f>LEN(E2275)+LEN(K2275)</f>
        <v>48</v>
      </c>
      <c r="Q2275" s="24">
        <f>COUNTIFS(B:B,B2274)</f>
        <v>64</v>
      </c>
      <c r="R2275" s="24">
        <f>COUNTIFS(D:D,D2275)</f>
        <v>0</v>
      </c>
    </row>
    <row r="2276" spans="1:18" x14ac:dyDescent="0.3">
      <c r="A2276" s="14">
        <v>2453</v>
      </c>
      <c r="B2276" s="21" t="s">
        <v>1897</v>
      </c>
      <c r="C2276" s="1" t="s">
        <v>923</v>
      </c>
      <c r="E2276" s="1" t="s">
        <v>1397</v>
      </c>
      <c r="F2276" s="21" t="s">
        <v>1861</v>
      </c>
      <c r="G2276" s="14">
        <v>0</v>
      </c>
      <c r="H2276" s="14">
        <v>1</v>
      </c>
      <c r="I2276" s="25">
        <v>203</v>
      </c>
      <c r="J2276" s="23">
        <f>VLOOKUP(I2276,episodes!$A$1:$B$76,2,FALSE)</f>
        <v>33</v>
      </c>
      <c r="K2276" s="16" t="str">
        <f>VLOOKUP(I2276,episodes!$A$1:$E$81,5,FALSE)</f>
        <v>The Changeling</v>
      </c>
      <c r="L2276" s="16">
        <f>VLOOKUP(I2276,episodes!$A$1:$D$81,3,FALSE)</f>
        <v>2</v>
      </c>
      <c r="M2276" s="16">
        <f>VLOOKUP(I2276,episodes!$A$1:$D$81,4,FALSE)</f>
        <v>3</v>
      </c>
      <c r="O2276" s="14">
        <v>0</v>
      </c>
      <c r="P2276" s="24">
        <f>LEN(E2276)+LEN(K2276)</f>
        <v>62</v>
      </c>
      <c r="Q2276" s="24">
        <f>COUNTIFS(B:B,B2275)</f>
        <v>64</v>
      </c>
      <c r="R2276" s="24">
        <f>COUNTIFS(D:D,D2276)</f>
        <v>0</v>
      </c>
    </row>
    <row r="2277" spans="1:18" x14ac:dyDescent="0.3">
      <c r="A2277" s="14">
        <v>2833</v>
      </c>
      <c r="B2277" s="21" t="s">
        <v>332</v>
      </c>
      <c r="C2277" s="21" t="s">
        <v>2605</v>
      </c>
      <c r="D2277" s="21" t="s">
        <v>2931</v>
      </c>
      <c r="E2277" s="1" t="s">
        <v>2941</v>
      </c>
      <c r="F2277" s="21" t="s">
        <v>2225</v>
      </c>
      <c r="G2277" s="14">
        <v>0</v>
      </c>
      <c r="H2277" s="14">
        <v>0</v>
      </c>
      <c r="I2277" s="25">
        <v>206</v>
      </c>
      <c r="J2277" s="23">
        <f>VLOOKUP(I2277,episodes!$A$1:$B$81,2,FALSE)</f>
        <v>36</v>
      </c>
      <c r="K2277" s="16" t="str">
        <f>VLOOKUP(I2277,episodes!$A$1:$E$81,5,FALSE)</f>
        <v>The Doomsday Machine</v>
      </c>
      <c r="L2277" s="16">
        <f>VLOOKUP(I2277,episodes!$A$1:$D$81,3,FALSE)</f>
        <v>2</v>
      </c>
      <c r="M2277" s="16">
        <f>VLOOKUP(I2277,episodes!$A$1:$D$81,4,FALSE)</f>
        <v>6</v>
      </c>
      <c r="O2277" s="14">
        <v>0</v>
      </c>
      <c r="P2277" s="24">
        <f>LEN(E2277)+LEN(K2277)</f>
        <v>60</v>
      </c>
      <c r="Q2277" s="24">
        <f>COUNTIFS(B:B,B2276)</f>
        <v>64</v>
      </c>
      <c r="R2277" s="24">
        <f>COUNTIFS(D:D,D2277)</f>
        <v>5</v>
      </c>
    </row>
    <row r="2278" spans="1:18" x14ac:dyDescent="0.3">
      <c r="A2278" s="14">
        <v>2834</v>
      </c>
      <c r="B2278" s="21" t="s">
        <v>332</v>
      </c>
      <c r="C2278" s="21" t="s">
        <v>2605</v>
      </c>
      <c r="D2278" s="21" t="s">
        <v>2931</v>
      </c>
      <c r="E2278" s="1" t="s">
        <v>2942</v>
      </c>
      <c r="F2278" s="21" t="s">
        <v>2225</v>
      </c>
      <c r="G2278" s="14">
        <v>0</v>
      </c>
      <c r="H2278" s="14">
        <v>0</v>
      </c>
      <c r="I2278" s="25">
        <v>206</v>
      </c>
      <c r="J2278" s="23">
        <f>VLOOKUP(I2278,episodes!$A$1:$B$81,2,FALSE)</f>
        <v>36</v>
      </c>
      <c r="K2278" s="16" t="str">
        <f>VLOOKUP(I2278,episodes!$A$1:$E$81,5,FALSE)</f>
        <v>The Doomsday Machine</v>
      </c>
      <c r="L2278" s="16">
        <f>VLOOKUP(I2278,episodes!$A$1:$D$81,3,FALSE)</f>
        <v>2</v>
      </c>
      <c r="M2278" s="16">
        <f>VLOOKUP(I2278,episodes!$A$1:$D$81,4,FALSE)</f>
        <v>6</v>
      </c>
      <c r="O2278" s="14">
        <v>0</v>
      </c>
      <c r="P2278" s="24">
        <f>LEN(E2278)+LEN(K2278)</f>
        <v>60</v>
      </c>
      <c r="Q2278" s="24">
        <f>COUNTIFS(B:B,B2277)</f>
        <v>109</v>
      </c>
      <c r="R2278" s="24">
        <f>COUNTIFS(D:D,D2278)</f>
        <v>5</v>
      </c>
    </row>
    <row r="2279" spans="1:18" x14ac:dyDescent="0.3">
      <c r="A2279" s="14">
        <v>2835</v>
      </c>
      <c r="B2279" s="21" t="s">
        <v>332</v>
      </c>
      <c r="C2279" s="21" t="s">
        <v>2605</v>
      </c>
      <c r="D2279" s="21" t="s">
        <v>2931</v>
      </c>
      <c r="E2279" s="1" t="s">
        <v>2943</v>
      </c>
      <c r="F2279" s="21" t="s">
        <v>2225</v>
      </c>
      <c r="G2279" s="14">
        <v>0</v>
      </c>
      <c r="H2279" s="14">
        <v>0</v>
      </c>
      <c r="I2279" s="25">
        <v>206</v>
      </c>
      <c r="J2279" s="23">
        <f>VLOOKUP(I2279,episodes!$A$1:$B$81,2,FALSE)</f>
        <v>36</v>
      </c>
      <c r="K2279" s="16" t="str">
        <f>VLOOKUP(I2279,episodes!$A$1:$E$81,5,FALSE)</f>
        <v>The Doomsday Machine</v>
      </c>
      <c r="L2279" s="16">
        <f>VLOOKUP(I2279,episodes!$A$1:$D$81,3,FALSE)</f>
        <v>2</v>
      </c>
      <c r="M2279" s="16">
        <f>VLOOKUP(I2279,episodes!$A$1:$D$81,4,FALSE)</f>
        <v>6</v>
      </c>
      <c r="O2279" s="14">
        <v>0</v>
      </c>
      <c r="P2279" s="24">
        <f>LEN(E2279)+LEN(K2279)</f>
        <v>60</v>
      </c>
      <c r="Q2279" s="24">
        <f>COUNTIFS(B:B,B2278)</f>
        <v>109</v>
      </c>
      <c r="R2279" s="24">
        <f>COUNTIFS(D:D,D2279)</f>
        <v>5</v>
      </c>
    </row>
    <row r="2280" spans="1:18" x14ac:dyDescent="0.3">
      <c r="A2280" s="14">
        <v>2836</v>
      </c>
      <c r="B2280" s="21" t="s">
        <v>332</v>
      </c>
      <c r="C2280" s="21" t="s">
        <v>2605</v>
      </c>
      <c r="D2280" s="21" t="s">
        <v>2931</v>
      </c>
      <c r="E2280" s="1" t="s">
        <v>2944</v>
      </c>
      <c r="F2280" s="21" t="s">
        <v>2225</v>
      </c>
      <c r="G2280" s="14">
        <v>0</v>
      </c>
      <c r="H2280" s="14">
        <v>0</v>
      </c>
      <c r="I2280" s="25">
        <v>206</v>
      </c>
      <c r="J2280" s="23">
        <f>VLOOKUP(I2280,episodes!$A$1:$B$81,2,FALSE)</f>
        <v>36</v>
      </c>
      <c r="K2280" s="16" t="str">
        <f>VLOOKUP(I2280,episodes!$A$1:$E$81,5,FALSE)</f>
        <v>The Doomsday Machine</v>
      </c>
      <c r="L2280" s="16">
        <f>VLOOKUP(I2280,episodes!$A$1:$D$81,3,FALSE)</f>
        <v>2</v>
      </c>
      <c r="M2280" s="16">
        <f>VLOOKUP(I2280,episodes!$A$1:$D$81,4,FALSE)</f>
        <v>6</v>
      </c>
      <c r="O2280" s="14">
        <v>0</v>
      </c>
      <c r="P2280" s="24">
        <f>LEN(E2280)+LEN(K2280)</f>
        <v>60</v>
      </c>
      <c r="Q2280" s="24">
        <f>COUNTIFS(B:B,B2279)</f>
        <v>109</v>
      </c>
      <c r="R2280" s="24">
        <f>COUNTIFS(D:D,D2280)</f>
        <v>5</v>
      </c>
    </row>
    <row r="2281" spans="1:18" x14ac:dyDescent="0.3">
      <c r="A2281" s="14">
        <v>2843</v>
      </c>
      <c r="B2281" s="21" t="s">
        <v>366</v>
      </c>
      <c r="C2281" s="21" t="s">
        <v>2605</v>
      </c>
      <c r="D2281" s="21" t="s">
        <v>2931</v>
      </c>
      <c r="E2281" s="1" t="s">
        <v>1669</v>
      </c>
      <c r="F2281" s="21" t="s">
        <v>2225</v>
      </c>
      <c r="G2281" s="14">
        <v>0</v>
      </c>
      <c r="H2281" s="14">
        <v>0</v>
      </c>
      <c r="I2281" s="22">
        <v>206</v>
      </c>
      <c r="J2281" s="23">
        <f>VLOOKUP(I2281,episodes!$A$1:$B$81,2,FALSE)</f>
        <v>36</v>
      </c>
      <c r="K2281" s="16" t="str">
        <f>VLOOKUP(I2281,episodes!$A$1:$E$81,5,FALSE)</f>
        <v>The Doomsday Machine</v>
      </c>
      <c r="L2281" s="16">
        <f>VLOOKUP(I2281,episodes!$A$1:$D$81,3,FALSE)</f>
        <v>2</v>
      </c>
      <c r="M2281" s="16">
        <f>VLOOKUP(I2281,episodes!$A$1:$D$81,4,FALSE)</f>
        <v>6</v>
      </c>
      <c r="O2281" s="14">
        <v>0</v>
      </c>
      <c r="P2281" s="24">
        <f>LEN(E2281)+LEN(K2281)</f>
        <v>70</v>
      </c>
      <c r="Q2281" s="24">
        <f>COUNTIFS(B:B,B2280)</f>
        <v>109</v>
      </c>
      <c r="R2281" s="24">
        <f>COUNTIFS(D:D,D2281)</f>
        <v>5</v>
      </c>
    </row>
    <row r="2282" spans="1:18" x14ac:dyDescent="0.3">
      <c r="A2282" s="14">
        <v>2792</v>
      </c>
      <c r="B2282" s="21" t="s">
        <v>332</v>
      </c>
      <c r="C2282" s="21" t="s">
        <v>2605</v>
      </c>
      <c r="D2282" s="21" t="s">
        <v>2608</v>
      </c>
      <c r="E2282" s="1" t="s">
        <v>2119</v>
      </c>
      <c r="F2282" s="21" t="s">
        <v>2225</v>
      </c>
      <c r="G2282" s="14">
        <v>0</v>
      </c>
      <c r="H2282" s="14">
        <v>0</v>
      </c>
      <c r="I2282" s="22">
        <v>123</v>
      </c>
      <c r="J2282" s="23">
        <f>VLOOKUP(I2282,episodes!$A$1:$B$76,2,FALSE)</f>
        <v>24</v>
      </c>
      <c r="K2282" s="16" t="str">
        <f>VLOOKUP(I2282,episodes!$A$1:$E$81,5,FALSE)</f>
        <v>A Taste of Armageddon</v>
      </c>
      <c r="L2282" s="16">
        <f>VLOOKUP(I2282,episodes!$A$1:$D$81,3,FALSE)</f>
        <v>1</v>
      </c>
      <c r="M2282" s="16">
        <f>VLOOKUP(I2282,episodes!$A$1:$D$81,4,FALSE)</f>
        <v>23</v>
      </c>
      <c r="O2282" s="14">
        <v>0</v>
      </c>
      <c r="P2282" s="24">
        <f>LEN(E2282)+LEN(K2282)</f>
        <v>57</v>
      </c>
      <c r="Q2282" s="24">
        <f>COUNTIFS(B:B,B2281)</f>
        <v>2</v>
      </c>
      <c r="R2282" s="24">
        <f>COUNTIFS(D:D,D2282)</f>
        <v>7</v>
      </c>
    </row>
    <row r="2283" spans="1:18" x14ac:dyDescent="0.3">
      <c r="A2283" s="14">
        <v>2773</v>
      </c>
      <c r="B2283" s="21" t="s">
        <v>332</v>
      </c>
      <c r="C2283" s="21" t="s">
        <v>2605</v>
      </c>
      <c r="D2283" s="21" t="s">
        <v>2608</v>
      </c>
      <c r="E2283" s="1" t="s">
        <v>2118</v>
      </c>
      <c r="F2283" s="21" t="s">
        <v>2225</v>
      </c>
      <c r="G2283" s="14">
        <v>0</v>
      </c>
      <c r="H2283" s="14">
        <v>0</v>
      </c>
      <c r="I2283" s="22">
        <v>118</v>
      </c>
      <c r="J2283" s="23">
        <f>VLOOKUP(I2283,episodes!$A$1:$B$76,2,FALSE)</f>
        <v>19</v>
      </c>
      <c r="K2283" s="16" t="str">
        <f>VLOOKUP(I2283,episodes!$A$1:$E$81,5,FALSE)</f>
        <v>Arena</v>
      </c>
      <c r="L2283" s="16">
        <f>VLOOKUP(I2283,episodes!$A$1:$D$81,3,FALSE)</f>
        <v>1</v>
      </c>
      <c r="M2283" s="16">
        <f>VLOOKUP(I2283,episodes!$A$1:$D$81,4,FALSE)</f>
        <v>18</v>
      </c>
      <c r="O2283" s="14">
        <v>0</v>
      </c>
      <c r="P2283" s="24">
        <f>LEN(E2283)+LEN(K2283)</f>
        <v>52</v>
      </c>
      <c r="Q2283" s="24">
        <f>COUNTIFS(B:B,B2282)</f>
        <v>109</v>
      </c>
      <c r="R2283" s="24">
        <f>COUNTIFS(D:D,D2283)</f>
        <v>7</v>
      </c>
    </row>
    <row r="2284" spans="1:18" x14ac:dyDescent="0.3">
      <c r="A2284" s="14">
        <v>816</v>
      </c>
      <c r="B2284" s="21" t="s">
        <v>332</v>
      </c>
      <c r="C2284" s="21" t="s">
        <v>2605</v>
      </c>
      <c r="D2284" s="21" t="s">
        <v>2608</v>
      </c>
      <c r="E2284" s="1" t="s">
        <v>2120</v>
      </c>
      <c r="F2284" s="21" t="s">
        <v>4</v>
      </c>
      <c r="G2284" s="14">
        <v>1</v>
      </c>
      <c r="H2284" s="14">
        <v>0</v>
      </c>
      <c r="I2284" s="22">
        <v>123</v>
      </c>
      <c r="J2284" s="23">
        <f>VLOOKUP(I2284,episodes!$A$1:$B$76,2,FALSE)</f>
        <v>24</v>
      </c>
      <c r="K2284" s="16" t="str">
        <f>VLOOKUP(I2284,episodes!$A$1:$E$81,5,FALSE)</f>
        <v>A Taste of Armageddon</v>
      </c>
      <c r="L2284" s="16">
        <f>VLOOKUP(I2284,episodes!$A$1:$D$81,3,FALSE)</f>
        <v>1</v>
      </c>
      <c r="M2284" s="16">
        <f>VLOOKUP(I2284,episodes!$A$1:$D$81,4,FALSE)</f>
        <v>23</v>
      </c>
      <c r="O2284" s="14">
        <v>0</v>
      </c>
      <c r="P2284" s="24">
        <f>LEN(E2284)+LEN(K2284)</f>
        <v>82</v>
      </c>
      <c r="Q2284" s="24">
        <f>COUNTIFS(B:B,B2283)</f>
        <v>109</v>
      </c>
      <c r="R2284" s="24">
        <f>COUNTIFS(D:D,D2284)</f>
        <v>7</v>
      </c>
    </row>
    <row r="2285" spans="1:18" x14ac:dyDescent="0.3">
      <c r="A2285" s="14">
        <v>2141</v>
      </c>
      <c r="B2285" s="21" t="s">
        <v>332</v>
      </c>
      <c r="C2285" s="21" t="s">
        <v>2605</v>
      </c>
      <c r="D2285" s="21" t="s">
        <v>2608</v>
      </c>
      <c r="E2285" s="1" t="s">
        <v>2121</v>
      </c>
      <c r="F2285" s="21" t="s">
        <v>5</v>
      </c>
      <c r="G2285" s="14">
        <v>1</v>
      </c>
      <c r="H2285" s="14">
        <v>0</v>
      </c>
      <c r="I2285" s="22">
        <v>123</v>
      </c>
      <c r="J2285" s="23">
        <f>VLOOKUP(I2285,episodes!$A$1:$B$76,2,FALSE)</f>
        <v>24</v>
      </c>
      <c r="K2285" s="16" t="str">
        <f>VLOOKUP(I2285,episodes!$A$1:$E$81,5,FALSE)</f>
        <v>A Taste of Armageddon</v>
      </c>
      <c r="L2285" s="16">
        <f>VLOOKUP(I2285,episodes!$A$1:$D$81,3,FALSE)</f>
        <v>1</v>
      </c>
      <c r="M2285" s="16">
        <f>VLOOKUP(I2285,episodes!$A$1:$D$81,4,FALSE)</f>
        <v>23</v>
      </c>
      <c r="O2285" s="14">
        <v>0</v>
      </c>
      <c r="P2285" s="24">
        <f>LEN(E2285)+LEN(K2285)</f>
        <v>64</v>
      </c>
      <c r="Q2285" s="24">
        <f>COUNTIFS(B:B,B2284)</f>
        <v>109</v>
      </c>
      <c r="R2285" s="24">
        <f>COUNTIFS(D:D,D2285)</f>
        <v>7</v>
      </c>
    </row>
    <row r="2286" spans="1:18" x14ac:dyDescent="0.3">
      <c r="A2286" s="14">
        <v>2142</v>
      </c>
      <c r="B2286" s="21" t="s">
        <v>332</v>
      </c>
      <c r="C2286" s="21" t="s">
        <v>2605</v>
      </c>
      <c r="D2286" s="21" t="s">
        <v>2608</v>
      </c>
      <c r="E2286" s="1" t="s">
        <v>2122</v>
      </c>
      <c r="F2286" s="21" t="s">
        <v>5</v>
      </c>
      <c r="G2286" s="14">
        <v>1</v>
      </c>
      <c r="H2286" s="14">
        <v>0</v>
      </c>
      <c r="I2286" s="22">
        <v>123</v>
      </c>
      <c r="J2286" s="23">
        <f>VLOOKUP(I2286,episodes!$A$1:$B$76,2,FALSE)</f>
        <v>24</v>
      </c>
      <c r="K2286" s="16" t="str">
        <f>VLOOKUP(I2286,episodes!$A$1:$E$81,5,FALSE)</f>
        <v>A Taste of Armageddon</v>
      </c>
      <c r="L2286" s="16">
        <f>VLOOKUP(I2286,episodes!$A$1:$D$81,3,FALSE)</f>
        <v>1</v>
      </c>
      <c r="M2286" s="16">
        <f>VLOOKUP(I2286,episodes!$A$1:$D$81,4,FALSE)</f>
        <v>23</v>
      </c>
      <c r="O2286" s="14">
        <v>0</v>
      </c>
      <c r="P2286" s="24">
        <f>LEN(E2286)+LEN(K2286)</f>
        <v>83</v>
      </c>
      <c r="Q2286" s="24">
        <f>COUNTIFS(B:B,B2285)</f>
        <v>109</v>
      </c>
      <c r="R2286" s="24">
        <f>COUNTIFS(D:D,D2286)</f>
        <v>7</v>
      </c>
    </row>
    <row r="2287" spans="1:18" x14ac:dyDescent="0.3">
      <c r="A2287" s="14">
        <v>2143</v>
      </c>
      <c r="B2287" s="21" t="s">
        <v>332</v>
      </c>
      <c r="C2287" s="21" t="s">
        <v>2605</v>
      </c>
      <c r="D2287" s="21" t="s">
        <v>2608</v>
      </c>
      <c r="E2287" s="1" t="s">
        <v>2959</v>
      </c>
      <c r="F2287" s="21" t="s">
        <v>5</v>
      </c>
      <c r="G2287" s="14">
        <v>1</v>
      </c>
      <c r="H2287" s="14">
        <v>0</v>
      </c>
      <c r="I2287" s="22">
        <v>123</v>
      </c>
      <c r="J2287" s="23">
        <f>VLOOKUP(I2287,episodes!$A$1:$B$76,2,FALSE)</f>
        <v>24</v>
      </c>
      <c r="K2287" s="16" t="str">
        <f>VLOOKUP(I2287,episodes!$A$1:$E$81,5,FALSE)</f>
        <v>A Taste of Armageddon</v>
      </c>
      <c r="L2287" s="16">
        <f>VLOOKUP(I2287,episodes!$A$1:$D$81,3,FALSE)</f>
        <v>1</v>
      </c>
      <c r="M2287" s="16">
        <f>VLOOKUP(I2287,episodes!$A$1:$D$81,4,FALSE)</f>
        <v>23</v>
      </c>
      <c r="O2287" s="14">
        <v>0</v>
      </c>
      <c r="P2287" s="24">
        <f>LEN(E2287)+LEN(K2287)</f>
        <v>50</v>
      </c>
      <c r="Q2287" s="24">
        <f>COUNTIFS(B:B,B2286)</f>
        <v>109</v>
      </c>
      <c r="R2287" s="24">
        <f>COUNTIFS(D:D,D2287)</f>
        <v>7</v>
      </c>
    </row>
    <row r="2288" spans="1:18" x14ac:dyDescent="0.3">
      <c r="A2288" s="14">
        <v>2144</v>
      </c>
      <c r="B2288" s="21" t="s">
        <v>332</v>
      </c>
      <c r="C2288" s="21" t="s">
        <v>2605</v>
      </c>
      <c r="D2288" s="21" t="s">
        <v>2608</v>
      </c>
      <c r="E2288" s="1" t="s">
        <v>2960</v>
      </c>
      <c r="F2288" s="21" t="s">
        <v>5</v>
      </c>
      <c r="G2288" s="14">
        <v>1</v>
      </c>
      <c r="H2288" s="14">
        <v>0</v>
      </c>
      <c r="I2288" s="22">
        <v>123</v>
      </c>
      <c r="J2288" s="23">
        <f>VLOOKUP(I2288,episodes!$A$1:$B$76,2,FALSE)</f>
        <v>24</v>
      </c>
      <c r="K2288" s="16" t="str">
        <f>VLOOKUP(I2288,episodes!$A$1:$E$81,5,FALSE)</f>
        <v>A Taste of Armageddon</v>
      </c>
      <c r="L2288" s="16">
        <f>VLOOKUP(I2288,episodes!$A$1:$D$81,3,FALSE)</f>
        <v>1</v>
      </c>
      <c r="M2288" s="16">
        <f>VLOOKUP(I2288,episodes!$A$1:$D$81,4,FALSE)</f>
        <v>23</v>
      </c>
      <c r="O2288" s="14">
        <v>0</v>
      </c>
      <c r="P2288" s="24">
        <f>LEN(E2288)+LEN(K2288)</f>
        <v>50</v>
      </c>
      <c r="Q2288" s="24">
        <f>COUNTIFS(B:B,B2287)</f>
        <v>109</v>
      </c>
      <c r="R2288" s="24">
        <f>COUNTIFS(D:D,D2288)</f>
        <v>7</v>
      </c>
    </row>
    <row r="2289" spans="1:18" x14ac:dyDescent="0.3">
      <c r="A2289" s="14">
        <v>303</v>
      </c>
      <c r="B2289" s="21" t="s">
        <v>332</v>
      </c>
      <c r="C2289" s="21" t="s">
        <v>2605</v>
      </c>
      <c r="D2289" s="21" t="s">
        <v>2609</v>
      </c>
      <c r="E2289" s="1" t="s">
        <v>2123</v>
      </c>
      <c r="F2289" s="21" t="s">
        <v>2224</v>
      </c>
      <c r="G2289" s="14">
        <v>0</v>
      </c>
      <c r="H2289" s="14">
        <v>0</v>
      </c>
      <c r="I2289" s="22">
        <v>121</v>
      </c>
      <c r="J2289" s="23">
        <f>VLOOKUP(I2289,episodes!$A$1:$B$76,2,FALSE)</f>
        <v>22</v>
      </c>
      <c r="K2289" s="16" t="str">
        <f>VLOOKUP(I2289,episodes!$A$1:$E$81,5,FALSE)</f>
        <v>The Return of the Archons</v>
      </c>
      <c r="L2289" s="16">
        <f>VLOOKUP(I2289,episodes!$A$1:$D$81,3,FALSE)</f>
        <v>1</v>
      </c>
      <c r="M2289" s="16">
        <f>VLOOKUP(I2289,episodes!$A$1:$D$81,4,FALSE)</f>
        <v>21</v>
      </c>
      <c r="O2289" s="14">
        <v>0</v>
      </c>
      <c r="P2289" s="24">
        <f>LEN(E2289)+LEN(K2289)</f>
        <v>90</v>
      </c>
      <c r="Q2289" s="24">
        <f>COUNTIFS(B:B,B2288)</f>
        <v>109</v>
      </c>
      <c r="R2289" s="24">
        <f>COUNTIFS(D:D,D2289)</f>
        <v>2</v>
      </c>
    </row>
    <row r="2290" spans="1:18" x14ac:dyDescent="0.3">
      <c r="A2290" s="14">
        <v>27</v>
      </c>
      <c r="B2290" s="21" t="s">
        <v>332</v>
      </c>
      <c r="C2290" s="21" t="s">
        <v>2605</v>
      </c>
      <c r="D2290" s="21" t="s">
        <v>2930</v>
      </c>
      <c r="E2290" s="1" t="s">
        <v>710</v>
      </c>
      <c r="F2290" s="21" t="s">
        <v>2</v>
      </c>
      <c r="G2290" s="14">
        <v>0</v>
      </c>
      <c r="H2290" s="14">
        <v>0</v>
      </c>
      <c r="I2290" s="22">
        <v>126</v>
      </c>
      <c r="J2290" s="23">
        <f>VLOOKUP(I2290,episodes!$A$1:$B$76,2,FALSE)</f>
        <v>27</v>
      </c>
      <c r="K2290" s="16" t="str">
        <f>VLOOKUP(I2290,episodes!$A$1:$E$81,5,FALSE)</f>
        <v>Errand of Mercy</v>
      </c>
      <c r="L2290" s="16">
        <f>VLOOKUP(I2290,episodes!$A$1:$D$81,3,FALSE)</f>
        <v>1</v>
      </c>
      <c r="M2290" s="16">
        <f>VLOOKUP(I2290,episodes!$A$1:$D$81,4,FALSE)</f>
        <v>26</v>
      </c>
      <c r="O2290" s="14">
        <v>0</v>
      </c>
      <c r="P2290" s="24">
        <f>LEN(E2290)+LEN(K2290)</f>
        <v>84</v>
      </c>
      <c r="Q2290" s="24">
        <f>COUNTIFS(B:B,B2289)</f>
        <v>109</v>
      </c>
      <c r="R2290" s="24">
        <f>COUNTIFS(D:D,D2290)</f>
        <v>3</v>
      </c>
    </row>
    <row r="2291" spans="1:18" x14ac:dyDescent="0.3">
      <c r="A2291" s="14">
        <v>1456</v>
      </c>
      <c r="B2291" s="21" t="s">
        <v>332</v>
      </c>
      <c r="C2291" s="21" t="s">
        <v>2605</v>
      </c>
      <c r="D2291" s="21" t="s">
        <v>2930</v>
      </c>
      <c r="E2291" s="1" t="s">
        <v>2945</v>
      </c>
      <c r="F2291" s="21" t="s">
        <v>60</v>
      </c>
      <c r="G2291" s="14">
        <v>0</v>
      </c>
      <c r="H2291" s="14">
        <v>0</v>
      </c>
      <c r="I2291" s="22">
        <v>126</v>
      </c>
      <c r="J2291" s="23">
        <f>VLOOKUP(I2291,episodes!$A$1:$B$76,2,FALSE)</f>
        <v>27</v>
      </c>
      <c r="K2291" s="16" t="str">
        <f>VLOOKUP(I2291,episodes!$A$1:$E$81,5,FALSE)</f>
        <v>Errand of Mercy</v>
      </c>
      <c r="L2291" s="16">
        <f>VLOOKUP(I2291,episodes!$A$1:$D$81,3,FALSE)</f>
        <v>1</v>
      </c>
      <c r="M2291" s="16">
        <f>VLOOKUP(I2291,episodes!$A$1:$D$81,4,FALSE)</f>
        <v>26</v>
      </c>
      <c r="O2291" s="14">
        <v>0</v>
      </c>
      <c r="P2291" s="24">
        <f>LEN(E2291)+LEN(K2291)</f>
        <v>63</v>
      </c>
      <c r="Q2291" s="24">
        <f>COUNTIFS(B:B,B2290)</f>
        <v>109</v>
      </c>
      <c r="R2291" s="24">
        <f>COUNTIFS(D:D,D2291)</f>
        <v>3</v>
      </c>
    </row>
    <row r="2292" spans="1:18" x14ac:dyDescent="0.3">
      <c r="A2292" s="14">
        <v>1457</v>
      </c>
      <c r="B2292" s="21" t="s">
        <v>332</v>
      </c>
      <c r="C2292" s="21" t="s">
        <v>2605</v>
      </c>
      <c r="D2292" s="21" t="s">
        <v>2930</v>
      </c>
      <c r="E2292" s="1" t="s">
        <v>2946</v>
      </c>
      <c r="F2292" s="21" t="s">
        <v>60</v>
      </c>
      <c r="G2292" s="14">
        <v>0</v>
      </c>
      <c r="H2292" s="14">
        <v>0</v>
      </c>
      <c r="I2292" s="22">
        <v>126</v>
      </c>
      <c r="J2292" s="23">
        <f>VLOOKUP(I2292,episodes!$A$1:$B$76,2,FALSE)</f>
        <v>27</v>
      </c>
      <c r="K2292" s="16" t="str">
        <f>VLOOKUP(I2292,episodes!$A$1:$E$81,5,FALSE)</f>
        <v>Errand of Mercy</v>
      </c>
      <c r="L2292" s="16">
        <f>VLOOKUP(I2292,episodes!$A$1:$D$81,3,FALSE)</f>
        <v>1</v>
      </c>
      <c r="M2292" s="16">
        <f>VLOOKUP(I2292,episodes!$A$1:$D$81,4,FALSE)</f>
        <v>26</v>
      </c>
      <c r="O2292" s="14">
        <v>0</v>
      </c>
      <c r="P2292" s="24">
        <f>LEN(E2292)+LEN(K2292)</f>
        <v>63</v>
      </c>
      <c r="Q2292" s="24">
        <f>COUNTIFS(B:B,B2291)</f>
        <v>109</v>
      </c>
      <c r="R2292" s="24">
        <f>COUNTIFS(D:D,D2292)</f>
        <v>3</v>
      </c>
    </row>
    <row r="2293" spans="1:18" x14ac:dyDescent="0.3">
      <c r="A2293" s="14">
        <v>55</v>
      </c>
      <c r="B2293" s="21" t="s">
        <v>332</v>
      </c>
      <c r="C2293" s="21" t="s">
        <v>2605</v>
      </c>
      <c r="D2293" s="1" t="s">
        <v>1917</v>
      </c>
      <c r="E2293" s="1" t="s">
        <v>2210</v>
      </c>
      <c r="F2293" s="21" t="s">
        <v>2</v>
      </c>
      <c r="G2293" s="14">
        <v>0</v>
      </c>
      <c r="H2293" s="14">
        <v>0</v>
      </c>
      <c r="I2293" s="22">
        <v>210</v>
      </c>
      <c r="J2293" s="23">
        <f>VLOOKUP(I2293,episodes!$A$1:$B$76,2,FALSE)</f>
        <v>40</v>
      </c>
      <c r="K2293" s="16" t="str">
        <f>VLOOKUP(I2293,episodes!$A$1:$E$81,5,FALSE)</f>
        <v>Journey to Babel</v>
      </c>
      <c r="L2293" s="16">
        <f>VLOOKUP(I2293,episodes!$A$1:$D$81,3,FALSE)</f>
        <v>2</v>
      </c>
      <c r="M2293" s="16">
        <f>VLOOKUP(I2293,episodes!$A$1:$D$81,4,FALSE)</f>
        <v>10</v>
      </c>
      <c r="O2293" s="14">
        <v>0</v>
      </c>
      <c r="P2293" s="24">
        <f>LEN(E2293)+LEN(K2293)</f>
        <v>50</v>
      </c>
      <c r="Q2293" s="24">
        <f>COUNTIFS(B:B,B2292)</f>
        <v>109</v>
      </c>
      <c r="R2293" s="24">
        <f>COUNTIFS(D:D,D2293)</f>
        <v>85</v>
      </c>
    </row>
    <row r="2294" spans="1:18" x14ac:dyDescent="0.3">
      <c r="A2294" s="14">
        <v>56</v>
      </c>
      <c r="B2294" s="21" t="s">
        <v>332</v>
      </c>
      <c r="C2294" s="21" t="s">
        <v>2605</v>
      </c>
      <c r="D2294" s="1" t="s">
        <v>1917</v>
      </c>
      <c r="E2294" s="1" t="s">
        <v>2211</v>
      </c>
      <c r="F2294" s="21" t="s">
        <v>2</v>
      </c>
      <c r="G2294" s="14">
        <v>0</v>
      </c>
      <c r="H2294" s="14">
        <v>0</v>
      </c>
      <c r="I2294" s="22">
        <v>210</v>
      </c>
      <c r="J2294" s="23">
        <f>VLOOKUP(I2294,episodes!$A$1:$B$76,2,FALSE)</f>
        <v>40</v>
      </c>
      <c r="K2294" s="16" t="str">
        <f>VLOOKUP(I2294,episodes!$A$1:$E$81,5,FALSE)</f>
        <v>Journey to Babel</v>
      </c>
      <c r="L2294" s="16">
        <f>VLOOKUP(I2294,episodes!$A$1:$D$81,3,FALSE)</f>
        <v>2</v>
      </c>
      <c r="M2294" s="16">
        <f>VLOOKUP(I2294,episodes!$A$1:$D$81,4,FALSE)</f>
        <v>10</v>
      </c>
      <c r="O2294" s="14">
        <v>0</v>
      </c>
      <c r="P2294" s="24">
        <f>LEN(E2294)+LEN(K2294)</f>
        <v>50</v>
      </c>
      <c r="Q2294" s="24">
        <f>COUNTIFS(B:B,B2293)</f>
        <v>109</v>
      </c>
      <c r="R2294" s="24">
        <f>COUNTIFS(D:D,D2294)</f>
        <v>85</v>
      </c>
    </row>
    <row r="2295" spans="1:18" x14ac:dyDescent="0.3">
      <c r="A2295" s="14">
        <v>57</v>
      </c>
      <c r="B2295" s="21" t="s">
        <v>332</v>
      </c>
      <c r="C2295" s="21" t="s">
        <v>2605</v>
      </c>
      <c r="D2295" s="1" t="s">
        <v>1917</v>
      </c>
      <c r="E2295" s="1" t="s">
        <v>2212</v>
      </c>
      <c r="F2295" s="21" t="s">
        <v>2</v>
      </c>
      <c r="G2295" s="14">
        <v>0</v>
      </c>
      <c r="H2295" s="14">
        <v>0</v>
      </c>
      <c r="I2295" s="22">
        <v>210</v>
      </c>
      <c r="J2295" s="23">
        <f>VLOOKUP(I2295,episodes!$A$1:$B$76,2,FALSE)</f>
        <v>40</v>
      </c>
      <c r="K2295" s="16" t="str">
        <f>VLOOKUP(I2295,episodes!$A$1:$E$81,5,FALSE)</f>
        <v>Journey to Babel</v>
      </c>
      <c r="L2295" s="16">
        <f>VLOOKUP(I2295,episodes!$A$1:$D$81,3,FALSE)</f>
        <v>2</v>
      </c>
      <c r="M2295" s="16">
        <f>VLOOKUP(I2295,episodes!$A$1:$D$81,4,FALSE)</f>
        <v>10</v>
      </c>
      <c r="O2295" s="14">
        <v>0</v>
      </c>
      <c r="P2295" s="24">
        <f>LEN(E2295)+LEN(K2295)</f>
        <v>50</v>
      </c>
      <c r="Q2295" s="24">
        <f>COUNTIFS(B:B,B2294)</f>
        <v>109</v>
      </c>
      <c r="R2295" s="24">
        <f>COUNTIFS(D:D,D2295)</f>
        <v>85</v>
      </c>
    </row>
    <row r="2296" spans="1:18" x14ac:dyDescent="0.3">
      <c r="A2296" s="14">
        <v>58</v>
      </c>
      <c r="B2296" s="21" t="s">
        <v>332</v>
      </c>
      <c r="C2296" s="21" t="s">
        <v>2605</v>
      </c>
      <c r="D2296" s="1" t="s">
        <v>1917</v>
      </c>
      <c r="E2296" s="1" t="s">
        <v>2213</v>
      </c>
      <c r="F2296" s="21" t="s">
        <v>2</v>
      </c>
      <c r="G2296" s="14">
        <v>0</v>
      </c>
      <c r="H2296" s="14">
        <v>0</v>
      </c>
      <c r="I2296" s="22">
        <v>210</v>
      </c>
      <c r="J2296" s="23">
        <f>VLOOKUP(I2296,episodes!$A$1:$B$76,2,FALSE)</f>
        <v>40</v>
      </c>
      <c r="K2296" s="16" t="str">
        <f>VLOOKUP(I2296,episodes!$A$1:$E$81,5,FALSE)</f>
        <v>Journey to Babel</v>
      </c>
      <c r="L2296" s="16">
        <f>VLOOKUP(I2296,episodes!$A$1:$D$81,3,FALSE)</f>
        <v>2</v>
      </c>
      <c r="M2296" s="16">
        <f>VLOOKUP(I2296,episodes!$A$1:$D$81,4,FALSE)</f>
        <v>10</v>
      </c>
      <c r="O2296" s="14">
        <v>0</v>
      </c>
      <c r="P2296" s="24">
        <f>LEN(E2296)+LEN(K2296)</f>
        <v>50</v>
      </c>
      <c r="Q2296" s="24">
        <f>COUNTIFS(B:B,B2295)</f>
        <v>109</v>
      </c>
      <c r="R2296" s="24">
        <f>COUNTIFS(D:D,D2296)</f>
        <v>85</v>
      </c>
    </row>
    <row r="2297" spans="1:18" x14ac:dyDescent="0.3">
      <c r="A2297" s="14">
        <v>59</v>
      </c>
      <c r="B2297" s="21" t="s">
        <v>332</v>
      </c>
      <c r="C2297" s="21" t="s">
        <v>2605</v>
      </c>
      <c r="D2297" s="1" t="s">
        <v>1917</v>
      </c>
      <c r="E2297" s="1" t="s">
        <v>2214</v>
      </c>
      <c r="F2297" s="21" t="s">
        <v>2</v>
      </c>
      <c r="G2297" s="14">
        <v>0</v>
      </c>
      <c r="H2297" s="14">
        <v>0</v>
      </c>
      <c r="I2297" s="22">
        <v>210</v>
      </c>
      <c r="J2297" s="23">
        <f>VLOOKUP(I2297,episodes!$A$1:$B$76,2,FALSE)</f>
        <v>40</v>
      </c>
      <c r="K2297" s="16" t="str">
        <f>VLOOKUP(I2297,episodes!$A$1:$E$81,5,FALSE)</f>
        <v>Journey to Babel</v>
      </c>
      <c r="L2297" s="16">
        <f>VLOOKUP(I2297,episodes!$A$1:$D$81,3,FALSE)</f>
        <v>2</v>
      </c>
      <c r="M2297" s="16">
        <f>VLOOKUP(I2297,episodes!$A$1:$D$81,4,FALSE)</f>
        <v>10</v>
      </c>
      <c r="O2297" s="14">
        <v>0</v>
      </c>
      <c r="P2297" s="24">
        <f>LEN(E2297)+LEN(K2297)</f>
        <v>50</v>
      </c>
      <c r="Q2297" s="24">
        <f>COUNTIFS(B:B,B2296)</f>
        <v>109</v>
      </c>
      <c r="R2297" s="24">
        <f>COUNTIFS(D:D,D2297)</f>
        <v>85</v>
      </c>
    </row>
    <row r="2298" spans="1:18" x14ac:dyDescent="0.3">
      <c r="A2298" s="14">
        <v>84</v>
      </c>
      <c r="B2298" s="21" t="s">
        <v>332</v>
      </c>
      <c r="C2298" s="21" t="s">
        <v>2605</v>
      </c>
      <c r="D2298" s="21" t="s">
        <v>1917</v>
      </c>
      <c r="E2298" s="1" t="s">
        <v>1708</v>
      </c>
      <c r="F2298" s="21" t="s">
        <v>2234</v>
      </c>
      <c r="G2298" s="14">
        <v>0</v>
      </c>
      <c r="H2298" s="14">
        <v>0</v>
      </c>
      <c r="I2298" s="25">
        <v>107</v>
      </c>
      <c r="J2298" s="23">
        <f>VLOOKUP(I2298,episodes!$A$1:$B$76,2,FALSE)</f>
        <v>8</v>
      </c>
      <c r="K2298" s="16" t="str">
        <f>VLOOKUP(I2298,episodes!$A$1:$E$81,5,FALSE)</f>
        <v>What Are Little Girls Made Of?</v>
      </c>
      <c r="L2298" s="16">
        <f>VLOOKUP(I2298,episodes!$A$1:$D$81,3,FALSE)</f>
        <v>1</v>
      </c>
      <c r="M2298" s="16">
        <f>VLOOKUP(I2298,episodes!$A$1:$D$81,4,FALSE)</f>
        <v>7</v>
      </c>
      <c r="O2298" s="14">
        <v>0</v>
      </c>
      <c r="P2298" s="24">
        <f>LEN(E2298)+LEN(K2298)</f>
        <v>57</v>
      </c>
      <c r="Q2298" s="24">
        <f>COUNTIFS(B:B,B2297)</f>
        <v>109</v>
      </c>
      <c r="R2298" s="24">
        <f>COUNTIFS(D:D,D2298)</f>
        <v>85</v>
      </c>
    </row>
    <row r="2299" spans="1:18" x14ac:dyDescent="0.3">
      <c r="A2299" s="14">
        <v>250</v>
      </c>
      <c r="B2299" s="21" t="s">
        <v>332</v>
      </c>
      <c r="C2299" s="21" t="s">
        <v>2605</v>
      </c>
      <c r="D2299" s="21" t="s">
        <v>1917</v>
      </c>
      <c r="E2299" s="1" t="s">
        <v>1194</v>
      </c>
      <c r="F2299" s="21" t="s">
        <v>2224</v>
      </c>
      <c r="G2299" s="14">
        <v>0</v>
      </c>
      <c r="H2299" s="14">
        <v>0</v>
      </c>
      <c r="I2299" s="25">
        <v>102</v>
      </c>
      <c r="J2299" s="23">
        <f>VLOOKUP(I2299,episodes!$A$1:$B$76,2,FALSE)</f>
        <v>3</v>
      </c>
      <c r="K2299" s="16" t="str">
        <f>VLOOKUP(I2299,episodes!$A$1:$E$81,5,FALSE)</f>
        <v>Charlie X</v>
      </c>
      <c r="L2299" s="16">
        <f>VLOOKUP(I2299,episodes!$A$1:$D$81,3,FALSE)</f>
        <v>1</v>
      </c>
      <c r="M2299" s="16">
        <f>VLOOKUP(I2299,episodes!$A$1:$D$81,4,FALSE)</f>
        <v>2</v>
      </c>
      <c r="O2299" s="14">
        <v>0</v>
      </c>
      <c r="P2299" s="24">
        <f>LEN(E2299)+LEN(K2299)</f>
        <v>92</v>
      </c>
      <c r="Q2299" s="24">
        <f>COUNTIFS(B:B,B2298)</f>
        <v>109</v>
      </c>
      <c r="R2299" s="24">
        <f>COUNTIFS(D:D,D2299)</f>
        <v>85</v>
      </c>
    </row>
    <row r="2300" spans="1:18" x14ac:dyDescent="0.3">
      <c r="A2300" s="14">
        <v>136</v>
      </c>
      <c r="B2300" s="21" t="s">
        <v>742</v>
      </c>
      <c r="C2300" s="21" t="s">
        <v>2605</v>
      </c>
      <c r="D2300" s="21" t="s">
        <v>1917</v>
      </c>
      <c r="E2300" s="1" t="s">
        <v>913</v>
      </c>
      <c r="F2300" s="21" t="s">
        <v>7</v>
      </c>
      <c r="G2300" s="14">
        <v>0</v>
      </c>
      <c r="H2300" s="14">
        <v>2</v>
      </c>
      <c r="I2300" s="22">
        <v>202</v>
      </c>
      <c r="J2300" s="23">
        <f>VLOOKUP(I2300,episodes!$A$1:$B$76,2,FALSE)</f>
        <v>32</v>
      </c>
      <c r="K2300" s="16" t="str">
        <f>VLOOKUP(I2300,episodes!$A$1:$E$81,5,FALSE)</f>
        <v>Who Mourns for Adonais?</v>
      </c>
      <c r="L2300" s="16">
        <f>VLOOKUP(I2300,episodes!$A$1:$D$81,3,FALSE)</f>
        <v>2</v>
      </c>
      <c r="M2300" s="16">
        <f>VLOOKUP(I2300,episodes!$A$1:$D$81,4,FALSE)</f>
        <v>2</v>
      </c>
      <c r="O2300" s="14">
        <v>0</v>
      </c>
      <c r="P2300" s="24">
        <f>LEN(E2300)+LEN(K2300)</f>
        <v>29</v>
      </c>
      <c r="Q2300" s="24">
        <f>COUNTIFS(B:B,B2299)</f>
        <v>109</v>
      </c>
      <c r="R2300" s="24">
        <f>COUNTIFS(D:D,D2300)</f>
        <v>85</v>
      </c>
    </row>
    <row r="2301" spans="1:18" x14ac:dyDescent="0.3">
      <c r="A2301" s="14">
        <v>140</v>
      </c>
      <c r="B2301" s="21" t="s">
        <v>332</v>
      </c>
      <c r="C2301" s="21" t="s">
        <v>2605</v>
      </c>
      <c r="D2301" s="21" t="s">
        <v>1917</v>
      </c>
      <c r="E2301" s="1" t="s">
        <v>2382</v>
      </c>
      <c r="F2301" s="21" t="s">
        <v>7</v>
      </c>
      <c r="G2301" s="14">
        <v>0</v>
      </c>
      <c r="H2301" s="14">
        <v>2</v>
      </c>
      <c r="I2301" s="25">
        <v>204</v>
      </c>
      <c r="J2301" s="23">
        <f>VLOOKUP(I2301,episodes!$A$1:$B$81,2,FALSE)</f>
        <v>34</v>
      </c>
      <c r="K2301" s="16" t="str">
        <f>VLOOKUP(I2301,episodes!$A$1:$E$81,5,FALSE)</f>
        <v>Mirror, Mirror</v>
      </c>
      <c r="L2301" s="16">
        <f>VLOOKUP(I2301,episodes!$A$1:$D$81,3,FALSE)</f>
        <v>2</v>
      </c>
      <c r="M2301" s="16">
        <f>VLOOKUP(I2301,episodes!$A$1:$D$81,4,FALSE)</f>
        <v>4</v>
      </c>
      <c r="O2301" s="14">
        <v>0</v>
      </c>
      <c r="P2301" s="24">
        <f>LEN(E2301)+LEN(K2301)</f>
        <v>96</v>
      </c>
      <c r="Q2301" s="24">
        <f>COUNTIFS(B:B,B2300)</f>
        <v>160</v>
      </c>
      <c r="R2301" s="24">
        <f>COUNTIFS(D:D,D2301)</f>
        <v>85</v>
      </c>
    </row>
    <row r="2302" spans="1:18" x14ac:dyDescent="0.3">
      <c r="A2302" s="14">
        <v>137</v>
      </c>
      <c r="B2302" s="21" t="s">
        <v>332</v>
      </c>
      <c r="C2302" s="21" t="s">
        <v>2605</v>
      </c>
      <c r="D2302" s="21" t="s">
        <v>1917</v>
      </c>
      <c r="E2302" s="1" t="s">
        <v>819</v>
      </c>
      <c r="F2302" s="21" t="s">
        <v>7</v>
      </c>
      <c r="G2302" s="14">
        <v>0</v>
      </c>
      <c r="H2302" s="14">
        <v>2</v>
      </c>
      <c r="I2302" s="22">
        <v>202</v>
      </c>
      <c r="J2302" s="23">
        <f>VLOOKUP(I2302,episodes!$A$1:$B$76,2,FALSE)</f>
        <v>32</v>
      </c>
      <c r="K2302" s="16" t="str">
        <f>VLOOKUP(I2302,episodes!$A$1:$E$81,5,FALSE)</f>
        <v>Who Mourns for Adonais?</v>
      </c>
      <c r="L2302" s="16">
        <f>VLOOKUP(I2302,episodes!$A$1:$D$81,3,FALSE)</f>
        <v>2</v>
      </c>
      <c r="M2302" s="16">
        <f>VLOOKUP(I2302,episodes!$A$1:$D$81,4,FALSE)</f>
        <v>2</v>
      </c>
      <c r="O2302" s="14">
        <v>0</v>
      </c>
      <c r="P2302" s="24">
        <f>LEN(E2302)+LEN(K2302)</f>
        <v>76</v>
      </c>
      <c r="Q2302" s="24">
        <f>COUNTIFS(B:B,B2301)</f>
        <v>109</v>
      </c>
      <c r="R2302" s="24">
        <f>COUNTIFS(D:D,D2302)</f>
        <v>85</v>
      </c>
    </row>
    <row r="2303" spans="1:18" x14ac:dyDescent="0.3">
      <c r="A2303" s="14">
        <v>184</v>
      </c>
      <c r="B2303" s="21" t="s">
        <v>332</v>
      </c>
      <c r="C2303" s="21" t="s">
        <v>2605</v>
      </c>
      <c r="D2303" s="21" t="s">
        <v>1917</v>
      </c>
      <c r="E2303" s="1" t="s">
        <v>515</v>
      </c>
      <c r="F2303" s="21" t="s">
        <v>2255</v>
      </c>
      <c r="G2303" s="14">
        <v>0</v>
      </c>
      <c r="H2303" s="14">
        <v>0</v>
      </c>
      <c r="I2303" s="25">
        <v>204</v>
      </c>
      <c r="J2303" s="23">
        <f>VLOOKUP(I2303,episodes!$A$1:$B$81,2,FALSE)</f>
        <v>34</v>
      </c>
      <c r="K2303" s="16" t="str">
        <f>VLOOKUP(I2303,episodes!$A$1:$E$81,5,FALSE)</f>
        <v>Mirror, Mirror</v>
      </c>
      <c r="L2303" s="16">
        <f>VLOOKUP(I2303,episodes!$A$1:$D$81,3,FALSE)</f>
        <v>2</v>
      </c>
      <c r="M2303" s="16">
        <f>VLOOKUP(I2303,episodes!$A$1:$D$81,4,FALSE)</f>
        <v>4</v>
      </c>
      <c r="O2303" s="14">
        <v>0</v>
      </c>
      <c r="P2303" s="24">
        <f>LEN(E2303)+LEN(K2303)</f>
        <v>74</v>
      </c>
      <c r="Q2303" s="24">
        <f>COUNTIFS(B:B,B2302)</f>
        <v>109</v>
      </c>
      <c r="R2303" s="24">
        <f>COUNTIFS(D:D,D2303)</f>
        <v>85</v>
      </c>
    </row>
    <row r="2304" spans="1:18" x14ac:dyDescent="0.3">
      <c r="A2304" s="14">
        <v>230</v>
      </c>
      <c r="B2304" s="21" t="s">
        <v>332</v>
      </c>
      <c r="C2304" s="21" t="s">
        <v>2605</v>
      </c>
      <c r="D2304" s="21" t="s">
        <v>1917</v>
      </c>
      <c r="E2304" s="1" t="s">
        <v>934</v>
      </c>
      <c r="F2304" s="21" t="s">
        <v>56</v>
      </c>
      <c r="G2304" s="14">
        <v>0</v>
      </c>
      <c r="H2304" s="14">
        <v>0</v>
      </c>
      <c r="I2304" s="25">
        <v>206</v>
      </c>
      <c r="J2304" s="23">
        <f>VLOOKUP(I2304,episodes!$A$1:$B$81,2,FALSE)</f>
        <v>36</v>
      </c>
      <c r="K2304" s="16" t="str">
        <f>VLOOKUP(I2304,episodes!$A$1:$E$81,5,FALSE)</f>
        <v>The Doomsday Machine</v>
      </c>
      <c r="L2304" s="16">
        <f>VLOOKUP(I2304,episodes!$A$1:$D$81,3,FALSE)</f>
        <v>2</v>
      </c>
      <c r="M2304" s="16">
        <f>VLOOKUP(I2304,episodes!$A$1:$D$81,4,FALSE)</f>
        <v>6</v>
      </c>
      <c r="O2304" s="14">
        <v>0</v>
      </c>
      <c r="P2304" s="24">
        <f>LEN(E2304)+LEN(K2304)</f>
        <v>93</v>
      </c>
      <c r="Q2304" s="24">
        <f>COUNTIFS(B:B,B2303)</f>
        <v>109</v>
      </c>
      <c r="R2304" s="24">
        <f>COUNTIFS(D:D,D2304)</f>
        <v>85</v>
      </c>
    </row>
    <row r="2305" spans="1:18" x14ac:dyDescent="0.3">
      <c r="A2305" s="14">
        <v>344</v>
      </c>
      <c r="B2305" s="21" t="s">
        <v>332</v>
      </c>
      <c r="C2305" s="21" t="s">
        <v>2605</v>
      </c>
      <c r="D2305" s="21" t="s">
        <v>1917</v>
      </c>
      <c r="E2305" s="1" t="s">
        <v>2126</v>
      </c>
      <c r="F2305" s="21" t="s">
        <v>2224</v>
      </c>
      <c r="G2305" s="14">
        <v>0</v>
      </c>
      <c r="H2305" s="14">
        <v>0</v>
      </c>
      <c r="I2305" s="22">
        <v>128</v>
      </c>
      <c r="J2305" s="23">
        <f>VLOOKUP(I2305,episodes!$A$1:$B$76,2,FALSE)</f>
        <v>29</v>
      </c>
      <c r="K2305" s="16" t="str">
        <f>VLOOKUP(I2305,episodes!$A$1:$E$81,5,FALSE)</f>
        <v>The City on the Edge of Forever</v>
      </c>
      <c r="L2305" s="16">
        <f>VLOOKUP(I2305,episodes!$A$1:$D$81,3,FALSE)</f>
        <v>1</v>
      </c>
      <c r="M2305" s="16">
        <f>VLOOKUP(I2305,episodes!$A$1:$D$81,4,FALSE)</f>
        <v>28</v>
      </c>
      <c r="O2305" s="14">
        <v>0</v>
      </c>
      <c r="P2305" s="24">
        <f>LEN(E2305)+LEN(K2305)</f>
        <v>74</v>
      </c>
      <c r="Q2305" s="24">
        <f>COUNTIFS(B:B,B2304)</f>
        <v>109</v>
      </c>
      <c r="R2305" s="24">
        <f>COUNTIFS(D:D,D2305)</f>
        <v>85</v>
      </c>
    </row>
    <row r="2306" spans="1:18" x14ac:dyDescent="0.3">
      <c r="A2306" s="14">
        <v>1223</v>
      </c>
      <c r="B2306" s="21" t="s">
        <v>332</v>
      </c>
      <c r="C2306" s="21" t="s">
        <v>2605</v>
      </c>
      <c r="D2306" s="21" t="s">
        <v>1917</v>
      </c>
      <c r="E2306" s="1" t="s">
        <v>1177</v>
      </c>
      <c r="F2306" s="21" t="s">
        <v>4</v>
      </c>
      <c r="G2306" s="14">
        <v>1</v>
      </c>
      <c r="H2306" s="14">
        <v>0</v>
      </c>
      <c r="I2306" s="25">
        <v>101</v>
      </c>
      <c r="J2306" s="23">
        <f>VLOOKUP(I2306,episodes!$A$1:$B$76,2,FALSE)</f>
        <v>2</v>
      </c>
      <c r="K2306" s="16" t="str">
        <f>VLOOKUP(I2306,episodes!$A$1:$E$81,5,FALSE)</f>
        <v>The Man Trap</v>
      </c>
      <c r="L2306" s="16">
        <f>VLOOKUP(I2306,episodes!$A$1:$D$81,3,FALSE)</f>
        <v>1</v>
      </c>
      <c r="M2306" s="16">
        <f>VLOOKUP(I2306,episodes!$A$1:$D$81,4,FALSE)</f>
        <v>1</v>
      </c>
      <c r="O2306" s="14">
        <v>0</v>
      </c>
      <c r="P2306" s="24">
        <f>LEN(E2306)+LEN(K2306)</f>
        <v>122</v>
      </c>
      <c r="Q2306" s="24">
        <f>COUNTIFS(B:B,B2304)</f>
        <v>109</v>
      </c>
      <c r="R2306" s="24">
        <f>COUNTIFS(D:D,D2306)</f>
        <v>85</v>
      </c>
    </row>
    <row r="2307" spans="1:18" x14ac:dyDescent="0.3">
      <c r="A2307" s="14">
        <v>263</v>
      </c>
      <c r="B2307" s="21" t="s">
        <v>332</v>
      </c>
      <c r="C2307" s="21" t="s">
        <v>2605</v>
      </c>
      <c r="D2307" s="21" t="s">
        <v>1917</v>
      </c>
      <c r="E2307" s="1" t="s">
        <v>1168</v>
      </c>
      <c r="F2307" s="21" t="s">
        <v>2224</v>
      </c>
      <c r="G2307" s="14">
        <v>0</v>
      </c>
      <c r="H2307" s="14">
        <v>0</v>
      </c>
      <c r="I2307" s="25">
        <v>107</v>
      </c>
      <c r="J2307" s="23">
        <f>VLOOKUP(I2307,episodes!$A$1:$B$76,2,FALSE)</f>
        <v>8</v>
      </c>
      <c r="K2307" s="16" t="str">
        <f>VLOOKUP(I2307,episodes!$A$1:$E$81,5,FALSE)</f>
        <v>What Are Little Girls Made Of?</v>
      </c>
      <c r="L2307" s="16">
        <f>VLOOKUP(I2307,episodes!$A$1:$D$81,3,FALSE)</f>
        <v>1</v>
      </c>
      <c r="M2307" s="16">
        <f>VLOOKUP(I2307,episodes!$A$1:$D$81,4,FALSE)</f>
        <v>7</v>
      </c>
      <c r="O2307" s="14">
        <v>0</v>
      </c>
      <c r="P2307" s="24">
        <f>LEN(E2307)+LEN(K2307)</f>
        <v>60</v>
      </c>
      <c r="Q2307" s="24">
        <f>COUNTIFS(B:B,B2306)</f>
        <v>109</v>
      </c>
      <c r="R2307" s="24">
        <f>COUNTIFS(D:D,D2307)</f>
        <v>85</v>
      </c>
    </row>
    <row r="2308" spans="1:18" x14ac:dyDescent="0.3">
      <c r="A2308" s="14">
        <v>2851</v>
      </c>
      <c r="B2308" s="21" t="s">
        <v>332</v>
      </c>
      <c r="C2308" s="21" t="s">
        <v>2605</v>
      </c>
      <c r="D2308" s="1" t="s">
        <v>1917</v>
      </c>
      <c r="E2308" s="1" t="s">
        <v>1923</v>
      </c>
      <c r="F2308" s="21" t="s">
        <v>2225</v>
      </c>
      <c r="G2308" s="14">
        <v>0</v>
      </c>
      <c r="H2308" s="14">
        <v>0</v>
      </c>
      <c r="I2308" s="22">
        <v>210</v>
      </c>
      <c r="J2308" s="23">
        <f>VLOOKUP(I2308,episodes!$A$1:$B$76,2,FALSE)</f>
        <v>40</v>
      </c>
      <c r="K2308" s="16" t="str">
        <f>VLOOKUP(I2308,episodes!$A$1:$E$81,5,FALSE)</f>
        <v>Journey to Babel</v>
      </c>
      <c r="L2308" s="16">
        <f>VLOOKUP(I2308,episodes!$A$1:$D$81,3,FALSE)</f>
        <v>2</v>
      </c>
      <c r="M2308" s="16">
        <f>VLOOKUP(I2308,episodes!$A$1:$D$81,4,FALSE)</f>
        <v>10</v>
      </c>
      <c r="O2308" s="14">
        <v>0</v>
      </c>
      <c r="P2308" s="24">
        <f>LEN(E2308)+LEN(K2308)</f>
        <v>91</v>
      </c>
      <c r="Q2308" s="24">
        <f>COUNTIFS(B:B,B2307)</f>
        <v>109</v>
      </c>
      <c r="R2308" s="24">
        <f>COUNTIFS(D:D,D2308)</f>
        <v>85</v>
      </c>
    </row>
    <row r="2309" spans="1:18" x14ac:dyDescent="0.3">
      <c r="A2309" s="14">
        <v>2852</v>
      </c>
      <c r="B2309" s="21" t="s">
        <v>332</v>
      </c>
      <c r="C2309" s="21" t="s">
        <v>2605</v>
      </c>
      <c r="D2309" s="1" t="s">
        <v>1917</v>
      </c>
      <c r="E2309" s="1" t="s">
        <v>2215</v>
      </c>
      <c r="F2309" s="21" t="s">
        <v>2225</v>
      </c>
      <c r="G2309" s="14">
        <v>0</v>
      </c>
      <c r="H2309" s="14">
        <v>0</v>
      </c>
      <c r="I2309" s="22">
        <v>210</v>
      </c>
      <c r="J2309" s="23">
        <f>VLOOKUP(I2309,episodes!$A$1:$B$76,2,FALSE)</f>
        <v>40</v>
      </c>
      <c r="K2309" s="16" t="str">
        <f>VLOOKUP(I2309,episodes!$A$1:$E$81,5,FALSE)</f>
        <v>Journey to Babel</v>
      </c>
      <c r="L2309" s="16">
        <f>VLOOKUP(I2309,episodes!$A$1:$D$81,3,FALSE)</f>
        <v>2</v>
      </c>
      <c r="M2309" s="16">
        <f>VLOOKUP(I2309,episodes!$A$1:$D$81,4,FALSE)</f>
        <v>10</v>
      </c>
      <c r="O2309" s="14">
        <v>0</v>
      </c>
      <c r="P2309" s="24">
        <f>LEN(E2309)+LEN(K2309)</f>
        <v>74</v>
      </c>
      <c r="Q2309" s="24">
        <f>COUNTIFS(B:B,B2308)</f>
        <v>109</v>
      </c>
      <c r="R2309" s="24">
        <f>COUNTIFS(D:D,D2309)</f>
        <v>85</v>
      </c>
    </row>
    <row r="2310" spans="1:18" x14ac:dyDescent="0.3">
      <c r="A2310" s="14">
        <v>198</v>
      </c>
      <c r="B2310" s="21" t="s">
        <v>332</v>
      </c>
      <c r="C2310" s="21" t="s">
        <v>2605</v>
      </c>
      <c r="D2310" s="21" t="s">
        <v>1917</v>
      </c>
      <c r="E2310" s="1" t="s">
        <v>1536</v>
      </c>
      <c r="F2310" s="21" t="s">
        <v>1873</v>
      </c>
      <c r="G2310" s="14">
        <v>0</v>
      </c>
      <c r="H2310" s="14">
        <v>0</v>
      </c>
      <c r="I2310" s="25">
        <v>105</v>
      </c>
      <c r="J2310" s="23">
        <f>VLOOKUP(I2310,episodes!$A$1:$B$76,2,FALSE)</f>
        <v>6</v>
      </c>
      <c r="K2310" s="16" t="str">
        <f>VLOOKUP(I2310,episodes!$A$1:$E$81,5,FALSE)</f>
        <v>The Enemy Within</v>
      </c>
      <c r="L2310" s="16">
        <f>VLOOKUP(I2310,episodes!$A$1:$D$81,3,FALSE)</f>
        <v>1</v>
      </c>
      <c r="M2310" s="16">
        <f>VLOOKUP(I2310,episodes!$A$1:$D$81,4,FALSE)</f>
        <v>5</v>
      </c>
      <c r="O2310" s="14">
        <v>0</v>
      </c>
      <c r="P2310" s="24">
        <f>LEN(E2310)+LEN(K2310)</f>
        <v>75</v>
      </c>
      <c r="Q2310" s="24">
        <f>COUNTIFS(B:B,B2309)</f>
        <v>109</v>
      </c>
      <c r="R2310" s="24">
        <f>COUNTIFS(D:D,D2310)</f>
        <v>85</v>
      </c>
    </row>
    <row r="2311" spans="1:18" x14ac:dyDescent="0.3">
      <c r="A2311" s="14">
        <v>790</v>
      </c>
      <c r="B2311" s="21" t="s">
        <v>332</v>
      </c>
      <c r="C2311" s="21" t="s">
        <v>2605</v>
      </c>
      <c r="D2311" s="21" t="s">
        <v>1917</v>
      </c>
      <c r="E2311" s="1" t="s">
        <v>639</v>
      </c>
      <c r="F2311" s="21" t="s">
        <v>4</v>
      </c>
      <c r="G2311" s="14">
        <v>1</v>
      </c>
      <c r="H2311" s="14">
        <v>0</v>
      </c>
      <c r="I2311" s="22">
        <v>121</v>
      </c>
      <c r="J2311" s="23">
        <f>VLOOKUP(I2311,episodes!$A$1:$B$76,2,FALSE)</f>
        <v>22</v>
      </c>
      <c r="K2311" s="16" t="str">
        <f>VLOOKUP(I2311,episodes!$A$1:$E$81,5,FALSE)</f>
        <v>The Return of the Archons</v>
      </c>
      <c r="L2311" s="16">
        <f>VLOOKUP(I2311,episodes!$A$1:$D$81,3,FALSE)</f>
        <v>1</v>
      </c>
      <c r="M2311" s="16">
        <f>VLOOKUP(I2311,episodes!$A$1:$D$81,4,FALSE)</f>
        <v>21</v>
      </c>
      <c r="O2311" s="14">
        <v>0</v>
      </c>
      <c r="P2311" s="24">
        <f>LEN(E2311)+LEN(K2311)</f>
        <v>63</v>
      </c>
      <c r="Q2311" s="24">
        <f>COUNTIFS(B:B,B2310)</f>
        <v>109</v>
      </c>
      <c r="R2311" s="24">
        <f>COUNTIFS(D:D,D2311)</f>
        <v>85</v>
      </c>
    </row>
    <row r="2312" spans="1:18" x14ac:dyDescent="0.3">
      <c r="A2312" s="14">
        <v>791</v>
      </c>
      <c r="B2312" s="21" t="s">
        <v>332</v>
      </c>
      <c r="C2312" s="21" t="s">
        <v>2605</v>
      </c>
      <c r="D2312" s="21" t="s">
        <v>1917</v>
      </c>
      <c r="E2312" s="1" t="s">
        <v>639</v>
      </c>
      <c r="F2312" s="21" t="s">
        <v>4</v>
      </c>
      <c r="G2312" s="14">
        <v>1</v>
      </c>
      <c r="H2312" s="14">
        <v>0</v>
      </c>
      <c r="I2312" s="22">
        <v>121</v>
      </c>
      <c r="J2312" s="23">
        <f>VLOOKUP(I2312,episodes!$A$1:$B$76,2,FALSE)</f>
        <v>22</v>
      </c>
      <c r="K2312" s="16" t="str">
        <f>VLOOKUP(I2312,episodes!$A$1:$E$81,5,FALSE)</f>
        <v>The Return of the Archons</v>
      </c>
      <c r="L2312" s="16">
        <f>VLOOKUP(I2312,episodes!$A$1:$D$81,3,FALSE)</f>
        <v>1</v>
      </c>
      <c r="M2312" s="16">
        <f>VLOOKUP(I2312,episodes!$A$1:$D$81,4,FALSE)</f>
        <v>21</v>
      </c>
      <c r="O2312" s="14">
        <v>0</v>
      </c>
      <c r="P2312" s="24">
        <f>LEN(E2312)+LEN(K2312)</f>
        <v>63</v>
      </c>
      <c r="Q2312" s="24">
        <f>COUNTIFS(B:B,B2311)</f>
        <v>109</v>
      </c>
      <c r="R2312" s="24">
        <f>COUNTIFS(D:D,D2312)</f>
        <v>85</v>
      </c>
    </row>
    <row r="2313" spans="1:18" x14ac:dyDescent="0.3">
      <c r="A2313" s="14">
        <v>631</v>
      </c>
      <c r="B2313" s="21" t="s">
        <v>332</v>
      </c>
      <c r="C2313" s="21" t="s">
        <v>2605</v>
      </c>
      <c r="D2313" s="21" t="s">
        <v>1917</v>
      </c>
      <c r="E2313" s="1" t="s">
        <v>468</v>
      </c>
      <c r="F2313" s="21" t="s">
        <v>4</v>
      </c>
      <c r="G2313" s="14">
        <v>1</v>
      </c>
      <c r="H2313" s="14">
        <v>0</v>
      </c>
      <c r="I2313" s="25">
        <v>107</v>
      </c>
      <c r="J2313" s="23">
        <f>VLOOKUP(I2313,episodes!$A$1:$B$76,2,FALSE)</f>
        <v>8</v>
      </c>
      <c r="K2313" s="16" t="str">
        <f>VLOOKUP(I2313,episodes!$A$1:$E$81,5,FALSE)</f>
        <v>What Are Little Girls Made Of?</v>
      </c>
      <c r="L2313" s="16">
        <f>VLOOKUP(I2313,episodes!$A$1:$D$81,3,FALSE)</f>
        <v>1</v>
      </c>
      <c r="M2313" s="16">
        <f>VLOOKUP(I2313,episodes!$A$1:$D$81,4,FALSE)</f>
        <v>7</v>
      </c>
      <c r="O2313" s="14">
        <v>0</v>
      </c>
      <c r="P2313" s="24">
        <f>LEN(E2313)+LEN(K2313)</f>
        <v>55</v>
      </c>
      <c r="Q2313" s="24">
        <f>COUNTIFS(B:B,B2312)</f>
        <v>109</v>
      </c>
      <c r="R2313" s="24">
        <f>COUNTIFS(D:D,D2313)</f>
        <v>85</v>
      </c>
    </row>
    <row r="2314" spans="1:18" x14ac:dyDescent="0.3">
      <c r="A2314" s="14">
        <v>883</v>
      </c>
      <c r="B2314" s="21" t="s">
        <v>332</v>
      </c>
      <c r="C2314" s="21" t="s">
        <v>2605</v>
      </c>
      <c r="D2314" s="21" t="s">
        <v>1917</v>
      </c>
      <c r="E2314" s="1" t="s">
        <v>791</v>
      </c>
      <c r="F2314" s="21" t="s">
        <v>4</v>
      </c>
      <c r="G2314" s="14">
        <v>1</v>
      </c>
      <c r="H2314" s="14">
        <v>0</v>
      </c>
      <c r="I2314" s="22">
        <v>129</v>
      </c>
      <c r="J2314" s="23">
        <f>VLOOKUP(I2314,episodes!$A$1:$B$76,2,FALSE)</f>
        <v>30</v>
      </c>
      <c r="K2314" s="16" t="str">
        <f>VLOOKUP(I2314,episodes!$A$1:$E$81,5,FALSE)</f>
        <v>Operation: Annihilate!</v>
      </c>
      <c r="L2314" s="16">
        <f>VLOOKUP(I2314,episodes!$A$1:$D$81,3,FALSE)</f>
        <v>1</v>
      </c>
      <c r="M2314" s="16">
        <f>VLOOKUP(I2314,episodes!$A$1:$D$81,4,FALSE)</f>
        <v>29</v>
      </c>
      <c r="O2314" s="14">
        <v>0</v>
      </c>
      <c r="P2314" s="24">
        <f>LEN(E2314)+LEN(K2314)</f>
        <v>52</v>
      </c>
      <c r="Q2314" s="24">
        <f>COUNTIFS(B:B,B2313)</f>
        <v>109</v>
      </c>
      <c r="R2314" s="24">
        <f>COUNTIFS(D:D,D2314)</f>
        <v>85</v>
      </c>
    </row>
    <row r="2315" spans="1:18" x14ac:dyDescent="0.3">
      <c r="A2315" s="14">
        <v>817</v>
      </c>
      <c r="B2315" s="21" t="s">
        <v>332</v>
      </c>
      <c r="C2315" s="21" t="s">
        <v>2605</v>
      </c>
      <c r="D2315" s="21" t="s">
        <v>1917</v>
      </c>
      <c r="E2315" s="1" t="s">
        <v>2140</v>
      </c>
      <c r="F2315" s="21" t="s">
        <v>4</v>
      </c>
      <c r="G2315" s="14">
        <v>1</v>
      </c>
      <c r="H2315" s="14">
        <v>0</v>
      </c>
      <c r="I2315" s="22">
        <v>123</v>
      </c>
      <c r="J2315" s="23">
        <f>VLOOKUP(I2315,episodes!$A$1:$B$76,2,FALSE)</f>
        <v>24</v>
      </c>
      <c r="K2315" s="16" t="str">
        <f>VLOOKUP(I2315,episodes!$A$1:$E$81,5,FALSE)</f>
        <v>A Taste of Armageddon</v>
      </c>
      <c r="L2315" s="16">
        <f>VLOOKUP(I2315,episodes!$A$1:$D$81,3,FALSE)</f>
        <v>1</v>
      </c>
      <c r="M2315" s="16">
        <f>VLOOKUP(I2315,episodes!$A$1:$D$81,4,FALSE)</f>
        <v>23</v>
      </c>
      <c r="O2315" s="14">
        <v>0</v>
      </c>
      <c r="P2315" s="24">
        <f>LEN(E2315)+LEN(K2315)</f>
        <v>66</v>
      </c>
      <c r="Q2315" s="24">
        <f>COUNTIFS(B:B,B2314)</f>
        <v>109</v>
      </c>
      <c r="R2315" s="24">
        <f>COUNTIFS(D:D,D2315)</f>
        <v>85</v>
      </c>
    </row>
    <row r="2316" spans="1:18" x14ac:dyDescent="0.3">
      <c r="A2316" s="14">
        <v>1119</v>
      </c>
      <c r="B2316" s="21" t="s">
        <v>332</v>
      </c>
      <c r="C2316" s="21" t="s">
        <v>2605</v>
      </c>
      <c r="D2316" s="21" t="s">
        <v>1917</v>
      </c>
      <c r="E2316" s="1" t="s">
        <v>1482</v>
      </c>
      <c r="F2316" s="21" t="s">
        <v>4</v>
      </c>
      <c r="G2316" s="14">
        <v>1</v>
      </c>
      <c r="H2316" s="14">
        <v>0</v>
      </c>
      <c r="I2316" s="25">
        <v>103</v>
      </c>
      <c r="J2316" s="23">
        <f>VLOOKUP(I2316,episodes!$A$1:$B$76,2,FALSE)</f>
        <v>4</v>
      </c>
      <c r="K2316" s="16" t="str">
        <f>VLOOKUP(I2316,episodes!$A$1:$E$81,5,FALSE)</f>
        <v>Where No Man Has Gone Before</v>
      </c>
      <c r="L2316" s="16">
        <f>VLOOKUP(I2316,episodes!$A$1:$D$81,3,FALSE)</f>
        <v>1</v>
      </c>
      <c r="M2316" s="16">
        <f>VLOOKUP(I2316,episodes!$A$1:$D$81,4,FALSE)</f>
        <v>3</v>
      </c>
      <c r="O2316" s="14">
        <v>0</v>
      </c>
      <c r="P2316" s="24">
        <f>LEN(E2316)+LEN(K2316)</f>
        <v>103</v>
      </c>
      <c r="Q2316" s="24">
        <f>COUNTIFS(B:B,B2314)</f>
        <v>109</v>
      </c>
      <c r="R2316" s="24">
        <f>COUNTIFS(D:D,D2316)</f>
        <v>85</v>
      </c>
    </row>
    <row r="2317" spans="1:18" x14ac:dyDescent="0.3">
      <c r="A2317" s="14">
        <v>846</v>
      </c>
      <c r="B2317" s="21" t="s">
        <v>332</v>
      </c>
      <c r="C2317" s="21" t="s">
        <v>2605</v>
      </c>
      <c r="D2317" s="21" t="s">
        <v>1917</v>
      </c>
      <c r="E2317" s="1" t="s">
        <v>700</v>
      </c>
      <c r="F2317" s="21" t="s">
        <v>4</v>
      </c>
      <c r="G2317" s="14">
        <v>1</v>
      </c>
      <c r="H2317" s="14">
        <v>0</v>
      </c>
      <c r="I2317" s="22">
        <v>125</v>
      </c>
      <c r="J2317" s="23">
        <f>VLOOKUP(I2317,episodes!$A$1:$B$76,2,FALSE)</f>
        <v>26</v>
      </c>
      <c r="K2317" s="16" t="str">
        <f>VLOOKUP(I2317,episodes!$A$1:$E$81,5,FALSE)</f>
        <v>The Devil in the Dark</v>
      </c>
      <c r="L2317" s="16">
        <f>VLOOKUP(I2317,episodes!$A$1:$D$81,3,FALSE)</f>
        <v>1</v>
      </c>
      <c r="M2317" s="16">
        <f>VLOOKUP(I2317,episodes!$A$1:$D$81,4,FALSE)</f>
        <v>25</v>
      </c>
      <c r="O2317" s="14">
        <v>0</v>
      </c>
      <c r="P2317" s="24">
        <f>LEN(E2317)+LEN(K2317)</f>
        <v>65</v>
      </c>
      <c r="Q2317" s="24">
        <f>COUNTIFS(B:B,B2316)</f>
        <v>109</v>
      </c>
      <c r="R2317" s="24">
        <f>COUNTIFS(D:D,D2317)</f>
        <v>85</v>
      </c>
    </row>
    <row r="2318" spans="1:18" x14ac:dyDescent="0.3">
      <c r="A2318" s="14">
        <v>539</v>
      </c>
      <c r="B2318" s="21" t="s">
        <v>332</v>
      </c>
      <c r="C2318" s="21" t="s">
        <v>2605</v>
      </c>
      <c r="D2318" s="21" t="s">
        <v>1917</v>
      </c>
      <c r="E2318" s="1" t="s">
        <v>2333</v>
      </c>
      <c r="F2318" s="21" t="s">
        <v>4</v>
      </c>
      <c r="G2318" s="14">
        <v>1</v>
      </c>
      <c r="H2318" s="14">
        <v>0</v>
      </c>
      <c r="I2318" s="22">
        <v>121</v>
      </c>
      <c r="J2318" s="23">
        <f>VLOOKUP(I2318,episodes!$A$1:$B$76,2,FALSE)</f>
        <v>22</v>
      </c>
      <c r="K2318" s="16" t="str">
        <f>VLOOKUP(I2318,episodes!$A$1:$E$81,5,FALSE)</f>
        <v>The Return of the Archons</v>
      </c>
      <c r="L2318" s="16">
        <f>VLOOKUP(I2318,episodes!$A$1:$D$81,3,FALSE)</f>
        <v>1</v>
      </c>
      <c r="M2318" s="16">
        <f>VLOOKUP(I2318,episodes!$A$1:$D$81,4,FALSE)</f>
        <v>21</v>
      </c>
      <c r="O2318" s="14">
        <v>0</v>
      </c>
      <c r="P2318" s="24">
        <f>LEN(E2318)+LEN(K2318)</f>
        <v>87</v>
      </c>
      <c r="Q2318" s="24">
        <f>COUNTIFS(B:B,B2317)</f>
        <v>109</v>
      </c>
      <c r="R2318" s="24">
        <f>COUNTIFS(D:D,D2318)</f>
        <v>85</v>
      </c>
    </row>
    <row r="2319" spans="1:18" x14ac:dyDescent="0.3">
      <c r="A2319" s="14">
        <v>1121</v>
      </c>
      <c r="B2319" s="21" t="s">
        <v>332</v>
      </c>
      <c r="C2319" s="21" t="s">
        <v>2605</v>
      </c>
      <c r="D2319" s="21" t="s">
        <v>1917</v>
      </c>
      <c r="E2319" s="1" t="s">
        <v>1488</v>
      </c>
      <c r="F2319" s="21" t="s">
        <v>4</v>
      </c>
      <c r="G2319" s="14">
        <v>1</v>
      </c>
      <c r="H2319" s="14">
        <v>0</v>
      </c>
      <c r="I2319" s="25">
        <v>103</v>
      </c>
      <c r="J2319" s="23">
        <f>VLOOKUP(I2319,episodes!$A$1:$B$76,2,FALSE)</f>
        <v>4</v>
      </c>
      <c r="K2319" s="16" t="str">
        <f>VLOOKUP(I2319,episodes!$A$1:$E$81,5,FALSE)</f>
        <v>Where No Man Has Gone Before</v>
      </c>
      <c r="L2319" s="16">
        <f>VLOOKUP(I2319,episodes!$A$1:$D$81,3,FALSE)</f>
        <v>1</v>
      </c>
      <c r="M2319" s="16">
        <f>VLOOKUP(I2319,episodes!$A$1:$D$81,4,FALSE)</f>
        <v>3</v>
      </c>
      <c r="O2319" s="14">
        <v>0</v>
      </c>
      <c r="P2319" s="24">
        <f>LEN(E2319)+LEN(K2319)</f>
        <v>176</v>
      </c>
      <c r="Q2319" s="24">
        <f>COUNTIFS(B:B,B2317)</f>
        <v>109</v>
      </c>
      <c r="R2319" s="24">
        <f>COUNTIFS(D:D,D2319)</f>
        <v>85</v>
      </c>
    </row>
    <row r="2320" spans="1:18" x14ac:dyDescent="0.3">
      <c r="A2320" s="14">
        <v>884</v>
      </c>
      <c r="B2320" s="21" t="s">
        <v>332</v>
      </c>
      <c r="C2320" s="21" t="s">
        <v>2605</v>
      </c>
      <c r="D2320" s="21" t="s">
        <v>1917</v>
      </c>
      <c r="E2320" s="1" t="s">
        <v>792</v>
      </c>
      <c r="F2320" s="21" t="s">
        <v>4</v>
      </c>
      <c r="G2320" s="14">
        <v>1</v>
      </c>
      <c r="H2320" s="14">
        <v>0</v>
      </c>
      <c r="I2320" s="22">
        <v>129</v>
      </c>
      <c r="J2320" s="23">
        <f>VLOOKUP(I2320,episodes!$A$1:$B$76,2,FALSE)</f>
        <v>30</v>
      </c>
      <c r="K2320" s="16" t="str">
        <f>VLOOKUP(I2320,episodes!$A$1:$E$81,5,FALSE)</f>
        <v>Operation: Annihilate!</v>
      </c>
      <c r="L2320" s="16">
        <f>VLOOKUP(I2320,episodes!$A$1:$D$81,3,FALSE)</f>
        <v>1</v>
      </c>
      <c r="M2320" s="16">
        <f>VLOOKUP(I2320,episodes!$A$1:$D$81,4,FALSE)</f>
        <v>29</v>
      </c>
      <c r="O2320" s="14">
        <v>0</v>
      </c>
      <c r="P2320" s="24">
        <f>LEN(E2320)+LEN(K2320)</f>
        <v>89</v>
      </c>
      <c r="Q2320" s="24">
        <f>COUNTIFS(B:B,B2319)</f>
        <v>109</v>
      </c>
      <c r="R2320" s="24">
        <f>COUNTIFS(D:D,D2320)</f>
        <v>85</v>
      </c>
    </row>
    <row r="2321" spans="1:18" x14ac:dyDescent="0.3">
      <c r="A2321" s="14">
        <v>858</v>
      </c>
      <c r="B2321" s="21" t="s">
        <v>332</v>
      </c>
      <c r="C2321" s="21" t="s">
        <v>2605</v>
      </c>
      <c r="D2321" s="21" t="s">
        <v>1917</v>
      </c>
      <c r="E2321" s="1" t="s">
        <v>711</v>
      </c>
      <c r="F2321" s="21" t="s">
        <v>4</v>
      </c>
      <c r="G2321" s="14">
        <v>1</v>
      </c>
      <c r="H2321" s="14">
        <v>0</v>
      </c>
      <c r="I2321" s="22">
        <v>126</v>
      </c>
      <c r="J2321" s="23">
        <f>VLOOKUP(I2321,episodes!$A$1:$B$76,2,FALSE)</f>
        <v>27</v>
      </c>
      <c r="K2321" s="16" t="str">
        <f>VLOOKUP(I2321,episodes!$A$1:$E$81,5,FALSE)</f>
        <v>Errand of Mercy</v>
      </c>
      <c r="L2321" s="16">
        <f>VLOOKUP(I2321,episodes!$A$1:$D$81,3,FALSE)</f>
        <v>1</v>
      </c>
      <c r="M2321" s="16">
        <f>VLOOKUP(I2321,episodes!$A$1:$D$81,4,FALSE)</f>
        <v>26</v>
      </c>
      <c r="O2321" s="14">
        <v>0</v>
      </c>
      <c r="P2321" s="24">
        <f>LEN(E2321)+LEN(K2321)</f>
        <v>46</v>
      </c>
      <c r="Q2321" s="24">
        <f>COUNTIFS(B:B,B2320)</f>
        <v>109</v>
      </c>
      <c r="R2321" s="24">
        <f>COUNTIFS(D:D,D2321)</f>
        <v>85</v>
      </c>
    </row>
    <row r="2322" spans="1:18" x14ac:dyDescent="0.3">
      <c r="A2322" s="14">
        <v>792</v>
      </c>
      <c r="B2322" s="21" t="s">
        <v>332</v>
      </c>
      <c r="C2322" s="21" t="s">
        <v>2605</v>
      </c>
      <c r="D2322" s="21" t="s">
        <v>1917</v>
      </c>
      <c r="E2322" s="1" t="s">
        <v>1309</v>
      </c>
      <c r="F2322" s="21" t="s">
        <v>4</v>
      </c>
      <c r="G2322" s="14">
        <v>1</v>
      </c>
      <c r="H2322" s="14">
        <v>0</v>
      </c>
      <c r="I2322" s="22">
        <v>121</v>
      </c>
      <c r="J2322" s="23">
        <f>VLOOKUP(I2322,episodes!$A$1:$B$76,2,FALSE)</f>
        <v>22</v>
      </c>
      <c r="K2322" s="16" t="str">
        <f>VLOOKUP(I2322,episodes!$A$1:$E$81,5,FALSE)</f>
        <v>The Return of the Archons</v>
      </c>
      <c r="L2322" s="16">
        <f>VLOOKUP(I2322,episodes!$A$1:$D$81,3,FALSE)</f>
        <v>1</v>
      </c>
      <c r="M2322" s="16">
        <f>VLOOKUP(I2322,episodes!$A$1:$D$81,4,FALSE)</f>
        <v>21</v>
      </c>
      <c r="O2322" s="14">
        <v>0</v>
      </c>
      <c r="P2322" s="24">
        <f>LEN(E2322)+LEN(K2322)</f>
        <v>59</v>
      </c>
      <c r="Q2322" s="24">
        <f>COUNTIFS(B:B,B2321)</f>
        <v>109</v>
      </c>
      <c r="R2322" s="24">
        <f>COUNTIFS(D:D,D2322)</f>
        <v>85</v>
      </c>
    </row>
    <row r="2323" spans="1:18" x14ac:dyDescent="0.3">
      <c r="A2323" s="14">
        <v>793</v>
      </c>
      <c r="B2323" s="21" t="s">
        <v>332</v>
      </c>
      <c r="C2323" s="21" t="s">
        <v>2605</v>
      </c>
      <c r="D2323" s="21" t="s">
        <v>1917</v>
      </c>
      <c r="E2323" s="1" t="s">
        <v>1310</v>
      </c>
      <c r="F2323" s="21" t="s">
        <v>4</v>
      </c>
      <c r="G2323" s="14">
        <v>1</v>
      </c>
      <c r="H2323" s="14">
        <v>0</v>
      </c>
      <c r="I2323" s="22">
        <v>121</v>
      </c>
      <c r="J2323" s="23">
        <f>VLOOKUP(I2323,episodes!$A$1:$B$76,2,FALSE)</f>
        <v>22</v>
      </c>
      <c r="K2323" s="16" t="str">
        <f>VLOOKUP(I2323,episodes!$A$1:$E$81,5,FALSE)</f>
        <v>The Return of the Archons</v>
      </c>
      <c r="L2323" s="16">
        <f>VLOOKUP(I2323,episodes!$A$1:$D$81,3,FALSE)</f>
        <v>1</v>
      </c>
      <c r="M2323" s="16">
        <f>VLOOKUP(I2323,episodes!$A$1:$D$81,4,FALSE)</f>
        <v>21</v>
      </c>
      <c r="O2323" s="14">
        <v>0</v>
      </c>
      <c r="P2323" s="24">
        <f>LEN(E2323)+LEN(K2323)</f>
        <v>47</v>
      </c>
      <c r="Q2323" s="24">
        <f>COUNTIFS(B:B,B2322)</f>
        <v>109</v>
      </c>
      <c r="R2323" s="24">
        <f>COUNTIFS(D:D,D2323)</f>
        <v>85</v>
      </c>
    </row>
    <row r="2324" spans="1:18" x14ac:dyDescent="0.3">
      <c r="A2324" s="14">
        <v>595</v>
      </c>
      <c r="B2324" s="21" t="s">
        <v>332</v>
      </c>
      <c r="C2324" s="21" t="s">
        <v>2605</v>
      </c>
      <c r="D2324" s="21" t="s">
        <v>1917</v>
      </c>
      <c r="E2324" s="1" t="s">
        <v>1225</v>
      </c>
      <c r="F2324" s="21" t="s">
        <v>4</v>
      </c>
      <c r="G2324" s="14">
        <v>1</v>
      </c>
      <c r="H2324" s="14">
        <v>0</v>
      </c>
      <c r="I2324" s="25">
        <v>105</v>
      </c>
      <c r="J2324" s="23">
        <f>VLOOKUP(I2324,episodes!$A$1:$B$76,2,FALSE)</f>
        <v>6</v>
      </c>
      <c r="K2324" s="16" t="str">
        <f>VLOOKUP(I2324,episodes!$A$1:$E$81,5,FALSE)</f>
        <v>The Enemy Within</v>
      </c>
      <c r="L2324" s="16">
        <f>VLOOKUP(I2324,episodes!$A$1:$D$81,3,FALSE)</f>
        <v>1</v>
      </c>
      <c r="M2324" s="16">
        <f>VLOOKUP(I2324,episodes!$A$1:$D$81,4,FALSE)</f>
        <v>5</v>
      </c>
      <c r="O2324" s="14">
        <v>0</v>
      </c>
      <c r="P2324" s="24">
        <f>LEN(E2324)+LEN(K2324)</f>
        <v>49</v>
      </c>
      <c r="Q2324" s="24">
        <f>COUNTIFS(B:B,B2323)</f>
        <v>109</v>
      </c>
      <c r="R2324" s="24">
        <f>COUNTIFS(D:D,D2324)</f>
        <v>85</v>
      </c>
    </row>
    <row r="2325" spans="1:18" x14ac:dyDescent="0.3">
      <c r="A2325" s="14">
        <v>558</v>
      </c>
      <c r="B2325" s="21" t="s">
        <v>332</v>
      </c>
      <c r="C2325" s="21" t="s">
        <v>2605</v>
      </c>
      <c r="D2325" s="21" t="s">
        <v>1917</v>
      </c>
      <c r="E2325" s="1" t="s">
        <v>1208</v>
      </c>
      <c r="F2325" s="21" t="s">
        <v>4</v>
      </c>
      <c r="G2325" s="14">
        <v>1</v>
      </c>
      <c r="H2325" s="14">
        <v>0</v>
      </c>
      <c r="I2325" s="25">
        <v>101</v>
      </c>
      <c r="J2325" s="23">
        <f>VLOOKUP(I2325,episodes!$A$1:$B$76,2,FALSE)</f>
        <v>2</v>
      </c>
      <c r="K2325" s="16" t="str">
        <f>VLOOKUP(I2325,episodes!$A$1:$E$81,5,FALSE)</f>
        <v>The Man Trap</v>
      </c>
      <c r="L2325" s="16">
        <f>VLOOKUP(I2325,episodes!$A$1:$D$81,3,FALSE)</f>
        <v>1</v>
      </c>
      <c r="M2325" s="16">
        <f>VLOOKUP(I2325,episodes!$A$1:$D$81,4,FALSE)</f>
        <v>1</v>
      </c>
      <c r="O2325" s="14">
        <v>0</v>
      </c>
      <c r="P2325" s="24">
        <f>LEN(E2325)+LEN(K2325)</f>
        <v>38</v>
      </c>
      <c r="Q2325" s="24">
        <f>COUNTIFS(B:B,B2324)</f>
        <v>109</v>
      </c>
      <c r="R2325" s="24">
        <f>COUNTIFS(D:D,D2325)</f>
        <v>85</v>
      </c>
    </row>
    <row r="2326" spans="1:18" x14ac:dyDescent="0.3">
      <c r="A2326" s="14">
        <v>589</v>
      </c>
      <c r="B2326" s="21" t="s">
        <v>332</v>
      </c>
      <c r="C2326" s="21" t="s">
        <v>2605</v>
      </c>
      <c r="D2326" s="21" t="s">
        <v>1917</v>
      </c>
      <c r="E2326" s="1" t="s">
        <v>1208</v>
      </c>
      <c r="F2326" s="21" t="s">
        <v>4</v>
      </c>
      <c r="G2326" s="14">
        <v>1</v>
      </c>
      <c r="H2326" s="14">
        <v>0</v>
      </c>
      <c r="I2326" s="25">
        <v>104</v>
      </c>
      <c r="J2326" s="23">
        <f>VLOOKUP(I2326,episodes!$A$1:$B$76,2,FALSE)</f>
        <v>5</v>
      </c>
      <c r="K2326" s="16" t="str">
        <f>VLOOKUP(I2326,episodes!$A$1:$E$81,5,FALSE)</f>
        <v>The Naked Time</v>
      </c>
      <c r="L2326" s="16">
        <f>VLOOKUP(I2326,episodes!$A$1:$D$81,3,FALSE)</f>
        <v>1</v>
      </c>
      <c r="M2326" s="16">
        <f>VLOOKUP(I2326,episodes!$A$1:$D$81,4,FALSE)</f>
        <v>4</v>
      </c>
      <c r="O2326" s="14">
        <v>0</v>
      </c>
      <c r="P2326" s="24">
        <f>LEN(E2326)+LEN(K2326)</f>
        <v>40</v>
      </c>
      <c r="Q2326" s="24">
        <f>COUNTIFS(B:B,B2325)</f>
        <v>109</v>
      </c>
      <c r="R2326" s="24">
        <f>COUNTIFS(D:D,D2326)</f>
        <v>85</v>
      </c>
    </row>
    <row r="2327" spans="1:18" x14ac:dyDescent="0.3">
      <c r="A2327" s="14">
        <v>646</v>
      </c>
      <c r="B2327" s="21" t="s">
        <v>332</v>
      </c>
      <c r="C2327" s="21" t="s">
        <v>2605</v>
      </c>
      <c r="D2327" s="21" t="s">
        <v>1917</v>
      </c>
      <c r="E2327" s="1" t="s">
        <v>1208</v>
      </c>
      <c r="F2327" s="21" t="s">
        <v>4</v>
      </c>
      <c r="G2327" s="14">
        <v>1</v>
      </c>
      <c r="H2327" s="14">
        <v>0</v>
      </c>
      <c r="I2327" s="25">
        <v>108</v>
      </c>
      <c r="J2327" s="23">
        <f>VLOOKUP(I2327,episodes!$A$1:$B$76,2,FALSE)</f>
        <v>9</v>
      </c>
      <c r="K2327" s="16" t="str">
        <f>VLOOKUP(I2327,episodes!$A$1:$E$81,5,FALSE)</f>
        <v>Miri</v>
      </c>
      <c r="L2327" s="16">
        <f>VLOOKUP(I2327,episodes!$A$1:$D$81,3,FALSE)</f>
        <v>1</v>
      </c>
      <c r="M2327" s="16">
        <f>VLOOKUP(I2327,episodes!$A$1:$D$81,4,FALSE)</f>
        <v>8</v>
      </c>
      <c r="O2327" s="14">
        <v>0</v>
      </c>
      <c r="P2327" s="24">
        <f>LEN(E2327)+LEN(K2327)</f>
        <v>30</v>
      </c>
      <c r="Q2327" s="24">
        <f>COUNTIFS(B:B,B2326)</f>
        <v>109</v>
      </c>
      <c r="R2327" s="24">
        <f>COUNTIFS(D:D,D2327)</f>
        <v>85</v>
      </c>
    </row>
    <row r="2328" spans="1:18" x14ac:dyDescent="0.3">
      <c r="A2328" s="14">
        <v>859</v>
      </c>
      <c r="B2328" s="21" t="s">
        <v>332</v>
      </c>
      <c r="C2328" s="21" t="s">
        <v>2605</v>
      </c>
      <c r="D2328" s="21" t="s">
        <v>1917</v>
      </c>
      <c r="E2328" s="1" t="s">
        <v>1344</v>
      </c>
      <c r="F2328" s="21" t="s">
        <v>4</v>
      </c>
      <c r="G2328" s="14">
        <v>1</v>
      </c>
      <c r="H2328" s="14">
        <v>0</v>
      </c>
      <c r="I2328" s="22">
        <v>126</v>
      </c>
      <c r="J2328" s="23">
        <f>VLOOKUP(I2328,episodes!$A$1:$B$76,2,FALSE)</f>
        <v>27</v>
      </c>
      <c r="K2328" s="16" t="str">
        <f>VLOOKUP(I2328,episodes!$A$1:$E$81,5,FALSE)</f>
        <v>Errand of Mercy</v>
      </c>
      <c r="L2328" s="16">
        <f>VLOOKUP(I2328,episodes!$A$1:$D$81,3,FALSE)</f>
        <v>1</v>
      </c>
      <c r="M2328" s="16">
        <f>VLOOKUP(I2328,episodes!$A$1:$D$81,4,FALSE)</f>
        <v>26</v>
      </c>
      <c r="O2328" s="14">
        <v>0</v>
      </c>
      <c r="P2328" s="24">
        <f>LEN(E2328)+LEN(K2328)</f>
        <v>45</v>
      </c>
      <c r="Q2328" s="24">
        <f>COUNTIFS(B:B,B2327)</f>
        <v>109</v>
      </c>
      <c r="R2328" s="24">
        <f>COUNTIFS(D:D,D2328)</f>
        <v>85</v>
      </c>
    </row>
    <row r="2329" spans="1:18" x14ac:dyDescent="0.3">
      <c r="A2329" s="14">
        <v>559</v>
      </c>
      <c r="B2329" s="21" t="s">
        <v>332</v>
      </c>
      <c r="C2329" s="21" t="s">
        <v>2605</v>
      </c>
      <c r="D2329" s="21" t="s">
        <v>1917</v>
      </c>
      <c r="E2329" s="1" t="s">
        <v>1209</v>
      </c>
      <c r="F2329" s="21" t="s">
        <v>4</v>
      </c>
      <c r="G2329" s="14">
        <v>1</v>
      </c>
      <c r="H2329" s="14">
        <v>0</v>
      </c>
      <c r="I2329" s="25">
        <v>101</v>
      </c>
      <c r="J2329" s="23">
        <f>VLOOKUP(I2329,episodes!$A$1:$B$76,2,FALSE)</f>
        <v>2</v>
      </c>
      <c r="K2329" s="16" t="str">
        <f>VLOOKUP(I2329,episodes!$A$1:$E$81,5,FALSE)</f>
        <v>The Man Trap</v>
      </c>
      <c r="L2329" s="16">
        <f>VLOOKUP(I2329,episodes!$A$1:$D$81,3,FALSE)</f>
        <v>1</v>
      </c>
      <c r="M2329" s="16">
        <f>VLOOKUP(I2329,episodes!$A$1:$D$81,4,FALSE)</f>
        <v>1</v>
      </c>
      <c r="O2329" s="14">
        <v>0</v>
      </c>
      <c r="P2329" s="24">
        <f>LEN(E2329)+LEN(K2329)</f>
        <v>42</v>
      </c>
      <c r="Q2329" s="24">
        <f>COUNTIFS(B:B,B2328)</f>
        <v>109</v>
      </c>
      <c r="R2329" s="24">
        <f>COUNTIFS(D:D,D2329)</f>
        <v>85</v>
      </c>
    </row>
    <row r="2330" spans="1:18" x14ac:dyDescent="0.3">
      <c r="A2330" s="14">
        <v>885</v>
      </c>
      <c r="B2330" s="21" t="s">
        <v>332</v>
      </c>
      <c r="C2330" s="21" t="s">
        <v>2605</v>
      </c>
      <c r="D2330" s="21" t="s">
        <v>1917</v>
      </c>
      <c r="E2330" s="1" t="s">
        <v>1374</v>
      </c>
      <c r="F2330" s="21" t="s">
        <v>4</v>
      </c>
      <c r="G2330" s="14">
        <v>1</v>
      </c>
      <c r="H2330" s="14">
        <v>0</v>
      </c>
      <c r="I2330" s="22">
        <v>129</v>
      </c>
      <c r="J2330" s="23">
        <f>VLOOKUP(I2330,episodes!$A$1:$B$76,2,FALSE)</f>
        <v>30</v>
      </c>
      <c r="K2330" s="16" t="str">
        <f>VLOOKUP(I2330,episodes!$A$1:$E$81,5,FALSE)</f>
        <v>Operation: Annihilate!</v>
      </c>
      <c r="L2330" s="16">
        <f>VLOOKUP(I2330,episodes!$A$1:$D$81,3,FALSE)</f>
        <v>1</v>
      </c>
      <c r="M2330" s="16">
        <f>VLOOKUP(I2330,episodes!$A$1:$D$81,4,FALSE)</f>
        <v>29</v>
      </c>
      <c r="O2330" s="14">
        <v>0</v>
      </c>
      <c r="P2330" s="24">
        <f>LEN(E2330)+LEN(K2330)</f>
        <v>65</v>
      </c>
      <c r="Q2330" s="24">
        <f>COUNTIFS(B:B,B2329)</f>
        <v>109</v>
      </c>
      <c r="R2330" s="24">
        <f>COUNTIFS(D:D,D2330)</f>
        <v>85</v>
      </c>
    </row>
    <row r="2331" spans="1:18" x14ac:dyDescent="0.3">
      <c r="A2331" s="14">
        <v>596</v>
      </c>
      <c r="B2331" s="21" t="s">
        <v>332</v>
      </c>
      <c r="C2331" s="21" t="s">
        <v>2605</v>
      </c>
      <c r="D2331" s="21" t="s">
        <v>1917</v>
      </c>
      <c r="E2331" s="1" t="s">
        <v>1541</v>
      </c>
      <c r="F2331" s="21" t="s">
        <v>4</v>
      </c>
      <c r="G2331" s="14">
        <v>1</v>
      </c>
      <c r="H2331" s="14">
        <v>0</v>
      </c>
      <c r="I2331" s="25">
        <v>105</v>
      </c>
      <c r="J2331" s="23">
        <f>VLOOKUP(I2331,episodes!$A$1:$B$76,2,FALSE)</f>
        <v>6</v>
      </c>
      <c r="K2331" s="16" t="str">
        <f>VLOOKUP(I2331,episodes!$A$1:$E$81,5,FALSE)</f>
        <v>The Enemy Within</v>
      </c>
      <c r="L2331" s="16">
        <f>VLOOKUP(I2331,episodes!$A$1:$D$81,3,FALSE)</f>
        <v>1</v>
      </c>
      <c r="M2331" s="16">
        <f>VLOOKUP(I2331,episodes!$A$1:$D$81,4,FALSE)</f>
        <v>5</v>
      </c>
      <c r="O2331" s="14">
        <v>0</v>
      </c>
      <c r="P2331" s="24">
        <f>LEN(E2331)+LEN(K2331)</f>
        <v>152</v>
      </c>
      <c r="Q2331" s="24">
        <f>COUNTIFS(B:B,B2330)</f>
        <v>109</v>
      </c>
      <c r="R2331" s="24">
        <f>COUNTIFS(D:D,D2331)</f>
        <v>85</v>
      </c>
    </row>
    <row r="2332" spans="1:18" x14ac:dyDescent="0.3">
      <c r="A2332" s="14">
        <v>3004</v>
      </c>
      <c r="B2332" s="21" t="s">
        <v>332</v>
      </c>
      <c r="C2332" s="21" t="s">
        <v>2605</v>
      </c>
      <c r="D2332" s="1" t="s">
        <v>1917</v>
      </c>
      <c r="E2332" s="1" t="s">
        <v>2825</v>
      </c>
      <c r="F2332" s="21" t="s">
        <v>60</v>
      </c>
      <c r="G2332" s="14">
        <v>0</v>
      </c>
      <c r="H2332" s="14">
        <v>0</v>
      </c>
      <c r="I2332" s="22">
        <v>211</v>
      </c>
      <c r="J2332" s="23">
        <f>VLOOKUP(I2332,episodes!$A$1:$B$76,2,FALSE)</f>
        <v>41</v>
      </c>
      <c r="K2332" s="16" t="str">
        <f>VLOOKUP(I2332,episodes!$A$1:$E$81,5,FALSE)</f>
        <v>Friday's Child</v>
      </c>
      <c r="L2332" s="16">
        <f>VLOOKUP(I2332,episodes!$A$1:$D$81,3,FALSE)</f>
        <v>2</v>
      </c>
      <c r="M2332" s="16">
        <f>VLOOKUP(I2332,episodes!$A$1:$D$81,4,FALSE)</f>
        <v>11</v>
      </c>
      <c r="O2332" s="14">
        <v>0</v>
      </c>
      <c r="P2332" s="24">
        <f>LEN(E2332)+LEN(K2332)</f>
        <v>56</v>
      </c>
      <c r="Q2332" s="24"/>
      <c r="R2332" s="24"/>
    </row>
    <row r="2333" spans="1:18" x14ac:dyDescent="0.3">
      <c r="A2333" s="14">
        <v>3003</v>
      </c>
      <c r="B2333" s="21" t="s">
        <v>332</v>
      </c>
      <c r="C2333" s="21" t="s">
        <v>2605</v>
      </c>
      <c r="D2333" s="1" t="s">
        <v>1917</v>
      </c>
      <c r="E2333" s="1" t="s">
        <v>2824</v>
      </c>
      <c r="F2333" s="21" t="s">
        <v>60</v>
      </c>
      <c r="G2333" s="14">
        <v>0</v>
      </c>
      <c r="H2333" s="14">
        <v>0</v>
      </c>
      <c r="I2333" s="22">
        <v>211</v>
      </c>
      <c r="J2333" s="23">
        <f>VLOOKUP(I2333,episodes!$A$1:$B$76,2,FALSE)</f>
        <v>41</v>
      </c>
      <c r="K2333" s="16" t="str">
        <f>VLOOKUP(I2333,episodes!$A$1:$E$81,5,FALSE)</f>
        <v>Friday's Child</v>
      </c>
      <c r="L2333" s="16">
        <f>VLOOKUP(I2333,episodes!$A$1:$D$81,3,FALSE)</f>
        <v>2</v>
      </c>
      <c r="M2333" s="16">
        <f>VLOOKUP(I2333,episodes!$A$1:$D$81,4,FALSE)</f>
        <v>11</v>
      </c>
      <c r="O2333" s="14">
        <v>0</v>
      </c>
      <c r="P2333" s="24">
        <f>LEN(E2333)+LEN(K2333)</f>
        <v>59</v>
      </c>
      <c r="Q2333" s="24"/>
      <c r="R2333" s="24"/>
    </row>
    <row r="2334" spans="1:18" x14ac:dyDescent="0.3">
      <c r="A2334" s="14">
        <v>3001</v>
      </c>
      <c r="B2334" s="21" t="s">
        <v>332</v>
      </c>
      <c r="C2334" s="21" t="s">
        <v>2605</v>
      </c>
      <c r="D2334" s="1" t="s">
        <v>1917</v>
      </c>
      <c r="E2334" s="1" t="s">
        <v>2822</v>
      </c>
      <c r="F2334" s="21" t="s">
        <v>60</v>
      </c>
      <c r="G2334" s="14">
        <v>0</v>
      </c>
      <c r="H2334" s="14">
        <v>0</v>
      </c>
      <c r="I2334" s="22">
        <v>211</v>
      </c>
      <c r="J2334" s="23">
        <f>VLOOKUP(I2334,episodes!$A$1:$B$76,2,FALSE)</f>
        <v>41</v>
      </c>
      <c r="K2334" s="16" t="str">
        <f>VLOOKUP(I2334,episodes!$A$1:$E$81,5,FALSE)</f>
        <v>Friday's Child</v>
      </c>
      <c r="L2334" s="16">
        <f>VLOOKUP(I2334,episodes!$A$1:$D$81,3,FALSE)</f>
        <v>2</v>
      </c>
      <c r="M2334" s="16">
        <f>VLOOKUP(I2334,episodes!$A$1:$D$81,4,FALSE)</f>
        <v>11</v>
      </c>
      <c r="O2334" s="14">
        <v>0</v>
      </c>
      <c r="P2334" s="24">
        <f>LEN(E2334)+LEN(K2334)</f>
        <v>60</v>
      </c>
      <c r="Q2334" s="24"/>
      <c r="R2334" s="24"/>
    </row>
    <row r="2335" spans="1:18" x14ac:dyDescent="0.3">
      <c r="A2335" s="14">
        <v>1040</v>
      </c>
      <c r="B2335" s="21" t="s">
        <v>277</v>
      </c>
      <c r="C2335" s="21" t="s">
        <v>2605</v>
      </c>
      <c r="D2335" s="21" t="s">
        <v>1917</v>
      </c>
      <c r="E2335" s="1" t="s">
        <v>1769</v>
      </c>
      <c r="F2335" s="21" t="s">
        <v>2295</v>
      </c>
      <c r="G2335" s="14">
        <v>0</v>
      </c>
      <c r="H2335" s="14">
        <v>0</v>
      </c>
      <c r="I2335" s="25">
        <v>113</v>
      </c>
      <c r="J2335" s="23">
        <f>VLOOKUP(I2335,episodes!$A$1:$B$76,2,FALSE)</f>
        <v>14</v>
      </c>
      <c r="K2335" s="16" t="str">
        <f>VLOOKUP(I2335,episodes!$A$1:$E$81,5,FALSE)</f>
        <v>The Conscience of the King</v>
      </c>
      <c r="L2335" s="16">
        <f>VLOOKUP(I2335,episodes!$A$1:$D$81,3,FALSE)</f>
        <v>1</v>
      </c>
      <c r="M2335" s="16">
        <f>VLOOKUP(I2335,episodes!$A$1:$D$81,4,FALSE)</f>
        <v>13</v>
      </c>
      <c r="O2335" s="14">
        <v>0</v>
      </c>
      <c r="P2335" s="24">
        <f>LEN(E2335)+LEN(K2335)</f>
        <v>107</v>
      </c>
      <c r="Q2335" s="24"/>
      <c r="R2335" s="24"/>
    </row>
    <row r="2336" spans="1:18" x14ac:dyDescent="0.3">
      <c r="A2336" s="14">
        <v>1466</v>
      </c>
      <c r="B2336" s="21" t="s">
        <v>332</v>
      </c>
      <c r="C2336" s="21" t="s">
        <v>2605</v>
      </c>
      <c r="D2336" s="21" t="s">
        <v>1917</v>
      </c>
      <c r="E2336" s="1" t="s">
        <v>488</v>
      </c>
      <c r="F2336" s="21" t="s">
        <v>2295</v>
      </c>
      <c r="G2336" s="14">
        <v>0</v>
      </c>
      <c r="H2336" s="14">
        <v>0</v>
      </c>
      <c r="I2336" s="25">
        <v>113</v>
      </c>
      <c r="J2336" s="23">
        <f>VLOOKUP(I2336,episodes!$A$1:$B$76,2,FALSE)</f>
        <v>14</v>
      </c>
      <c r="K2336" s="16" t="str">
        <f>VLOOKUP(I2336,episodes!$A$1:$E$81,5,FALSE)</f>
        <v>The Conscience of the King</v>
      </c>
      <c r="L2336" s="16">
        <f>VLOOKUP(I2336,episodes!$A$1:$D$81,3,FALSE)</f>
        <v>1</v>
      </c>
      <c r="M2336" s="16">
        <f>VLOOKUP(I2336,episodes!$A$1:$D$81,4,FALSE)</f>
        <v>13</v>
      </c>
      <c r="O2336" s="14">
        <v>0</v>
      </c>
      <c r="P2336" s="24">
        <f>LEN(E2336)+LEN(K2336)</f>
        <v>52</v>
      </c>
      <c r="Q2336" s="24">
        <f>COUNTIFS(B:B,B2335)</f>
        <v>2</v>
      </c>
      <c r="R2336" s="24">
        <f>COUNTIFS(D:D,D2336)</f>
        <v>85</v>
      </c>
    </row>
    <row r="2337" spans="1:18" x14ac:dyDescent="0.3">
      <c r="A2337" s="14">
        <v>215</v>
      </c>
      <c r="B2337" s="21" t="s">
        <v>332</v>
      </c>
      <c r="C2337" s="21" t="s">
        <v>2605</v>
      </c>
      <c r="D2337" s="21" t="s">
        <v>1917</v>
      </c>
      <c r="E2337" s="1" t="s">
        <v>2947</v>
      </c>
      <c r="F2337" s="21" t="s">
        <v>56</v>
      </c>
      <c r="G2337" s="14">
        <v>0</v>
      </c>
      <c r="H2337" s="14">
        <v>0</v>
      </c>
      <c r="I2337" s="22">
        <v>116</v>
      </c>
      <c r="J2337" s="23">
        <f>VLOOKUP(I2337,episodes!$A$1:$B$76,2,FALSE)</f>
        <v>17</v>
      </c>
      <c r="K2337" s="16" t="str">
        <f>VLOOKUP(I2337,episodes!$A$1:$E$81,5,FALSE)</f>
        <v>The Galileo Seven</v>
      </c>
      <c r="L2337" s="16">
        <f>VLOOKUP(I2337,episodes!$A$1:$D$81,3,FALSE)</f>
        <v>1</v>
      </c>
      <c r="M2337" s="16">
        <f>VLOOKUP(I2337,episodes!$A$1:$D$81,4,FALSE)</f>
        <v>16</v>
      </c>
      <c r="O2337" s="14">
        <v>0</v>
      </c>
      <c r="P2337" s="24">
        <f>LEN(E2337)+LEN(K2337)</f>
        <v>68</v>
      </c>
      <c r="Q2337" s="24">
        <f>COUNTIFS(B:B,B2336)</f>
        <v>109</v>
      </c>
      <c r="R2337" s="24">
        <f>COUNTIFS(D:D,D2337)</f>
        <v>85</v>
      </c>
    </row>
    <row r="2338" spans="1:18" x14ac:dyDescent="0.3">
      <c r="A2338" s="14">
        <v>216</v>
      </c>
      <c r="B2338" s="21" t="s">
        <v>332</v>
      </c>
      <c r="C2338" s="21" t="s">
        <v>2605</v>
      </c>
      <c r="D2338" s="21" t="s">
        <v>1917</v>
      </c>
      <c r="E2338" s="1" t="s">
        <v>2948</v>
      </c>
      <c r="F2338" s="21" t="s">
        <v>56</v>
      </c>
      <c r="G2338" s="14">
        <v>0</v>
      </c>
      <c r="H2338" s="14">
        <v>0</v>
      </c>
      <c r="I2338" s="22">
        <v>116</v>
      </c>
      <c r="J2338" s="23">
        <f>VLOOKUP(I2338,episodes!$A$1:$B$76,2,FALSE)</f>
        <v>17</v>
      </c>
      <c r="K2338" s="16" t="str">
        <f>VLOOKUP(I2338,episodes!$A$1:$E$81,5,FALSE)</f>
        <v>The Galileo Seven</v>
      </c>
      <c r="L2338" s="16">
        <f>VLOOKUP(I2338,episodes!$A$1:$D$81,3,FALSE)</f>
        <v>1</v>
      </c>
      <c r="M2338" s="16">
        <f>VLOOKUP(I2338,episodes!$A$1:$D$81,4,FALSE)</f>
        <v>16</v>
      </c>
      <c r="O2338" s="14">
        <v>0</v>
      </c>
      <c r="P2338" s="24">
        <f>LEN(E2338)+LEN(K2338)</f>
        <v>68</v>
      </c>
      <c r="Q2338" s="24">
        <f>COUNTIFS(B:B,B2337)</f>
        <v>109</v>
      </c>
      <c r="R2338" s="24">
        <f>COUNTIFS(D:D,D2338)</f>
        <v>85</v>
      </c>
    </row>
    <row r="2339" spans="1:18" x14ac:dyDescent="0.3">
      <c r="A2339" s="14">
        <v>217</v>
      </c>
      <c r="B2339" s="21" t="s">
        <v>332</v>
      </c>
      <c r="C2339" s="21" t="s">
        <v>2605</v>
      </c>
      <c r="D2339" s="21" t="s">
        <v>1917</v>
      </c>
      <c r="E2339" s="1" t="s">
        <v>2949</v>
      </c>
      <c r="F2339" s="21" t="s">
        <v>56</v>
      </c>
      <c r="G2339" s="14">
        <v>0</v>
      </c>
      <c r="H2339" s="14">
        <v>0</v>
      </c>
      <c r="I2339" s="22">
        <v>116</v>
      </c>
      <c r="J2339" s="23">
        <f>VLOOKUP(I2339,episodes!$A$1:$B$76,2,FALSE)</f>
        <v>17</v>
      </c>
      <c r="K2339" s="16" t="str">
        <f>VLOOKUP(I2339,episodes!$A$1:$E$81,5,FALSE)</f>
        <v>The Galileo Seven</v>
      </c>
      <c r="L2339" s="16">
        <f>VLOOKUP(I2339,episodes!$A$1:$D$81,3,FALSE)</f>
        <v>1</v>
      </c>
      <c r="M2339" s="16">
        <f>VLOOKUP(I2339,episodes!$A$1:$D$81,4,FALSE)</f>
        <v>16</v>
      </c>
      <c r="O2339" s="14">
        <v>0</v>
      </c>
      <c r="P2339" s="24">
        <f>LEN(E2339)+LEN(K2339)</f>
        <v>68</v>
      </c>
      <c r="Q2339" s="24">
        <f>COUNTIFS(B:B,B2338)</f>
        <v>109</v>
      </c>
      <c r="R2339" s="24">
        <f>COUNTIFS(D:D,D2339)</f>
        <v>85</v>
      </c>
    </row>
    <row r="2340" spans="1:18" x14ac:dyDescent="0.3">
      <c r="A2340" s="14">
        <v>218</v>
      </c>
      <c r="B2340" s="21" t="s">
        <v>332</v>
      </c>
      <c r="C2340" s="21" t="s">
        <v>2605</v>
      </c>
      <c r="D2340" s="21" t="s">
        <v>1917</v>
      </c>
      <c r="E2340" s="1" t="s">
        <v>2950</v>
      </c>
      <c r="F2340" s="21" t="s">
        <v>56</v>
      </c>
      <c r="G2340" s="14">
        <v>0</v>
      </c>
      <c r="H2340" s="14">
        <v>0</v>
      </c>
      <c r="I2340" s="22">
        <v>116</v>
      </c>
      <c r="J2340" s="23">
        <f>VLOOKUP(I2340,episodes!$A$1:$B$76,2,FALSE)</f>
        <v>17</v>
      </c>
      <c r="K2340" s="16" t="str">
        <f>VLOOKUP(I2340,episodes!$A$1:$E$81,5,FALSE)</f>
        <v>The Galileo Seven</v>
      </c>
      <c r="L2340" s="16">
        <f>VLOOKUP(I2340,episodes!$A$1:$D$81,3,FALSE)</f>
        <v>1</v>
      </c>
      <c r="M2340" s="16">
        <f>VLOOKUP(I2340,episodes!$A$1:$D$81,4,FALSE)</f>
        <v>16</v>
      </c>
      <c r="O2340" s="14">
        <v>0</v>
      </c>
      <c r="P2340" s="24">
        <f>LEN(E2340)+LEN(K2340)</f>
        <v>68</v>
      </c>
      <c r="Q2340" s="24">
        <f>COUNTIFS(B:B,B2339)</f>
        <v>109</v>
      </c>
      <c r="R2340" s="24">
        <f>COUNTIFS(D:D,D2340)</f>
        <v>85</v>
      </c>
    </row>
    <row r="2341" spans="1:18" x14ac:dyDescent="0.3">
      <c r="A2341" s="14">
        <v>219</v>
      </c>
      <c r="B2341" s="21" t="s">
        <v>332</v>
      </c>
      <c r="C2341" s="21" t="s">
        <v>2605</v>
      </c>
      <c r="D2341" s="21" t="s">
        <v>1917</v>
      </c>
      <c r="E2341" s="1" t="s">
        <v>2951</v>
      </c>
      <c r="F2341" s="21" t="s">
        <v>56</v>
      </c>
      <c r="G2341" s="14">
        <v>0</v>
      </c>
      <c r="H2341" s="14">
        <v>0</v>
      </c>
      <c r="I2341" s="22">
        <v>116</v>
      </c>
      <c r="J2341" s="23">
        <f>VLOOKUP(I2341,episodes!$A$1:$B$76,2,FALSE)</f>
        <v>17</v>
      </c>
      <c r="K2341" s="16" t="str">
        <f>VLOOKUP(I2341,episodes!$A$1:$E$81,5,FALSE)</f>
        <v>The Galileo Seven</v>
      </c>
      <c r="L2341" s="16">
        <f>VLOOKUP(I2341,episodes!$A$1:$D$81,3,FALSE)</f>
        <v>1</v>
      </c>
      <c r="M2341" s="16">
        <f>VLOOKUP(I2341,episodes!$A$1:$D$81,4,FALSE)</f>
        <v>16</v>
      </c>
      <c r="O2341" s="14">
        <v>0</v>
      </c>
      <c r="P2341" s="24">
        <f>LEN(E2341)+LEN(K2341)</f>
        <v>68</v>
      </c>
      <c r="Q2341" s="24">
        <f>COUNTIFS(B:B,B2340)</f>
        <v>109</v>
      </c>
      <c r="R2341" s="24">
        <f>COUNTIFS(D:D,D2341)</f>
        <v>85</v>
      </c>
    </row>
    <row r="2342" spans="1:18" x14ac:dyDescent="0.3">
      <c r="A2342" s="14">
        <v>220</v>
      </c>
      <c r="B2342" s="21" t="s">
        <v>332</v>
      </c>
      <c r="C2342" s="21" t="s">
        <v>2605</v>
      </c>
      <c r="D2342" s="21" t="s">
        <v>1917</v>
      </c>
      <c r="E2342" s="1" t="s">
        <v>2952</v>
      </c>
      <c r="F2342" s="21" t="s">
        <v>56</v>
      </c>
      <c r="G2342" s="14">
        <v>0</v>
      </c>
      <c r="H2342" s="14">
        <v>0</v>
      </c>
      <c r="I2342" s="22">
        <v>116</v>
      </c>
      <c r="J2342" s="23">
        <f>VLOOKUP(I2342,episodes!$A$1:$B$76,2,FALSE)</f>
        <v>17</v>
      </c>
      <c r="K2342" s="16" t="str">
        <f>VLOOKUP(I2342,episodes!$A$1:$E$81,5,FALSE)</f>
        <v>The Galileo Seven</v>
      </c>
      <c r="L2342" s="16">
        <f>VLOOKUP(I2342,episodes!$A$1:$D$81,3,FALSE)</f>
        <v>1</v>
      </c>
      <c r="M2342" s="16">
        <f>VLOOKUP(I2342,episodes!$A$1:$D$81,4,FALSE)</f>
        <v>16</v>
      </c>
      <c r="O2342" s="14">
        <v>0</v>
      </c>
      <c r="P2342" s="24">
        <f>LEN(E2342)+LEN(K2342)</f>
        <v>68</v>
      </c>
      <c r="Q2342" s="24">
        <f>COUNTIFS(B:B,B2341)</f>
        <v>109</v>
      </c>
      <c r="R2342" s="24">
        <f>COUNTIFS(D:D,D2342)</f>
        <v>85</v>
      </c>
    </row>
    <row r="2343" spans="1:18" x14ac:dyDescent="0.3">
      <c r="A2343" s="14">
        <v>1623</v>
      </c>
      <c r="B2343" s="21" t="s">
        <v>332</v>
      </c>
      <c r="C2343" s="21" t="s">
        <v>2605</v>
      </c>
      <c r="D2343" s="21" t="s">
        <v>1917</v>
      </c>
      <c r="E2343" s="1" t="s">
        <v>793</v>
      </c>
      <c r="F2343" s="21" t="s">
        <v>8</v>
      </c>
      <c r="G2343" s="14">
        <v>0</v>
      </c>
      <c r="H2343" s="14">
        <v>1</v>
      </c>
      <c r="I2343" s="22">
        <v>129</v>
      </c>
      <c r="J2343" s="23">
        <f>VLOOKUP(I2343,episodes!$A$1:$B$76,2,FALSE)</f>
        <v>30</v>
      </c>
      <c r="K2343" s="16" t="str">
        <f>VLOOKUP(I2343,episodes!$A$1:$E$81,5,FALSE)</f>
        <v>Operation: Annihilate!</v>
      </c>
      <c r="L2343" s="16">
        <f>VLOOKUP(I2343,episodes!$A$1:$D$81,3,FALSE)</f>
        <v>1</v>
      </c>
      <c r="M2343" s="16">
        <f>VLOOKUP(I2343,episodes!$A$1:$D$81,4,FALSE)</f>
        <v>29</v>
      </c>
      <c r="O2343" s="14">
        <v>0</v>
      </c>
      <c r="P2343" s="24">
        <f>LEN(E2343)+LEN(K2343)</f>
        <v>69</v>
      </c>
      <c r="Q2343" s="24">
        <f>COUNTIFS(B:B,B2342)</f>
        <v>109</v>
      </c>
      <c r="R2343" s="24">
        <f>COUNTIFS(D:D,D2343)</f>
        <v>85</v>
      </c>
    </row>
    <row r="2344" spans="1:18" x14ac:dyDescent="0.3">
      <c r="A2344" s="14">
        <v>1525</v>
      </c>
      <c r="B2344" s="21" t="s">
        <v>332</v>
      </c>
      <c r="C2344" s="21" t="s">
        <v>2605</v>
      </c>
      <c r="D2344" s="21" t="s">
        <v>1917</v>
      </c>
      <c r="E2344" s="1" t="s">
        <v>2128</v>
      </c>
      <c r="F2344" s="21" t="s">
        <v>8</v>
      </c>
      <c r="G2344" s="14">
        <v>0</v>
      </c>
      <c r="H2344" s="14">
        <v>1</v>
      </c>
      <c r="I2344" s="25">
        <v>101</v>
      </c>
      <c r="J2344" s="23">
        <f>VLOOKUP(I2344,episodes!$A$1:$B$76,2,FALSE)</f>
        <v>2</v>
      </c>
      <c r="K2344" s="16" t="str">
        <f>VLOOKUP(I2344,episodes!$A$1:$E$81,5,FALSE)</f>
        <v>The Man Trap</v>
      </c>
      <c r="L2344" s="16">
        <f>VLOOKUP(I2344,episodes!$A$1:$D$81,3,FALSE)</f>
        <v>1</v>
      </c>
      <c r="M2344" s="16">
        <f>VLOOKUP(I2344,episodes!$A$1:$D$81,4,FALSE)</f>
        <v>1</v>
      </c>
      <c r="O2344" s="14">
        <v>0</v>
      </c>
      <c r="P2344" s="24">
        <f>LEN(E2344)+LEN(K2344)</f>
        <v>83</v>
      </c>
      <c r="Q2344" s="24">
        <f>COUNTIFS(B:B,B2343)</f>
        <v>109</v>
      </c>
      <c r="R2344" s="24">
        <f>COUNTIFS(D:D,D2344)</f>
        <v>85</v>
      </c>
    </row>
    <row r="2345" spans="1:18" x14ac:dyDescent="0.3">
      <c r="A2345" s="14">
        <v>1797</v>
      </c>
      <c r="B2345" s="21" t="s">
        <v>332</v>
      </c>
      <c r="C2345" s="21" t="s">
        <v>2605</v>
      </c>
      <c r="D2345" s="21" t="s">
        <v>1917</v>
      </c>
      <c r="E2345" s="1" t="s">
        <v>1203</v>
      </c>
      <c r="F2345" s="21" t="s">
        <v>2250</v>
      </c>
      <c r="G2345" s="14">
        <v>0</v>
      </c>
      <c r="H2345" s="14">
        <v>0</v>
      </c>
      <c r="I2345" s="25">
        <v>100</v>
      </c>
      <c r="J2345" s="23">
        <f>VLOOKUP(I2345,episodes!$A$1:$B$76,2,FALSE)</f>
        <v>1</v>
      </c>
      <c r="K2345" s="16" t="str">
        <f>VLOOKUP(I2345,episodes!$A$1:$E$81,5,FALSE)</f>
        <v>The Cage</v>
      </c>
      <c r="L2345" s="16">
        <f>VLOOKUP(I2345,episodes!$A$1:$D$81,3,FALSE)</f>
        <v>1</v>
      </c>
      <c r="M2345" s="16">
        <f>VLOOKUP(I2345,episodes!$A$1:$D$81,4,FALSE)</f>
        <v>0</v>
      </c>
      <c r="O2345" s="14">
        <v>0</v>
      </c>
      <c r="P2345" s="24">
        <f>LEN(E2345)+LEN(K2345)</f>
        <v>58</v>
      </c>
      <c r="Q2345" s="24">
        <f>COUNTIFS(B:B,B2344)</f>
        <v>109</v>
      </c>
      <c r="R2345" s="24">
        <f>COUNTIFS(D:D,D2345)</f>
        <v>85</v>
      </c>
    </row>
    <row r="2346" spans="1:18" x14ac:dyDescent="0.3">
      <c r="A2346" s="14">
        <v>1795</v>
      </c>
      <c r="B2346" s="21" t="s">
        <v>277</v>
      </c>
      <c r="C2346" s="21" t="s">
        <v>2605</v>
      </c>
      <c r="D2346" s="21" t="s">
        <v>1917</v>
      </c>
      <c r="E2346" s="1" t="s">
        <v>1035</v>
      </c>
      <c r="F2346" s="21" t="s">
        <v>2250</v>
      </c>
      <c r="G2346" s="14">
        <v>0</v>
      </c>
      <c r="H2346" s="14">
        <v>0</v>
      </c>
      <c r="I2346" s="25">
        <v>100</v>
      </c>
      <c r="J2346" s="23">
        <f>VLOOKUP(I2346,episodes!$A$1:$B$76,2,FALSE)</f>
        <v>1</v>
      </c>
      <c r="K2346" s="16" t="str">
        <f>VLOOKUP(I2346,episodes!$A$1:$E$81,5,FALSE)</f>
        <v>The Cage</v>
      </c>
      <c r="L2346" s="16">
        <f>VLOOKUP(I2346,episodes!$A$1:$D$81,3,FALSE)</f>
        <v>1</v>
      </c>
      <c r="M2346" s="16">
        <f>VLOOKUP(I2346,episodes!$A$1:$D$81,4,FALSE)</f>
        <v>0</v>
      </c>
      <c r="O2346" s="14">
        <v>0</v>
      </c>
      <c r="P2346" s="24">
        <f>LEN(E2346)+LEN(K2346)</f>
        <v>112</v>
      </c>
      <c r="Q2346" s="24">
        <f>COUNTIFS(B:B,B2344)</f>
        <v>109</v>
      </c>
      <c r="R2346" s="24">
        <f>COUNTIFS(D:D,D2346)</f>
        <v>85</v>
      </c>
    </row>
    <row r="2347" spans="1:18" x14ac:dyDescent="0.3">
      <c r="A2347" s="14">
        <v>2708</v>
      </c>
      <c r="B2347" s="21" t="s">
        <v>332</v>
      </c>
      <c r="C2347" s="21" t="s">
        <v>2605</v>
      </c>
      <c r="D2347" s="21" t="s">
        <v>1917</v>
      </c>
      <c r="E2347" s="1" t="s">
        <v>1057</v>
      </c>
      <c r="F2347" s="21" t="s">
        <v>2225</v>
      </c>
      <c r="G2347" s="14">
        <v>0</v>
      </c>
      <c r="H2347" s="14">
        <v>0</v>
      </c>
      <c r="I2347" s="25">
        <v>100</v>
      </c>
      <c r="J2347" s="23">
        <f>VLOOKUP(I2347,episodes!$A$1:$B$76,2,FALSE)</f>
        <v>1</v>
      </c>
      <c r="K2347" s="16" t="str">
        <f>VLOOKUP(I2347,episodes!$A$1:$E$81,5,FALSE)</f>
        <v>The Cage</v>
      </c>
      <c r="L2347" s="16">
        <f>VLOOKUP(I2347,episodes!$A$1:$D$81,3,FALSE)</f>
        <v>1</v>
      </c>
      <c r="M2347" s="16">
        <f>VLOOKUP(I2347,episodes!$A$1:$D$81,4,FALSE)</f>
        <v>0</v>
      </c>
      <c r="O2347" s="14">
        <v>0</v>
      </c>
      <c r="P2347" s="24">
        <f>LEN(E2347)+LEN(K2347)</f>
        <v>87</v>
      </c>
      <c r="Q2347" s="24">
        <f>COUNTIFS(B:B,B2346)</f>
        <v>2</v>
      </c>
      <c r="R2347" s="24">
        <f>COUNTIFS(D:D,D2347)</f>
        <v>85</v>
      </c>
    </row>
    <row r="2348" spans="1:18" x14ac:dyDescent="0.3">
      <c r="A2348" s="14">
        <v>1830</v>
      </c>
      <c r="B2348" s="21" t="s">
        <v>332</v>
      </c>
      <c r="C2348" s="21" t="s">
        <v>2605</v>
      </c>
      <c r="D2348" s="21" t="s">
        <v>1917</v>
      </c>
      <c r="E2348" s="1" t="s">
        <v>438</v>
      </c>
      <c r="F2348" s="21" t="s">
        <v>2231</v>
      </c>
      <c r="G2348" s="14">
        <v>0</v>
      </c>
      <c r="H2348" s="14">
        <v>0</v>
      </c>
      <c r="I2348" s="25">
        <v>100</v>
      </c>
      <c r="J2348" s="23">
        <f>VLOOKUP(I2348,episodes!$A$1:$B$76,2,FALSE)</f>
        <v>1</v>
      </c>
      <c r="K2348" s="16" t="str">
        <f>VLOOKUP(I2348,episodes!$A$1:$E$81,5,FALSE)</f>
        <v>The Cage</v>
      </c>
      <c r="L2348" s="16">
        <f>VLOOKUP(I2348,episodes!$A$1:$D$81,3,FALSE)</f>
        <v>1</v>
      </c>
      <c r="M2348" s="16">
        <f>VLOOKUP(I2348,episodes!$A$1:$D$81,4,FALSE)</f>
        <v>0</v>
      </c>
      <c r="O2348" s="14">
        <v>0</v>
      </c>
      <c r="P2348" s="24">
        <f>LEN(E2348)+LEN(K2348)</f>
        <v>91</v>
      </c>
      <c r="Q2348" s="24">
        <f>COUNTIFS(B:B,B2347)</f>
        <v>109</v>
      </c>
      <c r="R2348" s="24">
        <f>COUNTIFS(D:D,D2348)</f>
        <v>85</v>
      </c>
    </row>
    <row r="2349" spans="1:18" x14ac:dyDescent="0.3">
      <c r="A2349" s="14">
        <v>1893</v>
      </c>
      <c r="B2349" s="21" t="s">
        <v>332</v>
      </c>
      <c r="C2349" s="21" t="s">
        <v>2605</v>
      </c>
      <c r="D2349" s="21" t="s">
        <v>1917</v>
      </c>
      <c r="E2349" s="1" t="s">
        <v>2157</v>
      </c>
      <c r="F2349" s="21" t="s">
        <v>45</v>
      </c>
      <c r="G2349" s="14">
        <v>0</v>
      </c>
      <c r="H2349" s="14">
        <v>0</v>
      </c>
      <c r="I2349" s="25">
        <v>203</v>
      </c>
      <c r="J2349" s="23">
        <f>VLOOKUP(I2349,episodes!$A$1:$B$76,2,FALSE)</f>
        <v>33</v>
      </c>
      <c r="K2349" s="16" t="str">
        <f>VLOOKUP(I2349,episodes!$A$1:$E$81,5,FALSE)</f>
        <v>The Changeling</v>
      </c>
      <c r="L2349" s="16">
        <f>VLOOKUP(I2349,episodes!$A$1:$D$81,3,FALSE)</f>
        <v>2</v>
      </c>
      <c r="M2349" s="16">
        <f>VLOOKUP(I2349,episodes!$A$1:$D$81,4,FALSE)</f>
        <v>3</v>
      </c>
      <c r="O2349" s="14">
        <v>0</v>
      </c>
      <c r="P2349" s="24">
        <f>LEN(E2349)+LEN(K2349)</f>
        <v>110</v>
      </c>
      <c r="Q2349" s="24">
        <f>COUNTIFS(B:B,B2348)</f>
        <v>109</v>
      </c>
      <c r="R2349" s="24">
        <f>COUNTIFS(D:D,D2349)</f>
        <v>85</v>
      </c>
    </row>
    <row r="2350" spans="1:18" x14ac:dyDescent="0.3">
      <c r="A2350" s="14">
        <v>1894</v>
      </c>
      <c r="B2350" s="21" t="s">
        <v>332</v>
      </c>
      <c r="C2350" s="21" t="s">
        <v>2605</v>
      </c>
      <c r="D2350" s="21" t="s">
        <v>1917</v>
      </c>
      <c r="E2350" s="1" t="s">
        <v>2157</v>
      </c>
      <c r="F2350" s="21" t="s">
        <v>45</v>
      </c>
      <c r="G2350" s="14">
        <v>0</v>
      </c>
      <c r="H2350" s="14">
        <v>0</v>
      </c>
      <c r="I2350" s="25">
        <v>203</v>
      </c>
      <c r="J2350" s="23">
        <f>VLOOKUP(I2350,episodes!$A$1:$B$76,2,FALSE)</f>
        <v>33</v>
      </c>
      <c r="K2350" s="16" t="str">
        <f>VLOOKUP(I2350,episodes!$A$1:$E$81,5,FALSE)</f>
        <v>The Changeling</v>
      </c>
      <c r="L2350" s="16">
        <f>VLOOKUP(I2350,episodes!$A$1:$D$81,3,FALSE)</f>
        <v>2</v>
      </c>
      <c r="M2350" s="16">
        <f>VLOOKUP(I2350,episodes!$A$1:$D$81,4,FALSE)</f>
        <v>3</v>
      </c>
      <c r="O2350" s="14">
        <v>0</v>
      </c>
      <c r="P2350" s="24">
        <f>LEN(E2350)+LEN(K2350)</f>
        <v>110</v>
      </c>
      <c r="Q2350" s="24">
        <f>COUNTIFS(B:B,B2349)</f>
        <v>109</v>
      </c>
      <c r="R2350" s="24">
        <f>COUNTIFS(D:D,D2350)</f>
        <v>85</v>
      </c>
    </row>
    <row r="2351" spans="1:18" x14ac:dyDescent="0.3">
      <c r="A2351" s="14">
        <v>1897</v>
      </c>
      <c r="B2351" s="21" t="s">
        <v>332</v>
      </c>
      <c r="C2351" s="21" t="s">
        <v>2605</v>
      </c>
      <c r="D2351" s="21" t="s">
        <v>1917</v>
      </c>
      <c r="E2351" s="1" t="s">
        <v>900</v>
      </c>
      <c r="F2351" s="21" t="s">
        <v>45</v>
      </c>
      <c r="G2351" s="14">
        <v>0</v>
      </c>
      <c r="H2351" s="14">
        <v>0</v>
      </c>
      <c r="I2351" s="25">
        <v>203</v>
      </c>
      <c r="J2351" s="23">
        <f>VLOOKUP(I2351,episodes!$A$1:$B$76,2,FALSE)</f>
        <v>33</v>
      </c>
      <c r="K2351" s="16" t="str">
        <f>VLOOKUP(I2351,episodes!$A$1:$E$81,5,FALSE)</f>
        <v>The Changeling</v>
      </c>
      <c r="L2351" s="16">
        <f>VLOOKUP(I2351,episodes!$A$1:$D$81,3,FALSE)</f>
        <v>2</v>
      </c>
      <c r="M2351" s="16">
        <f>VLOOKUP(I2351,episodes!$A$1:$D$81,4,FALSE)</f>
        <v>3</v>
      </c>
      <c r="O2351" s="14">
        <v>0</v>
      </c>
      <c r="P2351" s="24">
        <f>LEN(E2351)+LEN(K2351)</f>
        <v>76</v>
      </c>
      <c r="Q2351" s="24">
        <f>COUNTIFS(B:B,#REF!)</f>
        <v>0</v>
      </c>
      <c r="R2351" s="24">
        <f>COUNTIFS(D:D,D2351)</f>
        <v>85</v>
      </c>
    </row>
    <row r="2352" spans="1:18" x14ac:dyDescent="0.3">
      <c r="A2352" s="14">
        <v>1898</v>
      </c>
      <c r="B2352" s="21" t="s">
        <v>332</v>
      </c>
      <c r="C2352" s="21" t="s">
        <v>2605</v>
      </c>
      <c r="D2352" s="21" t="s">
        <v>1917</v>
      </c>
      <c r="E2352" s="1" t="s">
        <v>900</v>
      </c>
      <c r="F2352" s="21" t="s">
        <v>45</v>
      </c>
      <c r="G2352" s="14">
        <v>0</v>
      </c>
      <c r="H2352" s="14">
        <v>0</v>
      </c>
      <c r="I2352" s="25">
        <v>203</v>
      </c>
      <c r="J2352" s="23">
        <f>VLOOKUP(I2352,episodes!$A$1:$B$76,2,FALSE)</f>
        <v>33</v>
      </c>
      <c r="K2352" s="16" t="str">
        <f>VLOOKUP(I2352,episodes!$A$1:$E$81,5,FALSE)</f>
        <v>The Changeling</v>
      </c>
      <c r="L2352" s="16">
        <f>VLOOKUP(I2352,episodes!$A$1:$D$81,3,FALSE)</f>
        <v>2</v>
      </c>
      <c r="M2352" s="16">
        <f>VLOOKUP(I2352,episodes!$A$1:$D$81,4,FALSE)</f>
        <v>3</v>
      </c>
      <c r="O2352" s="14">
        <v>0</v>
      </c>
      <c r="P2352" s="24">
        <f>LEN(E2352)+LEN(K2352)</f>
        <v>76</v>
      </c>
      <c r="Q2352" s="24">
        <f>COUNTIFS(B:B,B2351)</f>
        <v>109</v>
      </c>
      <c r="R2352" s="24">
        <f>COUNTIFS(D:D,D2352)</f>
        <v>85</v>
      </c>
    </row>
    <row r="2353" spans="1:18" x14ac:dyDescent="0.3">
      <c r="A2353" s="14">
        <v>1890</v>
      </c>
      <c r="B2353" s="21" t="s">
        <v>332</v>
      </c>
      <c r="C2353" s="21" t="s">
        <v>2605</v>
      </c>
      <c r="D2353" s="21" t="s">
        <v>1917</v>
      </c>
      <c r="E2353" s="1" t="s">
        <v>794</v>
      </c>
      <c r="F2353" s="21" t="s">
        <v>45</v>
      </c>
      <c r="G2353" s="14">
        <v>0</v>
      </c>
      <c r="H2353" s="14">
        <v>0</v>
      </c>
      <c r="I2353" s="22">
        <v>129</v>
      </c>
      <c r="J2353" s="23">
        <f>VLOOKUP(I2353,episodes!$A$1:$B$76,2,FALSE)</f>
        <v>30</v>
      </c>
      <c r="K2353" s="16" t="str">
        <f>VLOOKUP(I2353,episodes!$A$1:$E$81,5,FALSE)</f>
        <v>Operation: Annihilate!</v>
      </c>
      <c r="L2353" s="16">
        <f>VLOOKUP(I2353,episodes!$A$1:$D$81,3,FALSE)</f>
        <v>1</v>
      </c>
      <c r="M2353" s="16">
        <f>VLOOKUP(I2353,episodes!$A$1:$D$81,4,FALSE)</f>
        <v>29</v>
      </c>
      <c r="O2353" s="14">
        <v>0</v>
      </c>
      <c r="P2353" s="24">
        <f>LEN(E2353)+LEN(K2353)</f>
        <v>44</v>
      </c>
      <c r="Q2353" s="24">
        <f>COUNTIFS(B:B,#REF!)</f>
        <v>0</v>
      </c>
      <c r="R2353" s="24">
        <f>COUNTIFS(D:D,D2353)</f>
        <v>85</v>
      </c>
    </row>
    <row r="2354" spans="1:18" x14ac:dyDescent="0.3">
      <c r="A2354" s="14">
        <v>1884</v>
      </c>
      <c r="B2354" s="21" t="s">
        <v>332</v>
      </c>
      <c r="C2354" s="21" t="s">
        <v>2605</v>
      </c>
      <c r="D2354" s="1" t="s">
        <v>1917</v>
      </c>
      <c r="E2354" s="1" t="s">
        <v>1918</v>
      </c>
      <c r="F2354" s="21" t="s">
        <v>45</v>
      </c>
      <c r="G2354" s="14">
        <v>0</v>
      </c>
      <c r="H2354" s="14">
        <v>0</v>
      </c>
      <c r="I2354" s="22">
        <v>210</v>
      </c>
      <c r="J2354" s="23">
        <f>VLOOKUP(I2354,episodes!$A$1:$B$76,2,FALSE)</f>
        <v>40</v>
      </c>
      <c r="K2354" s="16" t="str">
        <f>VLOOKUP(I2354,episodes!$A$1:$E$81,5,FALSE)</f>
        <v>Journey to Babel</v>
      </c>
      <c r="L2354" s="16">
        <f>VLOOKUP(I2354,episodes!$A$1:$D$81,3,FALSE)</f>
        <v>2</v>
      </c>
      <c r="M2354" s="16">
        <f>VLOOKUP(I2354,episodes!$A$1:$D$81,4,FALSE)</f>
        <v>10</v>
      </c>
      <c r="O2354" s="14">
        <v>0</v>
      </c>
      <c r="P2354" s="24">
        <f>LEN(E2354)+LEN(K2354)</f>
        <v>61</v>
      </c>
      <c r="Q2354" s="24">
        <f>COUNTIFS(B:B,B2353)</f>
        <v>109</v>
      </c>
      <c r="R2354" s="24">
        <f>COUNTIFS(D:D,D2354)</f>
        <v>85</v>
      </c>
    </row>
    <row r="2355" spans="1:18" x14ac:dyDescent="0.3">
      <c r="A2355" s="14">
        <v>1983</v>
      </c>
      <c r="B2355" s="21" t="s">
        <v>332</v>
      </c>
      <c r="C2355" s="21" t="s">
        <v>2605</v>
      </c>
      <c r="D2355" s="21" t="s">
        <v>1917</v>
      </c>
      <c r="E2355" s="1" t="s">
        <v>820</v>
      </c>
      <c r="F2355" s="21" t="s">
        <v>6</v>
      </c>
      <c r="G2355" s="14">
        <v>0</v>
      </c>
      <c r="H2355" s="14">
        <v>1</v>
      </c>
      <c r="I2355" s="22">
        <v>202</v>
      </c>
      <c r="J2355" s="23">
        <f>VLOOKUP(I2355,episodes!$A$1:$B$76,2,FALSE)</f>
        <v>32</v>
      </c>
      <c r="K2355" s="16" t="str">
        <f>VLOOKUP(I2355,episodes!$A$1:$E$81,5,FALSE)</f>
        <v>Who Mourns for Adonais?</v>
      </c>
      <c r="L2355" s="16">
        <f>VLOOKUP(I2355,episodes!$A$1:$D$81,3,FALSE)</f>
        <v>2</v>
      </c>
      <c r="M2355" s="16">
        <f>VLOOKUP(I2355,episodes!$A$1:$D$81,4,FALSE)</f>
        <v>2</v>
      </c>
      <c r="O2355" s="14">
        <v>0</v>
      </c>
      <c r="P2355" s="24">
        <f>LEN(E2355)+LEN(K2355)</f>
        <v>119</v>
      </c>
      <c r="Q2355" s="24">
        <f>COUNTIFS(B:B,B2354)</f>
        <v>109</v>
      </c>
      <c r="R2355" s="24">
        <f>COUNTIFS(D:D,D2355)</f>
        <v>85</v>
      </c>
    </row>
    <row r="2356" spans="1:18" x14ac:dyDescent="0.3">
      <c r="A2356" s="14">
        <v>1977</v>
      </c>
      <c r="B2356" s="21" t="s">
        <v>332</v>
      </c>
      <c r="C2356" s="21" t="s">
        <v>2605</v>
      </c>
      <c r="D2356" s="21" t="s">
        <v>1917</v>
      </c>
      <c r="E2356" s="1" t="s">
        <v>795</v>
      </c>
      <c r="F2356" s="21" t="s">
        <v>6</v>
      </c>
      <c r="G2356" s="14">
        <v>0</v>
      </c>
      <c r="H2356" s="14">
        <v>1</v>
      </c>
      <c r="I2356" s="22">
        <v>129</v>
      </c>
      <c r="J2356" s="23">
        <f>VLOOKUP(I2356,episodes!$A$1:$B$76,2,FALSE)</f>
        <v>30</v>
      </c>
      <c r="K2356" s="16" t="str">
        <f>VLOOKUP(I2356,episodes!$A$1:$E$81,5,FALSE)</f>
        <v>Operation: Annihilate!</v>
      </c>
      <c r="L2356" s="16">
        <f>VLOOKUP(I2356,episodes!$A$1:$D$81,3,FALSE)</f>
        <v>1</v>
      </c>
      <c r="M2356" s="16">
        <f>VLOOKUP(I2356,episodes!$A$1:$D$81,4,FALSE)</f>
        <v>29</v>
      </c>
      <c r="O2356" s="14">
        <v>0</v>
      </c>
      <c r="P2356" s="24">
        <f>LEN(E2356)+LEN(K2356)</f>
        <v>42</v>
      </c>
      <c r="Q2356" s="24">
        <f>COUNTIFS(B:B,B2355)</f>
        <v>109</v>
      </c>
      <c r="R2356" s="24">
        <f>COUNTIFS(D:D,D2356)</f>
        <v>85</v>
      </c>
    </row>
    <row r="2357" spans="1:18" x14ac:dyDescent="0.3">
      <c r="A2357" s="14">
        <v>1978</v>
      </c>
      <c r="B2357" s="21" t="s">
        <v>332</v>
      </c>
      <c r="C2357" s="21" t="s">
        <v>2605</v>
      </c>
      <c r="D2357" s="21" t="s">
        <v>1917</v>
      </c>
      <c r="E2357" s="1" t="s">
        <v>2151</v>
      </c>
      <c r="F2357" s="21" t="s">
        <v>6</v>
      </c>
      <c r="G2357" s="14">
        <v>0</v>
      </c>
      <c r="H2357" s="14">
        <v>1</v>
      </c>
      <c r="I2357" s="22">
        <v>129</v>
      </c>
      <c r="J2357" s="23">
        <f>VLOOKUP(I2357,episodes!$A$1:$B$76,2,FALSE)</f>
        <v>30</v>
      </c>
      <c r="K2357" s="16" t="str">
        <f>VLOOKUP(I2357,episodes!$A$1:$E$81,5,FALSE)</f>
        <v>Operation: Annihilate!</v>
      </c>
      <c r="L2357" s="16">
        <f>VLOOKUP(I2357,episodes!$A$1:$D$81,3,FALSE)</f>
        <v>1</v>
      </c>
      <c r="M2357" s="16">
        <f>VLOOKUP(I2357,episodes!$A$1:$D$81,4,FALSE)</f>
        <v>29</v>
      </c>
      <c r="O2357" s="14">
        <v>0</v>
      </c>
      <c r="P2357" s="24">
        <f>LEN(E2357)+LEN(K2357)</f>
        <v>87</v>
      </c>
      <c r="Q2357" s="24">
        <f>COUNTIFS(B:B,B2356)</f>
        <v>109</v>
      </c>
      <c r="R2357" s="24">
        <f>COUNTIFS(D:D,D2357)</f>
        <v>85</v>
      </c>
    </row>
    <row r="2358" spans="1:18" x14ac:dyDescent="0.3">
      <c r="A2358" s="14">
        <v>1965</v>
      </c>
      <c r="B2358" s="21" t="s">
        <v>315</v>
      </c>
      <c r="C2358" s="21" t="s">
        <v>2605</v>
      </c>
      <c r="D2358" s="21" t="s">
        <v>1917</v>
      </c>
      <c r="E2358" s="1" t="s">
        <v>1503</v>
      </c>
      <c r="F2358" s="21" t="s">
        <v>6</v>
      </c>
      <c r="G2358" s="14">
        <v>0</v>
      </c>
      <c r="H2358" s="14">
        <v>1</v>
      </c>
      <c r="I2358" s="25">
        <v>104</v>
      </c>
      <c r="J2358" s="23">
        <f>VLOOKUP(I2358,episodes!$A$1:$B$76,2,FALSE)</f>
        <v>5</v>
      </c>
      <c r="K2358" s="16" t="str">
        <f>VLOOKUP(I2358,episodes!$A$1:$E$81,5,FALSE)</f>
        <v>The Naked Time</v>
      </c>
      <c r="L2358" s="16">
        <f>VLOOKUP(I2358,episodes!$A$1:$D$81,3,FALSE)</f>
        <v>1</v>
      </c>
      <c r="M2358" s="16">
        <f>VLOOKUP(I2358,episodes!$A$1:$D$81,4,FALSE)</f>
        <v>4</v>
      </c>
      <c r="O2358" s="14">
        <v>0</v>
      </c>
      <c r="P2358" s="24">
        <f>LEN(E2358)+LEN(K2358)</f>
        <v>82</v>
      </c>
      <c r="Q2358" s="24">
        <f>COUNTIFS(B:B,B2357)</f>
        <v>109</v>
      </c>
      <c r="R2358" s="24">
        <f>COUNTIFS(D:D,D2358)</f>
        <v>85</v>
      </c>
    </row>
    <row r="2359" spans="1:18" x14ac:dyDescent="0.3">
      <c r="A2359" s="14">
        <v>2053</v>
      </c>
      <c r="B2359" s="21" t="s">
        <v>332</v>
      </c>
      <c r="C2359" s="21" t="s">
        <v>2605</v>
      </c>
      <c r="D2359" s="21" t="s">
        <v>1917</v>
      </c>
      <c r="E2359" s="1" t="s">
        <v>1596</v>
      </c>
      <c r="F2359" s="21" t="s">
        <v>5</v>
      </c>
      <c r="G2359" s="14">
        <v>1</v>
      </c>
      <c r="H2359" s="14">
        <v>0</v>
      </c>
      <c r="I2359" s="25">
        <v>103</v>
      </c>
      <c r="J2359" s="23">
        <f>VLOOKUP(I2359,episodes!$A$1:$B$76,2,FALSE)</f>
        <v>4</v>
      </c>
      <c r="K2359" s="16" t="str">
        <f>VLOOKUP(I2359,episodes!$A$1:$E$81,5,FALSE)</f>
        <v>Where No Man Has Gone Before</v>
      </c>
      <c r="L2359" s="16">
        <f>VLOOKUP(I2359,episodes!$A$1:$D$81,3,FALSE)</f>
        <v>1</v>
      </c>
      <c r="M2359" s="16">
        <f>VLOOKUP(I2359,episodes!$A$1:$D$81,4,FALSE)</f>
        <v>3</v>
      </c>
      <c r="O2359" s="14">
        <v>0</v>
      </c>
      <c r="P2359" s="24">
        <f>LEN(E2359)+LEN(K2359)</f>
        <v>76</v>
      </c>
      <c r="Q2359" s="24">
        <f>COUNTIFS(B:B,B2358)</f>
        <v>3</v>
      </c>
      <c r="R2359" s="24">
        <f>COUNTIFS(D:D,D2359)</f>
        <v>85</v>
      </c>
    </row>
    <row r="2360" spans="1:18" x14ac:dyDescent="0.3">
      <c r="A2360" s="14">
        <v>2130</v>
      </c>
      <c r="B2360" s="21" t="s">
        <v>332</v>
      </c>
      <c r="C2360" s="21" t="s">
        <v>2605</v>
      </c>
      <c r="D2360" s="21" t="s">
        <v>1917</v>
      </c>
      <c r="E2360" s="1" t="s">
        <v>2957</v>
      </c>
      <c r="F2360" s="21" t="s">
        <v>5</v>
      </c>
      <c r="G2360" s="14">
        <v>1</v>
      </c>
      <c r="H2360" s="14">
        <v>0</v>
      </c>
      <c r="I2360" s="22">
        <v>121</v>
      </c>
      <c r="J2360" s="23">
        <f>VLOOKUP(I2360,episodes!$A$1:$B$76,2,FALSE)</f>
        <v>22</v>
      </c>
      <c r="K2360" s="16" t="str">
        <f>VLOOKUP(I2360,episodes!$A$1:$E$81,5,FALSE)</f>
        <v>The Return of the Archons</v>
      </c>
      <c r="L2360" s="16">
        <f>VLOOKUP(I2360,episodes!$A$1:$D$81,3,FALSE)</f>
        <v>1</v>
      </c>
      <c r="M2360" s="16">
        <f>VLOOKUP(I2360,episodes!$A$1:$D$81,4,FALSE)</f>
        <v>21</v>
      </c>
      <c r="O2360" s="14">
        <v>0</v>
      </c>
      <c r="P2360" s="24">
        <f>LEN(E2360)+LEN(K2360)</f>
        <v>68</v>
      </c>
      <c r="Q2360" s="24">
        <f>COUNTIFS(B:B,B2359)</f>
        <v>109</v>
      </c>
      <c r="R2360" s="24">
        <f>COUNTIFS(D:D,D2360)</f>
        <v>85</v>
      </c>
    </row>
    <row r="2361" spans="1:18" x14ac:dyDescent="0.3">
      <c r="A2361" s="14">
        <v>2131</v>
      </c>
      <c r="B2361" s="21" t="s">
        <v>332</v>
      </c>
      <c r="C2361" s="21" t="s">
        <v>2605</v>
      </c>
      <c r="D2361" s="21" t="s">
        <v>1917</v>
      </c>
      <c r="E2361" s="1" t="s">
        <v>2958</v>
      </c>
      <c r="F2361" s="21" t="s">
        <v>5</v>
      </c>
      <c r="G2361" s="14">
        <v>1</v>
      </c>
      <c r="H2361" s="14">
        <v>0</v>
      </c>
      <c r="I2361" s="22">
        <v>121</v>
      </c>
      <c r="J2361" s="23">
        <f>VLOOKUP(I2361,episodes!$A$1:$B$76,2,FALSE)</f>
        <v>22</v>
      </c>
      <c r="K2361" s="16" t="str">
        <f>VLOOKUP(I2361,episodes!$A$1:$E$81,5,FALSE)</f>
        <v>The Return of the Archons</v>
      </c>
      <c r="L2361" s="16">
        <f>VLOOKUP(I2361,episodes!$A$1:$D$81,3,FALSE)</f>
        <v>1</v>
      </c>
      <c r="M2361" s="16">
        <f>VLOOKUP(I2361,episodes!$A$1:$D$81,4,FALSE)</f>
        <v>21</v>
      </c>
      <c r="O2361" s="14">
        <v>0</v>
      </c>
      <c r="P2361" s="24">
        <f>LEN(E2361)+LEN(K2361)</f>
        <v>68</v>
      </c>
      <c r="Q2361" s="24">
        <f>COUNTIFS(B:B,B2360)</f>
        <v>109</v>
      </c>
      <c r="R2361" s="24">
        <f>COUNTIFS(D:D,D2361)</f>
        <v>85</v>
      </c>
    </row>
    <row r="2362" spans="1:18" x14ac:dyDescent="0.3">
      <c r="A2362" s="14">
        <v>2114</v>
      </c>
      <c r="B2362" s="21" t="s">
        <v>332</v>
      </c>
      <c r="C2362" s="21" t="s">
        <v>2605</v>
      </c>
      <c r="D2362" s="21" t="s">
        <v>1917</v>
      </c>
      <c r="E2362" s="1" t="s">
        <v>838</v>
      </c>
      <c r="F2362" s="21" t="s">
        <v>5</v>
      </c>
      <c r="G2362" s="14">
        <v>1</v>
      </c>
      <c r="H2362" s="14">
        <v>0</v>
      </c>
      <c r="I2362" s="22">
        <v>119</v>
      </c>
      <c r="J2362" s="23">
        <f>VLOOKUP(I2362,episodes!$A$1:$B$76,2,FALSE)</f>
        <v>20</v>
      </c>
      <c r="K2362" s="16" t="str">
        <f>VLOOKUP(I2362,episodes!$A$1:$E$81,5,FALSE)</f>
        <v>Tomorrow Is Yesterday</v>
      </c>
      <c r="L2362" s="16">
        <f>VLOOKUP(I2362,episodes!$A$1:$D$81,3,FALSE)</f>
        <v>1</v>
      </c>
      <c r="M2362" s="16">
        <f>VLOOKUP(I2362,episodes!$A$1:$D$81,4,FALSE)</f>
        <v>19</v>
      </c>
      <c r="O2362" s="14">
        <v>0</v>
      </c>
      <c r="P2362" s="24">
        <f>LEN(E2362)+LEN(K2362)</f>
        <v>59</v>
      </c>
      <c r="Q2362" s="24">
        <f>COUNTIFS(B:B,B2361)</f>
        <v>109</v>
      </c>
      <c r="R2362" s="24">
        <f>COUNTIFS(D:D,D2362)</f>
        <v>85</v>
      </c>
    </row>
    <row r="2363" spans="1:18" x14ac:dyDescent="0.3">
      <c r="A2363" s="14">
        <v>2210</v>
      </c>
      <c r="B2363" s="21" t="s">
        <v>332</v>
      </c>
      <c r="C2363" s="21" t="s">
        <v>2605</v>
      </c>
      <c r="D2363" s="21" t="s">
        <v>1917</v>
      </c>
      <c r="E2363" s="1" t="s">
        <v>796</v>
      </c>
      <c r="F2363" s="21" t="s">
        <v>5</v>
      </c>
      <c r="G2363" s="14">
        <v>1</v>
      </c>
      <c r="H2363" s="14">
        <v>0</v>
      </c>
      <c r="I2363" s="22">
        <v>129</v>
      </c>
      <c r="J2363" s="23">
        <f>VLOOKUP(I2363,episodes!$A$1:$B$76,2,FALSE)</f>
        <v>30</v>
      </c>
      <c r="K2363" s="16" t="str">
        <f>VLOOKUP(I2363,episodes!$A$1:$E$81,5,FALSE)</f>
        <v>Operation: Annihilate!</v>
      </c>
      <c r="L2363" s="16">
        <f>VLOOKUP(I2363,episodes!$A$1:$D$81,3,FALSE)</f>
        <v>1</v>
      </c>
      <c r="M2363" s="16">
        <f>VLOOKUP(I2363,episodes!$A$1:$D$81,4,FALSE)</f>
        <v>29</v>
      </c>
      <c r="O2363" s="14">
        <v>0</v>
      </c>
      <c r="P2363" s="24">
        <f>LEN(E2363)+LEN(K2363)</f>
        <v>66</v>
      </c>
      <c r="Q2363" s="24">
        <f>COUNTIFS(B:B,B2362)</f>
        <v>109</v>
      </c>
      <c r="R2363" s="24">
        <f>COUNTIFS(D:D,D2363)</f>
        <v>85</v>
      </c>
    </row>
    <row r="2364" spans="1:18" x14ac:dyDescent="0.3">
      <c r="A2364" s="14">
        <v>2211</v>
      </c>
      <c r="B2364" s="21" t="s">
        <v>332</v>
      </c>
      <c r="C2364" s="21" t="s">
        <v>2605</v>
      </c>
      <c r="D2364" s="21" t="s">
        <v>1917</v>
      </c>
      <c r="E2364" s="1" t="s">
        <v>797</v>
      </c>
      <c r="F2364" s="21" t="s">
        <v>5</v>
      </c>
      <c r="G2364" s="14">
        <v>1</v>
      </c>
      <c r="H2364" s="14">
        <v>0</v>
      </c>
      <c r="I2364" s="22">
        <v>129</v>
      </c>
      <c r="J2364" s="23">
        <f>VLOOKUP(I2364,episodes!$A$1:$B$76,2,FALSE)</f>
        <v>30</v>
      </c>
      <c r="K2364" s="16" t="str">
        <f>VLOOKUP(I2364,episodes!$A$1:$E$81,5,FALSE)</f>
        <v>Operation: Annihilate!</v>
      </c>
      <c r="L2364" s="16">
        <f>VLOOKUP(I2364,episodes!$A$1:$D$81,3,FALSE)</f>
        <v>1</v>
      </c>
      <c r="M2364" s="16">
        <f>VLOOKUP(I2364,episodes!$A$1:$D$81,4,FALSE)</f>
        <v>29</v>
      </c>
      <c r="O2364" s="14">
        <v>0</v>
      </c>
      <c r="P2364" s="24">
        <f>LEN(E2364)+LEN(K2364)</f>
        <v>41</v>
      </c>
      <c r="Q2364" s="24">
        <f>COUNTIFS(B:B,B2363)</f>
        <v>109</v>
      </c>
      <c r="R2364" s="24">
        <f>COUNTIFS(D:D,D2364)</f>
        <v>85</v>
      </c>
    </row>
    <row r="2365" spans="1:18" x14ac:dyDescent="0.3">
      <c r="A2365" s="14">
        <v>2097</v>
      </c>
      <c r="B2365" s="21" t="s">
        <v>332</v>
      </c>
      <c r="C2365" s="21" t="s">
        <v>2605</v>
      </c>
      <c r="D2365" s="21" t="s">
        <v>1917</v>
      </c>
      <c r="E2365" s="1" t="s">
        <v>500</v>
      </c>
      <c r="F2365" s="21" t="s">
        <v>5</v>
      </c>
      <c r="G2365" s="14">
        <v>1</v>
      </c>
      <c r="H2365" s="14">
        <v>0</v>
      </c>
      <c r="I2365" s="22">
        <v>116</v>
      </c>
      <c r="J2365" s="23">
        <f>VLOOKUP(I2365,episodes!$A$1:$B$76,2,FALSE)</f>
        <v>17</v>
      </c>
      <c r="K2365" s="16" t="str">
        <f>VLOOKUP(I2365,episodes!$A$1:$E$81,5,FALSE)</f>
        <v>The Galileo Seven</v>
      </c>
      <c r="L2365" s="16">
        <f>VLOOKUP(I2365,episodes!$A$1:$D$81,3,FALSE)</f>
        <v>1</v>
      </c>
      <c r="M2365" s="16">
        <f>VLOOKUP(I2365,episodes!$A$1:$D$81,4,FALSE)</f>
        <v>16</v>
      </c>
      <c r="O2365" s="14">
        <v>0</v>
      </c>
      <c r="P2365" s="24">
        <f>LEN(E2365)+LEN(K2365)</f>
        <v>58</v>
      </c>
      <c r="Q2365" s="24">
        <f>COUNTIFS(B:B,B2364)</f>
        <v>109</v>
      </c>
      <c r="R2365" s="24">
        <f>COUNTIFS(D:D,D2365)</f>
        <v>85</v>
      </c>
    </row>
    <row r="2366" spans="1:18" x14ac:dyDescent="0.3">
      <c r="A2366" s="14">
        <v>2037</v>
      </c>
      <c r="B2366" s="21" t="s">
        <v>332</v>
      </c>
      <c r="C2366" s="21" t="s">
        <v>2605</v>
      </c>
      <c r="D2366" s="21" t="s">
        <v>1917</v>
      </c>
      <c r="E2366" s="1" t="s">
        <v>1056</v>
      </c>
      <c r="F2366" s="21" t="s">
        <v>5</v>
      </c>
      <c r="G2366" s="14">
        <v>1</v>
      </c>
      <c r="H2366" s="14">
        <v>0</v>
      </c>
      <c r="I2366" s="25">
        <v>100</v>
      </c>
      <c r="J2366" s="23">
        <f>VLOOKUP(I2366,episodes!$A$1:$B$76,2,FALSE)</f>
        <v>1</v>
      </c>
      <c r="K2366" s="16" t="str">
        <f>VLOOKUP(I2366,episodes!$A$1:$E$81,5,FALSE)</f>
        <v>The Cage</v>
      </c>
      <c r="L2366" s="16">
        <f>VLOOKUP(I2366,episodes!$A$1:$D$81,3,FALSE)</f>
        <v>1</v>
      </c>
      <c r="M2366" s="16">
        <f>VLOOKUP(I2366,episodes!$A$1:$D$81,4,FALSE)</f>
        <v>0</v>
      </c>
      <c r="O2366" s="14">
        <v>0</v>
      </c>
      <c r="P2366" s="24">
        <f>LEN(E2366)+LEN(K2366)</f>
        <v>123</v>
      </c>
      <c r="Q2366" s="24">
        <f>COUNTIFS(B:B,B2365)</f>
        <v>109</v>
      </c>
      <c r="R2366" s="24">
        <f>COUNTIFS(D:D,D2366)</f>
        <v>85</v>
      </c>
    </row>
    <row r="2367" spans="1:18" x14ac:dyDescent="0.3">
      <c r="A2367" s="14">
        <v>2163</v>
      </c>
      <c r="B2367" s="21" t="s">
        <v>332</v>
      </c>
      <c r="C2367" s="21" t="s">
        <v>2605</v>
      </c>
      <c r="D2367" s="21" t="s">
        <v>1917</v>
      </c>
      <c r="E2367" s="1" t="s">
        <v>701</v>
      </c>
      <c r="F2367" s="21" t="s">
        <v>5</v>
      </c>
      <c r="G2367" s="14">
        <v>1</v>
      </c>
      <c r="H2367" s="14">
        <v>0</v>
      </c>
      <c r="I2367" s="22">
        <v>125</v>
      </c>
      <c r="J2367" s="23">
        <f>VLOOKUP(I2367,episodes!$A$1:$B$76,2,FALSE)</f>
        <v>26</v>
      </c>
      <c r="K2367" s="16" t="str">
        <f>VLOOKUP(I2367,episodes!$A$1:$E$81,5,FALSE)</f>
        <v>The Devil in the Dark</v>
      </c>
      <c r="L2367" s="16">
        <f>VLOOKUP(I2367,episodes!$A$1:$D$81,3,FALSE)</f>
        <v>1</v>
      </c>
      <c r="M2367" s="16">
        <f>VLOOKUP(I2367,episodes!$A$1:$D$81,4,FALSE)</f>
        <v>25</v>
      </c>
      <c r="O2367" s="14">
        <v>0</v>
      </c>
      <c r="P2367" s="24">
        <f>LEN(E2367)+LEN(K2367)</f>
        <v>66</v>
      </c>
      <c r="Q2367" s="24">
        <f>COUNTIFS(B:B,B2366)</f>
        <v>109</v>
      </c>
      <c r="R2367" s="24">
        <f>COUNTIFS(D:D,D2367)</f>
        <v>85</v>
      </c>
    </row>
    <row r="2368" spans="1:18" x14ac:dyDescent="0.3">
      <c r="A2368" s="14">
        <v>2026</v>
      </c>
      <c r="B2368" s="21" t="s">
        <v>332</v>
      </c>
      <c r="C2368" s="21" t="s">
        <v>2605</v>
      </c>
      <c r="D2368" s="21" t="s">
        <v>1917</v>
      </c>
      <c r="E2368" s="1" t="s">
        <v>2334</v>
      </c>
      <c r="F2368" s="21" t="s">
        <v>5</v>
      </c>
      <c r="G2368" s="14">
        <v>1</v>
      </c>
      <c r="H2368" s="14">
        <v>0</v>
      </c>
      <c r="I2368" s="22">
        <v>121</v>
      </c>
      <c r="J2368" s="23">
        <f>VLOOKUP(I2368,episodes!$A$1:$B$76,2,FALSE)</f>
        <v>22</v>
      </c>
      <c r="K2368" s="16" t="str">
        <f>VLOOKUP(I2368,episodes!$A$1:$E$81,5,FALSE)</f>
        <v>The Return of the Archons</v>
      </c>
      <c r="L2368" s="16">
        <f>VLOOKUP(I2368,episodes!$A$1:$D$81,3,FALSE)</f>
        <v>1</v>
      </c>
      <c r="M2368" s="16">
        <f>VLOOKUP(I2368,episodes!$A$1:$D$81,4,FALSE)</f>
        <v>21</v>
      </c>
      <c r="O2368" s="14">
        <v>0</v>
      </c>
      <c r="P2368" s="24">
        <f>LEN(E2368)+LEN(K2368)</f>
        <v>88</v>
      </c>
      <c r="Q2368" s="24">
        <f>COUNTIFS(B:B,B2367)</f>
        <v>109</v>
      </c>
      <c r="R2368" s="24">
        <f>COUNTIFS(D:D,D2368)</f>
        <v>85</v>
      </c>
    </row>
    <row r="2369" spans="1:18" x14ac:dyDescent="0.3">
      <c r="A2369" s="14">
        <v>2212</v>
      </c>
      <c r="B2369" s="21" t="s">
        <v>332</v>
      </c>
      <c r="C2369" s="21" t="s">
        <v>2605</v>
      </c>
      <c r="D2369" s="21" t="s">
        <v>1917</v>
      </c>
      <c r="E2369" s="1" t="s">
        <v>798</v>
      </c>
      <c r="F2369" s="21" t="s">
        <v>5</v>
      </c>
      <c r="G2369" s="14">
        <v>1</v>
      </c>
      <c r="H2369" s="14">
        <v>0</v>
      </c>
      <c r="I2369" s="22">
        <v>129</v>
      </c>
      <c r="J2369" s="23">
        <f>VLOOKUP(I2369,episodes!$A$1:$B$76,2,FALSE)</f>
        <v>30</v>
      </c>
      <c r="K2369" s="16" t="str">
        <f>VLOOKUP(I2369,episodes!$A$1:$E$81,5,FALSE)</f>
        <v>Operation: Annihilate!</v>
      </c>
      <c r="L2369" s="16">
        <f>VLOOKUP(I2369,episodes!$A$1:$D$81,3,FALSE)</f>
        <v>1</v>
      </c>
      <c r="M2369" s="16">
        <f>VLOOKUP(I2369,episodes!$A$1:$D$81,4,FALSE)</f>
        <v>29</v>
      </c>
      <c r="O2369" s="14">
        <v>0</v>
      </c>
      <c r="P2369" s="24">
        <f>LEN(E2369)+LEN(K2369)</f>
        <v>86</v>
      </c>
      <c r="Q2369" s="24">
        <f>COUNTIFS(B:B,B2368)</f>
        <v>109</v>
      </c>
      <c r="R2369" s="24">
        <f>COUNTIFS(D:D,D2369)</f>
        <v>85</v>
      </c>
    </row>
    <row r="2370" spans="1:18" x14ac:dyDescent="0.3">
      <c r="A2370" s="14">
        <v>2173</v>
      </c>
      <c r="B2370" s="21" t="s">
        <v>332</v>
      </c>
      <c r="C2370" s="21" t="s">
        <v>2605</v>
      </c>
      <c r="D2370" s="21" t="s">
        <v>1917</v>
      </c>
      <c r="E2370" s="1" t="s">
        <v>712</v>
      </c>
      <c r="F2370" s="21" t="s">
        <v>5</v>
      </c>
      <c r="G2370" s="14">
        <v>1</v>
      </c>
      <c r="H2370" s="14">
        <v>0</v>
      </c>
      <c r="I2370" s="22">
        <v>126</v>
      </c>
      <c r="J2370" s="23">
        <f>VLOOKUP(I2370,episodes!$A$1:$B$76,2,FALSE)</f>
        <v>27</v>
      </c>
      <c r="K2370" s="16" t="str">
        <f>VLOOKUP(I2370,episodes!$A$1:$E$81,5,FALSE)</f>
        <v>Errand of Mercy</v>
      </c>
      <c r="L2370" s="16">
        <f>VLOOKUP(I2370,episodes!$A$1:$D$81,3,FALSE)</f>
        <v>1</v>
      </c>
      <c r="M2370" s="16">
        <f>VLOOKUP(I2370,episodes!$A$1:$D$81,4,FALSE)</f>
        <v>26</v>
      </c>
      <c r="O2370" s="14">
        <v>0</v>
      </c>
      <c r="P2370" s="24">
        <f>LEN(E2370)+LEN(K2370)</f>
        <v>47</v>
      </c>
      <c r="Q2370" s="24">
        <f>COUNTIFS(B:B,B2369)</f>
        <v>109</v>
      </c>
      <c r="R2370" s="24">
        <f>COUNTIFS(D:D,D2370)</f>
        <v>85</v>
      </c>
    </row>
    <row r="2371" spans="1:18" x14ac:dyDescent="0.3">
      <c r="A2371" s="14">
        <v>2062</v>
      </c>
      <c r="B2371" s="21" t="s">
        <v>332</v>
      </c>
      <c r="C2371" s="21" t="s">
        <v>2605</v>
      </c>
      <c r="D2371" s="21" t="s">
        <v>1917</v>
      </c>
      <c r="E2371" s="1" t="s">
        <v>1224</v>
      </c>
      <c r="F2371" s="21" t="s">
        <v>5</v>
      </c>
      <c r="G2371" s="14">
        <v>1</v>
      </c>
      <c r="H2371" s="14">
        <v>0</v>
      </c>
      <c r="I2371" s="25">
        <v>105</v>
      </c>
      <c r="J2371" s="23">
        <f>VLOOKUP(I2371,episodes!$A$1:$B$76,2,FALSE)</f>
        <v>6</v>
      </c>
      <c r="K2371" s="16" t="str">
        <f>VLOOKUP(I2371,episodes!$A$1:$E$81,5,FALSE)</f>
        <v>The Enemy Within</v>
      </c>
      <c r="L2371" s="16">
        <f>VLOOKUP(I2371,episodes!$A$1:$D$81,3,FALSE)</f>
        <v>1</v>
      </c>
      <c r="M2371" s="16">
        <f>VLOOKUP(I2371,episodes!$A$1:$D$81,4,FALSE)</f>
        <v>5</v>
      </c>
      <c r="O2371" s="14">
        <v>0</v>
      </c>
      <c r="P2371" s="24">
        <f>LEN(E2371)+LEN(K2371)</f>
        <v>62</v>
      </c>
      <c r="Q2371" s="24">
        <f>COUNTIFS(B:B,B2370)</f>
        <v>109</v>
      </c>
      <c r="R2371" s="24">
        <f>COUNTIFS(D:D,D2371)</f>
        <v>85</v>
      </c>
    </row>
    <row r="2372" spans="1:18" x14ac:dyDescent="0.3">
      <c r="A2372" s="14">
        <v>2440</v>
      </c>
      <c r="B2372" s="21" t="s">
        <v>332</v>
      </c>
      <c r="C2372" s="21" t="s">
        <v>2605</v>
      </c>
      <c r="D2372" s="21" t="s">
        <v>1917</v>
      </c>
      <c r="E2372" s="1" t="s">
        <v>1270</v>
      </c>
      <c r="F2372" s="21" t="s">
        <v>1861</v>
      </c>
      <c r="G2372" s="14">
        <v>0</v>
      </c>
      <c r="H2372" s="14">
        <v>1</v>
      </c>
      <c r="I2372" s="22">
        <v>115</v>
      </c>
      <c r="J2372" s="23">
        <f>VLOOKUP(I2372,episodes!$A$1:$B$76,2,FALSE)</f>
        <v>16</v>
      </c>
      <c r="K2372" s="16" t="str">
        <f>VLOOKUP(I2372,episodes!$A$1:$E$81,5,FALSE)</f>
        <v>Shore Leave</v>
      </c>
      <c r="L2372" s="16">
        <f>VLOOKUP(I2372,episodes!$A$1:$D$81,3,FALSE)</f>
        <v>1</v>
      </c>
      <c r="M2372" s="16">
        <f>VLOOKUP(I2372,episodes!$A$1:$D$81,4,FALSE)</f>
        <v>15</v>
      </c>
      <c r="O2372" s="14">
        <v>0</v>
      </c>
      <c r="P2372" s="24">
        <f>LEN(E2372)+LEN(K2372)</f>
        <v>51</v>
      </c>
      <c r="Q2372" s="24">
        <f>COUNTIFS(B:B,B2371)</f>
        <v>109</v>
      </c>
      <c r="R2372" s="24">
        <f>COUNTIFS(D:D,D2372)</f>
        <v>85</v>
      </c>
    </row>
    <row r="2373" spans="1:18" x14ac:dyDescent="0.3">
      <c r="A2373" s="14">
        <v>2433</v>
      </c>
      <c r="B2373" s="21" t="s">
        <v>315</v>
      </c>
      <c r="C2373" s="21" t="s">
        <v>2605</v>
      </c>
      <c r="D2373" s="21" t="s">
        <v>1917</v>
      </c>
      <c r="E2373" s="1" t="s">
        <v>677</v>
      </c>
      <c r="F2373" s="21" t="s">
        <v>1861</v>
      </c>
      <c r="G2373" s="14">
        <v>0</v>
      </c>
      <c r="H2373" s="14">
        <v>1</v>
      </c>
      <c r="I2373" s="25">
        <v>105</v>
      </c>
      <c r="J2373" s="23">
        <f>VLOOKUP(I2373,episodes!$A$1:$B$76,2,FALSE)</f>
        <v>6</v>
      </c>
      <c r="K2373" s="16" t="str">
        <f>VLOOKUP(I2373,episodes!$A$1:$E$81,5,FALSE)</f>
        <v>The Enemy Within</v>
      </c>
      <c r="L2373" s="16">
        <f>VLOOKUP(I2373,episodes!$A$1:$D$81,3,FALSE)</f>
        <v>1</v>
      </c>
      <c r="M2373" s="16">
        <f>VLOOKUP(I2373,episodes!$A$1:$D$81,4,FALSE)</f>
        <v>5</v>
      </c>
      <c r="O2373" s="14">
        <v>0</v>
      </c>
      <c r="P2373" s="24">
        <f>LEN(E2373)+LEN(K2373)</f>
        <v>71</v>
      </c>
      <c r="Q2373" s="24">
        <f>COUNTIFS(B:B,B2372)</f>
        <v>109</v>
      </c>
      <c r="R2373" s="24">
        <f>COUNTIFS(D:D,D2373)</f>
        <v>85</v>
      </c>
    </row>
    <row r="2374" spans="1:18" s="21" customFormat="1" x14ac:dyDescent="0.3">
      <c r="A2374" s="14">
        <v>17</v>
      </c>
      <c r="B2374" s="21" t="s">
        <v>332</v>
      </c>
      <c r="C2374" s="21" t="s">
        <v>2605</v>
      </c>
      <c r="D2374" s="21" t="s">
        <v>1917</v>
      </c>
      <c r="E2374" s="1" t="s">
        <v>2124</v>
      </c>
      <c r="F2374" s="21" t="s">
        <v>2</v>
      </c>
      <c r="G2374" s="14">
        <v>0</v>
      </c>
      <c r="H2374" s="14">
        <v>0</v>
      </c>
      <c r="I2374" s="22">
        <v>117</v>
      </c>
      <c r="J2374" s="23">
        <f>VLOOKUP(I2374,episodes!$A$1:$B$76,2,FALSE)</f>
        <v>18</v>
      </c>
      <c r="K2374" s="16" t="str">
        <f>VLOOKUP(I2374,episodes!$A$1:$E$81,5,FALSE)</f>
        <v>The Squire of Gothos</v>
      </c>
      <c r="L2374" s="16">
        <f>VLOOKUP(I2374,episodes!$A$1:$D$81,3,FALSE)</f>
        <v>1</v>
      </c>
      <c r="M2374" s="16">
        <f>VLOOKUP(I2374,episodes!$A$1:$D$81,4,FALSE)</f>
        <v>17</v>
      </c>
      <c r="N2374" s="14"/>
      <c r="O2374" s="14">
        <v>0</v>
      </c>
      <c r="P2374" s="24">
        <f>LEN(E2374)+LEN(K2374)</f>
        <v>110</v>
      </c>
      <c r="Q2374" s="24">
        <f>COUNTIFS(B:B,B2373)</f>
        <v>3</v>
      </c>
      <c r="R2374" s="24">
        <f>COUNTIFS(D:D,D2374)</f>
        <v>85</v>
      </c>
    </row>
    <row r="2375" spans="1:18" x14ac:dyDescent="0.3">
      <c r="A2375" s="14">
        <v>18</v>
      </c>
      <c r="B2375" s="21" t="s">
        <v>332</v>
      </c>
      <c r="C2375" s="21" t="s">
        <v>2605</v>
      </c>
      <c r="D2375" s="21" t="s">
        <v>1917</v>
      </c>
      <c r="E2375" s="1" t="s">
        <v>2125</v>
      </c>
      <c r="F2375" s="21" t="s">
        <v>2</v>
      </c>
      <c r="G2375" s="14">
        <v>0</v>
      </c>
      <c r="H2375" s="14">
        <v>0</v>
      </c>
      <c r="I2375" s="22">
        <v>117</v>
      </c>
      <c r="J2375" s="23">
        <f>VLOOKUP(I2375,episodes!$A$1:$B$76,2,FALSE)</f>
        <v>18</v>
      </c>
      <c r="K2375" s="16" t="str">
        <f>VLOOKUP(I2375,episodes!$A$1:$E$81,5,FALSE)</f>
        <v>The Squire of Gothos</v>
      </c>
      <c r="L2375" s="16">
        <f>VLOOKUP(I2375,episodes!$A$1:$D$81,3,FALSE)</f>
        <v>1</v>
      </c>
      <c r="M2375" s="16">
        <f>VLOOKUP(I2375,episodes!$A$1:$D$81,4,FALSE)</f>
        <v>17</v>
      </c>
      <c r="O2375" s="14">
        <v>0</v>
      </c>
      <c r="P2375" s="24">
        <f>LEN(E2375)+LEN(K2375)</f>
        <v>110</v>
      </c>
      <c r="Q2375" s="24">
        <f>COUNTIFS(B:B,B2374)</f>
        <v>109</v>
      </c>
      <c r="R2375" s="24">
        <f>COUNTIFS(D:D,D2375)</f>
        <v>85</v>
      </c>
    </row>
    <row r="2376" spans="1:18" x14ac:dyDescent="0.3">
      <c r="A2376" s="14">
        <v>208</v>
      </c>
      <c r="B2376" s="21" t="s">
        <v>332</v>
      </c>
      <c r="C2376" s="21" t="s">
        <v>2605</v>
      </c>
      <c r="D2376" s="21" t="s">
        <v>1917</v>
      </c>
      <c r="E2376" s="1" t="s">
        <v>747</v>
      </c>
      <c r="F2376" s="21" t="s">
        <v>56</v>
      </c>
      <c r="G2376" s="14">
        <v>0</v>
      </c>
      <c r="H2376" s="14">
        <v>0</v>
      </c>
      <c r="I2376" s="25">
        <v>100</v>
      </c>
      <c r="J2376" s="23">
        <f>VLOOKUP(I2376,episodes!$A$1:$B$76,2,FALSE)</f>
        <v>1</v>
      </c>
      <c r="K2376" s="16" t="str">
        <f>VLOOKUP(I2376,episodes!$A$1:$E$81,5,FALSE)</f>
        <v>The Cage</v>
      </c>
      <c r="L2376" s="16">
        <f>VLOOKUP(I2376,episodes!$A$1:$D$81,3,FALSE)</f>
        <v>1</v>
      </c>
      <c r="M2376" s="16">
        <f>VLOOKUP(I2376,episodes!$A$1:$D$81,4,FALSE)</f>
        <v>0</v>
      </c>
      <c r="O2376" s="14">
        <v>0</v>
      </c>
      <c r="P2376" s="24">
        <f>LEN(E2376)+LEN(K2376)</f>
        <v>90</v>
      </c>
      <c r="Q2376" s="24">
        <f>COUNTIFS(B:B,B2375)</f>
        <v>109</v>
      </c>
      <c r="R2376" s="24">
        <f>COUNTIFS(D:D,D2376)</f>
        <v>85</v>
      </c>
    </row>
    <row r="2377" spans="1:18" x14ac:dyDescent="0.3">
      <c r="A2377" s="14">
        <v>1875</v>
      </c>
      <c r="B2377" s="21" t="s">
        <v>315</v>
      </c>
      <c r="C2377" s="21" t="s">
        <v>2605</v>
      </c>
      <c r="D2377" s="21" t="s">
        <v>1917</v>
      </c>
      <c r="E2377" s="1" t="s">
        <v>1751</v>
      </c>
      <c r="F2377" s="21" t="s">
        <v>1862</v>
      </c>
      <c r="G2377" s="14">
        <v>0</v>
      </c>
      <c r="H2377" s="14">
        <v>2</v>
      </c>
      <c r="I2377" s="25">
        <v>110</v>
      </c>
      <c r="J2377" s="23">
        <f>VLOOKUP(I2377,episodes!$A$1:$B$76,2,FALSE)</f>
        <v>11</v>
      </c>
      <c r="K2377" s="16" t="str">
        <f>VLOOKUP(I2377,episodes!$A$1:$E$81,5,FALSE)</f>
        <v>The Corbomite Maneuver</v>
      </c>
      <c r="L2377" s="16">
        <f>VLOOKUP(I2377,episodes!$A$1:$D$81,3,FALSE)</f>
        <v>1</v>
      </c>
      <c r="M2377" s="16">
        <f>VLOOKUP(I2377,episodes!$A$1:$D$81,4,FALSE)</f>
        <v>10</v>
      </c>
      <c r="O2377" s="14">
        <v>0</v>
      </c>
      <c r="P2377" s="24">
        <f>LEN(E2377)+LEN(K2377)</f>
        <v>93</v>
      </c>
      <c r="Q2377" s="24">
        <f>COUNTIFS(B:B,B2376)</f>
        <v>109</v>
      </c>
      <c r="R2377" s="24">
        <f>COUNTIFS(D:D,D2377)</f>
        <v>85</v>
      </c>
    </row>
    <row r="2378" spans="1:18" x14ac:dyDescent="0.3">
      <c r="A2378" s="14">
        <v>231</v>
      </c>
      <c r="B2378" s="21" t="s">
        <v>332</v>
      </c>
      <c r="C2378" s="21" t="s">
        <v>2605</v>
      </c>
      <c r="D2378" s="21" t="s">
        <v>2929</v>
      </c>
      <c r="E2378" s="1" t="s">
        <v>1622</v>
      </c>
      <c r="F2378" s="21" t="s">
        <v>56</v>
      </c>
      <c r="G2378" s="14">
        <v>0</v>
      </c>
      <c r="H2378" s="14">
        <v>0</v>
      </c>
      <c r="I2378" s="25">
        <v>206</v>
      </c>
      <c r="J2378" s="23">
        <f>VLOOKUP(I2378,episodes!$A$1:$B$81,2,FALSE)</f>
        <v>36</v>
      </c>
      <c r="K2378" s="16" t="str">
        <f>VLOOKUP(I2378,episodes!$A$1:$E$81,5,FALSE)</f>
        <v>The Doomsday Machine</v>
      </c>
      <c r="L2378" s="16">
        <f>VLOOKUP(I2378,episodes!$A$1:$D$81,3,FALSE)</f>
        <v>2</v>
      </c>
      <c r="M2378" s="16">
        <f>VLOOKUP(I2378,episodes!$A$1:$D$81,4,FALSE)</f>
        <v>6</v>
      </c>
      <c r="O2378" s="14">
        <v>0</v>
      </c>
      <c r="P2378" s="24">
        <f>LEN(E2378)+LEN(K2378)</f>
        <v>81</v>
      </c>
      <c r="Q2378" s="24">
        <f>COUNTIFS(B:B,B2377)</f>
        <v>3</v>
      </c>
      <c r="R2378" s="24">
        <f>COUNTIFS(D:D,D2378)</f>
        <v>9</v>
      </c>
    </row>
    <row r="2379" spans="1:18" x14ac:dyDescent="0.3">
      <c r="A2379" s="14">
        <v>951</v>
      </c>
      <c r="B2379" s="21" t="s">
        <v>332</v>
      </c>
      <c r="C2379" s="21" t="s">
        <v>2605</v>
      </c>
      <c r="D2379" s="21" t="s">
        <v>2929</v>
      </c>
      <c r="E2379" s="1" t="s">
        <v>2338</v>
      </c>
      <c r="F2379" s="21" t="s">
        <v>4</v>
      </c>
      <c r="G2379" s="14">
        <v>1</v>
      </c>
      <c r="H2379" s="14">
        <v>0</v>
      </c>
      <c r="I2379" s="25">
        <v>206</v>
      </c>
      <c r="J2379" s="23">
        <f>VLOOKUP(I2379,episodes!$A$1:$B$81,2,FALSE)</f>
        <v>36</v>
      </c>
      <c r="K2379" s="16" t="str">
        <f>VLOOKUP(I2379,episodes!$A$1:$E$81,5,FALSE)</f>
        <v>The Doomsday Machine</v>
      </c>
      <c r="L2379" s="16">
        <f>VLOOKUP(I2379,episodes!$A$1:$D$81,3,FALSE)</f>
        <v>2</v>
      </c>
      <c r="M2379" s="16">
        <f>VLOOKUP(I2379,episodes!$A$1:$D$81,4,FALSE)</f>
        <v>6</v>
      </c>
      <c r="O2379" s="14">
        <v>0</v>
      </c>
      <c r="P2379" s="24">
        <f>LEN(E2379)+LEN(K2379)</f>
        <v>72</v>
      </c>
      <c r="Q2379" s="24">
        <f>COUNTIFS(B:B,B2378)</f>
        <v>109</v>
      </c>
      <c r="R2379" s="24">
        <f>COUNTIFS(D:D,D2379)</f>
        <v>9</v>
      </c>
    </row>
    <row r="2380" spans="1:18" x14ac:dyDescent="0.3">
      <c r="A2380" s="14">
        <v>860</v>
      </c>
      <c r="B2380" s="21" t="s">
        <v>332</v>
      </c>
      <c r="C2380" s="21" t="s">
        <v>2605</v>
      </c>
      <c r="D2380" s="21" t="s">
        <v>2929</v>
      </c>
      <c r="E2380" s="1" t="s">
        <v>2336</v>
      </c>
      <c r="F2380" s="21" t="s">
        <v>4</v>
      </c>
      <c r="G2380" s="14">
        <v>1</v>
      </c>
      <c r="H2380" s="14">
        <v>0</v>
      </c>
      <c r="I2380" s="22">
        <v>126</v>
      </c>
      <c r="J2380" s="23">
        <f>VLOOKUP(I2380,episodes!$A$1:$B$76,2,FALSE)</f>
        <v>27</v>
      </c>
      <c r="K2380" s="16" t="str">
        <f>VLOOKUP(I2380,episodes!$A$1:$E$81,5,FALSE)</f>
        <v>Errand of Mercy</v>
      </c>
      <c r="L2380" s="16">
        <f>VLOOKUP(I2380,episodes!$A$1:$D$81,3,FALSE)</f>
        <v>1</v>
      </c>
      <c r="M2380" s="16">
        <f>VLOOKUP(I2380,episodes!$A$1:$D$81,4,FALSE)</f>
        <v>26</v>
      </c>
      <c r="O2380" s="14">
        <v>0</v>
      </c>
      <c r="P2380" s="24">
        <f>LEN(E2380)+LEN(K2380)</f>
        <v>57</v>
      </c>
      <c r="Q2380" s="24">
        <f>COUNTIFS(B:B,B2379)</f>
        <v>109</v>
      </c>
      <c r="R2380" s="24">
        <f>COUNTIFS(D:D,D2380)</f>
        <v>9</v>
      </c>
    </row>
    <row r="2381" spans="1:18" x14ac:dyDescent="0.3">
      <c r="A2381" s="14">
        <v>861</v>
      </c>
      <c r="B2381" s="21" t="s">
        <v>332</v>
      </c>
      <c r="C2381" s="21" t="s">
        <v>2605</v>
      </c>
      <c r="D2381" s="21" t="s">
        <v>2929</v>
      </c>
      <c r="E2381" s="1" t="s">
        <v>2335</v>
      </c>
      <c r="F2381" s="21" t="s">
        <v>4</v>
      </c>
      <c r="G2381" s="14">
        <v>1</v>
      </c>
      <c r="H2381" s="14">
        <v>0</v>
      </c>
      <c r="I2381" s="22">
        <v>126</v>
      </c>
      <c r="J2381" s="23">
        <f>VLOOKUP(I2381,episodes!$A$1:$B$76,2,FALSE)</f>
        <v>27</v>
      </c>
      <c r="K2381" s="16" t="str">
        <f>VLOOKUP(I2381,episodes!$A$1:$E$81,5,FALSE)</f>
        <v>Errand of Mercy</v>
      </c>
      <c r="L2381" s="16">
        <f>VLOOKUP(I2381,episodes!$A$1:$D$81,3,FALSE)</f>
        <v>1</v>
      </c>
      <c r="M2381" s="16">
        <f>VLOOKUP(I2381,episodes!$A$1:$D$81,4,FALSE)</f>
        <v>26</v>
      </c>
      <c r="O2381" s="14">
        <v>0</v>
      </c>
      <c r="P2381" s="24">
        <f>LEN(E2381)+LEN(K2381)</f>
        <v>68</v>
      </c>
      <c r="Q2381" s="24">
        <f>COUNTIFS(B:B,B2380)</f>
        <v>109</v>
      </c>
      <c r="R2381" s="24">
        <f>COUNTIFS(D:D,D2381)</f>
        <v>9</v>
      </c>
    </row>
    <row r="2382" spans="1:18" x14ac:dyDescent="0.3">
      <c r="A2382" s="14">
        <v>869</v>
      </c>
      <c r="B2382" s="21" t="s">
        <v>332</v>
      </c>
      <c r="C2382" s="21" t="s">
        <v>2605</v>
      </c>
      <c r="D2382" s="21" t="s">
        <v>2929</v>
      </c>
      <c r="E2382" s="1" t="s">
        <v>2337</v>
      </c>
      <c r="F2382" s="21" t="s">
        <v>4</v>
      </c>
      <c r="G2382" s="14">
        <v>1</v>
      </c>
      <c r="H2382" s="14">
        <v>0</v>
      </c>
      <c r="I2382" s="22">
        <v>127</v>
      </c>
      <c r="J2382" s="23">
        <f>VLOOKUP(I2382,episodes!$A$1:$B$76,2,FALSE)</f>
        <v>28</v>
      </c>
      <c r="K2382" s="16" t="str">
        <f>VLOOKUP(I2382,episodes!$A$1:$E$81,5,FALSE)</f>
        <v>The Alternative Factor</v>
      </c>
      <c r="L2382" s="16">
        <f>VLOOKUP(I2382,episodes!$A$1:$D$81,3,FALSE)</f>
        <v>1</v>
      </c>
      <c r="M2382" s="16">
        <f>VLOOKUP(I2382,episodes!$A$1:$D$81,4,FALSE)</f>
        <v>27</v>
      </c>
      <c r="O2382" s="14">
        <v>0</v>
      </c>
      <c r="P2382" s="24">
        <f>LEN(E2382)+LEN(K2382)</f>
        <v>72</v>
      </c>
      <c r="Q2382" s="24">
        <f>COUNTIFS(B:B,B2381)</f>
        <v>109</v>
      </c>
      <c r="R2382" s="24">
        <f>COUNTIFS(D:D,D2382)</f>
        <v>9</v>
      </c>
    </row>
    <row r="2383" spans="1:18" x14ac:dyDescent="0.3">
      <c r="A2383" s="14">
        <v>674</v>
      </c>
      <c r="B2383" s="21" t="s">
        <v>332</v>
      </c>
      <c r="C2383" s="21" t="s">
        <v>2605</v>
      </c>
      <c r="D2383" s="21" t="s">
        <v>2929</v>
      </c>
      <c r="E2383" s="1" t="s">
        <v>1752</v>
      </c>
      <c r="F2383" s="21" t="s">
        <v>4</v>
      </c>
      <c r="G2383" s="14">
        <v>1</v>
      </c>
      <c r="H2383" s="14">
        <v>0</v>
      </c>
      <c r="I2383" s="25">
        <v>110</v>
      </c>
      <c r="J2383" s="23">
        <f>VLOOKUP(I2383,episodes!$A$1:$B$76,2,FALSE)</f>
        <v>11</v>
      </c>
      <c r="K2383" s="16" t="str">
        <f>VLOOKUP(I2383,episodes!$A$1:$E$81,5,FALSE)</f>
        <v>The Corbomite Maneuver</v>
      </c>
      <c r="L2383" s="16">
        <f>VLOOKUP(I2383,episodes!$A$1:$D$81,3,FALSE)</f>
        <v>1</v>
      </c>
      <c r="M2383" s="16">
        <f>VLOOKUP(I2383,episodes!$A$1:$D$81,4,FALSE)</f>
        <v>10</v>
      </c>
      <c r="O2383" s="14">
        <v>0</v>
      </c>
      <c r="P2383" s="24">
        <f>LEN(E2383)+LEN(K2383)</f>
        <v>66</v>
      </c>
      <c r="Q2383" s="24">
        <f>COUNTIFS(B:B,B2382)</f>
        <v>109</v>
      </c>
      <c r="R2383" s="24">
        <f>COUNTIFS(D:D,D2383)</f>
        <v>9</v>
      </c>
    </row>
    <row r="2384" spans="1:18" x14ac:dyDescent="0.3">
      <c r="A2384" s="14">
        <v>755</v>
      </c>
      <c r="B2384" s="21" t="s">
        <v>332</v>
      </c>
      <c r="C2384" s="21" t="s">
        <v>2605</v>
      </c>
      <c r="D2384" s="21" t="s">
        <v>2929</v>
      </c>
      <c r="E2384" s="1" t="s">
        <v>1294</v>
      </c>
      <c r="F2384" s="21" t="s">
        <v>4</v>
      </c>
      <c r="G2384" s="14">
        <v>1</v>
      </c>
      <c r="H2384" s="14">
        <v>0</v>
      </c>
      <c r="I2384" s="22">
        <v>118</v>
      </c>
      <c r="J2384" s="23">
        <f>VLOOKUP(I2384,episodes!$A$1:$B$76,2,FALSE)</f>
        <v>19</v>
      </c>
      <c r="K2384" s="16" t="str">
        <f>VLOOKUP(I2384,episodes!$A$1:$E$81,5,FALSE)</f>
        <v>Arena</v>
      </c>
      <c r="L2384" s="16">
        <f>VLOOKUP(I2384,episodes!$A$1:$D$81,3,FALSE)</f>
        <v>1</v>
      </c>
      <c r="M2384" s="16">
        <f>VLOOKUP(I2384,episodes!$A$1:$D$81,4,FALSE)</f>
        <v>18</v>
      </c>
      <c r="O2384" s="14">
        <v>0</v>
      </c>
      <c r="P2384" s="24">
        <f>LEN(E2384)+LEN(K2384)</f>
        <v>81</v>
      </c>
      <c r="Q2384" s="24">
        <f>COUNTIFS(B:B,B2383)</f>
        <v>109</v>
      </c>
      <c r="R2384" s="24">
        <f>COUNTIFS(D:D,D2384)</f>
        <v>9</v>
      </c>
    </row>
    <row r="2385" spans="1:18" x14ac:dyDescent="0.3">
      <c r="A2385" s="14">
        <v>1989</v>
      </c>
      <c r="B2385" s="21" t="s">
        <v>332</v>
      </c>
      <c r="C2385" s="21" t="s">
        <v>2605</v>
      </c>
      <c r="D2385" s="21" t="s">
        <v>2929</v>
      </c>
      <c r="E2385" s="1" t="s">
        <v>2117</v>
      </c>
      <c r="F2385" s="21" t="s">
        <v>6</v>
      </c>
      <c r="G2385" s="14">
        <v>0</v>
      </c>
      <c r="H2385" s="14">
        <v>1</v>
      </c>
      <c r="I2385" s="25">
        <v>205</v>
      </c>
      <c r="J2385" s="23">
        <f>VLOOKUP(I2385,episodes!$A$1:$B$81,2,FALSE)</f>
        <v>35</v>
      </c>
      <c r="K2385" s="16" t="str">
        <f>VLOOKUP(I2385,episodes!$A$1:$E$81,5,FALSE)</f>
        <v>The Apple</v>
      </c>
      <c r="L2385" s="16">
        <f>VLOOKUP(I2385,episodes!$A$1:$D$81,3,FALSE)</f>
        <v>2</v>
      </c>
      <c r="M2385" s="16">
        <f>VLOOKUP(I2385,episodes!$A$1:$D$81,4,FALSE)</f>
        <v>5</v>
      </c>
      <c r="O2385" s="14">
        <v>0</v>
      </c>
      <c r="P2385" s="24">
        <f>LEN(E2385)+LEN(K2385)</f>
        <v>85</v>
      </c>
      <c r="Q2385" s="24">
        <f>COUNTIFS(B:B,B2384)</f>
        <v>109</v>
      </c>
      <c r="R2385" s="24">
        <f>COUNTIFS(D:D,D2385)</f>
        <v>9</v>
      </c>
    </row>
    <row r="2386" spans="1:18" x14ac:dyDescent="0.3">
      <c r="A2386" s="14">
        <v>2231</v>
      </c>
      <c r="B2386" s="21" t="s">
        <v>332</v>
      </c>
      <c r="C2386" s="21" t="s">
        <v>2605</v>
      </c>
      <c r="D2386" s="21" t="s">
        <v>2929</v>
      </c>
      <c r="E2386" s="1" t="s">
        <v>1388</v>
      </c>
      <c r="F2386" s="21" t="s">
        <v>5</v>
      </c>
      <c r="G2386" s="14">
        <v>1</v>
      </c>
      <c r="H2386" s="14">
        <v>0</v>
      </c>
      <c r="I2386" s="22">
        <v>202</v>
      </c>
      <c r="J2386" s="23">
        <f>VLOOKUP(I2386,episodes!$A$1:$B$76,2,FALSE)</f>
        <v>32</v>
      </c>
      <c r="K2386" s="16" t="str">
        <f>VLOOKUP(I2386,episodes!$A$1:$E$81,5,FALSE)</f>
        <v>Who Mourns for Adonais?</v>
      </c>
      <c r="L2386" s="16">
        <f>VLOOKUP(I2386,episodes!$A$1:$D$81,3,FALSE)</f>
        <v>2</v>
      </c>
      <c r="M2386" s="16">
        <f>VLOOKUP(I2386,episodes!$A$1:$D$81,4,FALSE)</f>
        <v>2</v>
      </c>
      <c r="O2386" s="14">
        <v>0</v>
      </c>
      <c r="P2386" s="24">
        <f>LEN(E2386)+LEN(K2386)</f>
        <v>59</v>
      </c>
      <c r="Q2386" s="24">
        <f>COUNTIFS(B:B,B2385)</f>
        <v>109</v>
      </c>
      <c r="R2386" s="24">
        <f>COUNTIFS(D:D,D2386)</f>
        <v>9</v>
      </c>
    </row>
    <row r="2387" spans="1:18" x14ac:dyDescent="0.3">
      <c r="A2387" s="14">
        <v>902</v>
      </c>
      <c r="B2387" s="21" t="s">
        <v>332</v>
      </c>
      <c r="C2387" s="21" t="s">
        <v>2605</v>
      </c>
      <c r="D2387" s="21" t="s">
        <v>2610</v>
      </c>
      <c r="E2387" s="1" t="s">
        <v>901</v>
      </c>
      <c r="F2387" s="21" t="s">
        <v>4</v>
      </c>
      <c r="G2387" s="14">
        <v>1</v>
      </c>
      <c r="H2387" s="14">
        <v>0</v>
      </c>
      <c r="I2387" s="22">
        <v>203</v>
      </c>
      <c r="J2387" s="23">
        <f>VLOOKUP(I2387,episodes!$A$1:$B$76,2,FALSE)</f>
        <v>33</v>
      </c>
      <c r="K2387" s="16" t="str">
        <f>VLOOKUP(I2387,episodes!$A$1:$E$81,5,FALSE)</f>
        <v>The Changeling</v>
      </c>
      <c r="L2387" s="16">
        <f>VLOOKUP(I2387,episodes!$A$1:$D$81,3,FALSE)</f>
        <v>2</v>
      </c>
      <c r="M2387" s="16">
        <f>VLOOKUP(I2387,episodes!$A$1:$D$81,4,FALSE)</f>
        <v>3</v>
      </c>
      <c r="O2387" s="14">
        <v>0</v>
      </c>
      <c r="P2387" s="24">
        <f>LEN(E2387)+LEN(K2387)</f>
        <v>49</v>
      </c>
      <c r="Q2387" s="24">
        <f>COUNTIFS(B:B,B2386)</f>
        <v>109</v>
      </c>
      <c r="R2387" s="24">
        <f>COUNTIFS(D:D,D2387)</f>
        <v>3</v>
      </c>
    </row>
    <row r="2388" spans="1:18" x14ac:dyDescent="0.3">
      <c r="A2388" s="14">
        <v>756</v>
      </c>
      <c r="B2388" s="21" t="s">
        <v>332</v>
      </c>
      <c r="C2388" s="21" t="s">
        <v>2605</v>
      </c>
      <c r="D2388" s="21" t="s">
        <v>2610</v>
      </c>
      <c r="E2388" s="1" t="s">
        <v>1670</v>
      </c>
      <c r="F2388" s="21" t="s">
        <v>4</v>
      </c>
      <c r="G2388" s="14">
        <v>1</v>
      </c>
      <c r="H2388" s="14">
        <v>0</v>
      </c>
      <c r="I2388" s="22">
        <v>118</v>
      </c>
      <c r="J2388" s="23">
        <f>VLOOKUP(I2388,episodes!$A$1:$B$76,2,FALSE)</f>
        <v>19</v>
      </c>
      <c r="K2388" s="16" t="str">
        <f>VLOOKUP(I2388,episodes!$A$1:$E$81,5,FALSE)</f>
        <v>Arena</v>
      </c>
      <c r="L2388" s="16">
        <f>VLOOKUP(I2388,episodes!$A$1:$D$81,3,FALSE)</f>
        <v>1</v>
      </c>
      <c r="M2388" s="16">
        <f>VLOOKUP(I2388,episodes!$A$1:$D$81,4,FALSE)</f>
        <v>18</v>
      </c>
      <c r="O2388" s="14">
        <v>0</v>
      </c>
      <c r="P2388" s="24">
        <f>LEN(E2388)+LEN(K2388)</f>
        <v>66</v>
      </c>
      <c r="Q2388" s="24">
        <f>COUNTIFS(B:B,B2387)</f>
        <v>109</v>
      </c>
      <c r="R2388" s="24">
        <f>COUNTIFS(D:D,D2388)</f>
        <v>3</v>
      </c>
    </row>
    <row r="2389" spans="1:18" x14ac:dyDescent="0.3">
      <c r="A2389" s="14">
        <v>968</v>
      </c>
      <c r="B2389" s="21" t="s">
        <v>332</v>
      </c>
      <c r="C2389" s="21" t="s">
        <v>2605</v>
      </c>
      <c r="D2389" s="1" t="s">
        <v>2610</v>
      </c>
      <c r="E2389" s="1" t="s">
        <v>2221</v>
      </c>
      <c r="F2389" s="21" t="s">
        <v>4</v>
      </c>
      <c r="G2389" s="14">
        <v>1</v>
      </c>
      <c r="H2389" s="14">
        <v>0</v>
      </c>
      <c r="I2389" s="22">
        <v>210</v>
      </c>
      <c r="J2389" s="23">
        <f>VLOOKUP(I2389,episodes!$A$1:$B$76,2,FALSE)</f>
        <v>40</v>
      </c>
      <c r="K2389" s="16" t="str">
        <f>VLOOKUP(I2389,episodes!$A$1:$E$81,5,FALSE)</f>
        <v>Journey to Babel</v>
      </c>
      <c r="L2389" s="16">
        <f>VLOOKUP(I2389,episodes!$A$1:$D$81,3,FALSE)</f>
        <v>2</v>
      </c>
      <c r="M2389" s="16">
        <f>VLOOKUP(I2389,episodes!$A$1:$D$81,4,FALSE)</f>
        <v>10</v>
      </c>
      <c r="O2389" s="14">
        <v>0</v>
      </c>
      <c r="P2389" s="24">
        <f>LEN(E2389)+LEN(K2389)</f>
        <v>116</v>
      </c>
      <c r="Q2389" s="24">
        <f>COUNTIFS(B:B,B2388)</f>
        <v>109</v>
      </c>
      <c r="R2389" s="24">
        <f>COUNTIFS(D:D,D2389)</f>
        <v>3</v>
      </c>
    </row>
    <row r="2390" spans="1:18" x14ac:dyDescent="0.3">
      <c r="A2390" s="14">
        <v>718</v>
      </c>
      <c r="B2390" s="21" t="s">
        <v>291</v>
      </c>
      <c r="C2390" s="21" t="s">
        <v>2605</v>
      </c>
      <c r="D2390" s="21" t="s">
        <v>2611</v>
      </c>
      <c r="E2390" s="1" t="s">
        <v>1795</v>
      </c>
      <c r="F2390" s="21" t="s">
        <v>4</v>
      </c>
      <c r="G2390" s="14">
        <v>1</v>
      </c>
      <c r="H2390" s="14">
        <v>0</v>
      </c>
      <c r="I2390" s="22">
        <v>115</v>
      </c>
      <c r="J2390" s="23">
        <f>VLOOKUP(I2390,episodes!$A$1:$B$76,2,FALSE)</f>
        <v>16</v>
      </c>
      <c r="K2390" s="16" t="str">
        <f>VLOOKUP(I2390,episodes!$A$1:$E$81,5,FALSE)</f>
        <v>Shore Leave</v>
      </c>
      <c r="L2390" s="16">
        <f>VLOOKUP(I2390,episodes!$A$1:$D$81,3,FALSE)</f>
        <v>1</v>
      </c>
      <c r="M2390" s="16">
        <f>VLOOKUP(I2390,episodes!$A$1:$D$81,4,FALSE)</f>
        <v>15</v>
      </c>
      <c r="O2390" s="14">
        <v>0</v>
      </c>
      <c r="P2390" s="24">
        <f>LEN(E2390)+LEN(K2390)</f>
        <v>74</v>
      </c>
      <c r="Q2390" s="24">
        <f>COUNTIFS(B:B,B2389)</f>
        <v>109</v>
      </c>
      <c r="R2390" s="24">
        <f>COUNTIFS(D:D,D2390)</f>
        <v>3</v>
      </c>
    </row>
    <row r="2391" spans="1:18" x14ac:dyDescent="0.3">
      <c r="A2391" s="14">
        <v>739</v>
      </c>
      <c r="B2391" s="21" t="s">
        <v>291</v>
      </c>
      <c r="C2391" s="21" t="s">
        <v>2605</v>
      </c>
      <c r="D2391" s="21" t="s">
        <v>2611</v>
      </c>
      <c r="E2391" s="1" t="s">
        <v>503</v>
      </c>
      <c r="F2391" s="21" t="s">
        <v>4</v>
      </c>
      <c r="G2391" s="14">
        <v>1</v>
      </c>
      <c r="H2391" s="14">
        <v>0</v>
      </c>
      <c r="I2391" s="22">
        <v>117</v>
      </c>
      <c r="J2391" s="23">
        <f>VLOOKUP(I2391,episodes!$A$1:$B$76,2,FALSE)</f>
        <v>18</v>
      </c>
      <c r="K2391" s="16" t="str">
        <f>VLOOKUP(I2391,episodes!$A$1:$E$81,5,FALSE)</f>
        <v>The Squire of Gothos</v>
      </c>
      <c r="L2391" s="16">
        <f>VLOOKUP(I2391,episodes!$A$1:$D$81,3,FALSE)</f>
        <v>1</v>
      </c>
      <c r="M2391" s="16">
        <f>VLOOKUP(I2391,episodes!$A$1:$D$81,4,FALSE)</f>
        <v>17</v>
      </c>
      <c r="O2391" s="14">
        <v>0</v>
      </c>
      <c r="P2391" s="24">
        <f>LEN(E2391)+LEN(K2391)</f>
        <v>97</v>
      </c>
      <c r="Q2391" s="24">
        <f>COUNTIFS(B:B,#REF!)</f>
        <v>0</v>
      </c>
      <c r="R2391" s="24">
        <f>COUNTIFS(D:D,D2391)</f>
        <v>3</v>
      </c>
    </row>
    <row r="2392" spans="1:18" x14ac:dyDescent="0.3">
      <c r="A2392" s="14">
        <v>14</v>
      </c>
      <c r="B2392" s="21" t="s">
        <v>291</v>
      </c>
      <c r="C2392" s="21" t="s">
        <v>2605</v>
      </c>
      <c r="D2392" s="21" t="s">
        <v>2611</v>
      </c>
      <c r="E2392" s="1" t="s">
        <v>605</v>
      </c>
      <c r="F2392" s="21" t="s">
        <v>2</v>
      </c>
      <c r="G2392" s="14">
        <v>0</v>
      </c>
      <c r="H2392" s="14">
        <v>0</v>
      </c>
      <c r="I2392" s="22">
        <v>117</v>
      </c>
      <c r="J2392" s="23">
        <f>VLOOKUP(I2392,episodes!$A$1:$B$76,2,FALSE)</f>
        <v>18</v>
      </c>
      <c r="K2392" s="16" t="str">
        <f>VLOOKUP(I2392,episodes!$A$1:$E$81,5,FALSE)</f>
        <v>The Squire of Gothos</v>
      </c>
      <c r="L2392" s="16">
        <f>VLOOKUP(I2392,episodes!$A$1:$D$81,3,FALSE)</f>
        <v>1</v>
      </c>
      <c r="M2392" s="16">
        <f>VLOOKUP(I2392,episodes!$A$1:$D$81,4,FALSE)</f>
        <v>17</v>
      </c>
      <c r="O2392" s="14">
        <v>0</v>
      </c>
      <c r="P2392" s="24">
        <f>LEN(E2392)+LEN(K2392)</f>
        <v>96</v>
      </c>
      <c r="Q2392" s="24">
        <f>COUNTIFS(B:B,B2391)</f>
        <v>3</v>
      </c>
      <c r="R2392" s="24">
        <f>COUNTIFS(D:D,D2392)</f>
        <v>3</v>
      </c>
    </row>
    <row r="2393" spans="1:18" x14ac:dyDescent="0.3">
      <c r="A2393" s="14">
        <v>701</v>
      </c>
      <c r="B2393" s="21" t="s">
        <v>332</v>
      </c>
      <c r="C2393" s="21" t="s">
        <v>2605</v>
      </c>
      <c r="D2393" s="21" t="s">
        <v>2928</v>
      </c>
      <c r="E2393" s="1" t="s">
        <v>1786</v>
      </c>
      <c r="F2393" s="21" t="s">
        <v>4</v>
      </c>
      <c r="G2393" s="14">
        <v>1</v>
      </c>
      <c r="H2393" s="14">
        <v>0</v>
      </c>
      <c r="I2393" s="22">
        <v>114</v>
      </c>
      <c r="J2393" s="23">
        <f>VLOOKUP(I2393,episodes!$A$1:$B$76,2,FALSE)</f>
        <v>15</v>
      </c>
      <c r="K2393" s="16" t="str">
        <f>VLOOKUP(I2393,episodes!$A$1:$E$81,5,FALSE)</f>
        <v>Balance of Terror</v>
      </c>
      <c r="L2393" s="16">
        <f>VLOOKUP(I2393,episodes!$A$1:$D$81,3,FALSE)</f>
        <v>1</v>
      </c>
      <c r="M2393" s="16">
        <f>VLOOKUP(I2393,episodes!$A$1:$D$81,4,FALSE)</f>
        <v>14</v>
      </c>
      <c r="O2393" s="14">
        <v>0</v>
      </c>
      <c r="P2393" s="24">
        <f>LEN(E2393)+LEN(K2393)</f>
        <v>95</v>
      </c>
      <c r="Q2393" s="24">
        <f>COUNTIFS(B:B,B2392)</f>
        <v>3</v>
      </c>
      <c r="R2393" s="24">
        <f>COUNTIFS(D:D,D2393)</f>
        <v>4</v>
      </c>
    </row>
    <row r="2394" spans="1:18" x14ac:dyDescent="0.3">
      <c r="A2394" s="14">
        <v>702</v>
      </c>
      <c r="B2394" s="21" t="s">
        <v>332</v>
      </c>
      <c r="C2394" s="21" t="s">
        <v>2605</v>
      </c>
      <c r="D2394" s="21" t="s">
        <v>2928</v>
      </c>
      <c r="E2394" s="1" t="s">
        <v>1671</v>
      </c>
      <c r="F2394" s="21" t="s">
        <v>4</v>
      </c>
      <c r="G2394" s="14">
        <v>1</v>
      </c>
      <c r="H2394" s="14">
        <v>0</v>
      </c>
      <c r="I2394" s="22">
        <v>114</v>
      </c>
      <c r="J2394" s="23">
        <f>VLOOKUP(I2394,episodes!$A$1:$B$76,2,FALSE)</f>
        <v>15</v>
      </c>
      <c r="K2394" s="16" t="str">
        <f>VLOOKUP(I2394,episodes!$A$1:$E$81,5,FALSE)</f>
        <v>Balance of Terror</v>
      </c>
      <c r="L2394" s="16">
        <f>VLOOKUP(I2394,episodes!$A$1:$D$81,3,FALSE)</f>
        <v>1</v>
      </c>
      <c r="M2394" s="16">
        <f>VLOOKUP(I2394,episodes!$A$1:$D$81,4,FALSE)</f>
        <v>14</v>
      </c>
      <c r="O2394" s="14">
        <v>0</v>
      </c>
      <c r="P2394" s="24">
        <f>LEN(E2394)+LEN(K2394)</f>
        <v>132</v>
      </c>
      <c r="Q2394" s="24">
        <f>COUNTIFS(B:B,B2393)</f>
        <v>109</v>
      </c>
      <c r="R2394" s="24">
        <f>COUNTIFS(D:D,D2394)</f>
        <v>4</v>
      </c>
    </row>
    <row r="2395" spans="1:18" x14ac:dyDescent="0.3">
      <c r="A2395" s="14">
        <v>704</v>
      </c>
      <c r="B2395" s="21" t="s">
        <v>332</v>
      </c>
      <c r="C2395" s="21" t="s">
        <v>2605</v>
      </c>
      <c r="D2395" s="21" t="s">
        <v>2928</v>
      </c>
      <c r="E2395" s="1" t="s">
        <v>1671</v>
      </c>
      <c r="F2395" s="21" t="s">
        <v>4</v>
      </c>
      <c r="G2395" s="14">
        <v>1</v>
      </c>
      <c r="H2395" s="14">
        <v>0</v>
      </c>
      <c r="I2395" s="22">
        <v>114</v>
      </c>
      <c r="J2395" s="23">
        <f>VLOOKUP(I2395,episodes!$A$1:$B$76,2,FALSE)</f>
        <v>15</v>
      </c>
      <c r="K2395" s="16" t="str">
        <f>VLOOKUP(I2395,episodes!$A$1:$E$81,5,FALSE)</f>
        <v>Balance of Terror</v>
      </c>
      <c r="L2395" s="16">
        <f>VLOOKUP(I2395,episodes!$A$1:$D$81,3,FALSE)</f>
        <v>1</v>
      </c>
      <c r="M2395" s="16">
        <f>VLOOKUP(I2395,episodes!$A$1:$D$81,4,FALSE)</f>
        <v>14</v>
      </c>
      <c r="O2395" s="14">
        <v>0</v>
      </c>
      <c r="P2395" s="24">
        <f>LEN(E2395)+LEN(K2395)</f>
        <v>132</v>
      </c>
      <c r="Q2395" s="24">
        <f>COUNTIFS(B:B,#REF!)</f>
        <v>0</v>
      </c>
      <c r="R2395" s="24">
        <f>COUNTIFS(D:D,D2395)</f>
        <v>4</v>
      </c>
    </row>
    <row r="2396" spans="1:18" x14ac:dyDescent="0.3">
      <c r="A2396" s="14">
        <v>1953</v>
      </c>
      <c r="B2396" s="21" t="s">
        <v>366</v>
      </c>
      <c r="C2396" s="21" t="s">
        <v>2605</v>
      </c>
      <c r="D2396" s="21" t="s">
        <v>2928</v>
      </c>
      <c r="E2396" s="1" t="s">
        <v>497</v>
      </c>
      <c r="F2396" s="21" t="s">
        <v>1867</v>
      </c>
      <c r="G2396" s="14">
        <v>0</v>
      </c>
      <c r="H2396" s="14">
        <v>0</v>
      </c>
      <c r="I2396" s="22">
        <v>114</v>
      </c>
      <c r="J2396" s="23">
        <f>VLOOKUP(I2396,episodes!$A$1:$B$76,2,FALSE)</f>
        <v>15</v>
      </c>
      <c r="K2396" s="16" t="str">
        <f>VLOOKUP(I2396,episodes!$A$1:$E$81,5,FALSE)</f>
        <v>Balance of Terror</v>
      </c>
      <c r="L2396" s="16">
        <f>VLOOKUP(I2396,episodes!$A$1:$D$81,3,FALSE)</f>
        <v>1</v>
      </c>
      <c r="M2396" s="16">
        <f>VLOOKUP(I2396,episodes!$A$1:$D$81,4,FALSE)</f>
        <v>14</v>
      </c>
      <c r="O2396" s="14">
        <v>0</v>
      </c>
      <c r="P2396" s="24">
        <f>LEN(E2396)+LEN(K2396)</f>
        <v>50</v>
      </c>
      <c r="Q2396" s="24">
        <f>COUNTIFS(B:B,B2395)</f>
        <v>109</v>
      </c>
      <c r="R2396" s="24">
        <f>COUNTIFS(D:D,D2396)</f>
        <v>4</v>
      </c>
    </row>
    <row r="2397" spans="1:18" x14ac:dyDescent="0.3">
      <c r="A2397" s="14">
        <v>1761</v>
      </c>
      <c r="B2397" s="21" t="s">
        <v>517</v>
      </c>
      <c r="C2397" s="21" t="s">
        <v>2605</v>
      </c>
      <c r="D2397" s="21" t="s">
        <v>2877</v>
      </c>
      <c r="E2397" s="1" t="s">
        <v>2342</v>
      </c>
      <c r="F2397" s="21" t="s">
        <v>2546</v>
      </c>
      <c r="G2397" s="14">
        <v>0</v>
      </c>
      <c r="H2397" s="14">
        <v>0</v>
      </c>
      <c r="I2397" s="25">
        <v>204</v>
      </c>
      <c r="J2397" s="23">
        <f>VLOOKUP(I2397,episodes!$A$1:$B$81,2,FALSE)</f>
        <v>34</v>
      </c>
      <c r="K2397" s="16" t="str">
        <f>VLOOKUP(I2397,episodes!$A$1:$E$81,5,FALSE)</f>
        <v>Mirror, Mirror</v>
      </c>
      <c r="L2397" s="16">
        <f>VLOOKUP(I2397,episodes!$A$1:$D$81,3,FALSE)</f>
        <v>2</v>
      </c>
      <c r="M2397" s="16">
        <f>VLOOKUP(I2397,episodes!$A$1:$D$81,4,FALSE)</f>
        <v>4</v>
      </c>
      <c r="O2397" s="14">
        <v>0</v>
      </c>
      <c r="P2397" s="24">
        <f>LEN(E2397)+LEN(K2397)</f>
        <v>82</v>
      </c>
      <c r="Q2397" s="24">
        <f>COUNTIFS(B:B,B2396)</f>
        <v>2</v>
      </c>
      <c r="R2397" s="24">
        <f>COUNTIFS(D:D,D2397)</f>
        <v>4</v>
      </c>
    </row>
    <row r="2398" spans="1:18" x14ac:dyDescent="0.3">
      <c r="A2398" s="14">
        <v>1762</v>
      </c>
      <c r="B2398" s="21" t="s">
        <v>517</v>
      </c>
      <c r="C2398" s="21" t="s">
        <v>2605</v>
      </c>
      <c r="D2398" s="21" t="s">
        <v>2877</v>
      </c>
      <c r="E2398" s="1" t="s">
        <v>2954</v>
      </c>
      <c r="F2398" s="21" t="s">
        <v>2546</v>
      </c>
      <c r="G2398" s="14">
        <v>0</v>
      </c>
      <c r="H2398" s="14">
        <v>0</v>
      </c>
      <c r="I2398" s="25">
        <v>204</v>
      </c>
      <c r="J2398" s="23">
        <f>VLOOKUP(I2398,episodes!$A$1:$B$81,2,FALSE)</f>
        <v>34</v>
      </c>
      <c r="K2398" s="16" t="str">
        <f>VLOOKUP(I2398,episodes!$A$1:$E$81,5,FALSE)</f>
        <v>Mirror, Mirror</v>
      </c>
      <c r="L2398" s="16">
        <f>VLOOKUP(I2398,episodes!$A$1:$D$81,3,FALSE)</f>
        <v>2</v>
      </c>
      <c r="M2398" s="16">
        <f>VLOOKUP(I2398,episodes!$A$1:$D$81,4,FALSE)</f>
        <v>4</v>
      </c>
      <c r="O2398" s="14">
        <v>0</v>
      </c>
      <c r="P2398" s="24">
        <f>LEN(E2398)+LEN(K2398)</f>
        <v>88</v>
      </c>
      <c r="Q2398" s="24">
        <f>COUNTIFS(B:B,B2397)</f>
        <v>4</v>
      </c>
      <c r="R2398" s="24">
        <f>COUNTIFS(D:D,D2398)</f>
        <v>4</v>
      </c>
    </row>
    <row r="2399" spans="1:18" x14ac:dyDescent="0.3">
      <c r="A2399" s="14">
        <v>1763</v>
      </c>
      <c r="B2399" s="21" t="s">
        <v>517</v>
      </c>
      <c r="C2399" s="21" t="s">
        <v>2605</v>
      </c>
      <c r="D2399" s="21" t="s">
        <v>2877</v>
      </c>
      <c r="E2399" s="1" t="s">
        <v>2955</v>
      </c>
      <c r="F2399" s="21" t="s">
        <v>2546</v>
      </c>
      <c r="G2399" s="14">
        <v>0</v>
      </c>
      <c r="H2399" s="14">
        <v>0</v>
      </c>
      <c r="I2399" s="25">
        <v>204</v>
      </c>
      <c r="J2399" s="23">
        <f>VLOOKUP(I2399,episodes!$A$1:$B$81,2,FALSE)</f>
        <v>34</v>
      </c>
      <c r="K2399" s="16" t="str">
        <f>VLOOKUP(I2399,episodes!$A$1:$E$81,5,FALSE)</f>
        <v>Mirror, Mirror</v>
      </c>
      <c r="L2399" s="16">
        <f>VLOOKUP(I2399,episodes!$A$1:$D$81,3,FALSE)</f>
        <v>2</v>
      </c>
      <c r="M2399" s="16">
        <f>VLOOKUP(I2399,episodes!$A$1:$D$81,4,FALSE)</f>
        <v>4</v>
      </c>
      <c r="O2399" s="14">
        <v>0</v>
      </c>
      <c r="P2399" s="24">
        <f>LEN(E2399)+LEN(K2399)</f>
        <v>88</v>
      </c>
      <c r="Q2399" s="24">
        <f>COUNTIFS(B:B,B2398)</f>
        <v>4</v>
      </c>
      <c r="R2399" s="24">
        <f>COUNTIFS(D:D,D2399)</f>
        <v>4</v>
      </c>
    </row>
    <row r="2400" spans="1:18" x14ac:dyDescent="0.3">
      <c r="A2400" s="14">
        <v>1764</v>
      </c>
      <c r="B2400" s="21" t="s">
        <v>517</v>
      </c>
      <c r="C2400" s="21" t="s">
        <v>2605</v>
      </c>
      <c r="D2400" s="21" t="s">
        <v>2877</v>
      </c>
      <c r="E2400" s="1" t="s">
        <v>2956</v>
      </c>
      <c r="F2400" s="21" t="s">
        <v>2546</v>
      </c>
      <c r="G2400" s="14">
        <v>0</v>
      </c>
      <c r="H2400" s="14">
        <v>0</v>
      </c>
      <c r="I2400" s="25">
        <v>204</v>
      </c>
      <c r="J2400" s="23">
        <f>VLOOKUP(I2400,episodes!$A$1:$B$81,2,FALSE)</f>
        <v>34</v>
      </c>
      <c r="K2400" s="16" t="str">
        <f>VLOOKUP(I2400,episodes!$A$1:$E$81,5,FALSE)</f>
        <v>Mirror, Mirror</v>
      </c>
      <c r="L2400" s="16">
        <f>VLOOKUP(I2400,episodes!$A$1:$D$81,3,FALSE)</f>
        <v>2</v>
      </c>
      <c r="M2400" s="16">
        <f>VLOOKUP(I2400,episodes!$A$1:$D$81,4,FALSE)</f>
        <v>4</v>
      </c>
      <c r="O2400" s="14">
        <v>0</v>
      </c>
      <c r="P2400" s="24">
        <f>LEN(E2400)+LEN(K2400)</f>
        <v>88</v>
      </c>
      <c r="Q2400" s="24">
        <f>COUNTIFS(B:B,B2399)</f>
        <v>4</v>
      </c>
      <c r="R2400" s="24">
        <f>COUNTIFS(D:D,D2400)</f>
        <v>4</v>
      </c>
    </row>
    <row r="2401" spans="1:18" x14ac:dyDescent="0.3">
      <c r="A2401" s="14">
        <v>243</v>
      </c>
      <c r="B2401" s="21" t="s">
        <v>1144</v>
      </c>
      <c r="C2401" s="21"/>
      <c r="D2401" s="21" t="s">
        <v>2878</v>
      </c>
      <c r="E2401" s="1" t="s">
        <v>1039</v>
      </c>
      <c r="F2401" s="21" t="s">
        <v>2315</v>
      </c>
      <c r="G2401" s="14">
        <v>0</v>
      </c>
      <c r="H2401" s="14">
        <v>0</v>
      </c>
      <c r="I2401" s="14">
        <v>209</v>
      </c>
      <c r="J2401" s="23">
        <f>VLOOKUP(I2401,episodes!$A$1:$B$81,2,FALSE)</f>
        <v>39</v>
      </c>
      <c r="K2401" s="16" t="str">
        <f>VLOOKUP(I2401,episodes!$A$1:$E$81,5,FALSE)</f>
        <v>Metamorphosis</v>
      </c>
      <c r="L2401" s="16">
        <f>VLOOKUP(I2401,episodes!$A$1:$D$81,3,FALSE)</f>
        <v>2</v>
      </c>
      <c r="M2401" s="16">
        <f>VLOOKUP(I2401,episodes!$A$1:$D$81,4,FALSE)</f>
        <v>9</v>
      </c>
      <c r="O2401" s="14">
        <v>0</v>
      </c>
      <c r="P2401" s="24">
        <f>LEN(E2401)+LEN(K2401)</f>
        <v>121</v>
      </c>
      <c r="Q2401" s="24">
        <f>COUNTIFS(B:B,B2400)</f>
        <v>4</v>
      </c>
      <c r="R2401" s="24">
        <f>COUNTIFS(D:D,D2401)</f>
        <v>2</v>
      </c>
    </row>
    <row r="2402" spans="1:18" x14ac:dyDescent="0.3">
      <c r="A2402" s="14">
        <v>41</v>
      </c>
      <c r="B2402" s="21" t="s">
        <v>1144</v>
      </c>
      <c r="C2402" s="21"/>
      <c r="D2402" s="21" t="s">
        <v>2878</v>
      </c>
      <c r="E2402" s="1" t="s">
        <v>1121</v>
      </c>
      <c r="F2402" s="21" t="s">
        <v>2</v>
      </c>
      <c r="G2402" s="14">
        <v>0</v>
      </c>
      <c r="H2402" s="14">
        <v>0</v>
      </c>
      <c r="I2402" s="22">
        <v>207</v>
      </c>
      <c r="J2402" s="23">
        <f>VLOOKUP(I2402,episodes!$A$1:$B$81,2,FALSE)</f>
        <v>37</v>
      </c>
      <c r="K2402" s="16" t="str">
        <f>VLOOKUP(I2402,episodes!$A$1:$E$81,5,FALSE)</f>
        <v>Catspaw</v>
      </c>
      <c r="L2402" s="16">
        <f>VLOOKUP(I2402,episodes!$A$1:$D$81,3,FALSE)</f>
        <v>2</v>
      </c>
      <c r="M2402" s="16">
        <f>VLOOKUP(I2402,episodes!$A$1:$D$81,4,FALSE)</f>
        <v>7</v>
      </c>
      <c r="O2402" s="14">
        <v>0</v>
      </c>
      <c r="P2402" s="24">
        <f>LEN(E2402)+LEN(K2402)</f>
        <v>66</v>
      </c>
      <c r="Q2402" s="24">
        <f>COUNTIFS(B:B,B2401)</f>
        <v>2</v>
      </c>
      <c r="R2402" s="24">
        <f>COUNTIFS(D:D,D2402)</f>
        <v>2</v>
      </c>
    </row>
    <row r="2403" spans="1:18" x14ac:dyDescent="0.3">
      <c r="A2403" s="14">
        <v>2786</v>
      </c>
      <c r="B2403" s="21" t="s">
        <v>269</v>
      </c>
      <c r="C2403" s="21"/>
      <c r="D2403" s="1" t="s">
        <v>144</v>
      </c>
      <c r="E2403" s="1" t="s">
        <v>843</v>
      </c>
      <c r="F2403" s="21" t="s">
        <v>2225</v>
      </c>
      <c r="G2403" s="14">
        <v>0</v>
      </c>
      <c r="H2403" s="14">
        <v>0</v>
      </c>
      <c r="I2403" s="25">
        <v>121</v>
      </c>
      <c r="J2403" s="23">
        <f>VLOOKUP(I2403,episodes!$A$1:$B$76,2,FALSE)</f>
        <v>22</v>
      </c>
      <c r="K2403" s="16" t="str">
        <f>VLOOKUP(I2403,episodes!$A$1:$E$81,5,FALSE)</f>
        <v>The Return of the Archons</v>
      </c>
      <c r="L2403" s="16">
        <f>VLOOKUP(I2403,episodes!$A$1:$D$81,3,FALSE)</f>
        <v>1</v>
      </c>
      <c r="M2403" s="16">
        <f>VLOOKUP(I2403,episodes!$A$1:$D$81,4,FALSE)</f>
        <v>21</v>
      </c>
      <c r="O2403" s="14">
        <v>0</v>
      </c>
      <c r="P2403" s="24">
        <f>LEN(E2403)+LEN(K2403)</f>
        <v>75</v>
      </c>
      <c r="Q2403" s="24">
        <f>COUNTIFS(B:B,B2402)</f>
        <v>2</v>
      </c>
      <c r="R2403" s="24">
        <f>COUNTIFS(D:D,D2403)</f>
        <v>44</v>
      </c>
    </row>
    <row r="2404" spans="1:18" x14ac:dyDescent="0.3">
      <c r="A2404" s="14">
        <v>1261</v>
      </c>
      <c r="B2404" s="21" t="s">
        <v>269</v>
      </c>
      <c r="C2404" s="21"/>
      <c r="D2404" s="1" t="s">
        <v>144</v>
      </c>
      <c r="E2404" s="1" t="s">
        <v>719</v>
      </c>
      <c r="F2404" s="21" t="s">
        <v>4</v>
      </c>
      <c r="G2404" s="14">
        <v>1</v>
      </c>
      <c r="H2404" s="14">
        <v>0</v>
      </c>
      <c r="I2404" s="22">
        <v>128</v>
      </c>
      <c r="J2404" s="23">
        <f>VLOOKUP(I2404,episodes!$A$1:$B$76,2,FALSE)</f>
        <v>29</v>
      </c>
      <c r="K2404" s="16" t="str">
        <f>VLOOKUP(I2404,episodes!$A$1:$E$81,5,FALSE)</f>
        <v>The City on the Edge of Forever</v>
      </c>
      <c r="L2404" s="16">
        <f>VLOOKUP(I2404,episodes!$A$1:$D$81,3,FALSE)</f>
        <v>1</v>
      </c>
      <c r="M2404" s="16">
        <f>VLOOKUP(I2404,episodes!$A$1:$D$81,4,FALSE)</f>
        <v>28</v>
      </c>
      <c r="O2404" s="14">
        <v>0</v>
      </c>
      <c r="P2404" s="24">
        <f>LEN(E2404)+LEN(K2404)</f>
        <v>75</v>
      </c>
      <c r="Q2404" s="24">
        <f>COUNTIFS(B:B,B2401)</f>
        <v>2</v>
      </c>
      <c r="R2404" s="24">
        <f>COUNTIFS(D:D,D2404)</f>
        <v>44</v>
      </c>
    </row>
    <row r="2405" spans="1:18" x14ac:dyDescent="0.3">
      <c r="A2405" s="14">
        <v>1943</v>
      </c>
      <c r="B2405" s="21" t="s">
        <v>272</v>
      </c>
      <c r="C2405" s="21"/>
      <c r="D2405" s="21" t="s">
        <v>2600</v>
      </c>
      <c r="E2405" s="1" t="s">
        <v>392</v>
      </c>
      <c r="F2405" s="21" t="s">
        <v>1867</v>
      </c>
      <c r="G2405" s="14">
        <v>0</v>
      </c>
      <c r="H2405" s="14">
        <v>0</v>
      </c>
      <c r="I2405" s="14">
        <v>114</v>
      </c>
      <c r="J2405" s="23">
        <f>VLOOKUP(I2405,episodes!$A$1:$B$76,2,FALSE)</f>
        <v>15</v>
      </c>
      <c r="K2405" s="16" t="str">
        <f>VLOOKUP(I2405,episodes!$A$1:$E$81,5,FALSE)</f>
        <v>Balance of Terror</v>
      </c>
      <c r="L2405" s="16">
        <f>VLOOKUP(I2405,episodes!$A$1:$D$81,3,FALSE)</f>
        <v>1</v>
      </c>
      <c r="M2405" s="16">
        <f>VLOOKUP(I2405,episodes!$A$1:$D$81,4,FALSE)</f>
        <v>14</v>
      </c>
      <c r="O2405" s="14">
        <v>0</v>
      </c>
      <c r="P2405" s="24">
        <f>LEN(E2405)+LEN(K2405)</f>
        <v>68</v>
      </c>
      <c r="Q2405" s="24">
        <f>COUNTIFS(B:B,B2404)</f>
        <v>3</v>
      </c>
      <c r="R2405" s="24">
        <f>COUNTIFS(D:D,D2405)</f>
        <v>1</v>
      </c>
    </row>
    <row r="2406" spans="1:18" x14ac:dyDescent="0.3">
      <c r="A2406" s="14">
        <v>2720</v>
      </c>
      <c r="B2406" s="21" t="s">
        <v>274</v>
      </c>
      <c r="C2406" s="21"/>
      <c r="D2406" s="21" t="s">
        <v>523</v>
      </c>
      <c r="E2406" s="1" t="s">
        <v>1088</v>
      </c>
      <c r="F2406" s="21" t="s">
        <v>2225</v>
      </c>
      <c r="G2406" s="14">
        <v>0</v>
      </c>
      <c r="H2406" s="14">
        <v>0</v>
      </c>
      <c r="I2406" s="25">
        <v>104</v>
      </c>
      <c r="J2406" s="23">
        <f>VLOOKUP(I2406,episodes!$A$1:$B$76,2,FALSE)</f>
        <v>5</v>
      </c>
      <c r="K2406" s="16" t="str">
        <f>VLOOKUP(I2406,episodes!$A$1:$E$81,5,FALSE)</f>
        <v>The Naked Time</v>
      </c>
      <c r="L2406" s="16">
        <f>VLOOKUP(I2406,episodes!$A$1:$D$81,3,FALSE)</f>
        <v>1</v>
      </c>
      <c r="M2406" s="16">
        <f>VLOOKUP(I2406,episodes!$A$1:$D$81,4,FALSE)</f>
        <v>4</v>
      </c>
      <c r="O2406" s="14">
        <v>0</v>
      </c>
      <c r="P2406" s="24">
        <f>LEN(E2406)+LEN(K2406)</f>
        <v>94</v>
      </c>
      <c r="Q2406" s="24">
        <f>COUNTIFS(B:B,B2405)</f>
        <v>2</v>
      </c>
      <c r="R2406" s="24">
        <f>COUNTIFS(D:D,D2406)</f>
        <v>4</v>
      </c>
    </row>
    <row r="2407" spans="1:18" x14ac:dyDescent="0.3">
      <c r="A2407" s="14">
        <v>2796</v>
      </c>
      <c r="B2407" s="21" t="s">
        <v>274</v>
      </c>
      <c r="C2407" s="21"/>
      <c r="D2407" s="21" t="s">
        <v>523</v>
      </c>
      <c r="E2407" s="1" t="s">
        <v>666</v>
      </c>
      <c r="F2407" s="21" t="s">
        <v>2225</v>
      </c>
      <c r="G2407" s="14">
        <v>0</v>
      </c>
      <c r="H2407" s="14">
        <v>0</v>
      </c>
      <c r="I2407" s="22">
        <v>124</v>
      </c>
      <c r="J2407" s="23">
        <f>VLOOKUP(I2407,episodes!$A$1:$B$76,2,FALSE)</f>
        <v>25</v>
      </c>
      <c r="K2407" s="16" t="str">
        <f>VLOOKUP(I2407,episodes!$A$1:$E$81,5,FALSE)</f>
        <v>This Side of Paradise</v>
      </c>
      <c r="L2407" s="16">
        <f>VLOOKUP(I2407,episodes!$A$1:$D$81,3,FALSE)</f>
        <v>1</v>
      </c>
      <c r="M2407" s="16">
        <f>VLOOKUP(I2407,episodes!$A$1:$D$81,4,FALSE)</f>
        <v>24</v>
      </c>
      <c r="O2407" s="14">
        <v>0</v>
      </c>
      <c r="P2407" s="24">
        <f>LEN(E2407)+LEN(K2407)</f>
        <v>189</v>
      </c>
      <c r="Q2407" s="24">
        <f>COUNTIFS(B:B,B2406)</f>
        <v>4</v>
      </c>
      <c r="R2407" s="24">
        <f>COUNTIFS(D:D,D2407)</f>
        <v>4</v>
      </c>
    </row>
    <row r="2408" spans="1:18" x14ac:dyDescent="0.3">
      <c r="A2408" s="14">
        <v>2845</v>
      </c>
      <c r="B2408" s="21" t="s">
        <v>274</v>
      </c>
      <c r="C2408" s="21"/>
      <c r="D2408" s="21" t="s">
        <v>523</v>
      </c>
      <c r="E2408" s="1" t="s">
        <v>1657</v>
      </c>
      <c r="F2408" s="21" t="s">
        <v>2225</v>
      </c>
      <c r="G2408" s="14">
        <v>0</v>
      </c>
      <c r="H2408" s="14">
        <v>0</v>
      </c>
      <c r="I2408" s="22">
        <v>208</v>
      </c>
      <c r="J2408" s="23">
        <f>VLOOKUP(I2408,episodes!$A$1:$B$76,2,FALSE)</f>
        <v>38</v>
      </c>
      <c r="K2408" s="16" t="str">
        <f>VLOOKUP(I2408,episodes!$A$1:$E$81,5,FALSE)</f>
        <v>I, Mudd</v>
      </c>
      <c r="L2408" s="16">
        <f>VLOOKUP(I2408,episodes!$A$1:$D$81,3,FALSE)</f>
        <v>2</v>
      </c>
      <c r="M2408" s="16">
        <f>VLOOKUP(I2408,episodes!$A$1:$D$81,4,FALSE)</f>
        <v>8</v>
      </c>
      <c r="O2408" s="14">
        <v>0</v>
      </c>
      <c r="P2408" s="24">
        <f>LEN(E2408)+LEN(K2408)</f>
        <v>203</v>
      </c>
      <c r="Q2408" s="24">
        <f>COUNTIFS(B:B,B2407)</f>
        <v>4</v>
      </c>
      <c r="R2408" s="24">
        <f>COUNTIFS(D:D,D2408)</f>
        <v>4</v>
      </c>
    </row>
    <row r="2409" spans="1:18" x14ac:dyDescent="0.3">
      <c r="A2409" s="14">
        <v>2867</v>
      </c>
      <c r="B2409" s="21" t="s">
        <v>274</v>
      </c>
      <c r="C2409" s="21"/>
      <c r="D2409" s="21" t="s">
        <v>523</v>
      </c>
      <c r="E2409" s="1" t="s">
        <v>2046</v>
      </c>
      <c r="F2409" s="21" t="s">
        <v>2225</v>
      </c>
      <c r="G2409" s="14">
        <v>0</v>
      </c>
      <c r="H2409" s="14">
        <v>0</v>
      </c>
      <c r="I2409" s="25">
        <v>307</v>
      </c>
      <c r="J2409" s="23">
        <f>VLOOKUP(I2409,episodes!$A$1:$B$81,2,FALSE)</f>
        <v>63</v>
      </c>
      <c r="K2409" s="16" t="str">
        <f>VLOOKUP(I2409,episodes!$A$1:$E$81,5,FALSE)</f>
        <v>Day of the Dove</v>
      </c>
      <c r="L2409" s="16">
        <f>VLOOKUP(I2409,episodes!$A$1:$D$81,3,FALSE)</f>
        <v>3</v>
      </c>
      <c r="M2409" s="16">
        <f>VLOOKUP(I2409,episodes!$A$1:$D$81,4,FALSE)</f>
        <v>7</v>
      </c>
      <c r="O2409" s="14">
        <v>0</v>
      </c>
      <c r="P2409" s="24">
        <f>LEN(E2409)+LEN(K2409)</f>
        <v>138</v>
      </c>
      <c r="Q2409" s="24">
        <f>COUNTIFS(B:B,B2411)</f>
        <v>1</v>
      </c>
      <c r="R2409" s="24">
        <f>COUNTIFS(D:D,C2412)</f>
        <v>0</v>
      </c>
    </row>
    <row r="2410" spans="1:18" x14ac:dyDescent="0.3">
      <c r="A2410" s="14">
        <v>1949</v>
      </c>
      <c r="B2410" s="21" t="s">
        <v>525</v>
      </c>
      <c r="C2410" s="21"/>
      <c r="D2410" s="21" t="s">
        <v>2272</v>
      </c>
      <c r="E2410" s="1" t="s">
        <v>1866</v>
      </c>
      <c r="F2410" s="21" t="s">
        <v>1867</v>
      </c>
      <c r="G2410" s="14">
        <v>0</v>
      </c>
      <c r="H2410" s="14">
        <v>0</v>
      </c>
      <c r="I2410" s="14">
        <v>302</v>
      </c>
      <c r="J2410" s="23">
        <f>VLOOKUP(I2410,episodes!$A$1:$B$81,2,FALSE)</f>
        <v>58</v>
      </c>
      <c r="K2410" s="16" t="str">
        <f>VLOOKUP(I2410,episodes!$A$1:$E$81,5,FALSE)</f>
        <v>The Enterprise Incident</v>
      </c>
      <c r="L2410" s="16">
        <f>VLOOKUP(I2410,episodes!$A$1:$D$81,3,FALSE)</f>
        <v>3</v>
      </c>
      <c r="M2410" s="16">
        <f>VLOOKUP(I2410,episodes!$A$1:$D$81,4,FALSE)</f>
        <v>2</v>
      </c>
      <c r="O2410" s="14">
        <v>0</v>
      </c>
      <c r="P2410" s="24">
        <f>LEN(E2410)+LEN(K2410)</f>
        <v>258</v>
      </c>
      <c r="Q2410" s="24">
        <f>COUNTIFS(B:B,B2412)</f>
        <v>6</v>
      </c>
      <c r="R2410" s="24">
        <f>COUNTIFS(D:D,C2413)</f>
        <v>0</v>
      </c>
    </row>
    <row r="2411" spans="1:18" x14ac:dyDescent="0.3">
      <c r="A2411" s="14">
        <v>307</v>
      </c>
      <c r="B2411" s="21" t="s">
        <v>1159</v>
      </c>
      <c r="C2411" s="21"/>
      <c r="D2411" s="1" t="s">
        <v>2347</v>
      </c>
      <c r="E2411" s="1" t="s">
        <v>1324</v>
      </c>
      <c r="F2411" s="21" t="s">
        <v>2224</v>
      </c>
      <c r="G2411" s="14">
        <v>0</v>
      </c>
      <c r="H2411" s="14">
        <v>0</v>
      </c>
      <c r="I2411" s="22">
        <v>123</v>
      </c>
      <c r="J2411" s="23">
        <f>VLOOKUP(I2411,episodes!$A$1:$B$76,2,FALSE)</f>
        <v>24</v>
      </c>
      <c r="K2411" s="16" t="str">
        <f>VLOOKUP(I2411,episodes!$A$1:$E$81,5,FALSE)</f>
        <v>A Taste of Armageddon</v>
      </c>
      <c r="L2411" s="16">
        <f>VLOOKUP(I2411,episodes!$A$1:$D$81,3,FALSE)</f>
        <v>1</v>
      </c>
      <c r="M2411" s="16">
        <f>VLOOKUP(I2411,episodes!$A$1:$D$81,4,FALSE)</f>
        <v>23</v>
      </c>
      <c r="O2411" s="14">
        <v>0</v>
      </c>
      <c r="P2411" s="24">
        <f>LEN(E2411)+LEN(K2411)</f>
        <v>138</v>
      </c>
      <c r="Q2411" s="24">
        <f>COUNTIFS(B:B,B2410)</f>
        <v>1</v>
      </c>
      <c r="R2411" s="24">
        <f>COUNTIFS(D:D,D2411)</f>
        <v>6</v>
      </c>
    </row>
    <row r="2412" spans="1:18" x14ac:dyDescent="0.3">
      <c r="A2412" s="14">
        <v>2728</v>
      </c>
      <c r="B2412" s="21" t="s">
        <v>247</v>
      </c>
      <c r="C2412" s="21"/>
      <c r="D2412" s="1" t="s">
        <v>2347</v>
      </c>
      <c r="E2412" s="1" t="s">
        <v>1100</v>
      </c>
      <c r="F2412" s="21" t="s">
        <v>2225</v>
      </c>
      <c r="G2412" s="14">
        <v>0</v>
      </c>
      <c r="H2412" s="14">
        <v>0</v>
      </c>
      <c r="I2412" s="25">
        <v>106</v>
      </c>
      <c r="J2412" s="23">
        <f>VLOOKUP(I2412,episodes!$A$1:$B$76,2,FALSE)</f>
        <v>7</v>
      </c>
      <c r="K2412" s="16" t="str">
        <f>VLOOKUP(I2412,episodes!$A$1:$E$81,5,FALSE)</f>
        <v>Mudd's Women</v>
      </c>
      <c r="L2412" s="16">
        <f>VLOOKUP(I2412,episodes!$A$1:$D$81,3,FALSE)</f>
        <v>1</v>
      </c>
      <c r="M2412" s="16">
        <f>VLOOKUP(I2412,episodes!$A$1:$D$81,4,FALSE)</f>
        <v>6</v>
      </c>
      <c r="O2412" s="14">
        <v>0</v>
      </c>
      <c r="P2412" s="24">
        <f>LEN(E2412)+LEN(K2412)</f>
        <v>107</v>
      </c>
      <c r="Q2412" s="24">
        <f>COUNTIFS(B:B,B2411)</f>
        <v>1</v>
      </c>
      <c r="R2412" s="24">
        <f>COUNTIFS(D:D,D2412)</f>
        <v>6</v>
      </c>
    </row>
    <row r="2413" spans="1:18" x14ac:dyDescent="0.3">
      <c r="A2413" s="14">
        <v>2810</v>
      </c>
      <c r="B2413" s="21" t="s">
        <v>247</v>
      </c>
      <c r="C2413" s="21"/>
      <c r="D2413" s="1" t="s">
        <v>2347</v>
      </c>
      <c r="E2413" s="1" t="s">
        <v>169</v>
      </c>
      <c r="F2413" s="21" t="s">
        <v>2225</v>
      </c>
      <c r="G2413" s="14">
        <v>0</v>
      </c>
      <c r="H2413" s="14">
        <v>0</v>
      </c>
      <c r="I2413" s="22">
        <v>128</v>
      </c>
      <c r="J2413" s="23">
        <f>VLOOKUP(I2413,episodes!$A$1:$B$76,2,FALSE)</f>
        <v>29</v>
      </c>
      <c r="K2413" s="16" t="str">
        <f>VLOOKUP(I2413,episodes!$A$1:$E$81,5,FALSE)</f>
        <v>The City on the Edge of Forever</v>
      </c>
      <c r="L2413" s="16">
        <f>VLOOKUP(I2413,episodes!$A$1:$D$81,3,FALSE)</f>
        <v>1</v>
      </c>
      <c r="M2413" s="16">
        <f>VLOOKUP(I2413,episodes!$A$1:$D$81,4,FALSE)</f>
        <v>28</v>
      </c>
      <c r="O2413" s="14">
        <v>0</v>
      </c>
      <c r="P2413" s="24">
        <f>LEN(E2413)+LEN(K2413)</f>
        <v>87</v>
      </c>
      <c r="Q2413" s="24">
        <f>COUNTIFS(B:B,B2412)</f>
        <v>6</v>
      </c>
      <c r="R2413" s="24">
        <f>COUNTIFS(D:D,D2413)</f>
        <v>6</v>
      </c>
    </row>
    <row r="2414" spans="1:18" x14ac:dyDescent="0.3">
      <c r="A2414" s="14">
        <v>2255</v>
      </c>
      <c r="B2414" s="21" t="s">
        <v>247</v>
      </c>
      <c r="C2414" s="21"/>
      <c r="D2414" s="1" t="s">
        <v>2347</v>
      </c>
      <c r="E2414" s="1" t="s">
        <v>1617</v>
      </c>
      <c r="F2414" s="21" t="s">
        <v>5</v>
      </c>
      <c r="G2414" s="14">
        <v>1</v>
      </c>
      <c r="H2414" s="14">
        <v>0</v>
      </c>
      <c r="I2414" s="25">
        <v>206</v>
      </c>
      <c r="J2414" s="23">
        <f>VLOOKUP(I2414,episodes!$A$1:$B$81,2,FALSE)</f>
        <v>36</v>
      </c>
      <c r="K2414" s="16" t="str">
        <f>VLOOKUP(I2414,episodes!$A$1:$E$81,5,FALSE)</f>
        <v>The Doomsday Machine</v>
      </c>
      <c r="L2414" s="16">
        <f>VLOOKUP(I2414,episodes!$A$1:$D$81,3,FALSE)</f>
        <v>2</v>
      </c>
      <c r="M2414" s="16">
        <f>VLOOKUP(I2414,episodes!$A$1:$D$81,4,FALSE)</f>
        <v>6</v>
      </c>
      <c r="O2414" s="14">
        <v>0</v>
      </c>
      <c r="P2414" s="24">
        <f>LEN(E2414)+LEN(K2414)</f>
        <v>163</v>
      </c>
      <c r="Q2414" s="24">
        <f>COUNTIFS(B:B,B2413)</f>
        <v>6</v>
      </c>
      <c r="R2414" s="24">
        <f>COUNTIFS(D:D,D2414)</f>
        <v>6</v>
      </c>
    </row>
    <row r="2415" spans="1:18" x14ac:dyDescent="0.3">
      <c r="A2415" s="14">
        <v>2174</v>
      </c>
      <c r="B2415" s="21" t="s">
        <v>247</v>
      </c>
      <c r="C2415" s="21"/>
      <c r="D2415" s="1" t="s">
        <v>2347</v>
      </c>
      <c r="E2415" s="1" t="s">
        <v>1345</v>
      </c>
      <c r="F2415" s="21" t="s">
        <v>5</v>
      </c>
      <c r="G2415" s="14">
        <v>1</v>
      </c>
      <c r="H2415" s="14">
        <v>0</v>
      </c>
      <c r="I2415" s="22">
        <v>127</v>
      </c>
      <c r="J2415" s="23">
        <f>VLOOKUP(I2415,episodes!$A$1:$B$76,2,FALSE)</f>
        <v>28</v>
      </c>
      <c r="K2415" s="16" t="str">
        <f>VLOOKUP(I2415,episodes!$A$1:$E$81,5,FALSE)</f>
        <v>The Alternative Factor</v>
      </c>
      <c r="L2415" s="16">
        <f>VLOOKUP(I2415,episodes!$A$1:$D$81,3,FALSE)</f>
        <v>1</v>
      </c>
      <c r="M2415" s="16">
        <f>VLOOKUP(I2415,episodes!$A$1:$D$81,4,FALSE)</f>
        <v>27</v>
      </c>
      <c r="O2415" s="14">
        <v>0</v>
      </c>
      <c r="P2415" s="24">
        <f>LEN(E2415)+LEN(K2415)</f>
        <v>117</v>
      </c>
      <c r="Q2415" s="24">
        <f>COUNTIFS(B:B,B2414)</f>
        <v>6</v>
      </c>
      <c r="R2415" s="24">
        <f>COUNTIFS(D:D,D2415)</f>
        <v>6</v>
      </c>
    </row>
    <row r="2416" spans="1:18" x14ac:dyDescent="0.3">
      <c r="A2416" s="14">
        <v>35</v>
      </c>
      <c r="B2416" s="21" t="s">
        <v>247</v>
      </c>
      <c r="C2416" s="21"/>
      <c r="D2416" s="1" t="s">
        <v>2363</v>
      </c>
      <c r="E2416" s="1" t="s">
        <v>2176</v>
      </c>
      <c r="F2416" s="21" t="s">
        <v>2</v>
      </c>
      <c r="G2416" s="14">
        <v>0</v>
      </c>
      <c r="H2416" s="14">
        <v>0</v>
      </c>
      <c r="I2416" s="22">
        <v>202</v>
      </c>
      <c r="J2416" s="23">
        <f>VLOOKUP(I2416,episodes!$A$1:$B$76,2,FALSE)</f>
        <v>32</v>
      </c>
      <c r="K2416" s="16" t="str">
        <f>VLOOKUP(I2416,episodes!$A$1:$E$81,5,FALSE)</f>
        <v>Who Mourns for Adonais?</v>
      </c>
      <c r="L2416" s="16">
        <f>VLOOKUP(I2416,episodes!$A$1:$D$81,3,FALSE)</f>
        <v>2</v>
      </c>
      <c r="M2416" s="16">
        <f>VLOOKUP(I2416,episodes!$A$1:$D$81,4,FALSE)</f>
        <v>2</v>
      </c>
      <c r="O2416" s="14">
        <v>0</v>
      </c>
      <c r="P2416" s="24">
        <f>LEN(E2416)+LEN(K2416)</f>
        <v>157</v>
      </c>
      <c r="Q2416" s="24">
        <f>COUNTIFS(B:B,B2415)</f>
        <v>6</v>
      </c>
      <c r="R2416" s="24">
        <f>COUNTIFS(D:D,D2416)</f>
        <v>1</v>
      </c>
    </row>
    <row r="2417" spans="1:18" x14ac:dyDescent="0.3">
      <c r="A2417" s="14">
        <v>2725</v>
      </c>
      <c r="B2417" s="21" t="s">
        <v>348</v>
      </c>
      <c r="C2417" s="21"/>
      <c r="D2417" s="21" t="s">
        <v>154</v>
      </c>
      <c r="E2417" s="1" t="s">
        <v>1552</v>
      </c>
      <c r="F2417" s="21" t="s">
        <v>2225</v>
      </c>
      <c r="G2417" s="14">
        <v>0</v>
      </c>
      <c r="H2417" s="14">
        <v>0</v>
      </c>
      <c r="I2417" s="25">
        <v>105</v>
      </c>
      <c r="J2417" s="23">
        <f>VLOOKUP(I2417,episodes!$A$1:$B$76,2,FALSE)</f>
        <v>6</v>
      </c>
      <c r="K2417" s="16" t="str">
        <f>VLOOKUP(I2417,episodes!$A$1:$E$81,5,FALSE)</f>
        <v>The Enemy Within</v>
      </c>
      <c r="L2417" s="16">
        <f>VLOOKUP(I2417,episodes!$A$1:$D$81,3,FALSE)</f>
        <v>1</v>
      </c>
      <c r="M2417" s="16">
        <f>VLOOKUP(I2417,episodes!$A$1:$D$81,4,FALSE)</f>
        <v>5</v>
      </c>
      <c r="O2417" s="14">
        <v>0</v>
      </c>
      <c r="P2417" s="24">
        <f>LEN(E2417)+LEN(K2417)</f>
        <v>80</v>
      </c>
      <c r="Q2417" s="24">
        <f>COUNTIFS(B:B,B2416)</f>
        <v>6</v>
      </c>
      <c r="R2417" s="24">
        <f>COUNTIFS(D:D,D2417)</f>
        <v>1</v>
      </c>
    </row>
    <row r="2418" spans="1:18" x14ac:dyDescent="0.3">
      <c r="A2418" s="14">
        <v>994</v>
      </c>
      <c r="B2418" s="21" t="s">
        <v>340</v>
      </c>
      <c r="C2418" s="21"/>
      <c r="D2418" s="21" t="s">
        <v>2349</v>
      </c>
      <c r="E2418" s="1" t="s">
        <v>849</v>
      </c>
      <c r="F2418" s="21" t="s">
        <v>2276</v>
      </c>
      <c r="G2418" s="14">
        <v>0</v>
      </c>
      <c r="H2418" s="14">
        <v>0</v>
      </c>
      <c r="I2418" s="22">
        <v>123</v>
      </c>
      <c r="J2418" s="23">
        <f>VLOOKUP(I2418,episodes!$A$1:$B$76,2,FALSE)</f>
        <v>24</v>
      </c>
      <c r="K2418" s="16" t="str">
        <f>VLOOKUP(I2418,episodes!$A$1:$E$81,5,FALSE)</f>
        <v>A Taste of Armageddon</v>
      </c>
      <c r="L2418" s="16">
        <f>VLOOKUP(I2418,episodes!$A$1:$D$81,3,FALSE)</f>
        <v>1</v>
      </c>
      <c r="M2418" s="16">
        <f>VLOOKUP(I2418,episodes!$A$1:$D$81,4,FALSE)</f>
        <v>23</v>
      </c>
      <c r="O2418" s="14">
        <v>0</v>
      </c>
      <c r="P2418" s="24">
        <f>LEN(E2418)+LEN(K2418)</f>
        <v>66</v>
      </c>
      <c r="Q2418" s="24">
        <f>COUNTIFS(B:B,#REF!)</f>
        <v>0</v>
      </c>
      <c r="R2418" s="24">
        <f>COUNTIFS(D:D,D2418)</f>
        <v>1</v>
      </c>
    </row>
    <row r="2419" spans="1:18" x14ac:dyDescent="0.3">
      <c r="A2419" s="14">
        <v>1962</v>
      </c>
      <c r="B2419" s="21" t="s">
        <v>322</v>
      </c>
      <c r="C2419" s="21"/>
      <c r="D2419" s="21" t="s">
        <v>524</v>
      </c>
      <c r="E2419" s="1" t="s">
        <v>1086</v>
      </c>
      <c r="F2419" s="21" t="s">
        <v>6</v>
      </c>
      <c r="G2419" s="14">
        <v>0</v>
      </c>
      <c r="H2419" s="14">
        <v>1</v>
      </c>
      <c r="I2419" s="25">
        <v>103</v>
      </c>
      <c r="J2419" s="23">
        <f>VLOOKUP(I2419,episodes!$A$1:$B$76,2,FALSE)</f>
        <v>4</v>
      </c>
      <c r="K2419" s="16" t="str">
        <f>VLOOKUP(I2419,episodes!$A$1:$E$81,5,FALSE)</f>
        <v>Where No Man Has Gone Before</v>
      </c>
      <c r="L2419" s="16">
        <f>VLOOKUP(I2419,episodes!$A$1:$D$81,3,FALSE)</f>
        <v>1</v>
      </c>
      <c r="M2419" s="16">
        <f>VLOOKUP(I2419,episodes!$A$1:$D$81,4,FALSE)</f>
        <v>3</v>
      </c>
      <c r="O2419" s="14">
        <v>0</v>
      </c>
      <c r="P2419" s="24">
        <f>LEN(E2419)+LEN(K2419)</f>
        <v>75</v>
      </c>
      <c r="Q2419" s="24">
        <f>COUNTIFS(B:B,B2418)</f>
        <v>5</v>
      </c>
      <c r="R2419" s="24">
        <f>COUNTIFS(D:D,D2419)</f>
        <v>3</v>
      </c>
    </row>
    <row r="2420" spans="1:18" x14ac:dyDescent="0.3">
      <c r="A2420" s="14">
        <v>2426</v>
      </c>
      <c r="B2420" s="21" t="s">
        <v>322</v>
      </c>
      <c r="C2420" s="21"/>
      <c r="D2420" s="21" t="s">
        <v>524</v>
      </c>
      <c r="E2420" s="1" t="s">
        <v>1085</v>
      </c>
      <c r="F2420" s="21" t="s">
        <v>1861</v>
      </c>
      <c r="G2420" s="14">
        <v>0</v>
      </c>
      <c r="H2420" s="14">
        <v>1</v>
      </c>
      <c r="I2420" s="25">
        <v>103</v>
      </c>
      <c r="J2420" s="23">
        <f>VLOOKUP(I2420,episodes!$A$1:$B$76,2,FALSE)</f>
        <v>4</v>
      </c>
      <c r="K2420" s="16" t="str">
        <f>VLOOKUP(I2420,episodes!$A$1:$E$81,5,FALSE)</f>
        <v>Where No Man Has Gone Before</v>
      </c>
      <c r="L2420" s="16">
        <f>VLOOKUP(I2420,episodes!$A$1:$D$81,3,FALSE)</f>
        <v>1</v>
      </c>
      <c r="M2420" s="16">
        <f>VLOOKUP(I2420,episodes!$A$1:$D$81,4,FALSE)</f>
        <v>3</v>
      </c>
      <c r="O2420" s="14">
        <v>0</v>
      </c>
      <c r="P2420" s="24">
        <f>LEN(E2420)+LEN(K2420)</f>
        <v>87</v>
      </c>
      <c r="Q2420" s="24">
        <f>COUNTIFS(B:B,B2419)</f>
        <v>3</v>
      </c>
      <c r="R2420" s="24">
        <f>COUNTIFS(D:D,D2420)</f>
        <v>3</v>
      </c>
    </row>
    <row r="2421" spans="1:18" x14ac:dyDescent="0.3">
      <c r="A2421" s="14">
        <v>2548</v>
      </c>
      <c r="B2421" s="21" t="s">
        <v>322</v>
      </c>
      <c r="C2421" s="21"/>
      <c r="D2421" s="21" t="s">
        <v>524</v>
      </c>
      <c r="E2421" s="1" t="s">
        <v>890</v>
      </c>
      <c r="F2421" s="21" t="s">
        <v>1863</v>
      </c>
      <c r="G2421" s="14">
        <v>1</v>
      </c>
      <c r="H2421" s="14">
        <v>0</v>
      </c>
      <c r="I2421" s="25">
        <v>999</v>
      </c>
      <c r="J2421" s="23">
        <v>0</v>
      </c>
      <c r="K2421" s="16" t="s">
        <v>1929</v>
      </c>
      <c r="L2421" s="16">
        <v>0</v>
      </c>
      <c r="M2421" s="16">
        <v>0</v>
      </c>
      <c r="O2421" s="14">
        <v>0</v>
      </c>
      <c r="P2421" s="24">
        <f>LEN(E2421)+LEN(K2421)</f>
        <v>38</v>
      </c>
    </row>
    <row r="2422" spans="1:18" x14ac:dyDescent="0.3">
      <c r="A2422" s="14">
        <v>1744</v>
      </c>
      <c r="B2422" s="21" t="s">
        <v>234</v>
      </c>
      <c r="C2422" s="21"/>
      <c r="D2422" s="1" t="s">
        <v>2345</v>
      </c>
      <c r="E2422" s="1" t="s">
        <v>1485</v>
      </c>
      <c r="F2422" s="21" t="s">
        <v>2298</v>
      </c>
      <c r="G2422" s="14">
        <v>0</v>
      </c>
      <c r="H2422" s="14">
        <v>0</v>
      </c>
      <c r="I2422" s="25">
        <v>103</v>
      </c>
      <c r="J2422" s="23">
        <f>VLOOKUP(I2422,episodes!$A$1:$B$76,2,FALSE)</f>
        <v>4</v>
      </c>
      <c r="K2422" s="16" t="str">
        <f>VLOOKUP(I2422,episodes!$A$1:$E$81,5,FALSE)</f>
        <v>Where No Man Has Gone Before</v>
      </c>
      <c r="L2422" s="16">
        <f>VLOOKUP(I2422,episodes!$A$1:$D$81,3,FALSE)</f>
        <v>1</v>
      </c>
      <c r="M2422" s="16">
        <f>VLOOKUP(I2422,episodes!$A$1:$D$81,4,FALSE)</f>
        <v>3</v>
      </c>
      <c r="O2422" s="14">
        <v>0</v>
      </c>
      <c r="P2422" s="24">
        <f>LEN(E2422)+LEN(K2422)</f>
        <v>106</v>
      </c>
      <c r="Q2422" s="24">
        <f>COUNTIFS(B:B,B2421)</f>
        <v>3</v>
      </c>
      <c r="R2422" s="24">
        <f>COUNTIFS(D:D,D2422)</f>
        <v>3</v>
      </c>
    </row>
    <row r="2423" spans="1:18" x14ac:dyDescent="0.3">
      <c r="A2423" s="14">
        <v>2868</v>
      </c>
      <c r="B2423" s="21" t="s">
        <v>329</v>
      </c>
      <c r="C2423" s="21"/>
      <c r="D2423" s="21" t="s">
        <v>151</v>
      </c>
      <c r="E2423" s="1" t="s">
        <v>886</v>
      </c>
      <c r="F2423" s="21" t="s">
        <v>2225</v>
      </c>
      <c r="G2423" s="14">
        <v>0</v>
      </c>
      <c r="H2423" s="14">
        <v>0</v>
      </c>
      <c r="I2423" s="14">
        <v>310</v>
      </c>
      <c r="J2423" s="23">
        <f>VLOOKUP(I2423,episodes!$A$1:$B$81,2,FALSE)</f>
        <v>66</v>
      </c>
      <c r="K2423" s="16" t="str">
        <f>VLOOKUP(I2423,episodes!$A$1:$E$81,5,FALSE)</f>
        <v>Plato's Stepchildren</v>
      </c>
      <c r="L2423" s="16">
        <f>VLOOKUP(I2423,episodes!$A$1:$D$81,3,FALSE)</f>
        <v>3</v>
      </c>
      <c r="M2423" s="16">
        <f>VLOOKUP(I2423,episodes!$A$1:$D$81,4,FALSE)</f>
        <v>10</v>
      </c>
      <c r="O2423" s="14">
        <v>0</v>
      </c>
      <c r="P2423" s="24">
        <f>LEN(E2423)+LEN(K2423)</f>
        <v>51</v>
      </c>
      <c r="Q2423" s="24">
        <f>COUNTIFS(B:B,B2425)</f>
        <v>3</v>
      </c>
      <c r="R2423" s="24">
        <f>COUNTIFS(D:D,D2426)</f>
        <v>1</v>
      </c>
    </row>
    <row r="2424" spans="1:18" x14ac:dyDescent="0.3">
      <c r="A2424" s="14">
        <v>705</v>
      </c>
      <c r="B2424" s="21" t="s">
        <v>340</v>
      </c>
      <c r="C2424" s="21"/>
      <c r="D2424" s="21" t="s">
        <v>2350</v>
      </c>
      <c r="E2424" s="1" t="s">
        <v>1782</v>
      </c>
      <c r="F2424" s="21" t="s">
        <v>4</v>
      </c>
      <c r="G2424" s="14">
        <v>1</v>
      </c>
      <c r="H2424" s="14">
        <v>0</v>
      </c>
      <c r="I2424" s="22">
        <v>114</v>
      </c>
      <c r="J2424" s="23">
        <f>VLOOKUP(I2424,episodes!$A$1:$B$76,2,FALSE)</f>
        <v>15</v>
      </c>
      <c r="K2424" s="16" t="str">
        <f>VLOOKUP(I2424,episodes!$A$1:$E$81,5,FALSE)</f>
        <v>Balance of Terror</v>
      </c>
      <c r="L2424" s="16">
        <f>VLOOKUP(I2424,episodes!$A$1:$D$81,3,FALSE)</f>
        <v>1</v>
      </c>
      <c r="M2424" s="16">
        <f>VLOOKUP(I2424,episodes!$A$1:$D$81,4,FALSE)</f>
        <v>14</v>
      </c>
      <c r="O2424" s="14">
        <v>0</v>
      </c>
      <c r="P2424" s="24">
        <f>LEN(E2424)+LEN(K2424)</f>
        <v>157</v>
      </c>
      <c r="Q2424" s="24">
        <f>COUNTIFS(B:B,B2423)</f>
        <v>4</v>
      </c>
      <c r="R2424" s="24">
        <f>COUNTIFS(D:D,D2424)</f>
        <v>1</v>
      </c>
    </row>
    <row r="2425" spans="1:18" x14ac:dyDescent="0.3">
      <c r="A2425" s="14">
        <v>6</v>
      </c>
      <c r="B2425" s="21" t="s">
        <v>348</v>
      </c>
      <c r="C2425" s="21"/>
      <c r="D2425" s="21" t="s">
        <v>2933</v>
      </c>
      <c r="E2425" s="1" t="s">
        <v>1188</v>
      </c>
      <c r="F2425" s="21" t="s">
        <v>2</v>
      </c>
      <c r="G2425" s="14">
        <v>0</v>
      </c>
      <c r="H2425" s="14">
        <v>0</v>
      </c>
      <c r="I2425" s="25">
        <v>101</v>
      </c>
      <c r="J2425" s="23">
        <f>VLOOKUP(I2425,episodes!$A$1:$B$76,2,FALSE)</f>
        <v>2</v>
      </c>
      <c r="K2425" s="16" t="str">
        <f>VLOOKUP(I2425,episodes!$A$1:$E$81,5,FALSE)</f>
        <v>The Man Trap</v>
      </c>
      <c r="L2425" s="16">
        <f>VLOOKUP(I2425,episodes!$A$1:$D$81,3,FALSE)</f>
        <v>1</v>
      </c>
      <c r="M2425" s="16">
        <f>VLOOKUP(I2425,episodes!$A$1:$D$81,4,FALSE)</f>
        <v>1</v>
      </c>
      <c r="O2425" s="14">
        <v>0</v>
      </c>
      <c r="P2425" s="24">
        <f>LEN(E2425)+LEN(K2425)</f>
        <v>74</v>
      </c>
      <c r="Q2425" s="24">
        <f>COUNTIFS(B:B,B2424)</f>
        <v>5</v>
      </c>
      <c r="R2425" s="24">
        <f>COUNTIFS(D:D,D2425)</f>
        <v>1</v>
      </c>
    </row>
    <row r="2426" spans="1:18" x14ac:dyDescent="0.3">
      <c r="A2426" s="14">
        <v>2876</v>
      </c>
      <c r="B2426" s="21" t="s">
        <v>256</v>
      </c>
      <c r="C2426" s="21"/>
      <c r="D2426" s="21" t="s">
        <v>2356</v>
      </c>
      <c r="E2426" s="1" t="s">
        <v>1921</v>
      </c>
      <c r="F2426" s="21" t="s">
        <v>2225</v>
      </c>
      <c r="G2426" s="14">
        <v>0</v>
      </c>
      <c r="H2426" s="14">
        <v>0</v>
      </c>
      <c r="I2426" s="25">
        <v>210</v>
      </c>
      <c r="J2426" s="23">
        <f>VLOOKUP(I2426,episodes!$A$1:$B$76,2,FALSE)</f>
        <v>40</v>
      </c>
      <c r="K2426" s="16" t="str">
        <f>VLOOKUP(I2426,episodes!$A$1:$E$81,5,FALSE)</f>
        <v>Journey to Babel</v>
      </c>
      <c r="L2426" s="16">
        <f>VLOOKUP(I2426,episodes!$A$1:$D$81,3,FALSE)</f>
        <v>2</v>
      </c>
      <c r="M2426" s="16">
        <f>VLOOKUP(I2426,episodes!$A$1:$D$81,4,FALSE)</f>
        <v>10</v>
      </c>
      <c r="O2426" s="14">
        <v>0</v>
      </c>
      <c r="P2426" s="24">
        <f>LEN(E2426)+LEN(K2426)</f>
        <v>59</v>
      </c>
      <c r="Q2426" s="26">
        <f>COUNTIFS(B:B,#REF!)</f>
        <v>0</v>
      </c>
      <c r="R2426" s="26">
        <f>COUNTIFS(D:D,D2426)</f>
        <v>1</v>
      </c>
    </row>
    <row r="2427" spans="1:18" x14ac:dyDescent="0.3">
      <c r="A2427" s="14">
        <v>1041</v>
      </c>
      <c r="B2427" s="21" t="s">
        <v>352</v>
      </c>
      <c r="C2427" s="21"/>
      <c r="D2427" s="1" t="s">
        <v>2351</v>
      </c>
      <c r="E2427" s="1" t="s">
        <v>489</v>
      </c>
      <c r="F2427" s="21" t="s">
        <v>2295</v>
      </c>
      <c r="G2427" s="14">
        <v>0</v>
      </c>
      <c r="H2427" s="14">
        <v>0</v>
      </c>
      <c r="I2427" s="25">
        <v>113</v>
      </c>
      <c r="J2427" s="23">
        <f>VLOOKUP(I2427,episodes!$A$1:$B$76,2,FALSE)</f>
        <v>14</v>
      </c>
      <c r="K2427" s="16" t="str">
        <f>VLOOKUP(I2427,episodes!$A$1:$E$81,5,FALSE)</f>
        <v>The Conscience of the King</v>
      </c>
      <c r="L2427" s="16">
        <f>VLOOKUP(I2427,episodes!$A$1:$D$81,3,FALSE)</f>
        <v>1</v>
      </c>
      <c r="M2427" s="16">
        <f>VLOOKUP(I2427,episodes!$A$1:$D$81,4,FALSE)</f>
        <v>13</v>
      </c>
      <c r="O2427" s="14">
        <v>0</v>
      </c>
      <c r="P2427" s="24">
        <f>LEN(E2427)+LEN(K2427)</f>
        <v>102</v>
      </c>
      <c r="Q2427" s="24"/>
      <c r="R2427" s="24"/>
    </row>
    <row r="2428" spans="1:18" x14ac:dyDescent="0.3">
      <c r="A2428" s="14">
        <v>1238</v>
      </c>
      <c r="B2428" s="21" t="s">
        <v>352</v>
      </c>
      <c r="C2428" s="21"/>
      <c r="D2428" s="1" t="s">
        <v>2351</v>
      </c>
      <c r="E2428" s="1" t="s">
        <v>1613</v>
      </c>
      <c r="F2428" s="21" t="s">
        <v>5</v>
      </c>
      <c r="G2428" s="14">
        <v>1</v>
      </c>
      <c r="H2428" s="14">
        <v>0</v>
      </c>
      <c r="I2428" s="25">
        <v>205</v>
      </c>
      <c r="J2428" s="23">
        <f>VLOOKUP(I2428,episodes!$A$1:$B$76,2,FALSE)</f>
        <v>35</v>
      </c>
      <c r="K2428" s="16" t="str">
        <f>VLOOKUP(I2428,episodes!$A$1:$E$81,5,FALSE)</f>
        <v>The Apple</v>
      </c>
      <c r="L2428" s="16">
        <f>VLOOKUP(I2428,episodes!$A$1:$D$81,3,FALSE)</f>
        <v>2</v>
      </c>
      <c r="M2428" s="16">
        <f>VLOOKUP(I2428,episodes!$A$1:$D$81,4,FALSE)</f>
        <v>5</v>
      </c>
      <c r="O2428" s="14">
        <v>0</v>
      </c>
      <c r="P2428" s="24">
        <f>LEN(E2428)+LEN(K2428)</f>
        <v>112</v>
      </c>
      <c r="Q2428" s="24"/>
      <c r="R2428" s="24"/>
    </row>
    <row r="2429" spans="1:18" x14ac:dyDescent="0.3">
      <c r="A2429" s="14">
        <v>2873</v>
      </c>
      <c r="B2429" s="21" t="s">
        <v>314</v>
      </c>
      <c r="C2429" s="21"/>
      <c r="D2429" s="21" t="s">
        <v>155</v>
      </c>
      <c r="E2429" s="1" t="s">
        <v>1502</v>
      </c>
      <c r="F2429" s="21" t="s">
        <v>2225</v>
      </c>
      <c r="G2429" s="14">
        <v>0</v>
      </c>
      <c r="H2429" s="14">
        <v>0</v>
      </c>
      <c r="I2429" s="25">
        <v>104</v>
      </c>
      <c r="J2429" s="23">
        <f>VLOOKUP(I2429,episodes!$A$1:$B$76,2,FALSE)</f>
        <v>5</v>
      </c>
      <c r="K2429" s="16" t="str">
        <f>VLOOKUP(I2429,episodes!$A$1:$E$81,5,FALSE)</f>
        <v>The Naked Time</v>
      </c>
      <c r="L2429" s="16">
        <f>VLOOKUP(I2429,episodes!$A$1:$D$81,3,FALSE)</f>
        <v>1</v>
      </c>
      <c r="M2429" s="16">
        <f>VLOOKUP(I2429,episodes!$A$1:$D$81,4,FALSE)</f>
        <v>4</v>
      </c>
      <c r="O2429" s="14">
        <v>0</v>
      </c>
      <c r="P2429" s="24">
        <f>LEN(E2429)+LEN(K2429)</f>
        <v>133</v>
      </c>
      <c r="Q2429" s="24">
        <f>COUNTIFS(B:B,B2428)</f>
        <v>2</v>
      </c>
      <c r="R2429" s="24">
        <f>COUNTIFS(D:D,D2429)</f>
        <v>1</v>
      </c>
    </row>
    <row r="2430" spans="1:18" x14ac:dyDescent="0.3">
      <c r="A2430" s="14">
        <v>2994</v>
      </c>
      <c r="B2430" s="21" t="s">
        <v>275</v>
      </c>
      <c r="C2430" s="21"/>
      <c r="E2430" s="4" t="s">
        <v>2816</v>
      </c>
      <c r="F2430" s="21" t="s">
        <v>2284</v>
      </c>
      <c r="G2430" s="14">
        <v>0</v>
      </c>
      <c r="H2430" s="14">
        <v>0</v>
      </c>
      <c r="I2430" s="7">
        <v>211</v>
      </c>
      <c r="J2430" s="23">
        <f>VLOOKUP(I2430,episodes!$A$1:$B$81,2,FALSE)</f>
        <v>41</v>
      </c>
      <c r="K2430" s="16" t="str">
        <f>VLOOKUP(I2430,episodes!$A$1:$E$81,5,FALSE)</f>
        <v>Friday's Child</v>
      </c>
      <c r="L2430" s="16">
        <f>VLOOKUP(I2430,episodes!$A$1:$D$81,3,FALSE)</f>
        <v>2</v>
      </c>
      <c r="M2430" s="16">
        <f>VLOOKUP(I2430,episodes!$A$1:$D$81,4,FALSE)</f>
        <v>11</v>
      </c>
      <c r="O2430" s="14">
        <v>0</v>
      </c>
      <c r="P2430" s="24">
        <f>LEN(E2430)+LEN(K2430)</f>
        <v>54</v>
      </c>
      <c r="Q2430" s="24"/>
      <c r="R2430" s="24"/>
    </row>
    <row r="2431" spans="1:18" x14ac:dyDescent="0.25">
      <c r="A2431" s="36"/>
      <c r="E2431" s="36"/>
      <c r="J2431" s="14"/>
      <c r="K2431" s="1"/>
      <c r="L2431" s="1"/>
      <c r="M2431" s="1"/>
      <c r="P2431" s="14"/>
      <c r="Q2431" s="14"/>
      <c r="R2431" s="14"/>
    </row>
    <row r="2432" spans="1:18" x14ac:dyDescent="0.25">
      <c r="A2432" s="36"/>
      <c r="E2432" s="36"/>
      <c r="J2432" s="14"/>
      <c r="K2432" s="1"/>
      <c r="L2432" s="1"/>
      <c r="M2432" s="1"/>
      <c r="P2432" s="14"/>
      <c r="Q2432" s="14"/>
      <c r="R2432" s="14"/>
    </row>
    <row r="2433" spans="1:18" x14ac:dyDescent="0.25">
      <c r="A2433" s="36"/>
      <c r="E2433" s="36"/>
      <c r="J2433" s="14"/>
      <c r="K2433" s="1"/>
      <c r="L2433" s="1"/>
      <c r="M2433" s="1"/>
      <c r="P2433" s="14"/>
      <c r="Q2433" s="14"/>
      <c r="R2433" s="14"/>
    </row>
    <row r="2434" spans="1:18" x14ac:dyDescent="0.25">
      <c r="A2434" s="36"/>
      <c r="J2434" s="14"/>
      <c r="K2434" s="1"/>
      <c r="L2434" s="1"/>
      <c r="M2434" s="1"/>
      <c r="P2434" s="14"/>
      <c r="Q2434" s="14"/>
      <c r="R2434" s="14"/>
    </row>
    <row r="2435" spans="1:18" x14ac:dyDescent="0.25">
      <c r="A2435" s="36"/>
      <c r="J2435" s="14"/>
      <c r="K2435" s="1"/>
      <c r="L2435" s="1"/>
      <c r="M2435" s="1"/>
      <c r="P2435" s="14"/>
      <c r="Q2435" s="14"/>
      <c r="R2435" s="14"/>
    </row>
    <row r="2436" spans="1:18" x14ac:dyDescent="0.25">
      <c r="A2436" s="36"/>
      <c r="J2436" s="14"/>
      <c r="K2436" s="1"/>
      <c r="L2436" s="1"/>
      <c r="M2436" s="1"/>
      <c r="P2436" s="14"/>
      <c r="Q2436" s="14"/>
      <c r="R2436" s="14"/>
    </row>
    <row r="2437" spans="1:18" x14ac:dyDescent="0.25">
      <c r="A2437" s="36"/>
      <c r="J2437" s="14"/>
      <c r="K2437" s="1"/>
      <c r="L2437" s="1"/>
      <c r="M2437" s="1"/>
      <c r="P2437" s="14"/>
      <c r="Q2437" s="14"/>
      <c r="R2437" s="14"/>
    </row>
    <row r="2438" spans="1:18" x14ac:dyDescent="0.25">
      <c r="A2438" s="36"/>
      <c r="J2438" s="14"/>
      <c r="K2438" s="1"/>
      <c r="L2438" s="1"/>
      <c r="M2438" s="1"/>
      <c r="P2438" s="14"/>
      <c r="Q2438" s="14"/>
      <c r="R2438" s="14"/>
    </row>
    <row r="2439" spans="1:18" x14ac:dyDescent="0.25">
      <c r="J2439" s="14"/>
      <c r="K2439" s="1"/>
      <c r="L2439" s="1"/>
      <c r="M2439" s="1"/>
      <c r="P2439" s="14"/>
      <c r="Q2439" s="14"/>
      <c r="R2439" s="14"/>
    </row>
    <row r="2440" spans="1:18" x14ac:dyDescent="0.25">
      <c r="J2440" s="14"/>
      <c r="K2440" s="1"/>
      <c r="L2440" s="1"/>
      <c r="M2440" s="1"/>
      <c r="P2440" s="14"/>
      <c r="Q2440" s="14"/>
      <c r="R2440" s="14"/>
    </row>
    <row r="2441" spans="1:18" x14ac:dyDescent="0.25">
      <c r="J2441" s="14"/>
      <c r="K2441" s="1"/>
      <c r="L2441" s="1"/>
      <c r="M2441" s="1"/>
      <c r="P2441" s="14"/>
      <c r="Q2441" s="14"/>
      <c r="R2441" s="14"/>
    </row>
    <row r="2442" spans="1:18" x14ac:dyDescent="0.25">
      <c r="J2442" s="14"/>
      <c r="K2442" s="1"/>
      <c r="L2442" s="1"/>
      <c r="M2442" s="1"/>
      <c r="P2442" s="14"/>
      <c r="Q2442" s="14"/>
      <c r="R2442" s="14"/>
    </row>
    <row r="2443" spans="1:18" x14ac:dyDescent="0.25">
      <c r="J2443" s="14"/>
      <c r="K2443" s="1"/>
      <c r="L2443" s="1"/>
      <c r="M2443" s="1"/>
      <c r="N2443" s="1"/>
      <c r="O2443" s="1"/>
      <c r="P2443" s="1"/>
      <c r="Q2443" s="1"/>
      <c r="R2443" s="1"/>
    </row>
    <row r="2444" spans="1:18" x14ac:dyDescent="0.25">
      <c r="J2444" s="14"/>
      <c r="K2444" s="1"/>
      <c r="L2444" s="1"/>
      <c r="M2444" s="1"/>
      <c r="N2444" s="1"/>
      <c r="O2444" s="1"/>
      <c r="P2444" s="1"/>
      <c r="Q2444" s="1"/>
      <c r="R2444" s="1"/>
    </row>
    <row r="2445" spans="1:18" x14ac:dyDescent="0.25">
      <c r="J2445" s="14"/>
      <c r="K2445" s="1"/>
      <c r="L2445" s="1"/>
      <c r="M2445" s="1"/>
      <c r="N2445" s="1"/>
      <c r="O2445" s="1"/>
      <c r="P2445" s="1"/>
      <c r="Q2445" s="1"/>
      <c r="R2445" s="1"/>
    </row>
    <row r="2446" spans="1:18" x14ac:dyDescent="0.25">
      <c r="B2446" s="1"/>
      <c r="C2446" s="1"/>
      <c r="G2446" s="1"/>
      <c r="H2446" s="1"/>
      <c r="I2446" s="1"/>
      <c r="J2446" s="1"/>
      <c r="K2446" s="1"/>
      <c r="L2446" s="1"/>
      <c r="M2446" s="1"/>
      <c r="N2446" s="1"/>
      <c r="O2446" s="1"/>
      <c r="P2446" s="1"/>
      <c r="Q2446" s="1"/>
      <c r="R2446" s="1"/>
    </row>
    <row r="2447" spans="1:18" x14ac:dyDescent="0.25">
      <c r="B2447" s="1"/>
      <c r="C2447" s="1"/>
      <c r="G2447" s="1"/>
      <c r="H2447" s="1"/>
      <c r="I2447" s="1"/>
      <c r="J2447" s="1"/>
      <c r="K2447" s="1"/>
      <c r="L2447" s="1"/>
      <c r="M2447" s="1"/>
      <c r="N2447" s="1"/>
      <c r="O2447" s="1"/>
      <c r="P2447" s="1"/>
      <c r="Q2447" s="1"/>
      <c r="R2447" s="1"/>
    </row>
    <row r="2448" spans="1:18" x14ac:dyDescent="0.25">
      <c r="B2448" s="1"/>
      <c r="C2448" s="1"/>
      <c r="G2448" s="1"/>
      <c r="H2448" s="1"/>
      <c r="I2448" s="1"/>
      <c r="J2448" s="1"/>
      <c r="K2448" s="1"/>
      <c r="L2448" s="1"/>
      <c r="M2448" s="1"/>
      <c r="N2448" s="1"/>
      <c r="O2448" s="1"/>
      <c r="P2448" s="1"/>
      <c r="Q2448" s="1"/>
      <c r="R2448" s="1"/>
    </row>
    <row r="2449" spans="1:18" x14ac:dyDescent="0.3">
      <c r="A2449" s="1"/>
      <c r="B2449" s="1"/>
      <c r="C2449" s="1"/>
      <c r="G2449" s="1"/>
      <c r="H2449" s="1"/>
      <c r="I2449" s="1"/>
      <c r="J2449" s="1"/>
      <c r="K2449" s="1"/>
      <c r="L2449" s="1"/>
      <c r="M2449" s="1"/>
      <c r="N2449" s="1"/>
      <c r="O2449" s="1"/>
      <c r="P2449" s="1"/>
      <c r="Q2449" s="1"/>
      <c r="R2449" s="1"/>
    </row>
    <row r="2450" spans="1:18" x14ac:dyDescent="0.3">
      <c r="A2450" s="1"/>
      <c r="B2450" s="1"/>
      <c r="C2450" s="1"/>
      <c r="G2450" s="1"/>
      <c r="H2450" s="1"/>
      <c r="I2450" s="1"/>
      <c r="J2450" s="1"/>
      <c r="K2450" s="1"/>
      <c r="L2450" s="1"/>
      <c r="M2450" s="1"/>
      <c r="N2450" s="1"/>
      <c r="O2450" s="1"/>
      <c r="P2450" s="1"/>
      <c r="Q2450" s="1"/>
      <c r="R2450" s="1"/>
    </row>
    <row r="2451" spans="1:18" x14ac:dyDescent="0.3">
      <c r="A2451" s="1"/>
      <c r="B2451" s="1"/>
      <c r="C2451" s="1"/>
      <c r="G2451" s="1"/>
      <c r="H2451" s="1"/>
      <c r="I2451" s="1"/>
      <c r="J2451" s="1"/>
      <c r="K2451" s="1"/>
      <c r="L2451" s="1"/>
      <c r="M2451" s="1"/>
      <c r="N2451" s="1"/>
      <c r="O2451" s="1"/>
      <c r="P2451" s="1"/>
      <c r="Q2451" s="1"/>
      <c r="R2451" s="1"/>
    </row>
    <row r="2452" spans="1:18" x14ac:dyDescent="0.3">
      <c r="A2452" s="1"/>
      <c r="B2452" s="1"/>
      <c r="C2452" s="1"/>
      <c r="G2452" s="1"/>
      <c r="H2452" s="1"/>
      <c r="I2452" s="1"/>
      <c r="J2452" s="1"/>
      <c r="K2452" s="1"/>
      <c r="L2452" s="1"/>
      <c r="M2452" s="1"/>
      <c r="N2452" s="1"/>
      <c r="O2452" s="1"/>
      <c r="P2452" s="1"/>
      <c r="Q2452" s="1"/>
      <c r="R2452" s="1"/>
    </row>
    <row r="2453" spans="1:18" x14ac:dyDescent="0.3">
      <c r="A2453" s="1"/>
      <c r="B2453" s="1"/>
      <c r="C2453" s="1"/>
      <c r="G2453" s="1"/>
      <c r="H2453" s="1"/>
      <c r="I2453" s="1"/>
      <c r="J2453" s="1"/>
      <c r="K2453" s="1"/>
      <c r="L2453" s="1"/>
      <c r="M2453" s="1"/>
      <c r="N2453" s="1"/>
      <c r="O2453" s="1"/>
      <c r="P2453" s="1"/>
      <c r="Q2453" s="1"/>
      <c r="R2453" s="1"/>
    </row>
    <row r="2454" spans="1:18" x14ac:dyDescent="0.3">
      <c r="A2454" s="1"/>
      <c r="B2454" s="1"/>
      <c r="C2454" s="1"/>
      <c r="G2454" s="1"/>
      <c r="H2454" s="1"/>
      <c r="I2454" s="1"/>
      <c r="J2454" s="1"/>
      <c r="K2454" s="1"/>
      <c r="L2454" s="1"/>
      <c r="M2454" s="1"/>
      <c r="N2454" s="1"/>
      <c r="O2454" s="1"/>
      <c r="P2454" s="1"/>
      <c r="Q2454" s="1"/>
      <c r="R2454" s="1"/>
    </row>
    <row r="2455" spans="1:18" x14ac:dyDescent="0.3">
      <c r="A2455" s="1"/>
      <c r="B2455" s="1"/>
      <c r="C2455" s="1"/>
      <c r="G2455" s="1"/>
      <c r="H2455" s="1"/>
      <c r="I2455" s="1"/>
      <c r="J2455" s="1"/>
      <c r="K2455" s="1"/>
      <c r="L2455" s="1"/>
      <c r="M2455" s="1"/>
      <c r="N2455" s="1"/>
      <c r="O2455" s="1"/>
      <c r="P2455" s="1"/>
      <c r="Q2455" s="1"/>
      <c r="R2455" s="1"/>
    </row>
    <row r="2456" spans="1:18" x14ac:dyDescent="0.3">
      <c r="A2456" s="1"/>
      <c r="B2456" s="1"/>
      <c r="C2456" s="1"/>
      <c r="G2456" s="1"/>
      <c r="H2456" s="1"/>
      <c r="I2456" s="1"/>
      <c r="J2456" s="1"/>
      <c r="K2456" s="1"/>
      <c r="L2456" s="1"/>
      <c r="M2456" s="1"/>
      <c r="N2456" s="1"/>
      <c r="O2456" s="1"/>
      <c r="P2456" s="1"/>
      <c r="Q2456" s="1"/>
      <c r="R2456" s="1"/>
    </row>
    <row r="2457" spans="1:18" x14ac:dyDescent="0.3">
      <c r="A2457" s="1"/>
      <c r="B2457" s="1"/>
      <c r="C2457" s="1"/>
      <c r="G2457" s="1"/>
      <c r="H2457" s="1"/>
      <c r="I2457" s="1"/>
      <c r="J2457" s="1"/>
      <c r="K2457" s="1"/>
      <c r="L2457" s="1"/>
      <c r="M2457" s="1"/>
      <c r="N2457" s="1"/>
      <c r="O2457" s="1"/>
      <c r="P2457" s="1"/>
      <c r="Q2457" s="1"/>
      <c r="R2457" s="1"/>
    </row>
    <row r="2458" spans="1:18" x14ac:dyDescent="0.3">
      <c r="A2458" s="1"/>
      <c r="B2458" s="1"/>
      <c r="C2458" s="1"/>
      <c r="G2458" s="1"/>
      <c r="H2458" s="1"/>
      <c r="I2458" s="1"/>
      <c r="J2458" s="1"/>
      <c r="K2458" s="1"/>
      <c r="L2458" s="1"/>
      <c r="M2458" s="1"/>
      <c r="N2458" s="1"/>
      <c r="O2458" s="1"/>
      <c r="P2458" s="1"/>
      <c r="Q2458" s="1"/>
      <c r="R2458" s="1"/>
    </row>
    <row r="2459" spans="1:18" x14ac:dyDescent="0.3">
      <c r="A2459" s="1"/>
      <c r="B2459" s="1"/>
      <c r="C2459" s="1"/>
      <c r="G2459" s="1"/>
      <c r="H2459" s="1"/>
      <c r="I2459" s="1"/>
      <c r="J2459" s="1"/>
      <c r="K2459" s="1"/>
      <c r="L2459" s="1"/>
      <c r="M2459" s="1"/>
      <c r="N2459" s="1"/>
      <c r="O2459" s="1"/>
      <c r="P2459" s="1"/>
      <c r="Q2459" s="1"/>
      <c r="R2459" s="1"/>
    </row>
    <row r="2460" spans="1:18" x14ac:dyDescent="0.3">
      <c r="A2460" s="1"/>
      <c r="B2460" s="1"/>
      <c r="C2460" s="1"/>
      <c r="G2460" s="1"/>
      <c r="H2460" s="1"/>
      <c r="I2460" s="1"/>
      <c r="J2460" s="1"/>
      <c r="K2460" s="1"/>
      <c r="L2460" s="1"/>
      <c r="M2460" s="1"/>
      <c r="N2460" s="1"/>
      <c r="O2460" s="1"/>
      <c r="P2460" s="1"/>
      <c r="Q2460" s="1"/>
      <c r="R2460" s="1"/>
    </row>
    <row r="2461" spans="1:18" x14ac:dyDescent="0.3">
      <c r="A2461" s="1"/>
      <c r="B2461" s="1"/>
      <c r="C2461" s="1"/>
      <c r="G2461" s="1"/>
      <c r="H2461" s="1"/>
      <c r="I2461" s="1"/>
      <c r="J2461" s="1"/>
      <c r="K2461" s="1"/>
      <c r="L2461" s="1"/>
      <c r="M2461" s="1"/>
      <c r="N2461" s="1"/>
      <c r="O2461" s="1"/>
      <c r="P2461" s="1"/>
      <c r="Q2461" s="1"/>
      <c r="R2461" s="1"/>
    </row>
    <row r="2462" spans="1:18" x14ac:dyDescent="0.3">
      <c r="A2462" s="1"/>
      <c r="B2462" s="1"/>
      <c r="C2462" s="1"/>
      <c r="G2462" s="1"/>
      <c r="H2462" s="1"/>
      <c r="I2462" s="1"/>
      <c r="J2462" s="1"/>
      <c r="K2462" s="1"/>
      <c r="L2462" s="1"/>
      <c r="M2462" s="1"/>
      <c r="N2462" s="1"/>
      <c r="O2462" s="1"/>
      <c r="P2462" s="1"/>
      <c r="Q2462" s="1"/>
      <c r="R2462" s="1"/>
    </row>
    <row r="2463" spans="1:18" x14ac:dyDescent="0.3">
      <c r="A2463" s="1"/>
      <c r="B2463" s="1"/>
      <c r="C2463" s="1"/>
      <c r="G2463" s="1"/>
      <c r="H2463" s="1"/>
      <c r="I2463" s="1"/>
      <c r="J2463" s="1"/>
      <c r="K2463" s="1"/>
      <c r="L2463" s="1"/>
      <c r="M2463" s="1"/>
      <c r="N2463" s="1"/>
      <c r="O2463" s="1"/>
      <c r="P2463" s="1"/>
      <c r="Q2463" s="1"/>
      <c r="R2463" s="1"/>
    </row>
    <row r="2464" spans="1:18" x14ac:dyDescent="0.3">
      <c r="A2464" s="1"/>
      <c r="B2464" s="1"/>
      <c r="C2464" s="1"/>
      <c r="G2464" s="1"/>
      <c r="H2464" s="1"/>
      <c r="I2464" s="1"/>
      <c r="J2464" s="1"/>
      <c r="K2464" s="1"/>
      <c r="L2464" s="1"/>
      <c r="M2464" s="1"/>
      <c r="N2464" s="1"/>
      <c r="O2464" s="1"/>
      <c r="P2464" s="1"/>
      <c r="Q2464" s="1"/>
      <c r="R2464" s="1"/>
    </row>
    <row r="2465" spans="1:18" x14ac:dyDescent="0.3">
      <c r="A2465" s="1"/>
      <c r="B2465" s="1"/>
      <c r="C2465" s="1"/>
      <c r="G2465" s="1"/>
      <c r="H2465" s="1"/>
      <c r="I2465" s="1"/>
      <c r="J2465" s="1"/>
      <c r="K2465" s="1"/>
      <c r="L2465" s="1"/>
      <c r="M2465" s="1"/>
      <c r="N2465" s="1"/>
      <c r="O2465" s="1"/>
      <c r="P2465" s="1"/>
      <c r="Q2465" s="1"/>
      <c r="R2465" s="1"/>
    </row>
    <row r="2466" spans="1:18" x14ac:dyDescent="0.3">
      <c r="A2466" s="1"/>
      <c r="B2466" s="1"/>
      <c r="C2466" s="1"/>
      <c r="G2466" s="1"/>
      <c r="H2466" s="1"/>
      <c r="I2466" s="1"/>
      <c r="J2466" s="1"/>
      <c r="K2466" s="1"/>
      <c r="L2466" s="1"/>
      <c r="M2466" s="1"/>
      <c r="N2466" s="1"/>
      <c r="O2466" s="1"/>
      <c r="P2466" s="1"/>
      <c r="Q2466" s="1"/>
      <c r="R2466" s="1"/>
    </row>
    <row r="2467" spans="1:18" ht="11.25" x14ac:dyDescent="0.2">
      <c r="A2467" s="1"/>
      <c r="B2467" s="1"/>
      <c r="C2467" s="1"/>
      <c r="G2467" s="1"/>
      <c r="H2467" s="1"/>
      <c r="I2467" s="1"/>
      <c r="J2467" s="1"/>
      <c r="K2467" s="1"/>
      <c r="L2467" s="1"/>
      <c r="M2467" s="1"/>
      <c r="N2467" s="1"/>
      <c r="O2467" s="1"/>
      <c r="P2467" s="1"/>
      <c r="Q2467" s="1"/>
      <c r="R2467" s="1"/>
    </row>
    <row r="2468" spans="1:18" ht="11.25" x14ac:dyDescent="0.2">
      <c r="A2468" s="1"/>
      <c r="B2468" s="1"/>
      <c r="C2468" s="1"/>
      <c r="G2468" s="1"/>
      <c r="H2468" s="1"/>
      <c r="I2468" s="1"/>
      <c r="J2468" s="1"/>
      <c r="K2468" s="1"/>
      <c r="L2468" s="1"/>
      <c r="M2468" s="1"/>
      <c r="N2468" s="1"/>
      <c r="O2468" s="1"/>
      <c r="P2468" s="1"/>
      <c r="Q2468" s="1"/>
      <c r="R2468" s="1"/>
    </row>
    <row r="2469" spans="1:18" ht="11.25" x14ac:dyDescent="0.2">
      <c r="A2469" s="1"/>
      <c r="B2469" s="1"/>
      <c r="C2469" s="1"/>
      <c r="G2469" s="1"/>
      <c r="H2469" s="1"/>
      <c r="I2469" s="1"/>
      <c r="J2469" s="1"/>
      <c r="K2469" s="1"/>
      <c r="L2469" s="1"/>
      <c r="M2469" s="1"/>
      <c r="N2469" s="1"/>
      <c r="O2469" s="1"/>
      <c r="P2469" s="1"/>
      <c r="Q2469" s="1"/>
      <c r="R2469" s="1"/>
    </row>
    <row r="2470" spans="1:18" ht="11.25" x14ac:dyDescent="0.2">
      <c r="A2470" s="1"/>
      <c r="B2470" s="1"/>
      <c r="C2470" s="1"/>
      <c r="G2470" s="1"/>
      <c r="H2470" s="1"/>
      <c r="I2470" s="1"/>
      <c r="J2470" s="1"/>
      <c r="K2470" s="1"/>
      <c r="L2470" s="1"/>
      <c r="M2470" s="1"/>
      <c r="N2470" s="1"/>
      <c r="O2470" s="1"/>
      <c r="P2470" s="1"/>
      <c r="Q2470" s="1"/>
      <c r="R2470" s="1"/>
    </row>
    <row r="2471" spans="1:18" ht="11.25" x14ac:dyDescent="0.2">
      <c r="A2471" s="1"/>
      <c r="B2471" s="1"/>
      <c r="C2471" s="1"/>
      <c r="G2471" s="1"/>
      <c r="H2471" s="1"/>
      <c r="I2471" s="1"/>
      <c r="J2471" s="1"/>
      <c r="K2471" s="1"/>
      <c r="L2471" s="1"/>
      <c r="M2471" s="1"/>
      <c r="N2471" s="1"/>
      <c r="O2471" s="1"/>
      <c r="P2471" s="1"/>
      <c r="Q2471" s="1"/>
      <c r="R2471" s="1"/>
    </row>
    <row r="2472" spans="1:18" ht="11.25" x14ac:dyDescent="0.2">
      <c r="A2472" s="1"/>
      <c r="B2472" s="1"/>
      <c r="C2472" s="1"/>
      <c r="G2472" s="1"/>
      <c r="H2472" s="1"/>
      <c r="I2472" s="1"/>
      <c r="J2472" s="1"/>
      <c r="K2472" s="1"/>
      <c r="L2472" s="1"/>
      <c r="M2472" s="1"/>
      <c r="N2472" s="1"/>
      <c r="O2472" s="1"/>
      <c r="P2472" s="1"/>
      <c r="Q2472" s="1"/>
      <c r="R2472" s="1"/>
    </row>
    <row r="2473" spans="1:18" ht="11.25" x14ac:dyDescent="0.2">
      <c r="A2473" s="1"/>
      <c r="B2473" s="1"/>
      <c r="C2473" s="1"/>
      <c r="G2473" s="1"/>
      <c r="H2473" s="1"/>
      <c r="I2473" s="1"/>
      <c r="J2473" s="1"/>
      <c r="K2473" s="1"/>
      <c r="L2473" s="1"/>
      <c r="M2473" s="1"/>
      <c r="N2473" s="1"/>
      <c r="O2473" s="1"/>
      <c r="P2473" s="1"/>
      <c r="Q2473" s="1"/>
      <c r="R2473" s="1"/>
    </row>
    <row r="2474" spans="1:18" ht="11.25" x14ac:dyDescent="0.2">
      <c r="A2474" s="1"/>
      <c r="B2474" s="1"/>
      <c r="C2474" s="1"/>
      <c r="G2474" s="1"/>
      <c r="H2474" s="1"/>
      <c r="I2474" s="1"/>
      <c r="J2474" s="1"/>
      <c r="K2474" s="1"/>
      <c r="L2474" s="1"/>
      <c r="M2474" s="1"/>
      <c r="N2474" s="1"/>
      <c r="O2474" s="1"/>
      <c r="P2474" s="1"/>
      <c r="Q2474" s="1"/>
      <c r="R2474" s="1"/>
    </row>
    <row r="2475" spans="1:18" ht="11.25" x14ac:dyDescent="0.2">
      <c r="A2475" s="1"/>
      <c r="B2475" s="1"/>
      <c r="C2475" s="1"/>
      <c r="G2475" s="1"/>
      <c r="H2475" s="1"/>
      <c r="I2475" s="1"/>
      <c r="J2475" s="1"/>
      <c r="K2475" s="1"/>
      <c r="L2475" s="1"/>
      <c r="M2475" s="1"/>
      <c r="N2475" s="1"/>
      <c r="O2475" s="1"/>
      <c r="P2475" s="1"/>
      <c r="Q2475" s="1"/>
      <c r="R2475" s="1"/>
    </row>
    <row r="2476" spans="1:18" ht="11.25" x14ac:dyDescent="0.2">
      <c r="A2476" s="1"/>
      <c r="B2476" s="1"/>
      <c r="C2476" s="1"/>
      <c r="G2476" s="1"/>
      <c r="H2476" s="1"/>
      <c r="I2476" s="1"/>
      <c r="J2476" s="1"/>
      <c r="K2476" s="1"/>
      <c r="L2476" s="1"/>
      <c r="M2476" s="1"/>
      <c r="N2476" s="1"/>
      <c r="O2476" s="1"/>
      <c r="P2476" s="1"/>
      <c r="Q2476" s="1"/>
      <c r="R2476" s="1"/>
    </row>
    <row r="2477" spans="1:18" ht="11.25" x14ac:dyDescent="0.2">
      <c r="A2477" s="1"/>
      <c r="B2477" s="1"/>
      <c r="C2477" s="1"/>
      <c r="G2477" s="1"/>
      <c r="H2477" s="1"/>
      <c r="I2477" s="1"/>
      <c r="J2477" s="1"/>
      <c r="K2477" s="1"/>
      <c r="L2477" s="1"/>
      <c r="M2477" s="1"/>
      <c r="N2477" s="1"/>
      <c r="O2477" s="1"/>
      <c r="P2477" s="1"/>
      <c r="Q2477" s="1"/>
      <c r="R2477" s="1"/>
    </row>
    <row r="2478" spans="1:18" ht="11.25" x14ac:dyDescent="0.2">
      <c r="A2478" s="1"/>
      <c r="B2478" s="1"/>
      <c r="C2478" s="1"/>
      <c r="G2478" s="1"/>
      <c r="H2478" s="1"/>
      <c r="I2478" s="1"/>
      <c r="J2478" s="1"/>
      <c r="K2478" s="1"/>
      <c r="L2478" s="1"/>
      <c r="M2478" s="1"/>
      <c r="N2478" s="1"/>
      <c r="O2478" s="1"/>
      <c r="P2478" s="1"/>
      <c r="Q2478" s="1"/>
      <c r="R2478" s="1"/>
    </row>
    <row r="2479" spans="1:18" ht="11.25" x14ac:dyDescent="0.2">
      <c r="A2479" s="1"/>
      <c r="B2479" s="1"/>
      <c r="C2479" s="1"/>
      <c r="G2479" s="1"/>
      <c r="H2479" s="1"/>
      <c r="I2479" s="1"/>
      <c r="J2479" s="1"/>
      <c r="K2479" s="1"/>
      <c r="L2479" s="1"/>
      <c r="M2479" s="1"/>
      <c r="N2479" s="1"/>
      <c r="O2479" s="1"/>
      <c r="P2479" s="1"/>
      <c r="Q2479" s="1"/>
      <c r="R2479" s="1"/>
    </row>
    <row r="2480" spans="1:18" ht="11.25" x14ac:dyDescent="0.2">
      <c r="A2480" s="1"/>
      <c r="B2480" s="1"/>
      <c r="C2480" s="1"/>
      <c r="G2480" s="1"/>
      <c r="H2480" s="1"/>
      <c r="I2480" s="1"/>
      <c r="J2480" s="1"/>
      <c r="K2480" s="1"/>
      <c r="L2480" s="1"/>
      <c r="M2480" s="1"/>
      <c r="N2480" s="1"/>
      <c r="O2480" s="1"/>
      <c r="P2480" s="1"/>
      <c r="Q2480" s="1"/>
      <c r="R2480" s="1"/>
    </row>
    <row r="2481" spans="1:18" ht="11.25" x14ac:dyDescent="0.2">
      <c r="A2481" s="1"/>
      <c r="B2481" s="1"/>
      <c r="C2481" s="1"/>
      <c r="G2481" s="1"/>
      <c r="H2481" s="1"/>
      <c r="I2481" s="1"/>
      <c r="J2481" s="1"/>
      <c r="K2481" s="1"/>
      <c r="L2481" s="1"/>
      <c r="M2481" s="1"/>
      <c r="N2481" s="1"/>
      <c r="O2481" s="1"/>
      <c r="P2481" s="1"/>
      <c r="Q2481" s="1"/>
      <c r="R2481" s="1"/>
    </row>
    <row r="2482" spans="1:18" ht="11.25" x14ac:dyDescent="0.2">
      <c r="A2482" s="1"/>
      <c r="B2482" s="1"/>
      <c r="C2482" s="1"/>
      <c r="G2482" s="1"/>
      <c r="H2482" s="1"/>
      <c r="I2482" s="1"/>
      <c r="J2482" s="1"/>
      <c r="K2482" s="1"/>
      <c r="L2482" s="1"/>
      <c r="M2482" s="1"/>
      <c r="N2482" s="1"/>
      <c r="O2482" s="1"/>
      <c r="P2482" s="1"/>
      <c r="Q2482" s="1"/>
      <c r="R2482" s="1"/>
    </row>
    <row r="2483" spans="1:18" ht="11.25" x14ac:dyDescent="0.2">
      <c r="A2483" s="1"/>
      <c r="B2483" s="1"/>
      <c r="C2483" s="1"/>
      <c r="G2483" s="1"/>
      <c r="H2483" s="1"/>
      <c r="I2483" s="1"/>
      <c r="J2483" s="1"/>
      <c r="K2483" s="1"/>
      <c r="L2483" s="1"/>
      <c r="M2483" s="1"/>
      <c r="N2483" s="1"/>
      <c r="O2483" s="1"/>
      <c r="P2483" s="1"/>
      <c r="Q2483" s="1"/>
      <c r="R2483" s="1"/>
    </row>
    <row r="2484" spans="1:18" ht="11.25" x14ac:dyDescent="0.2">
      <c r="A2484" s="1"/>
      <c r="B2484" s="1"/>
      <c r="C2484" s="1"/>
      <c r="G2484" s="1"/>
      <c r="H2484" s="1"/>
      <c r="I2484" s="1"/>
      <c r="J2484" s="1"/>
      <c r="K2484" s="1"/>
      <c r="L2484" s="1"/>
      <c r="M2484" s="1"/>
      <c r="N2484" s="1"/>
      <c r="O2484" s="1"/>
      <c r="P2484" s="1"/>
      <c r="Q2484" s="1"/>
      <c r="R2484" s="1"/>
    </row>
    <row r="2485" spans="1:18" ht="11.25" x14ac:dyDescent="0.2">
      <c r="A2485" s="1"/>
      <c r="B2485" s="1"/>
      <c r="C2485" s="1"/>
      <c r="G2485" s="1"/>
      <c r="H2485" s="1"/>
      <c r="I2485" s="1"/>
      <c r="J2485" s="1"/>
      <c r="K2485" s="1"/>
      <c r="L2485" s="1"/>
      <c r="M2485" s="1"/>
      <c r="N2485" s="1"/>
      <c r="O2485" s="1"/>
      <c r="P2485" s="1"/>
      <c r="Q2485" s="1"/>
      <c r="R2485" s="1"/>
    </row>
    <row r="2486" spans="1:18" ht="11.25" x14ac:dyDescent="0.2">
      <c r="A2486" s="1"/>
      <c r="B2486" s="1"/>
      <c r="C2486" s="1"/>
      <c r="G2486" s="1"/>
      <c r="H2486" s="1"/>
      <c r="I2486" s="1"/>
      <c r="J2486" s="1"/>
      <c r="K2486" s="1"/>
      <c r="L2486" s="1"/>
      <c r="M2486" s="1"/>
      <c r="N2486" s="1"/>
      <c r="O2486" s="1"/>
      <c r="P2486" s="1"/>
      <c r="Q2486" s="1"/>
      <c r="R2486" s="1"/>
    </row>
    <row r="2487" spans="1:18" ht="11.25" x14ac:dyDescent="0.2">
      <c r="A2487" s="1"/>
      <c r="B2487" s="1"/>
      <c r="C2487" s="1"/>
      <c r="G2487" s="1"/>
      <c r="H2487" s="1"/>
      <c r="I2487" s="1"/>
      <c r="J2487" s="1"/>
      <c r="K2487" s="1"/>
      <c r="L2487" s="1"/>
      <c r="M2487" s="1"/>
      <c r="N2487" s="1"/>
      <c r="O2487" s="1"/>
      <c r="P2487" s="1"/>
      <c r="Q2487" s="1"/>
      <c r="R2487" s="1"/>
    </row>
    <row r="2488" spans="1:18" ht="11.25" x14ac:dyDescent="0.2">
      <c r="A2488" s="1"/>
      <c r="B2488" s="1"/>
      <c r="C2488" s="1"/>
      <c r="G2488" s="1"/>
      <c r="H2488" s="1"/>
      <c r="I2488" s="1"/>
      <c r="J2488" s="1"/>
      <c r="K2488" s="1"/>
      <c r="L2488" s="1"/>
      <c r="M2488" s="1"/>
      <c r="N2488" s="1"/>
      <c r="O2488" s="1"/>
      <c r="P2488" s="1"/>
      <c r="Q2488" s="1"/>
      <c r="R2488" s="1"/>
    </row>
    <row r="2489" spans="1:18" ht="11.25" x14ac:dyDescent="0.2">
      <c r="A2489" s="1"/>
      <c r="B2489" s="1"/>
      <c r="C2489" s="1"/>
      <c r="G2489" s="1"/>
      <c r="H2489" s="1"/>
      <c r="I2489" s="1"/>
      <c r="J2489" s="1"/>
      <c r="K2489" s="1"/>
      <c r="L2489" s="1"/>
      <c r="M2489" s="1"/>
      <c r="N2489" s="1"/>
      <c r="O2489" s="1"/>
      <c r="P2489" s="1"/>
      <c r="Q2489" s="1"/>
      <c r="R2489" s="1"/>
    </row>
    <row r="2490" spans="1:18" ht="11.25" x14ac:dyDescent="0.2">
      <c r="A2490" s="1"/>
      <c r="B2490" s="1"/>
      <c r="C2490" s="1"/>
      <c r="G2490" s="1"/>
      <c r="H2490" s="1"/>
      <c r="I2490" s="1"/>
      <c r="J2490" s="1"/>
      <c r="K2490" s="1"/>
      <c r="L2490" s="1"/>
      <c r="M2490" s="1"/>
      <c r="N2490" s="1"/>
      <c r="O2490" s="1"/>
      <c r="P2490" s="1"/>
      <c r="Q2490" s="1"/>
      <c r="R2490" s="1"/>
    </row>
    <row r="2491" spans="1:18" x14ac:dyDescent="0.3">
      <c r="A2491" s="1"/>
      <c r="B2491" s="1"/>
      <c r="C2491" s="1"/>
      <c r="G2491" s="1"/>
      <c r="H2491" s="1"/>
      <c r="I2491" s="1"/>
      <c r="J2491" s="1"/>
      <c r="K2491" s="1"/>
      <c r="L2491" s="1"/>
      <c r="M2491" s="1"/>
      <c r="N2491" s="1"/>
      <c r="O2491" s="1"/>
      <c r="P2491" s="1"/>
      <c r="Q2491" s="1"/>
      <c r="R2491" s="1"/>
    </row>
    <row r="2492" spans="1:18" x14ac:dyDescent="0.3">
      <c r="A2492" s="1"/>
      <c r="B2492" s="1"/>
      <c r="C2492" s="1"/>
      <c r="G2492" s="1"/>
      <c r="H2492" s="1"/>
      <c r="I2492" s="1"/>
      <c r="J2492" s="1"/>
      <c r="K2492" s="1"/>
      <c r="L2492" s="1"/>
      <c r="M2492" s="1"/>
      <c r="N2492" s="1"/>
      <c r="O2492" s="1"/>
      <c r="P2492" s="1"/>
      <c r="Q2492" s="1"/>
      <c r="R2492" s="1"/>
    </row>
    <row r="2493" spans="1:18" x14ac:dyDescent="0.3">
      <c r="A2493" s="1"/>
      <c r="B2493" s="1"/>
      <c r="C2493" s="1"/>
      <c r="G2493" s="1"/>
      <c r="H2493" s="1"/>
      <c r="I2493" s="1"/>
      <c r="J2493" s="1"/>
      <c r="K2493" s="1"/>
      <c r="L2493" s="1"/>
      <c r="M2493" s="1"/>
      <c r="N2493" s="1"/>
      <c r="O2493" s="1"/>
      <c r="P2493" s="1"/>
      <c r="Q2493" s="1"/>
      <c r="R2493" s="1"/>
    </row>
    <row r="2494" spans="1:18" x14ac:dyDescent="0.3">
      <c r="A2494" s="1"/>
      <c r="B2494" s="1"/>
      <c r="C2494" s="1"/>
      <c r="G2494" s="1"/>
      <c r="H2494" s="1"/>
      <c r="I2494" s="1"/>
      <c r="J2494" s="1"/>
      <c r="K2494" s="1"/>
      <c r="L2494" s="1"/>
      <c r="M2494" s="1"/>
      <c r="N2494" s="1"/>
      <c r="O2494" s="1"/>
      <c r="P2494" s="1"/>
      <c r="Q2494" s="1"/>
      <c r="R2494" s="1"/>
    </row>
    <row r="2495" spans="1:18" x14ac:dyDescent="0.3">
      <c r="A2495" s="1"/>
      <c r="B2495" s="1"/>
      <c r="C2495" s="1"/>
      <c r="G2495" s="1"/>
      <c r="H2495" s="1"/>
      <c r="I2495" s="1"/>
      <c r="J2495" s="1"/>
      <c r="K2495" s="1"/>
      <c r="L2495" s="1"/>
      <c r="M2495" s="1"/>
      <c r="N2495" s="1"/>
      <c r="O2495" s="1"/>
      <c r="P2495" s="1"/>
      <c r="Q2495" s="1"/>
      <c r="R2495" s="1"/>
    </row>
    <row r="2496" spans="1:18" x14ac:dyDescent="0.3">
      <c r="A2496" s="1"/>
      <c r="B2496" s="1"/>
      <c r="C2496" s="1"/>
      <c r="G2496" s="1"/>
      <c r="H2496" s="1"/>
      <c r="I2496" s="1"/>
      <c r="J2496" s="1"/>
      <c r="K2496" s="1"/>
      <c r="L2496" s="1"/>
      <c r="M2496" s="1"/>
      <c r="N2496" s="1"/>
      <c r="O2496" s="1"/>
      <c r="P2496" s="1"/>
      <c r="Q2496" s="1"/>
      <c r="R2496" s="1"/>
    </row>
    <row r="2497" spans="1:18" x14ac:dyDescent="0.3">
      <c r="A2497" s="1"/>
      <c r="B2497" s="1"/>
      <c r="C2497" s="1"/>
      <c r="G2497" s="1"/>
      <c r="H2497" s="1"/>
      <c r="I2497" s="1"/>
      <c r="J2497" s="1"/>
      <c r="K2497" s="1"/>
      <c r="L2497" s="1"/>
      <c r="M2497" s="1"/>
      <c r="N2497" s="1"/>
      <c r="O2497" s="1"/>
      <c r="P2497" s="1"/>
      <c r="Q2497" s="1"/>
      <c r="R2497" s="1"/>
    </row>
    <row r="2498" spans="1:18" x14ac:dyDescent="0.3">
      <c r="A2498" s="1"/>
      <c r="B2498" s="1"/>
      <c r="C2498" s="1"/>
      <c r="G2498" s="1"/>
      <c r="H2498" s="1"/>
      <c r="I2498" s="1"/>
      <c r="J2498" s="1"/>
      <c r="K2498" s="1"/>
      <c r="L2498" s="1"/>
      <c r="M2498" s="1"/>
      <c r="N2498" s="1"/>
      <c r="O2498" s="1"/>
      <c r="P2498" s="1"/>
      <c r="Q2498" s="1"/>
      <c r="R2498" s="1"/>
    </row>
    <row r="2499" spans="1:18" x14ac:dyDescent="0.3">
      <c r="A2499" s="1"/>
      <c r="B2499" s="1"/>
      <c r="C2499" s="1"/>
      <c r="G2499" s="1"/>
      <c r="H2499" s="1"/>
      <c r="I2499" s="1"/>
      <c r="J2499" s="1"/>
      <c r="K2499" s="1"/>
      <c r="L2499" s="1"/>
      <c r="M2499" s="1"/>
      <c r="N2499" s="1"/>
      <c r="O2499" s="1"/>
      <c r="P2499" s="1"/>
      <c r="Q2499" s="1"/>
      <c r="R2499" s="1"/>
    </row>
    <row r="2500" spans="1:18" x14ac:dyDescent="0.3">
      <c r="A2500" s="1"/>
      <c r="B2500" s="1"/>
      <c r="C2500" s="1"/>
      <c r="G2500" s="1"/>
      <c r="H2500" s="1"/>
      <c r="I2500" s="1"/>
      <c r="J2500" s="1"/>
      <c r="K2500" s="1"/>
      <c r="L2500" s="1"/>
      <c r="M2500" s="1"/>
      <c r="N2500" s="1"/>
      <c r="O2500" s="1"/>
      <c r="P2500" s="1"/>
      <c r="Q2500" s="1"/>
      <c r="R2500" s="1"/>
    </row>
    <row r="2501" spans="1:18" x14ac:dyDescent="0.3">
      <c r="A2501" s="1"/>
      <c r="B2501" s="1"/>
      <c r="C2501" s="1"/>
      <c r="G2501" s="1"/>
      <c r="H2501" s="1"/>
      <c r="I2501" s="1"/>
      <c r="J2501" s="1"/>
      <c r="K2501" s="1"/>
      <c r="L2501" s="1"/>
      <c r="M2501" s="1"/>
      <c r="N2501" s="1"/>
      <c r="O2501" s="1"/>
      <c r="P2501" s="1"/>
      <c r="Q2501" s="1"/>
      <c r="R2501" s="1"/>
    </row>
    <row r="2502" spans="1:18" x14ac:dyDescent="0.3">
      <c r="A2502" s="1"/>
      <c r="B2502" s="1"/>
      <c r="C2502" s="1"/>
      <c r="G2502" s="1"/>
      <c r="H2502" s="1"/>
      <c r="I2502" s="1"/>
      <c r="J2502" s="1"/>
      <c r="K2502" s="1"/>
      <c r="L2502" s="1"/>
      <c r="M2502" s="1"/>
      <c r="N2502" s="1"/>
      <c r="O2502" s="1"/>
      <c r="P2502" s="1"/>
      <c r="Q2502" s="1"/>
      <c r="R2502" s="1"/>
    </row>
    <row r="2503" spans="1:18" x14ac:dyDescent="0.3">
      <c r="A2503" s="1"/>
      <c r="B2503" s="1"/>
      <c r="C2503" s="1"/>
      <c r="G2503" s="1"/>
      <c r="H2503" s="1"/>
      <c r="I2503" s="1"/>
      <c r="J2503" s="1"/>
      <c r="K2503" s="1"/>
      <c r="L2503" s="1"/>
      <c r="M2503" s="1"/>
      <c r="N2503" s="1"/>
      <c r="O2503" s="1"/>
      <c r="P2503" s="1"/>
      <c r="Q2503" s="1"/>
      <c r="R2503" s="1"/>
    </row>
    <row r="2504" spans="1:18" x14ac:dyDescent="0.3">
      <c r="A2504" s="1"/>
      <c r="B2504" s="1"/>
      <c r="C2504" s="1"/>
      <c r="G2504" s="1"/>
      <c r="H2504" s="1"/>
      <c r="I2504" s="1"/>
      <c r="J2504" s="1"/>
      <c r="K2504" s="1"/>
      <c r="L2504" s="1"/>
      <c r="M2504" s="1"/>
      <c r="N2504" s="1"/>
      <c r="O2504" s="1"/>
      <c r="P2504" s="1"/>
      <c r="Q2504" s="1"/>
      <c r="R2504" s="1"/>
    </row>
    <row r="2505" spans="1:18" x14ac:dyDescent="0.3">
      <c r="A2505" s="1"/>
      <c r="B2505" s="1"/>
      <c r="C2505" s="1"/>
      <c r="G2505" s="1"/>
      <c r="H2505" s="1"/>
      <c r="I2505" s="1"/>
      <c r="J2505" s="1"/>
      <c r="K2505" s="1"/>
      <c r="L2505" s="1"/>
      <c r="M2505" s="1"/>
      <c r="N2505" s="1"/>
      <c r="O2505" s="1"/>
      <c r="P2505" s="1"/>
      <c r="Q2505" s="1"/>
      <c r="R2505" s="1"/>
    </row>
    <row r="2506" spans="1:18" x14ac:dyDescent="0.3">
      <c r="A2506" s="1"/>
      <c r="B2506" s="1"/>
      <c r="C2506" s="1"/>
      <c r="G2506" s="1"/>
      <c r="H2506" s="1"/>
      <c r="I2506" s="1"/>
      <c r="J2506" s="1"/>
      <c r="K2506" s="1"/>
      <c r="L2506" s="1"/>
      <c r="M2506" s="1"/>
      <c r="N2506" s="1"/>
      <c r="O2506" s="1"/>
      <c r="P2506" s="1"/>
      <c r="Q2506" s="1"/>
      <c r="R2506" s="1"/>
    </row>
    <row r="2507" spans="1:18" x14ac:dyDescent="0.3">
      <c r="A2507" s="1"/>
      <c r="B2507" s="1"/>
      <c r="C2507" s="1"/>
      <c r="G2507" s="1"/>
      <c r="H2507" s="1"/>
      <c r="I2507" s="1"/>
      <c r="J2507" s="1"/>
      <c r="K2507" s="1"/>
      <c r="L2507" s="1"/>
      <c r="M2507" s="1"/>
      <c r="N2507" s="1"/>
      <c r="O2507" s="1"/>
      <c r="P2507" s="1"/>
      <c r="Q2507" s="1"/>
      <c r="R2507" s="1"/>
    </row>
    <row r="2508" spans="1:18" x14ac:dyDescent="0.3">
      <c r="A2508" s="1"/>
      <c r="B2508" s="1"/>
      <c r="C2508" s="1"/>
      <c r="G2508" s="1"/>
      <c r="H2508" s="1"/>
      <c r="I2508" s="1"/>
      <c r="J2508" s="1"/>
      <c r="K2508" s="1"/>
      <c r="L2508" s="1"/>
      <c r="M2508" s="1"/>
      <c r="N2508" s="1"/>
      <c r="O2508" s="1"/>
      <c r="P2508" s="1"/>
      <c r="Q2508" s="1"/>
      <c r="R2508" s="1"/>
    </row>
    <row r="2509" spans="1:18" x14ac:dyDescent="0.3">
      <c r="A2509" s="1"/>
      <c r="B2509" s="1"/>
      <c r="C2509" s="1"/>
      <c r="G2509" s="1"/>
      <c r="H2509" s="1"/>
      <c r="I2509" s="1"/>
      <c r="J2509" s="1"/>
      <c r="K2509" s="1"/>
      <c r="L2509" s="1"/>
      <c r="M2509" s="1"/>
      <c r="N2509" s="1"/>
      <c r="O2509" s="1"/>
      <c r="P2509" s="1"/>
      <c r="Q2509" s="1"/>
      <c r="R2509" s="1"/>
    </row>
    <row r="2510" spans="1:18" x14ac:dyDescent="0.3">
      <c r="A2510" s="1"/>
      <c r="B2510" s="1"/>
      <c r="C2510" s="1"/>
      <c r="G2510" s="1"/>
      <c r="H2510" s="1"/>
      <c r="I2510" s="1"/>
      <c r="J2510" s="1"/>
      <c r="K2510" s="1"/>
      <c r="L2510" s="1"/>
      <c r="M2510" s="1"/>
      <c r="N2510" s="1"/>
      <c r="O2510" s="1"/>
      <c r="P2510" s="1"/>
      <c r="Q2510" s="1"/>
      <c r="R2510" s="1"/>
    </row>
    <row r="2511" spans="1:18" x14ac:dyDescent="0.3">
      <c r="A2511" s="1"/>
      <c r="B2511" s="1"/>
      <c r="C2511" s="1"/>
      <c r="G2511" s="1"/>
      <c r="H2511" s="1"/>
      <c r="I2511" s="1"/>
      <c r="J2511" s="1"/>
      <c r="K2511" s="1"/>
      <c r="L2511" s="1"/>
      <c r="M2511" s="1"/>
      <c r="N2511" s="1"/>
      <c r="O2511" s="1"/>
      <c r="P2511" s="1"/>
      <c r="Q2511" s="1"/>
      <c r="R2511" s="1"/>
    </row>
    <row r="2512" spans="1:18" x14ac:dyDescent="0.3">
      <c r="A2512" s="1"/>
      <c r="B2512" s="1"/>
      <c r="C2512" s="1"/>
      <c r="G2512" s="1"/>
      <c r="H2512" s="1"/>
      <c r="I2512" s="1"/>
      <c r="J2512" s="1"/>
      <c r="K2512" s="1"/>
      <c r="L2512" s="1"/>
      <c r="M2512" s="1"/>
      <c r="N2512" s="1"/>
      <c r="O2512" s="1"/>
      <c r="P2512" s="1"/>
      <c r="Q2512" s="1"/>
      <c r="R2512" s="1"/>
    </row>
    <row r="2513" spans="1:18" x14ac:dyDescent="0.3">
      <c r="A2513" s="1"/>
      <c r="B2513" s="1"/>
      <c r="C2513" s="1"/>
      <c r="G2513" s="1"/>
      <c r="H2513" s="1"/>
      <c r="I2513" s="1"/>
      <c r="J2513" s="1"/>
      <c r="K2513" s="1"/>
      <c r="L2513" s="1"/>
      <c r="M2513" s="1"/>
      <c r="N2513" s="1"/>
      <c r="O2513" s="1"/>
      <c r="P2513" s="1"/>
      <c r="Q2513" s="1"/>
      <c r="R2513" s="1"/>
    </row>
    <row r="2514" spans="1:18" x14ac:dyDescent="0.3">
      <c r="A2514" s="1"/>
      <c r="B2514" s="1"/>
      <c r="C2514" s="1"/>
      <c r="G2514" s="1"/>
      <c r="H2514" s="1"/>
      <c r="I2514" s="1"/>
      <c r="J2514" s="1"/>
      <c r="K2514" s="1"/>
      <c r="L2514" s="1"/>
      <c r="M2514" s="1"/>
      <c r="N2514" s="1"/>
      <c r="O2514" s="1"/>
      <c r="P2514" s="1"/>
      <c r="Q2514" s="1"/>
      <c r="R2514" s="1"/>
    </row>
    <row r="2515" spans="1:18" x14ac:dyDescent="0.3">
      <c r="A2515" s="1"/>
      <c r="B2515" s="1"/>
      <c r="C2515" s="1"/>
      <c r="G2515" s="1"/>
      <c r="H2515" s="1"/>
      <c r="I2515" s="1"/>
      <c r="J2515" s="1"/>
      <c r="K2515" s="1"/>
      <c r="L2515" s="1"/>
      <c r="M2515" s="1"/>
      <c r="N2515" s="1"/>
      <c r="O2515" s="1"/>
      <c r="P2515" s="1"/>
      <c r="Q2515" s="1"/>
      <c r="R2515" s="1"/>
    </row>
    <row r="2516" spans="1:18" x14ac:dyDescent="0.3">
      <c r="A2516" s="1"/>
      <c r="B2516" s="1"/>
      <c r="C2516" s="1"/>
      <c r="G2516" s="1"/>
      <c r="H2516" s="1"/>
      <c r="I2516" s="1"/>
      <c r="J2516" s="1"/>
      <c r="K2516" s="1"/>
      <c r="L2516" s="1"/>
      <c r="M2516" s="1"/>
      <c r="N2516" s="1"/>
      <c r="O2516" s="1"/>
      <c r="P2516" s="1"/>
      <c r="Q2516" s="1"/>
      <c r="R2516" s="1"/>
    </row>
    <row r="2517" spans="1:18" x14ac:dyDescent="0.3">
      <c r="A2517" s="1"/>
      <c r="B2517" s="1"/>
      <c r="C2517" s="1"/>
      <c r="G2517" s="1"/>
      <c r="H2517" s="1"/>
      <c r="I2517" s="1"/>
      <c r="J2517" s="1"/>
      <c r="K2517" s="1"/>
      <c r="L2517" s="1"/>
      <c r="M2517" s="1"/>
      <c r="N2517" s="1"/>
      <c r="O2517" s="1"/>
      <c r="P2517" s="1"/>
      <c r="Q2517" s="1"/>
      <c r="R2517" s="1"/>
    </row>
    <row r="2518" spans="1:18" x14ac:dyDescent="0.3">
      <c r="A2518" s="1"/>
      <c r="B2518" s="1"/>
      <c r="C2518" s="1"/>
      <c r="G2518" s="1"/>
      <c r="H2518" s="1"/>
      <c r="I2518" s="1"/>
      <c r="J2518" s="1"/>
      <c r="K2518" s="1"/>
      <c r="L2518" s="1"/>
      <c r="M2518" s="1"/>
      <c r="N2518" s="1"/>
      <c r="O2518" s="1"/>
      <c r="P2518" s="1"/>
      <c r="Q2518" s="1"/>
      <c r="R2518" s="1"/>
    </row>
    <row r="2519" spans="1:18" x14ac:dyDescent="0.3">
      <c r="A2519" s="1"/>
      <c r="B2519" s="1"/>
      <c r="C2519" s="1"/>
      <c r="G2519" s="1"/>
      <c r="H2519" s="1"/>
      <c r="I2519" s="1"/>
      <c r="J2519" s="1"/>
      <c r="K2519" s="1"/>
      <c r="L2519" s="1"/>
      <c r="M2519" s="1"/>
      <c r="N2519" s="1"/>
      <c r="O2519" s="1"/>
      <c r="P2519" s="1"/>
      <c r="Q2519" s="1"/>
      <c r="R2519" s="1"/>
    </row>
    <row r="2520" spans="1:18" x14ac:dyDescent="0.3">
      <c r="A2520" s="1"/>
      <c r="B2520" s="1"/>
      <c r="C2520" s="1"/>
      <c r="G2520" s="1"/>
      <c r="H2520" s="1"/>
      <c r="I2520" s="1"/>
      <c r="J2520" s="1"/>
      <c r="K2520" s="1"/>
      <c r="L2520" s="1"/>
      <c r="M2520" s="1"/>
      <c r="N2520" s="1"/>
      <c r="O2520" s="1"/>
      <c r="P2520" s="1"/>
      <c r="Q2520" s="1"/>
      <c r="R2520" s="1"/>
    </row>
    <row r="2521" spans="1:18" x14ac:dyDescent="0.3">
      <c r="A2521" s="1"/>
      <c r="B2521" s="1"/>
      <c r="C2521" s="1"/>
      <c r="G2521" s="1"/>
      <c r="H2521" s="1"/>
      <c r="I2521" s="1"/>
      <c r="J2521" s="1"/>
      <c r="K2521" s="1"/>
      <c r="L2521" s="1"/>
      <c r="M2521" s="1"/>
      <c r="N2521" s="1"/>
      <c r="O2521" s="1"/>
      <c r="P2521" s="1"/>
      <c r="Q2521" s="1"/>
      <c r="R2521" s="1"/>
    </row>
    <row r="2522" spans="1:18" x14ac:dyDescent="0.3">
      <c r="A2522" s="1"/>
      <c r="B2522" s="1"/>
      <c r="C2522" s="1"/>
      <c r="G2522" s="1"/>
      <c r="H2522" s="1"/>
      <c r="I2522" s="1"/>
      <c r="J2522" s="1"/>
      <c r="K2522" s="1"/>
      <c r="L2522" s="1"/>
      <c r="M2522" s="1"/>
      <c r="N2522" s="1"/>
      <c r="O2522" s="1"/>
      <c r="P2522" s="1"/>
      <c r="Q2522" s="1"/>
      <c r="R2522" s="1"/>
    </row>
    <row r="2523" spans="1:18" x14ac:dyDescent="0.3">
      <c r="A2523" s="1"/>
      <c r="B2523" s="1"/>
      <c r="C2523" s="1"/>
      <c r="G2523" s="1"/>
      <c r="H2523" s="1"/>
      <c r="I2523" s="1"/>
      <c r="J2523" s="1"/>
      <c r="K2523" s="1"/>
      <c r="L2523" s="1"/>
      <c r="M2523" s="1"/>
      <c r="N2523" s="1"/>
      <c r="O2523" s="1"/>
      <c r="P2523" s="1"/>
      <c r="Q2523" s="1"/>
      <c r="R2523" s="1"/>
    </row>
    <row r="2524" spans="1:18" x14ac:dyDescent="0.3">
      <c r="A2524" s="1"/>
      <c r="B2524" s="1"/>
      <c r="C2524" s="1"/>
      <c r="G2524" s="1"/>
      <c r="H2524" s="1"/>
      <c r="I2524" s="1"/>
      <c r="J2524" s="1"/>
      <c r="K2524" s="1"/>
      <c r="L2524" s="1"/>
      <c r="M2524" s="1"/>
      <c r="N2524" s="1"/>
      <c r="O2524" s="1"/>
      <c r="P2524" s="1"/>
      <c r="Q2524" s="1"/>
      <c r="R2524" s="1"/>
    </row>
    <row r="2525" spans="1:18" x14ac:dyDescent="0.3">
      <c r="A2525" s="1"/>
      <c r="B2525" s="1"/>
      <c r="C2525" s="1"/>
      <c r="G2525" s="1"/>
      <c r="H2525" s="1"/>
      <c r="I2525" s="1"/>
      <c r="J2525" s="1"/>
      <c r="K2525" s="1"/>
      <c r="L2525" s="1"/>
      <c r="M2525" s="1"/>
      <c r="N2525" s="1"/>
      <c r="O2525" s="1"/>
      <c r="P2525" s="1"/>
      <c r="Q2525" s="1"/>
      <c r="R2525" s="1"/>
    </row>
    <row r="2526" spans="1:18" x14ac:dyDescent="0.3">
      <c r="A2526" s="1"/>
      <c r="B2526" s="1"/>
      <c r="C2526" s="1"/>
      <c r="G2526" s="1"/>
      <c r="H2526" s="1"/>
      <c r="I2526" s="1"/>
      <c r="J2526" s="1"/>
      <c r="K2526" s="1"/>
      <c r="L2526" s="1"/>
      <c r="M2526" s="1"/>
      <c r="N2526" s="1"/>
      <c r="O2526" s="1"/>
      <c r="P2526" s="1"/>
      <c r="Q2526" s="1"/>
      <c r="R2526" s="1"/>
    </row>
    <row r="2527" spans="1:18" x14ac:dyDescent="0.3">
      <c r="A2527" s="1"/>
      <c r="B2527" s="1"/>
      <c r="C2527" s="1"/>
      <c r="G2527" s="1"/>
      <c r="H2527" s="1"/>
      <c r="I2527" s="1"/>
      <c r="J2527" s="1"/>
      <c r="K2527" s="1"/>
      <c r="L2527" s="1"/>
      <c r="M2527" s="1"/>
      <c r="N2527" s="1"/>
      <c r="O2527" s="1"/>
      <c r="P2527" s="1"/>
      <c r="Q2527" s="1"/>
      <c r="R2527" s="1"/>
    </row>
    <row r="2528" spans="1:18" x14ac:dyDescent="0.3">
      <c r="A2528" s="1"/>
      <c r="B2528" s="1"/>
      <c r="C2528" s="1"/>
      <c r="G2528" s="1"/>
      <c r="H2528" s="1"/>
      <c r="I2528" s="1"/>
      <c r="J2528" s="1"/>
      <c r="K2528" s="1"/>
      <c r="L2528" s="1"/>
      <c r="M2528" s="1"/>
      <c r="N2528" s="1"/>
      <c r="O2528" s="1"/>
      <c r="P2528" s="1"/>
      <c r="Q2528" s="1"/>
      <c r="R2528" s="1"/>
    </row>
    <row r="2529" spans="1:18" x14ac:dyDescent="0.3">
      <c r="A2529" s="1"/>
      <c r="B2529" s="1"/>
      <c r="C2529" s="1"/>
      <c r="G2529" s="1"/>
      <c r="H2529" s="1"/>
      <c r="I2529" s="1"/>
      <c r="J2529" s="1"/>
      <c r="K2529" s="1"/>
      <c r="L2529" s="1"/>
      <c r="M2529" s="1"/>
      <c r="N2529" s="1"/>
      <c r="O2529" s="1"/>
      <c r="P2529" s="1"/>
      <c r="Q2529" s="1"/>
      <c r="R2529" s="1"/>
    </row>
    <row r="2530" spans="1:18" x14ac:dyDescent="0.3">
      <c r="A2530" s="1"/>
      <c r="B2530" s="1"/>
      <c r="C2530" s="1"/>
      <c r="G2530" s="1"/>
      <c r="H2530" s="1"/>
      <c r="I2530" s="1"/>
      <c r="J2530" s="1"/>
      <c r="K2530" s="1"/>
      <c r="L2530" s="1"/>
      <c r="M2530" s="1"/>
      <c r="N2530" s="1"/>
      <c r="O2530" s="1"/>
      <c r="P2530" s="1"/>
      <c r="Q2530" s="1"/>
      <c r="R2530" s="1"/>
    </row>
    <row r="2531" spans="1:18" x14ac:dyDescent="0.3">
      <c r="A2531" s="1"/>
      <c r="B2531" s="1"/>
      <c r="C2531" s="1"/>
      <c r="G2531" s="1"/>
      <c r="H2531" s="1"/>
      <c r="I2531" s="1"/>
      <c r="J2531" s="1"/>
      <c r="K2531" s="1"/>
      <c r="L2531" s="1"/>
      <c r="M2531" s="1"/>
      <c r="N2531" s="1"/>
      <c r="O2531" s="1"/>
      <c r="P2531" s="1"/>
      <c r="Q2531" s="1"/>
      <c r="R2531" s="1"/>
    </row>
    <row r="2532" spans="1:18" x14ac:dyDescent="0.3">
      <c r="A2532" s="1"/>
      <c r="B2532" s="1"/>
      <c r="C2532" s="1"/>
      <c r="G2532" s="1"/>
      <c r="H2532" s="1"/>
      <c r="I2532" s="1"/>
      <c r="J2532" s="1"/>
      <c r="K2532" s="1"/>
      <c r="L2532" s="1"/>
      <c r="M2532" s="1"/>
      <c r="N2532" s="1"/>
      <c r="O2532" s="1"/>
      <c r="P2532" s="1"/>
      <c r="Q2532" s="1"/>
      <c r="R2532" s="1"/>
    </row>
    <row r="2533" spans="1:18" x14ac:dyDescent="0.3">
      <c r="A2533" s="1"/>
      <c r="B2533" s="1"/>
      <c r="C2533" s="1"/>
      <c r="G2533" s="1"/>
      <c r="H2533" s="1"/>
      <c r="I2533" s="1"/>
      <c r="J2533" s="1"/>
      <c r="K2533" s="1"/>
      <c r="L2533" s="1"/>
      <c r="M2533" s="1"/>
      <c r="N2533" s="1"/>
      <c r="O2533" s="1"/>
      <c r="P2533" s="1"/>
      <c r="Q2533" s="1"/>
      <c r="R2533" s="1"/>
    </row>
    <row r="2534" spans="1:18" x14ac:dyDescent="0.3">
      <c r="A2534" s="1"/>
      <c r="B2534" s="1"/>
      <c r="C2534" s="1"/>
      <c r="G2534" s="1"/>
      <c r="H2534" s="1"/>
      <c r="I2534" s="1"/>
      <c r="J2534" s="1"/>
      <c r="K2534" s="1"/>
      <c r="L2534" s="1"/>
      <c r="M2534" s="1"/>
      <c r="N2534" s="1"/>
      <c r="O2534" s="1"/>
      <c r="P2534" s="1"/>
      <c r="Q2534" s="1"/>
      <c r="R2534" s="1"/>
    </row>
    <row r="2535" spans="1:18" x14ac:dyDescent="0.3">
      <c r="A2535" s="1"/>
      <c r="B2535" s="1"/>
      <c r="C2535" s="1"/>
      <c r="G2535" s="1"/>
      <c r="H2535" s="1"/>
      <c r="I2535" s="1"/>
      <c r="J2535" s="1"/>
      <c r="K2535" s="1"/>
      <c r="L2535" s="1"/>
      <c r="M2535" s="1"/>
      <c r="N2535" s="1"/>
      <c r="O2535" s="1"/>
      <c r="P2535" s="1"/>
      <c r="Q2535" s="1"/>
      <c r="R2535" s="1"/>
    </row>
    <row r="2536" spans="1:18" x14ac:dyDescent="0.3">
      <c r="A2536" s="1"/>
      <c r="B2536" s="1"/>
      <c r="C2536" s="1"/>
      <c r="G2536" s="1"/>
      <c r="H2536" s="1"/>
      <c r="I2536" s="1"/>
      <c r="J2536" s="1"/>
      <c r="K2536" s="1"/>
      <c r="L2536" s="1"/>
      <c r="M2536" s="1"/>
      <c r="N2536" s="1"/>
      <c r="O2536" s="1"/>
      <c r="P2536" s="1"/>
      <c r="Q2536" s="1"/>
      <c r="R2536" s="1"/>
    </row>
    <row r="2537" spans="1:18" x14ac:dyDescent="0.3">
      <c r="A2537" s="1"/>
      <c r="B2537" s="1"/>
      <c r="C2537" s="1"/>
      <c r="G2537" s="1"/>
      <c r="H2537" s="1"/>
      <c r="I2537" s="1"/>
      <c r="J2537" s="1"/>
      <c r="K2537" s="1"/>
      <c r="L2537" s="1"/>
      <c r="M2537" s="1"/>
      <c r="N2537" s="1"/>
      <c r="O2537" s="1"/>
      <c r="P2537" s="1"/>
      <c r="Q2537" s="1"/>
      <c r="R2537" s="1"/>
    </row>
    <row r="2538" spans="1:18" x14ac:dyDescent="0.3">
      <c r="A2538" s="1"/>
      <c r="B2538" s="1"/>
      <c r="C2538" s="1"/>
      <c r="G2538" s="1"/>
      <c r="H2538" s="1"/>
      <c r="I2538" s="1"/>
      <c r="J2538" s="1"/>
      <c r="K2538" s="1"/>
      <c r="L2538" s="1"/>
      <c r="M2538" s="1"/>
      <c r="N2538" s="1"/>
      <c r="O2538" s="1"/>
      <c r="P2538" s="1"/>
      <c r="Q2538" s="1"/>
      <c r="R2538" s="1"/>
    </row>
    <row r="2539" spans="1:18" x14ac:dyDescent="0.3">
      <c r="A2539" s="1"/>
      <c r="B2539" s="1"/>
      <c r="C2539" s="1"/>
      <c r="G2539" s="1"/>
      <c r="H2539" s="1"/>
      <c r="I2539" s="1"/>
      <c r="J2539" s="1"/>
      <c r="K2539" s="1"/>
      <c r="L2539" s="1"/>
      <c r="M2539" s="1"/>
      <c r="N2539" s="1"/>
      <c r="O2539" s="1"/>
      <c r="P2539" s="1"/>
      <c r="Q2539" s="1"/>
      <c r="R2539" s="1"/>
    </row>
    <row r="2540" spans="1:18" x14ac:dyDescent="0.3">
      <c r="A2540" s="1"/>
      <c r="B2540" s="1"/>
      <c r="C2540" s="1"/>
      <c r="G2540" s="1"/>
      <c r="H2540" s="1"/>
      <c r="I2540" s="1"/>
      <c r="J2540" s="1"/>
      <c r="K2540" s="1"/>
      <c r="L2540" s="1"/>
      <c r="M2540" s="1"/>
      <c r="N2540" s="1"/>
      <c r="O2540" s="1"/>
      <c r="P2540" s="1"/>
      <c r="Q2540" s="1"/>
      <c r="R2540" s="1"/>
    </row>
    <row r="2541" spans="1:18" x14ac:dyDescent="0.3">
      <c r="A2541" s="1"/>
      <c r="B2541" s="1"/>
      <c r="C2541" s="1"/>
      <c r="G2541" s="1"/>
      <c r="H2541" s="1"/>
      <c r="I2541" s="1"/>
      <c r="J2541" s="1"/>
      <c r="K2541" s="1"/>
      <c r="L2541" s="1"/>
      <c r="M2541" s="1"/>
      <c r="N2541" s="1"/>
      <c r="O2541" s="1"/>
      <c r="P2541" s="1"/>
      <c r="Q2541" s="1"/>
      <c r="R2541" s="1"/>
    </row>
    <row r="2542" spans="1:18" x14ac:dyDescent="0.3">
      <c r="A2542" s="1"/>
      <c r="B2542" s="1"/>
      <c r="C2542" s="1"/>
      <c r="G2542" s="1"/>
      <c r="H2542" s="1"/>
      <c r="I2542" s="1"/>
      <c r="J2542" s="1"/>
      <c r="K2542" s="1"/>
      <c r="L2542" s="1"/>
      <c r="M2542" s="1"/>
      <c r="N2542" s="1"/>
      <c r="O2542" s="1"/>
      <c r="P2542" s="1"/>
      <c r="Q2542" s="1"/>
      <c r="R2542" s="1"/>
    </row>
    <row r="2543" spans="1:18" x14ac:dyDescent="0.3">
      <c r="A2543" s="1"/>
      <c r="B2543" s="1"/>
      <c r="C2543" s="1"/>
      <c r="G2543" s="1"/>
      <c r="H2543" s="1"/>
      <c r="I2543" s="1"/>
      <c r="J2543" s="1"/>
      <c r="K2543" s="1"/>
      <c r="L2543" s="1"/>
      <c r="M2543" s="1"/>
      <c r="N2543" s="1"/>
      <c r="O2543" s="1"/>
      <c r="P2543" s="1"/>
      <c r="Q2543" s="1"/>
      <c r="R2543" s="1"/>
    </row>
    <row r="2544" spans="1:18" x14ac:dyDescent="0.3">
      <c r="A2544" s="1"/>
      <c r="B2544" s="1"/>
      <c r="C2544" s="1"/>
      <c r="G2544" s="1"/>
      <c r="H2544" s="1"/>
      <c r="I2544" s="1"/>
      <c r="J2544" s="1"/>
      <c r="K2544" s="1"/>
      <c r="L2544" s="1"/>
      <c r="M2544" s="1"/>
      <c r="N2544" s="1"/>
      <c r="O2544" s="1"/>
      <c r="P2544" s="1"/>
      <c r="Q2544" s="1"/>
      <c r="R2544" s="1"/>
    </row>
    <row r="2545" spans="1:18" x14ac:dyDescent="0.3">
      <c r="A2545" s="1"/>
      <c r="B2545" s="1"/>
      <c r="C2545" s="1"/>
      <c r="G2545" s="1"/>
      <c r="H2545" s="1"/>
      <c r="I2545" s="1"/>
      <c r="J2545" s="1"/>
      <c r="K2545" s="1"/>
      <c r="L2545" s="1"/>
      <c r="M2545" s="1"/>
      <c r="N2545" s="1"/>
      <c r="O2545" s="1"/>
      <c r="P2545" s="1"/>
      <c r="Q2545" s="1"/>
      <c r="R2545" s="1"/>
    </row>
    <row r="2546" spans="1:18" x14ac:dyDescent="0.3">
      <c r="A2546" s="1"/>
      <c r="B2546" s="1"/>
      <c r="C2546" s="1"/>
      <c r="G2546" s="1"/>
      <c r="H2546" s="1"/>
      <c r="I2546" s="1"/>
      <c r="J2546" s="1"/>
      <c r="K2546" s="1"/>
      <c r="L2546" s="1"/>
      <c r="M2546" s="1"/>
      <c r="N2546" s="1"/>
      <c r="O2546" s="1"/>
      <c r="P2546" s="1"/>
      <c r="Q2546" s="1"/>
      <c r="R2546" s="1"/>
    </row>
    <row r="2547" spans="1:18" x14ac:dyDescent="0.3">
      <c r="A2547" s="1"/>
      <c r="B2547" s="1"/>
      <c r="C2547" s="1"/>
      <c r="G2547" s="1"/>
      <c r="H2547" s="1"/>
      <c r="I2547" s="1"/>
      <c r="J2547" s="1"/>
      <c r="K2547" s="1"/>
      <c r="L2547" s="1"/>
      <c r="M2547" s="1"/>
      <c r="N2547" s="1"/>
      <c r="O2547" s="1"/>
      <c r="P2547" s="1"/>
      <c r="Q2547" s="1"/>
      <c r="R2547" s="1"/>
    </row>
    <row r="2548" spans="1:18" x14ac:dyDescent="0.3">
      <c r="A2548" s="1"/>
      <c r="B2548" s="1"/>
      <c r="C2548" s="1"/>
      <c r="G2548" s="1"/>
      <c r="H2548" s="1"/>
      <c r="I2548" s="1"/>
      <c r="J2548" s="1"/>
      <c r="K2548" s="1"/>
      <c r="L2548" s="1"/>
      <c r="M2548" s="1"/>
      <c r="N2548" s="1"/>
      <c r="O2548" s="1"/>
      <c r="P2548" s="1"/>
      <c r="Q2548" s="1"/>
      <c r="R2548" s="1"/>
    </row>
    <row r="2549" spans="1:18" x14ac:dyDescent="0.3">
      <c r="A2549" s="1"/>
      <c r="B2549" s="1"/>
      <c r="C2549" s="1"/>
      <c r="G2549" s="1"/>
      <c r="H2549" s="1"/>
      <c r="I2549" s="1"/>
      <c r="J2549" s="1"/>
      <c r="K2549" s="1"/>
      <c r="L2549" s="1"/>
      <c r="M2549" s="1"/>
      <c r="N2549" s="1"/>
      <c r="O2549" s="1"/>
      <c r="P2549" s="1"/>
      <c r="Q2549" s="1"/>
      <c r="R2549" s="1"/>
    </row>
    <row r="2550" spans="1:18" x14ac:dyDescent="0.3">
      <c r="A2550" s="1"/>
      <c r="B2550" s="1"/>
      <c r="C2550" s="1"/>
      <c r="G2550" s="1"/>
      <c r="H2550" s="1"/>
      <c r="I2550" s="1"/>
      <c r="J2550" s="1"/>
      <c r="K2550" s="1"/>
      <c r="L2550" s="1"/>
      <c r="M2550" s="1"/>
      <c r="N2550" s="1"/>
      <c r="O2550" s="1"/>
      <c r="P2550" s="1"/>
      <c r="Q2550" s="1"/>
      <c r="R2550" s="1"/>
    </row>
    <row r="2551" spans="1:18" x14ac:dyDescent="0.3">
      <c r="A2551" s="1"/>
      <c r="B2551" s="1"/>
      <c r="C2551" s="1"/>
      <c r="G2551" s="1"/>
      <c r="H2551" s="1"/>
      <c r="I2551" s="1"/>
      <c r="J2551" s="1"/>
      <c r="K2551" s="1"/>
      <c r="L2551" s="1"/>
      <c r="M2551" s="1"/>
      <c r="N2551" s="1"/>
      <c r="O2551" s="1"/>
      <c r="P2551" s="1"/>
      <c r="Q2551" s="1"/>
      <c r="R2551" s="1"/>
    </row>
    <row r="2552" spans="1:18" x14ac:dyDescent="0.3">
      <c r="A2552" s="1"/>
      <c r="B2552" s="1"/>
      <c r="C2552" s="1"/>
      <c r="G2552" s="1"/>
      <c r="H2552" s="1"/>
      <c r="I2552" s="1"/>
      <c r="J2552" s="1"/>
      <c r="K2552" s="1"/>
      <c r="L2552" s="1"/>
      <c r="M2552" s="1"/>
      <c r="N2552" s="1"/>
      <c r="O2552" s="1"/>
      <c r="P2552" s="1"/>
      <c r="Q2552" s="1"/>
      <c r="R2552" s="1"/>
    </row>
    <row r="2553" spans="1:18" x14ac:dyDescent="0.3">
      <c r="A2553" s="1"/>
      <c r="B2553" s="1"/>
      <c r="C2553" s="1"/>
      <c r="G2553" s="1"/>
      <c r="H2553" s="1"/>
      <c r="I2553" s="1"/>
      <c r="J2553" s="1"/>
      <c r="K2553" s="1"/>
      <c r="L2553" s="1"/>
      <c r="M2553" s="1"/>
      <c r="N2553" s="1"/>
      <c r="O2553" s="1"/>
      <c r="P2553" s="1"/>
      <c r="Q2553" s="1"/>
      <c r="R2553" s="1"/>
    </row>
    <row r="2554" spans="1:18" x14ac:dyDescent="0.3">
      <c r="A2554" s="1"/>
      <c r="B2554" s="1"/>
      <c r="C2554" s="1"/>
      <c r="G2554" s="1"/>
      <c r="H2554" s="1"/>
      <c r="I2554" s="1"/>
      <c r="J2554" s="1"/>
      <c r="K2554" s="1"/>
      <c r="L2554" s="1"/>
      <c r="M2554" s="1"/>
      <c r="N2554" s="1"/>
      <c r="O2554" s="1"/>
      <c r="P2554" s="1"/>
      <c r="Q2554" s="1"/>
      <c r="R2554" s="1"/>
    </row>
    <row r="2555" spans="1:18" x14ac:dyDescent="0.3">
      <c r="A2555" s="1"/>
      <c r="B2555" s="1"/>
      <c r="C2555" s="1"/>
      <c r="G2555" s="1"/>
      <c r="H2555" s="1"/>
      <c r="I2555" s="1"/>
      <c r="J2555" s="1"/>
      <c r="K2555" s="1"/>
      <c r="L2555" s="1"/>
      <c r="M2555" s="1"/>
      <c r="N2555" s="1"/>
      <c r="O2555" s="1"/>
      <c r="P2555" s="1"/>
      <c r="Q2555" s="1"/>
      <c r="R2555" s="1"/>
    </row>
    <row r="2556" spans="1:18" x14ac:dyDescent="0.3">
      <c r="A2556" s="1"/>
      <c r="B2556" s="1"/>
      <c r="C2556" s="1"/>
      <c r="G2556" s="1"/>
      <c r="H2556" s="1"/>
      <c r="I2556" s="1"/>
      <c r="J2556" s="1"/>
      <c r="K2556" s="1"/>
      <c r="L2556" s="1"/>
      <c r="M2556" s="1"/>
      <c r="N2556" s="1"/>
      <c r="O2556" s="1"/>
      <c r="P2556" s="1"/>
      <c r="Q2556" s="1"/>
      <c r="R2556" s="1"/>
    </row>
    <row r="2557" spans="1:18" x14ac:dyDescent="0.3">
      <c r="A2557" s="1"/>
      <c r="B2557" s="1"/>
      <c r="C2557" s="1"/>
      <c r="G2557" s="1"/>
      <c r="H2557" s="1"/>
      <c r="I2557" s="1"/>
      <c r="J2557" s="1"/>
      <c r="K2557" s="1"/>
      <c r="L2557" s="1"/>
      <c r="M2557" s="1"/>
      <c r="N2557" s="1"/>
      <c r="O2557" s="1"/>
      <c r="P2557" s="1"/>
      <c r="Q2557" s="1"/>
      <c r="R2557" s="1"/>
    </row>
    <row r="2558" spans="1:18" x14ac:dyDescent="0.3">
      <c r="A2558" s="1"/>
      <c r="B2558" s="1"/>
      <c r="C2558" s="1"/>
      <c r="G2558" s="1"/>
      <c r="H2558" s="1"/>
      <c r="I2558" s="1"/>
      <c r="J2558" s="1"/>
      <c r="K2558" s="1"/>
      <c r="L2558" s="1"/>
      <c r="M2558" s="1"/>
      <c r="N2558" s="1"/>
      <c r="O2558" s="1"/>
      <c r="P2558" s="1"/>
      <c r="Q2558" s="1"/>
      <c r="R2558" s="1"/>
    </row>
    <row r="2559" spans="1:18" x14ac:dyDescent="0.3">
      <c r="A2559" s="1"/>
      <c r="B2559" s="1"/>
      <c r="C2559" s="1"/>
      <c r="G2559" s="1"/>
      <c r="H2559" s="1"/>
      <c r="I2559" s="1"/>
      <c r="J2559" s="1"/>
      <c r="K2559" s="1"/>
      <c r="L2559" s="1"/>
      <c r="M2559" s="1"/>
      <c r="N2559" s="1"/>
      <c r="O2559" s="1"/>
      <c r="P2559" s="1"/>
      <c r="Q2559" s="1"/>
      <c r="R2559" s="1"/>
    </row>
    <row r="2560" spans="1:18" x14ac:dyDescent="0.3">
      <c r="A2560" s="1"/>
      <c r="B2560" s="1"/>
      <c r="C2560" s="1"/>
      <c r="G2560" s="1"/>
      <c r="H2560" s="1"/>
      <c r="I2560" s="1"/>
      <c r="J2560" s="1"/>
      <c r="K2560" s="1"/>
      <c r="L2560" s="1"/>
      <c r="M2560" s="1"/>
      <c r="N2560" s="1"/>
      <c r="O2560" s="1"/>
      <c r="P2560" s="1"/>
      <c r="Q2560" s="1"/>
      <c r="R2560" s="1"/>
    </row>
    <row r="2561" spans="1:18" x14ac:dyDescent="0.3">
      <c r="A2561" s="1"/>
      <c r="B2561" s="1"/>
      <c r="C2561" s="1"/>
      <c r="G2561" s="1"/>
      <c r="H2561" s="1"/>
      <c r="I2561" s="1"/>
      <c r="J2561" s="1"/>
      <c r="K2561" s="1"/>
      <c r="L2561" s="1"/>
      <c r="M2561" s="1"/>
      <c r="N2561" s="1"/>
      <c r="O2561" s="1"/>
      <c r="P2561" s="1"/>
      <c r="Q2561" s="1"/>
      <c r="R2561" s="1"/>
    </row>
    <row r="2562" spans="1:18" x14ac:dyDescent="0.3">
      <c r="A2562" s="1"/>
      <c r="B2562" s="1"/>
      <c r="C2562" s="1"/>
      <c r="G2562" s="1"/>
      <c r="H2562" s="1"/>
      <c r="I2562" s="1"/>
      <c r="J2562" s="1"/>
      <c r="K2562" s="1"/>
      <c r="L2562" s="1"/>
      <c r="M2562" s="1"/>
      <c r="N2562" s="1"/>
      <c r="O2562" s="1"/>
      <c r="P2562" s="1"/>
      <c r="Q2562" s="1"/>
      <c r="R2562" s="1"/>
    </row>
    <row r="2563" spans="1:18" x14ac:dyDescent="0.3">
      <c r="A2563" s="1"/>
      <c r="B2563" s="1"/>
      <c r="C2563" s="1"/>
      <c r="G2563" s="1"/>
      <c r="H2563" s="1"/>
      <c r="I2563" s="1"/>
      <c r="J2563" s="1"/>
      <c r="K2563" s="1"/>
      <c r="L2563" s="1"/>
      <c r="M2563" s="1"/>
      <c r="N2563" s="1"/>
      <c r="O2563" s="1"/>
      <c r="P2563" s="1"/>
      <c r="Q2563" s="1"/>
      <c r="R2563" s="1"/>
    </row>
    <row r="2564" spans="1:18" x14ac:dyDescent="0.3">
      <c r="A2564" s="1"/>
      <c r="B2564" s="1"/>
      <c r="C2564" s="1"/>
      <c r="G2564" s="1"/>
      <c r="H2564" s="1"/>
      <c r="I2564" s="1"/>
      <c r="J2564" s="1"/>
      <c r="K2564" s="1"/>
      <c r="L2564" s="1"/>
      <c r="M2564" s="1"/>
      <c r="N2564" s="1"/>
      <c r="O2564" s="1"/>
      <c r="P2564" s="1"/>
      <c r="Q2564" s="1"/>
      <c r="R2564" s="1"/>
    </row>
    <row r="2565" spans="1:18" x14ac:dyDescent="0.3">
      <c r="A2565" s="1"/>
      <c r="B2565" s="1"/>
      <c r="C2565" s="1"/>
      <c r="G2565" s="1"/>
      <c r="H2565" s="1"/>
      <c r="I2565" s="1"/>
      <c r="J2565" s="1"/>
      <c r="K2565" s="1"/>
      <c r="L2565" s="1"/>
      <c r="M2565" s="1"/>
      <c r="N2565" s="1"/>
      <c r="O2565" s="1"/>
      <c r="P2565" s="1"/>
      <c r="Q2565" s="1"/>
      <c r="R2565" s="1"/>
    </row>
    <row r="2566" spans="1:18" x14ac:dyDescent="0.3">
      <c r="A2566" s="1"/>
      <c r="B2566" s="1"/>
      <c r="C2566" s="1"/>
      <c r="G2566" s="1"/>
      <c r="H2566" s="1"/>
      <c r="I2566" s="1"/>
      <c r="J2566" s="1"/>
      <c r="K2566" s="1"/>
      <c r="L2566" s="1"/>
      <c r="M2566" s="1"/>
      <c r="N2566" s="1"/>
      <c r="O2566" s="1"/>
      <c r="P2566" s="1"/>
      <c r="Q2566" s="1"/>
      <c r="R2566" s="1"/>
    </row>
    <row r="2567" spans="1:18" x14ac:dyDescent="0.3">
      <c r="A2567" s="1"/>
      <c r="B2567" s="1"/>
      <c r="C2567" s="1"/>
      <c r="G2567" s="1"/>
      <c r="H2567" s="1"/>
      <c r="I2567" s="1"/>
      <c r="J2567" s="1"/>
      <c r="K2567" s="1"/>
      <c r="L2567" s="1"/>
      <c r="M2567" s="1"/>
      <c r="N2567" s="1"/>
      <c r="O2567" s="1"/>
      <c r="P2567" s="1"/>
      <c r="Q2567" s="1"/>
      <c r="R2567" s="1"/>
    </row>
    <row r="2568" spans="1:18" x14ac:dyDescent="0.3">
      <c r="A2568" s="1"/>
      <c r="B2568" s="1"/>
      <c r="C2568" s="1"/>
      <c r="G2568" s="1"/>
      <c r="H2568" s="1"/>
      <c r="I2568" s="1"/>
      <c r="J2568" s="1"/>
      <c r="K2568" s="1"/>
      <c r="L2568" s="1"/>
      <c r="M2568" s="1"/>
      <c r="N2568" s="1"/>
      <c r="O2568" s="1"/>
      <c r="P2568" s="1"/>
      <c r="Q2568" s="1"/>
      <c r="R2568" s="1"/>
    </row>
    <row r="2569" spans="1:18" x14ac:dyDescent="0.3">
      <c r="A2569" s="1"/>
      <c r="B2569" s="1"/>
      <c r="C2569" s="1"/>
      <c r="G2569" s="1"/>
      <c r="H2569" s="1"/>
      <c r="I2569" s="1"/>
      <c r="J2569" s="1"/>
      <c r="K2569" s="1"/>
      <c r="L2569" s="1"/>
      <c r="M2569" s="1"/>
      <c r="N2569" s="1"/>
      <c r="O2569" s="1"/>
      <c r="P2569" s="1"/>
      <c r="Q2569" s="1"/>
      <c r="R2569" s="1"/>
    </row>
    <row r="2570" spans="1:18" x14ac:dyDescent="0.3">
      <c r="A2570" s="1"/>
      <c r="B2570" s="1"/>
      <c r="C2570" s="1"/>
      <c r="G2570" s="1"/>
      <c r="H2570" s="1"/>
      <c r="I2570" s="1"/>
      <c r="J2570" s="1"/>
      <c r="K2570" s="1"/>
      <c r="L2570" s="1"/>
      <c r="M2570" s="1"/>
      <c r="N2570" s="1"/>
      <c r="O2570" s="1"/>
      <c r="P2570" s="1"/>
      <c r="Q2570" s="1"/>
      <c r="R2570" s="1"/>
    </row>
    <row r="2571" spans="1:18" x14ac:dyDescent="0.3">
      <c r="A2571" s="1"/>
      <c r="B2571" s="1"/>
      <c r="C2571" s="1"/>
      <c r="G2571" s="1"/>
      <c r="H2571" s="1"/>
      <c r="I2571" s="1"/>
      <c r="J2571" s="1"/>
      <c r="K2571" s="1"/>
      <c r="L2571" s="1"/>
      <c r="M2571" s="1"/>
      <c r="N2571" s="1"/>
      <c r="O2571" s="1"/>
      <c r="P2571" s="1"/>
      <c r="Q2571" s="1"/>
      <c r="R2571" s="1"/>
    </row>
    <row r="2572" spans="1:18" x14ac:dyDescent="0.3">
      <c r="A2572" s="1"/>
      <c r="B2572" s="1"/>
      <c r="C2572" s="1"/>
      <c r="G2572" s="1"/>
      <c r="H2572" s="1"/>
      <c r="I2572" s="1"/>
      <c r="J2572" s="1"/>
      <c r="K2572" s="1"/>
      <c r="L2572" s="1"/>
      <c r="M2572" s="1"/>
      <c r="N2572" s="1"/>
      <c r="O2572" s="1"/>
      <c r="P2572" s="1"/>
      <c r="Q2572" s="1"/>
      <c r="R2572" s="1"/>
    </row>
    <row r="2573" spans="1:18" x14ac:dyDescent="0.3">
      <c r="A2573" s="1"/>
      <c r="B2573" s="1"/>
      <c r="C2573" s="1"/>
      <c r="G2573" s="1"/>
      <c r="H2573" s="1"/>
      <c r="I2573" s="1"/>
      <c r="J2573" s="1"/>
      <c r="K2573" s="1"/>
      <c r="L2573" s="1"/>
      <c r="M2573" s="1"/>
      <c r="N2573" s="1"/>
      <c r="O2573" s="1"/>
      <c r="P2573" s="1"/>
      <c r="Q2573" s="1"/>
      <c r="R2573" s="1"/>
    </row>
    <row r="2574" spans="1:18" x14ac:dyDescent="0.3">
      <c r="A2574" s="1"/>
      <c r="B2574" s="1"/>
      <c r="C2574" s="1"/>
      <c r="G2574" s="1"/>
      <c r="H2574" s="1"/>
      <c r="I2574" s="1"/>
      <c r="J2574" s="1"/>
      <c r="K2574" s="1"/>
      <c r="L2574" s="1"/>
      <c r="M2574" s="1"/>
      <c r="N2574" s="1"/>
      <c r="O2574" s="1"/>
      <c r="P2574" s="1"/>
      <c r="Q2574" s="1"/>
      <c r="R2574" s="1"/>
    </row>
    <row r="2575" spans="1:18" x14ac:dyDescent="0.3">
      <c r="A2575" s="1"/>
      <c r="B2575" s="1"/>
      <c r="C2575" s="1"/>
      <c r="G2575" s="1"/>
      <c r="H2575" s="1"/>
      <c r="I2575" s="1"/>
      <c r="J2575" s="1"/>
      <c r="K2575" s="1"/>
      <c r="L2575" s="1"/>
      <c r="M2575" s="1"/>
      <c r="N2575" s="1"/>
      <c r="O2575" s="1"/>
      <c r="P2575" s="1"/>
      <c r="Q2575" s="1"/>
      <c r="R2575" s="1"/>
    </row>
    <row r="2576" spans="1:18" x14ac:dyDescent="0.3">
      <c r="A2576" s="1"/>
      <c r="B2576" s="1"/>
      <c r="C2576" s="1"/>
      <c r="G2576" s="1"/>
      <c r="H2576" s="1"/>
      <c r="I2576" s="1"/>
      <c r="J2576" s="1"/>
      <c r="K2576" s="1"/>
      <c r="L2576" s="1"/>
      <c r="M2576" s="1"/>
      <c r="N2576" s="1"/>
      <c r="O2576" s="1"/>
      <c r="P2576" s="1"/>
      <c r="Q2576" s="1"/>
      <c r="R2576" s="1"/>
    </row>
    <row r="2577" spans="1:18" x14ac:dyDescent="0.3">
      <c r="A2577" s="1"/>
      <c r="B2577" s="1"/>
      <c r="C2577" s="1"/>
      <c r="G2577" s="1"/>
      <c r="H2577" s="1"/>
      <c r="I2577" s="1"/>
      <c r="J2577" s="1"/>
      <c r="K2577" s="1"/>
      <c r="L2577" s="1"/>
      <c r="M2577" s="1"/>
      <c r="N2577" s="1"/>
      <c r="O2577" s="1"/>
      <c r="P2577" s="1"/>
      <c r="Q2577" s="1"/>
      <c r="R2577" s="1"/>
    </row>
    <row r="2578" spans="1:18" x14ac:dyDescent="0.3">
      <c r="A2578" s="1"/>
      <c r="B2578" s="1"/>
      <c r="C2578" s="1"/>
      <c r="G2578" s="1"/>
      <c r="H2578" s="1"/>
      <c r="I2578" s="1"/>
      <c r="J2578" s="1"/>
      <c r="K2578" s="1"/>
      <c r="L2578" s="1"/>
      <c r="M2578" s="1"/>
      <c r="N2578" s="1"/>
      <c r="O2578" s="1"/>
      <c r="P2578" s="1"/>
      <c r="Q2578" s="1"/>
      <c r="R2578" s="1"/>
    </row>
    <row r="2579" spans="1:18" x14ac:dyDescent="0.3">
      <c r="A2579" s="1"/>
      <c r="B2579" s="1"/>
      <c r="C2579" s="1"/>
      <c r="G2579" s="1"/>
      <c r="H2579" s="1"/>
      <c r="I2579" s="1"/>
      <c r="J2579" s="1"/>
      <c r="K2579" s="1"/>
      <c r="L2579" s="1"/>
      <c r="M2579" s="1"/>
      <c r="N2579" s="1"/>
      <c r="O2579" s="1"/>
      <c r="P2579" s="1"/>
      <c r="Q2579" s="1"/>
      <c r="R2579" s="1"/>
    </row>
    <row r="2580" spans="1:18" x14ac:dyDescent="0.3">
      <c r="A2580" s="1"/>
      <c r="B2580" s="1"/>
      <c r="C2580" s="1"/>
      <c r="G2580" s="1"/>
      <c r="H2580" s="1"/>
      <c r="I2580" s="1"/>
      <c r="J2580" s="1"/>
      <c r="K2580" s="1"/>
      <c r="L2580" s="1"/>
      <c r="M2580" s="1"/>
      <c r="N2580" s="1"/>
      <c r="O2580" s="1"/>
      <c r="P2580" s="1"/>
      <c r="Q2580" s="1"/>
      <c r="R2580" s="1"/>
    </row>
    <row r="2581" spans="1:18" x14ac:dyDescent="0.3">
      <c r="A2581" s="1"/>
      <c r="B2581" s="1"/>
      <c r="C2581" s="1"/>
      <c r="G2581" s="1"/>
      <c r="H2581" s="1"/>
      <c r="I2581" s="1"/>
      <c r="J2581" s="1"/>
      <c r="K2581" s="1"/>
      <c r="L2581" s="1"/>
      <c r="M2581" s="1"/>
      <c r="N2581" s="1"/>
      <c r="O2581" s="1"/>
      <c r="P2581" s="1"/>
      <c r="Q2581" s="1"/>
      <c r="R2581" s="1"/>
    </row>
    <row r="2582" spans="1:18" x14ac:dyDescent="0.3">
      <c r="A2582" s="1"/>
      <c r="B2582" s="1"/>
      <c r="C2582" s="1"/>
      <c r="G2582" s="1"/>
      <c r="H2582" s="1"/>
      <c r="I2582" s="1"/>
      <c r="J2582" s="1"/>
      <c r="K2582" s="1"/>
      <c r="L2582" s="1"/>
      <c r="M2582" s="1"/>
      <c r="N2582" s="1"/>
      <c r="O2582" s="1"/>
      <c r="P2582" s="1"/>
      <c r="Q2582" s="1"/>
      <c r="R2582" s="1"/>
    </row>
    <row r="2583" spans="1:18" x14ac:dyDescent="0.3">
      <c r="A2583" s="1"/>
      <c r="B2583" s="1"/>
      <c r="C2583" s="1"/>
      <c r="G2583" s="1"/>
      <c r="H2583" s="1"/>
      <c r="I2583" s="1"/>
      <c r="J2583" s="1"/>
      <c r="K2583" s="1"/>
      <c r="L2583" s="1"/>
      <c r="M2583" s="1"/>
      <c r="N2583" s="1"/>
      <c r="O2583" s="1"/>
      <c r="P2583" s="1"/>
      <c r="Q2583" s="1"/>
      <c r="R2583" s="1"/>
    </row>
    <row r="2584" spans="1:18" x14ac:dyDescent="0.3">
      <c r="A2584" s="1"/>
      <c r="B2584" s="1"/>
      <c r="C2584" s="1"/>
      <c r="G2584" s="1"/>
      <c r="H2584" s="1"/>
      <c r="I2584" s="1"/>
      <c r="J2584" s="1"/>
      <c r="K2584" s="1"/>
      <c r="L2584" s="1"/>
      <c r="M2584" s="1"/>
      <c r="N2584" s="1"/>
      <c r="O2584" s="1"/>
      <c r="P2584" s="1"/>
      <c r="Q2584" s="1"/>
      <c r="R2584" s="1"/>
    </row>
    <row r="2585" spans="1:18" x14ac:dyDescent="0.3">
      <c r="A2585" s="1"/>
      <c r="B2585" s="1"/>
      <c r="C2585" s="1"/>
      <c r="G2585" s="1"/>
      <c r="H2585" s="1"/>
      <c r="I2585" s="1"/>
      <c r="J2585" s="1"/>
      <c r="K2585" s="1"/>
      <c r="L2585" s="1"/>
      <c r="M2585" s="1"/>
      <c r="N2585" s="1"/>
      <c r="O2585" s="1"/>
      <c r="P2585" s="1"/>
      <c r="Q2585" s="1"/>
      <c r="R2585" s="1"/>
    </row>
    <row r="2586" spans="1:18" x14ac:dyDescent="0.3">
      <c r="A2586" s="1"/>
      <c r="B2586" s="1"/>
      <c r="C2586" s="1"/>
      <c r="G2586" s="1"/>
      <c r="H2586" s="1"/>
      <c r="I2586" s="1"/>
      <c r="J2586" s="1"/>
      <c r="K2586" s="1"/>
      <c r="L2586" s="1"/>
      <c r="M2586" s="1"/>
      <c r="N2586" s="1"/>
      <c r="O2586" s="1"/>
      <c r="P2586" s="1"/>
      <c r="Q2586" s="1"/>
      <c r="R2586" s="1"/>
    </row>
    <row r="2587" spans="1:18" x14ac:dyDescent="0.3">
      <c r="A2587" s="1"/>
      <c r="B2587" s="1"/>
      <c r="C2587" s="1"/>
      <c r="G2587" s="1"/>
      <c r="H2587" s="1"/>
      <c r="I2587" s="1"/>
      <c r="J2587" s="1"/>
      <c r="K2587" s="1"/>
      <c r="L2587" s="1"/>
      <c r="M2587" s="1"/>
      <c r="N2587" s="1"/>
      <c r="O2587" s="1"/>
      <c r="P2587" s="1"/>
      <c r="Q2587" s="1"/>
      <c r="R2587" s="1"/>
    </row>
    <row r="2588" spans="1:18" x14ac:dyDescent="0.3">
      <c r="A2588" s="1"/>
      <c r="B2588" s="1"/>
      <c r="C2588" s="1"/>
      <c r="G2588" s="1"/>
      <c r="H2588" s="1"/>
      <c r="I2588" s="1"/>
      <c r="J2588" s="1"/>
      <c r="K2588" s="1"/>
      <c r="L2588" s="1"/>
      <c r="M2588" s="1"/>
      <c r="N2588" s="1"/>
      <c r="O2588" s="1"/>
      <c r="P2588" s="1"/>
      <c r="Q2588" s="1"/>
      <c r="R2588" s="1"/>
    </row>
    <row r="2589" spans="1:18" x14ac:dyDescent="0.3">
      <c r="A2589" s="1"/>
      <c r="B2589" s="1"/>
      <c r="C2589" s="1"/>
      <c r="G2589" s="1"/>
      <c r="H2589" s="1"/>
      <c r="I2589" s="1"/>
      <c r="J2589" s="1"/>
      <c r="K2589" s="1"/>
      <c r="L2589" s="1"/>
      <c r="M2589" s="1"/>
      <c r="N2589" s="1"/>
      <c r="O2589" s="1"/>
      <c r="P2589" s="1"/>
      <c r="Q2589" s="1"/>
      <c r="R2589" s="1"/>
    </row>
    <row r="2590" spans="1:18" x14ac:dyDescent="0.3">
      <c r="A2590" s="1"/>
      <c r="B2590" s="1"/>
      <c r="C2590" s="1"/>
      <c r="G2590" s="1"/>
      <c r="H2590" s="1"/>
      <c r="I2590" s="1"/>
      <c r="J2590" s="1"/>
      <c r="K2590" s="1"/>
      <c r="L2590" s="1"/>
      <c r="M2590" s="1"/>
      <c r="N2590" s="1"/>
      <c r="O2590" s="1"/>
      <c r="P2590" s="1"/>
      <c r="Q2590" s="1"/>
      <c r="R2590" s="1"/>
    </row>
    <row r="2591" spans="1:18" x14ac:dyDescent="0.3">
      <c r="A2591" s="1"/>
      <c r="B2591" s="1"/>
      <c r="C2591" s="1"/>
      <c r="G2591" s="1"/>
      <c r="H2591" s="1"/>
      <c r="I2591" s="1"/>
      <c r="J2591" s="1"/>
      <c r="K2591" s="1"/>
      <c r="L2591" s="1"/>
      <c r="M2591" s="1"/>
      <c r="N2591" s="1"/>
      <c r="O2591" s="1"/>
      <c r="P2591" s="1"/>
      <c r="Q2591" s="1"/>
      <c r="R2591" s="1"/>
    </row>
    <row r="2592" spans="1:18" x14ac:dyDescent="0.3">
      <c r="A2592" s="1"/>
      <c r="B2592" s="1"/>
      <c r="C2592" s="1"/>
      <c r="G2592" s="1"/>
      <c r="H2592" s="1"/>
      <c r="I2592" s="1"/>
      <c r="J2592" s="1"/>
      <c r="K2592" s="1"/>
      <c r="L2592" s="1"/>
      <c r="M2592" s="1"/>
      <c r="N2592" s="1"/>
      <c r="O2592" s="1"/>
      <c r="P2592" s="1"/>
      <c r="Q2592" s="1"/>
      <c r="R2592" s="1"/>
    </row>
    <row r="2593" spans="1:18" x14ac:dyDescent="0.3">
      <c r="A2593" s="1"/>
      <c r="B2593" s="1"/>
      <c r="C2593" s="1"/>
      <c r="G2593" s="1"/>
      <c r="H2593" s="1"/>
      <c r="I2593" s="1"/>
      <c r="J2593" s="1"/>
      <c r="K2593" s="1"/>
      <c r="L2593" s="1"/>
      <c r="M2593" s="1"/>
      <c r="N2593" s="1"/>
      <c r="O2593" s="1"/>
      <c r="P2593" s="1"/>
      <c r="Q2593" s="1"/>
      <c r="R2593" s="1"/>
    </row>
    <row r="2594" spans="1:18" x14ac:dyDescent="0.3">
      <c r="A2594" s="1"/>
      <c r="B2594" s="1"/>
      <c r="C2594" s="1"/>
      <c r="G2594" s="1"/>
      <c r="H2594" s="1"/>
      <c r="I2594" s="1"/>
      <c r="J2594" s="1"/>
      <c r="K2594" s="1"/>
      <c r="L2594" s="1"/>
      <c r="M2594" s="1"/>
      <c r="N2594" s="1"/>
      <c r="O2594" s="1"/>
      <c r="P2594" s="1"/>
      <c r="Q2594" s="1"/>
      <c r="R2594" s="1"/>
    </row>
    <row r="2595" spans="1:18" x14ac:dyDescent="0.3">
      <c r="A2595" s="1"/>
      <c r="B2595" s="1"/>
      <c r="C2595" s="1"/>
      <c r="G2595" s="1"/>
      <c r="H2595" s="1"/>
      <c r="I2595" s="1"/>
      <c r="J2595" s="1"/>
      <c r="K2595" s="1"/>
      <c r="L2595" s="1"/>
      <c r="M2595" s="1"/>
      <c r="N2595" s="1"/>
      <c r="O2595" s="1"/>
      <c r="P2595" s="1"/>
      <c r="Q2595" s="1"/>
      <c r="R2595" s="1"/>
    </row>
    <row r="2596" spans="1:18" x14ac:dyDescent="0.3">
      <c r="A2596" s="1"/>
      <c r="B2596" s="1"/>
      <c r="C2596" s="1"/>
      <c r="G2596" s="1"/>
      <c r="H2596" s="1"/>
      <c r="I2596" s="1"/>
      <c r="J2596" s="1"/>
      <c r="K2596" s="1"/>
      <c r="L2596" s="1"/>
      <c r="M2596" s="1"/>
      <c r="N2596" s="1"/>
      <c r="O2596" s="1"/>
      <c r="P2596" s="1"/>
      <c r="Q2596" s="1"/>
      <c r="R2596" s="1"/>
    </row>
    <row r="2597" spans="1:18" x14ac:dyDescent="0.3">
      <c r="A2597" s="1"/>
      <c r="B2597" s="1"/>
      <c r="C2597" s="1"/>
      <c r="G2597" s="1"/>
      <c r="H2597" s="1"/>
      <c r="I2597" s="1"/>
      <c r="J2597" s="1"/>
      <c r="K2597" s="1"/>
      <c r="L2597" s="1"/>
      <c r="M2597" s="1"/>
      <c r="N2597" s="1"/>
      <c r="O2597" s="1"/>
      <c r="P2597" s="1"/>
      <c r="Q2597" s="1"/>
      <c r="R2597" s="1"/>
    </row>
    <row r="2598" spans="1:18" x14ac:dyDescent="0.3">
      <c r="A2598" s="1"/>
      <c r="B2598" s="1"/>
      <c r="C2598" s="1"/>
      <c r="G2598" s="1"/>
      <c r="H2598" s="1"/>
      <c r="I2598" s="1"/>
      <c r="J2598" s="1"/>
      <c r="K2598" s="1"/>
      <c r="L2598" s="1"/>
      <c r="M2598" s="1"/>
      <c r="N2598" s="1"/>
      <c r="O2598" s="1"/>
      <c r="P2598" s="1"/>
      <c r="Q2598" s="1"/>
      <c r="R2598" s="1"/>
    </row>
    <row r="2599" spans="1:18" x14ac:dyDescent="0.3">
      <c r="A2599" s="1"/>
      <c r="B2599" s="1"/>
      <c r="C2599" s="1"/>
      <c r="G2599" s="1"/>
      <c r="H2599" s="1"/>
      <c r="I2599" s="1"/>
      <c r="J2599" s="1"/>
      <c r="K2599" s="1"/>
      <c r="L2599" s="1"/>
      <c r="M2599" s="1"/>
      <c r="N2599" s="1"/>
      <c r="O2599" s="1"/>
      <c r="P2599" s="1"/>
      <c r="Q2599" s="1"/>
      <c r="R2599" s="1"/>
    </row>
    <row r="2600" spans="1:18" x14ac:dyDescent="0.3">
      <c r="A2600" s="1"/>
      <c r="B2600" s="1"/>
      <c r="C2600" s="1"/>
      <c r="G2600" s="1"/>
      <c r="H2600" s="1"/>
      <c r="I2600" s="1"/>
      <c r="J2600" s="1"/>
      <c r="K2600" s="1"/>
      <c r="L2600" s="1"/>
      <c r="M2600" s="1"/>
      <c r="N2600" s="1"/>
      <c r="O2600" s="1"/>
      <c r="P2600" s="1"/>
      <c r="Q2600" s="1"/>
      <c r="R2600" s="1"/>
    </row>
    <row r="2601" spans="1:18" x14ac:dyDescent="0.3">
      <c r="A2601" s="1"/>
      <c r="B2601" s="1"/>
      <c r="C2601" s="1"/>
      <c r="G2601" s="1"/>
      <c r="H2601" s="1"/>
      <c r="I2601" s="1"/>
      <c r="J2601" s="1"/>
      <c r="K2601" s="1"/>
      <c r="L2601" s="1"/>
      <c r="M2601" s="1"/>
      <c r="N2601" s="1"/>
      <c r="O2601" s="1"/>
      <c r="P2601" s="1"/>
      <c r="Q2601" s="1"/>
      <c r="R2601" s="1"/>
    </row>
    <row r="2602" spans="1:18" x14ac:dyDescent="0.3">
      <c r="A2602" s="1"/>
      <c r="B2602" s="1"/>
      <c r="C2602" s="1"/>
      <c r="G2602" s="1"/>
      <c r="H2602" s="1"/>
      <c r="I2602" s="1"/>
      <c r="J2602" s="1"/>
      <c r="K2602" s="1"/>
      <c r="L2602" s="1"/>
      <c r="M2602" s="1"/>
      <c r="N2602" s="1"/>
      <c r="O2602" s="1"/>
      <c r="P2602" s="1"/>
      <c r="Q2602" s="1"/>
      <c r="R2602" s="1"/>
    </row>
    <row r="2603" spans="1:18" x14ac:dyDescent="0.3">
      <c r="A2603" s="1"/>
      <c r="B2603" s="1"/>
      <c r="C2603" s="1"/>
      <c r="G2603" s="1"/>
      <c r="H2603" s="1"/>
      <c r="I2603" s="1"/>
      <c r="J2603" s="1"/>
      <c r="K2603" s="1"/>
      <c r="L2603" s="1"/>
      <c r="M2603" s="1"/>
      <c r="N2603" s="1"/>
      <c r="O2603" s="1"/>
      <c r="P2603" s="1"/>
      <c r="Q2603" s="1"/>
      <c r="R2603" s="1"/>
    </row>
    <row r="2604" spans="1:18" x14ac:dyDescent="0.3">
      <c r="A2604" s="1"/>
      <c r="B2604" s="1"/>
      <c r="C2604" s="1"/>
      <c r="G2604" s="1"/>
      <c r="H2604" s="1"/>
      <c r="I2604" s="1"/>
      <c r="J2604" s="1"/>
      <c r="K2604" s="1"/>
      <c r="L2604" s="1"/>
      <c r="M2604" s="1"/>
      <c r="N2604" s="1"/>
      <c r="O2604" s="1"/>
      <c r="P2604" s="1"/>
      <c r="Q2604" s="1"/>
      <c r="R2604" s="1"/>
    </row>
    <row r="2605" spans="1:18" x14ac:dyDescent="0.3">
      <c r="A2605" s="1"/>
      <c r="B2605" s="1"/>
      <c r="C2605" s="1"/>
      <c r="G2605" s="1"/>
      <c r="H2605" s="1"/>
      <c r="I2605" s="1"/>
      <c r="J2605" s="1"/>
      <c r="K2605" s="1"/>
      <c r="L2605" s="1"/>
      <c r="M2605" s="1"/>
      <c r="N2605" s="1"/>
      <c r="O2605" s="1"/>
      <c r="P2605" s="1"/>
      <c r="Q2605" s="1"/>
      <c r="R2605" s="1"/>
    </row>
    <row r="2606" spans="1:18" x14ac:dyDescent="0.3">
      <c r="A2606" s="1"/>
      <c r="B2606" s="1"/>
      <c r="C2606" s="1"/>
      <c r="G2606" s="1"/>
      <c r="H2606" s="1"/>
      <c r="I2606" s="1"/>
      <c r="J2606" s="1"/>
      <c r="K2606" s="1"/>
      <c r="L2606" s="1"/>
      <c r="M2606" s="1"/>
      <c r="N2606" s="1"/>
      <c r="O2606" s="1"/>
      <c r="P2606" s="1"/>
      <c r="Q2606" s="1"/>
      <c r="R2606" s="1"/>
    </row>
    <row r="2607" spans="1:18" x14ac:dyDescent="0.3">
      <c r="A2607" s="1"/>
      <c r="B2607" s="1"/>
      <c r="C2607" s="1"/>
      <c r="G2607" s="1"/>
      <c r="H2607" s="1"/>
      <c r="I2607" s="1"/>
      <c r="J2607" s="1"/>
      <c r="K2607" s="1"/>
      <c r="L2607" s="1"/>
      <c r="M2607" s="1"/>
      <c r="N2607" s="1"/>
      <c r="O2607" s="1"/>
      <c r="P2607" s="1"/>
      <c r="Q2607" s="1"/>
      <c r="R2607" s="1"/>
    </row>
    <row r="2608" spans="1:18" x14ac:dyDescent="0.3">
      <c r="A2608" s="1"/>
      <c r="B2608" s="1"/>
      <c r="C2608" s="1"/>
      <c r="G2608" s="1"/>
      <c r="H2608" s="1"/>
      <c r="I2608" s="1"/>
      <c r="J2608" s="1"/>
      <c r="K2608" s="1"/>
      <c r="L2608" s="1"/>
      <c r="M2608" s="1"/>
      <c r="N2608" s="1"/>
      <c r="O2608" s="1"/>
      <c r="P2608" s="1"/>
      <c r="Q2608" s="1"/>
      <c r="R2608" s="1"/>
    </row>
    <row r="2609" spans="1:18" x14ac:dyDescent="0.3">
      <c r="A2609" s="1"/>
      <c r="B2609" s="1"/>
      <c r="C2609" s="1"/>
      <c r="G2609" s="1"/>
      <c r="H2609" s="1"/>
      <c r="I2609" s="1"/>
      <c r="J2609" s="1"/>
      <c r="K2609" s="1"/>
      <c r="L2609" s="1"/>
      <c r="M2609" s="1"/>
      <c r="N2609" s="1"/>
      <c r="O2609" s="1"/>
      <c r="P2609" s="1"/>
      <c r="Q2609" s="1"/>
      <c r="R2609" s="1"/>
    </row>
    <row r="2610" spans="1:18" x14ac:dyDescent="0.3">
      <c r="A2610" s="1"/>
      <c r="B2610" s="1"/>
      <c r="C2610" s="1"/>
      <c r="G2610" s="1"/>
      <c r="H2610" s="1"/>
      <c r="I2610" s="1"/>
      <c r="J2610" s="1"/>
      <c r="K2610" s="1"/>
      <c r="L2610" s="1"/>
      <c r="M2610" s="1"/>
      <c r="N2610" s="1"/>
      <c r="O2610" s="1"/>
      <c r="P2610" s="1"/>
      <c r="Q2610" s="1"/>
      <c r="R2610" s="1"/>
    </row>
    <row r="2611" spans="1:18" x14ac:dyDescent="0.3">
      <c r="A2611" s="1"/>
      <c r="B2611" s="1"/>
      <c r="C2611" s="1"/>
      <c r="G2611" s="1"/>
      <c r="H2611" s="1"/>
      <c r="I2611" s="1"/>
      <c r="J2611" s="1"/>
      <c r="K2611" s="1"/>
      <c r="L2611" s="1"/>
      <c r="M2611" s="1"/>
      <c r="N2611" s="1"/>
      <c r="O2611" s="1"/>
      <c r="P2611" s="1"/>
      <c r="Q2611" s="1"/>
      <c r="R2611" s="1"/>
    </row>
    <row r="2612" spans="1:18" x14ac:dyDescent="0.3">
      <c r="A2612" s="1"/>
      <c r="B2612" s="1"/>
      <c r="C2612" s="1"/>
      <c r="G2612" s="1"/>
      <c r="H2612" s="1"/>
      <c r="I2612" s="1"/>
      <c r="J2612" s="1"/>
      <c r="K2612" s="1"/>
      <c r="L2612" s="1"/>
      <c r="M2612" s="1"/>
      <c r="N2612" s="1"/>
      <c r="O2612" s="1"/>
      <c r="P2612" s="1"/>
      <c r="Q2612" s="1"/>
      <c r="R2612" s="1"/>
    </row>
    <row r="2613" spans="1:18" x14ac:dyDescent="0.3">
      <c r="A2613" s="1"/>
      <c r="B2613" s="1"/>
      <c r="C2613" s="1"/>
      <c r="G2613" s="1"/>
      <c r="H2613" s="1"/>
      <c r="I2613" s="1"/>
      <c r="J2613" s="1"/>
      <c r="K2613" s="1"/>
      <c r="L2613" s="1"/>
      <c r="M2613" s="1"/>
      <c r="N2613" s="1"/>
      <c r="O2613" s="1"/>
      <c r="P2613" s="1"/>
      <c r="Q2613" s="1"/>
      <c r="R2613" s="1"/>
    </row>
    <row r="2614" spans="1:18" x14ac:dyDescent="0.3">
      <c r="A2614" s="1"/>
      <c r="B2614" s="1"/>
      <c r="C2614" s="1"/>
      <c r="G2614" s="1"/>
      <c r="H2614" s="1"/>
      <c r="I2614" s="1"/>
      <c r="J2614" s="1"/>
      <c r="K2614" s="1"/>
      <c r="L2614" s="1"/>
      <c r="M2614" s="1"/>
      <c r="N2614" s="1"/>
      <c r="O2614" s="1"/>
      <c r="P2614" s="1"/>
      <c r="Q2614" s="1"/>
      <c r="R2614" s="1"/>
    </row>
    <row r="2615" spans="1:18" x14ac:dyDescent="0.3">
      <c r="A2615" s="1"/>
      <c r="B2615" s="1"/>
      <c r="C2615" s="1"/>
      <c r="G2615" s="1"/>
      <c r="H2615" s="1"/>
      <c r="I2615" s="1"/>
      <c r="J2615" s="1"/>
      <c r="K2615" s="1"/>
      <c r="L2615" s="1"/>
      <c r="M2615" s="1"/>
      <c r="N2615" s="1"/>
      <c r="O2615" s="1"/>
      <c r="P2615" s="1"/>
      <c r="Q2615" s="1"/>
      <c r="R2615" s="1"/>
    </row>
    <row r="2616" spans="1:18" x14ac:dyDescent="0.3">
      <c r="A2616" s="1"/>
      <c r="B2616" s="1"/>
      <c r="C2616" s="1"/>
      <c r="G2616" s="1"/>
      <c r="H2616" s="1"/>
      <c r="I2616" s="1"/>
      <c r="J2616" s="1"/>
      <c r="K2616" s="1"/>
      <c r="L2616" s="1"/>
      <c r="M2616" s="1"/>
      <c r="N2616" s="1"/>
      <c r="O2616" s="1"/>
      <c r="P2616" s="1"/>
      <c r="Q2616" s="1"/>
      <c r="R2616" s="1"/>
    </row>
    <row r="2617" spans="1:18" x14ac:dyDescent="0.3">
      <c r="A2617" s="1"/>
      <c r="B2617" s="1"/>
      <c r="C2617" s="1"/>
      <c r="G2617" s="1"/>
      <c r="H2617" s="1"/>
      <c r="I2617" s="1"/>
      <c r="J2617" s="1"/>
      <c r="K2617" s="1"/>
      <c r="L2617" s="1"/>
      <c r="M2617" s="1"/>
      <c r="N2617" s="1"/>
      <c r="O2617" s="1"/>
      <c r="P2617" s="1"/>
      <c r="Q2617" s="1"/>
      <c r="R2617" s="1"/>
    </row>
    <row r="2618" spans="1:18" x14ac:dyDescent="0.3">
      <c r="A2618" s="1"/>
      <c r="B2618" s="1"/>
      <c r="C2618" s="1"/>
      <c r="G2618" s="1"/>
      <c r="H2618" s="1"/>
      <c r="I2618" s="1"/>
      <c r="J2618" s="1"/>
      <c r="K2618" s="1"/>
      <c r="L2618" s="1"/>
      <c r="M2618" s="1"/>
      <c r="N2618" s="1"/>
      <c r="O2618" s="1"/>
      <c r="P2618" s="1"/>
      <c r="Q2618" s="1"/>
      <c r="R2618" s="1"/>
    </row>
    <row r="2619" spans="1:18" x14ac:dyDescent="0.3">
      <c r="A2619" s="1"/>
      <c r="B2619" s="1"/>
      <c r="C2619" s="1"/>
      <c r="G2619" s="1"/>
      <c r="H2619" s="1"/>
      <c r="I2619" s="1"/>
      <c r="J2619" s="1"/>
      <c r="K2619" s="1"/>
      <c r="L2619" s="1"/>
      <c r="M2619" s="1"/>
    </row>
    <row r="2620" spans="1:18" x14ac:dyDescent="0.3">
      <c r="A2620" s="1"/>
      <c r="B2620" s="1"/>
      <c r="C2620" s="1"/>
      <c r="G2620" s="1"/>
      <c r="H2620" s="1"/>
      <c r="I2620" s="1"/>
      <c r="J2620" s="1"/>
      <c r="K2620" s="1"/>
      <c r="L2620" s="1"/>
      <c r="M2620" s="1"/>
    </row>
    <row r="2621" spans="1:18" x14ac:dyDescent="0.3">
      <c r="A2621" s="1"/>
      <c r="B2621" s="1"/>
      <c r="C2621" s="1"/>
      <c r="G2621" s="1"/>
      <c r="H2621" s="1"/>
      <c r="I2621" s="1"/>
      <c r="J2621" s="1"/>
      <c r="K2621" s="1"/>
      <c r="L2621" s="1"/>
      <c r="M2621" s="1"/>
    </row>
  </sheetData>
  <sortState ref="A4:R2430">
    <sortCondition ref="C4:C2430"/>
    <sortCondition ref="D4:D2430"/>
    <sortCondition ref="E4:E2430"/>
    <sortCondition ref="B4:B2430"/>
    <sortCondition ref="I4:I2430"/>
    <sortCondition ref="A4:A2430"/>
  </sortState>
  <conditionalFormatting sqref="A1:A2 A2315 A2287:A2301 A2317:A2430 A4:A2259">
    <cfRule type="containsBlanks" dxfId="71" priority="71">
      <formula>LEN(TRIM(A1))=0</formula>
    </cfRule>
  </conditionalFormatting>
  <conditionalFormatting sqref="N1:N2 N2439:N1048576 N2287:N2430 N4:N2259">
    <cfRule type="cellIs" dxfId="70" priority="38" operator="equal">
      <formula>1</formula>
    </cfRule>
  </conditionalFormatting>
  <conditionalFormatting sqref="A3">
    <cfRule type="containsBlanks" dxfId="69" priority="33">
      <formula>LEN(TRIM(A3))=0</formula>
    </cfRule>
  </conditionalFormatting>
  <conditionalFormatting sqref="N3">
    <cfRule type="cellIs" dxfId="68" priority="32" operator="equal">
      <formula>1</formula>
    </cfRule>
  </conditionalFormatting>
  <conditionalFormatting sqref="A2302:A2314">
    <cfRule type="containsBlanks" dxfId="67" priority="25">
      <formula>LEN(TRIM(A2302))=0</formula>
    </cfRule>
  </conditionalFormatting>
  <conditionalFormatting sqref="A2316">
    <cfRule type="containsBlanks" dxfId="66" priority="23">
      <formula>LEN(TRIM(A2316))=0</formula>
    </cfRule>
  </conditionalFormatting>
  <conditionalFormatting sqref="A2260:A2269">
    <cfRule type="containsBlanks" dxfId="65" priority="19">
      <formula>LEN(TRIM(A2260))=0</formula>
    </cfRule>
  </conditionalFormatting>
  <conditionalFormatting sqref="N2260:N2269">
    <cfRule type="cellIs" dxfId="64" priority="18" operator="equal">
      <formula>1</formula>
    </cfRule>
  </conditionalFormatting>
  <conditionalFormatting sqref="A2270:A2271 A2283:A2286">
    <cfRule type="containsBlanks" dxfId="63" priority="15">
      <formula>LEN(TRIM(A2270))=0</formula>
    </cfRule>
  </conditionalFormatting>
  <conditionalFormatting sqref="N2270:N2271 N2283:N2286">
    <cfRule type="cellIs" dxfId="62" priority="14" operator="equal">
      <formula>1</formula>
    </cfRule>
  </conditionalFormatting>
  <conditionalFormatting sqref="A2273:A2282">
    <cfRule type="containsBlanks" dxfId="61" priority="9">
      <formula>LEN(TRIM(A2273))=0</formula>
    </cfRule>
  </conditionalFormatting>
  <conditionalFormatting sqref="N2273:N2282">
    <cfRule type="cellIs" dxfId="60" priority="8" operator="equal">
      <formula>1</formula>
    </cfRule>
  </conditionalFormatting>
  <conditionalFormatting sqref="B1:B2418 B2431:B1048576">
    <cfRule type="expression" dxfId="59" priority="6">
      <formula>O1&gt;0</formula>
    </cfRule>
  </conditionalFormatting>
  <conditionalFormatting sqref="A2272">
    <cfRule type="containsBlanks" dxfId="58" priority="5">
      <formula>LEN(TRIM(A2272))=0</formula>
    </cfRule>
  </conditionalFormatting>
  <conditionalFormatting sqref="N2272">
    <cfRule type="cellIs" dxfId="57" priority="4" operator="equal">
      <formula>1</formula>
    </cfRule>
  </conditionalFormatting>
  <conditionalFormatting sqref="E1:E245 E247:E251 E253:E464 E466:E662 E664:E674 E677:E709 E711:E714 E716:E737 E739:E957 E959:E980 E982:E1005 E1007:E1025 E1027:E1139 E1141:E1238 E1240:E1352 E1354:E1391 E1393:E1399 E1401:E1470 E1472 E1474:E1558 E1560:E1746 E1748:E1789 E1791:E1846 E1848:E1867 E1869:E1945 E1947:E1952 E1954:E2015 E2017:E1048543">
    <cfRule type="expression" dxfId="56" priority="1">
      <formula>E1=E2</formula>
    </cfRule>
  </conditionalFormatting>
  <conditionalFormatting sqref="E1048544:E1048576">
    <cfRule type="expression" dxfId="55" priority="81">
      <formula>E1048544=E1</formula>
    </cfRule>
  </conditionalFormatting>
  <conditionalFormatting sqref="E246 E252 E465 E663 E675:E676 E710 E715 E738 E958 E981 E1006 E1026 E1140 E1239 E1353 E1392 E1400 E1471 E1473 E1559 E1747 E1790 E1847 E1868 E1946 E1953 E2016">
    <cfRule type="expression" dxfId="54" priority="83">
      <formula>E246=#REF!</formula>
    </cfRule>
  </conditionalFormatting>
  <pageMargins left="0.7" right="0.7" top="0.75" bottom="0.75" header="0.3" footer="0.3"/>
  <pageSetup orientation="landscape" horizontalDpi="75" verticalDpi="7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26"/>
  <sheetViews>
    <sheetView topLeftCell="D1" zoomScale="200" zoomScaleNormal="200" workbookViewId="0">
      <selection activeCell="J2" sqref="J2"/>
    </sheetView>
  </sheetViews>
  <sheetFormatPr defaultRowHeight="12" x14ac:dyDescent="0.3"/>
  <cols>
    <col min="1" max="1" width="19.77734375" customWidth="1"/>
    <col min="2" max="2" width="4.109375" customWidth="1"/>
    <col min="3" max="3" width="30.33203125" customWidth="1"/>
    <col min="4" max="34" width="15.77734375" customWidth="1"/>
  </cols>
  <sheetData>
    <row r="1" spans="1:34" x14ac:dyDescent="0.3">
      <c r="A1" s="38"/>
      <c r="B1" s="38"/>
      <c r="D1" s="38" t="s">
        <v>2</v>
      </c>
      <c r="E1" s="38" t="s">
        <v>2602</v>
      </c>
      <c r="F1" s="39" t="s">
        <v>68</v>
      </c>
      <c r="G1" s="38" t="s">
        <v>2613</v>
      </c>
      <c r="H1" s="38" t="s">
        <v>1</v>
      </c>
      <c r="I1" s="39" t="s">
        <v>1018</v>
      </c>
      <c r="J1" s="38" t="s">
        <v>2603</v>
      </c>
      <c r="K1" s="39" t="s">
        <v>1684</v>
      </c>
      <c r="L1" s="38" t="s">
        <v>143</v>
      </c>
      <c r="M1" s="38" t="s">
        <v>8</v>
      </c>
      <c r="N1" s="38" t="s">
        <v>2905</v>
      </c>
      <c r="O1" s="39" t="s">
        <v>922</v>
      </c>
      <c r="P1" s="38" t="s">
        <v>930</v>
      </c>
      <c r="Q1" s="38" t="s">
        <v>6</v>
      </c>
      <c r="R1" s="38" t="s">
        <v>2840</v>
      </c>
      <c r="S1" s="38" t="s">
        <v>0</v>
      </c>
      <c r="T1" s="38" t="s">
        <v>2612</v>
      </c>
      <c r="U1" s="38" t="s">
        <v>5</v>
      </c>
      <c r="V1" s="38" t="s">
        <v>1856</v>
      </c>
      <c r="W1" s="38" t="s">
        <v>149</v>
      </c>
      <c r="X1" s="38" t="s">
        <v>2672</v>
      </c>
      <c r="Y1" s="38" t="s">
        <v>921</v>
      </c>
      <c r="Z1" s="38" t="s">
        <v>923</v>
      </c>
      <c r="AA1" s="38" t="s">
        <v>2605</v>
      </c>
      <c r="AB1" s="38"/>
      <c r="AC1" s="38"/>
      <c r="AD1" s="38"/>
      <c r="AE1" s="38"/>
      <c r="AF1" s="38"/>
      <c r="AG1" s="38"/>
      <c r="AH1" s="38"/>
    </row>
    <row r="2" spans="1:34" x14ac:dyDescent="0.3">
      <c r="A2" s="38" t="s">
        <v>2</v>
      </c>
      <c r="B2" s="38">
        <f>COUNTIF(tropes!$C$4:$C$2430,Sheet3!A2)</f>
        <v>43</v>
      </c>
      <c r="D2" t="s">
        <v>2842</v>
      </c>
      <c r="E2" s="1" t="s">
        <v>2759</v>
      </c>
      <c r="F2" s="21" t="s">
        <v>2</v>
      </c>
      <c r="G2" s="21" t="s">
        <v>2621</v>
      </c>
      <c r="H2" s="1" t="s">
        <v>2729</v>
      </c>
      <c r="I2" s="1" t="s">
        <v>2224</v>
      </c>
      <c r="J2" s="1" t="s">
        <v>2622</v>
      </c>
      <c r="K2" s="38" t="s">
        <v>2966</v>
      </c>
      <c r="M2" s="38"/>
      <c r="O2" s="38"/>
      <c r="P2" s="38"/>
      <c r="Q2" s="38"/>
      <c r="R2" s="38"/>
      <c r="S2" s="38"/>
      <c r="T2" s="38"/>
      <c r="U2" s="38"/>
      <c r="V2" s="38"/>
      <c r="W2" s="38"/>
      <c r="X2" s="38"/>
      <c r="Y2" s="38"/>
      <c r="Z2" s="38"/>
      <c r="AA2" s="38"/>
      <c r="AB2" s="38"/>
      <c r="AC2" s="38"/>
      <c r="AD2" s="38"/>
      <c r="AE2" s="38"/>
      <c r="AF2" s="38"/>
      <c r="AG2" s="38"/>
      <c r="AH2" s="38"/>
    </row>
    <row r="3" spans="1:34" x14ac:dyDescent="0.3">
      <c r="A3" s="38" t="s">
        <v>2602</v>
      </c>
      <c r="B3" s="38">
        <f>COUNTIF(tropes!$C$4:$C$2430,Sheet3!A3)</f>
        <v>170</v>
      </c>
      <c r="D3" t="s">
        <v>2845</v>
      </c>
      <c r="E3" s="21" t="s">
        <v>2625</v>
      </c>
      <c r="F3" s="1" t="s">
        <v>46</v>
      </c>
      <c r="G3" s="1" t="s">
        <v>2660</v>
      </c>
      <c r="H3" s="21" t="s">
        <v>2762</v>
      </c>
      <c r="I3" s="21" t="s">
        <v>4</v>
      </c>
      <c r="J3" s="1" t="s">
        <v>2667</v>
      </c>
      <c r="K3" s="38"/>
      <c r="M3" s="38"/>
      <c r="O3" s="38"/>
      <c r="P3" s="38"/>
      <c r="Q3" s="38"/>
      <c r="R3" s="38"/>
      <c r="S3" s="38"/>
      <c r="T3" s="38"/>
      <c r="U3" s="38"/>
      <c r="V3" s="38"/>
      <c r="W3" s="38"/>
      <c r="X3" s="38"/>
      <c r="Y3" s="38"/>
      <c r="Z3" s="38"/>
      <c r="AA3" s="38"/>
      <c r="AB3" s="38"/>
      <c r="AC3" s="38"/>
      <c r="AD3" s="38"/>
      <c r="AE3" s="38"/>
      <c r="AF3" s="38"/>
      <c r="AG3" s="38"/>
      <c r="AH3" s="38"/>
    </row>
    <row r="4" spans="1:34" x14ac:dyDescent="0.3">
      <c r="A4" s="38" t="s">
        <v>68</v>
      </c>
      <c r="B4" s="38">
        <f>COUNTIF(tropes!$C$4:$C$2430,Sheet3!A4)</f>
        <v>94</v>
      </c>
      <c r="D4" t="s">
        <v>2843</v>
      </c>
      <c r="E4" s="21" t="s">
        <v>2348</v>
      </c>
      <c r="F4" s="1" t="s">
        <v>2284</v>
      </c>
      <c r="G4" s="1" t="s">
        <v>2626</v>
      </c>
      <c r="H4" s="1" t="s">
        <v>2898</v>
      </c>
      <c r="I4" s="1" t="s">
        <v>60</v>
      </c>
      <c r="J4" s="21" t="s">
        <v>2668</v>
      </c>
      <c r="K4" s="38"/>
      <c r="M4" s="38"/>
      <c r="O4" s="38"/>
      <c r="P4" s="38"/>
      <c r="Q4" s="38"/>
      <c r="R4" s="38"/>
      <c r="S4" s="38"/>
      <c r="T4" s="38"/>
      <c r="U4" s="38"/>
      <c r="V4" s="38"/>
      <c r="W4" s="38"/>
      <c r="X4" s="38"/>
      <c r="Y4" s="38"/>
      <c r="Z4" s="38"/>
      <c r="AA4" s="38"/>
      <c r="AB4" s="38"/>
      <c r="AC4" s="38"/>
      <c r="AD4" s="38"/>
      <c r="AE4" s="38"/>
      <c r="AF4" s="38"/>
      <c r="AG4" s="38"/>
      <c r="AH4" s="38"/>
    </row>
    <row r="5" spans="1:34" x14ac:dyDescent="0.3">
      <c r="A5" s="38" t="s">
        <v>2613</v>
      </c>
      <c r="B5" s="38">
        <f>COUNTIF(tropes!$C$4:$C$2430,Sheet3!A5)</f>
        <v>167</v>
      </c>
      <c r="D5" t="s">
        <v>2895</v>
      </c>
      <c r="E5" s="1" t="s">
        <v>2352</v>
      </c>
      <c r="F5" s="1" t="s">
        <v>2255</v>
      </c>
      <c r="G5" s="38" t="s">
        <v>2761</v>
      </c>
      <c r="H5" s="1" t="s">
        <v>2730</v>
      </c>
      <c r="I5" s="21" t="s">
        <v>8</v>
      </c>
      <c r="J5" s="1" t="s">
        <v>2669</v>
      </c>
      <c r="K5" s="38"/>
      <c r="M5" s="38"/>
      <c r="O5" s="38"/>
      <c r="P5" s="38"/>
      <c r="Q5" s="38"/>
      <c r="R5" s="38"/>
      <c r="S5" s="38"/>
      <c r="T5" s="38"/>
      <c r="U5" s="38"/>
      <c r="V5" s="38"/>
      <c r="W5" s="38"/>
      <c r="X5" s="38"/>
      <c r="Y5" s="38"/>
      <c r="Z5" s="38"/>
      <c r="AA5" s="38"/>
      <c r="AB5" s="38"/>
      <c r="AC5" s="38"/>
      <c r="AD5" s="38"/>
      <c r="AE5" s="38"/>
      <c r="AF5" s="38"/>
      <c r="AG5" s="38"/>
      <c r="AH5" s="38"/>
    </row>
    <row r="6" spans="1:34" x14ac:dyDescent="0.3">
      <c r="A6" s="38" t="s">
        <v>1</v>
      </c>
      <c r="B6" s="38">
        <f>COUNTIF(tropes!$C$4:$C$2430,Sheet3!A6)</f>
        <v>130</v>
      </c>
      <c r="D6" t="s">
        <v>2844</v>
      </c>
      <c r="E6" s="21" t="s">
        <v>2619</v>
      </c>
      <c r="F6" s="1" t="s">
        <v>56</v>
      </c>
      <c r="G6" s="38"/>
      <c r="H6" s="21" t="s">
        <v>2731</v>
      </c>
      <c r="I6" s="21" t="s">
        <v>2237</v>
      </c>
      <c r="J6" s="38"/>
      <c r="K6" s="38"/>
      <c r="M6" s="38"/>
      <c r="O6" s="38"/>
      <c r="P6" s="38"/>
      <c r="Q6" s="38"/>
      <c r="R6" s="38"/>
      <c r="S6" s="38"/>
      <c r="T6" s="38"/>
      <c r="U6" s="38"/>
      <c r="V6" s="38"/>
      <c r="W6" s="38"/>
      <c r="X6" s="38"/>
      <c r="Y6" s="38"/>
      <c r="Z6" s="38"/>
      <c r="AA6" s="38"/>
      <c r="AB6" s="38"/>
      <c r="AC6" s="38"/>
      <c r="AD6" s="38"/>
      <c r="AE6" s="38"/>
      <c r="AF6" s="38"/>
      <c r="AG6" s="38"/>
      <c r="AH6" s="38"/>
    </row>
    <row r="7" spans="1:34" x14ac:dyDescent="0.3">
      <c r="A7" s="38" t="s">
        <v>1018</v>
      </c>
      <c r="B7" s="38">
        <f>COUNTIF(tropes!$C$4:$C$2430,Sheet3!A7)</f>
        <v>163</v>
      </c>
      <c r="D7" t="s">
        <v>2841</v>
      </c>
      <c r="E7" s="21" t="s">
        <v>2614</v>
      </c>
      <c r="F7" s="21" t="s">
        <v>2285</v>
      </c>
      <c r="G7" s="38"/>
      <c r="H7" s="21" t="s">
        <v>2899</v>
      </c>
      <c r="I7" s="21" t="s">
        <v>2320</v>
      </c>
      <c r="J7" s="38"/>
      <c r="K7" s="38"/>
      <c r="M7" s="38"/>
      <c r="O7" s="38"/>
      <c r="P7" s="38"/>
      <c r="Q7" s="38"/>
      <c r="R7" s="38"/>
      <c r="S7" s="38"/>
      <c r="T7" s="38"/>
      <c r="U7" s="38"/>
      <c r="V7" s="38"/>
      <c r="W7" s="38"/>
      <c r="X7" s="38"/>
      <c r="Y7" s="38"/>
      <c r="Z7" s="38"/>
      <c r="AA7" s="38"/>
      <c r="AB7" s="38"/>
      <c r="AC7" s="38"/>
      <c r="AD7" s="38"/>
      <c r="AE7" s="38"/>
      <c r="AF7" s="38"/>
      <c r="AG7" s="38"/>
      <c r="AH7" s="38"/>
    </row>
    <row r="8" spans="1:34" x14ac:dyDescent="0.3">
      <c r="A8" s="38" t="s">
        <v>2603</v>
      </c>
      <c r="B8" s="38">
        <f>COUNTIF(tropes!$C$4:$C$2430,Sheet3!A8)</f>
        <v>60</v>
      </c>
      <c r="D8" t="s">
        <v>2345</v>
      </c>
      <c r="E8" s="1" t="s">
        <v>2758</v>
      </c>
      <c r="F8" s="1" t="s">
        <v>2224</v>
      </c>
      <c r="G8" s="38"/>
      <c r="H8" s="1" t="s">
        <v>2704</v>
      </c>
      <c r="I8" s="21" t="s">
        <v>2250</v>
      </c>
      <c r="J8" s="38"/>
      <c r="K8" s="38"/>
      <c r="M8" s="38"/>
      <c r="O8" s="38"/>
      <c r="P8" s="38"/>
      <c r="Q8" s="38"/>
      <c r="R8" s="38"/>
      <c r="S8" s="38"/>
      <c r="T8" s="38"/>
      <c r="U8" s="38"/>
      <c r="V8" s="38"/>
      <c r="W8" s="38"/>
      <c r="X8" s="38"/>
      <c r="Y8" s="38"/>
      <c r="Z8" s="38"/>
      <c r="AA8" s="38"/>
      <c r="AB8" s="38"/>
      <c r="AC8" s="38"/>
      <c r="AD8" s="38"/>
      <c r="AE8" s="38"/>
      <c r="AF8" s="38"/>
      <c r="AG8" s="38"/>
      <c r="AH8" s="38"/>
    </row>
    <row r="9" spans="1:34" x14ac:dyDescent="0.3">
      <c r="A9" s="38" t="s">
        <v>1684</v>
      </c>
      <c r="B9" s="38">
        <f>COUNTIF(tropes!$C$4:$C$2430,Sheet3!A9)</f>
        <v>159</v>
      </c>
      <c r="E9" s="1" t="s">
        <v>2760</v>
      </c>
      <c r="F9" s="1" t="s">
        <v>60</v>
      </c>
      <c r="G9" s="38"/>
      <c r="H9" s="1" t="s">
        <v>1</v>
      </c>
      <c r="I9" s="21" t="s">
        <v>2231</v>
      </c>
      <c r="J9" s="38"/>
      <c r="K9" s="38"/>
      <c r="M9" s="38"/>
      <c r="O9" s="38"/>
      <c r="P9" s="38"/>
      <c r="Q9" s="38"/>
      <c r="R9" s="38"/>
      <c r="S9" s="38"/>
      <c r="T9" s="38"/>
      <c r="U9" s="38"/>
      <c r="V9" s="38"/>
      <c r="W9" s="38"/>
      <c r="X9" s="38"/>
      <c r="Y9" s="38"/>
      <c r="Z9" s="38"/>
      <c r="AA9" s="38"/>
      <c r="AB9" s="38"/>
      <c r="AC9" s="38"/>
      <c r="AD9" s="38"/>
      <c r="AE9" s="38"/>
      <c r="AF9" s="38"/>
      <c r="AG9" s="38"/>
      <c r="AH9" s="38"/>
    </row>
    <row r="10" spans="1:34" x14ac:dyDescent="0.3">
      <c r="A10" s="38" t="s">
        <v>143</v>
      </c>
      <c r="B10" s="38">
        <f>COUNTIF(tropes!$C$4:$C$2430,Sheet3!A10)</f>
        <v>84</v>
      </c>
      <c r="E10" s="1" t="s">
        <v>2615</v>
      </c>
      <c r="F10" s="21" t="s">
        <v>8</v>
      </c>
      <c r="G10" s="38"/>
      <c r="H10" s="1" t="s">
        <v>2763</v>
      </c>
      <c r="I10" s="1" t="s">
        <v>45</v>
      </c>
      <c r="J10" s="38"/>
      <c r="K10" s="38"/>
      <c r="M10" s="38"/>
      <c r="O10" s="38"/>
      <c r="P10" s="38"/>
      <c r="Q10" s="38"/>
      <c r="R10" s="38"/>
      <c r="S10" s="38"/>
      <c r="T10" s="38"/>
      <c r="U10" s="38"/>
      <c r="V10" s="38"/>
      <c r="W10" s="38"/>
      <c r="X10" s="38"/>
      <c r="Y10" s="38"/>
      <c r="Z10" s="38"/>
      <c r="AA10" s="38"/>
      <c r="AB10" s="38"/>
      <c r="AC10" s="38"/>
      <c r="AD10" s="38"/>
      <c r="AE10" s="38"/>
      <c r="AF10" s="38"/>
      <c r="AG10" s="38"/>
      <c r="AH10" s="38"/>
    </row>
    <row r="11" spans="1:34" x14ac:dyDescent="0.3">
      <c r="A11" s="38" t="s">
        <v>2905</v>
      </c>
      <c r="B11" s="38">
        <f>COUNTIF(tropes!$C$4:$C$2430,Sheet3!A11)</f>
        <v>101</v>
      </c>
      <c r="E11" s="1" t="s">
        <v>2924</v>
      </c>
      <c r="F11" s="21" t="s">
        <v>45</v>
      </c>
      <c r="G11" s="38"/>
      <c r="H11" s="1" t="s">
        <v>2697</v>
      </c>
      <c r="I11" s="1" t="s">
        <v>2228</v>
      </c>
      <c r="J11" s="38"/>
      <c r="K11" s="38"/>
      <c r="M11" s="38"/>
      <c r="N11" s="38"/>
      <c r="O11" s="38"/>
      <c r="P11" s="38"/>
      <c r="Q11" s="38"/>
      <c r="R11" s="38"/>
      <c r="S11" s="38"/>
      <c r="T11" s="38"/>
      <c r="U11" s="38"/>
      <c r="V11" s="38"/>
      <c r="W11" s="38"/>
      <c r="X11" s="38"/>
      <c r="Y11" s="38"/>
      <c r="Z11" s="38"/>
      <c r="AA11" s="38"/>
      <c r="AB11" s="38"/>
      <c r="AC11" s="38"/>
      <c r="AD11" s="38"/>
      <c r="AE11" s="38"/>
      <c r="AF11" s="38"/>
      <c r="AG11" s="38"/>
      <c r="AH11" s="38"/>
    </row>
    <row r="12" spans="1:34" x14ac:dyDescent="0.3">
      <c r="A12" s="38" t="s">
        <v>922</v>
      </c>
      <c r="B12" s="38">
        <f>COUNTIF(tropes!$C$4:$C$2430,Sheet3!A12)</f>
        <v>154</v>
      </c>
      <c r="E12" s="1" t="s">
        <v>2896</v>
      </c>
      <c r="F12" s="1" t="s">
        <v>146</v>
      </c>
      <c r="G12" s="38"/>
      <c r="H12" s="21" t="s">
        <v>2705</v>
      </c>
      <c r="I12" s="21" t="s">
        <v>6</v>
      </c>
      <c r="J12" s="38"/>
      <c r="K12" s="38"/>
      <c r="M12" s="38"/>
      <c r="N12" s="38"/>
      <c r="O12" s="38"/>
      <c r="P12" s="38"/>
      <c r="Q12" s="38"/>
      <c r="R12" s="38"/>
      <c r="S12" s="38"/>
      <c r="T12" s="38"/>
      <c r="U12" s="38"/>
      <c r="V12" s="38"/>
      <c r="W12" s="38"/>
      <c r="X12" s="38"/>
      <c r="Y12" s="38"/>
      <c r="Z12" s="38"/>
      <c r="AA12" s="38"/>
      <c r="AB12" s="38"/>
      <c r="AC12" s="38"/>
      <c r="AD12" s="38"/>
      <c r="AE12" s="38"/>
      <c r="AF12" s="38"/>
      <c r="AG12" s="38"/>
      <c r="AH12" s="38"/>
    </row>
    <row r="13" spans="1:34" x14ac:dyDescent="0.3">
      <c r="A13" s="38" t="s">
        <v>930</v>
      </c>
      <c r="B13" s="38">
        <f>COUNTIF(tropes!$C$4:$C$2430,Sheet3!A13)</f>
        <v>101</v>
      </c>
      <c r="E13" s="21" t="s">
        <v>42</v>
      </c>
      <c r="F13" s="1" t="s">
        <v>2228</v>
      </c>
      <c r="G13" s="38"/>
      <c r="H13" s="21" t="s">
        <v>2732</v>
      </c>
      <c r="I13" s="21" t="s">
        <v>5</v>
      </c>
      <c r="J13" s="38"/>
      <c r="K13" s="38"/>
      <c r="M13" s="38"/>
      <c r="N13" s="38"/>
      <c r="O13" s="38"/>
      <c r="P13" s="38"/>
      <c r="Q13" s="38"/>
      <c r="R13" s="38"/>
      <c r="S13" s="38"/>
      <c r="T13" s="38"/>
      <c r="U13" s="38"/>
      <c r="V13" s="38"/>
      <c r="W13" s="38"/>
      <c r="X13" s="38"/>
      <c r="Y13" s="38"/>
      <c r="Z13" s="38"/>
      <c r="AA13" s="38"/>
      <c r="AB13" s="38"/>
      <c r="AC13" s="38"/>
      <c r="AD13" s="38"/>
      <c r="AE13" s="38"/>
      <c r="AF13" s="38"/>
      <c r="AG13" s="38"/>
      <c r="AH13" s="38"/>
    </row>
    <row r="14" spans="1:34" x14ac:dyDescent="0.3">
      <c r="A14" s="38" t="s">
        <v>2840</v>
      </c>
      <c r="B14" s="38">
        <f>COUNTIF(tropes!$C$4:$C$2430,Sheet3!A14)</f>
        <v>149</v>
      </c>
      <c r="E14" s="1" t="s">
        <v>2624</v>
      </c>
      <c r="F14" s="1" t="s">
        <v>1867</v>
      </c>
      <c r="G14" s="38"/>
      <c r="H14" s="1" t="s">
        <v>2906</v>
      </c>
      <c r="I14" s="21" t="s">
        <v>1861</v>
      </c>
      <c r="J14" s="38"/>
      <c r="K14" s="38"/>
      <c r="M14" s="38"/>
      <c r="N14" s="38"/>
      <c r="O14" s="38"/>
      <c r="P14" s="38"/>
      <c r="Q14" s="38"/>
      <c r="R14" s="38"/>
      <c r="S14" s="38"/>
      <c r="T14" s="38"/>
      <c r="U14" s="38"/>
      <c r="V14" s="38"/>
      <c r="W14" s="38"/>
      <c r="X14" s="38"/>
      <c r="Y14" s="38"/>
      <c r="Z14" s="38"/>
      <c r="AA14" s="38"/>
      <c r="AB14" s="38"/>
      <c r="AC14" s="38"/>
      <c r="AD14" s="38"/>
      <c r="AE14" s="38"/>
      <c r="AF14" s="38"/>
      <c r="AG14" s="38"/>
      <c r="AH14" s="38"/>
    </row>
    <row r="15" spans="1:34" x14ac:dyDescent="0.3">
      <c r="A15" s="38" t="s">
        <v>0</v>
      </c>
      <c r="B15" s="38">
        <f>COUNTIF(tropes!$C$4:$C$2430,Sheet3!A15)</f>
        <v>198</v>
      </c>
      <c r="E15" s="1" t="s">
        <v>5</v>
      </c>
      <c r="G15" s="38"/>
      <c r="H15" s="1" t="s">
        <v>2698</v>
      </c>
      <c r="I15" s="21" t="s">
        <v>1863</v>
      </c>
      <c r="J15" s="38"/>
      <c r="K15" s="38"/>
      <c r="M15" s="38"/>
      <c r="N15" s="38"/>
      <c r="O15" s="38"/>
      <c r="P15" s="38"/>
      <c r="Q15" s="38"/>
      <c r="R15" s="38"/>
      <c r="S15" s="38"/>
      <c r="T15" s="38"/>
      <c r="U15" s="38"/>
      <c r="V15" s="38"/>
      <c r="W15" s="38"/>
      <c r="X15" s="38"/>
      <c r="Y15" s="38"/>
      <c r="Z15" s="38"/>
      <c r="AA15" s="38"/>
      <c r="AB15" s="38"/>
      <c r="AC15" s="38"/>
      <c r="AD15" s="38"/>
      <c r="AE15" s="38"/>
      <c r="AF15" s="38"/>
      <c r="AG15" s="38"/>
      <c r="AH15" s="38"/>
    </row>
    <row r="16" spans="1:34" x14ac:dyDescent="0.3">
      <c r="A16" s="38" t="s">
        <v>2612</v>
      </c>
      <c r="B16" s="38">
        <f>COUNTIF(tropes!$C$4:$C$2430,Sheet3!A16)</f>
        <v>39</v>
      </c>
      <c r="D16" s="13"/>
      <c r="E16" s="21" t="s">
        <v>2707</v>
      </c>
      <c r="G16" s="38"/>
      <c r="H16" s="21" t="s">
        <v>2764</v>
      </c>
      <c r="I16" s="1" t="s">
        <v>2225</v>
      </c>
      <c r="J16" s="38"/>
      <c r="K16" s="38"/>
      <c r="M16" s="38"/>
      <c r="N16" s="38"/>
      <c r="O16" s="38"/>
      <c r="P16" s="38"/>
      <c r="Q16" s="38"/>
      <c r="R16" s="38"/>
      <c r="S16" s="38"/>
      <c r="T16" s="38"/>
      <c r="U16" s="38"/>
      <c r="V16" s="38"/>
      <c r="W16" s="38"/>
      <c r="X16" s="38"/>
      <c r="Y16" s="38"/>
      <c r="Z16" s="38"/>
      <c r="AA16" s="38"/>
      <c r="AB16" s="38"/>
      <c r="AC16" s="38"/>
      <c r="AD16" s="38"/>
      <c r="AE16" s="38"/>
      <c r="AF16" s="38"/>
      <c r="AG16" s="38"/>
      <c r="AH16" s="38"/>
    </row>
    <row r="17" spans="1:34" x14ac:dyDescent="0.3">
      <c r="A17" s="38" t="s">
        <v>149</v>
      </c>
      <c r="B17" s="38">
        <f>COUNTIF(tropes!$C$4:$C$2430,Sheet3!A17)</f>
        <v>147</v>
      </c>
      <c r="D17" s="38"/>
      <c r="E17" s="1" t="s">
        <v>2897</v>
      </c>
      <c r="G17" s="38"/>
      <c r="H17" s="1" t="s">
        <v>2228</v>
      </c>
      <c r="I17" s="38"/>
      <c r="J17" s="38"/>
      <c r="K17" s="37"/>
      <c r="M17" s="37"/>
      <c r="N17" s="37"/>
      <c r="O17" s="37"/>
      <c r="P17" s="37"/>
      <c r="Q17" s="37"/>
      <c r="R17" s="37"/>
      <c r="S17" s="37"/>
      <c r="T17" s="38"/>
      <c r="U17" s="38"/>
      <c r="V17" s="38"/>
      <c r="W17" s="38"/>
      <c r="X17" s="38"/>
      <c r="Y17" s="38"/>
      <c r="Z17" s="38"/>
      <c r="AA17" s="38"/>
      <c r="AB17" s="38"/>
      <c r="AC17" s="38"/>
      <c r="AD17" s="38"/>
      <c r="AE17" s="38"/>
      <c r="AF17" s="38"/>
      <c r="AG17" s="38"/>
      <c r="AH17" s="38"/>
    </row>
    <row r="18" spans="1:34" x14ac:dyDescent="0.3">
      <c r="A18" s="38" t="s">
        <v>2672</v>
      </c>
      <c r="B18" s="38">
        <f>COUNTIF(tropes!$C$4:$C$2430,Sheet3!A18)</f>
        <v>94</v>
      </c>
      <c r="D18" s="38"/>
      <c r="E18" s="1" t="s">
        <v>2616</v>
      </c>
      <c r="G18" s="38"/>
      <c r="H18" s="21" t="s">
        <v>2733</v>
      </c>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row>
    <row r="19" spans="1:34" x14ac:dyDescent="0.3">
      <c r="A19" s="38" t="s">
        <v>921</v>
      </c>
      <c r="B19" s="38">
        <f>COUNTIF(tropes!$C$4:$C$2430,Sheet3!A19)</f>
        <v>102</v>
      </c>
      <c r="D19" s="38"/>
      <c r="E19" s="38"/>
      <c r="G19" s="38"/>
      <c r="H19" s="1" t="s">
        <v>2839</v>
      </c>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row>
    <row r="20" spans="1:34" x14ac:dyDescent="0.3">
      <c r="A20" s="38" t="s">
        <v>923</v>
      </c>
      <c r="B20" s="38">
        <f>COUNTIF(tropes!$C$4:$C$2430,Sheet3!A20)</f>
        <v>64</v>
      </c>
      <c r="D20" s="38"/>
      <c r="E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row>
    <row r="21" spans="1:34" x14ac:dyDescent="0.3">
      <c r="A21" s="38" t="s">
        <v>2605</v>
      </c>
      <c r="B21" s="38">
        <f>COUNTIF(tropes!$C$4:$C$2430,Sheet3!A21)</f>
        <v>124</v>
      </c>
      <c r="D21" s="38"/>
      <c r="E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row>
    <row r="22" spans="1:34" x14ac:dyDescent="0.3">
      <c r="D22" s="38"/>
      <c r="E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row>
    <row r="23" spans="1:34" x14ac:dyDescent="0.3">
      <c r="D23" s="38"/>
      <c r="E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row>
    <row r="24" spans="1:34" x14ac:dyDescent="0.3">
      <c r="D24" s="38"/>
      <c r="E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row>
    <row r="25" spans="1:34" x14ac:dyDescent="0.3">
      <c r="D25" s="38"/>
      <c r="E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row>
    <row r="26" spans="1:34" x14ac:dyDescent="0.3">
      <c r="D26" s="38"/>
      <c r="E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row>
  </sheetData>
  <sortState ref="F2:F14">
    <sortCondition ref="F2:F14"/>
  </sortState>
  <conditionalFormatting sqref="D16">
    <cfRule type="expression" dxfId="53" priority="1">
      <formula>P16&gt;0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755"/>
  <sheetViews>
    <sheetView topLeftCell="A35" zoomScaleNormal="100" workbookViewId="0">
      <selection sqref="A1:N85"/>
    </sheetView>
  </sheetViews>
  <sheetFormatPr defaultRowHeight="12" x14ac:dyDescent="0.3"/>
  <cols>
    <col min="1" max="1" width="8.109375" bestFit="1" customWidth="1"/>
    <col min="2" max="2" width="31.33203125" bestFit="1" customWidth="1"/>
    <col min="3" max="3" width="31.109375" customWidth="1"/>
    <col min="4" max="4" width="36.77734375" bestFit="1" customWidth="1"/>
    <col min="5" max="5" width="100.77734375" customWidth="1"/>
    <col min="6" max="6" width="9" bestFit="1" customWidth="1"/>
    <col min="7" max="7" width="8.33203125" bestFit="1" customWidth="1"/>
    <col min="8" max="8" width="7.6640625" bestFit="1" customWidth="1"/>
    <col min="9" max="9" width="8.77734375" bestFit="1" customWidth="1"/>
    <col min="10" max="10" width="8.44140625" bestFit="1" customWidth="1"/>
    <col min="11" max="11" width="31.44140625" bestFit="1" customWidth="1"/>
    <col min="12" max="13" width="4.77734375" bestFit="1" customWidth="1"/>
    <col min="14" max="14" width="18.109375" bestFit="1" customWidth="1"/>
  </cols>
  <sheetData>
    <row r="1" spans="1:14" x14ac:dyDescent="0.3">
      <c r="A1" s="5" t="s">
        <v>160</v>
      </c>
      <c r="B1" s="1" t="s">
        <v>3</v>
      </c>
      <c r="C1" s="1" t="s">
        <v>2601</v>
      </c>
      <c r="D1" s="1" t="s">
        <v>150</v>
      </c>
      <c r="E1" s="1" t="s">
        <v>164</v>
      </c>
      <c r="F1" s="1" t="s">
        <v>183</v>
      </c>
      <c r="G1" s="14" t="s">
        <v>744</v>
      </c>
      <c r="H1" s="14" t="s">
        <v>758</v>
      </c>
      <c r="I1" s="14" t="s">
        <v>161</v>
      </c>
      <c r="J1" s="15" t="s">
        <v>15</v>
      </c>
      <c r="K1" s="16" t="s">
        <v>16</v>
      </c>
      <c r="L1" s="16" t="s">
        <v>157</v>
      </c>
      <c r="M1" s="16" t="s">
        <v>158</v>
      </c>
      <c r="N1" s="14" t="s">
        <v>182</v>
      </c>
    </row>
    <row r="2" spans="1:14" x14ac:dyDescent="0.3">
      <c r="A2" s="14">
        <v>1767</v>
      </c>
      <c r="B2" s="5" t="str">
        <f>VLOOKUP($A2,tropes!$A$4:$O$2428,2,FALSE)</f>
        <v>Love Potion</v>
      </c>
      <c r="C2" s="5" t="str">
        <f>VLOOKUP($A2,tropes!$A$4:$O$2428,3,FALSE)</f>
        <v>love</v>
      </c>
      <c r="D2" s="5" t="str">
        <f>VLOOKUP($A2,tropes!$A$4:$O$2428,4,FALSE)</f>
        <v>additives</v>
      </c>
      <c r="E2" s="5" t="str">
        <f>VLOOKUP($A2,tropes!$A$4:$O$2428,5,FALSE)</f>
        <v>Venus Drug given to women by Harry Mudd. Makes all the males on board desire them.</v>
      </c>
      <c r="F2" s="5" t="str">
        <f>VLOOKUP($A2,tropes!$A$4:$O$2428,6,FALSE)</f>
        <v>mudd</v>
      </c>
      <c r="G2" s="5">
        <f>VLOOKUP($A2,tropes!$A$4:$O$2428,7,FALSE)</f>
        <v>0</v>
      </c>
      <c r="H2" s="5">
        <f>VLOOKUP($A2,tropes!$A$4:$O$2428,8,FALSE)</f>
        <v>0</v>
      </c>
      <c r="I2" s="5">
        <f>VLOOKUP($A2,tropes!$A$4:$O$2428,9,FALSE)</f>
        <v>106</v>
      </c>
      <c r="J2" s="5">
        <f>VLOOKUP($A2,tropes!$A$4:$O$2428,10,FALSE)</f>
        <v>7</v>
      </c>
      <c r="K2" s="5" t="str">
        <f>VLOOKUP($A2,tropes!$A$4:$O$2428,11,FALSE)</f>
        <v>Mudd's Women</v>
      </c>
      <c r="L2" s="5">
        <f>VLOOKUP($A2,tropes!$A$4:$O$2428,12,FALSE)</f>
        <v>1</v>
      </c>
      <c r="M2" s="5">
        <f>VLOOKUP($A2,tropes!$A$4:$O$2428,13,FALSE)</f>
        <v>6</v>
      </c>
      <c r="N2" s="5"/>
    </row>
    <row r="3" spans="1:14" x14ac:dyDescent="0.3">
      <c r="A3" s="14">
        <v>1809</v>
      </c>
      <c r="B3" s="5" t="str">
        <f>VLOOKUP($A3,tropes!$A$4:$O$2428,2,FALSE)</f>
        <v>Did You Just Romance Cthulhu?</v>
      </c>
      <c r="C3" s="5" t="str">
        <f>VLOOKUP($A3,tropes!$A$4:$O$2428,3,FALSE)</f>
        <v>love</v>
      </c>
      <c r="D3" s="5" t="str">
        <f>VLOOKUP($A3,tropes!$A$4:$O$2428,4,FALSE)</f>
        <v>cthulhu alien</v>
      </c>
      <c r="E3" s="5" t="str">
        <f>VLOOKUP($A3,tropes!$A$4:$O$2428,5,FALSE)</f>
        <v>Lt. Carolyn Palamas falls in love with a crazy god.</v>
      </c>
      <c r="F3" s="5" t="str">
        <f>VLOOKUP($A3,tropes!$A$4:$O$2428,6,FALSE)</f>
        <v>palamas</v>
      </c>
      <c r="G3" s="5">
        <f>VLOOKUP($A3,tropes!$A$4:$O$2428,7,FALSE)</f>
        <v>0</v>
      </c>
      <c r="H3" s="5">
        <f>VLOOKUP($A3,tropes!$A$4:$O$2428,8,FALSE)</f>
        <v>0</v>
      </c>
      <c r="I3" s="5">
        <f>VLOOKUP($A3,tropes!$A$4:$O$2428,9,FALSE)</f>
        <v>202</v>
      </c>
      <c r="J3" s="5">
        <f>VLOOKUP($A3,tropes!$A$4:$O$2428,10,FALSE)</f>
        <v>32</v>
      </c>
      <c r="K3" s="5" t="str">
        <f>VLOOKUP($A3,tropes!$A$4:$O$2428,11,FALSE)</f>
        <v>Who Mourns for Adonais?</v>
      </c>
      <c r="L3" s="5">
        <f>VLOOKUP($A3,tropes!$A$4:$O$2428,12,FALSE)</f>
        <v>2</v>
      </c>
      <c r="M3" s="5">
        <f>VLOOKUP($A3,tropes!$A$4:$O$2428,13,FALSE)</f>
        <v>2</v>
      </c>
      <c r="N3" s="5"/>
    </row>
    <row r="4" spans="1:14" x14ac:dyDescent="0.3">
      <c r="A4" s="14">
        <v>1673</v>
      </c>
      <c r="B4" s="5" t="str">
        <f>VLOOKUP($A4,tropes!$A$4:$O$2428,2,FALSE)</f>
        <v>Casanova Wannabe</v>
      </c>
      <c r="C4" s="5" t="str">
        <f>VLOOKUP($A4,tropes!$A$4:$O$2428,3,FALSE)</f>
        <v>love</v>
      </c>
      <c r="D4" s="5" t="str">
        <f>VLOOKUP($A4,tropes!$A$4:$O$2428,4,FALSE)</f>
        <v>flirt</v>
      </c>
      <c r="E4" s="5" t="str">
        <f>VLOOKUP($A4,tropes!$A$4:$O$2428,5,FALSE)</f>
        <v>McCoy flirts with Yeoman Barrows the entire episode. She's never seen again after this episode.</v>
      </c>
      <c r="F4" s="5" t="str">
        <f>VLOOKUP($A4,tropes!$A$4:$O$2428,6,FALSE)</f>
        <v>mccoy</v>
      </c>
      <c r="G4" s="5">
        <f>VLOOKUP($A4,tropes!$A$4:$O$2428,7,FALSE)</f>
        <v>0</v>
      </c>
      <c r="H4" s="5">
        <f>VLOOKUP($A4,tropes!$A$4:$O$2428,8,FALSE)</f>
        <v>1</v>
      </c>
      <c r="I4" s="5">
        <f>VLOOKUP($A4,tropes!$A$4:$O$2428,9,FALSE)</f>
        <v>115</v>
      </c>
      <c r="J4" s="5">
        <f>VLOOKUP($A4,tropes!$A$4:$O$2428,10,FALSE)</f>
        <v>16</v>
      </c>
      <c r="K4" s="5" t="str">
        <f>VLOOKUP($A4,tropes!$A$4:$O$2428,11,FALSE)</f>
        <v>Shore Leave</v>
      </c>
      <c r="L4" s="5">
        <f>VLOOKUP($A4,tropes!$A$4:$O$2428,12,FALSE)</f>
        <v>1</v>
      </c>
      <c r="M4" s="5">
        <f>VLOOKUP($A4,tropes!$A$4:$O$2428,13,FALSE)</f>
        <v>15</v>
      </c>
      <c r="N4" s="5"/>
    </row>
    <row r="5" spans="1:14" x14ac:dyDescent="0.3">
      <c r="A5" s="14">
        <v>1678</v>
      </c>
      <c r="B5" s="5" t="str">
        <f>VLOOKUP($A5,tropes!$A$4:$O$2428,2,FALSE)</f>
        <v>Grand Romantic Gesture</v>
      </c>
      <c r="C5" s="5" t="str">
        <f>VLOOKUP($A5,tropes!$A$4:$O$2428,3,FALSE)</f>
        <v>love</v>
      </c>
      <c r="D5" s="5" t="str">
        <f>VLOOKUP($A5,tropes!$A$4:$O$2428,4,FALSE)</f>
        <v>gesture</v>
      </c>
      <c r="E5" s="5" t="str">
        <f>VLOOKUP($A5,tropes!$A$4:$O$2428,5,FALSE)</f>
        <v>McCoy defends Yeoman Barrows from the charging knight, and ends up dying in the process.</v>
      </c>
      <c r="F5" s="5" t="str">
        <f>VLOOKUP($A5,tropes!$A$4:$O$2428,6,FALSE)</f>
        <v>mccoy</v>
      </c>
      <c r="G5" s="5">
        <f>VLOOKUP($A5,tropes!$A$4:$O$2428,7,FALSE)</f>
        <v>0</v>
      </c>
      <c r="H5" s="5">
        <f>VLOOKUP($A5,tropes!$A$4:$O$2428,8,FALSE)</f>
        <v>1</v>
      </c>
      <c r="I5" s="5">
        <f>VLOOKUP($A5,tropes!$A$4:$O$2428,9,FALSE)</f>
        <v>115</v>
      </c>
      <c r="J5" s="5">
        <f>VLOOKUP($A5,tropes!$A$4:$O$2428,10,FALSE)</f>
        <v>16</v>
      </c>
      <c r="K5" s="5" t="str">
        <f>VLOOKUP($A5,tropes!$A$4:$O$2428,11,FALSE)</f>
        <v>Shore Leave</v>
      </c>
      <c r="L5" s="5">
        <f>VLOOKUP($A5,tropes!$A$4:$O$2428,12,FALSE)</f>
        <v>1</v>
      </c>
      <c r="M5" s="5">
        <f>VLOOKUP($A5,tropes!$A$4:$O$2428,13,FALSE)</f>
        <v>15</v>
      </c>
      <c r="N5" s="5"/>
    </row>
    <row r="6" spans="1:14" x14ac:dyDescent="0.3">
      <c r="A6" s="14">
        <v>2006</v>
      </c>
      <c r="B6" s="5" t="str">
        <f>VLOOKUP($A6,tropes!$A$4:$O$2428,2,FALSE)</f>
        <v>Grand Romantic Gesture</v>
      </c>
      <c r="C6" s="5" t="str">
        <f>VLOOKUP($A6,tropes!$A$4:$O$2428,3,FALSE)</f>
        <v>love</v>
      </c>
      <c r="D6" s="5" t="str">
        <f>VLOOKUP($A6,tropes!$A$4:$O$2428,4,FALSE)</f>
        <v>gesture</v>
      </c>
      <c r="E6" s="5" t="str">
        <f>VLOOKUP($A6,tropes!$A$4:$O$2428,5,FALSE)</f>
        <v>Scotty gently courts Lt. Carolyn Palamas then attempts to defend her honor.</v>
      </c>
      <c r="F6" s="5" t="str">
        <f>VLOOKUP($A6,tropes!$A$4:$O$2428,6,FALSE)</f>
        <v>scotty</v>
      </c>
      <c r="G6" s="5">
        <f>VLOOKUP($A6,tropes!$A$4:$O$2428,7,FALSE)</f>
        <v>0</v>
      </c>
      <c r="H6" s="5">
        <f>VLOOKUP($A6,tropes!$A$4:$O$2428,8,FALSE)</f>
        <v>1</v>
      </c>
      <c r="I6" s="5">
        <f>VLOOKUP($A6,tropes!$A$4:$O$2428,9,FALSE)</f>
        <v>202</v>
      </c>
      <c r="J6" s="5">
        <f>VLOOKUP($A6,tropes!$A$4:$O$2428,10,FALSE)</f>
        <v>32</v>
      </c>
      <c r="K6" s="5" t="str">
        <f>VLOOKUP($A6,tropes!$A$4:$O$2428,11,FALSE)</f>
        <v>Who Mourns for Adonais?</v>
      </c>
      <c r="L6" s="5">
        <f>VLOOKUP($A6,tropes!$A$4:$O$2428,12,FALSE)</f>
        <v>2</v>
      </c>
      <c r="M6" s="5">
        <f>VLOOKUP($A6,tropes!$A$4:$O$2428,13,FALSE)</f>
        <v>2</v>
      </c>
      <c r="N6" s="5"/>
    </row>
    <row r="7" spans="1:14" x14ac:dyDescent="0.3">
      <c r="A7" s="14">
        <v>2902</v>
      </c>
      <c r="B7" s="5" t="str">
        <f>VLOOKUP($A7,tropes!$A$4:$O$2428,2,FALSE)</f>
        <v>Girl Of The Week</v>
      </c>
      <c r="C7" s="5" t="str">
        <f>VLOOKUP($A7,tropes!$A$4:$O$2428,3,FALSE)</f>
        <v>love</v>
      </c>
      <c r="D7" s="5" t="str">
        <f>VLOOKUP($A7,tropes!$A$4:$O$2428,4,FALSE)</f>
        <v>girl_of_the_week</v>
      </c>
      <c r="E7" s="5" t="str">
        <f>VLOOKUP($A7,tropes!$A$4:$O$2428,5,FALSE)</f>
        <v>Andrea, the beautiful android whom Kirk's magic charms makes into a real girl.</v>
      </c>
      <c r="F7" s="5" t="str">
        <f>VLOOKUP($A7,tropes!$A$4:$O$2428,6,FALSE)</f>
        <v>kirk</v>
      </c>
      <c r="G7" s="5">
        <f>VLOOKUP($A7,tropes!$A$4:$O$2428,7,FALSE)</f>
        <v>0</v>
      </c>
      <c r="H7" s="5">
        <f>VLOOKUP($A7,tropes!$A$4:$O$2428,8,FALSE)</f>
        <v>0</v>
      </c>
      <c r="I7" s="5">
        <f>VLOOKUP($A7,tropes!$A$4:$O$2428,9,FALSE)</f>
        <v>107</v>
      </c>
      <c r="J7" s="5">
        <f>VLOOKUP($A7,tropes!$A$4:$O$2428,10,FALSE)</f>
        <v>8</v>
      </c>
      <c r="K7" s="5" t="str">
        <f>VLOOKUP($A7,tropes!$A$4:$O$2428,11,FALSE)</f>
        <v>What Are Little Girls Made Of?</v>
      </c>
      <c r="L7" s="5">
        <f>VLOOKUP($A7,tropes!$A$4:$O$2428,12,FALSE)</f>
        <v>1</v>
      </c>
      <c r="M7" s="5">
        <f>VLOOKUP($A7,tropes!$A$4:$O$2428,13,FALSE)</f>
        <v>7</v>
      </c>
      <c r="N7" s="5"/>
    </row>
    <row r="8" spans="1:14" x14ac:dyDescent="0.3">
      <c r="A8" s="14">
        <v>1206</v>
      </c>
      <c r="B8" s="5" t="str">
        <f>VLOOKUP($A8,tropes!$A$4:$O$2428,2,FALSE)</f>
        <v>Girl Of The Week</v>
      </c>
      <c r="C8" s="5" t="str">
        <f>VLOOKUP($A8,tropes!$A$4:$O$2428,3,FALSE)</f>
        <v>love</v>
      </c>
      <c r="D8" s="5" t="str">
        <f>VLOOKUP($A8,tropes!$A$4:$O$2428,4,FALSE)</f>
        <v>girl_of_the_week</v>
      </c>
      <c r="E8" s="5" t="str">
        <f>VLOOKUP($A8,tropes!$A$4:$O$2428,5,FALSE)</f>
        <v>Areel Shaw, Kirks old flame, is the prosecuting attorney.</v>
      </c>
      <c r="F8" s="5" t="str">
        <f>VLOOKUP($A8,tropes!$A$4:$O$2428,6,FALSE)</f>
        <v>kirk</v>
      </c>
      <c r="G8" s="5">
        <f>VLOOKUP($A8,tropes!$A$4:$O$2428,7,FALSE)</f>
        <v>0</v>
      </c>
      <c r="H8" s="5">
        <f>VLOOKUP($A8,tropes!$A$4:$O$2428,8,FALSE)</f>
        <v>0</v>
      </c>
      <c r="I8" s="5">
        <f>VLOOKUP($A8,tropes!$A$4:$O$2428,9,FALSE)</f>
        <v>120</v>
      </c>
      <c r="J8" s="5">
        <f>VLOOKUP($A8,tropes!$A$4:$O$2428,10,FALSE)</f>
        <v>21</v>
      </c>
      <c r="K8" s="5" t="str">
        <f>VLOOKUP($A8,tropes!$A$4:$O$2428,11,FALSE)</f>
        <v>Court Martial</v>
      </c>
      <c r="L8" s="5">
        <f>VLOOKUP($A8,tropes!$A$4:$O$2428,12,FALSE)</f>
        <v>1</v>
      </c>
      <c r="M8" s="5">
        <f>VLOOKUP($A8,tropes!$A$4:$O$2428,13,FALSE)</f>
        <v>20</v>
      </c>
      <c r="N8" s="5"/>
    </row>
    <row r="9" spans="1:14" x14ac:dyDescent="0.3">
      <c r="A9" s="14">
        <v>244</v>
      </c>
      <c r="B9" s="5" t="str">
        <f>VLOOKUP($A9,tropes!$A$4:$O$2428,2,FALSE)</f>
        <v>Girl Of The Week</v>
      </c>
      <c r="C9" s="5" t="str">
        <f>VLOOKUP($A9,tropes!$A$4:$O$2428,3,FALSE)</f>
        <v>love</v>
      </c>
      <c r="D9" s="5" t="str">
        <f>VLOOKUP($A9,tropes!$A$4:$O$2428,4,FALSE)</f>
        <v>girl_of_the_week</v>
      </c>
      <c r="E9" s="5" t="str">
        <f>VLOOKUP($A9,tropes!$A$4:$O$2428,5,FALSE)</f>
        <v xml:space="preserve">Commissioner Nancy Hedford is dying from disease and needs to get to Enterprise.  </v>
      </c>
      <c r="F9" s="5" t="str">
        <f>VLOOKUP($A9,tropes!$A$4:$O$2428,6,FALSE)</f>
        <v>xxx</v>
      </c>
      <c r="G9" s="5">
        <f>VLOOKUP($A9,tropes!$A$4:$O$2428,7,FALSE)</f>
        <v>0</v>
      </c>
      <c r="H9" s="5">
        <f>VLOOKUP($A9,tropes!$A$4:$O$2428,8,FALSE)</f>
        <v>0</v>
      </c>
      <c r="I9" s="5">
        <f>VLOOKUP($A9,tropes!$A$4:$O$2428,9,FALSE)</f>
        <v>209</v>
      </c>
      <c r="J9" s="5">
        <f>VLOOKUP($A9,tropes!$A$4:$O$2428,10,FALSE)</f>
        <v>39</v>
      </c>
      <c r="K9" s="5" t="str">
        <f>VLOOKUP($A9,tropes!$A$4:$O$2428,11,FALSE)</f>
        <v>Metamorphosis</v>
      </c>
      <c r="L9" s="5">
        <f>VLOOKUP($A9,tropes!$A$4:$O$2428,12,FALSE)</f>
        <v>2</v>
      </c>
      <c r="M9" s="5">
        <f>VLOOKUP($A9,tropes!$A$4:$O$2428,13,FALSE)</f>
        <v>9</v>
      </c>
      <c r="N9" s="5"/>
    </row>
    <row r="10" spans="1:14" x14ac:dyDescent="0.3">
      <c r="A10" s="14">
        <v>1749</v>
      </c>
      <c r="B10" s="5" t="str">
        <f>VLOOKUP($A10,tropes!$A$4:$O$2428,2,FALSE)</f>
        <v>Girl Of The Week</v>
      </c>
      <c r="C10" s="5" t="str">
        <f>VLOOKUP($A10,tropes!$A$4:$O$2428,3,FALSE)</f>
        <v>love</v>
      </c>
      <c r="D10" s="5" t="str">
        <f>VLOOKUP($A10,tropes!$A$4:$O$2428,4,FALSE)</f>
        <v>girl_of_the_week</v>
      </c>
      <c r="E10" s="5" t="str">
        <f>VLOOKUP($A10,tropes!$A$4:$O$2428,5,FALSE)</f>
        <v>Dr. Dehner gets off on wrong foot with just about everyone, especially Lt. Cmdr. Gary Mitchell.</v>
      </c>
      <c r="F10" s="5" t="str">
        <f>VLOOKUP($A10,tropes!$A$4:$O$2428,6,FALSE)</f>
        <v>mitchell</v>
      </c>
      <c r="G10" s="5">
        <f>VLOOKUP($A10,tropes!$A$4:$O$2428,7,FALSE)</f>
        <v>0</v>
      </c>
      <c r="H10" s="5">
        <f>VLOOKUP($A10,tropes!$A$4:$O$2428,8,FALSE)</f>
        <v>0</v>
      </c>
      <c r="I10" s="5">
        <f>VLOOKUP($A10,tropes!$A$4:$O$2428,9,FALSE)</f>
        <v>103</v>
      </c>
      <c r="J10" s="5">
        <f>VLOOKUP($A10,tropes!$A$4:$O$2428,10,FALSE)</f>
        <v>4</v>
      </c>
      <c r="K10" s="5" t="str">
        <f>VLOOKUP($A10,tropes!$A$4:$O$2428,11,FALSE)</f>
        <v>Where No Man Has Gone Before</v>
      </c>
      <c r="L10" s="5">
        <f>VLOOKUP($A10,tropes!$A$4:$O$2428,12,FALSE)</f>
        <v>1</v>
      </c>
      <c r="M10" s="5">
        <f>VLOOKUP($A10,tropes!$A$4:$O$2428,13,FALSE)</f>
        <v>3</v>
      </c>
      <c r="N10" s="5"/>
    </row>
    <row r="11" spans="1:14" x14ac:dyDescent="0.3">
      <c r="A11" s="14">
        <v>1146</v>
      </c>
      <c r="B11" s="5" t="str">
        <f>VLOOKUP($A11,tropes!$A$4:$O$2428,2,FALSE)</f>
        <v>Girl Of The Week</v>
      </c>
      <c r="C11" s="5" t="str">
        <f>VLOOKUP($A11,tropes!$A$4:$O$2428,3,FALSE)</f>
        <v>love</v>
      </c>
      <c r="D11" s="5" t="str">
        <f>VLOOKUP($A11,tropes!$A$4:$O$2428,4,FALSE)</f>
        <v>girl_of_the_week</v>
      </c>
      <c r="E11" s="5" t="str">
        <f>VLOOKUP($A11,tropes!$A$4:$O$2428,5,FALSE)</f>
        <v>Dr. Helen Noel, a psychiatrist whom Kirk had a one-night stand with at a Christmas party.</v>
      </c>
      <c r="F11" s="5" t="str">
        <f>VLOOKUP($A11,tropes!$A$4:$O$2428,6,FALSE)</f>
        <v>kirk</v>
      </c>
      <c r="G11" s="5">
        <f>VLOOKUP($A11,tropes!$A$4:$O$2428,7,FALSE)</f>
        <v>0</v>
      </c>
      <c r="H11" s="5">
        <f>VLOOKUP($A11,tropes!$A$4:$O$2428,8,FALSE)</f>
        <v>0</v>
      </c>
      <c r="I11" s="5">
        <f>VLOOKUP($A11,tropes!$A$4:$O$2428,9,FALSE)</f>
        <v>109</v>
      </c>
      <c r="J11" s="5">
        <f>VLOOKUP($A11,tropes!$A$4:$O$2428,10,FALSE)</f>
        <v>10</v>
      </c>
      <c r="K11" s="5" t="str">
        <f>VLOOKUP($A11,tropes!$A$4:$O$2428,11,FALSE)</f>
        <v>Dagger of the Mind</v>
      </c>
      <c r="L11" s="5">
        <f>VLOOKUP($A11,tropes!$A$4:$O$2428,12,FALSE)</f>
        <v>1</v>
      </c>
      <c r="M11" s="5">
        <f>VLOOKUP($A11,tropes!$A$4:$O$2428,13,FALSE)</f>
        <v>9</v>
      </c>
      <c r="N11" s="5"/>
    </row>
    <row r="12" spans="1:14" x14ac:dyDescent="0.3">
      <c r="A12" s="14">
        <v>1005</v>
      </c>
      <c r="B12" s="5" t="str">
        <f>VLOOKUP($A12,tropes!$A$4:$O$2428,2,FALSE)</f>
        <v>Girl Of The Week</v>
      </c>
      <c r="C12" s="5" t="str">
        <f>VLOOKUP($A12,tropes!$A$4:$O$2428,3,FALSE)</f>
        <v>love</v>
      </c>
      <c r="D12" s="5" t="str">
        <f>VLOOKUP($A12,tropes!$A$4:$O$2428,4,FALSE)</f>
        <v>girl_of_the_week</v>
      </c>
      <c r="E12" s="5" t="str">
        <f>VLOOKUP($A12,tropes!$A$4:$O$2428,5,FALSE)</f>
        <v>Edith Keeler</v>
      </c>
      <c r="F12" s="5" t="str">
        <f>VLOOKUP($A12,tropes!$A$4:$O$2428,6,FALSE)</f>
        <v>kirk</v>
      </c>
      <c r="G12" s="5">
        <f>VLOOKUP($A12,tropes!$A$4:$O$2428,7,FALSE)</f>
        <v>0</v>
      </c>
      <c r="H12" s="5">
        <f>VLOOKUP($A12,tropes!$A$4:$O$2428,8,FALSE)</f>
        <v>0</v>
      </c>
      <c r="I12" s="5">
        <f>VLOOKUP($A12,tropes!$A$4:$O$2428,9,FALSE)</f>
        <v>124</v>
      </c>
      <c r="J12" s="5">
        <f>VLOOKUP($A12,tropes!$A$4:$O$2428,10,FALSE)</f>
        <v>25</v>
      </c>
      <c r="K12" s="5" t="str">
        <f>VLOOKUP($A12,tropes!$A$4:$O$2428,11,FALSE)</f>
        <v>This Side of Paradise</v>
      </c>
      <c r="L12" s="5">
        <f>VLOOKUP($A12,tropes!$A$4:$O$2428,12,FALSE)</f>
        <v>1</v>
      </c>
      <c r="M12" s="5">
        <f>VLOOKUP($A12,tropes!$A$4:$O$2428,13,FALSE)</f>
        <v>24</v>
      </c>
      <c r="N12" s="5"/>
    </row>
    <row r="13" spans="1:14" x14ac:dyDescent="0.3">
      <c r="A13" s="14">
        <v>2988</v>
      </c>
      <c r="B13" s="5" t="str">
        <f>VLOOKUP($A13,tropes!$A$4:$O$2428,2,FALSE)</f>
        <v>Girl Of The Week</v>
      </c>
      <c r="C13" s="5" t="str">
        <f>VLOOKUP($A13,tropes!$A$4:$O$2428,3,FALSE)</f>
        <v>love</v>
      </c>
      <c r="D13" s="5" t="str">
        <f>VLOOKUP($A13,tropes!$A$4:$O$2428,4,FALSE)</f>
        <v>girl_of_the_week</v>
      </c>
      <c r="E13" s="5" t="str">
        <f>VLOOKUP($A13,tropes!$A$4:$O$2428,5,FALSE)</f>
        <v>Eleen, widow of the Teer, Akaar</v>
      </c>
      <c r="F13" s="5" t="str">
        <f>VLOOKUP($A13,tropes!$A$4:$O$2428,6,FALSE)</f>
        <v>eleen</v>
      </c>
      <c r="G13" s="5">
        <f>VLOOKUP($A13,tropes!$A$4:$O$2428,7,FALSE)</f>
        <v>0</v>
      </c>
      <c r="H13" s="5">
        <f>VLOOKUP($A13,tropes!$A$4:$O$2428,8,FALSE)</f>
        <v>0</v>
      </c>
      <c r="I13" s="5">
        <f>VLOOKUP($A13,tropes!$A$4:$O$2428,9,FALSE)</f>
        <v>211</v>
      </c>
      <c r="J13" s="5">
        <f>VLOOKUP($A13,tropes!$A$4:$O$2428,10,FALSE)</f>
        <v>41</v>
      </c>
      <c r="K13" s="5" t="str">
        <f>VLOOKUP($A13,tropes!$A$4:$O$2428,11,FALSE)</f>
        <v>Friday's Child</v>
      </c>
      <c r="L13" s="5">
        <f>VLOOKUP($A13,tropes!$A$4:$O$2428,12,FALSE)</f>
        <v>2</v>
      </c>
      <c r="M13" s="5">
        <f>VLOOKUP($A13,tropes!$A$4:$O$2428,13,FALSE)</f>
        <v>11</v>
      </c>
      <c r="N13" s="5"/>
    </row>
    <row r="14" spans="1:14" x14ac:dyDescent="0.3">
      <c r="A14" s="14">
        <v>993</v>
      </c>
      <c r="B14" s="5" t="str">
        <f>VLOOKUP($A14,tropes!$A$4:$O$2428,2,FALSE)</f>
        <v>Girl Of The Week</v>
      </c>
      <c r="C14" s="5" t="str">
        <f>VLOOKUP($A14,tropes!$A$4:$O$2428,3,FALSE)</f>
        <v>love</v>
      </c>
      <c r="D14" s="5" t="str">
        <f>VLOOKUP($A14,tropes!$A$4:$O$2428,4,FALSE)</f>
        <v>girl_of_the_week</v>
      </c>
      <c r="E14" s="5" t="str">
        <f>VLOOKUP($A14,tropes!$A$4:$O$2428,5,FALSE)</f>
        <v>Enterprise computer keeps calling Kirk dear after being repaired on Sigma 14.</v>
      </c>
      <c r="F14" s="5" t="str">
        <f>VLOOKUP($A14,tropes!$A$4:$O$2428,6,FALSE)</f>
        <v>kirk</v>
      </c>
      <c r="G14" s="5">
        <f>VLOOKUP($A14,tropes!$A$4:$O$2428,7,FALSE)</f>
        <v>0</v>
      </c>
      <c r="H14" s="5">
        <f>VLOOKUP($A14,tropes!$A$4:$O$2428,8,FALSE)</f>
        <v>0</v>
      </c>
      <c r="I14" s="5">
        <f>VLOOKUP($A14,tropes!$A$4:$O$2428,9,FALSE)</f>
        <v>119</v>
      </c>
      <c r="J14" s="5">
        <f>VLOOKUP($A14,tropes!$A$4:$O$2428,10,FALSE)</f>
        <v>20</v>
      </c>
      <c r="K14" s="5" t="str">
        <f>VLOOKUP($A14,tropes!$A$4:$O$2428,11,FALSE)</f>
        <v>Tomorrow Is Yesterday</v>
      </c>
      <c r="L14" s="5">
        <f>VLOOKUP($A14,tropes!$A$4:$O$2428,12,FALSE)</f>
        <v>1</v>
      </c>
      <c r="M14" s="5">
        <f>VLOOKUP($A14,tropes!$A$4:$O$2428,13,FALSE)</f>
        <v>19</v>
      </c>
      <c r="N14" s="5"/>
    </row>
    <row r="15" spans="1:14" x14ac:dyDescent="0.3">
      <c r="A15" s="14">
        <v>1694</v>
      </c>
      <c r="B15" s="5" t="str">
        <f>VLOOKUP($A15,tropes!$A$4:$O$2428,2,FALSE)</f>
        <v>Girl Of The Week</v>
      </c>
      <c r="C15" s="5" t="str">
        <f>VLOOKUP($A15,tropes!$A$4:$O$2428,3,FALSE)</f>
        <v>love</v>
      </c>
      <c r="D15" s="5" t="str">
        <f>VLOOKUP($A15,tropes!$A$4:$O$2428,4,FALSE)</f>
        <v>girl_of_the_week</v>
      </c>
      <c r="E15" s="5" t="str">
        <f>VLOOKUP($A15,tropes!$A$4:$O$2428,5,FALSE)</f>
        <v>Eve McHuron</v>
      </c>
      <c r="F15" s="5" t="str">
        <f>VLOOKUP($A15,tropes!$A$4:$O$2428,6,FALSE)</f>
        <v>kirk</v>
      </c>
      <c r="G15" s="5">
        <f>VLOOKUP($A15,tropes!$A$4:$O$2428,7,FALSE)</f>
        <v>0</v>
      </c>
      <c r="H15" s="5">
        <f>VLOOKUP($A15,tropes!$A$4:$O$2428,8,FALSE)</f>
        <v>0</v>
      </c>
      <c r="I15" s="5">
        <f>VLOOKUP($A15,tropes!$A$4:$O$2428,9,FALSE)</f>
        <v>106</v>
      </c>
      <c r="J15" s="5">
        <f>VLOOKUP($A15,tropes!$A$4:$O$2428,10,FALSE)</f>
        <v>7</v>
      </c>
      <c r="K15" s="5" t="str">
        <f>VLOOKUP($A15,tropes!$A$4:$O$2428,11,FALSE)</f>
        <v>Mudd's Women</v>
      </c>
      <c r="L15" s="5">
        <f>VLOOKUP($A15,tropes!$A$4:$O$2428,12,FALSE)</f>
        <v>1</v>
      </c>
      <c r="M15" s="5">
        <f>VLOOKUP($A15,tropes!$A$4:$O$2428,13,FALSE)</f>
        <v>6</v>
      </c>
      <c r="N15" s="5"/>
    </row>
    <row r="16" spans="1:14" x14ac:dyDescent="0.3">
      <c r="A16" s="14">
        <v>2901</v>
      </c>
      <c r="B16" s="5" t="str">
        <f>VLOOKUP($A16,tropes!$A$4:$O$2428,2,FALSE)</f>
        <v>Girl Of The Week</v>
      </c>
      <c r="C16" s="5" t="str">
        <f>VLOOKUP($A16,tropes!$A$4:$O$2428,3,FALSE)</f>
        <v>love</v>
      </c>
      <c r="D16" s="5" t="str">
        <f>VLOOKUP($A16,tropes!$A$4:$O$2428,4,FALSE)</f>
        <v>girl_of_the_week</v>
      </c>
      <c r="E16" s="5" t="str">
        <f>VLOOKUP($A16,tropes!$A$4:$O$2428,5,FALSE)</f>
        <v>Jamie Finney, Ben Finney's daughter</v>
      </c>
      <c r="F16" s="5" t="str">
        <f>VLOOKUP($A16,tropes!$A$4:$O$2428,6,FALSE)</f>
        <v>kirk</v>
      </c>
      <c r="G16" s="5">
        <f>VLOOKUP($A16,tropes!$A$4:$O$2428,7,FALSE)</f>
        <v>0</v>
      </c>
      <c r="H16" s="5">
        <f>VLOOKUP($A16,tropes!$A$4:$O$2428,8,FALSE)</f>
        <v>0</v>
      </c>
      <c r="I16" s="5">
        <f>VLOOKUP($A16,tropes!$A$4:$O$2428,9,FALSE)</f>
        <v>120</v>
      </c>
      <c r="J16" s="5">
        <f>VLOOKUP($A16,tropes!$A$4:$O$2428,10,FALSE)</f>
        <v>21</v>
      </c>
      <c r="K16" s="5" t="str">
        <f>VLOOKUP($A16,tropes!$A$4:$O$2428,11,FALSE)</f>
        <v>Court Martial</v>
      </c>
      <c r="L16" s="5">
        <f>VLOOKUP($A16,tropes!$A$4:$O$2428,12,FALSE)</f>
        <v>1</v>
      </c>
      <c r="M16" s="5">
        <f>VLOOKUP($A16,tropes!$A$4:$O$2428,13,FALSE)</f>
        <v>20</v>
      </c>
      <c r="N16" s="5"/>
    </row>
    <row r="17" spans="1:14" x14ac:dyDescent="0.3">
      <c r="A17" s="14">
        <v>2358</v>
      </c>
      <c r="B17" s="5" t="str">
        <f>VLOOKUP($A17,tropes!$A$4:$O$2428,2,FALSE)</f>
        <v>Girl Of The Week</v>
      </c>
      <c r="C17" s="5" t="str">
        <f>VLOOKUP($A17,tropes!$A$4:$O$2428,3,FALSE)</f>
        <v>love</v>
      </c>
      <c r="D17" s="5" t="str">
        <f>VLOOKUP($A17,tropes!$A$4:$O$2428,4,FALSE)</f>
        <v>girl_of_the_week</v>
      </c>
      <c r="E17" s="5" t="str">
        <f>VLOOKUP($A17,tropes!$A$4:$O$2428,5,FALSE)</f>
        <v>Lella, an old flame of Spock, wants to get Spock conditioned with the spores and stay with her forever.</v>
      </c>
      <c r="F17" s="5" t="str">
        <f>VLOOKUP($A17,tropes!$A$4:$O$2428,6,FALSE)</f>
        <v>spock</v>
      </c>
      <c r="G17" s="5">
        <f>VLOOKUP($A17,tropes!$A$4:$O$2428,7,FALSE)</f>
        <v>0</v>
      </c>
      <c r="H17" s="5">
        <f>VLOOKUP($A17,tropes!$A$4:$O$2428,8,FALSE)</f>
        <v>0</v>
      </c>
      <c r="I17" s="5">
        <f>VLOOKUP($A17,tropes!$A$4:$O$2428,9,FALSE)</f>
        <v>124</v>
      </c>
      <c r="J17" s="5">
        <f>VLOOKUP($A17,tropes!$A$4:$O$2428,10,FALSE)</f>
        <v>25</v>
      </c>
      <c r="K17" s="5" t="str">
        <f>VLOOKUP($A17,tropes!$A$4:$O$2428,11,FALSE)</f>
        <v>This Side of Paradise</v>
      </c>
      <c r="L17" s="5">
        <f>VLOOKUP($A17,tropes!$A$4:$O$2428,12,FALSE)</f>
        <v>1</v>
      </c>
      <c r="M17" s="5">
        <f>VLOOKUP($A17,tropes!$A$4:$O$2428,13,FALSE)</f>
        <v>24</v>
      </c>
      <c r="N17" s="5"/>
    </row>
    <row r="18" spans="1:14" x14ac:dyDescent="0.3">
      <c r="A18" s="14">
        <v>1043</v>
      </c>
      <c r="B18" s="5" t="str">
        <f>VLOOKUP($A18,tropes!$A$4:$O$2428,2,FALSE)</f>
        <v>Girl Of The Week</v>
      </c>
      <c r="C18" s="5" t="str">
        <f>VLOOKUP($A18,tropes!$A$4:$O$2428,3,FALSE)</f>
        <v>love</v>
      </c>
      <c r="D18" s="5" t="str">
        <f>VLOOKUP($A18,tropes!$A$4:$O$2428,4,FALSE)</f>
        <v>girl_of_the_week</v>
      </c>
      <c r="E18" s="5" t="str">
        <f>VLOOKUP($A18,tropes!$A$4:$O$2428,5,FALSE)</f>
        <v>Lenore, Kodos daughter. Kirk flirts with Lenore to get information about her father.</v>
      </c>
      <c r="F18" s="5" t="str">
        <f>VLOOKUP($A18,tropes!$A$4:$O$2428,6,FALSE)</f>
        <v>kirk</v>
      </c>
      <c r="G18" s="5">
        <f>VLOOKUP($A18,tropes!$A$4:$O$2428,7,FALSE)</f>
        <v>0</v>
      </c>
      <c r="H18" s="5">
        <f>VLOOKUP($A18,tropes!$A$4:$O$2428,8,FALSE)</f>
        <v>0</v>
      </c>
      <c r="I18" s="5">
        <f>VLOOKUP($A18,tropes!$A$4:$O$2428,9,FALSE)</f>
        <v>113</v>
      </c>
      <c r="J18" s="5">
        <f>VLOOKUP($A18,tropes!$A$4:$O$2428,10,FALSE)</f>
        <v>14</v>
      </c>
      <c r="K18" s="5" t="str">
        <f>VLOOKUP($A18,tropes!$A$4:$O$2428,11,FALSE)</f>
        <v>The Conscience of the King</v>
      </c>
      <c r="L18" s="5">
        <f>VLOOKUP($A18,tropes!$A$4:$O$2428,12,FALSE)</f>
        <v>1</v>
      </c>
      <c r="M18" s="5">
        <f>VLOOKUP($A18,tropes!$A$4:$O$2428,13,FALSE)</f>
        <v>13</v>
      </c>
      <c r="N18" s="5"/>
    </row>
    <row r="19" spans="1:14" x14ac:dyDescent="0.3">
      <c r="A19" s="14">
        <v>2005</v>
      </c>
      <c r="B19" s="5" t="str">
        <f>VLOOKUP($A19,tropes!$A$4:$O$2428,2,FALSE)</f>
        <v>Girl Of The Week</v>
      </c>
      <c r="C19" s="5" t="str">
        <f>VLOOKUP($A19,tropes!$A$4:$O$2428,3,FALSE)</f>
        <v>love</v>
      </c>
      <c r="D19" s="5" t="str">
        <f>VLOOKUP($A19,tropes!$A$4:$O$2428,4,FALSE)</f>
        <v>girl_of_the_week</v>
      </c>
      <c r="E19" s="5" t="str">
        <f>VLOOKUP($A19,tropes!$A$4:$O$2428,5,FALSE)</f>
        <v>Lt. Carolyn Palamas is Scotty muse this week but Lt. Carolyn Palamas falls in love with Apollo.</v>
      </c>
      <c r="F19" s="5" t="str">
        <f>VLOOKUP($A19,tropes!$A$4:$O$2428,6,FALSE)</f>
        <v>scotty</v>
      </c>
      <c r="G19" s="5">
        <f>VLOOKUP($A19,tropes!$A$4:$O$2428,7,FALSE)</f>
        <v>0</v>
      </c>
      <c r="H19" s="5">
        <f>VLOOKUP($A19,tropes!$A$4:$O$2428,8,FALSE)</f>
        <v>0</v>
      </c>
      <c r="I19" s="5">
        <f>VLOOKUP($A19,tropes!$A$4:$O$2428,9,FALSE)</f>
        <v>202</v>
      </c>
      <c r="J19" s="5">
        <f>VLOOKUP($A19,tropes!$A$4:$O$2428,10,FALSE)</f>
        <v>32</v>
      </c>
      <c r="K19" s="5" t="str">
        <f>VLOOKUP($A19,tropes!$A$4:$O$2428,11,FALSE)</f>
        <v>Who Mourns for Adonais?</v>
      </c>
      <c r="L19" s="5">
        <f>VLOOKUP($A19,tropes!$A$4:$O$2428,12,FALSE)</f>
        <v>2</v>
      </c>
      <c r="M19" s="5">
        <f>VLOOKUP($A19,tropes!$A$4:$O$2428,13,FALSE)</f>
        <v>2</v>
      </c>
      <c r="N19" s="5"/>
    </row>
    <row r="20" spans="1:14" x14ac:dyDescent="0.3">
      <c r="A20" s="14">
        <v>1132</v>
      </c>
      <c r="B20" s="5" t="str">
        <f>VLOOKUP($A20,tropes!$A$4:$O$2428,2,FALSE)</f>
        <v>Girl Of The Week</v>
      </c>
      <c r="C20" s="5" t="str">
        <f>VLOOKUP($A20,tropes!$A$4:$O$2428,3,FALSE)</f>
        <v>love</v>
      </c>
      <c r="D20" s="5" t="str">
        <f>VLOOKUP($A20,tropes!$A$4:$O$2428,4,FALSE)</f>
        <v>girl_of_the_week</v>
      </c>
      <c r="E20" s="5" t="str">
        <f>VLOOKUP($A20,tropes!$A$4:$O$2428,5,FALSE)</f>
        <v>Lt. Marlena Moreau, the Captains Woman in the mirror universe.</v>
      </c>
      <c r="F20" s="5" t="str">
        <f>VLOOKUP($A20,tropes!$A$4:$O$2428,6,FALSE)</f>
        <v>kirk</v>
      </c>
      <c r="G20" s="5">
        <f>VLOOKUP($A20,tropes!$A$4:$O$2428,7,FALSE)</f>
        <v>0</v>
      </c>
      <c r="H20" s="5">
        <f>VLOOKUP($A20,tropes!$A$4:$O$2428,8,FALSE)</f>
        <v>0</v>
      </c>
      <c r="I20" s="5">
        <f>VLOOKUP($A20,tropes!$A$4:$O$2428,9,FALSE)</f>
        <v>204</v>
      </c>
      <c r="J20" s="5">
        <f>VLOOKUP($A20,tropes!$A$4:$O$2428,10,FALSE)</f>
        <v>34</v>
      </c>
      <c r="K20" s="5" t="str">
        <f>VLOOKUP($A20,tropes!$A$4:$O$2428,11,FALSE)</f>
        <v>Mirror, Mirror</v>
      </c>
      <c r="L20" s="5">
        <f>VLOOKUP($A20,tropes!$A$4:$O$2428,12,FALSE)</f>
        <v>2</v>
      </c>
      <c r="M20" s="5">
        <f>VLOOKUP($A20,tropes!$A$4:$O$2428,13,FALSE)</f>
        <v>4</v>
      </c>
      <c r="N20" s="5"/>
    </row>
    <row r="21" spans="1:14" x14ac:dyDescent="0.3">
      <c r="A21" s="14">
        <v>1722</v>
      </c>
      <c r="B21" s="5" t="str">
        <f>VLOOKUP($A21,tropes!$A$4:$O$2428,2,FALSE)</f>
        <v>Girl Of The Week</v>
      </c>
      <c r="C21" s="5" t="str">
        <f>VLOOKUP($A21,tropes!$A$4:$O$2428,3,FALSE)</f>
        <v>love</v>
      </c>
      <c r="D21" s="5" t="str">
        <f>VLOOKUP($A21,tropes!$A$4:$O$2428,4,FALSE)</f>
        <v>girl_of_the_week</v>
      </c>
      <c r="E21" s="5" t="str">
        <f>VLOOKUP($A21,tropes!$A$4:$O$2428,5,FALSE)</f>
        <v>Lt. McGivers falls in love with Khan. she's a normal, non-special woman who betrays her captain and shipmates in a heartbeat all for love.</v>
      </c>
      <c r="F21" s="5" t="str">
        <f>VLOOKUP($A21,tropes!$A$4:$O$2428,6,FALSE)</f>
        <v>xxx</v>
      </c>
      <c r="G21" s="5">
        <f>VLOOKUP($A21,tropes!$A$4:$O$2428,7,FALSE)</f>
        <v>0</v>
      </c>
      <c r="H21" s="5">
        <f>VLOOKUP($A21,tropes!$A$4:$O$2428,8,FALSE)</f>
        <v>0</v>
      </c>
      <c r="I21" s="5">
        <f>VLOOKUP($A21,tropes!$A$4:$O$2428,9,FALSE)</f>
        <v>122</v>
      </c>
      <c r="J21" s="5">
        <f>VLOOKUP($A21,tropes!$A$4:$O$2428,10,FALSE)</f>
        <v>23</v>
      </c>
      <c r="K21" s="5" t="str">
        <f>VLOOKUP($A21,tropes!$A$4:$O$2428,11,FALSE)</f>
        <v>Space Seed</v>
      </c>
      <c r="L21" s="5">
        <f>VLOOKUP($A21,tropes!$A$4:$O$2428,12,FALSE)</f>
        <v>1</v>
      </c>
      <c r="M21" s="5">
        <f>VLOOKUP($A21,tropes!$A$4:$O$2428,13,FALSE)</f>
        <v>22</v>
      </c>
      <c r="N21" s="5"/>
    </row>
    <row r="22" spans="1:14" x14ac:dyDescent="0.3">
      <c r="A22" s="14">
        <v>1782</v>
      </c>
      <c r="B22" s="5" t="str">
        <f>VLOOKUP($A22,tropes!$A$4:$O$2428,2,FALSE)</f>
        <v>Girl Of The Week</v>
      </c>
      <c r="C22" s="5" t="str">
        <f>VLOOKUP($A22,tropes!$A$4:$O$2428,3,FALSE)</f>
        <v>love</v>
      </c>
      <c r="D22" s="5" t="str">
        <f>VLOOKUP($A22,tropes!$A$4:$O$2428,4,FALSE)</f>
        <v>girl_of_the_week</v>
      </c>
      <c r="E22" s="5" t="str">
        <f>VLOOKUP($A22,tropes!$A$4:$O$2428,5,FALSE)</f>
        <v>Magda Kovac</v>
      </c>
      <c r="F22" s="5" t="str">
        <f>VLOOKUP($A22,tropes!$A$4:$O$2428,6,FALSE)</f>
        <v>xxx</v>
      </c>
      <c r="G22" s="5">
        <f>VLOOKUP($A22,tropes!$A$4:$O$2428,7,FALSE)</f>
        <v>0</v>
      </c>
      <c r="H22" s="5">
        <f>VLOOKUP($A22,tropes!$A$4:$O$2428,8,FALSE)</f>
        <v>0</v>
      </c>
      <c r="I22" s="5">
        <f>VLOOKUP($A22,tropes!$A$4:$O$2428,9,FALSE)</f>
        <v>106</v>
      </c>
      <c r="J22" s="5">
        <f>VLOOKUP($A22,tropes!$A$4:$O$2428,10,FALSE)</f>
        <v>7</v>
      </c>
      <c r="K22" s="5" t="str">
        <f>VLOOKUP($A22,tropes!$A$4:$O$2428,11,FALSE)</f>
        <v>Mudd's Women</v>
      </c>
      <c r="L22" s="5">
        <f>VLOOKUP($A22,tropes!$A$4:$O$2428,12,FALSE)</f>
        <v>1</v>
      </c>
      <c r="M22" s="5">
        <f>VLOOKUP($A22,tropes!$A$4:$O$2428,13,FALSE)</f>
        <v>6</v>
      </c>
      <c r="N22" s="5"/>
    </row>
    <row r="23" spans="1:14" x14ac:dyDescent="0.3">
      <c r="A23" s="14">
        <v>1677</v>
      </c>
      <c r="B23" s="5" t="str">
        <f>VLOOKUP($A23,tropes!$A$4:$O$2428,2,FALSE)</f>
        <v>Girl Of The Week</v>
      </c>
      <c r="C23" s="5" t="str">
        <f>VLOOKUP($A23,tropes!$A$4:$O$2428,3,FALSE)</f>
        <v>love</v>
      </c>
      <c r="D23" s="5" t="str">
        <f>VLOOKUP($A23,tropes!$A$4:$O$2428,4,FALSE)</f>
        <v>girl_of_the_week</v>
      </c>
      <c r="E23" s="5" t="str">
        <f>VLOOKUP($A23,tropes!$A$4:$O$2428,5,FALSE)</f>
        <v>McCoy and Yeoman Barrows are an inseparable couple for the episode.</v>
      </c>
      <c r="F23" s="5" t="str">
        <f>VLOOKUP($A23,tropes!$A$4:$O$2428,6,FALSE)</f>
        <v>mccoy</v>
      </c>
      <c r="G23" s="5">
        <f>VLOOKUP($A23,tropes!$A$4:$O$2428,7,FALSE)</f>
        <v>0</v>
      </c>
      <c r="H23" s="5">
        <f>VLOOKUP($A23,tropes!$A$4:$O$2428,8,FALSE)</f>
        <v>0</v>
      </c>
      <c r="I23" s="5">
        <f>VLOOKUP($A23,tropes!$A$4:$O$2428,9,FALSE)</f>
        <v>115</v>
      </c>
      <c r="J23" s="5">
        <f>VLOOKUP($A23,tropes!$A$4:$O$2428,10,FALSE)</f>
        <v>16</v>
      </c>
      <c r="K23" s="5" t="str">
        <f>VLOOKUP($A23,tropes!$A$4:$O$2428,11,FALSE)</f>
        <v>Shore Leave</v>
      </c>
      <c r="L23" s="5">
        <f>VLOOKUP($A23,tropes!$A$4:$O$2428,12,FALSE)</f>
        <v>1</v>
      </c>
      <c r="M23" s="5">
        <f>VLOOKUP($A23,tropes!$A$4:$O$2428,13,FALSE)</f>
        <v>15</v>
      </c>
      <c r="N23" s="5"/>
    </row>
    <row r="24" spans="1:14" x14ac:dyDescent="0.3">
      <c r="A24" s="14">
        <v>1704</v>
      </c>
      <c r="B24" s="5" t="str">
        <f>VLOOKUP($A24,tropes!$A$4:$O$2428,2,FALSE)</f>
        <v>Girl Of The Week</v>
      </c>
      <c r="C24" s="5" t="str">
        <f>VLOOKUP($A24,tropes!$A$4:$O$2428,3,FALSE)</f>
        <v>love</v>
      </c>
      <c r="D24" s="5" t="str">
        <f>VLOOKUP($A24,tropes!$A$4:$O$2428,4,FALSE)</f>
        <v>girl_of_the_week</v>
      </c>
      <c r="E24" s="5" t="str">
        <f>VLOOKUP($A24,tropes!$A$4:$O$2428,5,FALSE)</f>
        <v>McCoy's old girlfriend, Nancy Crater. Likes to call him Plum.</v>
      </c>
      <c r="F24" s="5" t="str">
        <f>VLOOKUP($A24,tropes!$A$4:$O$2428,6,FALSE)</f>
        <v>mccoy</v>
      </c>
      <c r="G24" s="5">
        <f>VLOOKUP($A24,tropes!$A$4:$O$2428,7,FALSE)</f>
        <v>0</v>
      </c>
      <c r="H24" s="5">
        <f>VLOOKUP($A24,tropes!$A$4:$O$2428,8,FALSE)</f>
        <v>0</v>
      </c>
      <c r="I24" s="5">
        <f>VLOOKUP($A24,tropes!$A$4:$O$2428,9,FALSE)</f>
        <v>101</v>
      </c>
      <c r="J24" s="5">
        <f>VLOOKUP($A24,tropes!$A$4:$O$2428,10,FALSE)</f>
        <v>2</v>
      </c>
      <c r="K24" s="5" t="str">
        <f>VLOOKUP($A24,tropes!$A$4:$O$2428,11,FALSE)</f>
        <v>The Man Trap</v>
      </c>
      <c r="L24" s="5">
        <f>VLOOKUP($A24,tropes!$A$4:$O$2428,12,FALSE)</f>
        <v>1</v>
      </c>
      <c r="M24" s="5">
        <f>VLOOKUP($A24,tropes!$A$4:$O$2428,13,FALSE)</f>
        <v>1</v>
      </c>
      <c r="N24" s="5"/>
    </row>
    <row r="25" spans="1:14" x14ac:dyDescent="0.3">
      <c r="A25" s="14">
        <v>1102</v>
      </c>
      <c r="B25" s="5" t="str">
        <f>VLOOKUP($A25,tropes!$A$4:$O$2428,2,FALSE)</f>
        <v>Girl Of The Week</v>
      </c>
      <c r="C25" s="5" t="str">
        <f>VLOOKUP($A25,tropes!$A$4:$O$2428,3,FALSE)</f>
        <v>love</v>
      </c>
      <c r="D25" s="5" t="str">
        <f>VLOOKUP($A25,tropes!$A$4:$O$2428,4,FALSE)</f>
        <v>girl_of_the_week</v>
      </c>
      <c r="E25" s="5" t="str">
        <f>VLOOKUP($A25,tropes!$A$4:$O$2428,5,FALSE)</f>
        <v>Mea3, a woman Kirk gives only a passing glance.</v>
      </c>
      <c r="F25" s="5" t="str">
        <f>VLOOKUP($A25,tropes!$A$4:$O$2428,6,FALSE)</f>
        <v>kirk</v>
      </c>
      <c r="G25" s="5">
        <f>VLOOKUP($A25,tropes!$A$4:$O$2428,7,FALSE)</f>
        <v>0</v>
      </c>
      <c r="H25" s="5">
        <f>VLOOKUP($A25,tropes!$A$4:$O$2428,8,FALSE)</f>
        <v>0</v>
      </c>
      <c r="I25" s="5">
        <f>VLOOKUP($A25,tropes!$A$4:$O$2428,9,FALSE)</f>
        <v>123</v>
      </c>
      <c r="J25" s="5">
        <f>VLOOKUP($A25,tropes!$A$4:$O$2428,10,FALSE)</f>
        <v>24</v>
      </c>
      <c r="K25" s="5" t="str">
        <f>VLOOKUP($A25,tropes!$A$4:$O$2428,11,FALSE)</f>
        <v>A Taste of Armageddon</v>
      </c>
      <c r="L25" s="5">
        <f>VLOOKUP($A25,tropes!$A$4:$O$2428,12,FALSE)</f>
        <v>1</v>
      </c>
      <c r="M25" s="5">
        <f>VLOOKUP($A25,tropes!$A$4:$O$2428,13,FALSE)</f>
        <v>23</v>
      </c>
      <c r="N25" s="5"/>
    </row>
    <row r="26" spans="1:14" x14ac:dyDescent="0.3">
      <c r="A26" s="14">
        <v>1106</v>
      </c>
      <c r="B26" s="5" t="str">
        <f>VLOOKUP($A26,tropes!$A$4:$O$2428,2,FALSE)</f>
        <v>Girl Of The Week</v>
      </c>
      <c r="C26" s="5" t="str">
        <f>VLOOKUP($A26,tropes!$A$4:$O$2428,3,FALSE)</f>
        <v>love</v>
      </c>
      <c r="D26" s="5" t="str">
        <f>VLOOKUP($A26,tropes!$A$4:$O$2428,4,FALSE)</f>
        <v>girl_of_the_week</v>
      </c>
      <c r="E26" s="5" t="str">
        <f>VLOOKUP($A26,tropes!$A$4:$O$2428,5,FALSE)</f>
        <v>Miri whom Kirk has grown to care about.</v>
      </c>
      <c r="F26" s="5" t="str">
        <f>VLOOKUP($A26,tropes!$A$4:$O$2428,6,FALSE)</f>
        <v>kirk</v>
      </c>
      <c r="G26" s="5">
        <f>VLOOKUP($A26,tropes!$A$4:$O$2428,7,FALSE)</f>
        <v>0</v>
      </c>
      <c r="H26" s="5">
        <f>VLOOKUP($A26,tropes!$A$4:$O$2428,8,FALSE)</f>
        <v>0</v>
      </c>
      <c r="I26" s="5">
        <f>VLOOKUP($A26,tropes!$A$4:$O$2428,9,FALSE)</f>
        <v>108</v>
      </c>
      <c r="J26" s="5">
        <f>VLOOKUP($A26,tropes!$A$4:$O$2428,10,FALSE)</f>
        <v>9</v>
      </c>
      <c r="K26" s="5" t="str">
        <f>VLOOKUP($A26,tropes!$A$4:$O$2428,11,FALSE)</f>
        <v>Miri</v>
      </c>
      <c r="L26" s="5">
        <f>VLOOKUP($A26,tropes!$A$4:$O$2428,12,FALSE)</f>
        <v>1</v>
      </c>
      <c r="M26" s="5">
        <f>VLOOKUP($A26,tropes!$A$4:$O$2428,13,FALSE)</f>
        <v>8</v>
      </c>
      <c r="N26" s="5"/>
    </row>
    <row r="27" spans="1:14" x14ac:dyDescent="0.3">
      <c r="A27" s="14">
        <v>1851</v>
      </c>
      <c r="B27" s="5" t="str">
        <f>VLOOKUP($A27,tropes!$A$4:$O$2428,2,FALSE)</f>
        <v>Girl Of The Week</v>
      </c>
      <c r="C27" s="5" t="str">
        <f>VLOOKUP($A27,tropes!$A$4:$O$2428,3,FALSE)</f>
        <v>love</v>
      </c>
      <c r="D27" s="5" t="str">
        <f>VLOOKUP($A27,tropes!$A$4:$O$2428,4,FALSE)</f>
        <v>girl_of_the_week</v>
      </c>
      <c r="E27" s="5" t="str">
        <f>VLOOKUP($A27,tropes!$A$4:$O$2428,5,FALSE)</f>
        <v>Pike imprisoned with Vina. The Talosians want them to be happy so they're give them pleasant memories.</v>
      </c>
      <c r="F27" s="5" t="str">
        <f>VLOOKUP($A27,tropes!$A$4:$O$2428,6,FALSE)</f>
        <v>pike</v>
      </c>
      <c r="G27" s="5">
        <f>VLOOKUP($A27,tropes!$A$4:$O$2428,7,FALSE)</f>
        <v>0</v>
      </c>
      <c r="H27" s="5">
        <f>VLOOKUP($A27,tropes!$A$4:$O$2428,8,FALSE)</f>
        <v>0</v>
      </c>
      <c r="I27" s="5">
        <f>VLOOKUP($A27,tropes!$A$4:$O$2428,9,FALSE)</f>
        <v>100</v>
      </c>
      <c r="J27" s="5">
        <f>VLOOKUP($A27,tropes!$A$4:$O$2428,10,FALSE)</f>
        <v>1</v>
      </c>
      <c r="K27" s="5" t="str">
        <f>VLOOKUP($A27,tropes!$A$4:$O$2428,11,FALSE)</f>
        <v>The Cage</v>
      </c>
      <c r="L27" s="5">
        <f>VLOOKUP($A27,tropes!$A$4:$O$2428,12,FALSE)</f>
        <v>1</v>
      </c>
      <c r="M27" s="5">
        <f>VLOOKUP($A27,tropes!$A$4:$O$2428,13,FALSE)</f>
        <v>0</v>
      </c>
      <c r="N27" s="5"/>
    </row>
    <row r="28" spans="1:14" x14ac:dyDescent="0.3">
      <c r="A28" s="14">
        <v>3020</v>
      </c>
      <c r="B28" s="5" t="str">
        <f>VLOOKUP($A28,tropes!$A$4:$O$2428,2,FALSE)</f>
        <v>Girl Of The Week</v>
      </c>
      <c r="C28" s="5" t="str">
        <f>VLOOKUP($A28,tropes!$A$4:$O$2428,3,FALSE)</f>
        <v>love</v>
      </c>
      <c r="D28" s="5" t="str">
        <f>VLOOKUP($A28,tropes!$A$4:$O$2428,4,FALSE)</f>
        <v>girl_of_the_week</v>
      </c>
      <c r="E28" s="5" t="str">
        <f>VLOOKUP($A28,tropes!$A$4:$O$2428,5,FALSE)</f>
        <v>Ruth Bonavure</v>
      </c>
      <c r="F28" s="5" t="str">
        <f>VLOOKUP($A28,tropes!$A$4:$O$2428,6,FALSE)</f>
        <v>kirk</v>
      </c>
      <c r="G28" s="5">
        <f>VLOOKUP($A28,tropes!$A$4:$O$2428,7,FALSE)</f>
        <v>0</v>
      </c>
      <c r="H28" s="5">
        <f>VLOOKUP($A28,tropes!$A$4:$O$2428,8,FALSE)</f>
        <v>0</v>
      </c>
      <c r="I28" s="5">
        <f>VLOOKUP($A28,tropes!$A$4:$O$2428,9,FALSE)</f>
        <v>106</v>
      </c>
      <c r="J28" s="5">
        <f>VLOOKUP($A28,tropes!$A$4:$O$2428,10,FALSE)</f>
        <v>7</v>
      </c>
      <c r="K28" s="5" t="str">
        <f>VLOOKUP($A28,tropes!$A$4:$O$2428,11,FALSE)</f>
        <v>Mudd's Women</v>
      </c>
      <c r="L28" s="5">
        <f>VLOOKUP($A28,tropes!$A$4:$O$2428,12,FALSE)</f>
        <v>1</v>
      </c>
      <c r="M28" s="5">
        <f>VLOOKUP($A28,tropes!$A$4:$O$2428,13,FALSE)</f>
        <v>6</v>
      </c>
      <c r="N28" s="5"/>
    </row>
    <row r="29" spans="1:14" x14ac:dyDescent="0.3">
      <c r="A29" s="14">
        <v>1190</v>
      </c>
      <c r="B29" s="5" t="str">
        <f>VLOOKUP($A29,tropes!$A$4:$O$2428,2,FALSE)</f>
        <v>Girl Of The Week</v>
      </c>
      <c r="C29" s="5" t="str">
        <f>VLOOKUP($A29,tropes!$A$4:$O$2428,3,FALSE)</f>
        <v>love</v>
      </c>
      <c r="D29" s="5" t="str">
        <f>VLOOKUP($A29,tropes!$A$4:$O$2428,4,FALSE)</f>
        <v>girl_of_the_week</v>
      </c>
      <c r="E29" s="5" t="str">
        <f>VLOOKUP($A29,tropes!$A$4:$O$2428,5,FALSE)</f>
        <v>Ruth, an old flame, is a facsimile on the shore leave planet.</v>
      </c>
      <c r="F29" s="5" t="str">
        <f>VLOOKUP($A29,tropes!$A$4:$O$2428,6,FALSE)</f>
        <v>kirk</v>
      </c>
      <c r="G29" s="5">
        <f>VLOOKUP($A29,tropes!$A$4:$O$2428,7,FALSE)</f>
        <v>0</v>
      </c>
      <c r="H29" s="5">
        <f>VLOOKUP($A29,tropes!$A$4:$O$2428,8,FALSE)</f>
        <v>0</v>
      </c>
      <c r="I29" s="5">
        <f>VLOOKUP($A29,tropes!$A$4:$O$2428,9,FALSE)</f>
        <v>115</v>
      </c>
      <c r="J29" s="5">
        <f>VLOOKUP($A29,tropes!$A$4:$O$2428,10,FALSE)</f>
        <v>16</v>
      </c>
      <c r="K29" s="5" t="str">
        <f>VLOOKUP($A29,tropes!$A$4:$O$2428,11,FALSE)</f>
        <v>Shore Leave</v>
      </c>
      <c r="L29" s="5">
        <f>VLOOKUP($A29,tropes!$A$4:$O$2428,12,FALSE)</f>
        <v>1</v>
      </c>
      <c r="M29" s="5">
        <f>VLOOKUP($A29,tropes!$A$4:$O$2428,13,FALSE)</f>
        <v>15</v>
      </c>
      <c r="N29" s="5"/>
    </row>
    <row r="30" spans="1:14" x14ac:dyDescent="0.3">
      <c r="A30" s="14">
        <v>419</v>
      </c>
      <c r="B30" s="5" t="str">
        <f>VLOOKUP($A30,tropes!$A$4:$O$2428,2,FALSE)</f>
        <v>Girl Of The Week</v>
      </c>
      <c r="C30" s="5" t="str">
        <f>VLOOKUP($A30,tropes!$A$4:$O$2428,3,FALSE)</f>
        <v>love</v>
      </c>
      <c r="D30" s="5" t="str">
        <f>VLOOKUP($A30,tropes!$A$4:$O$2428,4,FALSE)</f>
        <v>girl_of_the_week</v>
      </c>
      <c r="E30" s="5" t="str">
        <f>VLOOKUP($A30,tropes!$A$4:$O$2428,5,FALSE)</f>
        <v>Sayana, the native young woman.</v>
      </c>
      <c r="F30" s="5" t="str">
        <f>VLOOKUP($A30,tropes!$A$4:$O$2428,6,FALSE)</f>
        <v>xxx</v>
      </c>
      <c r="G30" s="5">
        <f>VLOOKUP($A30,tropes!$A$4:$O$2428,7,FALSE)</f>
        <v>0</v>
      </c>
      <c r="H30" s="5">
        <f>VLOOKUP($A30,tropes!$A$4:$O$2428,8,FALSE)</f>
        <v>0</v>
      </c>
      <c r="I30" s="5">
        <f>VLOOKUP($A30,tropes!$A$4:$O$2428,9,FALSE)</f>
        <v>205</v>
      </c>
      <c r="J30" s="5">
        <f>VLOOKUP($A30,tropes!$A$4:$O$2428,10,FALSE)</f>
        <v>35</v>
      </c>
      <c r="K30" s="5" t="str">
        <f>VLOOKUP($A30,tropes!$A$4:$O$2428,11,FALSE)</f>
        <v>The Apple</v>
      </c>
      <c r="L30" s="5">
        <f>VLOOKUP($A30,tropes!$A$4:$O$2428,12,FALSE)</f>
        <v>2</v>
      </c>
      <c r="M30" s="5">
        <f>VLOOKUP($A30,tropes!$A$4:$O$2428,13,FALSE)</f>
        <v>5</v>
      </c>
      <c r="N30" s="5"/>
    </row>
    <row r="31" spans="1:14" x14ac:dyDescent="0.3">
      <c r="A31" s="14">
        <v>2472</v>
      </c>
      <c r="B31" s="5" t="str">
        <f>VLOOKUP($A31,tropes!$A$4:$O$2428,2,FALSE)</f>
        <v>Girl Of The Week</v>
      </c>
      <c r="C31" s="5" t="str">
        <f>VLOOKUP($A31,tropes!$A$4:$O$2428,3,FALSE)</f>
        <v>love</v>
      </c>
      <c r="D31" s="5" t="str">
        <f>VLOOKUP($A31,tropes!$A$4:$O$2428,4,FALSE)</f>
        <v>girl_of_the_week</v>
      </c>
      <c r="E31" s="5" t="str">
        <f>VLOOKUP($A31,tropes!$A$4:$O$2428,5,FALSE)</f>
        <v>Sylvia, The female magician. First time she's ever had a human form.</v>
      </c>
      <c r="F31" s="5" t="str">
        <f>VLOOKUP($A31,tropes!$A$4:$O$2428,6,FALSE)</f>
        <v>kirk</v>
      </c>
      <c r="G31" s="5">
        <f>VLOOKUP($A31,tropes!$A$4:$O$2428,7,FALSE)</f>
        <v>0</v>
      </c>
      <c r="H31" s="5">
        <f>VLOOKUP($A31,tropes!$A$4:$O$2428,8,FALSE)</f>
        <v>0</v>
      </c>
      <c r="I31" s="5">
        <f>VLOOKUP($A31,tropes!$A$4:$O$2428,9,FALSE)</f>
        <v>207</v>
      </c>
      <c r="J31" s="5">
        <f>VLOOKUP($A31,tropes!$A$4:$O$2428,10,FALSE)</f>
        <v>37</v>
      </c>
      <c r="K31" s="5" t="str">
        <f>VLOOKUP($A31,tropes!$A$4:$O$2428,11,FALSE)</f>
        <v>Catspaw</v>
      </c>
      <c r="L31" s="5">
        <f>VLOOKUP($A31,tropes!$A$4:$O$2428,12,FALSE)</f>
        <v>2</v>
      </c>
      <c r="M31" s="5">
        <f>VLOOKUP($A31,tropes!$A$4:$O$2428,13,FALSE)</f>
        <v>7</v>
      </c>
      <c r="N31" s="5"/>
    </row>
    <row r="32" spans="1:14" x14ac:dyDescent="0.3">
      <c r="A32" s="14">
        <v>1936</v>
      </c>
      <c r="B32" s="5" t="str">
        <f>VLOOKUP($A32,tropes!$A$4:$O$2428,2,FALSE)</f>
        <v>Girl Of The Week</v>
      </c>
      <c r="C32" s="5" t="str">
        <f>VLOOKUP($A32,tropes!$A$4:$O$2428,3,FALSE)</f>
        <v>love</v>
      </c>
      <c r="D32" s="5" t="str">
        <f>VLOOKUP($A32,tropes!$A$4:$O$2428,4,FALSE)</f>
        <v>girl_of_the_week</v>
      </c>
      <c r="E32" s="5" t="str">
        <f>VLOOKUP($A32,tropes!$A$4:$O$2428,5,FALSE)</f>
        <v>The Alice series androids</v>
      </c>
      <c r="F32" s="5" t="str">
        <f>VLOOKUP($A32,tropes!$A$4:$O$2428,6,FALSE)</f>
        <v>chekov</v>
      </c>
      <c r="G32" s="5">
        <f>VLOOKUP($A32,tropes!$A$4:$O$2428,7,FALSE)</f>
        <v>0</v>
      </c>
      <c r="H32" s="5">
        <f>VLOOKUP($A32,tropes!$A$4:$O$2428,8,FALSE)</f>
        <v>0</v>
      </c>
      <c r="I32" s="5">
        <f>VLOOKUP($A32,tropes!$A$4:$O$2428,9,FALSE)</f>
        <v>208</v>
      </c>
      <c r="J32" s="5">
        <f>VLOOKUP($A32,tropes!$A$4:$O$2428,10,FALSE)</f>
        <v>38</v>
      </c>
      <c r="K32" s="5" t="str">
        <f>VLOOKUP($A32,tropes!$A$4:$O$2428,11,FALSE)</f>
        <v>I, Mudd</v>
      </c>
      <c r="L32" s="5">
        <f>VLOOKUP($A32,tropes!$A$4:$O$2428,12,FALSE)</f>
        <v>2</v>
      </c>
      <c r="M32" s="5">
        <f>VLOOKUP($A32,tropes!$A$4:$O$2428,13,FALSE)</f>
        <v>8</v>
      </c>
      <c r="N32" s="5"/>
    </row>
    <row r="33" spans="1:14" x14ac:dyDescent="0.3">
      <c r="A33" s="14">
        <v>397</v>
      </c>
      <c r="B33" s="5" t="str">
        <f>VLOOKUP($A33,tropes!$A$4:$O$2428,2,FALSE)</f>
        <v>Girl Of The Week</v>
      </c>
      <c r="C33" s="5" t="str">
        <f>VLOOKUP($A33,tropes!$A$4:$O$2428,3,FALSE)</f>
        <v>love</v>
      </c>
      <c r="D33" s="5" t="str">
        <f>VLOOKUP($A33,tropes!$A$4:$O$2428,4,FALSE)</f>
        <v>girl_of_the_week</v>
      </c>
      <c r="E33" s="5" t="str">
        <f>VLOOKUP($A33,tropes!$A$4:$O$2428,5,FALSE)</f>
        <v>The Companions is a collection of gases, energy, and electrical impulse.</v>
      </c>
      <c r="F33" s="5" t="str">
        <f>VLOOKUP($A33,tropes!$A$4:$O$2428,6,FALSE)</f>
        <v>xxx</v>
      </c>
      <c r="G33" s="5">
        <f>VLOOKUP($A33,tropes!$A$4:$O$2428,7,FALSE)</f>
        <v>0</v>
      </c>
      <c r="H33" s="5">
        <f>VLOOKUP($A33,tropes!$A$4:$O$2428,8,FALSE)</f>
        <v>0</v>
      </c>
      <c r="I33" s="5">
        <f>VLOOKUP($A33,tropes!$A$4:$O$2428,9,FALSE)</f>
        <v>209</v>
      </c>
      <c r="J33" s="5">
        <f>VLOOKUP($A33,tropes!$A$4:$O$2428,10,FALSE)</f>
        <v>39</v>
      </c>
      <c r="K33" s="5" t="str">
        <f>VLOOKUP($A33,tropes!$A$4:$O$2428,11,FALSE)</f>
        <v>Metamorphosis</v>
      </c>
      <c r="L33" s="5">
        <f>VLOOKUP($A33,tropes!$A$4:$O$2428,12,FALSE)</f>
        <v>2</v>
      </c>
      <c r="M33" s="5">
        <f>VLOOKUP($A33,tropes!$A$4:$O$2428,13,FALSE)</f>
        <v>9</v>
      </c>
      <c r="N33" s="5"/>
    </row>
    <row r="34" spans="1:14" x14ac:dyDescent="0.3">
      <c r="A34" s="14">
        <v>2406</v>
      </c>
      <c r="B34" s="5" t="str">
        <f>VLOOKUP($A34,tropes!$A$4:$O$2428,2,FALSE)</f>
        <v>Girl Of The Week</v>
      </c>
      <c r="C34" s="5" t="str">
        <f>VLOOKUP($A34,tropes!$A$4:$O$2428,3,FALSE)</f>
        <v>love</v>
      </c>
      <c r="D34" s="5" t="str">
        <f>VLOOKUP($A34,tropes!$A$4:$O$2428,4,FALSE)</f>
        <v>girl_of_the_week</v>
      </c>
      <c r="E34" s="5" t="str">
        <f>VLOOKUP($A34,tropes!$A$4:$O$2428,5,FALSE)</f>
        <v>T'Pring, Spock's betrothed from his childhood.</v>
      </c>
      <c r="F34" s="5" t="str">
        <f>VLOOKUP($A34,tropes!$A$4:$O$2428,6,FALSE)</f>
        <v>spock</v>
      </c>
      <c r="G34" s="5">
        <f>VLOOKUP($A34,tropes!$A$4:$O$2428,7,FALSE)</f>
        <v>0</v>
      </c>
      <c r="H34" s="5">
        <f>VLOOKUP($A34,tropes!$A$4:$O$2428,8,FALSE)</f>
        <v>0</v>
      </c>
      <c r="I34" s="5">
        <f>VLOOKUP($A34,tropes!$A$4:$O$2428,9,FALSE)</f>
        <v>201</v>
      </c>
      <c r="J34" s="5">
        <f>VLOOKUP($A34,tropes!$A$4:$O$2428,10,FALSE)</f>
        <v>31</v>
      </c>
      <c r="K34" s="5" t="str">
        <f>VLOOKUP($A34,tropes!$A$4:$O$2428,11,FALSE)</f>
        <v>Amok Time</v>
      </c>
      <c r="L34" s="5">
        <f>VLOOKUP($A34,tropes!$A$4:$O$2428,12,FALSE)</f>
        <v>2</v>
      </c>
      <c r="M34" s="5">
        <f>VLOOKUP($A34,tropes!$A$4:$O$2428,13,FALSE)</f>
        <v>1</v>
      </c>
      <c r="N34" s="5"/>
    </row>
    <row r="35" spans="1:14" x14ac:dyDescent="0.3">
      <c r="A35" s="14">
        <v>162</v>
      </c>
      <c r="B35" s="5" t="str">
        <f>VLOOKUP($A35,tropes!$A$4:$O$2428,2,FALSE)</f>
        <v>Girl Of The Week</v>
      </c>
      <c r="C35" s="5" t="str">
        <f>VLOOKUP($A35,tropes!$A$4:$O$2428,3,FALSE)</f>
        <v>love</v>
      </c>
      <c r="D35" s="5" t="str">
        <f>VLOOKUP($A35,tropes!$A$4:$O$2428,4,FALSE)</f>
        <v>girl_of_the_week</v>
      </c>
      <c r="E35" s="5" t="str">
        <f>VLOOKUP($A35,tropes!$A$4:$O$2428,5,FALSE)</f>
        <v>Yeoman Martha Landon is Chekov's current squeeze.</v>
      </c>
      <c r="F35" s="5" t="str">
        <f>VLOOKUP($A35,tropes!$A$4:$O$2428,6,FALSE)</f>
        <v>chekov</v>
      </c>
      <c r="G35" s="5">
        <f>VLOOKUP($A35,tropes!$A$4:$O$2428,7,FALSE)</f>
        <v>0</v>
      </c>
      <c r="H35" s="5">
        <f>VLOOKUP($A35,tropes!$A$4:$O$2428,8,FALSE)</f>
        <v>0</v>
      </c>
      <c r="I35" s="5">
        <f>VLOOKUP($A35,tropes!$A$4:$O$2428,9,FALSE)</f>
        <v>205</v>
      </c>
      <c r="J35" s="5">
        <f>VLOOKUP($A35,tropes!$A$4:$O$2428,10,FALSE)</f>
        <v>35</v>
      </c>
      <c r="K35" s="5" t="str">
        <f>VLOOKUP($A35,tropes!$A$4:$O$2428,11,FALSE)</f>
        <v>The Apple</v>
      </c>
      <c r="L35" s="5">
        <f>VLOOKUP($A35,tropes!$A$4:$O$2428,12,FALSE)</f>
        <v>2</v>
      </c>
      <c r="M35" s="5">
        <f>VLOOKUP($A35,tropes!$A$4:$O$2428,13,FALSE)</f>
        <v>5</v>
      </c>
      <c r="N35" s="5"/>
    </row>
    <row r="36" spans="1:14" x14ac:dyDescent="0.3">
      <c r="A36" s="14">
        <v>2903</v>
      </c>
      <c r="B36" s="5" t="str">
        <f>VLOOKUP($A36,tropes!$A$4:$O$2428,2,FALSE)</f>
        <v>Girl Of The Week</v>
      </c>
      <c r="C36" s="5" t="str">
        <f>VLOOKUP($A36,tropes!$A$4:$O$2428,3,FALSE)</f>
        <v>love</v>
      </c>
      <c r="D36" s="5" t="str">
        <f>VLOOKUP($A36,tropes!$A$4:$O$2428,4,FALSE)</f>
        <v>girl_of_the_week</v>
      </c>
      <c r="E36" s="5" t="str">
        <f>VLOOKUP($A36,tropes!$A$4:$O$2428,5,FALSE)</f>
        <v>Yeoman Ross, another in a line of indistinguishable yeomans.</v>
      </c>
      <c r="F36" s="5" t="str">
        <f>VLOOKUP($A36,tropes!$A$4:$O$2428,6,FALSE)</f>
        <v>xxx</v>
      </c>
      <c r="G36" s="5">
        <f>VLOOKUP($A36,tropes!$A$4:$O$2428,7,FALSE)</f>
        <v>0</v>
      </c>
      <c r="H36" s="5">
        <f>VLOOKUP($A36,tropes!$A$4:$O$2428,8,FALSE)</f>
        <v>0</v>
      </c>
      <c r="I36" s="5">
        <f>VLOOKUP($A36,tropes!$A$4:$O$2428,9,FALSE)</f>
        <v>117</v>
      </c>
      <c r="J36" s="5">
        <f>VLOOKUP($A36,tropes!$A$4:$O$2428,10,FALSE)</f>
        <v>18</v>
      </c>
      <c r="K36" s="5" t="str">
        <f>VLOOKUP($A36,tropes!$A$4:$O$2428,11,FALSE)</f>
        <v>The Squire of Gothos</v>
      </c>
      <c r="L36" s="5">
        <f>VLOOKUP($A36,tropes!$A$4:$O$2428,12,FALSE)</f>
        <v>1</v>
      </c>
      <c r="M36" s="5">
        <f>VLOOKUP($A36,tropes!$A$4:$O$2428,13,FALSE)</f>
        <v>17</v>
      </c>
      <c r="N36" s="5"/>
    </row>
    <row r="37" spans="1:14" x14ac:dyDescent="0.3">
      <c r="A37" s="14">
        <v>2461</v>
      </c>
      <c r="B37" s="5" t="str">
        <f>VLOOKUP($A37,tropes!$A$4:$O$2428,2,FALSE)</f>
        <v>Love Is In The Air</v>
      </c>
      <c r="C37" s="5" t="str">
        <f>VLOOKUP($A37,tropes!$A$4:$O$2428,3,FALSE)</f>
        <v>love</v>
      </c>
      <c r="D37" s="5" t="str">
        <f>VLOOKUP($A37,tropes!$A$4:$O$2428,4,FALSE)</f>
        <v>harassment</v>
      </c>
      <c r="E37" s="5" t="str">
        <f>VLOOKUP($A37,tropes!$A$4:$O$2428,5,FALSE)</f>
        <v>Sulu gets amorous for Uhura but she's not interested in him.</v>
      </c>
      <c r="F37" s="5" t="str">
        <f>VLOOKUP($A37,tropes!$A$4:$O$2428,6,FALSE)</f>
        <v>sulu</v>
      </c>
      <c r="G37" s="5">
        <f>VLOOKUP($A37,tropes!$A$4:$O$2428,7,FALSE)</f>
        <v>0</v>
      </c>
      <c r="H37" s="5">
        <f>VLOOKUP($A37,tropes!$A$4:$O$2428,8,FALSE)</f>
        <v>1</v>
      </c>
      <c r="I37" s="5">
        <f>VLOOKUP($A37,tropes!$A$4:$O$2428,9,FALSE)</f>
        <v>104</v>
      </c>
      <c r="J37" s="5">
        <f>VLOOKUP($A37,tropes!$A$4:$O$2428,10,FALSE)</f>
        <v>5</v>
      </c>
      <c r="K37" s="5" t="str">
        <f>VLOOKUP($A37,tropes!$A$4:$O$2428,11,FALSE)</f>
        <v>The Naked Time</v>
      </c>
      <c r="L37" s="5">
        <f>VLOOKUP($A37,tropes!$A$4:$O$2428,12,FALSE)</f>
        <v>1</v>
      </c>
      <c r="M37" s="5">
        <f>VLOOKUP($A37,tropes!$A$4:$O$2428,13,FALSE)</f>
        <v>4</v>
      </c>
      <c r="N37" s="5"/>
    </row>
    <row r="38" spans="1:14" x14ac:dyDescent="0.3">
      <c r="A38" s="14">
        <v>1786</v>
      </c>
      <c r="B38" s="5" t="str">
        <f>VLOOKUP($A38,tropes!$A$4:$O$2428,2,FALSE)</f>
        <v>Fake Love***</v>
      </c>
      <c r="C38" s="5" t="str">
        <f>VLOOKUP($A38,tropes!$A$4:$O$2428,3,FALSE)</f>
        <v>love</v>
      </c>
      <c r="D38" s="5" t="str">
        <f>VLOOKUP($A38,tropes!$A$4:$O$2428,4,FALSE)</f>
        <v>lecherous</v>
      </c>
      <c r="E38" s="5" t="str">
        <f>VLOOKUP($A38,tropes!$A$4:$O$2428,5,FALSE)</f>
        <v>Dr. Helen Noel plants fake memory of kiss in Kirks mind with the Neural Neutralizer.</v>
      </c>
      <c r="F38" s="5" t="str">
        <f>VLOOKUP($A38,tropes!$A$4:$O$2428,6,FALSE)</f>
        <v>noel</v>
      </c>
      <c r="G38" s="5">
        <f>VLOOKUP($A38,tropes!$A$4:$O$2428,7,FALSE)</f>
        <v>0</v>
      </c>
      <c r="H38" s="5">
        <f>VLOOKUP($A38,tropes!$A$4:$O$2428,8,FALSE)</f>
        <v>0</v>
      </c>
      <c r="I38" s="5">
        <f>VLOOKUP($A38,tropes!$A$4:$O$2428,9,FALSE)</f>
        <v>109</v>
      </c>
      <c r="J38" s="5">
        <f>VLOOKUP($A38,tropes!$A$4:$O$2428,10,FALSE)</f>
        <v>10</v>
      </c>
      <c r="K38" s="5" t="str">
        <f>VLOOKUP($A38,tropes!$A$4:$O$2428,11,FALSE)</f>
        <v>Dagger of the Mind</v>
      </c>
      <c r="L38" s="5">
        <f>VLOOKUP($A38,tropes!$A$4:$O$2428,12,FALSE)</f>
        <v>1</v>
      </c>
      <c r="M38" s="5">
        <f>VLOOKUP($A38,tropes!$A$4:$O$2428,13,FALSE)</f>
        <v>9</v>
      </c>
      <c r="N38" s="5"/>
    </row>
    <row r="39" spans="1:14" x14ac:dyDescent="0.3">
      <c r="A39" s="14">
        <v>2362</v>
      </c>
      <c r="B39" s="5" t="str">
        <f>VLOOKUP($A39,tropes!$A$4:$O$2428,2,FALSE)</f>
        <v>Tears Of Remorse</v>
      </c>
      <c r="C39" s="5" t="str">
        <f>VLOOKUP($A39,tropes!$A$4:$O$2428,3,FALSE)</f>
        <v>love</v>
      </c>
      <c r="D39" s="5" t="str">
        <f>VLOOKUP($A39,tropes!$A$4:$O$2428,4,FALSE)</f>
        <v>lost</v>
      </c>
      <c r="E39" s="5" t="str">
        <f>VLOOKUP($A39,tropes!$A$4:$O$2428,5,FALSE)</f>
        <v>Lella cries when she realizes Spock is no longer affected by the spores.</v>
      </c>
      <c r="F39" s="5" t="str">
        <f>VLOOKUP($A39,tropes!$A$4:$O$2428,6,FALSE)</f>
        <v>lella</v>
      </c>
      <c r="G39" s="5">
        <f>VLOOKUP($A39,tropes!$A$4:$O$2428,7,FALSE)</f>
        <v>0</v>
      </c>
      <c r="H39" s="5">
        <f>VLOOKUP($A39,tropes!$A$4:$O$2428,8,FALSE)</f>
        <v>0</v>
      </c>
      <c r="I39" s="5">
        <f>VLOOKUP($A39,tropes!$A$4:$O$2428,9,FALSE)</f>
        <v>124</v>
      </c>
      <c r="J39" s="5">
        <f>VLOOKUP($A39,tropes!$A$4:$O$2428,10,FALSE)</f>
        <v>25</v>
      </c>
      <c r="K39" s="5" t="str">
        <f>VLOOKUP($A39,tropes!$A$4:$O$2428,11,FALSE)</f>
        <v>This Side of Paradise</v>
      </c>
      <c r="L39" s="5">
        <f>VLOOKUP($A39,tropes!$A$4:$O$2428,12,FALSE)</f>
        <v>1</v>
      </c>
      <c r="M39" s="5">
        <f>VLOOKUP($A39,tropes!$A$4:$O$2428,13,FALSE)</f>
        <v>24</v>
      </c>
      <c r="N39" s="5"/>
    </row>
    <row r="40" spans="1:14" x14ac:dyDescent="0.3">
      <c r="A40" s="14">
        <v>1474</v>
      </c>
      <c r="B40" s="5" t="str">
        <f>VLOOKUP($A40,tropes!$A$4:$O$2428,2,FALSE)</f>
        <v>Retroirony</v>
      </c>
      <c r="C40" s="5" t="str">
        <f>VLOOKUP($A40,tropes!$A$4:$O$2428,3,FALSE)</f>
        <v>love</v>
      </c>
      <c r="D40" s="5" t="str">
        <f>VLOOKUP($A40,tropes!$A$4:$O$2428,4,FALSE)</f>
        <v>lost</v>
      </c>
      <c r="E40" s="5" t="str">
        <f>VLOOKUP($A40,tropes!$A$4:$O$2428,5,FALSE)</f>
        <v>Lt. Angela Martinez wedding is interrupted in the intro. Her to-be husband dies before the episode ends.</v>
      </c>
      <c r="F40" s="5" t="str">
        <f>VLOOKUP($A40,tropes!$A$4:$O$2428,6,FALSE)</f>
        <v>martinez</v>
      </c>
      <c r="G40" s="5">
        <f>VLOOKUP($A40,tropes!$A$4:$O$2428,7,FALSE)</f>
        <v>0</v>
      </c>
      <c r="H40" s="5">
        <f>VLOOKUP($A40,tropes!$A$4:$O$2428,8,FALSE)</f>
        <v>0</v>
      </c>
      <c r="I40" s="5">
        <f>VLOOKUP($A40,tropes!$A$4:$O$2428,9,FALSE)</f>
        <v>114</v>
      </c>
      <c r="J40" s="5">
        <f>VLOOKUP($A40,tropes!$A$4:$O$2428,10,FALSE)</f>
        <v>15</v>
      </c>
      <c r="K40" s="5" t="str">
        <f>VLOOKUP($A40,tropes!$A$4:$O$2428,11,FALSE)</f>
        <v>Balance of Terror</v>
      </c>
      <c r="L40" s="5">
        <f>VLOOKUP($A40,tropes!$A$4:$O$2428,12,FALSE)</f>
        <v>1</v>
      </c>
      <c r="M40" s="5">
        <f>VLOOKUP($A40,tropes!$A$4:$O$2428,13,FALSE)</f>
        <v>14</v>
      </c>
      <c r="N40" s="5"/>
    </row>
    <row r="41" spans="1:14" x14ac:dyDescent="0.3">
      <c r="A41" s="14">
        <v>1808</v>
      </c>
      <c r="B41" s="5" t="str">
        <f>VLOOKUP($A41,tropes!$A$4:$O$2428,2,FALSE)</f>
        <v>Career Versus Man</v>
      </c>
      <c r="C41" s="5" t="str">
        <f>VLOOKUP($A41,tropes!$A$4:$O$2428,3,FALSE)</f>
        <v>love</v>
      </c>
      <c r="D41" s="5" t="str">
        <f>VLOOKUP($A41,tropes!$A$4:$O$2428,4,FALSE)</f>
        <v>modern_woman</v>
      </c>
      <c r="E41" s="5" t="str">
        <f>VLOOKUP($A41,tropes!$A$4:$O$2428,5,FALSE)</f>
        <v>Lt. Carolyn Palamas must choose between Apollo and her duty. Early on, Bones even discussed the trope.</v>
      </c>
      <c r="F41" s="5" t="str">
        <f>VLOOKUP($A41,tropes!$A$4:$O$2428,6,FALSE)</f>
        <v>palamas</v>
      </c>
      <c r="G41" s="5">
        <f>VLOOKUP($A41,tropes!$A$4:$O$2428,7,FALSE)</f>
        <v>0</v>
      </c>
      <c r="H41" s="5">
        <f>VLOOKUP($A41,tropes!$A$4:$O$2428,8,FALSE)</f>
        <v>0</v>
      </c>
      <c r="I41" s="5">
        <f>VLOOKUP($A41,tropes!$A$4:$O$2428,9,FALSE)</f>
        <v>202</v>
      </c>
      <c r="J41" s="5">
        <f>VLOOKUP($A41,tropes!$A$4:$O$2428,10,FALSE)</f>
        <v>32</v>
      </c>
      <c r="K41" s="5" t="str">
        <f>VLOOKUP($A41,tropes!$A$4:$O$2428,11,FALSE)</f>
        <v>Who Mourns for Adonais?</v>
      </c>
      <c r="L41" s="5">
        <f>VLOOKUP($A41,tropes!$A$4:$O$2428,12,FALSE)</f>
        <v>2</v>
      </c>
      <c r="M41" s="5">
        <f>VLOOKUP($A41,tropes!$A$4:$O$2428,13,FALSE)</f>
        <v>2</v>
      </c>
      <c r="N41" s="5"/>
    </row>
    <row r="42" spans="1:14" x14ac:dyDescent="0.3">
      <c r="A42" s="14">
        <v>83</v>
      </c>
      <c r="B42" s="5" t="str">
        <f>VLOOKUP($A42,tropes!$A$4:$O$2428,2,FALSE)</f>
        <v>Non-Human Lover Revealed</v>
      </c>
      <c r="C42" s="5" t="str">
        <f>VLOOKUP($A42,tropes!$A$4:$O$2428,3,FALSE)</f>
        <v>love</v>
      </c>
      <c r="D42" s="5" t="str">
        <f>VLOOKUP($A42,tropes!$A$4:$O$2428,4,FALSE)</f>
        <v>non_human</v>
      </c>
      <c r="E42" s="5" t="str">
        <f>VLOOKUP($A42,tropes!$A$4:$O$2428,5,FALSE)</f>
        <v>Andrea is revealed to be an android.</v>
      </c>
      <c r="F42" s="5" t="str">
        <f>VLOOKUP($A42,tropes!$A$4:$O$2428,6,FALSE)</f>
        <v>andreaRobot</v>
      </c>
      <c r="G42" s="5">
        <f>VLOOKUP($A42,tropes!$A$4:$O$2428,7,FALSE)</f>
        <v>0</v>
      </c>
      <c r="H42" s="5">
        <f>VLOOKUP($A42,tropes!$A$4:$O$2428,8,FALSE)</f>
        <v>0</v>
      </c>
      <c r="I42" s="5">
        <f>VLOOKUP($A42,tropes!$A$4:$O$2428,9,FALSE)</f>
        <v>107</v>
      </c>
      <c r="J42" s="5">
        <f>VLOOKUP($A42,tropes!$A$4:$O$2428,10,FALSE)</f>
        <v>8</v>
      </c>
      <c r="K42" s="5" t="str">
        <f>VLOOKUP($A42,tropes!$A$4:$O$2428,11,FALSE)</f>
        <v>What Are Little Girls Made Of?</v>
      </c>
      <c r="L42" s="5">
        <f>VLOOKUP($A42,tropes!$A$4:$O$2428,12,FALSE)</f>
        <v>1</v>
      </c>
      <c r="M42" s="5">
        <f>VLOOKUP($A42,tropes!$A$4:$O$2428,13,FALSE)</f>
        <v>7</v>
      </c>
      <c r="N42" s="5"/>
    </row>
    <row r="43" spans="1:14" x14ac:dyDescent="0.3">
      <c r="A43" s="14">
        <v>127</v>
      </c>
      <c r="B43" s="5" t="str">
        <f>VLOOKUP($A43,tropes!$A$4:$O$2428,2,FALSE)</f>
        <v>Non-Human Lover Revealed</v>
      </c>
      <c r="C43" s="5" t="str">
        <f>VLOOKUP($A43,tropes!$A$4:$O$2428,3,FALSE)</f>
        <v>love</v>
      </c>
      <c r="D43" s="5" t="str">
        <f>VLOOKUP($A43,tropes!$A$4:$O$2428,4,FALSE)</f>
        <v>non_human</v>
      </c>
      <c r="E43" s="5" t="str">
        <f>VLOOKUP($A43,tropes!$A$4:$O$2428,5,FALSE)</f>
        <v>Dr. Korby is revealed to Nurse Chapel to be an android.</v>
      </c>
      <c r="F43" s="5" t="str">
        <f>VLOOKUP($A43,tropes!$A$4:$O$2428,6,FALSE)</f>
        <v>chapel</v>
      </c>
      <c r="G43" s="5">
        <f>VLOOKUP($A43,tropes!$A$4:$O$2428,7,FALSE)</f>
        <v>0</v>
      </c>
      <c r="H43" s="5">
        <f>VLOOKUP($A43,tropes!$A$4:$O$2428,8,FALSE)</f>
        <v>0</v>
      </c>
      <c r="I43" s="5">
        <f>VLOOKUP($A43,tropes!$A$4:$O$2428,9,FALSE)</f>
        <v>107</v>
      </c>
      <c r="J43" s="5">
        <f>VLOOKUP($A43,tropes!$A$4:$O$2428,10,FALSE)</f>
        <v>8</v>
      </c>
      <c r="K43" s="5" t="str">
        <f>VLOOKUP($A43,tropes!$A$4:$O$2428,11,FALSE)</f>
        <v>What Are Little Girls Made Of?</v>
      </c>
      <c r="L43" s="5">
        <f>VLOOKUP($A43,tropes!$A$4:$O$2428,12,FALSE)</f>
        <v>1</v>
      </c>
      <c r="M43" s="5">
        <f>VLOOKUP($A43,tropes!$A$4:$O$2428,13,FALSE)</f>
        <v>7</v>
      </c>
      <c r="N43" s="5"/>
    </row>
    <row r="44" spans="1:14" x14ac:dyDescent="0.3">
      <c r="A44" s="14">
        <v>380</v>
      </c>
      <c r="B44" s="5" t="str">
        <f>VLOOKUP($A44,tropes!$A$4:$O$2428,2,FALSE)</f>
        <v>Mayfly-December Romance</v>
      </c>
      <c r="C44" s="5" t="str">
        <f>VLOOKUP($A44,tropes!$A$4:$O$2428,3,FALSE)</f>
        <v>love</v>
      </c>
      <c r="D44" s="5" t="str">
        <f>VLOOKUP($A44,tropes!$A$4:$O$2428,4,FALSE)</f>
        <v>non_human</v>
      </c>
      <c r="E44" s="5" t="str">
        <f>VLOOKUP($A44,tropes!$A$4:$O$2428,5,FALSE)</f>
        <v>Flint creates a robot mate to live with him forever.</v>
      </c>
      <c r="F44" s="5" t="str">
        <f>VLOOKUP($A44,tropes!$A$4:$O$2428,6,FALSE)</f>
        <v>human</v>
      </c>
      <c r="G44" s="5">
        <f>VLOOKUP($A44,tropes!$A$4:$O$2428,7,FALSE)</f>
        <v>0</v>
      </c>
      <c r="H44" s="5">
        <f>VLOOKUP($A44,tropes!$A$4:$O$2428,8,FALSE)</f>
        <v>0</v>
      </c>
      <c r="I44" s="5">
        <f>VLOOKUP($A44,tropes!$A$4:$O$2428,9,FALSE)</f>
        <v>319</v>
      </c>
      <c r="J44" s="5">
        <f>VLOOKUP($A44,tropes!$A$4:$O$2428,10,FALSE)</f>
        <v>75</v>
      </c>
      <c r="K44" s="5" t="str">
        <f>VLOOKUP($A44,tropes!$A$4:$O$2428,11,FALSE)</f>
        <v>Requiem for Methuselah</v>
      </c>
      <c r="L44" s="5">
        <f>VLOOKUP($A44,tropes!$A$4:$O$2428,12,FALSE)</f>
        <v>3</v>
      </c>
      <c r="M44" s="5">
        <f>VLOOKUP($A44,tropes!$A$4:$O$2428,13,FALSE)</f>
        <v>19</v>
      </c>
      <c r="N44" s="5"/>
    </row>
    <row r="45" spans="1:14" x14ac:dyDescent="0.3">
      <c r="A45" s="14">
        <v>4</v>
      </c>
      <c r="B45" s="5" t="str">
        <f>VLOOKUP($A45,tropes!$A$4:$O$2428,2,FALSE)</f>
        <v>Non-Human Lover Revealed</v>
      </c>
      <c r="C45" s="5" t="str">
        <f>VLOOKUP($A45,tropes!$A$4:$O$2428,3,FALSE)</f>
        <v>love</v>
      </c>
      <c r="D45" s="5" t="str">
        <f>VLOOKUP($A45,tropes!$A$4:$O$2428,4,FALSE)</f>
        <v>non_human</v>
      </c>
      <c r="E45" s="5" t="str">
        <f>VLOOKUP($A45,tropes!$A$4:$O$2428,5,FALSE)</f>
        <v>Nancy Crater is revealed to be the Salt Creature that killed the original Nancy Crater years ago.</v>
      </c>
      <c r="F45" s="5" t="str">
        <f>VLOOKUP($A45,tropes!$A$4:$O$2428,6,FALSE)</f>
        <v>alien</v>
      </c>
      <c r="G45" s="5">
        <f>VLOOKUP($A45,tropes!$A$4:$O$2428,7,FALSE)</f>
        <v>0</v>
      </c>
      <c r="H45" s="5">
        <f>VLOOKUP($A45,tropes!$A$4:$O$2428,8,FALSE)</f>
        <v>0</v>
      </c>
      <c r="I45" s="5">
        <f>VLOOKUP($A45,tropes!$A$4:$O$2428,9,FALSE)</f>
        <v>101</v>
      </c>
      <c r="J45" s="5">
        <f>VLOOKUP($A45,tropes!$A$4:$O$2428,10,FALSE)</f>
        <v>2</v>
      </c>
      <c r="K45" s="5" t="str">
        <f>VLOOKUP($A45,tropes!$A$4:$O$2428,11,FALSE)</f>
        <v>The Man Trap</v>
      </c>
      <c r="L45" s="5">
        <f>VLOOKUP($A45,tropes!$A$4:$O$2428,12,FALSE)</f>
        <v>1</v>
      </c>
      <c r="M45" s="5">
        <f>VLOOKUP($A45,tropes!$A$4:$O$2428,13,FALSE)</f>
        <v>1</v>
      </c>
      <c r="N45" s="5"/>
    </row>
    <row r="46" spans="1:14" x14ac:dyDescent="0.3">
      <c r="A46" s="14">
        <v>1921</v>
      </c>
      <c r="B46" s="5" t="str">
        <f>VLOOKUP($A46,tropes!$A$4:$O$2428,2,FALSE)</f>
        <v>Robosexual</v>
      </c>
      <c r="C46" s="5" t="str">
        <f>VLOOKUP($A46,tropes!$A$4:$O$2428,3,FALSE)</f>
        <v>love</v>
      </c>
      <c r="D46" s="5" t="str">
        <f>VLOOKUP($A46,tropes!$A$4:$O$2428,4,FALSE)</f>
        <v>non_human</v>
      </c>
      <c r="E46" s="5" t="str">
        <f>VLOOKUP($A46,tropes!$A$4:$O$2428,5,FALSE)</f>
        <v>Was Dr. Korby having sex with Andrea the android or not?</v>
      </c>
      <c r="F46" s="5" t="str">
        <f>VLOOKUP($A46,tropes!$A$4:$O$2428,6,FALSE)</f>
        <v>robot</v>
      </c>
      <c r="G46" s="5">
        <f>VLOOKUP($A46,tropes!$A$4:$O$2428,7,FALSE)</f>
        <v>0</v>
      </c>
      <c r="H46" s="5">
        <f>VLOOKUP($A46,tropes!$A$4:$O$2428,8,FALSE)</f>
        <v>0</v>
      </c>
      <c r="I46" s="5">
        <f>VLOOKUP($A46,tropes!$A$4:$O$2428,9,FALSE)</f>
        <v>107</v>
      </c>
      <c r="J46" s="5">
        <f>VLOOKUP($A46,tropes!$A$4:$O$2428,10,FALSE)</f>
        <v>8</v>
      </c>
      <c r="K46" s="5" t="str">
        <f>VLOOKUP($A46,tropes!$A$4:$O$2428,11,FALSE)</f>
        <v>What Are Little Girls Made Of?</v>
      </c>
      <c r="L46" s="5">
        <f>VLOOKUP($A46,tropes!$A$4:$O$2428,12,FALSE)</f>
        <v>1</v>
      </c>
      <c r="M46" s="5">
        <f>VLOOKUP($A46,tropes!$A$4:$O$2428,13,FALSE)</f>
        <v>7</v>
      </c>
      <c r="N46" s="5"/>
    </row>
    <row r="47" spans="1:14" x14ac:dyDescent="0.3">
      <c r="A47" s="14">
        <v>389</v>
      </c>
      <c r="B47" s="5" t="str">
        <f>VLOOKUP($A47,tropes!$A$4:$O$2428,2,FALSE)</f>
        <v>love</v>
      </c>
      <c r="C47" s="5" t="str">
        <f>VLOOKUP($A47,tropes!$A$4:$O$2428,3,FALSE)</f>
        <v>love</v>
      </c>
      <c r="D47" s="5" t="str">
        <f>VLOOKUP($A47,tropes!$A$4:$O$2428,4,FALSE)</f>
        <v>non_human</v>
      </c>
      <c r="E47" s="5" t="str">
        <f>VLOOKUP($A47,tropes!$A$4:$O$2428,5,FALSE)</f>
        <v>Zefrem Cochrane is unaware the Companion loves him.</v>
      </c>
      <c r="F47" s="5" t="str">
        <f>VLOOKUP($A47,tropes!$A$4:$O$2428,6,FALSE)</f>
        <v>human</v>
      </c>
      <c r="G47" s="5">
        <f>VLOOKUP($A47,tropes!$A$4:$O$2428,7,FALSE)</f>
        <v>0</v>
      </c>
      <c r="H47" s="5">
        <f>VLOOKUP($A47,tropes!$A$4:$O$2428,8,FALSE)</f>
        <v>0</v>
      </c>
      <c r="I47" s="5">
        <f>VLOOKUP($A47,tropes!$A$4:$O$2428,9,FALSE)</f>
        <v>209</v>
      </c>
      <c r="J47" s="5">
        <f>VLOOKUP($A47,tropes!$A$4:$O$2428,10,FALSE)</f>
        <v>39</v>
      </c>
      <c r="K47" s="5" t="str">
        <f>VLOOKUP($A47,tropes!$A$4:$O$2428,11,FALSE)</f>
        <v>Metamorphosis</v>
      </c>
      <c r="L47" s="5">
        <f>VLOOKUP($A47,tropes!$A$4:$O$2428,12,FALSE)</f>
        <v>2</v>
      </c>
      <c r="M47" s="5">
        <f>VLOOKUP($A47,tropes!$A$4:$O$2428,13,FALSE)</f>
        <v>9</v>
      </c>
      <c r="N47" s="5"/>
    </row>
    <row r="48" spans="1:14" x14ac:dyDescent="0.3">
      <c r="A48" s="14">
        <v>1209</v>
      </c>
      <c r="B48" s="5" t="str">
        <f>VLOOKUP($A48,tropes!$A$4:$O$2428,2,FALSE)</f>
        <v>New Old Flame</v>
      </c>
      <c r="C48" s="5" t="str">
        <f>VLOOKUP($A48,tropes!$A$4:$O$2428,3,FALSE)</f>
        <v>love</v>
      </c>
      <c r="D48" s="5" t="str">
        <f>VLOOKUP($A48,tropes!$A$4:$O$2428,4,FALSE)</f>
        <v>old_flame</v>
      </c>
      <c r="E48" s="5" t="str">
        <f>VLOOKUP($A48,tropes!$A$4:$O$2428,5,FALSE)</f>
        <v>Areel Shaw is a special woman from Kirk's past never to be heard of again.</v>
      </c>
      <c r="F48" s="5" t="str">
        <f>VLOOKUP($A48,tropes!$A$4:$O$2428,6,FALSE)</f>
        <v>kirk</v>
      </c>
      <c r="G48" s="5">
        <f>VLOOKUP($A48,tropes!$A$4:$O$2428,7,FALSE)</f>
        <v>1</v>
      </c>
      <c r="H48" s="5">
        <f>VLOOKUP($A48,tropes!$A$4:$O$2428,8,FALSE)</f>
        <v>0</v>
      </c>
      <c r="I48" s="5">
        <f>VLOOKUP($A48,tropes!$A$4:$O$2428,9,FALSE)</f>
        <v>120</v>
      </c>
      <c r="J48" s="5">
        <f>VLOOKUP($A48,tropes!$A$4:$O$2428,10,FALSE)</f>
        <v>21</v>
      </c>
      <c r="K48" s="5" t="str">
        <f>VLOOKUP($A48,tropes!$A$4:$O$2428,11,FALSE)</f>
        <v>Court Martial</v>
      </c>
      <c r="L48" s="5">
        <f>VLOOKUP($A48,tropes!$A$4:$O$2428,12,FALSE)</f>
        <v>1</v>
      </c>
      <c r="M48" s="5">
        <f>VLOOKUP($A48,tropes!$A$4:$O$2428,13,FALSE)</f>
        <v>20</v>
      </c>
      <c r="N48" s="5"/>
    </row>
    <row r="49" spans="1:14" x14ac:dyDescent="0.3">
      <c r="A49" s="14">
        <v>1193</v>
      </c>
      <c r="B49" s="5" t="str">
        <f>VLOOKUP($A49,tropes!$A$4:$O$2428,2,FALSE)</f>
        <v>Love Is In The Air</v>
      </c>
      <c r="C49" s="5" t="str">
        <f>VLOOKUP($A49,tropes!$A$4:$O$2428,3,FALSE)</f>
        <v>love</v>
      </c>
      <c r="D49" s="5" t="str">
        <f>VLOOKUP($A49,tropes!$A$4:$O$2428,4,FALSE)</f>
        <v>old_flame</v>
      </c>
      <c r="E49" s="5" t="str">
        <f>VLOOKUP($A49,tropes!$A$4:$O$2428,5,FALSE)</f>
        <v>Kirk goes off with the facsimile of Ruth, his old flame.</v>
      </c>
      <c r="F49" s="5" t="str">
        <f>VLOOKUP($A49,tropes!$A$4:$O$2428,6,FALSE)</f>
        <v>kirk</v>
      </c>
      <c r="G49" s="5">
        <f>VLOOKUP($A49,tropes!$A$4:$O$2428,7,FALSE)</f>
        <v>1</v>
      </c>
      <c r="H49" s="5">
        <f>VLOOKUP($A49,tropes!$A$4:$O$2428,8,FALSE)</f>
        <v>0</v>
      </c>
      <c r="I49" s="5">
        <f>VLOOKUP($A49,tropes!$A$4:$O$2428,9,FALSE)</f>
        <v>115</v>
      </c>
      <c r="J49" s="5">
        <f>VLOOKUP($A49,tropes!$A$4:$O$2428,10,FALSE)</f>
        <v>16</v>
      </c>
      <c r="K49" s="5" t="str">
        <f>VLOOKUP($A49,tropes!$A$4:$O$2428,11,FALSE)</f>
        <v>Shore Leave</v>
      </c>
      <c r="L49" s="5">
        <f>VLOOKUP($A49,tropes!$A$4:$O$2428,12,FALSE)</f>
        <v>1</v>
      </c>
      <c r="M49" s="5">
        <f>VLOOKUP($A49,tropes!$A$4:$O$2428,13,FALSE)</f>
        <v>15</v>
      </c>
      <c r="N49" s="5"/>
    </row>
    <row r="50" spans="1:14" x14ac:dyDescent="0.3">
      <c r="A50" s="14">
        <v>2353</v>
      </c>
      <c r="B50" s="5" t="str">
        <f>VLOOKUP($A50,tropes!$A$4:$O$2428,2,FALSE)</f>
        <v>New Old Flame</v>
      </c>
      <c r="C50" s="5" t="str">
        <f>VLOOKUP($A50,tropes!$A$4:$O$2428,3,FALSE)</f>
        <v>love</v>
      </c>
      <c r="D50" s="5" t="str">
        <f>VLOOKUP($A50,tropes!$A$4:$O$2428,4,FALSE)</f>
        <v>old_flame</v>
      </c>
      <c r="E50" s="5" t="str">
        <f>VLOOKUP($A50,tropes!$A$4:$O$2428,5,FALSE)</f>
        <v>Lella is an old flame of Spock.</v>
      </c>
      <c r="F50" s="5" t="str">
        <f>VLOOKUP($A50,tropes!$A$4:$O$2428,6,FALSE)</f>
        <v>spock</v>
      </c>
      <c r="G50" s="5">
        <f>VLOOKUP($A50,tropes!$A$4:$O$2428,7,FALSE)</f>
        <v>1</v>
      </c>
      <c r="H50" s="5">
        <f>VLOOKUP($A50,tropes!$A$4:$O$2428,8,FALSE)</f>
        <v>0</v>
      </c>
      <c r="I50" s="5">
        <f>VLOOKUP($A50,tropes!$A$4:$O$2428,9,FALSE)</f>
        <v>124</v>
      </c>
      <c r="J50" s="5">
        <f>VLOOKUP($A50,tropes!$A$4:$O$2428,10,FALSE)</f>
        <v>25</v>
      </c>
      <c r="K50" s="5" t="str">
        <f>VLOOKUP($A50,tropes!$A$4:$O$2428,11,FALSE)</f>
        <v>This Side of Paradise</v>
      </c>
      <c r="L50" s="5">
        <f>VLOOKUP($A50,tropes!$A$4:$O$2428,12,FALSE)</f>
        <v>1</v>
      </c>
      <c r="M50" s="5">
        <f>VLOOKUP($A50,tropes!$A$4:$O$2428,13,FALSE)</f>
        <v>24</v>
      </c>
      <c r="N50" s="5"/>
    </row>
    <row r="51" spans="1:14" x14ac:dyDescent="0.3">
      <c r="A51" s="14">
        <v>1705</v>
      </c>
      <c r="B51" s="5" t="str">
        <f>VLOOKUP($A51,tropes!$A$4:$O$2428,2,FALSE)</f>
        <v>New Old Flame</v>
      </c>
      <c r="C51" s="5" t="str">
        <f>VLOOKUP($A51,tropes!$A$4:$O$2428,3,FALSE)</f>
        <v>love</v>
      </c>
      <c r="D51" s="5" t="str">
        <f>VLOOKUP($A51,tropes!$A$4:$O$2428,4,FALSE)</f>
        <v>old_flame</v>
      </c>
      <c r="E51" s="5" t="str">
        <f>VLOOKUP($A51,tropes!$A$4:$O$2428,5,FALSE)</f>
        <v>McCoy's old flame, Nancy Crater.</v>
      </c>
      <c r="F51" s="5" t="str">
        <f>VLOOKUP($A51,tropes!$A$4:$O$2428,6,FALSE)</f>
        <v>mccoy</v>
      </c>
      <c r="G51" s="5">
        <f>VLOOKUP($A51,tropes!$A$4:$O$2428,7,FALSE)</f>
        <v>0</v>
      </c>
      <c r="H51" s="5">
        <f>VLOOKUP($A51,tropes!$A$4:$O$2428,8,FALSE)</f>
        <v>1</v>
      </c>
      <c r="I51" s="5">
        <f>VLOOKUP($A51,tropes!$A$4:$O$2428,9,FALSE)</f>
        <v>101</v>
      </c>
      <c r="J51" s="5">
        <f>VLOOKUP($A51,tropes!$A$4:$O$2428,10,FALSE)</f>
        <v>2</v>
      </c>
      <c r="K51" s="5" t="str">
        <f>VLOOKUP($A51,tropes!$A$4:$O$2428,11,FALSE)</f>
        <v>The Man Trap</v>
      </c>
      <c r="L51" s="5">
        <f>VLOOKUP($A51,tropes!$A$4:$O$2428,12,FALSE)</f>
        <v>1</v>
      </c>
      <c r="M51" s="5">
        <f>VLOOKUP($A51,tropes!$A$4:$O$2428,13,FALSE)</f>
        <v>1</v>
      </c>
      <c r="N51" s="5"/>
    </row>
    <row r="52" spans="1:14" x14ac:dyDescent="0.3">
      <c r="A52" s="14">
        <v>1195</v>
      </c>
      <c r="B52" s="5" t="str">
        <f>VLOOKUP($A52,tropes!$A$4:$O$2428,2,FALSE)</f>
        <v>New Old Flame</v>
      </c>
      <c r="C52" s="5" t="str">
        <f>VLOOKUP($A52,tropes!$A$4:$O$2428,3,FALSE)</f>
        <v>love</v>
      </c>
      <c r="D52" s="5" t="str">
        <f>VLOOKUP($A52,tropes!$A$4:$O$2428,4,FALSE)</f>
        <v>old_flame</v>
      </c>
      <c r="E52" s="5" t="str">
        <f>VLOOKUP($A52,tropes!$A$4:$O$2428,5,FALSE)</f>
        <v>Ruth is a very special lady from Kirk's past. She's never spoke of again.</v>
      </c>
      <c r="F52" s="5" t="str">
        <f>VLOOKUP($A52,tropes!$A$4:$O$2428,6,FALSE)</f>
        <v>kirk</v>
      </c>
      <c r="G52" s="5">
        <f>VLOOKUP($A52,tropes!$A$4:$O$2428,7,FALSE)</f>
        <v>1</v>
      </c>
      <c r="H52" s="5">
        <f>VLOOKUP($A52,tropes!$A$4:$O$2428,8,FALSE)</f>
        <v>0</v>
      </c>
      <c r="I52" s="5">
        <f>VLOOKUP($A52,tropes!$A$4:$O$2428,9,FALSE)</f>
        <v>115</v>
      </c>
      <c r="J52" s="5">
        <f>VLOOKUP($A52,tropes!$A$4:$O$2428,10,FALSE)</f>
        <v>16</v>
      </c>
      <c r="K52" s="5" t="str">
        <f>VLOOKUP($A52,tropes!$A$4:$O$2428,11,FALSE)</f>
        <v>Shore Leave</v>
      </c>
      <c r="L52" s="5">
        <f>VLOOKUP($A52,tropes!$A$4:$O$2428,12,FALSE)</f>
        <v>1</v>
      </c>
      <c r="M52" s="5">
        <f>VLOOKUP($A52,tropes!$A$4:$O$2428,13,FALSE)</f>
        <v>15</v>
      </c>
      <c r="N52" s="5"/>
    </row>
    <row r="53" spans="1:14" x14ac:dyDescent="0.3">
      <c r="A53" s="14">
        <v>1879</v>
      </c>
      <c r="B53" s="5" t="str">
        <f>VLOOKUP($A53,tropes!$A$4:$O$2428,2,FALSE)</f>
        <v>Attempted Rape</v>
      </c>
      <c r="C53" s="5" t="str">
        <f>VLOOKUP($A53,tropes!$A$4:$O$2428,3,FALSE)</f>
        <v>love</v>
      </c>
      <c r="D53" s="5" t="str">
        <f>VLOOKUP($A53,tropes!$A$4:$O$2428,4,FALSE)</f>
        <v>rape</v>
      </c>
      <c r="E53" s="5" t="str">
        <f>VLOOKUP($A53,tropes!$A$4:$O$2428,5,FALSE)</f>
        <v>Charlie enters Yeoman Rand's room uninvited and decides he's have whatever he wants, including her.</v>
      </c>
      <c r="F53" s="5" t="str">
        <f>VLOOKUP($A53,tropes!$A$4:$O$2428,6,FALSE)</f>
        <v>rand</v>
      </c>
      <c r="G53" s="5">
        <f>VLOOKUP($A53,tropes!$A$4:$O$2428,7,FALSE)</f>
        <v>0</v>
      </c>
      <c r="H53" s="5">
        <f>VLOOKUP($A53,tropes!$A$4:$O$2428,8,FALSE)</f>
        <v>2</v>
      </c>
      <c r="I53" s="5">
        <f>VLOOKUP($A53,tropes!$A$4:$O$2428,9,FALSE)</f>
        <v>102</v>
      </c>
      <c r="J53" s="5">
        <f>VLOOKUP($A53,tropes!$A$4:$O$2428,10,FALSE)</f>
        <v>3</v>
      </c>
      <c r="K53" s="5" t="str">
        <f>VLOOKUP($A53,tropes!$A$4:$O$2428,11,FALSE)</f>
        <v>Charlie X</v>
      </c>
      <c r="L53" s="5">
        <f>VLOOKUP($A53,tropes!$A$4:$O$2428,12,FALSE)</f>
        <v>1</v>
      </c>
      <c r="M53" s="5">
        <f>VLOOKUP($A53,tropes!$A$4:$O$2428,13,FALSE)</f>
        <v>2</v>
      </c>
      <c r="N53" s="5"/>
    </row>
    <row r="54" spans="1:14" x14ac:dyDescent="0.3">
      <c r="A54" s="14">
        <v>1882</v>
      </c>
      <c r="B54" s="5" t="str">
        <f>VLOOKUP($A54,tropes!$A$4:$O$2428,2,FALSE)</f>
        <v>Attempted Rape</v>
      </c>
      <c r="C54" s="5" t="str">
        <f>VLOOKUP($A54,tropes!$A$4:$O$2428,3,FALSE)</f>
        <v>love</v>
      </c>
      <c r="D54" s="5" t="str">
        <f>VLOOKUP($A54,tropes!$A$4:$O$2428,4,FALSE)</f>
        <v>rape</v>
      </c>
      <c r="E54" s="5" t="str">
        <f>VLOOKUP($A54,tropes!$A$4:$O$2428,5,FALSE)</f>
        <v>Evil-Kirk attempts to rape Yeoman Rand.</v>
      </c>
      <c r="F54" s="5" t="str">
        <f>VLOOKUP($A54,tropes!$A$4:$O$2428,6,FALSE)</f>
        <v>evil_kirk</v>
      </c>
      <c r="G54" s="5">
        <f>VLOOKUP($A54,tropes!$A$4:$O$2428,7,FALSE)</f>
        <v>0</v>
      </c>
      <c r="H54" s="5">
        <f>VLOOKUP($A54,tropes!$A$4:$O$2428,8,FALSE)</f>
        <v>0</v>
      </c>
      <c r="I54" s="5">
        <f>VLOOKUP($A54,tropes!$A$4:$O$2428,9,FALSE)</f>
        <v>105</v>
      </c>
      <c r="J54" s="5">
        <f>VLOOKUP($A54,tropes!$A$4:$O$2428,10,FALSE)</f>
        <v>6</v>
      </c>
      <c r="K54" s="5" t="str">
        <f>VLOOKUP($A54,tropes!$A$4:$O$2428,11,FALSE)</f>
        <v>The Enemy Within</v>
      </c>
      <c r="L54" s="5">
        <f>VLOOKUP($A54,tropes!$A$4:$O$2428,12,FALSE)</f>
        <v>1</v>
      </c>
      <c r="M54" s="5">
        <f>VLOOKUP($A54,tropes!$A$4:$O$2428,13,FALSE)</f>
        <v>5</v>
      </c>
      <c r="N54" s="5"/>
    </row>
    <row r="55" spans="1:14" x14ac:dyDescent="0.3">
      <c r="A55" s="14">
        <v>1129</v>
      </c>
      <c r="B55" s="5" t="str">
        <f>VLOOKUP($A55,tropes!$A$4:$O$2428,2,FALSE)</f>
        <v>Gentle Touch***</v>
      </c>
      <c r="C55" s="5" t="str">
        <f>VLOOKUP($A55,tropes!$A$4:$O$2428,3,FALSE)</f>
        <v>love</v>
      </c>
      <c r="D55" s="5" t="str">
        <f>VLOOKUP($A55,tropes!$A$4:$O$2428,4,FALSE)</f>
        <v xml:space="preserve">touch </v>
      </c>
      <c r="E55" s="5" t="str">
        <f>VLOOKUP($A55,tropes!$A$4:$O$2428,5,FALSE)</f>
        <v>Kirk lays his hand on Mirror Lt. Moreau's hands to comfort her.</v>
      </c>
      <c r="F55" s="5" t="str">
        <f>VLOOKUP($A55,tropes!$A$4:$O$2428,6,FALSE)</f>
        <v>kirk</v>
      </c>
      <c r="G55" s="5">
        <f>VLOOKUP($A55,tropes!$A$4:$O$2428,7,FALSE)</f>
        <v>1</v>
      </c>
      <c r="H55" s="5">
        <f>VLOOKUP($A55,tropes!$A$4:$O$2428,8,FALSE)</f>
        <v>0</v>
      </c>
      <c r="I55" s="5">
        <f>VLOOKUP($A55,tropes!$A$4:$O$2428,9,FALSE)</f>
        <v>204</v>
      </c>
      <c r="J55" s="5">
        <f>VLOOKUP($A55,tropes!$A$4:$O$2428,10,FALSE)</f>
        <v>34</v>
      </c>
      <c r="K55" s="5" t="str">
        <f>VLOOKUP($A55,tropes!$A$4:$O$2428,11,FALSE)</f>
        <v>Mirror, Mirror</v>
      </c>
      <c r="L55" s="5">
        <f>VLOOKUP($A55,tropes!$A$4:$O$2428,12,FALSE)</f>
        <v>2</v>
      </c>
      <c r="M55" s="5">
        <f>VLOOKUP($A55,tropes!$A$4:$O$2428,13,FALSE)</f>
        <v>4</v>
      </c>
      <c r="N55" s="5"/>
    </row>
    <row r="56" spans="1:14" x14ac:dyDescent="0.3">
      <c r="A56" s="14">
        <v>399</v>
      </c>
      <c r="B56" s="5" t="str">
        <f>VLOOKUP($A56,tropes!$A$4:$O$2428,2,FALSE)</f>
        <v>The Odd Couple</v>
      </c>
      <c r="C56" s="5" t="str">
        <f>VLOOKUP($A56,tropes!$A$4:$O$2428,3,FALSE)</f>
        <v>love</v>
      </c>
      <c r="D56" s="5" t="str">
        <f>VLOOKUP($A56,tropes!$A$4:$O$2428,4,FALSE)</f>
        <v>true</v>
      </c>
      <c r="E56" s="5" t="str">
        <f>VLOOKUP($A56,tropes!$A$4:$O$2428,5,FALSE)</f>
        <v>Companion loves Zefrem Cochrane so much it gives up its immortality to experience love.</v>
      </c>
      <c r="F56" s="5" t="str">
        <f>VLOOKUP($A56,tropes!$A$4:$O$2428,6,FALSE)</f>
        <v>companion</v>
      </c>
      <c r="G56" s="5">
        <f>VLOOKUP($A56,tropes!$A$4:$O$2428,7,FALSE)</f>
        <v>0</v>
      </c>
      <c r="H56" s="5">
        <f>VLOOKUP($A56,tropes!$A$4:$O$2428,8,FALSE)</f>
        <v>0</v>
      </c>
      <c r="I56" s="5">
        <f>VLOOKUP($A56,tropes!$A$4:$O$2428,9,FALSE)</f>
        <v>209</v>
      </c>
      <c r="J56" s="5">
        <f>VLOOKUP($A56,tropes!$A$4:$O$2428,10,FALSE)</f>
        <v>39</v>
      </c>
      <c r="K56" s="5" t="str">
        <f>VLOOKUP($A56,tropes!$A$4:$O$2428,11,FALSE)</f>
        <v>Metamorphosis</v>
      </c>
      <c r="L56" s="5">
        <f>VLOOKUP($A56,tropes!$A$4:$O$2428,12,FALSE)</f>
        <v>2</v>
      </c>
      <c r="M56" s="5">
        <f>VLOOKUP($A56,tropes!$A$4:$O$2428,13,FALSE)</f>
        <v>9</v>
      </c>
      <c r="N56" s="5"/>
    </row>
    <row r="57" spans="1:14" x14ac:dyDescent="0.3">
      <c r="A57" s="14">
        <v>2918</v>
      </c>
      <c r="B57" s="5" t="str">
        <f>VLOOKUP($A57,tropes!$A$4:$O$2428,2,FALSE)</f>
        <v>The Odd Couple</v>
      </c>
      <c r="C57" s="5" t="str">
        <f>VLOOKUP($A57,tropes!$A$4:$O$2428,3,FALSE)</f>
        <v>love</v>
      </c>
      <c r="D57" s="5" t="str">
        <f>VLOOKUP($A57,tropes!$A$4:$O$2428,4,FALSE)</f>
        <v>true</v>
      </c>
      <c r="E57" s="5" t="str">
        <f>VLOOKUP($A57,tropes!$A$4:$O$2428,5,FALSE)</f>
        <v>Dr. Crater's an archeologist. Nancy's a salt sucking vampire. What a crazy pair.</v>
      </c>
      <c r="F57" s="5" t="str">
        <f>VLOOKUP($A57,tropes!$A$4:$O$2428,6,FALSE)</f>
        <v>nancy</v>
      </c>
      <c r="G57" s="5">
        <f>VLOOKUP($A57,tropes!$A$4:$O$2428,7,FALSE)</f>
        <v>0</v>
      </c>
      <c r="H57" s="5">
        <f>VLOOKUP($A57,tropes!$A$4:$O$2428,8,FALSE)</f>
        <v>0</v>
      </c>
      <c r="I57" s="5">
        <f>VLOOKUP($A57,tropes!$A$4:$O$2428,9,FALSE)</f>
        <v>101</v>
      </c>
      <c r="J57" s="5">
        <f>VLOOKUP($A57,tropes!$A$4:$O$2428,10,FALSE)</f>
        <v>2</v>
      </c>
      <c r="K57" s="5" t="str">
        <f>VLOOKUP($A57,tropes!$A$4:$O$2428,11,FALSE)</f>
        <v>The Man Trap</v>
      </c>
      <c r="L57" s="5">
        <f>VLOOKUP($A57,tropes!$A$4:$O$2428,12,FALSE)</f>
        <v>1</v>
      </c>
      <c r="M57" s="5">
        <f>VLOOKUP($A57,tropes!$A$4:$O$2428,13,FALSE)</f>
        <v>1</v>
      </c>
      <c r="N57" s="5"/>
    </row>
    <row r="58" spans="1:14" x14ac:dyDescent="0.3">
      <c r="A58" s="14">
        <v>1002</v>
      </c>
      <c r="B58" s="5" t="str">
        <f>VLOOKUP($A58,tropes!$A$4:$O$2428,2,FALSE)</f>
        <v>The Casanova</v>
      </c>
      <c r="C58" s="5" t="str">
        <f>VLOOKUP($A58,tropes!$A$4:$O$2428,3,FALSE)</f>
        <v>love</v>
      </c>
      <c r="D58" s="5" t="str">
        <f>VLOOKUP($A58,tropes!$A$4:$O$2428,4,FALSE)</f>
        <v>true</v>
      </c>
      <c r="E58" s="5" t="str">
        <f>VLOOKUP($A58,tropes!$A$4:$O$2428,5,FALSE)</f>
        <v>Edith Keeler falls in love with Kirk.</v>
      </c>
      <c r="F58" s="5" t="str">
        <f>VLOOKUP($A58,tropes!$A$4:$O$2428,6,FALSE)</f>
        <v>kirk</v>
      </c>
      <c r="G58" s="5">
        <f>VLOOKUP($A58,tropes!$A$4:$O$2428,7,FALSE)</f>
        <v>1</v>
      </c>
      <c r="H58" s="5">
        <f>VLOOKUP($A58,tropes!$A$4:$O$2428,8,FALSE)</f>
        <v>0</v>
      </c>
      <c r="I58" s="5">
        <f>VLOOKUP($A58,tropes!$A$4:$O$2428,9,FALSE)</f>
        <v>128</v>
      </c>
      <c r="J58" s="5">
        <f>VLOOKUP($A58,tropes!$A$4:$O$2428,10,FALSE)</f>
        <v>29</v>
      </c>
      <c r="K58" s="5" t="str">
        <f>VLOOKUP($A58,tropes!$A$4:$O$2428,11,FALSE)</f>
        <v>The City on the Edge of Forever</v>
      </c>
      <c r="L58" s="5">
        <f>VLOOKUP($A58,tropes!$A$4:$O$2428,12,FALSE)</f>
        <v>1</v>
      </c>
      <c r="M58" s="5">
        <f>VLOOKUP($A58,tropes!$A$4:$O$2428,13,FALSE)</f>
        <v>28</v>
      </c>
      <c r="N58" s="5"/>
    </row>
    <row r="59" spans="1:14" x14ac:dyDescent="0.3">
      <c r="A59" s="14">
        <v>974</v>
      </c>
      <c r="B59" s="5" t="str">
        <f>VLOOKUP($A59,tropes!$A$4:$O$2428,2,FALSE)</f>
        <v>the dulcinea effect</v>
      </c>
      <c r="C59" s="5" t="str">
        <f>VLOOKUP($A59,tropes!$A$4:$O$2428,3,FALSE)</f>
        <v>love</v>
      </c>
      <c r="D59" s="5" t="str">
        <f>VLOOKUP($A59,tropes!$A$4:$O$2428,4,FALSE)</f>
        <v>true</v>
      </c>
      <c r="E59" s="5" t="str">
        <f>VLOOKUP($A59,tropes!$A$4:$O$2428,5,FALSE)</f>
        <v>Kirk falls madly in love with Rayna.</v>
      </c>
      <c r="F59" s="5" t="str">
        <f>VLOOKUP($A59,tropes!$A$4:$O$2428,6,FALSE)</f>
        <v>kirk</v>
      </c>
      <c r="G59" s="5">
        <f>VLOOKUP($A59,tropes!$A$4:$O$2428,7,FALSE)</f>
        <v>1</v>
      </c>
      <c r="H59" s="5">
        <f>VLOOKUP($A59,tropes!$A$4:$O$2428,8,FALSE)</f>
        <v>0</v>
      </c>
      <c r="I59" s="5">
        <f>VLOOKUP($A59,tropes!$A$4:$O$2428,9,FALSE)</f>
        <v>319</v>
      </c>
      <c r="J59" s="5">
        <f>VLOOKUP($A59,tropes!$A$4:$O$2428,10,FALSE)</f>
        <v>75</v>
      </c>
      <c r="K59" s="5" t="str">
        <f>VLOOKUP($A59,tropes!$A$4:$O$2428,11,FALSE)</f>
        <v>Requiem for Methuselah</v>
      </c>
      <c r="L59" s="5">
        <f>VLOOKUP($A59,tropes!$A$4:$O$2428,12,FALSE)</f>
        <v>3</v>
      </c>
      <c r="M59" s="5">
        <f>VLOOKUP($A59,tropes!$A$4:$O$2428,13,FALSE)</f>
        <v>19</v>
      </c>
      <c r="N59" s="5"/>
    </row>
    <row r="60" spans="1:14" x14ac:dyDescent="0.3">
      <c r="A60" s="14">
        <v>1003</v>
      </c>
      <c r="B60" s="5" t="str">
        <f>VLOOKUP($A60,tropes!$A$4:$O$2428,2,FALSE)</f>
        <v>True Love Is Exceptional</v>
      </c>
      <c r="C60" s="5" t="str">
        <f>VLOOKUP($A60,tropes!$A$4:$O$2428,3,FALSE)</f>
        <v>love</v>
      </c>
      <c r="D60" s="5" t="str">
        <f>VLOOKUP($A60,tropes!$A$4:$O$2428,4,FALSE)</f>
        <v>true</v>
      </c>
      <c r="E60" s="5" t="str">
        <f>VLOOKUP($A60,tropes!$A$4:$O$2428,5,FALSE)</f>
        <v>Kirk tells Spock He's in love with Edith Keeler.</v>
      </c>
      <c r="F60" s="5" t="str">
        <f>VLOOKUP($A60,tropes!$A$4:$O$2428,6,FALSE)</f>
        <v>kirk</v>
      </c>
      <c r="G60" s="5">
        <f>VLOOKUP($A60,tropes!$A$4:$O$2428,7,FALSE)</f>
        <v>1</v>
      </c>
      <c r="H60" s="5">
        <f>VLOOKUP($A60,tropes!$A$4:$O$2428,8,FALSE)</f>
        <v>0</v>
      </c>
      <c r="I60" s="5">
        <f>VLOOKUP($A60,tropes!$A$4:$O$2428,9,FALSE)</f>
        <v>128</v>
      </c>
      <c r="J60" s="5">
        <f>VLOOKUP($A60,tropes!$A$4:$O$2428,10,FALSE)</f>
        <v>29</v>
      </c>
      <c r="K60" s="5" t="str">
        <f>VLOOKUP($A60,tropes!$A$4:$O$2428,11,FALSE)</f>
        <v>The City on the Edge of Forever</v>
      </c>
      <c r="L60" s="5">
        <f>VLOOKUP($A60,tropes!$A$4:$O$2428,12,FALSE)</f>
        <v>1</v>
      </c>
      <c r="M60" s="5">
        <f>VLOOKUP($A60,tropes!$A$4:$O$2428,13,FALSE)</f>
        <v>28</v>
      </c>
      <c r="N60" s="5"/>
    </row>
    <row r="61" spans="1:14" x14ac:dyDescent="0.3">
      <c r="A61" s="14">
        <v>1816</v>
      </c>
      <c r="B61" s="5" t="str">
        <f>VLOOKUP($A61,tropes!$A$4:$O$2428,2,FALSE)</f>
        <v>The Odd Couple</v>
      </c>
      <c r="C61" s="5" t="str">
        <f>VLOOKUP($A61,tropes!$A$4:$O$2428,3,FALSE)</f>
        <v>love</v>
      </c>
      <c r="D61" s="5" t="str">
        <f>VLOOKUP($A61,tropes!$A$4:$O$2428,4,FALSE)</f>
        <v>true</v>
      </c>
      <c r="E61" s="5" t="str">
        <f>VLOOKUP($A61,tropes!$A$4:$O$2428,5,FALSE)</f>
        <v>Lt. Carolyn Palamas loves Apollo.</v>
      </c>
      <c r="F61" s="5" t="str">
        <f>VLOOKUP($A61,tropes!$A$4:$O$2428,6,FALSE)</f>
        <v>palamas</v>
      </c>
      <c r="G61" s="5">
        <f>VLOOKUP($A61,tropes!$A$4:$O$2428,7,FALSE)</f>
        <v>0</v>
      </c>
      <c r="H61" s="5">
        <f>VLOOKUP($A61,tropes!$A$4:$O$2428,8,FALSE)</f>
        <v>0</v>
      </c>
      <c r="I61" s="5">
        <f>VLOOKUP($A61,tropes!$A$4:$O$2428,9,FALSE)</f>
        <v>202</v>
      </c>
      <c r="J61" s="5">
        <f>VLOOKUP($A61,tropes!$A$4:$O$2428,10,FALSE)</f>
        <v>32</v>
      </c>
      <c r="K61" s="5" t="str">
        <f>VLOOKUP($A61,tropes!$A$4:$O$2428,11,FALSE)</f>
        <v>Who Mourns for Adonais?</v>
      </c>
      <c r="L61" s="5">
        <f>VLOOKUP($A61,tropes!$A$4:$O$2428,12,FALSE)</f>
        <v>2</v>
      </c>
      <c r="M61" s="5">
        <f>VLOOKUP($A61,tropes!$A$4:$O$2428,13,FALSE)</f>
        <v>2</v>
      </c>
      <c r="N61" s="5"/>
    </row>
    <row r="62" spans="1:14" x14ac:dyDescent="0.3">
      <c r="A62" s="14">
        <v>2335</v>
      </c>
      <c r="B62" s="5" t="str">
        <f>VLOOKUP($A62,tropes!$A$4:$O$2428,2,FALSE)</f>
        <v>Stalker With A Crush</v>
      </c>
      <c r="C62" s="5" t="str">
        <f>VLOOKUP($A62,tropes!$A$4:$O$2428,3,FALSE)</f>
        <v>love</v>
      </c>
      <c r="D62" s="5" t="str">
        <f>VLOOKUP($A62,tropes!$A$4:$O$2428,4,FALSE)</f>
        <v>true</v>
      </c>
      <c r="E62" s="5" t="str">
        <f>VLOOKUP($A62,tropes!$A$4:$O$2428,5,FALSE)</f>
        <v>Nurse Chapel had a deep crush on Spock but the execs didn't want it.</v>
      </c>
      <c r="F62" s="5" t="str">
        <f>VLOOKUP($A62,tropes!$A$4:$O$2428,6,FALSE)</f>
        <v>spock</v>
      </c>
      <c r="G62" s="5">
        <f>VLOOKUP($A62,tropes!$A$4:$O$2428,7,FALSE)</f>
        <v>1</v>
      </c>
      <c r="H62" s="5">
        <f>VLOOKUP($A62,tropes!$A$4:$O$2428,8,FALSE)</f>
        <v>0</v>
      </c>
      <c r="I62" s="5">
        <f>VLOOKUP($A62,tropes!$A$4:$O$2428,9,FALSE)</f>
        <v>201</v>
      </c>
      <c r="J62" s="5">
        <f>VLOOKUP($A62,tropes!$A$4:$O$2428,10,FALSE)</f>
        <v>31</v>
      </c>
      <c r="K62" s="5" t="str">
        <f>VLOOKUP($A62,tropes!$A$4:$O$2428,11,FALSE)</f>
        <v>Amok Time</v>
      </c>
      <c r="L62" s="5">
        <f>VLOOKUP($A62,tropes!$A$4:$O$2428,12,FALSE)</f>
        <v>2</v>
      </c>
      <c r="M62" s="5">
        <f>VLOOKUP($A62,tropes!$A$4:$O$2428,13,FALSE)</f>
        <v>1</v>
      </c>
      <c r="N62" s="5"/>
    </row>
    <row r="63" spans="1:14" x14ac:dyDescent="0.3">
      <c r="A63" s="14">
        <v>2330</v>
      </c>
      <c r="B63" s="5" t="str">
        <f>VLOOKUP($A63,tropes!$A$4:$O$2428,2,FALSE)</f>
        <v>Anguished Declaration Of Love</v>
      </c>
      <c r="C63" s="5" t="str">
        <f>VLOOKUP($A63,tropes!$A$4:$O$2428,3,FALSE)</f>
        <v>love</v>
      </c>
      <c r="D63" s="5" t="str">
        <f>VLOOKUP($A63,tropes!$A$4:$O$2428,4,FALSE)</f>
        <v>true</v>
      </c>
      <c r="E63" s="5" t="str">
        <f>VLOOKUP($A63,tropes!$A$4:$O$2428,5,FALSE)</f>
        <v>Nurse Chapel kisses Spock cause she's always had a crush on him and the virus caused her to let her feelings known.</v>
      </c>
      <c r="F63" s="5" t="str">
        <f>VLOOKUP($A63,tropes!$A$4:$O$2428,6,FALSE)</f>
        <v>chapel</v>
      </c>
      <c r="G63" s="5">
        <f>VLOOKUP($A63,tropes!$A$4:$O$2428,7,FALSE)</f>
        <v>0</v>
      </c>
      <c r="H63" s="5">
        <f>VLOOKUP($A63,tropes!$A$4:$O$2428,8,FALSE)</f>
        <v>2</v>
      </c>
      <c r="I63" s="5">
        <f>VLOOKUP($A63,tropes!$A$4:$O$2428,9,FALSE)</f>
        <v>104</v>
      </c>
      <c r="J63" s="5">
        <f>VLOOKUP($A63,tropes!$A$4:$O$2428,10,FALSE)</f>
        <v>5</v>
      </c>
      <c r="K63" s="5" t="str">
        <f>VLOOKUP($A63,tropes!$A$4:$O$2428,11,FALSE)</f>
        <v>The Naked Time</v>
      </c>
      <c r="L63" s="5">
        <f>VLOOKUP($A63,tropes!$A$4:$O$2428,12,FALSE)</f>
        <v>1</v>
      </c>
      <c r="M63" s="5">
        <f>VLOOKUP($A63,tropes!$A$4:$O$2428,13,FALSE)</f>
        <v>4</v>
      </c>
      <c r="N63" s="5"/>
    </row>
    <row r="64" spans="1:14" x14ac:dyDescent="0.3">
      <c r="A64" s="14">
        <v>52</v>
      </c>
      <c r="B64" s="5" t="str">
        <f>VLOOKUP($A64,tropes!$A$4:$O$2428,2,FALSE)</f>
        <v>Mayfly-December Romance</v>
      </c>
      <c r="C64" s="5" t="str">
        <f>VLOOKUP($A64,tropes!$A$4:$O$2428,3,FALSE)</f>
        <v>love</v>
      </c>
      <c r="D64" s="5" t="str">
        <f>VLOOKUP($A64,tropes!$A$4:$O$2428,4,FALSE)</f>
        <v>true</v>
      </c>
      <c r="E64" s="5" t="str">
        <f>VLOOKUP($A64,tropes!$A$4:$O$2428,5,FALSE)</f>
        <v>Sarek (Vulcan) and Amanda (human). Vulcans live much longer than humans.</v>
      </c>
      <c r="F64" s="5" t="str">
        <f>VLOOKUP($A64,tropes!$A$4:$O$2428,6,FALSE)</f>
        <v>alien</v>
      </c>
      <c r="G64" s="5">
        <f>VLOOKUP($A64,tropes!$A$4:$O$2428,7,FALSE)</f>
        <v>0</v>
      </c>
      <c r="H64" s="5">
        <f>VLOOKUP($A64,tropes!$A$4:$O$2428,8,FALSE)</f>
        <v>0</v>
      </c>
      <c r="I64" s="5">
        <f>VLOOKUP($A64,tropes!$A$4:$O$2428,9,FALSE)</f>
        <v>210</v>
      </c>
      <c r="J64" s="5">
        <f>VLOOKUP($A64,tropes!$A$4:$O$2428,10,FALSE)</f>
        <v>40</v>
      </c>
      <c r="K64" s="5" t="str">
        <f>VLOOKUP($A64,tropes!$A$4:$O$2428,11,FALSE)</f>
        <v>Journey to Babel</v>
      </c>
      <c r="L64" s="5">
        <f>VLOOKUP($A64,tropes!$A$4:$O$2428,12,FALSE)</f>
        <v>2</v>
      </c>
      <c r="M64" s="5">
        <f>VLOOKUP($A64,tropes!$A$4:$O$2428,13,FALSE)</f>
        <v>10</v>
      </c>
      <c r="N64" s="5"/>
    </row>
    <row r="65" spans="1:14" x14ac:dyDescent="0.3">
      <c r="A65" s="14">
        <v>2363</v>
      </c>
      <c r="B65" s="5" t="str">
        <f>VLOOKUP($A65,tropes!$A$4:$O$2428,2,FALSE)</f>
        <v>Wham Line</v>
      </c>
      <c r="C65" s="5" t="str">
        <f>VLOOKUP($A65,tropes!$A$4:$O$2428,3,FALSE)</f>
        <v>love</v>
      </c>
      <c r="D65" s="5" t="str">
        <f>VLOOKUP($A65,tropes!$A$4:$O$2428,4,FALSE)</f>
        <v>true</v>
      </c>
      <c r="E65" s="5" t="str">
        <f>VLOOKUP($A65,tropes!$A$4:$O$2428,5,FALSE)</f>
        <v>Spock (to Lella): I love you.</v>
      </c>
      <c r="F65" s="5" t="str">
        <f>VLOOKUP($A65,tropes!$A$4:$O$2428,6,FALSE)</f>
        <v>spock</v>
      </c>
      <c r="G65" s="5">
        <f>VLOOKUP($A65,tropes!$A$4:$O$2428,7,FALSE)</f>
        <v>1</v>
      </c>
      <c r="H65" s="5">
        <f>VLOOKUP($A65,tropes!$A$4:$O$2428,8,FALSE)</f>
        <v>0</v>
      </c>
      <c r="I65" s="5">
        <f>VLOOKUP($A65,tropes!$A$4:$O$2428,9,FALSE)</f>
        <v>124</v>
      </c>
      <c r="J65" s="5">
        <f>VLOOKUP($A65,tropes!$A$4:$O$2428,10,FALSE)</f>
        <v>25</v>
      </c>
      <c r="K65" s="5" t="str">
        <f>VLOOKUP($A65,tropes!$A$4:$O$2428,11,FALSE)</f>
        <v>This Side of Paradise</v>
      </c>
      <c r="L65" s="5">
        <f>VLOOKUP($A65,tropes!$A$4:$O$2428,12,FALSE)</f>
        <v>1</v>
      </c>
      <c r="M65" s="5">
        <f>VLOOKUP($A65,tropes!$A$4:$O$2428,13,FALSE)</f>
        <v>24</v>
      </c>
      <c r="N65" s="5"/>
    </row>
    <row r="66" spans="1:14" x14ac:dyDescent="0.3">
      <c r="A66" s="14">
        <v>2329</v>
      </c>
      <c r="B66" s="5" t="str">
        <f>VLOOKUP($A66,tropes!$A$4:$O$2428,2,FALSE)</f>
        <v>Anguished Declaration Of Love</v>
      </c>
      <c r="C66" s="5" t="str">
        <f>VLOOKUP($A66,tropes!$A$4:$O$2428,3,FALSE)</f>
        <v>love</v>
      </c>
      <c r="D66" s="5" t="str">
        <f>VLOOKUP($A66,tropes!$A$4:$O$2428,4,FALSE)</f>
        <v>true</v>
      </c>
      <c r="E66" s="5" t="str">
        <f>VLOOKUP($A66,tropes!$A$4:$O$2428,5,FALSE)</f>
        <v>Spock kissed by Nurse Chapel and is infected with the Psi 2000 virus</v>
      </c>
      <c r="F66" s="5" t="str">
        <f>VLOOKUP($A66,tropes!$A$4:$O$2428,6,FALSE)</f>
        <v>spock</v>
      </c>
      <c r="G66" s="5">
        <f>VLOOKUP($A66,tropes!$A$4:$O$2428,7,FALSE)</f>
        <v>1</v>
      </c>
      <c r="H66" s="5">
        <f>VLOOKUP($A66,tropes!$A$4:$O$2428,8,FALSE)</f>
        <v>0</v>
      </c>
      <c r="I66" s="5">
        <f>VLOOKUP($A66,tropes!$A$4:$O$2428,9,FALSE)</f>
        <v>104</v>
      </c>
      <c r="J66" s="5">
        <f>VLOOKUP($A66,tropes!$A$4:$O$2428,10,FALSE)</f>
        <v>5</v>
      </c>
      <c r="K66" s="5" t="str">
        <f>VLOOKUP($A66,tropes!$A$4:$O$2428,11,FALSE)</f>
        <v>The Naked Time</v>
      </c>
      <c r="L66" s="5">
        <f>VLOOKUP($A66,tropes!$A$4:$O$2428,12,FALSE)</f>
        <v>1</v>
      </c>
      <c r="M66" s="5">
        <f>VLOOKUP($A66,tropes!$A$4:$O$2428,13,FALSE)</f>
        <v>4</v>
      </c>
      <c r="N66" s="5"/>
    </row>
    <row r="67" spans="1:14" x14ac:dyDescent="0.3">
      <c r="A67" s="14">
        <v>1140</v>
      </c>
      <c r="B67" s="5" t="str">
        <f>VLOOKUP($A67,tropes!$A$4:$O$2428,2,FALSE)</f>
        <v>Stalker With A Crush</v>
      </c>
      <c r="C67" s="5" t="str">
        <f>VLOOKUP($A67,tropes!$A$4:$O$2428,3,FALSE)</f>
        <v>love</v>
      </c>
      <c r="D67" s="5" t="str">
        <f>VLOOKUP($A67,tropes!$A$4:$O$2428,4,FALSE)</f>
        <v>unrequited</v>
      </c>
      <c r="E67" s="5" t="str">
        <f>VLOOKUP($A67,tropes!$A$4:$O$2428,5,FALSE)</f>
        <v>Dr. Helen Noel has the hots for Kirk and wants to get more familiar.</v>
      </c>
      <c r="F67" s="5" t="str">
        <f>VLOOKUP($A67,tropes!$A$4:$O$2428,6,FALSE)</f>
        <v>noel</v>
      </c>
      <c r="G67" s="5">
        <f>VLOOKUP($A67,tropes!$A$4:$O$2428,7,FALSE)</f>
        <v>0</v>
      </c>
      <c r="H67" s="5">
        <f>VLOOKUP($A67,tropes!$A$4:$O$2428,8,FALSE)</f>
        <v>0</v>
      </c>
      <c r="I67" s="5">
        <f>VLOOKUP($A67,tropes!$A$4:$O$2428,9,FALSE)</f>
        <v>109</v>
      </c>
      <c r="J67" s="5">
        <f>VLOOKUP($A67,tropes!$A$4:$O$2428,10,FALSE)</f>
        <v>10</v>
      </c>
      <c r="K67" s="5" t="str">
        <f>VLOOKUP($A67,tropes!$A$4:$O$2428,11,FALSE)</f>
        <v>Dagger of the Mind</v>
      </c>
      <c r="L67" s="5">
        <f>VLOOKUP($A67,tropes!$A$4:$O$2428,12,FALSE)</f>
        <v>1</v>
      </c>
      <c r="M67" s="5">
        <f>VLOOKUP($A67,tropes!$A$4:$O$2428,13,FALSE)</f>
        <v>9</v>
      </c>
      <c r="N67" s="5"/>
    </row>
    <row r="68" spans="1:14" x14ac:dyDescent="0.3">
      <c r="A68" s="14">
        <v>409</v>
      </c>
      <c r="B68" s="5" t="str">
        <f>VLOOKUP($A68,tropes!$A$4:$O$2428,2,FALSE)</f>
        <v>Fake Memories***</v>
      </c>
      <c r="C68" s="5" t="str">
        <f>VLOOKUP($A68,tropes!$A$4:$O$2428,3,FALSE)</f>
        <v>love</v>
      </c>
      <c r="D68" s="5" t="str">
        <f>VLOOKUP($A68,tropes!$A$4:$O$2428,4,FALSE)</f>
        <v>unrequited</v>
      </c>
      <c r="E68" s="5" t="str">
        <f>VLOOKUP($A68,tropes!$A$4:$O$2428,5,FALSE)</f>
        <v>Entity plants fake memories in humans and Klingons.</v>
      </c>
      <c r="F68" s="5" t="str">
        <f>VLOOKUP($A68,tropes!$A$4:$O$2428,6,FALSE)</f>
        <v>xxx</v>
      </c>
      <c r="G68" s="5">
        <f>VLOOKUP($A68,tropes!$A$4:$O$2428,7,FALSE)</f>
        <v>0</v>
      </c>
      <c r="H68" s="5">
        <f>VLOOKUP($A68,tropes!$A$4:$O$2428,8,FALSE)</f>
        <v>0</v>
      </c>
      <c r="I68" s="5">
        <f>VLOOKUP($A68,tropes!$A$4:$O$2428,9,FALSE)</f>
        <v>307</v>
      </c>
      <c r="J68" s="5">
        <f>VLOOKUP($A68,tropes!$A$4:$O$2428,10,FALSE)</f>
        <v>63</v>
      </c>
      <c r="K68" s="5" t="str">
        <f>VLOOKUP($A68,tropes!$A$4:$O$2428,11,FALSE)</f>
        <v>Day of the Dove</v>
      </c>
      <c r="L68" s="5">
        <f>VLOOKUP($A68,tropes!$A$4:$O$2428,12,FALSE)</f>
        <v>3</v>
      </c>
      <c r="M68" s="5">
        <f>VLOOKUP($A68,tropes!$A$4:$O$2428,13,FALSE)</f>
        <v>7</v>
      </c>
      <c r="N68" s="5"/>
    </row>
    <row r="69" spans="1:14" x14ac:dyDescent="0.3">
      <c r="A69" s="14">
        <v>1019</v>
      </c>
      <c r="B69" s="5" t="str">
        <f>VLOOKUP($A69,tropes!$A$4:$O$2428,2,FALSE)</f>
        <v>Unresolved Sexual Tension</v>
      </c>
      <c r="C69" s="5" t="str">
        <f>VLOOKUP($A69,tropes!$A$4:$O$2428,3,FALSE)</f>
        <v>love</v>
      </c>
      <c r="D69" s="5" t="str">
        <f>VLOOKUP($A69,tropes!$A$4:$O$2428,4,FALSE)</f>
        <v>unrequited</v>
      </c>
      <c r="E69" s="5" t="str">
        <f>VLOOKUP($A69,tropes!$A$4:$O$2428,5,FALSE)</f>
        <v>Kirk extremely worried as the Enterprise is heating up in space.</v>
      </c>
      <c r="F69" s="5" t="str">
        <f>VLOOKUP($A69,tropes!$A$4:$O$2428,6,FALSE)</f>
        <v>kirk</v>
      </c>
      <c r="G69" s="5">
        <f>VLOOKUP($A69,tropes!$A$4:$O$2428,7,FALSE)</f>
        <v>1</v>
      </c>
      <c r="H69" s="5">
        <f>VLOOKUP($A69,tropes!$A$4:$O$2428,8,FALSE)</f>
        <v>0</v>
      </c>
      <c r="I69" s="5">
        <f>VLOOKUP($A69,tropes!$A$4:$O$2428,9,FALSE)</f>
        <v>207</v>
      </c>
      <c r="J69" s="5">
        <f>VLOOKUP($A69,tropes!$A$4:$O$2428,10,FALSE)</f>
        <v>37</v>
      </c>
      <c r="K69" s="5" t="str">
        <f>VLOOKUP($A69,tropes!$A$4:$O$2428,11,FALSE)</f>
        <v>Catspaw</v>
      </c>
      <c r="L69" s="5">
        <f>VLOOKUP($A69,tropes!$A$4:$O$2428,12,FALSE)</f>
        <v>2</v>
      </c>
      <c r="M69" s="5">
        <f>VLOOKUP($A69,tropes!$A$4:$O$2428,13,FALSE)</f>
        <v>7</v>
      </c>
      <c r="N69" s="5"/>
    </row>
    <row r="70" spans="1:14" x14ac:dyDescent="0.3">
      <c r="A70" s="14">
        <v>1017</v>
      </c>
      <c r="B70" s="5" t="str">
        <f>VLOOKUP($A70,tropes!$A$4:$O$2428,2,FALSE)</f>
        <v>Unresolved Sexual Tension</v>
      </c>
      <c r="C70" s="5" t="str">
        <f>VLOOKUP($A70,tropes!$A$4:$O$2428,3,FALSE)</f>
        <v>love</v>
      </c>
      <c r="D70" s="5" t="str">
        <f>VLOOKUP($A70,tropes!$A$4:$O$2428,4,FALSE)</f>
        <v>unrequited</v>
      </c>
      <c r="E70" s="5" t="str">
        <f>VLOOKUP($A70,tropes!$A$4:$O$2428,5,FALSE)</f>
        <v>Kirk is in love with his ship.</v>
      </c>
      <c r="F70" s="5" t="str">
        <f>VLOOKUP($A70,tropes!$A$4:$O$2428,6,FALSE)</f>
        <v>kirk</v>
      </c>
      <c r="G70" s="5">
        <f>VLOOKUP($A70,tropes!$A$4:$O$2428,7,FALSE)</f>
        <v>1</v>
      </c>
      <c r="H70" s="5">
        <f>VLOOKUP($A70,tropes!$A$4:$O$2428,8,FALSE)</f>
        <v>0</v>
      </c>
      <c r="I70" s="5">
        <f>VLOOKUP($A70,tropes!$A$4:$O$2428,9,FALSE)</f>
        <v>110</v>
      </c>
      <c r="J70" s="5">
        <f>VLOOKUP($A70,tropes!$A$4:$O$2428,10,FALSE)</f>
        <v>11</v>
      </c>
      <c r="K70" s="5" t="str">
        <f>VLOOKUP($A70,tropes!$A$4:$O$2428,11,FALSE)</f>
        <v>The Corbomite Maneuver</v>
      </c>
      <c r="L70" s="5">
        <f>VLOOKUP($A70,tropes!$A$4:$O$2428,12,FALSE)</f>
        <v>1</v>
      </c>
      <c r="M70" s="5">
        <f>VLOOKUP($A70,tropes!$A$4:$O$2428,13,FALSE)</f>
        <v>10</v>
      </c>
      <c r="N70" s="5"/>
    </row>
    <row r="71" spans="1:14" x14ac:dyDescent="0.3">
      <c r="A71" s="14">
        <v>1018</v>
      </c>
      <c r="B71" s="5" t="str">
        <f>VLOOKUP($A71,tropes!$A$4:$O$2428,2,FALSE)</f>
        <v>Unresolved Sexual Tension</v>
      </c>
      <c r="C71" s="5" t="str">
        <f>VLOOKUP($A71,tropes!$A$4:$O$2428,3,FALSE)</f>
        <v>love</v>
      </c>
      <c r="D71" s="5" t="str">
        <f>VLOOKUP($A71,tropes!$A$4:$O$2428,4,FALSE)</f>
        <v>unrequited</v>
      </c>
      <c r="E71" s="5" t="str">
        <f>VLOOKUP($A71,tropes!$A$4:$O$2428,5,FALSE)</f>
        <v>Kirk is in love with his ship.</v>
      </c>
      <c r="F71" s="5" t="str">
        <f>VLOOKUP($A71,tropes!$A$4:$O$2428,6,FALSE)</f>
        <v>kirk</v>
      </c>
      <c r="G71" s="5">
        <f>VLOOKUP($A71,tropes!$A$4:$O$2428,7,FALSE)</f>
        <v>1</v>
      </c>
      <c r="H71" s="5">
        <f>VLOOKUP($A71,tropes!$A$4:$O$2428,8,FALSE)</f>
        <v>0</v>
      </c>
      <c r="I71" s="5">
        <f>VLOOKUP($A71,tropes!$A$4:$O$2428,9,FALSE)</f>
        <v>120</v>
      </c>
      <c r="J71" s="5">
        <f>VLOOKUP($A71,tropes!$A$4:$O$2428,10,FALSE)</f>
        <v>21</v>
      </c>
      <c r="K71" s="5" t="str">
        <f>VLOOKUP($A71,tropes!$A$4:$O$2428,11,FALSE)</f>
        <v>Court Martial</v>
      </c>
      <c r="L71" s="5">
        <f>VLOOKUP($A71,tropes!$A$4:$O$2428,12,FALSE)</f>
        <v>1</v>
      </c>
      <c r="M71" s="5">
        <f>VLOOKUP($A71,tropes!$A$4:$O$2428,13,FALSE)</f>
        <v>20</v>
      </c>
      <c r="N71" s="5"/>
    </row>
    <row r="72" spans="1:14" x14ac:dyDescent="0.3">
      <c r="A72" s="14">
        <v>1016</v>
      </c>
      <c r="B72" s="5" t="str">
        <f>VLOOKUP($A72,tropes!$A$4:$O$2428,2,FALSE)</f>
        <v>Unresolved Sexual Tension</v>
      </c>
      <c r="C72" s="5" t="str">
        <f>VLOOKUP($A72,tropes!$A$4:$O$2428,3,FALSE)</f>
        <v>love</v>
      </c>
      <c r="D72" s="5" t="str">
        <f>VLOOKUP($A72,tropes!$A$4:$O$2428,4,FALSE)</f>
        <v>unrequited</v>
      </c>
      <c r="E72" s="5" t="str">
        <f>VLOOKUP($A72,tropes!$A$4:$O$2428,5,FALSE)</f>
        <v>Kirk is in love with his ship. He'll do anything to save her.</v>
      </c>
      <c r="F72" s="5" t="str">
        <f>VLOOKUP($A72,tropes!$A$4:$O$2428,6,FALSE)</f>
        <v>kirk</v>
      </c>
      <c r="G72" s="5">
        <f>VLOOKUP($A72,tropes!$A$4:$O$2428,7,FALSE)</f>
        <v>1</v>
      </c>
      <c r="H72" s="5">
        <f>VLOOKUP($A72,tropes!$A$4:$O$2428,8,FALSE)</f>
        <v>0</v>
      </c>
      <c r="I72" s="5">
        <f>VLOOKUP($A72,tropes!$A$4:$O$2428,9,FALSE)</f>
        <v>106</v>
      </c>
      <c r="J72" s="5">
        <f>VLOOKUP($A72,tropes!$A$4:$O$2428,10,FALSE)</f>
        <v>7</v>
      </c>
      <c r="K72" s="5" t="str">
        <f>VLOOKUP($A72,tropes!$A$4:$O$2428,11,FALSE)</f>
        <v>Mudd's Women</v>
      </c>
      <c r="L72" s="5">
        <f>VLOOKUP($A72,tropes!$A$4:$O$2428,12,FALSE)</f>
        <v>1</v>
      </c>
      <c r="M72" s="5">
        <f>VLOOKUP($A72,tropes!$A$4:$O$2428,13,FALSE)</f>
        <v>6</v>
      </c>
      <c r="N72" s="5"/>
    </row>
    <row r="73" spans="1:14" x14ac:dyDescent="0.3">
      <c r="A73" s="14">
        <v>1139</v>
      </c>
      <c r="B73" s="5" t="str">
        <f>VLOOKUP($A73,tropes!$A$4:$O$2428,2,FALSE)</f>
        <v>The Casanova</v>
      </c>
      <c r="C73" s="5" t="str">
        <f>VLOOKUP($A73,tropes!$A$4:$O$2428,3,FALSE)</f>
        <v>love</v>
      </c>
      <c r="D73" s="5" t="str">
        <f>VLOOKUP($A73,tropes!$A$4:$O$2428,4,FALSE)</f>
        <v>unrequited</v>
      </c>
      <c r="E73" s="5" t="str">
        <f>VLOOKUP($A73,tropes!$A$4:$O$2428,5,FALSE)</f>
        <v>Kirk is trying to forget that encounter with Dr. Helen Noel but must work wither her on a professional level.</v>
      </c>
      <c r="F73" s="5" t="str">
        <f>VLOOKUP($A73,tropes!$A$4:$O$2428,6,FALSE)</f>
        <v>kirk</v>
      </c>
      <c r="G73" s="5">
        <f>VLOOKUP($A73,tropes!$A$4:$O$2428,7,FALSE)</f>
        <v>1</v>
      </c>
      <c r="H73" s="5">
        <f>VLOOKUP($A73,tropes!$A$4:$O$2428,8,FALSE)</f>
        <v>0</v>
      </c>
      <c r="I73" s="5">
        <f>VLOOKUP($A73,tropes!$A$4:$O$2428,9,FALSE)</f>
        <v>109</v>
      </c>
      <c r="J73" s="5">
        <f>VLOOKUP($A73,tropes!$A$4:$O$2428,10,FALSE)</f>
        <v>10</v>
      </c>
      <c r="K73" s="5" t="str">
        <f>VLOOKUP($A73,tropes!$A$4:$O$2428,11,FALSE)</f>
        <v>Dagger of the Mind</v>
      </c>
      <c r="L73" s="5">
        <f>VLOOKUP($A73,tropes!$A$4:$O$2428,12,FALSE)</f>
        <v>1</v>
      </c>
      <c r="M73" s="5">
        <f>VLOOKUP($A73,tropes!$A$4:$O$2428,13,FALSE)</f>
        <v>9</v>
      </c>
      <c r="N73" s="5"/>
    </row>
    <row r="74" spans="1:14" x14ac:dyDescent="0.3">
      <c r="A74" s="14">
        <v>1014</v>
      </c>
      <c r="B74" s="5" t="str">
        <f>VLOOKUP($A74,tropes!$A$4:$O$2428,2,FALSE)</f>
        <v>Unresolved Sexual Tension</v>
      </c>
      <c r="C74" s="5" t="str">
        <f>VLOOKUP($A74,tropes!$A$4:$O$2428,3,FALSE)</f>
        <v>love</v>
      </c>
      <c r="D74" s="5" t="str">
        <f>VLOOKUP($A74,tropes!$A$4:$O$2428,4,FALSE)</f>
        <v>unrequited</v>
      </c>
      <c r="E74" s="5" t="str">
        <f>VLOOKUP($A74,tropes!$A$4:$O$2428,5,FALSE)</f>
        <v>Kirk loves his ship more than anything and wants Charlie to give it back.</v>
      </c>
      <c r="F74" s="5" t="str">
        <f>VLOOKUP($A74,tropes!$A$4:$O$2428,6,FALSE)</f>
        <v>kirk</v>
      </c>
      <c r="G74" s="5">
        <f>VLOOKUP($A74,tropes!$A$4:$O$2428,7,FALSE)</f>
        <v>1</v>
      </c>
      <c r="H74" s="5">
        <f>VLOOKUP($A74,tropes!$A$4:$O$2428,8,FALSE)</f>
        <v>0</v>
      </c>
      <c r="I74" s="5">
        <f>VLOOKUP($A74,tropes!$A$4:$O$2428,9,FALSE)</f>
        <v>102</v>
      </c>
      <c r="J74" s="5">
        <f>VLOOKUP($A74,tropes!$A$4:$O$2428,10,FALSE)</f>
        <v>3</v>
      </c>
      <c r="K74" s="5" t="str">
        <f>VLOOKUP($A74,tropes!$A$4:$O$2428,11,FALSE)</f>
        <v>Charlie X</v>
      </c>
      <c r="L74" s="5">
        <f>VLOOKUP($A74,tropes!$A$4:$O$2428,12,FALSE)</f>
        <v>1</v>
      </c>
      <c r="M74" s="5">
        <f>VLOOKUP($A74,tropes!$A$4:$O$2428,13,FALSE)</f>
        <v>2</v>
      </c>
      <c r="N74" s="5"/>
    </row>
    <row r="75" spans="1:14" x14ac:dyDescent="0.3">
      <c r="A75" s="14">
        <v>1020</v>
      </c>
      <c r="B75" s="5" t="str">
        <f>VLOOKUP($A75,tropes!$A$4:$O$2428,2,FALSE)</f>
        <v>Unresolved Sexual Tension</v>
      </c>
      <c r="C75" s="5" t="str">
        <f>VLOOKUP($A75,tropes!$A$4:$O$2428,3,FALSE)</f>
        <v>love</v>
      </c>
      <c r="D75" s="5" t="str">
        <f>VLOOKUP($A75,tropes!$A$4:$O$2428,4,FALSE)</f>
        <v>unrequited</v>
      </c>
      <c r="E75" s="5" t="str">
        <f>VLOOKUP($A75,tropes!$A$4:$O$2428,5,FALSE)</f>
        <v>Kirk: Harry. I want control of my ship returned immediately. We have no intension of staying as your guests</v>
      </c>
      <c r="F75" s="5" t="str">
        <f>VLOOKUP($A75,tropes!$A$4:$O$2428,6,FALSE)</f>
        <v>kirk</v>
      </c>
      <c r="G75" s="5">
        <f>VLOOKUP($A75,tropes!$A$4:$O$2428,7,FALSE)</f>
        <v>1</v>
      </c>
      <c r="H75" s="5">
        <f>VLOOKUP($A75,tropes!$A$4:$O$2428,8,FALSE)</f>
        <v>0</v>
      </c>
      <c r="I75" s="5">
        <f>VLOOKUP($A75,tropes!$A$4:$O$2428,9,FALSE)</f>
        <v>208</v>
      </c>
      <c r="J75" s="5">
        <f>VLOOKUP($A75,tropes!$A$4:$O$2428,10,FALSE)</f>
        <v>38</v>
      </c>
      <c r="K75" s="5" t="str">
        <f>VLOOKUP($A75,tropes!$A$4:$O$2428,11,FALSE)</f>
        <v>I, Mudd</v>
      </c>
      <c r="L75" s="5">
        <f>VLOOKUP($A75,tropes!$A$4:$O$2428,12,FALSE)</f>
        <v>2</v>
      </c>
      <c r="M75" s="5">
        <f>VLOOKUP($A75,tropes!$A$4:$O$2428,13,FALSE)</f>
        <v>8</v>
      </c>
      <c r="N75" s="5"/>
    </row>
    <row r="76" spans="1:14" x14ac:dyDescent="0.3">
      <c r="A76" s="14">
        <v>1015</v>
      </c>
      <c r="B76" s="5" t="str">
        <f>VLOOKUP($A76,tropes!$A$4:$O$2428,2,FALSE)</f>
        <v>Unresolved Sexual Tension</v>
      </c>
      <c r="C76" s="5" t="str">
        <f>VLOOKUP($A76,tropes!$A$4:$O$2428,3,FALSE)</f>
        <v>love</v>
      </c>
      <c r="D76" s="5" t="str">
        <f>VLOOKUP($A76,tropes!$A$4:$O$2428,4,FALSE)</f>
        <v>unrequited</v>
      </c>
      <c r="E76" s="5" t="str">
        <f>VLOOKUP($A76,tropes!$A$4:$O$2428,5,FALSE)</f>
        <v>Kirk: I've got it, the disease. Love. You're better off without it, and I'm better off without mine. This vessel, I give, she takes. She won't permit me my life. I've got to live hers.</v>
      </c>
      <c r="F76" s="5" t="str">
        <f>VLOOKUP($A76,tropes!$A$4:$O$2428,6,FALSE)</f>
        <v>kirk</v>
      </c>
      <c r="G76" s="5">
        <f>VLOOKUP($A76,tropes!$A$4:$O$2428,7,FALSE)</f>
        <v>1</v>
      </c>
      <c r="H76" s="5">
        <f>VLOOKUP($A76,tropes!$A$4:$O$2428,8,FALSE)</f>
        <v>0</v>
      </c>
      <c r="I76" s="5">
        <f>VLOOKUP($A76,tropes!$A$4:$O$2428,9,FALSE)</f>
        <v>104</v>
      </c>
      <c r="J76" s="5">
        <f>VLOOKUP($A76,tropes!$A$4:$O$2428,10,FALSE)</f>
        <v>5</v>
      </c>
      <c r="K76" s="5" t="str">
        <f>VLOOKUP($A76,tropes!$A$4:$O$2428,11,FALSE)</f>
        <v>The Naked Time</v>
      </c>
      <c r="L76" s="5">
        <f>VLOOKUP($A76,tropes!$A$4:$O$2428,12,FALSE)</f>
        <v>1</v>
      </c>
      <c r="M76" s="5">
        <f>VLOOKUP($A76,tropes!$A$4:$O$2428,13,FALSE)</f>
        <v>4</v>
      </c>
      <c r="N76" s="5"/>
    </row>
    <row r="77" spans="1:14" x14ac:dyDescent="0.3">
      <c r="A77" s="14">
        <v>1013</v>
      </c>
      <c r="B77" s="5" t="str">
        <f>VLOOKUP($A77,tropes!$A$4:$O$2428,2,FALSE)</f>
        <v>Unresolved Sexual Tension</v>
      </c>
      <c r="C77" s="5" t="str">
        <f>VLOOKUP($A77,tropes!$A$4:$O$2428,3,FALSE)</f>
        <v>love</v>
      </c>
      <c r="D77" s="5" t="str">
        <f>VLOOKUP($A77,tropes!$A$4:$O$2428,4,FALSE)</f>
        <v>unrequited</v>
      </c>
      <c r="E77" s="5" t="str">
        <f>VLOOKUP($A77,tropes!$A$4:$O$2428,5,FALSE)</f>
        <v>Violent emotions about leaving his ship breaks spores hold on Kirk.</v>
      </c>
      <c r="F77" s="5" t="str">
        <f>VLOOKUP($A77,tropes!$A$4:$O$2428,6,FALSE)</f>
        <v>kirk</v>
      </c>
      <c r="G77" s="5">
        <f>VLOOKUP($A77,tropes!$A$4:$O$2428,7,FALSE)</f>
        <v>1</v>
      </c>
      <c r="H77" s="5">
        <f>VLOOKUP($A77,tropes!$A$4:$O$2428,8,FALSE)</f>
        <v>0</v>
      </c>
      <c r="I77" s="5">
        <f>VLOOKUP($A77,tropes!$A$4:$O$2428,9,FALSE)</f>
        <v>124</v>
      </c>
      <c r="J77" s="5">
        <f>VLOOKUP($A77,tropes!$A$4:$O$2428,10,FALSE)</f>
        <v>25</v>
      </c>
      <c r="K77" s="5" t="str">
        <f>VLOOKUP($A77,tropes!$A$4:$O$2428,11,FALSE)</f>
        <v>This Side of Paradise</v>
      </c>
      <c r="L77" s="5">
        <f>VLOOKUP($A77,tropes!$A$4:$O$2428,12,FALSE)</f>
        <v>1</v>
      </c>
      <c r="M77" s="5">
        <f>VLOOKUP($A77,tropes!$A$4:$O$2428,13,FALSE)</f>
        <v>24</v>
      </c>
      <c r="N77" s="5"/>
    </row>
    <row r="78" spans="1:14" x14ac:dyDescent="0.3">
      <c r="A78" s="14">
        <v>1161</v>
      </c>
      <c r="B78" s="5" t="str">
        <f>VLOOKUP($A78,tropes!$A$4:$O$2428,2,FALSE)</f>
        <v>Unresolved Sexual Tension</v>
      </c>
      <c r="C78" s="5" t="str">
        <f>VLOOKUP($A78,tropes!$A$4:$O$2428,3,FALSE)</f>
        <v>love</v>
      </c>
      <c r="D78" s="5" t="str">
        <f>VLOOKUP($A78,tropes!$A$4:$O$2428,4,FALSE)</f>
        <v>unrequited</v>
      </c>
      <c r="E78" s="5" t="str">
        <f>VLOOKUP($A78,tropes!$A$4:$O$2428,5,FALSE)</f>
        <v>Yeoman Rand declares her love for him, but Kirk just can't quite do the same with her and she's gone after the next episode.</v>
      </c>
      <c r="F78" s="5" t="str">
        <f>VLOOKUP($A78,tropes!$A$4:$O$2428,6,FALSE)</f>
        <v>kirk</v>
      </c>
      <c r="G78" s="5">
        <f>VLOOKUP($A78,tropes!$A$4:$O$2428,7,FALSE)</f>
        <v>1</v>
      </c>
      <c r="H78" s="5">
        <f>VLOOKUP($A78,tropes!$A$4:$O$2428,8,FALSE)</f>
        <v>0</v>
      </c>
      <c r="I78" s="5">
        <f>VLOOKUP($A78,tropes!$A$4:$O$2428,9,FALSE)</f>
        <v>108</v>
      </c>
      <c r="J78" s="5">
        <f>VLOOKUP($A78,tropes!$A$4:$O$2428,10,FALSE)</f>
        <v>9</v>
      </c>
      <c r="K78" s="5" t="str">
        <f>VLOOKUP($A78,tropes!$A$4:$O$2428,11,FALSE)</f>
        <v>Miri</v>
      </c>
      <c r="L78" s="5">
        <f>VLOOKUP($A78,tropes!$A$4:$O$2428,12,FALSE)</f>
        <v>1</v>
      </c>
      <c r="M78" s="5">
        <f>VLOOKUP($A78,tropes!$A$4:$O$2428,13,FALSE)</f>
        <v>8</v>
      </c>
      <c r="N78" s="5"/>
    </row>
    <row r="79" spans="1:14" x14ac:dyDescent="0.3">
      <c r="A79" s="14">
        <v>2463</v>
      </c>
      <c r="B79" s="5" t="str">
        <f>VLOOKUP($A79,tropes!$A$4:$O$2428,2,FALSE)</f>
        <v>Unwanted Affection***</v>
      </c>
      <c r="C79" s="5" t="str">
        <f>VLOOKUP($A79,tropes!$A$4:$O$2428,3,FALSE)</f>
        <v>love</v>
      </c>
      <c r="D79" s="5" t="str">
        <f>VLOOKUP($A79,tropes!$A$4:$O$2428,4,FALSE)</f>
        <v>unwanted</v>
      </c>
      <c r="E79" s="5" t="str">
        <f>VLOOKUP($A79,tropes!$A$4:$O$2428,5,FALSE)</f>
        <v>Mirror Sulu coming on to Uhura.</v>
      </c>
      <c r="F79" s="5" t="str">
        <f>VLOOKUP($A79,tropes!$A$4:$O$2428,6,FALSE)</f>
        <v>sulu</v>
      </c>
      <c r="G79" s="5">
        <f>VLOOKUP($A79,tropes!$A$4:$O$2428,7,FALSE)</f>
        <v>0</v>
      </c>
      <c r="H79" s="5">
        <f>VLOOKUP($A79,tropes!$A$4:$O$2428,8,FALSE)</f>
        <v>1</v>
      </c>
      <c r="I79" s="5">
        <f>VLOOKUP($A79,tropes!$A$4:$O$2428,9,FALSE)</f>
        <v>204</v>
      </c>
      <c r="J79" s="5">
        <f>VLOOKUP($A79,tropes!$A$4:$O$2428,10,FALSE)</f>
        <v>34</v>
      </c>
      <c r="K79" s="5" t="str">
        <f>VLOOKUP($A79,tropes!$A$4:$O$2428,11,FALSE)</f>
        <v>Mirror, Mirror</v>
      </c>
      <c r="L79" s="5">
        <f>VLOOKUP($A79,tropes!$A$4:$O$2428,12,FALSE)</f>
        <v>2</v>
      </c>
      <c r="M79" s="5">
        <f>VLOOKUP($A79,tropes!$A$4:$O$2428,13,FALSE)</f>
        <v>4</v>
      </c>
      <c r="N79" s="5"/>
    </row>
    <row r="80" spans="1:14" x14ac:dyDescent="0.3">
      <c r="A80" s="14">
        <v>1029</v>
      </c>
      <c r="B80" s="5" t="str">
        <f>VLOOKUP($A80,tropes!$A$4:$O$2428,2,FALSE)</f>
        <v>What Is This Thing You Call Love</v>
      </c>
      <c r="C80" s="5" t="str">
        <f>VLOOKUP($A80,tropes!$A$4:$O$2428,3,FALSE)</f>
        <v>love</v>
      </c>
      <c r="D80" s="5" t="str">
        <f>VLOOKUP($A80,tropes!$A$4:$O$2428,4,FALSE)</f>
        <v>what is it</v>
      </c>
      <c r="E80" s="5" t="str">
        <f>VLOOKUP($A80,tropes!$A$4:$O$2428,5,FALSE)</f>
        <v>Kirk attempts to seduce Kelinda, the female one, and while she initially realizes that's what He's attempting to do, she eventually starts to enjoy the new feeling, actually finding herself drawn to him. .</v>
      </c>
      <c r="F80" s="5" t="str">
        <f>VLOOKUP($A80,tropes!$A$4:$O$2428,6,FALSE)</f>
        <v>kirk</v>
      </c>
      <c r="G80" s="5">
        <f>VLOOKUP($A80,tropes!$A$4:$O$2428,7,FALSE)</f>
        <v>1</v>
      </c>
      <c r="H80" s="5">
        <f>VLOOKUP($A80,tropes!$A$4:$O$2428,8,FALSE)</f>
        <v>0</v>
      </c>
      <c r="I80" s="5">
        <f>VLOOKUP($A80,tropes!$A$4:$O$2428,9,FALSE)</f>
        <v>222</v>
      </c>
      <c r="J80" s="5">
        <f>VLOOKUP($A80,tropes!$A$4:$O$2428,10,FALSE)</f>
        <v>52</v>
      </c>
      <c r="K80" s="5" t="str">
        <f>VLOOKUP($A80,tropes!$A$4:$O$2428,11,FALSE)</f>
        <v>By Any Other Name</v>
      </c>
      <c r="L80" s="5">
        <f>VLOOKUP($A80,tropes!$A$4:$O$2428,12,FALSE)</f>
        <v>2</v>
      </c>
      <c r="M80" s="5">
        <f>VLOOKUP($A80,tropes!$A$4:$O$2428,13,FALSE)</f>
        <v>22</v>
      </c>
      <c r="N80" s="5"/>
    </row>
    <row r="81" spans="1:14" x14ac:dyDescent="0.3">
      <c r="A81" s="14">
        <v>1203</v>
      </c>
      <c r="B81" s="5" t="str">
        <f>VLOOKUP($A81,tropes!$A$4:$O$2428,2,FALSE)</f>
        <v>What Is This Thing You Call Love</v>
      </c>
      <c r="C81" s="5" t="str">
        <f>VLOOKUP($A81,tropes!$A$4:$O$2428,3,FALSE)</f>
        <v>love</v>
      </c>
      <c r="D81" s="5" t="str">
        <f>VLOOKUP($A81,tropes!$A$4:$O$2428,4,FALSE)</f>
        <v>what is it</v>
      </c>
      <c r="E81" s="5" t="str">
        <f>VLOOKUP($A81,tropes!$A$4:$O$2428,5,FALSE)</f>
        <v>Kirks assigned gladiatorial trainer has lived her whole life as a slave and is ignorant of normal culture. She asks him, What is love? Kirk proceeds to show her.</v>
      </c>
      <c r="F81" s="5" t="str">
        <f>VLOOKUP($A81,tropes!$A$4:$O$2428,6,FALSE)</f>
        <v>kirk</v>
      </c>
      <c r="G81" s="5">
        <f>VLOOKUP($A81,tropes!$A$4:$O$2428,7,FALSE)</f>
        <v>1</v>
      </c>
      <c r="H81" s="5">
        <f>VLOOKUP($A81,tropes!$A$4:$O$2428,8,FALSE)</f>
        <v>0</v>
      </c>
      <c r="I81" s="5">
        <f>VLOOKUP($A81,tropes!$A$4:$O$2428,9,FALSE)</f>
        <v>216</v>
      </c>
      <c r="J81" s="5">
        <f>VLOOKUP($A81,tropes!$A$4:$O$2428,10,FALSE)</f>
        <v>46</v>
      </c>
      <c r="K81" s="5" t="str">
        <f>VLOOKUP($A81,tropes!$A$4:$O$2428,11,FALSE)</f>
        <v>The Gamesters of Triskelion</v>
      </c>
      <c r="L81" s="5">
        <f>VLOOKUP($A81,tropes!$A$4:$O$2428,12,FALSE)</f>
        <v>2</v>
      </c>
      <c r="M81" s="5">
        <f>VLOOKUP($A81,tropes!$A$4:$O$2428,13,FALSE)</f>
        <v>16</v>
      </c>
      <c r="N81" s="5"/>
    </row>
    <row r="82" spans="1:14" x14ac:dyDescent="0.3">
      <c r="A82" s="14">
        <v>420</v>
      </c>
      <c r="B82" s="5" t="str">
        <f>VLOOKUP($A82,tropes!$A$4:$O$2428,2,FALSE)</f>
        <v>What Is This Thing You Call Love</v>
      </c>
      <c r="C82" s="5" t="str">
        <f>VLOOKUP($A82,tropes!$A$4:$O$2428,3,FALSE)</f>
        <v>love</v>
      </c>
      <c r="D82" s="5" t="str">
        <f>VLOOKUP($A82,tropes!$A$4:$O$2428,4,FALSE)</f>
        <v>what is it</v>
      </c>
      <c r="E82" s="5" t="str">
        <f>VLOOKUP($A82,tropes!$A$4:$O$2428,5,FALSE)</f>
        <v>The crew find an idyllic paradise, except that nobody ever dies, so there is no need for replacements and the natives are ignorant of reproduction, and the emotions which lead to it. The line What is love? is used again verbatim.</v>
      </c>
      <c r="F82" s="5" t="str">
        <f>VLOOKUP($A82,tropes!$A$4:$O$2428,6,FALSE)</f>
        <v>humanoid</v>
      </c>
      <c r="G82" s="5">
        <f>VLOOKUP($A82,tropes!$A$4:$O$2428,7,FALSE)</f>
        <v>0</v>
      </c>
      <c r="H82" s="5">
        <f>VLOOKUP($A82,tropes!$A$4:$O$2428,8,FALSE)</f>
        <v>0</v>
      </c>
      <c r="I82" s="5">
        <f>VLOOKUP($A82,tropes!$A$4:$O$2428,9,FALSE)</f>
        <v>205</v>
      </c>
      <c r="J82" s="5">
        <f>VLOOKUP($A82,tropes!$A$4:$O$2428,10,FALSE)</f>
        <v>35</v>
      </c>
      <c r="K82" s="5" t="str">
        <f>VLOOKUP($A82,tropes!$A$4:$O$2428,11,FALSE)</f>
        <v>The Apple</v>
      </c>
      <c r="L82" s="5">
        <f>VLOOKUP($A82,tropes!$A$4:$O$2428,12,FALSE)</f>
        <v>2</v>
      </c>
      <c r="M82" s="5">
        <f>VLOOKUP($A82,tropes!$A$4:$O$2428,13,FALSE)</f>
        <v>5</v>
      </c>
      <c r="N82" s="5"/>
    </row>
    <row r="83" spans="1:14" x14ac:dyDescent="0.3">
      <c r="A83" s="14">
        <v>1462</v>
      </c>
      <c r="B83" s="5" t="str">
        <f>VLOOKUP($A83,tropes!$A$4:$O$2428,2,FALSE)</f>
        <v>What Is This Thing You Call Love</v>
      </c>
      <c r="C83" s="5" t="str">
        <f>VLOOKUP($A83,tropes!$A$4:$O$2428,3,FALSE)</f>
        <v>love</v>
      </c>
      <c r="D83" s="5" t="str">
        <f>VLOOKUP($A83,tropes!$A$4:$O$2428,4,FALSE)</f>
        <v>what is it</v>
      </c>
      <c r="E83" s="5" t="str">
        <f>VLOOKUP($A83,tropes!$A$4:$O$2428,5,FALSE)</f>
        <v>Yeoman Martha Landon: When a man and woman fall in love. | Akuta: Love? Strange words. Children… Love… What is love?.</v>
      </c>
      <c r="F83" s="5" t="str">
        <f>VLOOKUP($A83,tropes!$A$4:$O$2428,6,FALSE)</f>
        <v>landon</v>
      </c>
      <c r="G83" s="5">
        <f>VLOOKUP($A83,tropes!$A$4:$O$2428,7,FALSE)</f>
        <v>0</v>
      </c>
      <c r="H83" s="5">
        <f>VLOOKUP($A83,tropes!$A$4:$O$2428,8,FALSE)</f>
        <v>0</v>
      </c>
      <c r="I83" s="5">
        <f>VLOOKUP($A83,tropes!$A$4:$O$2428,9,FALSE)</f>
        <v>205</v>
      </c>
      <c r="J83" s="5">
        <f>VLOOKUP($A83,tropes!$A$4:$O$2428,10,FALSE)</f>
        <v>35</v>
      </c>
      <c r="K83" s="5" t="str">
        <f>VLOOKUP($A83,tropes!$A$4:$O$2428,11,FALSE)</f>
        <v>The Apple</v>
      </c>
      <c r="L83" s="5">
        <f>VLOOKUP($A83,tropes!$A$4:$O$2428,12,FALSE)</f>
        <v>2</v>
      </c>
      <c r="M83" s="5">
        <f>VLOOKUP($A83,tropes!$A$4:$O$2428,13,FALSE)</f>
        <v>5</v>
      </c>
      <c r="N83" s="5"/>
    </row>
    <row r="84" spans="1:14" x14ac:dyDescent="0.3">
      <c r="A84" s="14">
        <v>1201</v>
      </c>
      <c r="B84" s="5" t="str">
        <f>VLOOKUP($A84,tropes!$A$4:$O$2428,2,FALSE)</f>
        <v>Best Her to Bed Her</v>
      </c>
      <c r="C84" s="5" t="str">
        <f>VLOOKUP($A84,tropes!$A$4:$O$2428,3,FALSE)</f>
        <v>love</v>
      </c>
      <c r="D84" s="5">
        <f>VLOOKUP($A84,tropes!$A$4:$O$2428,4,FALSE)</f>
        <v>0</v>
      </c>
      <c r="E84" s="5" t="str">
        <f>VLOOKUP($A84,tropes!$A$4:$O$2428,5,FALSE)</f>
        <v>If Kirk could best Shahna then maybe the Gamesters would pick them as a pair.</v>
      </c>
      <c r="F84" s="5" t="str">
        <f>VLOOKUP($A84,tropes!$A$4:$O$2428,6,FALSE)</f>
        <v>kirk</v>
      </c>
      <c r="G84" s="5">
        <f>VLOOKUP($A84,tropes!$A$4:$O$2428,7,FALSE)</f>
        <v>1</v>
      </c>
      <c r="H84" s="5">
        <f>VLOOKUP($A84,tropes!$A$4:$O$2428,8,FALSE)</f>
        <v>0</v>
      </c>
      <c r="I84" s="5">
        <f>VLOOKUP($A84,tropes!$A$4:$O$2428,9,FALSE)</f>
        <v>216</v>
      </c>
      <c r="J84" s="5">
        <f>VLOOKUP($A84,tropes!$A$4:$O$2428,10,FALSE)</f>
        <v>46</v>
      </c>
      <c r="K84" s="5" t="str">
        <f>VLOOKUP($A84,tropes!$A$4:$O$2428,11,FALSE)</f>
        <v>The Gamesters of Triskelion</v>
      </c>
      <c r="L84" s="5">
        <f>VLOOKUP($A84,tropes!$A$4:$O$2428,12,FALSE)</f>
        <v>2</v>
      </c>
      <c r="M84" s="5">
        <f>VLOOKUP($A84,tropes!$A$4:$O$2428,13,FALSE)</f>
        <v>16</v>
      </c>
      <c r="N84" s="5"/>
    </row>
    <row r="85" spans="1:14" x14ac:dyDescent="0.3">
      <c r="A85" s="14">
        <v>2700</v>
      </c>
      <c r="B85" s="5" t="str">
        <f>VLOOKUP($A85,tropes!$A$4:$O$2428,2,FALSE)</f>
        <v>Chasity Dagger</v>
      </c>
      <c r="C85" s="5" t="str">
        <f>VLOOKUP($A85,tropes!$A$4:$O$2428,3,FALSE)</f>
        <v>love</v>
      </c>
      <c r="D85" s="5">
        <f>VLOOKUP($A85,tropes!$A$4:$O$2428,4,FALSE)</f>
        <v>0</v>
      </c>
      <c r="E85" s="5" t="str">
        <f>VLOOKUP($A85,tropes!$A$4:$O$2428,5,FALSE)</f>
        <v>Uhura in uses one to fend off Mirror Sulu's lecherous advances on her at one point</v>
      </c>
      <c r="F85" s="5" t="str">
        <f>VLOOKUP($A85,tropes!$A$4:$O$2428,6,FALSE)</f>
        <v>uhura</v>
      </c>
      <c r="G85" s="5">
        <f>VLOOKUP($A85,tropes!$A$4:$O$2428,7,FALSE)</f>
        <v>1</v>
      </c>
      <c r="H85" s="5">
        <f>VLOOKUP($A85,tropes!$A$4:$O$2428,8,FALSE)</f>
        <v>0</v>
      </c>
      <c r="I85" s="5">
        <f>VLOOKUP($A85,tropes!$A$4:$O$2428,9,FALSE)</f>
        <v>204</v>
      </c>
      <c r="J85" s="5">
        <f>VLOOKUP($A85,tropes!$A$4:$O$2428,10,FALSE)</f>
        <v>34</v>
      </c>
      <c r="K85" s="5" t="str">
        <f>VLOOKUP($A85,tropes!$A$4:$O$2428,11,FALSE)</f>
        <v>Mirror, Mirror</v>
      </c>
      <c r="L85" s="5">
        <f>VLOOKUP($A85,tropes!$A$4:$O$2428,12,FALSE)</f>
        <v>2</v>
      </c>
      <c r="M85" s="5">
        <f>VLOOKUP($A85,tropes!$A$4:$O$2428,13,FALSE)</f>
        <v>4</v>
      </c>
      <c r="N85" s="5"/>
    </row>
    <row r="86" spans="1:14" x14ac:dyDescent="0.3">
      <c r="A86" s="14"/>
      <c r="B86" s="5" t="e">
        <f>VLOOKUP($A86,tropes!$A$4:$O$2428,2,FALSE)</f>
        <v>#N/A</v>
      </c>
      <c r="C86" s="5" t="e">
        <f>VLOOKUP($A86,tropes!$A$4:$O$2428,3,FALSE)</f>
        <v>#N/A</v>
      </c>
      <c r="D86" s="5" t="e">
        <f>VLOOKUP($A86,tropes!$A$4:$O$2428,4,FALSE)</f>
        <v>#N/A</v>
      </c>
      <c r="E86" s="5" t="e">
        <f>VLOOKUP($A86,tropes!$A$4:$O$2428,5,FALSE)</f>
        <v>#N/A</v>
      </c>
      <c r="F86" s="5" t="e">
        <f>VLOOKUP($A86,tropes!$A$4:$O$2428,6,FALSE)</f>
        <v>#N/A</v>
      </c>
      <c r="G86" s="5" t="e">
        <f>VLOOKUP($A86,tropes!$A$4:$O$2428,7,FALSE)</f>
        <v>#N/A</v>
      </c>
      <c r="H86" s="5" t="e">
        <f>VLOOKUP($A86,tropes!$A$4:$O$2428,8,FALSE)</f>
        <v>#N/A</v>
      </c>
      <c r="I86" s="5" t="e">
        <f>VLOOKUP($A86,tropes!$A$4:$O$2428,9,FALSE)</f>
        <v>#N/A</v>
      </c>
      <c r="J86" s="5" t="e">
        <f>VLOOKUP($A86,tropes!$A$4:$O$2428,10,FALSE)</f>
        <v>#N/A</v>
      </c>
      <c r="K86" s="5" t="e">
        <f>VLOOKUP($A86,tropes!$A$4:$O$2428,11,FALSE)</f>
        <v>#N/A</v>
      </c>
      <c r="L86" s="5" t="e">
        <f>VLOOKUP($A86,tropes!$A$4:$O$2428,12,FALSE)</f>
        <v>#N/A</v>
      </c>
      <c r="M86" s="5" t="e">
        <f>VLOOKUP($A86,tropes!$A$4:$O$2428,13,FALSE)</f>
        <v>#N/A</v>
      </c>
      <c r="N86" s="5"/>
    </row>
    <row r="87" spans="1:14" x14ac:dyDescent="0.3">
      <c r="A87" s="14"/>
      <c r="B87" s="5" t="e">
        <f>VLOOKUP($A87,tropes!$A$4:$O$2428,2,FALSE)</f>
        <v>#N/A</v>
      </c>
      <c r="C87" s="5" t="e">
        <f>VLOOKUP($A87,tropes!$A$4:$O$2428,3,FALSE)</f>
        <v>#N/A</v>
      </c>
      <c r="D87" s="5" t="e">
        <f>VLOOKUP($A87,tropes!$A$4:$O$2428,4,FALSE)</f>
        <v>#N/A</v>
      </c>
      <c r="E87" s="5" t="e">
        <f>VLOOKUP($A87,tropes!$A$4:$O$2428,5,FALSE)</f>
        <v>#N/A</v>
      </c>
      <c r="F87" s="5" t="e">
        <f>VLOOKUP($A87,tropes!$A$4:$O$2428,6,FALSE)</f>
        <v>#N/A</v>
      </c>
      <c r="G87" s="5" t="e">
        <f>VLOOKUP($A87,tropes!$A$4:$O$2428,7,FALSE)</f>
        <v>#N/A</v>
      </c>
      <c r="H87" s="5" t="e">
        <f>VLOOKUP($A87,tropes!$A$4:$O$2428,8,FALSE)</f>
        <v>#N/A</v>
      </c>
      <c r="I87" s="5" t="e">
        <f>VLOOKUP($A87,tropes!$A$4:$O$2428,9,FALSE)</f>
        <v>#N/A</v>
      </c>
      <c r="J87" s="5" t="e">
        <f>VLOOKUP($A87,tropes!$A$4:$O$2428,10,FALSE)</f>
        <v>#N/A</v>
      </c>
      <c r="K87" s="5" t="e">
        <f>VLOOKUP($A87,tropes!$A$4:$O$2428,11,FALSE)</f>
        <v>#N/A</v>
      </c>
      <c r="L87" s="5" t="e">
        <f>VLOOKUP($A87,tropes!$A$4:$O$2428,12,FALSE)</f>
        <v>#N/A</v>
      </c>
      <c r="M87" s="5" t="e">
        <f>VLOOKUP($A87,tropes!$A$4:$O$2428,13,FALSE)</f>
        <v>#N/A</v>
      </c>
      <c r="N87" s="5"/>
    </row>
    <row r="88" spans="1:14" x14ac:dyDescent="0.3">
      <c r="A88" s="14"/>
      <c r="B88" s="5" t="e">
        <f>VLOOKUP($A88,tropes!$A$4:$O$2428,2,FALSE)</f>
        <v>#N/A</v>
      </c>
      <c r="C88" s="5" t="e">
        <f>VLOOKUP($A88,tropes!$A$4:$O$2428,3,FALSE)</f>
        <v>#N/A</v>
      </c>
      <c r="D88" s="5" t="e">
        <f>VLOOKUP($A88,tropes!$A$4:$O$2428,4,FALSE)</f>
        <v>#N/A</v>
      </c>
      <c r="E88" s="5" t="e">
        <f>VLOOKUP($A88,tropes!$A$4:$O$2428,5,FALSE)</f>
        <v>#N/A</v>
      </c>
      <c r="F88" s="5" t="e">
        <f>VLOOKUP($A88,tropes!$A$4:$O$2428,6,FALSE)</f>
        <v>#N/A</v>
      </c>
      <c r="G88" s="5" t="e">
        <f>VLOOKUP($A88,tropes!$A$4:$O$2428,7,FALSE)</f>
        <v>#N/A</v>
      </c>
      <c r="H88" s="5" t="e">
        <f>VLOOKUP($A88,tropes!$A$4:$O$2428,8,FALSE)</f>
        <v>#N/A</v>
      </c>
      <c r="I88" s="5" t="e">
        <f>VLOOKUP($A88,tropes!$A$4:$O$2428,9,FALSE)</f>
        <v>#N/A</v>
      </c>
      <c r="J88" s="5" t="e">
        <f>VLOOKUP($A88,tropes!$A$4:$O$2428,10,FALSE)</f>
        <v>#N/A</v>
      </c>
      <c r="K88" s="5" t="e">
        <f>VLOOKUP($A88,tropes!$A$4:$O$2428,11,FALSE)</f>
        <v>#N/A</v>
      </c>
      <c r="L88" s="5" t="e">
        <f>VLOOKUP($A88,tropes!$A$4:$O$2428,12,FALSE)</f>
        <v>#N/A</v>
      </c>
      <c r="M88" s="5" t="e">
        <f>VLOOKUP($A88,tropes!$A$4:$O$2428,13,FALSE)</f>
        <v>#N/A</v>
      </c>
      <c r="N88" s="5"/>
    </row>
    <row r="89" spans="1:14" x14ac:dyDescent="0.3">
      <c r="A89" s="14"/>
      <c r="B89" s="5" t="e">
        <f>VLOOKUP($A89,tropes!$A$4:$O$2428,2,FALSE)</f>
        <v>#N/A</v>
      </c>
      <c r="C89" s="5" t="e">
        <f>VLOOKUP($A89,tropes!$A$4:$O$2428,3,FALSE)</f>
        <v>#N/A</v>
      </c>
      <c r="D89" s="5" t="e">
        <f>VLOOKUP($A89,tropes!$A$4:$O$2428,4,FALSE)</f>
        <v>#N/A</v>
      </c>
      <c r="E89" s="5" t="e">
        <f>VLOOKUP($A89,tropes!$A$4:$O$2428,5,FALSE)</f>
        <v>#N/A</v>
      </c>
      <c r="F89" s="5" t="e">
        <f>VLOOKUP($A89,tropes!$A$4:$O$2428,6,FALSE)</f>
        <v>#N/A</v>
      </c>
      <c r="G89" s="5" t="e">
        <f>VLOOKUP($A89,tropes!$A$4:$O$2428,7,FALSE)</f>
        <v>#N/A</v>
      </c>
      <c r="H89" s="5" t="e">
        <f>VLOOKUP($A89,tropes!$A$4:$O$2428,8,FALSE)</f>
        <v>#N/A</v>
      </c>
      <c r="I89" s="5" t="e">
        <f>VLOOKUP($A89,tropes!$A$4:$O$2428,9,FALSE)</f>
        <v>#N/A</v>
      </c>
      <c r="J89" s="5" t="e">
        <f>VLOOKUP($A89,tropes!$A$4:$O$2428,10,FALSE)</f>
        <v>#N/A</v>
      </c>
      <c r="K89" s="5" t="e">
        <f>VLOOKUP($A89,tropes!$A$4:$O$2428,11,FALSE)</f>
        <v>#N/A</v>
      </c>
      <c r="L89" s="5" t="e">
        <f>VLOOKUP($A89,tropes!$A$4:$O$2428,12,FALSE)</f>
        <v>#N/A</v>
      </c>
      <c r="M89" s="5" t="e">
        <f>VLOOKUP($A89,tropes!$A$4:$O$2428,13,FALSE)</f>
        <v>#N/A</v>
      </c>
      <c r="N89" s="5"/>
    </row>
    <row r="90" spans="1:14" x14ac:dyDescent="0.3">
      <c r="A90" s="14"/>
      <c r="B90" s="5" t="e">
        <f>VLOOKUP($A90,tropes!$A$4:$O$2428,2,FALSE)</f>
        <v>#N/A</v>
      </c>
      <c r="C90" s="5" t="e">
        <f>VLOOKUP($A90,tropes!$A$4:$O$2428,3,FALSE)</f>
        <v>#N/A</v>
      </c>
      <c r="D90" s="5" t="e">
        <f>VLOOKUP($A90,tropes!$A$4:$O$2428,4,FALSE)</f>
        <v>#N/A</v>
      </c>
      <c r="E90" s="5" t="e">
        <f>VLOOKUP($A90,tropes!$A$4:$O$2428,5,FALSE)</f>
        <v>#N/A</v>
      </c>
      <c r="F90" s="5" t="e">
        <f>VLOOKUP($A90,tropes!$A$4:$O$2428,6,FALSE)</f>
        <v>#N/A</v>
      </c>
      <c r="G90" s="5" t="e">
        <f>VLOOKUP($A90,tropes!$A$4:$O$2428,7,FALSE)</f>
        <v>#N/A</v>
      </c>
      <c r="H90" s="5" t="e">
        <f>VLOOKUP($A90,tropes!$A$4:$O$2428,8,FALSE)</f>
        <v>#N/A</v>
      </c>
      <c r="I90" s="5" t="e">
        <f>VLOOKUP($A90,tropes!$A$4:$O$2428,9,FALSE)</f>
        <v>#N/A</v>
      </c>
      <c r="J90" s="5" t="e">
        <f>VLOOKUP($A90,tropes!$A$4:$O$2428,10,FALSE)</f>
        <v>#N/A</v>
      </c>
      <c r="K90" s="5" t="e">
        <f>VLOOKUP($A90,tropes!$A$4:$O$2428,11,FALSE)</f>
        <v>#N/A</v>
      </c>
      <c r="L90" s="5" t="e">
        <f>VLOOKUP($A90,tropes!$A$4:$O$2428,12,FALSE)</f>
        <v>#N/A</v>
      </c>
      <c r="M90" s="5" t="e">
        <f>VLOOKUP($A90,tropes!$A$4:$O$2428,13,FALSE)</f>
        <v>#N/A</v>
      </c>
      <c r="N90" s="5"/>
    </row>
    <row r="91" spans="1:14" x14ac:dyDescent="0.3">
      <c r="A91" s="14"/>
      <c r="B91" s="5" t="e">
        <f>VLOOKUP($A91,tropes!$A$4:$O$2428,2,FALSE)</f>
        <v>#N/A</v>
      </c>
      <c r="C91" s="5" t="e">
        <f>VLOOKUP($A91,tropes!$A$4:$O$2428,3,FALSE)</f>
        <v>#N/A</v>
      </c>
      <c r="D91" s="5" t="e">
        <f>VLOOKUP($A91,tropes!$A$4:$O$2428,4,FALSE)</f>
        <v>#N/A</v>
      </c>
      <c r="E91" s="5" t="e">
        <f>VLOOKUP($A91,tropes!$A$4:$O$2428,5,FALSE)</f>
        <v>#N/A</v>
      </c>
      <c r="F91" s="5" t="e">
        <f>VLOOKUP($A91,tropes!$A$4:$O$2428,6,FALSE)</f>
        <v>#N/A</v>
      </c>
      <c r="G91" s="5" t="e">
        <f>VLOOKUP($A91,tropes!$A$4:$O$2428,7,FALSE)</f>
        <v>#N/A</v>
      </c>
      <c r="H91" s="5" t="e">
        <f>VLOOKUP($A91,tropes!$A$4:$O$2428,8,FALSE)</f>
        <v>#N/A</v>
      </c>
      <c r="I91" s="5" t="e">
        <f>VLOOKUP($A91,tropes!$A$4:$O$2428,9,FALSE)</f>
        <v>#N/A</v>
      </c>
      <c r="J91" s="5" t="e">
        <f>VLOOKUP($A91,tropes!$A$4:$O$2428,10,FALSE)</f>
        <v>#N/A</v>
      </c>
      <c r="K91" s="5" t="e">
        <f>VLOOKUP($A91,tropes!$A$4:$O$2428,11,FALSE)</f>
        <v>#N/A</v>
      </c>
      <c r="L91" s="5" t="e">
        <f>VLOOKUP($A91,tropes!$A$4:$O$2428,12,FALSE)</f>
        <v>#N/A</v>
      </c>
      <c r="M91" s="5" t="e">
        <f>VLOOKUP($A91,tropes!$A$4:$O$2428,13,FALSE)</f>
        <v>#N/A</v>
      </c>
      <c r="N91" s="5"/>
    </row>
    <row r="92" spans="1:14" x14ac:dyDescent="0.3">
      <c r="A92" s="14"/>
      <c r="B92" s="5" t="e">
        <f>VLOOKUP($A92,tropes!$A$4:$O$2428,2,FALSE)</f>
        <v>#N/A</v>
      </c>
      <c r="C92" s="5" t="e">
        <f>VLOOKUP($A92,tropes!$A$4:$O$2428,3,FALSE)</f>
        <v>#N/A</v>
      </c>
      <c r="D92" s="5" t="e">
        <f>VLOOKUP($A92,tropes!$A$4:$O$2428,4,FALSE)</f>
        <v>#N/A</v>
      </c>
      <c r="E92" s="5" t="e">
        <f>VLOOKUP($A92,tropes!$A$4:$O$2428,5,FALSE)</f>
        <v>#N/A</v>
      </c>
      <c r="F92" s="5" t="e">
        <f>VLOOKUP($A92,tropes!$A$4:$O$2428,6,FALSE)</f>
        <v>#N/A</v>
      </c>
      <c r="G92" s="5" t="e">
        <f>VLOOKUP($A92,tropes!$A$4:$O$2428,7,FALSE)</f>
        <v>#N/A</v>
      </c>
      <c r="H92" s="5" t="e">
        <f>VLOOKUP($A92,tropes!$A$4:$O$2428,8,FALSE)</f>
        <v>#N/A</v>
      </c>
      <c r="I92" s="5" t="e">
        <f>VLOOKUP($A92,tropes!$A$4:$O$2428,9,FALSE)</f>
        <v>#N/A</v>
      </c>
      <c r="J92" s="5" t="e">
        <f>VLOOKUP($A92,tropes!$A$4:$O$2428,10,FALSE)</f>
        <v>#N/A</v>
      </c>
      <c r="K92" s="5" t="e">
        <f>VLOOKUP($A92,tropes!$A$4:$O$2428,11,FALSE)</f>
        <v>#N/A</v>
      </c>
      <c r="L92" s="5" t="e">
        <f>VLOOKUP($A92,tropes!$A$4:$O$2428,12,FALSE)</f>
        <v>#N/A</v>
      </c>
      <c r="M92" s="5" t="e">
        <f>VLOOKUP($A92,tropes!$A$4:$O$2428,13,FALSE)</f>
        <v>#N/A</v>
      </c>
      <c r="N92" s="5"/>
    </row>
    <row r="93" spans="1:14" x14ac:dyDescent="0.3">
      <c r="A93" s="14"/>
      <c r="B93" s="5" t="e">
        <f>VLOOKUP($A93,tropes!$A$4:$O$2428,2,FALSE)</f>
        <v>#N/A</v>
      </c>
      <c r="C93" s="5" t="e">
        <f>VLOOKUP($A93,tropes!$A$4:$O$2428,3,FALSE)</f>
        <v>#N/A</v>
      </c>
      <c r="D93" s="5" t="e">
        <f>VLOOKUP($A93,tropes!$A$4:$O$2428,4,FALSE)</f>
        <v>#N/A</v>
      </c>
      <c r="E93" s="5" t="e">
        <f>VLOOKUP($A93,tropes!$A$4:$O$2428,5,FALSE)</f>
        <v>#N/A</v>
      </c>
      <c r="F93" s="5" t="e">
        <f>VLOOKUP($A93,tropes!$A$4:$O$2428,6,FALSE)</f>
        <v>#N/A</v>
      </c>
      <c r="G93" s="5" t="e">
        <f>VLOOKUP($A93,tropes!$A$4:$O$2428,7,FALSE)</f>
        <v>#N/A</v>
      </c>
      <c r="H93" s="5" t="e">
        <f>VLOOKUP($A93,tropes!$A$4:$O$2428,8,FALSE)</f>
        <v>#N/A</v>
      </c>
      <c r="I93" s="5" t="e">
        <f>VLOOKUP($A93,tropes!$A$4:$O$2428,9,FALSE)</f>
        <v>#N/A</v>
      </c>
      <c r="J93" s="5" t="e">
        <f>VLOOKUP($A93,tropes!$A$4:$O$2428,10,FALSE)</f>
        <v>#N/A</v>
      </c>
      <c r="K93" s="5" t="e">
        <f>VLOOKUP($A93,tropes!$A$4:$O$2428,11,FALSE)</f>
        <v>#N/A</v>
      </c>
      <c r="L93" s="5" t="e">
        <f>VLOOKUP($A93,tropes!$A$4:$O$2428,12,FALSE)</f>
        <v>#N/A</v>
      </c>
      <c r="M93" s="5" t="e">
        <f>VLOOKUP($A93,tropes!$A$4:$O$2428,13,FALSE)</f>
        <v>#N/A</v>
      </c>
      <c r="N93" s="5"/>
    </row>
    <row r="94" spans="1:14" x14ac:dyDescent="0.3">
      <c r="A94" s="14"/>
      <c r="B94" s="5" t="e">
        <f>VLOOKUP($A94,tropes!$A$4:$O$2428,2,FALSE)</f>
        <v>#N/A</v>
      </c>
      <c r="C94" s="5" t="e">
        <f>VLOOKUP($A94,tropes!$A$4:$O$2428,3,FALSE)</f>
        <v>#N/A</v>
      </c>
      <c r="D94" s="5" t="e">
        <f>VLOOKUP($A94,tropes!$A$4:$O$2428,4,FALSE)</f>
        <v>#N/A</v>
      </c>
      <c r="E94" s="5" t="e">
        <f>VLOOKUP($A94,tropes!$A$4:$O$2428,5,FALSE)</f>
        <v>#N/A</v>
      </c>
      <c r="F94" s="5" t="e">
        <f>VLOOKUP($A94,tropes!$A$4:$O$2428,6,FALSE)</f>
        <v>#N/A</v>
      </c>
      <c r="G94" s="5" t="e">
        <f>VLOOKUP($A94,tropes!$A$4:$O$2428,7,FALSE)</f>
        <v>#N/A</v>
      </c>
      <c r="H94" s="5" t="e">
        <f>VLOOKUP($A94,tropes!$A$4:$O$2428,8,FALSE)</f>
        <v>#N/A</v>
      </c>
      <c r="I94" s="5" t="e">
        <f>VLOOKUP($A94,tropes!$A$4:$O$2428,9,FALSE)</f>
        <v>#N/A</v>
      </c>
      <c r="J94" s="5" t="e">
        <f>VLOOKUP($A94,tropes!$A$4:$O$2428,10,FALSE)</f>
        <v>#N/A</v>
      </c>
      <c r="K94" s="5" t="e">
        <f>VLOOKUP($A94,tropes!$A$4:$O$2428,11,FALSE)</f>
        <v>#N/A</v>
      </c>
      <c r="L94" s="5" t="e">
        <f>VLOOKUP($A94,tropes!$A$4:$O$2428,12,FALSE)</f>
        <v>#N/A</v>
      </c>
      <c r="M94" s="5" t="e">
        <f>VLOOKUP($A94,tropes!$A$4:$O$2428,13,FALSE)</f>
        <v>#N/A</v>
      </c>
      <c r="N94" s="5"/>
    </row>
    <row r="95" spans="1:14" x14ac:dyDescent="0.3">
      <c r="A95" s="14"/>
      <c r="B95" s="5" t="e">
        <f>VLOOKUP($A95,tropes!$A$4:$O$2428,2,FALSE)</f>
        <v>#N/A</v>
      </c>
      <c r="C95" s="5" t="e">
        <f>VLOOKUP($A95,tropes!$A$4:$O$2428,3,FALSE)</f>
        <v>#N/A</v>
      </c>
      <c r="D95" s="5" t="e">
        <f>VLOOKUP($A95,tropes!$A$4:$O$2428,4,FALSE)</f>
        <v>#N/A</v>
      </c>
      <c r="E95" s="5" t="e">
        <f>VLOOKUP($A95,tropes!$A$4:$O$2428,5,FALSE)</f>
        <v>#N/A</v>
      </c>
      <c r="F95" s="5" t="e">
        <f>VLOOKUP($A95,tropes!$A$4:$O$2428,6,FALSE)</f>
        <v>#N/A</v>
      </c>
      <c r="G95" s="5" t="e">
        <f>VLOOKUP($A95,tropes!$A$4:$O$2428,7,FALSE)</f>
        <v>#N/A</v>
      </c>
      <c r="H95" s="5" t="e">
        <f>VLOOKUP($A95,tropes!$A$4:$O$2428,8,FALSE)</f>
        <v>#N/A</v>
      </c>
      <c r="I95" s="5" t="e">
        <f>VLOOKUP($A95,tropes!$A$4:$O$2428,9,FALSE)</f>
        <v>#N/A</v>
      </c>
      <c r="J95" s="5" t="e">
        <f>VLOOKUP($A95,tropes!$A$4:$O$2428,10,FALSE)</f>
        <v>#N/A</v>
      </c>
      <c r="K95" s="5" t="e">
        <f>VLOOKUP($A95,tropes!$A$4:$O$2428,11,FALSE)</f>
        <v>#N/A</v>
      </c>
      <c r="L95" s="5" t="e">
        <f>VLOOKUP($A95,tropes!$A$4:$O$2428,12,FALSE)</f>
        <v>#N/A</v>
      </c>
      <c r="M95" s="5" t="e">
        <f>VLOOKUP($A95,tropes!$A$4:$O$2428,13,FALSE)</f>
        <v>#N/A</v>
      </c>
      <c r="N95" s="5"/>
    </row>
    <row r="96" spans="1:14" x14ac:dyDescent="0.3">
      <c r="A96" s="14"/>
      <c r="B96" s="5" t="e">
        <f>VLOOKUP($A96,tropes!$A$4:$O$2428,2,FALSE)</f>
        <v>#N/A</v>
      </c>
      <c r="C96" s="5" t="e">
        <f>VLOOKUP($A96,tropes!$A$4:$O$2428,3,FALSE)</f>
        <v>#N/A</v>
      </c>
      <c r="D96" s="5" t="e">
        <f>VLOOKUP($A96,tropes!$A$4:$O$2428,4,FALSE)</f>
        <v>#N/A</v>
      </c>
      <c r="E96" s="5" t="e">
        <f>VLOOKUP($A96,tropes!$A$4:$O$2428,5,FALSE)</f>
        <v>#N/A</v>
      </c>
      <c r="F96" s="5" t="e">
        <f>VLOOKUP($A96,tropes!$A$4:$O$2428,6,FALSE)</f>
        <v>#N/A</v>
      </c>
      <c r="G96" s="5" t="e">
        <f>VLOOKUP($A96,tropes!$A$4:$O$2428,7,FALSE)</f>
        <v>#N/A</v>
      </c>
      <c r="H96" s="5" t="e">
        <f>VLOOKUP($A96,tropes!$A$4:$O$2428,8,FALSE)</f>
        <v>#N/A</v>
      </c>
      <c r="I96" s="5" t="e">
        <f>VLOOKUP($A96,tropes!$A$4:$O$2428,9,FALSE)</f>
        <v>#N/A</v>
      </c>
      <c r="J96" s="5" t="e">
        <f>VLOOKUP($A96,tropes!$A$4:$O$2428,10,FALSE)</f>
        <v>#N/A</v>
      </c>
      <c r="K96" s="5" t="e">
        <f>VLOOKUP($A96,tropes!$A$4:$O$2428,11,FALSE)</f>
        <v>#N/A</v>
      </c>
      <c r="L96" s="5" t="e">
        <f>VLOOKUP($A96,tropes!$A$4:$O$2428,12,FALSE)</f>
        <v>#N/A</v>
      </c>
      <c r="M96" s="5" t="e">
        <f>VLOOKUP($A96,tropes!$A$4:$O$2428,13,FALSE)</f>
        <v>#N/A</v>
      </c>
      <c r="N96" s="5"/>
    </row>
    <row r="97" spans="1:14" x14ac:dyDescent="0.3">
      <c r="A97" s="14"/>
      <c r="B97" s="5" t="e">
        <f>VLOOKUP($A97,tropes!$A$4:$O$2428,2,FALSE)</f>
        <v>#N/A</v>
      </c>
      <c r="C97" s="5" t="e">
        <f>VLOOKUP($A97,tropes!$A$4:$O$2428,3,FALSE)</f>
        <v>#N/A</v>
      </c>
      <c r="D97" s="5" t="e">
        <f>VLOOKUP($A97,tropes!$A$4:$O$2428,4,FALSE)</f>
        <v>#N/A</v>
      </c>
      <c r="E97" s="5" t="e">
        <f>VLOOKUP($A97,tropes!$A$4:$O$2428,5,FALSE)</f>
        <v>#N/A</v>
      </c>
      <c r="F97" s="5" t="e">
        <f>VLOOKUP($A97,tropes!$A$4:$O$2428,6,FALSE)</f>
        <v>#N/A</v>
      </c>
      <c r="G97" s="5" t="e">
        <f>VLOOKUP($A97,tropes!$A$4:$O$2428,7,FALSE)</f>
        <v>#N/A</v>
      </c>
      <c r="H97" s="5" t="e">
        <f>VLOOKUP($A97,tropes!$A$4:$O$2428,8,FALSE)</f>
        <v>#N/A</v>
      </c>
      <c r="I97" s="5" t="e">
        <f>VLOOKUP($A97,tropes!$A$4:$O$2428,9,FALSE)</f>
        <v>#N/A</v>
      </c>
      <c r="J97" s="5" t="e">
        <f>VLOOKUP($A97,tropes!$A$4:$O$2428,10,FALSE)</f>
        <v>#N/A</v>
      </c>
      <c r="K97" s="5" t="e">
        <f>VLOOKUP($A97,tropes!$A$4:$O$2428,11,FALSE)</f>
        <v>#N/A</v>
      </c>
      <c r="L97" s="5" t="e">
        <f>VLOOKUP($A97,tropes!$A$4:$O$2428,12,FALSE)</f>
        <v>#N/A</v>
      </c>
      <c r="M97" s="5" t="e">
        <f>VLOOKUP($A97,tropes!$A$4:$O$2428,13,FALSE)</f>
        <v>#N/A</v>
      </c>
      <c r="N97" s="5"/>
    </row>
    <row r="98" spans="1:14" x14ac:dyDescent="0.3">
      <c r="A98" s="14"/>
      <c r="B98" s="5" t="e">
        <f>VLOOKUP($A98,tropes!$A$4:$O$2428,2,FALSE)</f>
        <v>#N/A</v>
      </c>
      <c r="C98" s="5" t="e">
        <f>VLOOKUP($A98,tropes!$A$4:$O$2428,3,FALSE)</f>
        <v>#N/A</v>
      </c>
      <c r="D98" s="5" t="e">
        <f>VLOOKUP($A98,tropes!$A$4:$O$2428,4,FALSE)</f>
        <v>#N/A</v>
      </c>
      <c r="E98" s="5" t="e">
        <f>VLOOKUP($A98,tropes!$A$4:$O$2428,5,FALSE)</f>
        <v>#N/A</v>
      </c>
      <c r="F98" s="5" t="e">
        <f>VLOOKUP($A98,tropes!$A$4:$O$2428,6,FALSE)</f>
        <v>#N/A</v>
      </c>
      <c r="G98" s="5" t="e">
        <f>VLOOKUP($A98,tropes!$A$4:$O$2428,7,FALSE)</f>
        <v>#N/A</v>
      </c>
      <c r="H98" s="5" t="e">
        <f>VLOOKUP($A98,tropes!$A$4:$O$2428,8,FALSE)</f>
        <v>#N/A</v>
      </c>
      <c r="I98" s="5" t="e">
        <f>VLOOKUP($A98,tropes!$A$4:$O$2428,9,FALSE)</f>
        <v>#N/A</v>
      </c>
      <c r="J98" s="5" t="e">
        <f>VLOOKUP($A98,tropes!$A$4:$O$2428,10,FALSE)</f>
        <v>#N/A</v>
      </c>
      <c r="K98" s="5" t="e">
        <f>VLOOKUP($A98,tropes!$A$4:$O$2428,11,FALSE)</f>
        <v>#N/A</v>
      </c>
      <c r="L98" s="5" t="e">
        <f>VLOOKUP($A98,tropes!$A$4:$O$2428,12,FALSE)</f>
        <v>#N/A</v>
      </c>
      <c r="M98" s="5" t="e">
        <f>VLOOKUP($A98,tropes!$A$4:$O$2428,13,FALSE)</f>
        <v>#N/A</v>
      </c>
      <c r="N98" s="5"/>
    </row>
    <row r="99" spans="1:14" x14ac:dyDescent="0.3">
      <c r="A99" s="14"/>
      <c r="B99" s="5" t="e">
        <f>VLOOKUP($A99,tropes!$A$4:$O$2428,2,FALSE)</f>
        <v>#N/A</v>
      </c>
      <c r="C99" s="5" t="e">
        <f>VLOOKUP($A99,tropes!$A$4:$O$2428,3,FALSE)</f>
        <v>#N/A</v>
      </c>
      <c r="D99" s="5" t="e">
        <f>VLOOKUP($A99,tropes!$A$4:$O$2428,4,FALSE)</f>
        <v>#N/A</v>
      </c>
      <c r="E99" s="5" t="e">
        <f>VLOOKUP($A99,tropes!$A$4:$O$2428,5,FALSE)</f>
        <v>#N/A</v>
      </c>
      <c r="F99" s="5" t="e">
        <f>VLOOKUP($A99,tropes!$A$4:$O$2428,6,FALSE)</f>
        <v>#N/A</v>
      </c>
      <c r="G99" s="5" t="e">
        <f>VLOOKUP($A99,tropes!$A$4:$O$2428,7,FALSE)</f>
        <v>#N/A</v>
      </c>
      <c r="H99" s="5" t="e">
        <f>VLOOKUP($A99,tropes!$A$4:$O$2428,8,FALSE)</f>
        <v>#N/A</v>
      </c>
      <c r="I99" s="5" t="e">
        <f>VLOOKUP($A99,tropes!$A$4:$O$2428,9,FALSE)</f>
        <v>#N/A</v>
      </c>
      <c r="J99" s="5" t="e">
        <f>VLOOKUP($A99,tropes!$A$4:$O$2428,10,FALSE)</f>
        <v>#N/A</v>
      </c>
      <c r="K99" s="5" t="e">
        <f>VLOOKUP($A99,tropes!$A$4:$O$2428,11,FALSE)</f>
        <v>#N/A</v>
      </c>
      <c r="L99" s="5" t="e">
        <f>VLOOKUP($A99,tropes!$A$4:$O$2428,12,FALSE)</f>
        <v>#N/A</v>
      </c>
      <c r="M99" s="5" t="e">
        <f>VLOOKUP($A99,tropes!$A$4:$O$2428,13,FALSE)</f>
        <v>#N/A</v>
      </c>
      <c r="N99" s="5"/>
    </row>
    <row r="100" spans="1:14" x14ac:dyDescent="0.3">
      <c r="A100" s="14"/>
      <c r="B100" s="5" t="e">
        <f>VLOOKUP($A100,tropes!$A$4:$O$2428,2,FALSE)</f>
        <v>#N/A</v>
      </c>
      <c r="C100" s="5" t="e">
        <f>VLOOKUP($A100,tropes!$A$4:$O$2428,3,FALSE)</f>
        <v>#N/A</v>
      </c>
      <c r="D100" s="5" t="e">
        <f>VLOOKUP($A100,tropes!$A$4:$O$2428,4,FALSE)</f>
        <v>#N/A</v>
      </c>
      <c r="E100" s="5" t="e">
        <f>VLOOKUP($A100,tropes!$A$4:$O$2428,5,FALSE)</f>
        <v>#N/A</v>
      </c>
      <c r="F100" s="5" t="e">
        <f>VLOOKUP($A100,tropes!$A$4:$O$2428,6,FALSE)</f>
        <v>#N/A</v>
      </c>
      <c r="G100" s="5" t="e">
        <f>VLOOKUP($A100,tropes!$A$4:$O$2428,7,FALSE)</f>
        <v>#N/A</v>
      </c>
      <c r="H100" s="5" t="e">
        <f>VLOOKUP($A100,tropes!$A$4:$O$2428,8,FALSE)</f>
        <v>#N/A</v>
      </c>
      <c r="I100" s="5" t="e">
        <f>VLOOKUP($A100,tropes!$A$4:$O$2428,9,FALSE)</f>
        <v>#N/A</v>
      </c>
      <c r="J100" s="5" t="e">
        <f>VLOOKUP($A100,tropes!$A$4:$O$2428,10,FALSE)</f>
        <v>#N/A</v>
      </c>
      <c r="K100" s="5" t="e">
        <f>VLOOKUP($A100,tropes!$A$4:$O$2428,11,FALSE)</f>
        <v>#N/A</v>
      </c>
      <c r="L100" s="5" t="e">
        <f>VLOOKUP($A100,tropes!$A$4:$O$2428,12,FALSE)</f>
        <v>#N/A</v>
      </c>
      <c r="M100" s="5" t="e">
        <f>VLOOKUP($A100,tropes!$A$4:$O$2428,13,FALSE)</f>
        <v>#N/A</v>
      </c>
      <c r="N100" s="5"/>
    </row>
    <row r="101" spans="1:14" x14ac:dyDescent="0.3">
      <c r="A101" s="14"/>
      <c r="B101" s="5" t="e">
        <f>VLOOKUP($A101,tropes!$A$4:$O$2428,2,FALSE)</f>
        <v>#N/A</v>
      </c>
      <c r="C101" s="5" t="e">
        <f>VLOOKUP($A101,tropes!$A$4:$O$2428,3,FALSE)</f>
        <v>#N/A</v>
      </c>
      <c r="D101" s="5" t="e">
        <f>VLOOKUP($A101,tropes!$A$4:$O$2428,4,FALSE)</f>
        <v>#N/A</v>
      </c>
      <c r="E101" s="5" t="e">
        <f>VLOOKUP($A101,tropes!$A$4:$O$2428,5,FALSE)</f>
        <v>#N/A</v>
      </c>
      <c r="F101" s="5" t="e">
        <f>VLOOKUP($A101,tropes!$A$4:$O$2428,6,FALSE)</f>
        <v>#N/A</v>
      </c>
      <c r="G101" s="5" t="e">
        <f>VLOOKUP($A101,tropes!$A$4:$O$2428,7,FALSE)</f>
        <v>#N/A</v>
      </c>
      <c r="H101" s="5" t="e">
        <f>VLOOKUP($A101,tropes!$A$4:$O$2428,8,FALSE)</f>
        <v>#N/A</v>
      </c>
      <c r="I101" s="5" t="e">
        <f>VLOOKUP($A101,tropes!$A$4:$O$2428,9,FALSE)</f>
        <v>#N/A</v>
      </c>
      <c r="J101" s="5" t="e">
        <f>VLOOKUP($A101,tropes!$A$4:$O$2428,10,FALSE)</f>
        <v>#N/A</v>
      </c>
      <c r="K101" s="5" t="e">
        <f>VLOOKUP($A101,tropes!$A$4:$O$2428,11,FALSE)</f>
        <v>#N/A</v>
      </c>
      <c r="L101" s="5" t="e">
        <f>VLOOKUP($A101,tropes!$A$4:$O$2428,12,FALSE)</f>
        <v>#N/A</v>
      </c>
      <c r="M101" s="5" t="e">
        <f>VLOOKUP($A101,tropes!$A$4:$O$2428,13,FALSE)</f>
        <v>#N/A</v>
      </c>
      <c r="N101" s="5"/>
    </row>
    <row r="102" spans="1:14" x14ac:dyDescent="0.3">
      <c r="A102" s="14"/>
      <c r="B102" s="5" t="e">
        <f>VLOOKUP($A102,tropes!$A$4:$O$2428,2,FALSE)</f>
        <v>#N/A</v>
      </c>
      <c r="C102" s="5" t="e">
        <f>VLOOKUP($A102,tropes!$A$4:$O$2428,3,FALSE)</f>
        <v>#N/A</v>
      </c>
      <c r="D102" s="5" t="e">
        <f>VLOOKUP($A102,tropes!$A$4:$O$2428,4,FALSE)</f>
        <v>#N/A</v>
      </c>
      <c r="E102" s="5" t="e">
        <f>VLOOKUP($A102,tropes!$A$4:$O$2428,5,FALSE)</f>
        <v>#N/A</v>
      </c>
      <c r="F102" s="5" t="e">
        <f>VLOOKUP($A102,tropes!$A$4:$O$2428,6,FALSE)</f>
        <v>#N/A</v>
      </c>
      <c r="G102" s="5" t="e">
        <f>VLOOKUP($A102,tropes!$A$4:$O$2428,7,FALSE)</f>
        <v>#N/A</v>
      </c>
      <c r="H102" s="5" t="e">
        <f>VLOOKUP($A102,tropes!$A$4:$O$2428,8,FALSE)</f>
        <v>#N/A</v>
      </c>
      <c r="I102" s="5" t="e">
        <f>VLOOKUP($A102,tropes!$A$4:$O$2428,9,FALSE)</f>
        <v>#N/A</v>
      </c>
      <c r="J102" s="5" t="e">
        <f>VLOOKUP($A102,tropes!$A$4:$O$2428,10,FALSE)</f>
        <v>#N/A</v>
      </c>
      <c r="K102" s="5" t="e">
        <f>VLOOKUP($A102,tropes!$A$4:$O$2428,11,FALSE)</f>
        <v>#N/A</v>
      </c>
      <c r="L102" s="5" t="e">
        <f>VLOOKUP($A102,tropes!$A$4:$O$2428,12,FALSE)</f>
        <v>#N/A</v>
      </c>
      <c r="M102" s="5" t="e">
        <f>VLOOKUP($A102,tropes!$A$4:$O$2428,13,FALSE)</f>
        <v>#N/A</v>
      </c>
      <c r="N102" s="5"/>
    </row>
    <row r="103" spans="1:14" x14ac:dyDescent="0.3">
      <c r="A103" s="14"/>
      <c r="B103" s="5" t="e">
        <f>VLOOKUP($A103,tropes!$A$4:$O$2428,2,FALSE)</f>
        <v>#N/A</v>
      </c>
      <c r="C103" s="5" t="e">
        <f>VLOOKUP($A103,tropes!$A$4:$O$2428,3,FALSE)</f>
        <v>#N/A</v>
      </c>
      <c r="D103" s="5" t="e">
        <f>VLOOKUP($A103,tropes!$A$4:$O$2428,4,FALSE)</f>
        <v>#N/A</v>
      </c>
      <c r="E103" s="5" t="e">
        <f>VLOOKUP($A103,tropes!$A$4:$O$2428,5,FALSE)</f>
        <v>#N/A</v>
      </c>
      <c r="F103" s="5" t="e">
        <f>VLOOKUP($A103,tropes!$A$4:$O$2428,6,FALSE)</f>
        <v>#N/A</v>
      </c>
      <c r="G103" s="5" t="e">
        <f>VLOOKUP($A103,tropes!$A$4:$O$2428,7,FALSE)</f>
        <v>#N/A</v>
      </c>
      <c r="H103" s="5" t="e">
        <f>VLOOKUP($A103,tropes!$A$4:$O$2428,8,FALSE)</f>
        <v>#N/A</v>
      </c>
      <c r="I103" s="5" t="e">
        <f>VLOOKUP($A103,tropes!$A$4:$O$2428,9,FALSE)</f>
        <v>#N/A</v>
      </c>
      <c r="J103" s="5" t="e">
        <f>VLOOKUP($A103,tropes!$A$4:$O$2428,10,FALSE)</f>
        <v>#N/A</v>
      </c>
      <c r="K103" s="5" t="e">
        <f>VLOOKUP($A103,tropes!$A$4:$O$2428,11,FALSE)</f>
        <v>#N/A</v>
      </c>
      <c r="L103" s="5" t="e">
        <f>VLOOKUP($A103,tropes!$A$4:$O$2428,12,FALSE)</f>
        <v>#N/A</v>
      </c>
      <c r="M103" s="5" t="e">
        <f>VLOOKUP($A103,tropes!$A$4:$O$2428,13,FALSE)</f>
        <v>#N/A</v>
      </c>
      <c r="N103" s="5"/>
    </row>
    <row r="104" spans="1:14" x14ac:dyDescent="0.3">
      <c r="A104" s="14"/>
      <c r="B104" s="5" t="e">
        <f>VLOOKUP($A104,tropes!$A$4:$O$2428,2,FALSE)</f>
        <v>#N/A</v>
      </c>
      <c r="C104" s="5" t="e">
        <f>VLOOKUP($A104,tropes!$A$4:$O$2428,3,FALSE)</f>
        <v>#N/A</v>
      </c>
      <c r="D104" s="5" t="e">
        <f>VLOOKUP($A104,tropes!$A$4:$O$2428,4,FALSE)</f>
        <v>#N/A</v>
      </c>
      <c r="E104" s="5" t="e">
        <f>VLOOKUP($A104,tropes!$A$4:$O$2428,5,FALSE)</f>
        <v>#N/A</v>
      </c>
      <c r="F104" s="5" t="e">
        <f>VLOOKUP($A104,tropes!$A$4:$O$2428,6,FALSE)</f>
        <v>#N/A</v>
      </c>
      <c r="G104" s="5" t="e">
        <f>VLOOKUP($A104,tropes!$A$4:$O$2428,7,FALSE)</f>
        <v>#N/A</v>
      </c>
      <c r="H104" s="5" t="e">
        <f>VLOOKUP($A104,tropes!$A$4:$O$2428,8,FALSE)</f>
        <v>#N/A</v>
      </c>
      <c r="I104" s="5" t="e">
        <f>VLOOKUP($A104,tropes!$A$4:$O$2428,9,FALSE)</f>
        <v>#N/A</v>
      </c>
      <c r="J104" s="5" t="e">
        <f>VLOOKUP($A104,tropes!$A$4:$O$2428,10,FALSE)</f>
        <v>#N/A</v>
      </c>
      <c r="K104" s="5" t="e">
        <f>VLOOKUP($A104,tropes!$A$4:$O$2428,11,FALSE)</f>
        <v>#N/A</v>
      </c>
      <c r="L104" s="5" t="e">
        <f>VLOOKUP($A104,tropes!$A$4:$O$2428,12,FALSE)</f>
        <v>#N/A</v>
      </c>
      <c r="M104" s="5" t="e">
        <f>VLOOKUP($A104,tropes!$A$4:$O$2428,13,FALSE)</f>
        <v>#N/A</v>
      </c>
      <c r="N104" s="5"/>
    </row>
    <row r="105" spans="1:14" x14ac:dyDescent="0.3">
      <c r="A105" s="14"/>
      <c r="B105" s="5" t="e">
        <f>VLOOKUP($A105,tropes!$A$4:$O$2428,2,FALSE)</f>
        <v>#N/A</v>
      </c>
      <c r="C105" s="5" t="e">
        <f>VLOOKUP($A105,tropes!$A$4:$O$2428,3,FALSE)</f>
        <v>#N/A</v>
      </c>
      <c r="D105" s="5" t="e">
        <f>VLOOKUP($A105,tropes!$A$4:$O$2428,4,FALSE)</f>
        <v>#N/A</v>
      </c>
      <c r="E105" s="5" t="e">
        <f>VLOOKUP($A105,tropes!$A$4:$O$2428,5,FALSE)</f>
        <v>#N/A</v>
      </c>
      <c r="F105" s="5" t="e">
        <f>VLOOKUP($A105,tropes!$A$4:$O$2428,6,FALSE)</f>
        <v>#N/A</v>
      </c>
      <c r="G105" s="5" t="e">
        <f>VLOOKUP($A105,tropes!$A$4:$O$2428,7,FALSE)</f>
        <v>#N/A</v>
      </c>
      <c r="H105" s="5" t="e">
        <f>VLOOKUP($A105,tropes!$A$4:$O$2428,8,FALSE)</f>
        <v>#N/A</v>
      </c>
      <c r="I105" s="5" t="e">
        <f>VLOOKUP($A105,tropes!$A$4:$O$2428,9,FALSE)</f>
        <v>#N/A</v>
      </c>
      <c r="J105" s="5" t="e">
        <f>VLOOKUP($A105,tropes!$A$4:$O$2428,10,FALSE)</f>
        <v>#N/A</v>
      </c>
      <c r="K105" s="5" t="e">
        <f>VLOOKUP($A105,tropes!$A$4:$O$2428,11,FALSE)</f>
        <v>#N/A</v>
      </c>
      <c r="L105" s="5" t="e">
        <f>VLOOKUP($A105,tropes!$A$4:$O$2428,12,FALSE)</f>
        <v>#N/A</v>
      </c>
      <c r="M105" s="5" t="e">
        <f>VLOOKUP($A105,tropes!$A$4:$O$2428,13,FALSE)</f>
        <v>#N/A</v>
      </c>
      <c r="N105" s="5"/>
    </row>
    <row r="106" spans="1:14" x14ac:dyDescent="0.3">
      <c r="A106" s="14"/>
      <c r="B106" s="5" t="e">
        <f>VLOOKUP($A106,tropes!$A$4:$O$2428,2,FALSE)</f>
        <v>#N/A</v>
      </c>
      <c r="C106" s="5" t="e">
        <f>VLOOKUP($A106,tropes!$A$4:$O$2428,3,FALSE)</f>
        <v>#N/A</v>
      </c>
      <c r="D106" s="5" t="e">
        <f>VLOOKUP($A106,tropes!$A$4:$O$2428,4,FALSE)</f>
        <v>#N/A</v>
      </c>
      <c r="E106" s="5" t="e">
        <f>VLOOKUP($A106,tropes!$A$4:$O$2428,5,FALSE)</f>
        <v>#N/A</v>
      </c>
      <c r="F106" s="5" t="e">
        <f>VLOOKUP($A106,tropes!$A$4:$O$2428,6,FALSE)</f>
        <v>#N/A</v>
      </c>
      <c r="G106" s="5" t="e">
        <f>VLOOKUP($A106,tropes!$A$4:$O$2428,7,FALSE)</f>
        <v>#N/A</v>
      </c>
      <c r="H106" s="5" t="e">
        <f>VLOOKUP($A106,tropes!$A$4:$O$2428,8,FALSE)</f>
        <v>#N/A</v>
      </c>
      <c r="I106" s="5" t="e">
        <f>VLOOKUP($A106,tropes!$A$4:$O$2428,9,FALSE)</f>
        <v>#N/A</v>
      </c>
      <c r="J106" s="5" t="e">
        <f>VLOOKUP($A106,tropes!$A$4:$O$2428,10,FALSE)</f>
        <v>#N/A</v>
      </c>
      <c r="K106" s="5" t="e">
        <f>VLOOKUP($A106,tropes!$A$4:$O$2428,11,FALSE)</f>
        <v>#N/A</v>
      </c>
      <c r="L106" s="5" t="e">
        <f>VLOOKUP($A106,tropes!$A$4:$O$2428,12,FALSE)</f>
        <v>#N/A</v>
      </c>
      <c r="M106" s="5" t="e">
        <f>VLOOKUP($A106,tropes!$A$4:$O$2428,13,FALSE)</f>
        <v>#N/A</v>
      </c>
      <c r="N106" s="5"/>
    </row>
    <row r="107" spans="1:14" x14ac:dyDescent="0.3">
      <c r="A107" s="14"/>
      <c r="B107" s="5" t="e">
        <f>VLOOKUP($A107,tropes!$A$4:$O$2428,2,FALSE)</f>
        <v>#N/A</v>
      </c>
      <c r="C107" s="5" t="e">
        <f>VLOOKUP($A107,tropes!$A$4:$O$2428,3,FALSE)</f>
        <v>#N/A</v>
      </c>
      <c r="D107" s="5" t="e">
        <f>VLOOKUP($A107,tropes!$A$4:$O$2428,4,FALSE)</f>
        <v>#N/A</v>
      </c>
      <c r="E107" s="5" t="e">
        <f>VLOOKUP($A107,tropes!$A$4:$O$2428,5,FALSE)</f>
        <v>#N/A</v>
      </c>
      <c r="F107" s="5" t="e">
        <f>VLOOKUP($A107,tropes!$A$4:$O$2428,6,FALSE)</f>
        <v>#N/A</v>
      </c>
      <c r="G107" s="5" t="e">
        <f>VLOOKUP($A107,tropes!$A$4:$O$2428,7,FALSE)</f>
        <v>#N/A</v>
      </c>
      <c r="H107" s="5" t="e">
        <f>VLOOKUP($A107,tropes!$A$4:$O$2428,8,FALSE)</f>
        <v>#N/A</v>
      </c>
      <c r="I107" s="5" t="e">
        <f>VLOOKUP($A107,tropes!$A$4:$O$2428,9,FALSE)</f>
        <v>#N/A</v>
      </c>
      <c r="J107" s="5" t="e">
        <f>VLOOKUP($A107,tropes!$A$4:$O$2428,10,FALSE)</f>
        <v>#N/A</v>
      </c>
      <c r="K107" s="5" t="e">
        <f>VLOOKUP($A107,tropes!$A$4:$O$2428,11,FALSE)</f>
        <v>#N/A</v>
      </c>
      <c r="L107" s="5" t="e">
        <f>VLOOKUP($A107,tropes!$A$4:$O$2428,12,FALSE)</f>
        <v>#N/A</v>
      </c>
      <c r="M107" s="5" t="e">
        <f>VLOOKUP($A107,tropes!$A$4:$O$2428,13,FALSE)</f>
        <v>#N/A</v>
      </c>
      <c r="N107" s="5"/>
    </row>
    <row r="108" spans="1:14" x14ac:dyDescent="0.3">
      <c r="A108" s="14"/>
      <c r="B108" s="5" t="e">
        <f>VLOOKUP($A108,tropes!$A$4:$O$2428,2,FALSE)</f>
        <v>#N/A</v>
      </c>
      <c r="C108" s="5" t="e">
        <f>VLOOKUP($A108,tropes!$A$4:$O$2428,3,FALSE)</f>
        <v>#N/A</v>
      </c>
      <c r="D108" s="5" t="e">
        <f>VLOOKUP($A108,tropes!$A$4:$O$2428,4,FALSE)</f>
        <v>#N/A</v>
      </c>
      <c r="E108" s="5" t="e">
        <f>VLOOKUP($A108,tropes!$A$4:$O$2428,5,FALSE)</f>
        <v>#N/A</v>
      </c>
      <c r="F108" s="5" t="e">
        <f>VLOOKUP($A108,tropes!$A$4:$O$2428,6,FALSE)</f>
        <v>#N/A</v>
      </c>
      <c r="G108" s="5" t="e">
        <f>VLOOKUP($A108,tropes!$A$4:$O$2428,7,FALSE)</f>
        <v>#N/A</v>
      </c>
      <c r="H108" s="5" t="e">
        <f>VLOOKUP($A108,tropes!$A$4:$O$2428,8,FALSE)</f>
        <v>#N/A</v>
      </c>
      <c r="I108" s="5" t="e">
        <f>VLOOKUP($A108,tropes!$A$4:$O$2428,9,FALSE)</f>
        <v>#N/A</v>
      </c>
      <c r="J108" s="5" t="e">
        <f>VLOOKUP($A108,tropes!$A$4:$O$2428,10,FALSE)</f>
        <v>#N/A</v>
      </c>
      <c r="K108" s="5" t="e">
        <f>VLOOKUP($A108,tropes!$A$4:$O$2428,11,FALSE)</f>
        <v>#N/A</v>
      </c>
      <c r="L108" s="5" t="e">
        <f>VLOOKUP($A108,tropes!$A$4:$O$2428,12,FALSE)</f>
        <v>#N/A</v>
      </c>
      <c r="M108" s="5" t="e">
        <f>VLOOKUP($A108,tropes!$A$4:$O$2428,13,FALSE)</f>
        <v>#N/A</v>
      </c>
      <c r="N108" s="5"/>
    </row>
    <row r="109" spans="1:14" x14ac:dyDescent="0.3">
      <c r="A109" s="14"/>
      <c r="B109" s="5" t="e">
        <f>VLOOKUP($A109,tropes!$A$4:$O$2428,2,FALSE)</f>
        <v>#N/A</v>
      </c>
      <c r="C109" s="5" t="e">
        <f>VLOOKUP($A109,tropes!$A$4:$O$2428,3,FALSE)</f>
        <v>#N/A</v>
      </c>
      <c r="D109" s="5" t="e">
        <f>VLOOKUP($A109,tropes!$A$4:$O$2428,4,FALSE)</f>
        <v>#N/A</v>
      </c>
      <c r="E109" s="5" t="e">
        <f>VLOOKUP($A109,tropes!$A$4:$O$2428,5,FALSE)</f>
        <v>#N/A</v>
      </c>
      <c r="F109" s="5" t="e">
        <f>VLOOKUP($A109,tropes!$A$4:$O$2428,6,FALSE)</f>
        <v>#N/A</v>
      </c>
      <c r="G109" s="5" t="e">
        <f>VLOOKUP($A109,tropes!$A$4:$O$2428,7,FALSE)</f>
        <v>#N/A</v>
      </c>
      <c r="H109" s="5" t="e">
        <f>VLOOKUP($A109,tropes!$A$4:$O$2428,8,FALSE)</f>
        <v>#N/A</v>
      </c>
      <c r="I109" s="5" t="e">
        <f>VLOOKUP($A109,tropes!$A$4:$O$2428,9,FALSE)</f>
        <v>#N/A</v>
      </c>
      <c r="J109" s="5" t="e">
        <f>VLOOKUP($A109,tropes!$A$4:$O$2428,10,FALSE)</f>
        <v>#N/A</v>
      </c>
      <c r="K109" s="5" t="e">
        <f>VLOOKUP($A109,tropes!$A$4:$O$2428,11,FALSE)</f>
        <v>#N/A</v>
      </c>
      <c r="L109" s="5" t="e">
        <f>VLOOKUP($A109,tropes!$A$4:$O$2428,12,FALSE)</f>
        <v>#N/A</v>
      </c>
      <c r="M109" s="5" t="e">
        <f>VLOOKUP($A109,tropes!$A$4:$O$2428,13,FALSE)</f>
        <v>#N/A</v>
      </c>
      <c r="N109" s="5"/>
    </row>
    <row r="110" spans="1:14" x14ac:dyDescent="0.3">
      <c r="A110" s="14"/>
      <c r="B110" s="5" t="e">
        <f>VLOOKUP($A110,tropes!$A$4:$O$2428,2,FALSE)</f>
        <v>#N/A</v>
      </c>
      <c r="C110" s="5" t="e">
        <f>VLOOKUP($A110,tropes!$A$4:$O$2428,3,FALSE)</f>
        <v>#N/A</v>
      </c>
      <c r="D110" s="5" t="e">
        <f>VLOOKUP($A110,tropes!$A$4:$O$2428,4,FALSE)</f>
        <v>#N/A</v>
      </c>
      <c r="E110" s="5" t="e">
        <f>VLOOKUP($A110,tropes!$A$4:$O$2428,5,FALSE)</f>
        <v>#N/A</v>
      </c>
      <c r="F110" s="5" t="e">
        <f>VLOOKUP($A110,tropes!$A$4:$O$2428,6,FALSE)</f>
        <v>#N/A</v>
      </c>
      <c r="G110" s="5" t="e">
        <f>VLOOKUP($A110,tropes!$A$4:$O$2428,7,FALSE)</f>
        <v>#N/A</v>
      </c>
      <c r="H110" s="5" t="e">
        <f>VLOOKUP($A110,tropes!$A$4:$O$2428,8,FALSE)</f>
        <v>#N/A</v>
      </c>
      <c r="I110" s="5" t="e">
        <f>VLOOKUP($A110,tropes!$A$4:$O$2428,9,FALSE)</f>
        <v>#N/A</v>
      </c>
      <c r="J110" s="5" t="e">
        <f>VLOOKUP($A110,tropes!$A$4:$O$2428,10,FALSE)</f>
        <v>#N/A</v>
      </c>
      <c r="K110" s="5" t="e">
        <f>VLOOKUP($A110,tropes!$A$4:$O$2428,11,FALSE)</f>
        <v>#N/A</v>
      </c>
      <c r="L110" s="5" t="e">
        <f>VLOOKUP($A110,tropes!$A$4:$O$2428,12,FALSE)</f>
        <v>#N/A</v>
      </c>
      <c r="M110" s="5" t="e">
        <f>VLOOKUP($A110,tropes!$A$4:$O$2428,13,FALSE)</f>
        <v>#N/A</v>
      </c>
      <c r="N110" s="5"/>
    </row>
    <row r="111" spans="1:14" x14ac:dyDescent="0.3">
      <c r="A111" s="14"/>
      <c r="B111" s="5" t="e">
        <f>VLOOKUP($A111,tropes!$A$4:$O$2428,2,FALSE)</f>
        <v>#N/A</v>
      </c>
      <c r="C111" s="5" t="e">
        <f>VLOOKUP($A111,tropes!$A$4:$O$2428,3,FALSE)</f>
        <v>#N/A</v>
      </c>
      <c r="D111" s="5" t="e">
        <f>VLOOKUP($A111,tropes!$A$4:$O$2428,4,FALSE)</f>
        <v>#N/A</v>
      </c>
      <c r="E111" s="5" t="e">
        <f>VLOOKUP($A111,tropes!$A$4:$O$2428,5,FALSE)</f>
        <v>#N/A</v>
      </c>
      <c r="F111" s="5" t="e">
        <f>VLOOKUP($A111,tropes!$A$4:$O$2428,6,FALSE)</f>
        <v>#N/A</v>
      </c>
      <c r="G111" s="5" t="e">
        <f>VLOOKUP($A111,tropes!$A$4:$O$2428,7,FALSE)</f>
        <v>#N/A</v>
      </c>
      <c r="H111" s="5" t="e">
        <f>VLOOKUP($A111,tropes!$A$4:$O$2428,8,FALSE)</f>
        <v>#N/A</v>
      </c>
      <c r="I111" s="5" t="e">
        <f>VLOOKUP($A111,tropes!$A$4:$O$2428,9,FALSE)</f>
        <v>#N/A</v>
      </c>
      <c r="J111" s="5" t="e">
        <f>VLOOKUP($A111,tropes!$A$4:$O$2428,10,FALSE)</f>
        <v>#N/A</v>
      </c>
      <c r="K111" s="5" t="e">
        <f>VLOOKUP($A111,tropes!$A$4:$O$2428,11,FALSE)</f>
        <v>#N/A</v>
      </c>
      <c r="L111" s="5" t="e">
        <f>VLOOKUP($A111,tropes!$A$4:$O$2428,12,FALSE)</f>
        <v>#N/A</v>
      </c>
      <c r="M111" s="5" t="e">
        <f>VLOOKUP($A111,tropes!$A$4:$O$2428,13,FALSE)</f>
        <v>#N/A</v>
      </c>
      <c r="N111" s="5"/>
    </row>
    <row r="112" spans="1:14" x14ac:dyDescent="0.3">
      <c r="A112" s="14"/>
      <c r="B112" s="5" t="e">
        <f>VLOOKUP($A112,tropes!$A$4:$O$2428,2,FALSE)</f>
        <v>#N/A</v>
      </c>
      <c r="C112" s="5" t="e">
        <f>VLOOKUP($A112,tropes!$A$4:$O$2428,3,FALSE)</f>
        <v>#N/A</v>
      </c>
      <c r="D112" s="5" t="e">
        <f>VLOOKUP($A112,tropes!$A$4:$O$2428,4,FALSE)</f>
        <v>#N/A</v>
      </c>
      <c r="E112" s="5" t="e">
        <f>VLOOKUP($A112,tropes!$A$4:$O$2428,5,FALSE)</f>
        <v>#N/A</v>
      </c>
      <c r="F112" s="5" t="e">
        <f>VLOOKUP($A112,tropes!$A$4:$O$2428,6,FALSE)</f>
        <v>#N/A</v>
      </c>
      <c r="G112" s="5" t="e">
        <f>VLOOKUP($A112,tropes!$A$4:$O$2428,7,FALSE)</f>
        <v>#N/A</v>
      </c>
      <c r="H112" s="5" t="e">
        <f>VLOOKUP($A112,tropes!$A$4:$O$2428,8,FALSE)</f>
        <v>#N/A</v>
      </c>
      <c r="I112" s="5" t="e">
        <f>VLOOKUP($A112,tropes!$A$4:$O$2428,9,FALSE)</f>
        <v>#N/A</v>
      </c>
      <c r="J112" s="5" t="e">
        <f>VLOOKUP($A112,tropes!$A$4:$O$2428,10,FALSE)</f>
        <v>#N/A</v>
      </c>
      <c r="K112" s="5" t="e">
        <f>VLOOKUP($A112,tropes!$A$4:$O$2428,11,FALSE)</f>
        <v>#N/A</v>
      </c>
      <c r="L112" s="5" t="e">
        <f>VLOOKUP($A112,tropes!$A$4:$O$2428,12,FALSE)</f>
        <v>#N/A</v>
      </c>
      <c r="M112" s="5" t="e">
        <f>VLOOKUP($A112,tropes!$A$4:$O$2428,13,FALSE)</f>
        <v>#N/A</v>
      </c>
      <c r="N112" s="5"/>
    </row>
    <row r="113" spans="1:14" x14ac:dyDescent="0.3">
      <c r="A113" s="14"/>
      <c r="B113" s="5" t="e">
        <f>VLOOKUP($A113,tropes!$A$4:$O$2428,2,FALSE)</f>
        <v>#N/A</v>
      </c>
      <c r="C113" s="5" t="e">
        <f>VLOOKUP($A113,tropes!$A$4:$O$2428,3,FALSE)</f>
        <v>#N/A</v>
      </c>
      <c r="D113" s="5" t="e">
        <f>VLOOKUP($A113,tropes!$A$4:$O$2428,4,FALSE)</f>
        <v>#N/A</v>
      </c>
      <c r="E113" s="5" t="e">
        <f>VLOOKUP($A113,tropes!$A$4:$O$2428,5,FALSE)</f>
        <v>#N/A</v>
      </c>
      <c r="F113" s="5" t="e">
        <f>VLOOKUP($A113,tropes!$A$4:$O$2428,6,FALSE)</f>
        <v>#N/A</v>
      </c>
      <c r="G113" s="5" t="e">
        <f>VLOOKUP($A113,tropes!$A$4:$O$2428,7,FALSE)</f>
        <v>#N/A</v>
      </c>
      <c r="H113" s="5" t="e">
        <f>VLOOKUP($A113,tropes!$A$4:$O$2428,8,FALSE)</f>
        <v>#N/A</v>
      </c>
      <c r="I113" s="5" t="e">
        <f>VLOOKUP($A113,tropes!$A$4:$O$2428,9,FALSE)</f>
        <v>#N/A</v>
      </c>
      <c r="J113" s="5" t="e">
        <f>VLOOKUP($A113,tropes!$A$4:$O$2428,10,FALSE)</f>
        <v>#N/A</v>
      </c>
      <c r="K113" s="5" t="e">
        <f>VLOOKUP($A113,tropes!$A$4:$O$2428,11,FALSE)</f>
        <v>#N/A</v>
      </c>
      <c r="L113" s="5" t="e">
        <f>VLOOKUP($A113,tropes!$A$4:$O$2428,12,FALSE)</f>
        <v>#N/A</v>
      </c>
      <c r="M113" s="5" t="e">
        <f>VLOOKUP($A113,tropes!$A$4:$O$2428,13,FALSE)</f>
        <v>#N/A</v>
      </c>
      <c r="N113" s="5"/>
    </row>
    <row r="114" spans="1:14" x14ac:dyDescent="0.3">
      <c r="A114" s="14"/>
      <c r="B114" s="5" t="e">
        <f>VLOOKUP($A114,tropes!$A$4:$O$2428,2,FALSE)</f>
        <v>#N/A</v>
      </c>
      <c r="C114" s="5" t="e">
        <f>VLOOKUP($A114,tropes!$A$4:$O$2428,3,FALSE)</f>
        <v>#N/A</v>
      </c>
      <c r="D114" s="5" t="e">
        <f>VLOOKUP($A114,tropes!$A$4:$O$2428,4,FALSE)</f>
        <v>#N/A</v>
      </c>
      <c r="E114" s="5" t="e">
        <f>VLOOKUP($A114,tropes!$A$4:$O$2428,5,FALSE)</f>
        <v>#N/A</v>
      </c>
      <c r="F114" s="5" t="e">
        <f>VLOOKUP($A114,tropes!$A$4:$O$2428,6,FALSE)</f>
        <v>#N/A</v>
      </c>
      <c r="G114" s="5" t="e">
        <f>VLOOKUP($A114,tropes!$A$4:$O$2428,7,FALSE)</f>
        <v>#N/A</v>
      </c>
      <c r="H114" s="5" t="e">
        <f>VLOOKUP($A114,tropes!$A$4:$O$2428,8,FALSE)</f>
        <v>#N/A</v>
      </c>
      <c r="I114" s="5" t="e">
        <f>VLOOKUP($A114,tropes!$A$4:$O$2428,9,FALSE)</f>
        <v>#N/A</v>
      </c>
      <c r="J114" s="5" t="e">
        <f>VLOOKUP($A114,tropes!$A$4:$O$2428,10,FALSE)</f>
        <v>#N/A</v>
      </c>
      <c r="K114" s="5" t="e">
        <f>VLOOKUP($A114,tropes!$A$4:$O$2428,11,FALSE)</f>
        <v>#N/A</v>
      </c>
      <c r="L114" s="5" t="e">
        <f>VLOOKUP($A114,tropes!$A$4:$O$2428,12,FALSE)</f>
        <v>#N/A</v>
      </c>
      <c r="M114" s="5" t="e">
        <f>VLOOKUP($A114,tropes!$A$4:$O$2428,13,FALSE)</f>
        <v>#N/A</v>
      </c>
      <c r="N114" s="5"/>
    </row>
    <row r="115" spans="1:14" x14ac:dyDescent="0.3">
      <c r="A115" s="14"/>
      <c r="B115" s="5" t="e">
        <f>VLOOKUP($A115,tropes!$A$4:$O$2428,2,FALSE)</f>
        <v>#N/A</v>
      </c>
      <c r="C115" s="5" t="e">
        <f>VLOOKUP($A115,tropes!$A$4:$O$2428,3,FALSE)</f>
        <v>#N/A</v>
      </c>
      <c r="D115" s="5" t="e">
        <f>VLOOKUP($A115,tropes!$A$4:$O$2428,4,FALSE)</f>
        <v>#N/A</v>
      </c>
      <c r="E115" s="5" t="e">
        <f>VLOOKUP($A115,tropes!$A$4:$O$2428,5,FALSE)</f>
        <v>#N/A</v>
      </c>
      <c r="F115" s="5" t="e">
        <f>VLOOKUP($A115,tropes!$A$4:$O$2428,6,FALSE)</f>
        <v>#N/A</v>
      </c>
      <c r="G115" s="5" t="e">
        <f>VLOOKUP($A115,tropes!$A$4:$O$2428,7,FALSE)</f>
        <v>#N/A</v>
      </c>
      <c r="H115" s="5" t="e">
        <f>VLOOKUP($A115,tropes!$A$4:$O$2428,8,FALSE)</f>
        <v>#N/A</v>
      </c>
      <c r="I115" s="5" t="e">
        <f>VLOOKUP($A115,tropes!$A$4:$O$2428,9,FALSE)</f>
        <v>#N/A</v>
      </c>
      <c r="J115" s="5" t="e">
        <f>VLOOKUP($A115,tropes!$A$4:$O$2428,10,FALSE)</f>
        <v>#N/A</v>
      </c>
      <c r="K115" s="5" t="e">
        <f>VLOOKUP($A115,tropes!$A$4:$O$2428,11,FALSE)</f>
        <v>#N/A</v>
      </c>
      <c r="L115" s="5" t="e">
        <f>VLOOKUP($A115,tropes!$A$4:$O$2428,12,FALSE)</f>
        <v>#N/A</v>
      </c>
      <c r="M115" s="5" t="e">
        <f>VLOOKUP($A115,tropes!$A$4:$O$2428,13,FALSE)</f>
        <v>#N/A</v>
      </c>
      <c r="N115" s="5"/>
    </row>
    <row r="116" spans="1:14" x14ac:dyDescent="0.3">
      <c r="A116" s="14"/>
      <c r="B116" s="5" t="e">
        <f>VLOOKUP($A116,tropes!$A$4:$O$2428,2,FALSE)</f>
        <v>#N/A</v>
      </c>
      <c r="C116" s="5" t="e">
        <f>VLOOKUP($A116,tropes!$A$4:$O$2428,3,FALSE)</f>
        <v>#N/A</v>
      </c>
      <c r="D116" s="5" t="e">
        <f>VLOOKUP($A116,tropes!$A$4:$O$2428,4,FALSE)</f>
        <v>#N/A</v>
      </c>
      <c r="E116" s="5" t="e">
        <f>VLOOKUP($A116,tropes!$A$4:$O$2428,5,FALSE)</f>
        <v>#N/A</v>
      </c>
      <c r="F116" s="5" t="e">
        <f>VLOOKUP($A116,tropes!$A$4:$O$2428,6,FALSE)</f>
        <v>#N/A</v>
      </c>
      <c r="G116" s="5" t="e">
        <f>VLOOKUP($A116,tropes!$A$4:$O$2428,7,FALSE)</f>
        <v>#N/A</v>
      </c>
      <c r="H116" s="5" t="e">
        <f>VLOOKUP($A116,tropes!$A$4:$O$2428,8,FALSE)</f>
        <v>#N/A</v>
      </c>
      <c r="I116" s="5" t="e">
        <f>VLOOKUP($A116,tropes!$A$4:$O$2428,9,FALSE)</f>
        <v>#N/A</v>
      </c>
      <c r="J116" s="5" t="e">
        <f>VLOOKUP($A116,tropes!$A$4:$O$2428,10,FALSE)</f>
        <v>#N/A</v>
      </c>
      <c r="K116" s="5" t="e">
        <f>VLOOKUP($A116,tropes!$A$4:$O$2428,11,FALSE)</f>
        <v>#N/A</v>
      </c>
      <c r="L116" s="5" t="e">
        <f>VLOOKUP($A116,tropes!$A$4:$O$2428,12,FALSE)</f>
        <v>#N/A</v>
      </c>
      <c r="M116" s="5" t="e">
        <f>VLOOKUP($A116,tropes!$A$4:$O$2428,13,FALSE)</f>
        <v>#N/A</v>
      </c>
      <c r="N116" s="5"/>
    </row>
    <row r="117" spans="1:14" x14ac:dyDescent="0.3">
      <c r="A117" s="14"/>
      <c r="B117" s="5" t="e">
        <f>VLOOKUP($A117,tropes!$A$4:$O$2428,2,FALSE)</f>
        <v>#N/A</v>
      </c>
      <c r="C117" s="5" t="e">
        <f>VLOOKUP($A117,tropes!$A$4:$O$2428,3,FALSE)</f>
        <v>#N/A</v>
      </c>
      <c r="D117" s="5" t="e">
        <f>VLOOKUP($A117,tropes!$A$4:$O$2428,4,FALSE)</f>
        <v>#N/A</v>
      </c>
      <c r="E117" s="5" t="e">
        <f>VLOOKUP($A117,tropes!$A$4:$O$2428,5,FALSE)</f>
        <v>#N/A</v>
      </c>
      <c r="F117" s="5" t="e">
        <f>VLOOKUP($A117,tropes!$A$4:$O$2428,6,FALSE)</f>
        <v>#N/A</v>
      </c>
      <c r="G117" s="5" t="e">
        <f>VLOOKUP($A117,tropes!$A$4:$O$2428,7,FALSE)</f>
        <v>#N/A</v>
      </c>
      <c r="H117" s="5" t="e">
        <f>VLOOKUP($A117,tropes!$A$4:$O$2428,8,FALSE)</f>
        <v>#N/A</v>
      </c>
      <c r="I117" s="5" t="e">
        <f>VLOOKUP($A117,tropes!$A$4:$O$2428,9,FALSE)</f>
        <v>#N/A</v>
      </c>
      <c r="J117" s="5" t="e">
        <f>VLOOKUP($A117,tropes!$A$4:$O$2428,10,FALSE)</f>
        <v>#N/A</v>
      </c>
      <c r="K117" s="5" t="e">
        <f>VLOOKUP($A117,tropes!$A$4:$O$2428,11,FALSE)</f>
        <v>#N/A</v>
      </c>
      <c r="L117" s="5" t="e">
        <f>VLOOKUP($A117,tropes!$A$4:$O$2428,12,FALSE)</f>
        <v>#N/A</v>
      </c>
      <c r="M117" s="5" t="e">
        <f>VLOOKUP($A117,tropes!$A$4:$O$2428,13,FALSE)</f>
        <v>#N/A</v>
      </c>
      <c r="N117" s="5"/>
    </row>
    <row r="118" spans="1:14" x14ac:dyDescent="0.3">
      <c r="A118" s="14"/>
      <c r="B118" s="5" t="e">
        <f>VLOOKUP($A118,tropes!$A$4:$O$2428,2,FALSE)</f>
        <v>#N/A</v>
      </c>
      <c r="C118" s="5" t="e">
        <f>VLOOKUP($A118,tropes!$A$4:$O$2428,3,FALSE)</f>
        <v>#N/A</v>
      </c>
      <c r="D118" s="5" t="e">
        <f>VLOOKUP($A118,tropes!$A$4:$O$2428,4,FALSE)</f>
        <v>#N/A</v>
      </c>
      <c r="E118" s="5" t="e">
        <f>VLOOKUP($A118,tropes!$A$4:$O$2428,5,FALSE)</f>
        <v>#N/A</v>
      </c>
      <c r="F118" s="5" t="e">
        <f>VLOOKUP($A118,tropes!$A$4:$O$2428,6,FALSE)</f>
        <v>#N/A</v>
      </c>
      <c r="G118" s="5" t="e">
        <f>VLOOKUP($A118,tropes!$A$4:$O$2428,7,FALSE)</f>
        <v>#N/A</v>
      </c>
      <c r="H118" s="5" t="e">
        <f>VLOOKUP($A118,tropes!$A$4:$O$2428,8,FALSE)</f>
        <v>#N/A</v>
      </c>
      <c r="I118" s="5" t="e">
        <f>VLOOKUP($A118,tropes!$A$4:$O$2428,9,FALSE)</f>
        <v>#N/A</v>
      </c>
      <c r="J118" s="5" t="e">
        <f>VLOOKUP($A118,tropes!$A$4:$O$2428,10,FALSE)</f>
        <v>#N/A</v>
      </c>
      <c r="K118" s="5" t="e">
        <f>VLOOKUP($A118,tropes!$A$4:$O$2428,11,FALSE)</f>
        <v>#N/A</v>
      </c>
      <c r="L118" s="5" t="e">
        <f>VLOOKUP($A118,tropes!$A$4:$O$2428,12,FALSE)</f>
        <v>#N/A</v>
      </c>
      <c r="M118" s="5" t="e">
        <f>VLOOKUP($A118,tropes!$A$4:$O$2428,13,FALSE)</f>
        <v>#N/A</v>
      </c>
      <c r="N118" s="5"/>
    </row>
    <row r="119" spans="1:14" x14ac:dyDescent="0.3">
      <c r="A119" s="14"/>
      <c r="B119" s="5" t="e">
        <f>VLOOKUP($A119,tropes!$A$4:$O$2428,2,FALSE)</f>
        <v>#N/A</v>
      </c>
      <c r="C119" s="5" t="e">
        <f>VLOOKUP($A119,tropes!$A$4:$O$2428,3,FALSE)</f>
        <v>#N/A</v>
      </c>
      <c r="D119" s="5" t="e">
        <f>VLOOKUP($A119,tropes!$A$4:$O$2428,4,FALSE)</f>
        <v>#N/A</v>
      </c>
      <c r="E119" s="5" t="e">
        <f>VLOOKUP($A119,tropes!$A$4:$O$2428,5,FALSE)</f>
        <v>#N/A</v>
      </c>
      <c r="F119" s="5" t="e">
        <f>VLOOKUP($A119,tropes!$A$4:$O$2428,6,FALSE)</f>
        <v>#N/A</v>
      </c>
      <c r="G119" s="5" t="e">
        <f>VLOOKUP($A119,tropes!$A$4:$O$2428,7,FALSE)</f>
        <v>#N/A</v>
      </c>
      <c r="H119" s="5" t="e">
        <f>VLOOKUP($A119,tropes!$A$4:$O$2428,8,FALSE)</f>
        <v>#N/A</v>
      </c>
      <c r="I119" s="5" t="e">
        <f>VLOOKUP($A119,tropes!$A$4:$O$2428,9,FALSE)</f>
        <v>#N/A</v>
      </c>
      <c r="J119" s="5" t="e">
        <f>VLOOKUP($A119,tropes!$A$4:$O$2428,10,FALSE)</f>
        <v>#N/A</v>
      </c>
      <c r="K119" s="5" t="e">
        <f>VLOOKUP($A119,tropes!$A$4:$O$2428,11,FALSE)</f>
        <v>#N/A</v>
      </c>
      <c r="L119" s="5" t="e">
        <f>VLOOKUP($A119,tropes!$A$4:$O$2428,12,FALSE)</f>
        <v>#N/A</v>
      </c>
      <c r="M119" s="5" t="e">
        <f>VLOOKUP($A119,tropes!$A$4:$O$2428,13,FALSE)</f>
        <v>#N/A</v>
      </c>
      <c r="N119" s="5"/>
    </row>
    <row r="120" spans="1:14" x14ac:dyDescent="0.3">
      <c r="A120" s="14"/>
      <c r="B120" s="5" t="e">
        <f>VLOOKUP($A120,tropes!$A$4:$O$2428,2,FALSE)</f>
        <v>#N/A</v>
      </c>
      <c r="C120" s="5" t="e">
        <f>VLOOKUP($A120,tropes!$A$4:$O$2428,3,FALSE)</f>
        <v>#N/A</v>
      </c>
      <c r="D120" s="5" t="e">
        <f>VLOOKUP($A120,tropes!$A$4:$O$2428,4,FALSE)</f>
        <v>#N/A</v>
      </c>
      <c r="E120" s="5" t="e">
        <f>VLOOKUP($A120,tropes!$A$4:$O$2428,5,FALSE)</f>
        <v>#N/A</v>
      </c>
      <c r="F120" s="5" t="e">
        <f>VLOOKUP($A120,tropes!$A$4:$O$2428,6,FALSE)</f>
        <v>#N/A</v>
      </c>
      <c r="G120" s="5" t="e">
        <f>VLOOKUP($A120,tropes!$A$4:$O$2428,7,FALSE)</f>
        <v>#N/A</v>
      </c>
      <c r="H120" s="5" t="e">
        <f>VLOOKUP($A120,tropes!$A$4:$O$2428,8,FALSE)</f>
        <v>#N/A</v>
      </c>
      <c r="I120" s="5" t="e">
        <f>VLOOKUP($A120,tropes!$A$4:$O$2428,9,FALSE)</f>
        <v>#N/A</v>
      </c>
      <c r="J120" s="5" t="e">
        <f>VLOOKUP($A120,tropes!$A$4:$O$2428,10,FALSE)</f>
        <v>#N/A</v>
      </c>
      <c r="K120" s="5" t="e">
        <f>VLOOKUP($A120,tropes!$A$4:$O$2428,11,FALSE)</f>
        <v>#N/A</v>
      </c>
      <c r="L120" s="5" t="e">
        <f>VLOOKUP($A120,tropes!$A$4:$O$2428,12,FALSE)</f>
        <v>#N/A</v>
      </c>
      <c r="M120" s="5" t="e">
        <f>VLOOKUP($A120,tropes!$A$4:$O$2428,13,FALSE)</f>
        <v>#N/A</v>
      </c>
      <c r="N120" s="5"/>
    </row>
    <row r="121" spans="1:14" x14ac:dyDescent="0.3">
      <c r="A121" s="14"/>
      <c r="B121" s="5" t="e">
        <f>VLOOKUP($A121,tropes!$A$4:$O$2428,2,FALSE)</f>
        <v>#N/A</v>
      </c>
      <c r="C121" s="5" t="e">
        <f>VLOOKUP($A121,tropes!$A$4:$O$2428,3,FALSE)</f>
        <v>#N/A</v>
      </c>
      <c r="D121" s="5" t="e">
        <f>VLOOKUP($A121,tropes!$A$4:$O$2428,4,FALSE)</f>
        <v>#N/A</v>
      </c>
      <c r="E121" s="5" t="e">
        <f>VLOOKUP($A121,tropes!$A$4:$O$2428,5,FALSE)</f>
        <v>#N/A</v>
      </c>
      <c r="F121" s="5" t="e">
        <f>VLOOKUP($A121,tropes!$A$4:$O$2428,6,FALSE)</f>
        <v>#N/A</v>
      </c>
      <c r="G121" s="5" t="e">
        <f>VLOOKUP($A121,tropes!$A$4:$O$2428,7,FALSE)</f>
        <v>#N/A</v>
      </c>
      <c r="H121" s="5" t="e">
        <f>VLOOKUP($A121,tropes!$A$4:$O$2428,8,FALSE)</f>
        <v>#N/A</v>
      </c>
      <c r="I121" s="5" t="e">
        <f>VLOOKUP($A121,tropes!$A$4:$O$2428,9,FALSE)</f>
        <v>#N/A</v>
      </c>
      <c r="J121" s="5" t="e">
        <f>VLOOKUP($A121,tropes!$A$4:$O$2428,10,FALSE)</f>
        <v>#N/A</v>
      </c>
      <c r="K121" s="5" t="e">
        <f>VLOOKUP($A121,tropes!$A$4:$O$2428,11,FALSE)</f>
        <v>#N/A</v>
      </c>
      <c r="L121" s="5" t="e">
        <f>VLOOKUP($A121,tropes!$A$4:$O$2428,12,FALSE)</f>
        <v>#N/A</v>
      </c>
      <c r="M121" s="5" t="e">
        <f>VLOOKUP($A121,tropes!$A$4:$O$2428,13,FALSE)</f>
        <v>#N/A</v>
      </c>
      <c r="N121" s="5"/>
    </row>
    <row r="122" spans="1:14" x14ac:dyDescent="0.3">
      <c r="A122" s="14"/>
      <c r="B122" s="5" t="e">
        <f>VLOOKUP($A122,tropes!$A$4:$O$2428,2,FALSE)</f>
        <v>#N/A</v>
      </c>
      <c r="C122" s="5" t="e">
        <f>VLOOKUP($A122,tropes!$A$4:$O$2428,3,FALSE)</f>
        <v>#N/A</v>
      </c>
      <c r="D122" s="5" t="e">
        <f>VLOOKUP($A122,tropes!$A$4:$O$2428,4,FALSE)</f>
        <v>#N/A</v>
      </c>
      <c r="E122" s="5" t="e">
        <f>VLOOKUP($A122,tropes!$A$4:$O$2428,5,FALSE)</f>
        <v>#N/A</v>
      </c>
      <c r="F122" s="5" t="e">
        <f>VLOOKUP($A122,tropes!$A$4:$O$2428,6,FALSE)</f>
        <v>#N/A</v>
      </c>
      <c r="G122" s="5" t="e">
        <f>VLOOKUP($A122,tropes!$A$4:$O$2428,7,FALSE)</f>
        <v>#N/A</v>
      </c>
      <c r="H122" s="5" t="e">
        <f>VLOOKUP($A122,tropes!$A$4:$O$2428,8,FALSE)</f>
        <v>#N/A</v>
      </c>
      <c r="I122" s="5" t="e">
        <f>VLOOKUP($A122,tropes!$A$4:$O$2428,9,FALSE)</f>
        <v>#N/A</v>
      </c>
      <c r="J122" s="5" t="e">
        <f>VLOOKUP($A122,tropes!$A$4:$O$2428,10,FALSE)</f>
        <v>#N/A</v>
      </c>
      <c r="K122" s="5" t="e">
        <f>VLOOKUP($A122,tropes!$A$4:$O$2428,11,FALSE)</f>
        <v>#N/A</v>
      </c>
      <c r="L122" s="5" t="e">
        <f>VLOOKUP($A122,tropes!$A$4:$O$2428,12,FALSE)</f>
        <v>#N/A</v>
      </c>
      <c r="M122" s="5" t="e">
        <f>VLOOKUP($A122,tropes!$A$4:$O$2428,13,FALSE)</f>
        <v>#N/A</v>
      </c>
      <c r="N122" s="5"/>
    </row>
    <row r="123" spans="1:14" x14ac:dyDescent="0.3">
      <c r="A123" s="14"/>
      <c r="B123" s="5" t="e">
        <f>VLOOKUP($A123,tropes!$A$4:$O$2428,2,FALSE)</f>
        <v>#N/A</v>
      </c>
      <c r="C123" s="5" t="e">
        <f>VLOOKUP($A123,tropes!$A$4:$O$2428,3,FALSE)</f>
        <v>#N/A</v>
      </c>
      <c r="D123" s="5" t="e">
        <f>VLOOKUP($A123,tropes!$A$4:$O$2428,4,FALSE)</f>
        <v>#N/A</v>
      </c>
      <c r="E123" s="5" t="e">
        <f>VLOOKUP($A123,tropes!$A$4:$O$2428,5,FALSE)</f>
        <v>#N/A</v>
      </c>
      <c r="F123" s="5" t="e">
        <f>VLOOKUP($A123,tropes!$A$4:$O$2428,6,FALSE)</f>
        <v>#N/A</v>
      </c>
      <c r="G123" s="5" t="e">
        <f>VLOOKUP($A123,tropes!$A$4:$O$2428,7,FALSE)</f>
        <v>#N/A</v>
      </c>
      <c r="H123" s="5" t="e">
        <f>VLOOKUP($A123,tropes!$A$4:$O$2428,8,FALSE)</f>
        <v>#N/A</v>
      </c>
      <c r="I123" s="5" t="e">
        <f>VLOOKUP($A123,tropes!$A$4:$O$2428,9,FALSE)</f>
        <v>#N/A</v>
      </c>
      <c r="J123" s="5" t="e">
        <f>VLOOKUP($A123,tropes!$A$4:$O$2428,10,FALSE)</f>
        <v>#N/A</v>
      </c>
      <c r="K123" s="5" t="e">
        <f>VLOOKUP($A123,tropes!$A$4:$O$2428,11,FALSE)</f>
        <v>#N/A</v>
      </c>
      <c r="L123" s="5" t="e">
        <f>VLOOKUP($A123,tropes!$A$4:$O$2428,12,FALSE)</f>
        <v>#N/A</v>
      </c>
      <c r="M123" s="5" t="e">
        <f>VLOOKUP($A123,tropes!$A$4:$O$2428,13,FALSE)</f>
        <v>#N/A</v>
      </c>
      <c r="N123" s="5"/>
    </row>
    <row r="124" spans="1:14" x14ac:dyDescent="0.3">
      <c r="A124" s="14"/>
      <c r="B124" s="5" t="e">
        <f>VLOOKUP($A124,tropes!$A$4:$O$2428,2,FALSE)</f>
        <v>#N/A</v>
      </c>
      <c r="C124" s="5" t="e">
        <f>VLOOKUP($A124,tropes!$A$4:$O$2428,3,FALSE)</f>
        <v>#N/A</v>
      </c>
      <c r="D124" s="5" t="e">
        <f>VLOOKUP($A124,tropes!$A$4:$O$2428,4,FALSE)</f>
        <v>#N/A</v>
      </c>
      <c r="E124" s="5" t="e">
        <f>VLOOKUP($A124,tropes!$A$4:$O$2428,5,FALSE)</f>
        <v>#N/A</v>
      </c>
      <c r="F124" s="5" t="e">
        <f>VLOOKUP($A124,tropes!$A$4:$O$2428,6,FALSE)</f>
        <v>#N/A</v>
      </c>
      <c r="G124" s="5" t="e">
        <f>VLOOKUP($A124,tropes!$A$4:$O$2428,7,FALSE)</f>
        <v>#N/A</v>
      </c>
      <c r="H124" s="5" t="e">
        <f>VLOOKUP($A124,tropes!$A$4:$O$2428,8,FALSE)</f>
        <v>#N/A</v>
      </c>
      <c r="I124" s="5" t="e">
        <f>VLOOKUP($A124,tropes!$A$4:$O$2428,9,FALSE)</f>
        <v>#N/A</v>
      </c>
      <c r="J124" s="5" t="e">
        <f>VLOOKUP($A124,tropes!$A$4:$O$2428,10,FALSE)</f>
        <v>#N/A</v>
      </c>
      <c r="K124" s="5" t="e">
        <f>VLOOKUP($A124,tropes!$A$4:$O$2428,11,FALSE)</f>
        <v>#N/A</v>
      </c>
      <c r="L124" s="5" t="e">
        <f>VLOOKUP($A124,tropes!$A$4:$O$2428,12,FALSE)</f>
        <v>#N/A</v>
      </c>
      <c r="M124" s="5" t="e">
        <f>VLOOKUP($A124,tropes!$A$4:$O$2428,13,FALSE)</f>
        <v>#N/A</v>
      </c>
      <c r="N124" s="5"/>
    </row>
    <row r="125" spans="1:14" x14ac:dyDescent="0.3">
      <c r="A125" s="14"/>
      <c r="B125" s="5" t="e">
        <f>VLOOKUP($A125,tropes!$A$4:$O$2428,2,FALSE)</f>
        <v>#N/A</v>
      </c>
      <c r="C125" s="5" t="e">
        <f>VLOOKUP($A125,tropes!$A$4:$O$2428,3,FALSE)</f>
        <v>#N/A</v>
      </c>
      <c r="D125" s="5" t="e">
        <f>VLOOKUP($A125,tropes!$A$4:$O$2428,4,FALSE)</f>
        <v>#N/A</v>
      </c>
      <c r="E125" s="5" t="e">
        <f>VLOOKUP($A125,tropes!$A$4:$O$2428,5,FALSE)</f>
        <v>#N/A</v>
      </c>
      <c r="F125" s="5" t="e">
        <f>VLOOKUP($A125,tropes!$A$4:$O$2428,6,FALSE)</f>
        <v>#N/A</v>
      </c>
      <c r="G125" s="5" t="e">
        <f>VLOOKUP($A125,tropes!$A$4:$O$2428,7,FALSE)</f>
        <v>#N/A</v>
      </c>
      <c r="H125" s="5" t="e">
        <f>VLOOKUP($A125,tropes!$A$4:$O$2428,8,FALSE)</f>
        <v>#N/A</v>
      </c>
      <c r="I125" s="5" t="e">
        <f>VLOOKUP($A125,tropes!$A$4:$O$2428,9,FALSE)</f>
        <v>#N/A</v>
      </c>
      <c r="J125" s="5" t="e">
        <f>VLOOKUP($A125,tropes!$A$4:$O$2428,10,FALSE)</f>
        <v>#N/A</v>
      </c>
      <c r="K125" s="5" t="e">
        <f>VLOOKUP($A125,tropes!$A$4:$O$2428,11,FALSE)</f>
        <v>#N/A</v>
      </c>
      <c r="L125" s="5" t="e">
        <f>VLOOKUP($A125,tropes!$A$4:$O$2428,12,FALSE)</f>
        <v>#N/A</v>
      </c>
      <c r="M125" s="5" t="e">
        <f>VLOOKUP($A125,tropes!$A$4:$O$2428,13,FALSE)</f>
        <v>#N/A</v>
      </c>
      <c r="N125" s="5"/>
    </row>
    <row r="126" spans="1:14" x14ac:dyDescent="0.3">
      <c r="A126" s="14"/>
      <c r="B126" s="5" t="e">
        <f>VLOOKUP($A126,tropes!$A$4:$O$2428,2,FALSE)</f>
        <v>#N/A</v>
      </c>
      <c r="C126" s="5" t="e">
        <f>VLOOKUP($A126,tropes!$A$4:$O$2428,3,FALSE)</f>
        <v>#N/A</v>
      </c>
      <c r="D126" s="5" t="e">
        <f>VLOOKUP($A126,tropes!$A$4:$O$2428,4,FALSE)</f>
        <v>#N/A</v>
      </c>
      <c r="E126" s="5" t="e">
        <f>VLOOKUP($A126,tropes!$A$4:$O$2428,5,FALSE)</f>
        <v>#N/A</v>
      </c>
      <c r="F126" s="5" t="e">
        <f>VLOOKUP($A126,tropes!$A$4:$O$2428,6,FALSE)</f>
        <v>#N/A</v>
      </c>
      <c r="G126" s="5" t="e">
        <f>VLOOKUP($A126,tropes!$A$4:$O$2428,7,FALSE)</f>
        <v>#N/A</v>
      </c>
      <c r="H126" s="5" t="e">
        <f>VLOOKUP($A126,tropes!$A$4:$O$2428,8,FALSE)</f>
        <v>#N/A</v>
      </c>
      <c r="I126" s="5" t="e">
        <f>VLOOKUP($A126,tropes!$A$4:$O$2428,9,FALSE)</f>
        <v>#N/A</v>
      </c>
      <c r="J126" s="5" t="e">
        <f>VLOOKUP($A126,tropes!$A$4:$O$2428,10,FALSE)</f>
        <v>#N/A</v>
      </c>
      <c r="K126" s="5" t="e">
        <f>VLOOKUP($A126,tropes!$A$4:$O$2428,11,FALSE)</f>
        <v>#N/A</v>
      </c>
      <c r="L126" s="5" t="e">
        <f>VLOOKUP($A126,tropes!$A$4:$O$2428,12,FALSE)</f>
        <v>#N/A</v>
      </c>
      <c r="M126" s="5" t="e">
        <f>VLOOKUP($A126,tropes!$A$4:$O$2428,13,FALSE)</f>
        <v>#N/A</v>
      </c>
      <c r="N126" s="5"/>
    </row>
    <row r="127" spans="1:14" x14ac:dyDescent="0.3">
      <c r="A127" s="14"/>
      <c r="B127" s="5" t="e">
        <f>VLOOKUP($A127,tropes!$A$4:$O$2428,2,FALSE)</f>
        <v>#N/A</v>
      </c>
      <c r="C127" s="5" t="e">
        <f>VLOOKUP($A127,tropes!$A$4:$O$2428,3,FALSE)</f>
        <v>#N/A</v>
      </c>
      <c r="D127" s="5" t="e">
        <f>VLOOKUP($A127,tropes!$A$4:$O$2428,4,FALSE)</f>
        <v>#N/A</v>
      </c>
      <c r="E127" s="5" t="e">
        <f>VLOOKUP($A127,tropes!$A$4:$O$2428,5,FALSE)</f>
        <v>#N/A</v>
      </c>
      <c r="F127" s="5" t="e">
        <f>VLOOKUP($A127,tropes!$A$4:$O$2428,6,FALSE)</f>
        <v>#N/A</v>
      </c>
      <c r="G127" s="5" t="e">
        <f>VLOOKUP($A127,tropes!$A$4:$O$2428,7,FALSE)</f>
        <v>#N/A</v>
      </c>
      <c r="H127" s="5" t="e">
        <f>VLOOKUP($A127,tropes!$A$4:$O$2428,8,FALSE)</f>
        <v>#N/A</v>
      </c>
      <c r="I127" s="5" t="e">
        <f>VLOOKUP($A127,tropes!$A$4:$O$2428,9,FALSE)</f>
        <v>#N/A</v>
      </c>
      <c r="J127" s="5" t="e">
        <f>VLOOKUP($A127,tropes!$A$4:$O$2428,10,FALSE)</f>
        <v>#N/A</v>
      </c>
      <c r="K127" s="5" t="e">
        <f>VLOOKUP($A127,tropes!$A$4:$O$2428,11,FALSE)</f>
        <v>#N/A</v>
      </c>
      <c r="L127" s="5" t="e">
        <f>VLOOKUP($A127,tropes!$A$4:$O$2428,12,FALSE)</f>
        <v>#N/A</v>
      </c>
      <c r="M127" s="5" t="e">
        <f>VLOOKUP($A127,tropes!$A$4:$O$2428,13,FALSE)</f>
        <v>#N/A</v>
      </c>
      <c r="N127" s="5"/>
    </row>
    <row r="128" spans="1:14" x14ac:dyDescent="0.3">
      <c r="A128" s="14"/>
      <c r="B128" s="5" t="e">
        <f>VLOOKUP($A128,tropes!$A$4:$O$2428,2,FALSE)</f>
        <v>#N/A</v>
      </c>
      <c r="C128" s="5" t="e">
        <f>VLOOKUP($A128,tropes!$A$4:$O$2428,3,FALSE)</f>
        <v>#N/A</v>
      </c>
      <c r="D128" s="5" t="e">
        <f>VLOOKUP($A128,tropes!$A$4:$O$2428,4,FALSE)</f>
        <v>#N/A</v>
      </c>
      <c r="E128" s="5" t="e">
        <f>VLOOKUP($A128,tropes!$A$4:$O$2428,5,FALSE)</f>
        <v>#N/A</v>
      </c>
      <c r="F128" s="5" t="e">
        <f>VLOOKUP($A128,tropes!$A$4:$O$2428,6,FALSE)</f>
        <v>#N/A</v>
      </c>
      <c r="G128" s="5" t="e">
        <f>VLOOKUP($A128,tropes!$A$4:$O$2428,7,FALSE)</f>
        <v>#N/A</v>
      </c>
      <c r="H128" s="5" t="e">
        <f>VLOOKUP($A128,tropes!$A$4:$O$2428,8,FALSE)</f>
        <v>#N/A</v>
      </c>
      <c r="I128" s="5" t="e">
        <f>VLOOKUP($A128,tropes!$A$4:$O$2428,9,FALSE)</f>
        <v>#N/A</v>
      </c>
      <c r="J128" s="5" t="e">
        <f>VLOOKUP($A128,tropes!$A$4:$O$2428,10,FALSE)</f>
        <v>#N/A</v>
      </c>
      <c r="K128" s="5" t="e">
        <f>VLOOKUP($A128,tropes!$A$4:$O$2428,11,FALSE)</f>
        <v>#N/A</v>
      </c>
      <c r="L128" s="5" t="e">
        <f>VLOOKUP($A128,tropes!$A$4:$O$2428,12,FALSE)</f>
        <v>#N/A</v>
      </c>
      <c r="M128" s="5" t="e">
        <f>VLOOKUP($A128,tropes!$A$4:$O$2428,13,FALSE)</f>
        <v>#N/A</v>
      </c>
      <c r="N128" s="5"/>
    </row>
    <row r="129" spans="1:14" x14ac:dyDescent="0.3">
      <c r="A129" s="14"/>
      <c r="B129" s="5" t="e">
        <f>VLOOKUP($A129,tropes!$A$4:$O$2428,2,FALSE)</f>
        <v>#N/A</v>
      </c>
      <c r="C129" s="5" t="e">
        <f>VLOOKUP($A129,tropes!$A$4:$O$2428,3,FALSE)</f>
        <v>#N/A</v>
      </c>
      <c r="D129" s="5" t="e">
        <f>VLOOKUP($A129,tropes!$A$4:$O$2428,4,FALSE)</f>
        <v>#N/A</v>
      </c>
      <c r="E129" s="5" t="e">
        <f>VLOOKUP($A129,tropes!$A$4:$O$2428,5,FALSE)</f>
        <v>#N/A</v>
      </c>
      <c r="F129" s="5" t="e">
        <f>VLOOKUP($A129,tropes!$A$4:$O$2428,6,FALSE)</f>
        <v>#N/A</v>
      </c>
      <c r="G129" s="5" t="e">
        <f>VLOOKUP($A129,tropes!$A$4:$O$2428,7,FALSE)</f>
        <v>#N/A</v>
      </c>
      <c r="H129" s="5" t="e">
        <f>VLOOKUP($A129,tropes!$A$4:$O$2428,8,FALSE)</f>
        <v>#N/A</v>
      </c>
      <c r="I129" s="5" t="e">
        <f>VLOOKUP($A129,tropes!$A$4:$O$2428,9,FALSE)</f>
        <v>#N/A</v>
      </c>
      <c r="J129" s="5" t="e">
        <f>VLOOKUP($A129,tropes!$A$4:$O$2428,10,FALSE)</f>
        <v>#N/A</v>
      </c>
      <c r="K129" s="5" t="e">
        <f>VLOOKUP($A129,tropes!$A$4:$O$2428,11,FALSE)</f>
        <v>#N/A</v>
      </c>
      <c r="L129" s="5" t="e">
        <f>VLOOKUP($A129,tropes!$A$4:$O$2428,12,FALSE)</f>
        <v>#N/A</v>
      </c>
      <c r="M129" s="5" t="e">
        <f>VLOOKUP($A129,tropes!$A$4:$O$2428,13,FALSE)</f>
        <v>#N/A</v>
      </c>
      <c r="N129" s="5"/>
    </row>
    <row r="130" spans="1:14" x14ac:dyDescent="0.3">
      <c r="A130" s="14"/>
      <c r="B130" s="5" t="e">
        <f>VLOOKUP($A130,tropes!$A$4:$O$2428,2,FALSE)</f>
        <v>#N/A</v>
      </c>
      <c r="C130" s="5" t="e">
        <f>VLOOKUP($A130,tropes!$A$4:$O$2428,3,FALSE)</f>
        <v>#N/A</v>
      </c>
      <c r="D130" s="5" t="e">
        <f>VLOOKUP($A130,tropes!$A$4:$O$2428,4,FALSE)</f>
        <v>#N/A</v>
      </c>
      <c r="E130" s="5" t="e">
        <f>VLOOKUP($A130,tropes!$A$4:$O$2428,5,FALSE)</f>
        <v>#N/A</v>
      </c>
      <c r="F130" s="5" t="e">
        <f>VLOOKUP($A130,tropes!$A$4:$O$2428,6,FALSE)</f>
        <v>#N/A</v>
      </c>
      <c r="G130" s="5" t="e">
        <f>VLOOKUP($A130,tropes!$A$4:$O$2428,7,FALSE)</f>
        <v>#N/A</v>
      </c>
      <c r="H130" s="5" t="e">
        <f>VLOOKUP($A130,tropes!$A$4:$O$2428,8,FALSE)</f>
        <v>#N/A</v>
      </c>
      <c r="I130" s="5" t="e">
        <f>VLOOKUP($A130,tropes!$A$4:$O$2428,9,FALSE)</f>
        <v>#N/A</v>
      </c>
      <c r="J130" s="5" t="e">
        <f>VLOOKUP($A130,tropes!$A$4:$O$2428,10,FALSE)</f>
        <v>#N/A</v>
      </c>
      <c r="K130" s="5" t="e">
        <f>VLOOKUP($A130,tropes!$A$4:$O$2428,11,FALSE)</f>
        <v>#N/A</v>
      </c>
      <c r="L130" s="5" t="e">
        <f>VLOOKUP($A130,tropes!$A$4:$O$2428,12,FALSE)</f>
        <v>#N/A</v>
      </c>
      <c r="M130" s="5" t="e">
        <f>VLOOKUP($A130,tropes!$A$4:$O$2428,13,FALSE)</f>
        <v>#N/A</v>
      </c>
      <c r="N130" s="5"/>
    </row>
    <row r="131" spans="1:14" x14ac:dyDescent="0.3">
      <c r="A131" s="14"/>
      <c r="B131" s="5" t="e">
        <f>VLOOKUP($A131,tropes!$A$4:$O$2428,2,FALSE)</f>
        <v>#N/A</v>
      </c>
      <c r="C131" s="5" t="e">
        <f>VLOOKUP($A131,tropes!$A$4:$O$2428,3,FALSE)</f>
        <v>#N/A</v>
      </c>
      <c r="D131" s="5" t="e">
        <f>VLOOKUP($A131,tropes!$A$4:$O$2428,4,FALSE)</f>
        <v>#N/A</v>
      </c>
      <c r="E131" s="5" t="e">
        <f>VLOOKUP($A131,tropes!$A$4:$O$2428,5,FALSE)</f>
        <v>#N/A</v>
      </c>
      <c r="F131" s="5" t="e">
        <f>VLOOKUP($A131,tropes!$A$4:$O$2428,6,FALSE)</f>
        <v>#N/A</v>
      </c>
      <c r="G131" s="5" t="e">
        <f>VLOOKUP($A131,tropes!$A$4:$O$2428,7,FALSE)</f>
        <v>#N/A</v>
      </c>
      <c r="H131" s="5" t="e">
        <f>VLOOKUP($A131,tropes!$A$4:$O$2428,8,FALSE)</f>
        <v>#N/A</v>
      </c>
      <c r="I131" s="5" t="e">
        <f>VLOOKUP($A131,tropes!$A$4:$O$2428,9,FALSE)</f>
        <v>#N/A</v>
      </c>
      <c r="J131" s="5" t="e">
        <f>VLOOKUP($A131,tropes!$A$4:$O$2428,10,FALSE)</f>
        <v>#N/A</v>
      </c>
      <c r="K131" s="5" t="e">
        <f>VLOOKUP($A131,tropes!$A$4:$O$2428,11,FALSE)</f>
        <v>#N/A</v>
      </c>
      <c r="L131" s="5" t="e">
        <f>VLOOKUP($A131,tropes!$A$4:$O$2428,12,FALSE)</f>
        <v>#N/A</v>
      </c>
      <c r="M131" s="5" t="e">
        <f>VLOOKUP($A131,tropes!$A$4:$O$2428,13,FALSE)</f>
        <v>#N/A</v>
      </c>
      <c r="N131" s="5"/>
    </row>
    <row r="132" spans="1:14" x14ac:dyDescent="0.3">
      <c r="A132" s="14"/>
      <c r="B132" s="5" t="e">
        <f>VLOOKUP($A132,tropes!$A$4:$O$2428,2,FALSE)</f>
        <v>#N/A</v>
      </c>
      <c r="C132" s="5" t="e">
        <f>VLOOKUP($A132,tropes!$A$4:$O$2428,3,FALSE)</f>
        <v>#N/A</v>
      </c>
      <c r="D132" s="5" t="e">
        <f>VLOOKUP($A132,tropes!$A$4:$O$2428,4,FALSE)</f>
        <v>#N/A</v>
      </c>
      <c r="E132" s="5" t="e">
        <f>VLOOKUP($A132,tropes!$A$4:$O$2428,5,FALSE)</f>
        <v>#N/A</v>
      </c>
      <c r="F132" s="5" t="e">
        <f>VLOOKUP($A132,tropes!$A$4:$O$2428,6,FALSE)</f>
        <v>#N/A</v>
      </c>
      <c r="G132" s="5" t="e">
        <f>VLOOKUP($A132,tropes!$A$4:$O$2428,7,FALSE)</f>
        <v>#N/A</v>
      </c>
      <c r="H132" s="5" t="e">
        <f>VLOOKUP($A132,tropes!$A$4:$O$2428,8,FALSE)</f>
        <v>#N/A</v>
      </c>
      <c r="I132" s="5" t="e">
        <f>VLOOKUP($A132,tropes!$A$4:$O$2428,9,FALSE)</f>
        <v>#N/A</v>
      </c>
      <c r="J132" s="5" t="e">
        <f>VLOOKUP($A132,tropes!$A$4:$O$2428,10,FALSE)</f>
        <v>#N/A</v>
      </c>
      <c r="K132" s="5" t="e">
        <f>VLOOKUP($A132,tropes!$A$4:$O$2428,11,FALSE)</f>
        <v>#N/A</v>
      </c>
      <c r="L132" s="5" t="e">
        <f>VLOOKUP($A132,tropes!$A$4:$O$2428,12,FALSE)</f>
        <v>#N/A</v>
      </c>
      <c r="M132" s="5" t="e">
        <f>VLOOKUP($A132,tropes!$A$4:$O$2428,13,FALSE)</f>
        <v>#N/A</v>
      </c>
      <c r="N132" s="5"/>
    </row>
    <row r="133" spans="1:14" x14ac:dyDescent="0.3">
      <c r="A133" s="14"/>
      <c r="B133" s="5" t="e">
        <f>VLOOKUP($A133,tropes!$A$4:$O$2428,2,FALSE)</f>
        <v>#N/A</v>
      </c>
      <c r="C133" s="5" t="e">
        <f>VLOOKUP($A133,tropes!$A$4:$O$2428,3,FALSE)</f>
        <v>#N/A</v>
      </c>
      <c r="D133" s="5" t="e">
        <f>VLOOKUP($A133,tropes!$A$4:$O$2428,4,FALSE)</f>
        <v>#N/A</v>
      </c>
      <c r="E133" s="5" t="e">
        <f>VLOOKUP($A133,tropes!$A$4:$O$2428,5,FALSE)</f>
        <v>#N/A</v>
      </c>
      <c r="F133" s="5" t="e">
        <f>VLOOKUP($A133,tropes!$A$4:$O$2428,6,FALSE)</f>
        <v>#N/A</v>
      </c>
      <c r="G133" s="5" t="e">
        <f>VLOOKUP($A133,tropes!$A$4:$O$2428,7,FALSE)</f>
        <v>#N/A</v>
      </c>
      <c r="H133" s="5" t="e">
        <f>VLOOKUP($A133,tropes!$A$4:$O$2428,8,FALSE)</f>
        <v>#N/A</v>
      </c>
      <c r="I133" s="5" t="e">
        <f>VLOOKUP($A133,tropes!$A$4:$O$2428,9,FALSE)</f>
        <v>#N/A</v>
      </c>
      <c r="J133" s="5" t="e">
        <f>VLOOKUP($A133,tropes!$A$4:$O$2428,10,FALSE)</f>
        <v>#N/A</v>
      </c>
      <c r="K133" s="5" t="e">
        <f>VLOOKUP($A133,tropes!$A$4:$O$2428,11,FALSE)</f>
        <v>#N/A</v>
      </c>
      <c r="L133" s="5" t="e">
        <f>VLOOKUP($A133,tropes!$A$4:$O$2428,12,FALSE)</f>
        <v>#N/A</v>
      </c>
      <c r="M133" s="5" t="e">
        <f>VLOOKUP($A133,tropes!$A$4:$O$2428,13,FALSE)</f>
        <v>#N/A</v>
      </c>
      <c r="N133" s="5"/>
    </row>
    <row r="134" spans="1:14" x14ac:dyDescent="0.3">
      <c r="A134" s="14"/>
      <c r="B134" s="5" t="e">
        <f>VLOOKUP($A134,tropes!$A$4:$O$2428,2,FALSE)</f>
        <v>#N/A</v>
      </c>
      <c r="C134" s="5" t="e">
        <f>VLOOKUP($A134,tropes!$A$4:$O$2428,3,FALSE)</f>
        <v>#N/A</v>
      </c>
      <c r="D134" s="5" t="e">
        <f>VLOOKUP($A134,tropes!$A$4:$O$2428,4,FALSE)</f>
        <v>#N/A</v>
      </c>
      <c r="E134" s="5" t="e">
        <f>VLOOKUP($A134,tropes!$A$4:$O$2428,5,FALSE)</f>
        <v>#N/A</v>
      </c>
      <c r="F134" s="5" t="e">
        <f>VLOOKUP($A134,tropes!$A$4:$O$2428,6,FALSE)</f>
        <v>#N/A</v>
      </c>
      <c r="G134" s="5" t="e">
        <f>VLOOKUP($A134,tropes!$A$4:$O$2428,7,FALSE)</f>
        <v>#N/A</v>
      </c>
      <c r="H134" s="5" t="e">
        <f>VLOOKUP($A134,tropes!$A$4:$O$2428,8,FALSE)</f>
        <v>#N/A</v>
      </c>
      <c r="I134" s="5" t="e">
        <f>VLOOKUP($A134,tropes!$A$4:$O$2428,9,FALSE)</f>
        <v>#N/A</v>
      </c>
      <c r="J134" s="5" t="e">
        <f>VLOOKUP($A134,tropes!$A$4:$O$2428,10,FALSE)</f>
        <v>#N/A</v>
      </c>
      <c r="K134" s="5" t="e">
        <f>VLOOKUP($A134,tropes!$A$4:$O$2428,11,FALSE)</f>
        <v>#N/A</v>
      </c>
      <c r="L134" s="5" t="e">
        <f>VLOOKUP($A134,tropes!$A$4:$O$2428,12,FALSE)</f>
        <v>#N/A</v>
      </c>
      <c r="M134" s="5" t="e">
        <f>VLOOKUP($A134,tropes!$A$4:$O$2428,13,FALSE)</f>
        <v>#N/A</v>
      </c>
      <c r="N134" s="5"/>
    </row>
    <row r="135" spans="1:14" x14ac:dyDescent="0.3">
      <c r="A135" s="14"/>
      <c r="B135" s="5" t="e">
        <f>VLOOKUP($A135,tropes!$A$4:$O$2428,2,FALSE)</f>
        <v>#N/A</v>
      </c>
      <c r="C135" s="5" t="e">
        <f>VLOOKUP($A135,tropes!$A$4:$O$2428,3,FALSE)</f>
        <v>#N/A</v>
      </c>
      <c r="D135" s="5" t="e">
        <f>VLOOKUP($A135,tropes!$A$4:$O$2428,4,FALSE)</f>
        <v>#N/A</v>
      </c>
      <c r="E135" s="5" t="e">
        <f>VLOOKUP($A135,tropes!$A$4:$O$2428,5,FALSE)</f>
        <v>#N/A</v>
      </c>
      <c r="F135" s="5" t="e">
        <f>VLOOKUP($A135,tropes!$A$4:$O$2428,6,FALSE)</f>
        <v>#N/A</v>
      </c>
      <c r="G135" s="5" t="e">
        <f>VLOOKUP($A135,tropes!$A$4:$O$2428,7,FALSE)</f>
        <v>#N/A</v>
      </c>
      <c r="H135" s="5" t="e">
        <f>VLOOKUP($A135,tropes!$A$4:$O$2428,8,FALSE)</f>
        <v>#N/A</v>
      </c>
      <c r="I135" s="5" t="e">
        <f>VLOOKUP($A135,tropes!$A$4:$O$2428,9,FALSE)</f>
        <v>#N/A</v>
      </c>
      <c r="J135" s="5" t="e">
        <f>VLOOKUP($A135,tropes!$A$4:$O$2428,10,FALSE)</f>
        <v>#N/A</v>
      </c>
      <c r="K135" s="5" t="e">
        <f>VLOOKUP($A135,tropes!$A$4:$O$2428,11,FALSE)</f>
        <v>#N/A</v>
      </c>
      <c r="L135" s="5" t="e">
        <f>VLOOKUP($A135,tropes!$A$4:$O$2428,12,FALSE)</f>
        <v>#N/A</v>
      </c>
      <c r="M135" s="5" t="e">
        <f>VLOOKUP($A135,tropes!$A$4:$O$2428,13,FALSE)</f>
        <v>#N/A</v>
      </c>
      <c r="N135" s="5"/>
    </row>
    <row r="136" spans="1:14" x14ac:dyDescent="0.3">
      <c r="A136" s="14"/>
      <c r="B136" s="5" t="e">
        <f>VLOOKUP($A136,tropes!$A$4:$O$2428,2,FALSE)</f>
        <v>#N/A</v>
      </c>
      <c r="C136" s="5" t="e">
        <f>VLOOKUP($A136,tropes!$A$4:$O$2428,3,FALSE)</f>
        <v>#N/A</v>
      </c>
      <c r="D136" s="5" t="e">
        <f>VLOOKUP($A136,tropes!$A$4:$O$2428,4,FALSE)</f>
        <v>#N/A</v>
      </c>
      <c r="E136" s="5" t="e">
        <f>VLOOKUP($A136,tropes!$A$4:$O$2428,5,FALSE)</f>
        <v>#N/A</v>
      </c>
      <c r="F136" s="5" t="e">
        <f>VLOOKUP($A136,tropes!$A$4:$O$2428,6,FALSE)</f>
        <v>#N/A</v>
      </c>
      <c r="G136" s="5" t="e">
        <f>VLOOKUP($A136,tropes!$A$4:$O$2428,7,FALSE)</f>
        <v>#N/A</v>
      </c>
      <c r="H136" s="5" t="e">
        <f>VLOOKUP($A136,tropes!$A$4:$O$2428,8,FALSE)</f>
        <v>#N/A</v>
      </c>
      <c r="I136" s="5" t="e">
        <f>VLOOKUP($A136,tropes!$A$4:$O$2428,9,FALSE)</f>
        <v>#N/A</v>
      </c>
      <c r="J136" s="5" t="e">
        <f>VLOOKUP($A136,tropes!$A$4:$O$2428,10,FALSE)</f>
        <v>#N/A</v>
      </c>
      <c r="K136" s="5" t="e">
        <f>VLOOKUP($A136,tropes!$A$4:$O$2428,11,FALSE)</f>
        <v>#N/A</v>
      </c>
      <c r="L136" s="5" t="e">
        <f>VLOOKUP($A136,tropes!$A$4:$O$2428,12,FALSE)</f>
        <v>#N/A</v>
      </c>
      <c r="M136" s="5" t="e">
        <f>VLOOKUP($A136,tropes!$A$4:$O$2428,13,FALSE)</f>
        <v>#N/A</v>
      </c>
      <c r="N136" s="5"/>
    </row>
    <row r="137" spans="1:14" x14ac:dyDescent="0.3">
      <c r="A137" s="14"/>
      <c r="B137" s="5" t="e">
        <f>VLOOKUP($A137,tropes!$A$4:$O$2428,2,FALSE)</f>
        <v>#N/A</v>
      </c>
      <c r="C137" s="5" t="e">
        <f>VLOOKUP($A137,tropes!$A$4:$O$2428,3,FALSE)</f>
        <v>#N/A</v>
      </c>
      <c r="D137" s="5" t="e">
        <f>VLOOKUP($A137,tropes!$A$4:$O$2428,4,FALSE)</f>
        <v>#N/A</v>
      </c>
      <c r="E137" s="5" t="e">
        <f>VLOOKUP($A137,tropes!$A$4:$O$2428,5,FALSE)</f>
        <v>#N/A</v>
      </c>
      <c r="F137" s="5" t="e">
        <f>VLOOKUP($A137,tropes!$A$4:$O$2428,6,FALSE)</f>
        <v>#N/A</v>
      </c>
      <c r="G137" s="5" t="e">
        <f>VLOOKUP($A137,tropes!$A$4:$O$2428,7,FALSE)</f>
        <v>#N/A</v>
      </c>
      <c r="H137" s="5" t="e">
        <f>VLOOKUP($A137,tropes!$A$4:$O$2428,8,FALSE)</f>
        <v>#N/A</v>
      </c>
      <c r="I137" s="5" t="e">
        <f>VLOOKUP($A137,tropes!$A$4:$O$2428,9,FALSE)</f>
        <v>#N/A</v>
      </c>
      <c r="J137" s="5" t="e">
        <f>VLOOKUP($A137,tropes!$A$4:$O$2428,10,FALSE)</f>
        <v>#N/A</v>
      </c>
      <c r="K137" s="5" t="e">
        <f>VLOOKUP($A137,tropes!$A$4:$O$2428,11,FALSE)</f>
        <v>#N/A</v>
      </c>
      <c r="L137" s="5" t="e">
        <f>VLOOKUP($A137,tropes!$A$4:$O$2428,12,FALSE)</f>
        <v>#N/A</v>
      </c>
      <c r="M137" s="5" t="e">
        <f>VLOOKUP($A137,tropes!$A$4:$O$2428,13,FALSE)</f>
        <v>#N/A</v>
      </c>
      <c r="N137" s="5"/>
    </row>
    <row r="138" spans="1:14" x14ac:dyDescent="0.3">
      <c r="A138" s="14"/>
      <c r="B138" s="5" t="e">
        <f>VLOOKUP($A138,tropes!$A$4:$O$2428,2,FALSE)</f>
        <v>#N/A</v>
      </c>
      <c r="C138" s="5" t="e">
        <f>VLOOKUP($A138,tropes!$A$4:$O$2428,3,FALSE)</f>
        <v>#N/A</v>
      </c>
      <c r="D138" s="5" t="e">
        <f>VLOOKUP($A138,tropes!$A$4:$O$2428,4,FALSE)</f>
        <v>#N/A</v>
      </c>
      <c r="E138" s="5" t="e">
        <f>VLOOKUP($A138,tropes!$A$4:$O$2428,5,FALSE)</f>
        <v>#N/A</v>
      </c>
      <c r="F138" s="5" t="e">
        <f>VLOOKUP($A138,tropes!$A$4:$O$2428,6,FALSE)</f>
        <v>#N/A</v>
      </c>
      <c r="G138" s="5" t="e">
        <f>VLOOKUP($A138,tropes!$A$4:$O$2428,7,FALSE)</f>
        <v>#N/A</v>
      </c>
      <c r="H138" s="5" t="e">
        <f>VLOOKUP($A138,tropes!$A$4:$O$2428,8,FALSE)</f>
        <v>#N/A</v>
      </c>
      <c r="I138" s="5" t="e">
        <f>VLOOKUP($A138,tropes!$A$4:$O$2428,9,FALSE)</f>
        <v>#N/A</v>
      </c>
      <c r="J138" s="5" t="e">
        <f>VLOOKUP($A138,tropes!$A$4:$O$2428,10,FALSE)</f>
        <v>#N/A</v>
      </c>
      <c r="K138" s="5" t="e">
        <f>VLOOKUP($A138,tropes!$A$4:$O$2428,11,FALSE)</f>
        <v>#N/A</v>
      </c>
      <c r="L138" s="5" t="e">
        <f>VLOOKUP($A138,tropes!$A$4:$O$2428,12,FALSE)</f>
        <v>#N/A</v>
      </c>
      <c r="M138" s="5" t="e">
        <f>VLOOKUP($A138,tropes!$A$4:$O$2428,13,FALSE)</f>
        <v>#N/A</v>
      </c>
      <c r="N138" s="5"/>
    </row>
    <row r="139" spans="1:14" x14ac:dyDescent="0.3">
      <c r="A139" s="14"/>
      <c r="B139" s="5" t="e">
        <f>VLOOKUP($A139,tropes!$A$4:$O$2428,2,FALSE)</f>
        <v>#N/A</v>
      </c>
      <c r="C139" s="5" t="e">
        <f>VLOOKUP($A139,tropes!$A$4:$O$2428,3,FALSE)</f>
        <v>#N/A</v>
      </c>
      <c r="D139" s="5" t="e">
        <f>VLOOKUP($A139,tropes!$A$4:$O$2428,4,FALSE)</f>
        <v>#N/A</v>
      </c>
      <c r="E139" s="5" t="e">
        <f>VLOOKUP($A139,tropes!$A$4:$O$2428,5,FALSE)</f>
        <v>#N/A</v>
      </c>
      <c r="F139" s="5" t="e">
        <f>VLOOKUP($A139,tropes!$A$4:$O$2428,6,FALSE)</f>
        <v>#N/A</v>
      </c>
      <c r="G139" s="5" t="e">
        <f>VLOOKUP($A139,tropes!$A$4:$O$2428,7,FALSE)</f>
        <v>#N/A</v>
      </c>
      <c r="H139" s="5" t="e">
        <f>VLOOKUP($A139,tropes!$A$4:$O$2428,8,FALSE)</f>
        <v>#N/A</v>
      </c>
      <c r="I139" s="5" t="e">
        <f>VLOOKUP($A139,tropes!$A$4:$O$2428,9,FALSE)</f>
        <v>#N/A</v>
      </c>
      <c r="J139" s="5" t="e">
        <f>VLOOKUP($A139,tropes!$A$4:$O$2428,10,FALSE)</f>
        <v>#N/A</v>
      </c>
      <c r="K139" s="5" t="e">
        <f>VLOOKUP($A139,tropes!$A$4:$O$2428,11,FALSE)</f>
        <v>#N/A</v>
      </c>
      <c r="L139" s="5" t="e">
        <f>VLOOKUP($A139,tropes!$A$4:$O$2428,12,FALSE)</f>
        <v>#N/A</v>
      </c>
      <c r="M139" s="5" t="e">
        <f>VLOOKUP($A139,tropes!$A$4:$O$2428,13,FALSE)</f>
        <v>#N/A</v>
      </c>
      <c r="N139" s="5"/>
    </row>
    <row r="140" spans="1:14" x14ac:dyDescent="0.3">
      <c r="A140" s="14"/>
      <c r="B140" s="5" t="e">
        <f>VLOOKUP($A140,tropes!$A$4:$O$2428,2,FALSE)</f>
        <v>#N/A</v>
      </c>
      <c r="C140" s="5" t="e">
        <f>VLOOKUP($A140,tropes!$A$4:$O$2428,3,FALSE)</f>
        <v>#N/A</v>
      </c>
      <c r="D140" s="5" t="e">
        <f>VLOOKUP($A140,tropes!$A$4:$O$2428,4,FALSE)</f>
        <v>#N/A</v>
      </c>
      <c r="E140" s="5" t="e">
        <f>VLOOKUP($A140,tropes!$A$4:$O$2428,5,FALSE)</f>
        <v>#N/A</v>
      </c>
      <c r="F140" s="5" t="e">
        <f>VLOOKUP($A140,tropes!$A$4:$O$2428,6,FALSE)</f>
        <v>#N/A</v>
      </c>
      <c r="G140" s="5" t="e">
        <f>VLOOKUP($A140,tropes!$A$4:$O$2428,7,FALSE)</f>
        <v>#N/A</v>
      </c>
      <c r="H140" s="5" t="e">
        <f>VLOOKUP($A140,tropes!$A$4:$O$2428,8,FALSE)</f>
        <v>#N/A</v>
      </c>
      <c r="I140" s="5" t="e">
        <f>VLOOKUP($A140,tropes!$A$4:$O$2428,9,FALSE)</f>
        <v>#N/A</v>
      </c>
      <c r="J140" s="5" t="e">
        <f>VLOOKUP($A140,tropes!$A$4:$O$2428,10,FALSE)</f>
        <v>#N/A</v>
      </c>
      <c r="K140" s="5" t="e">
        <f>VLOOKUP($A140,tropes!$A$4:$O$2428,11,FALSE)</f>
        <v>#N/A</v>
      </c>
      <c r="L140" s="5" t="e">
        <f>VLOOKUP($A140,tropes!$A$4:$O$2428,12,FALSE)</f>
        <v>#N/A</v>
      </c>
      <c r="M140" s="5" t="e">
        <f>VLOOKUP($A140,tropes!$A$4:$O$2428,13,FALSE)</f>
        <v>#N/A</v>
      </c>
      <c r="N140" s="5"/>
    </row>
    <row r="141" spans="1:14" x14ac:dyDescent="0.3">
      <c r="A141" s="14"/>
      <c r="B141" s="5" t="e">
        <f>VLOOKUP($A141,tropes!$A$4:$O$2428,2,FALSE)</f>
        <v>#N/A</v>
      </c>
      <c r="C141" s="5" t="e">
        <f>VLOOKUP($A141,tropes!$A$4:$O$2428,3,FALSE)</f>
        <v>#N/A</v>
      </c>
      <c r="D141" s="5" t="e">
        <f>VLOOKUP($A141,tropes!$A$4:$O$2428,4,FALSE)</f>
        <v>#N/A</v>
      </c>
      <c r="E141" s="5" t="e">
        <f>VLOOKUP($A141,tropes!$A$4:$O$2428,5,FALSE)</f>
        <v>#N/A</v>
      </c>
      <c r="F141" s="5" t="e">
        <f>VLOOKUP($A141,tropes!$A$4:$O$2428,6,FALSE)</f>
        <v>#N/A</v>
      </c>
      <c r="G141" s="5" t="e">
        <f>VLOOKUP($A141,tropes!$A$4:$O$2428,7,FALSE)</f>
        <v>#N/A</v>
      </c>
      <c r="H141" s="5" t="e">
        <f>VLOOKUP($A141,tropes!$A$4:$O$2428,8,FALSE)</f>
        <v>#N/A</v>
      </c>
      <c r="I141" s="5" t="e">
        <f>VLOOKUP($A141,tropes!$A$4:$O$2428,9,FALSE)</f>
        <v>#N/A</v>
      </c>
      <c r="J141" s="5" t="e">
        <f>VLOOKUP($A141,tropes!$A$4:$O$2428,10,FALSE)</f>
        <v>#N/A</v>
      </c>
      <c r="K141" s="5" t="e">
        <f>VLOOKUP($A141,tropes!$A$4:$O$2428,11,FALSE)</f>
        <v>#N/A</v>
      </c>
      <c r="L141" s="5" t="e">
        <f>VLOOKUP($A141,tropes!$A$4:$O$2428,12,FALSE)</f>
        <v>#N/A</v>
      </c>
      <c r="M141" s="5" t="e">
        <f>VLOOKUP($A141,tropes!$A$4:$O$2428,13,FALSE)</f>
        <v>#N/A</v>
      </c>
      <c r="N141" s="5"/>
    </row>
    <row r="142" spans="1:14" x14ac:dyDescent="0.3">
      <c r="A142" s="14"/>
      <c r="B142" s="5" t="e">
        <f>VLOOKUP($A142,tropes!$A$4:$O$2428,2,FALSE)</f>
        <v>#N/A</v>
      </c>
      <c r="C142" s="5" t="e">
        <f>VLOOKUP($A142,tropes!$A$4:$O$2428,3,FALSE)</f>
        <v>#N/A</v>
      </c>
      <c r="D142" s="5" t="e">
        <f>VLOOKUP($A142,tropes!$A$4:$O$2428,4,FALSE)</f>
        <v>#N/A</v>
      </c>
      <c r="E142" s="5" t="e">
        <f>VLOOKUP($A142,tropes!$A$4:$O$2428,5,FALSE)</f>
        <v>#N/A</v>
      </c>
      <c r="F142" s="5" t="e">
        <f>VLOOKUP($A142,tropes!$A$4:$O$2428,6,FALSE)</f>
        <v>#N/A</v>
      </c>
      <c r="G142" s="5" t="e">
        <f>VLOOKUP($A142,tropes!$A$4:$O$2428,7,FALSE)</f>
        <v>#N/A</v>
      </c>
      <c r="H142" s="5" t="e">
        <f>VLOOKUP($A142,tropes!$A$4:$O$2428,8,FALSE)</f>
        <v>#N/A</v>
      </c>
      <c r="I142" s="5" t="e">
        <f>VLOOKUP($A142,tropes!$A$4:$O$2428,9,FALSE)</f>
        <v>#N/A</v>
      </c>
      <c r="J142" s="5" t="e">
        <f>VLOOKUP($A142,tropes!$A$4:$O$2428,10,FALSE)</f>
        <v>#N/A</v>
      </c>
      <c r="K142" s="5" t="e">
        <f>VLOOKUP($A142,tropes!$A$4:$O$2428,11,FALSE)</f>
        <v>#N/A</v>
      </c>
      <c r="L142" s="5" t="e">
        <f>VLOOKUP($A142,tropes!$A$4:$O$2428,12,FALSE)</f>
        <v>#N/A</v>
      </c>
      <c r="M142" s="5" t="e">
        <f>VLOOKUP($A142,tropes!$A$4:$O$2428,13,FALSE)</f>
        <v>#N/A</v>
      </c>
      <c r="N142" s="5"/>
    </row>
    <row r="143" spans="1:14" x14ac:dyDescent="0.3">
      <c r="A143" s="14"/>
      <c r="B143" s="5" t="e">
        <f>VLOOKUP($A143,tropes!$A$4:$O$2428,2,FALSE)</f>
        <v>#N/A</v>
      </c>
      <c r="C143" s="5" t="e">
        <f>VLOOKUP($A143,tropes!$A$4:$O$2428,3,FALSE)</f>
        <v>#N/A</v>
      </c>
      <c r="D143" s="5" t="e">
        <f>VLOOKUP($A143,tropes!$A$4:$O$2428,4,FALSE)</f>
        <v>#N/A</v>
      </c>
      <c r="E143" s="5" t="e">
        <f>VLOOKUP($A143,tropes!$A$4:$O$2428,5,FALSE)</f>
        <v>#N/A</v>
      </c>
      <c r="F143" s="5" t="e">
        <f>VLOOKUP($A143,tropes!$A$4:$O$2428,6,FALSE)</f>
        <v>#N/A</v>
      </c>
      <c r="G143" s="5" t="e">
        <f>VLOOKUP($A143,tropes!$A$4:$O$2428,7,FALSE)</f>
        <v>#N/A</v>
      </c>
      <c r="H143" s="5" t="e">
        <f>VLOOKUP($A143,tropes!$A$4:$O$2428,8,FALSE)</f>
        <v>#N/A</v>
      </c>
      <c r="I143" s="5" t="e">
        <f>VLOOKUP($A143,tropes!$A$4:$O$2428,9,FALSE)</f>
        <v>#N/A</v>
      </c>
      <c r="J143" s="5" t="e">
        <f>VLOOKUP($A143,tropes!$A$4:$O$2428,10,FALSE)</f>
        <v>#N/A</v>
      </c>
      <c r="K143" s="5" t="e">
        <f>VLOOKUP($A143,tropes!$A$4:$O$2428,11,FALSE)</f>
        <v>#N/A</v>
      </c>
      <c r="L143" s="5" t="e">
        <f>VLOOKUP($A143,tropes!$A$4:$O$2428,12,FALSE)</f>
        <v>#N/A</v>
      </c>
      <c r="M143" s="5" t="e">
        <f>VLOOKUP($A143,tropes!$A$4:$O$2428,13,FALSE)</f>
        <v>#N/A</v>
      </c>
      <c r="N143" s="5"/>
    </row>
    <row r="144" spans="1:14" x14ac:dyDescent="0.3">
      <c r="A144" s="14"/>
      <c r="B144" s="5" t="e">
        <f>VLOOKUP($A144,tropes!$A$4:$O$2428,2,FALSE)</f>
        <v>#N/A</v>
      </c>
      <c r="C144" s="5" t="e">
        <f>VLOOKUP($A144,tropes!$A$4:$O$2428,3,FALSE)</f>
        <v>#N/A</v>
      </c>
      <c r="D144" s="5" t="e">
        <f>VLOOKUP($A144,tropes!$A$4:$O$2428,4,FALSE)</f>
        <v>#N/A</v>
      </c>
      <c r="E144" s="5" t="e">
        <f>VLOOKUP($A144,tropes!$A$4:$O$2428,5,FALSE)</f>
        <v>#N/A</v>
      </c>
      <c r="F144" s="5" t="e">
        <f>VLOOKUP($A144,tropes!$A$4:$O$2428,6,FALSE)</f>
        <v>#N/A</v>
      </c>
      <c r="G144" s="5" t="e">
        <f>VLOOKUP($A144,tropes!$A$4:$O$2428,7,FALSE)</f>
        <v>#N/A</v>
      </c>
      <c r="H144" s="5" t="e">
        <f>VLOOKUP($A144,tropes!$A$4:$O$2428,8,FALSE)</f>
        <v>#N/A</v>
      </c>
      <c r="I144" s="5" t="e">
        <f>VLOOKUP($A144,tropes!$A$4:$O$2428,9,FALSE)</f>
        <v>#N/A</v>
      </c>
      <c r="J144" s="5" t="e">
        <f>VLOOKUP($A144,tropes!$A$4:$O$2428,10,FALSE)</f>
        <v>#N/A</v>
      </c>
      <c r="K144" s="5" t="e">
        <f>VLOOKUP($A144,tropes!$A$4:$O$2428,11,FALSE)</f>
        <v>#N/A</v>
      </c>
      <c r="L144" s="5" t="e">
        <f>VLOOKUP($A144,tropes!$A$4:$O$2428,12,FALSE)</f>
        <v>#N/A</v>
      </c>
      <c r="M144" s="5" t="e">
        <f>VLOOKUP($A144,tropes!$A$4:$O$2428,13,FALSE)</f>
        <v>#N/A</v>
      </c>
      <c r="N144" s="5"/>
    </row>
    <row r="145" spans="1:14" x14ac:dyDescent="0.3">
      <c r="A145" s="14"/>
      <c r="B145" s="5" t="e">
        <f>VLOOKUP($A145,tropes!$A$4:$O$2428,2,FALSE)</f>
        <v>#N/A</v>
      </c>
      <c r="C145" s="5" t="e">
        <f>VLOOKUP($A145,tropes!$A$4:$O$2428,3,FALSE)</f>
        <v>#N/A</v>
      </c>
      <c r="D145" s="5" t="e">
        <f>VLOOKUP($A145,tropes!$A$4:$O$2428,4,FALSE)</f>
        <v>#N/A</v>
      </c>
      <c r="E145" s="5" t="e">
        <f>VLOOKUP($A145,tropes!$A$4:$O$2428,5,FALSE)</f>
        <v>#N/A</v>
      </c>
      <c r="F145" s="5" t="e">
        <f>VLOOKUP($A145,tropes!$A$4:$O$2428,6,FALSE)</f>
        <v>#N/A</v>
      </c>
      <c r="G145" s="5" t="e">
        <f>VLOOKUP($A145,tropes!$A$4:$O$2428,7,FALSE)</f>
        <v>#N/A</v>
      </c>
      <c r="H145" s="5" t="e">
        <f>VLOOKUP($A145,tropes!$A$4:$O$2428,8,FALSE)</f>
        <v>#N/A</v>
      </c>
      <c r="I145" s="5" t="e">
        <f>VLOOKUP($A145,tropes!$A$4:$O$2428,9,FALSE)</f>
        <v>#N/A</v>
      </c>
      <c r="J145" s="5" t="e">
        <f>VLOOKUP($A145,tropes!$A$4:$O$2428,10,FALSE)</f>
        <v>#N/A</v>
      </c>
      <c r="K145" s="5" t="e">
        <f>VLOOKUP($A145,tropes!$A$4:$O$2428,11,FALSE)</f>
        <v>#N/A</v>
      </c>
      <c r="L145" s="5" t="e">
        <f>VLOOKUP($A145,tropes!$A$4:$O$2428,12,FALSE)</f>
        <v>#N/A</v>
      </c>
      <c r="M145" s="5" t="e">
        <f>VLOOKUP($A145,tropes!$A$4:$O$2428,13,FALSE)</f>
        <v>#N/A</v>
      </c>
      <c r="N145" s="5"/>
    </row>
    <row r="146" spans="1:14" x14ac:dyDescent="0.3">
      <c r="A146" s="14"/>
      <c r="B146" s="5" t="e">
        <f>VLOOKUP($A146,tropes!$A$4:$O$2428,2,FALSE)</f>
        <v>#N/A</v>
      </c>
      <c r="C146" s="5" t="e">
        <f>VLOOKUP($A146,tropes!$A$4:$O$2428,3,FALSE)</f>
        <v>#N/A</v>
      </c>
      <c r="D146" s="5" t="e">
        <f>VLOOKUP($A146,tropes!$A$4:$O$2428,4,FALSE)</f>
        <v>#N/A</v>
      </c>
      <c r="E146" s="5" t="e">
        <f>VLOOKUP($A146,tropes!$A$4:$O$2428,5,FALSE)</f>
        <v>#N/A</v>
      </c>
      <c r="F146" s="5" t="e">
        <f>VLOOKUP($A146,tropes!$A$4:$O$2428,6,FALSE)</f>
        <v>#N/A</v>
      </c>
      <c r="G146" s="5" t="e">
        <f>VLOOKUP($A146,tropes!$A$4:$O$2428,7,FALSE)</f>
        <v>#N/A</v>
      </c>
      <c r="H146" s="5" t="e">
        <f>VLOOKUP($A146,tropes!$A$4:$O$2428,8,FALSE)</f>
        <v>#N/A</v>
      </c>
      <c r="I146" s="5" t="e">
        <f>VLOOKUP($A146,tropes!$A$4:$O$2428,9,FALSE)</f>
        <v>#N/A</v>
      </c>
      <c r="J146" s="5" t="e">
        <f>VLOOKUP($A146,tropes!$A$4:$O$2428,10,FALSE)</f>
        <v>#N/A</v>
      </c>
      <c r="K146" s="5" t="e">
        <f>VLOOKUP($A146,tropes!$A$4:$O$2428,11,FALSE)</f>
        <v>#N/A</v>
      </c>
      <c r="L146" s="5" t="e">
        <f>VLOOKUP($A146,tropes!$A$4:$O$2428,12,FALSE)</f>
        <v>#N/A</v>
      </c>
      <c r="M146" s="5" t="e">
        <f>VLOOKUP($A146,tropes!$A$4:$O$2428,13,FALSE)</f>
        <v>#N/A</v>
      </c>
      <c r="N146" s="5"/>
    </row>
    <row r="147" spans="1:14" x14ac:dyDescent="0.3">
      <c r="A147" s="14"/>
      <c r="B147" s="5" t="e">
        <f>VLOOKUP($A147,tropes!$A$4:$O$2428,2,FALSE)</f>
        <v>#N/A</v>
      </c>
      <c r="C147" s="5" t="e">
        <f>VLOOKUP($A147,tropes!$A$4:$O$2428,3,FALSE)</f>
        <v>#N/A</v>
      </c>
      <c r="D147" s="5" t="e">
        <f>VLOOKUP($A147,tropes!$A$4:$O$2428,4,FALSE)</f>
        <v>#N/A</v>
      </c>
      <c r="E147" s="5" t="e">
        <f>VLOOKUP($A147,tropes!$A$4:$O$2428,5,FALSE)</f>
        <v>#N/A</v>
      </c>
      <c r="F147" s="5" t="e">
        <f>VLOOKUP($A147,tropes!$A$4:$O$2428,6,FALSE)</f>
        <v>#N/A</v>
      </c>
      <c r="G147" s="5" t="e">
        <f>VLOOKUP($A147,tropes!$A$4:$O$2428,7,FALSE)</f>
        <v>#N/A</v>
      </c>
      <c r="H147" s="5" t="e">
        <f>VLOOKUP($A147,tropes!$A$4:$O$2428,8,FALSE)</f>
        <v>#N/A</v>
      </c>
      <c r="I147" s="5" t="e">
        <f>VLOOKUP($A147,tropes!$A$4:$O$2428,9,FALSE)</f>
        <v>#N/A</v>
      </c>
      <c r="J147" s="5" t="e">
        <f>VLOOKUP($A147,tropes!$A$4:$O$2428,10,FALSE)</f>
        <v>#N/A</v>
      </c>
      <c r="K147" s="5" t="e">
        <f>VLOOKUP($A147,tropes!$A$4:$O$2428,11,FALSE)</f>
        <v>#N/A</v>
      </c>
      <c r="L147" s="5" t="e">
        <f>VLOOKUP($A147,tropes!$A$4:$O$2428,12,FALSE)</f>
        <v>#N/A</v>
      </c>
      <c r="M147" s="5" t="e">
        <f>VLOOKUP($A147,tropes!$A$4:$O$2428,13,FALSE)</f>
        <v>#N/A</v>
      </c>
      <c r="N147" s="5"/>
    </row>
    <row r="148" spans="1:14" x14ac:dyDescent="0.3">
      <c r="A148" s="14"/>
      <c r="B148" s="5" t="e">
        <f>VLOOKUP($A148,tropes!$A$4:$O$2428,2,FALSE)</f>
        <v>#N/A</v>
      </c>
      <c r="C148" s="5" t="e">
        <f>VLOOKUP($A148,tropes!$A$4:$O$2428,3,FALSE)</f>
        <v>#N/A</v>
      </c>
      <c r="D148" s="5" t="e">
        <f>VLOOKUP($A148,tropes!$A$4:$O$2428,4,FALSE)</f>
        <v>#N/A</v>
      </c>
      <c r="E148" s="5" t="e">
        <f>VLOOKUP($A148,tropes!$A$4:$O$2428,5,FALSE)</f>
        <v>#N/A</v>
      </c>
      <c r="F148" s="5" t="e">
        <f>VLOOKUP($A148,tropes!$A$4:$O$2428,6,FALSE)</f>
        <v>#N/A</v>
      </c>
      <c r="G148" s="5" t="e">
        <f>VLOOKUP($A148,tropes!$A$4:$O$2428,7,FALSE)</f>
        <v>#N/A</v>
      </c>
      <c r="H148" s="5" t="e">
        <f>VLOOKUP($A148,tropes!$A$4:$O$2428,8,FALSE)</f>
        <v>#N/A</v>
      </c>
      <c r="I148" s="5" t="e">
        <f>VLOOKUP($A148,tropes!$A$4:$O$2428,9,FALSE)</f>
        <v>#N/A</v>
      </c>
      <c r="J148" s="5" t="e">
        <f>VLOOKUP($A148,tropes!$A$4:$O$2428,10,FALSE)</f>
        <v>#N/A</v>
      </c>
      <c r="K148" s="5" t="e">
        <f>VLOOKUP($A148,tropes!$A$4:$O$2428,11,FALSE)</f>
        <v>#N/A</v>
      </c>
      <c r="L148" s="5" t="e">
        <f>VLOOKUP($A148,tropes!$A$4:$O$2428,12,FALSE)</f>
        <v>#N/A</v>
      </c>
      <c r="M148" s="5" t="e">
        <f>VLOOKUP($A148,tropes!$A$4:$O$2428,13,FALSE)</f>
        <v>#N/A</v>
      </c>
      <c r="N148" s="5"/>
    </row>
    <row r="149" spans="1:14" x14ac:dyDescent="0.3">
      <c r="A149" s="14"/>
      <c r="B149" s="5" t="e">
        <f>VLOOKUP($A149,tropes!$A$4:$O$2428,2,FALSE)</f>
        <v>#N/A</v>
      </c>
      <c r="C149" s="5" t="e">
        <f>VLOOKUP($A149,tropes!$A$4:$O$2428,3,FALSE)</f>
        <v>#N/A</v>
      </c>
      <c r="D149" s="5" t="e">
        <f>VLOOKUP($A149,tropes!$A$4:$O$2428,4,FALSE)</f>
        <v>#N/A</v>
      </c>
      <c r="E149" s="5" t="e">
        <f>VLOOKUP($A149,tropes!$A$4:$O$2428,5,FALSE)</f>
        <v>#N/A</v>
      </c>
      <c r="F149" s="5" t="e">
        <f>VLOOKUP($A149,tropes!$A$4:$O$2428,6,FALSE)</f>
        <v>#N/A</v>
      </c>
      <c r="G149" s="5" t="e">
        <f>VLOOKUP($A149,tropes!$A$4:$O$2428,7,FALSE)</f>
        <v>#N/A</v>
      </c>
      <c r="H149" s="5" t="e">
        <f>VLOOKUP($A149,tropes!$A$4:$O$2428,8,FALSE)</f>
        <v>#N/A</v>
      </c>
      <c r="I149" s="5" t="e">
        <f>VLOOKUP($A149,tropes!$A$4:$O$2428,9,FALSE)</f>
        <v>#N/A</v>
      </c>
      <c r="J149" s="5" t="e">
        <f>VLOOKUP($A149,tropes!$A$4:$O$2428,10,FALSE)</f>
        <v>#N/A</v>
      </c>
      <c r="K149" s="5" t="e">
        <f>VLOOKUP($A149,tropes!$A$4:$O$2428,11,FALSE)</f>
        <v>#N/A</v>
      </c>
      <c r="L149" s="5" t="e">
        <f>VLOOKUP($A149,tropes!$A$4:$O$2428,12,FALSE)</f>
        <v>#N/A</v>
      </c>
      <c r="M149" s="5" t="e">
        <f>VLOOKUP($A149,tropes!$A$4:$O$2428,13,FALSE)</f>
        <v>#N/A</v>
      </c>
      <c r="N149" s="5"/>
    </row>
    <row r="150" spans="1:14" x14ac:dyDescent="0.3">
      <c r="A150" s="14"/>
      <c r="B150" s="5" t="e">
        <f>VLOOKUP($A150,tropes!$A$4:$O$2428,2,FALSE)</f>
        <v>#N/A</v>
      </c>
      <c r="C150" s="5" t="e">
        <f>VLOOKUP($A150,tropes!$A$4:$O$2428,3,FALSE)</f>
        <v>#N/A</v>
      </c>
      <c r="D150" s="5" t="e">
        <f>VLOOKUP($A150,tropes!$A$4:$O$2428,4,FALSE)</f>
        <v>#N/A</v>
      </c>
      <c r="E150" s="5" t="e">
        <f>VLOOKUP($A150,tropes!$A$4:$O$2428,5,FALSE)</f>
        <v>#N/A</v>
      </c>
      <c r="F150" s="5" t="e">
        <f>VLOOKUP($A150,tropes!$A$4:$O$2428,6,FALSE)</f>
        <v>#N/A</v>
      </c>
      <c r="G150" s="5" t="e">
        <f>VLOOKUP($A150,tropes!$A$4:$O$2428,7,FALSE)</f>
        <v>#N/A</v>
      </c>
      <c r="H150" s="5" t="e">
        <f>VLOOKUP($A150,tropes!$A$4:$O$2428,8,FALSE)</f>
        <v>#N/A</v>
      </c>
      <c r="I150" s="5" t="e">
        <f>VLOOKUP($A150,tropes!$A$4:$O$2428,9,FALSE)</f>
        <v>#N/A</v>
      </c>
      <c r="J150" s="5" t="e">
        <f>VLOOKUP($A150,tropes!$A$4:$O$2428,10,FALSE)</f>
        <v>#N/A</v>
      </c>
      <c r="K150" s="5" t="e">
        <f>VLOOKUP($A150,tropes!$A$4:$O$2428,11,FALSE)</f>
        <v>#N/A</v>
      </c>
      <c r="L150" s="5" t="e">
        <f>VLOOKUP($A150,tropes!$A$4:$O$2428,12,FALSE)</f>
        <v>#N/A</v>
      </c>
      <c r="M150" s="5" t="e">
        <f>VLOOKUP($A150,tropes!$A$4:$O$2428,13,FALSE)</f>
        <v>#N/A</v>
      </c>
      <c r="N150" s="5"/>
    </row>
    <row r="151" spans="1:14" x14ac:dyDescent="0.3">
      <c r="A151" s="14"/>
      <c r="B151" s="5" t="e">
        <f>VLOOKUP($A151,tropes!$A$4:$O$2428,2,FALSE)</f>
        <v>#N/A</v>
      </c>
      <c r="C151" s="5" t="e">
        <f>VLOOKUP($A151,tropes!$A$4:$O$2428,3,FALSE)</f>
        <v>#N/A</v>
      </c>
      <c r="D151" s="5" t="e">
        <f>VLOOKUP($A151,tropes!$A$4:$O$2428,4,FALSE)</f>
        <v>#N/A</v>
      </c>
      <c r="E151" s="5" t="e">
        <f>VLOOKUP($A151,tropes!$A$4:$O$2428,5,FALSE)</f>
        <v>#N/A</v>
      </c>
      <c r="F151" s="5" t="e">
        <f>VLOOKUP($A151,tropes!$A$4:$O$2428,6,FALSE)</f>
        <v>#N/A</v>
      </c>
      <c r="G151" s="5" t="e">
        <f>VLOOKUP($A151,tropes!$A$4:$O$2428,7,FALSE)</f>
        <v>#N/A</v>
      </c>
      <c r="H151" s="5" t="e">
        <f>VLOOKUP($A151,tropes!$A$4:$O$2428,8,FALSE)</f>
        <v>#N/A</v>
      </c>
      <c r="I151" s="5" t="e">
        <f>VLOOKUP($A151,tropes!$A$4:$O$2428,9,FALSE)</f>
        <v>#N/A</v>
      </c>
      <c r="J151" s="5" t="e">
        <f>VLOOKUP($A151,tropes!$A$4:$O$2428,10,FALSE)</f>
        <v>#N/A</v>
      </c>
      <c r="K151" s="5" t="e">
        <f>VLOOKUP($A151,tropes!$A$4:$O$2428,11,FALSE)</f>
        <v>#N/A</v>
      </c>
      <c r="L151" s="5" t="e">
        <f>VLOOKUP($A151,tropes!$A$4:$O$2428,12,FALSE)</f>
        <v>#N/A</v>
      </c>
      <c r="M151" s="5" t="e">
        <f>VLOOKUP($A151,tropes!$A$4:$O$2428,13,FALSE)</f>
        <v>#N/A</v>
      </c>
      <c r="N151" s="5"/>
    </row>
    <row r="152" spans="1:14" x14ac:dyDescent="0.3">
      <c r="A152" s="14"/>
      <c r="B152" s="5" t="e">
        <f>VLOOKUP($A152,tropes!$A$4:$O$2428,2,FALSE)</f>
        <v>#N/A</v>
      </c>
      <c r="C152" s="5" t="e">
        <f>VLOOKUP($A152,tropes!$A$4:$O$2428,3,FALSE)</f>
        <v>#N/A</v>
      </c>
      <c r="D152" s="5" t="e">
        <f>VLOOKUP($A152,tropes!$A$4:$O$2428,4,FALSE)</f>
        <v>#N/A</v>
      </c>
      <c r="E152" s="5" t="e">
        <f>VLOOKUP($A152,tropes!$A$4:$O$2428,5,FALSE)</f>
        <v>#N/A</v>
      </c>
      <c r="F152" s="5" t="e">
        <f>VLOOKUP($A152,tropes!$A$4:$O$2428,6,FALSE)</f>
        <v>#N/A</v>
      </c>
      <c r="G152" s="5" t="e">
        <f>VLOOKUP($A152,tropes!$A$4:$O$2428,7,FALSE)</f>
        <v>#N/A</v>
      </c>
      <c r="H152" s="5" t="e">
        <f>VLOOKUP($A152,tropes!$A$4:$O$2428,8,FALSE)</f>
        <v>#N/A</v>
      </c>
      <c r="I152" s="5" t="e">
        <f>VLOOKUP($A152,tropes!$A$4:$O$2428,9,FALSE)</f>
        <v>#N/A</v>
      </c>
      <c r="J152" s="5" t="e">
        <f>VLOOKUP($A152,tropes!$A$4:$O$2428,10,FALSE)</f>
        <v>#N/A</v>
      </c>
      <c r="K152" s="5" t="e">
        <f>VLOOKUP($A152,tropes!$A$4:$O$2428,11,FALSE)</f>
        <v>#N/A</v>
      </c>
      <c r="L152" s="5" t="e">
        <f>VLOOKUP($A152,tropes!$A$4:$O$2428,12,FALSE)</f>
        <v>#N/A</v>
      </c>
      <c r="M152" s="5" t="e">
        <f>VLOOKUP($A152,tropes!$A$4:$O$2428,13,FALSE)</f>
        <v>#N/A</v>
      </c>
      <c r="N152" s="5"/>
    </row>
    <row r="153" spans="1:14" x14ac:dyDescent="0.3">
      <c r="A153" s="14"/>
      <c r="B153" s="5" t="e">
        <f>VLOOKUP($A153,tropes!$A$4:$O$2428,2,FALSE)</f>
        <v>#N/A</v>
      </c>
      <c r="C153" s="5" t="e">
        <f>VLOOKUP($A153,tropes!$A$4:$O$2428,3,FALSE)</f>
        <v>#N/A</v>
      </c>
      <c r="D153" s="5" t="e">
        <f>VLOOKUP($A153,tropes!$A$4:$O$2428,4,FALSE)</f>
        <v>#N/A</v>
      </c>
      <c r="E153" s="5" t="e">
        <f>VLOOKUP($A153,tropes!$A$4:$O$2428,5,FALSE)</f>
        <v>#N/A</v>
      </c>
      <c r="F153" s="5" t="e">
        <f>VLOOKUP($A153,tropes!$A$4:$O$2428,6,FALSE)</f>
        <v>#N/A</v>
      </c>
      <c r="G153" s="5" t="e">
        <f>VLOOKUP($A153,tropes!$A$4:$O$2428,7,FALSE)</f>
        <v>#N/A</v>
      </c>
      <c r="H153" s="5" t="e">
        <f>VLOOKUP($A153,tropes!$A$4:$O$2428,8,FALSE)</f>
        <v>#N/A</v>
      </c>
      <c r="I153" s="5" t="e">
        <f>VLOOKUP($A153,tropes!$A$4:$O$2428,9,FALSE)</f>
        <v>#N/A</v>
      </c>
      <c r="J153" s="5" t="e">
        <f>VLOOKUP($A153,tropes!$A$4:$O$2428,10,FALSE)</f>
        <v>#N/A</v>
      </c>
      <c r="K153" s="5" t="e">
        <f>VLOOKUP($A153,tropes!$A$4:$O$2428,11,FALSE)</f>
        <v>#N/A</v>
      </c>
      <c r="L153" s="5" t="e">
        <f>VLOOKUP($A153,tropes!$A$4:$O$2428,12,FALSE)</f>
        <v>#N/A</v>
      </c>
      <c r="M153" s="5" t="e">
        <f>VLOOKUP($A153,tropes!$A$4:$O$2428,13,FALSE)</f>
        <v>#N/A</v>
      </c>
      <c r="N153" s="5"/>
    </row>
    <row r="154" spans="1:14" x14ac:dyDescent="0.3">
      <c r="A154" s="14"/>
      <c r="B154" s="5" t="e">
        <f>VLOOKUP($A154,tropes!$A$4:$O$2428,2,FALSE)</f>
        <v>#N/A</v>
      </c>
      <c r="C154" s="5" t="e">
        <f>VLOOKUP($A154,tropes!$A$4:$O$2428,3,FALSE)</f>
        <v>#N/A</v>
      </c>
      <c r="D154" s="5" t="e">
        <f>VLOOKUP($A154,tropes!$A$4:$O$2428,4,FALSE)</f>
        <v>#N/A</v>
      </c>
      <c r="E154" s="5" t="e">
        <f>VLOOKUP($A154,tropes!$A$4:$O$2428,5,FALSE)</f>
        <v>#N/A</v>
      </c>
      <c r="F154" s="5" t="e">
        <f>VLOOKUP($A154,tropes!$A$4:$O$2428,6,FALSE)</f>
        <v>#N/A</v>
      </c>
      <c r="G154" s="5" t="e">
        <f>VLOOKUP($A154,tropes!$A$4:$O$2428,7,FALSE)</f>
        <v>#N/A</v>
      </c>
      <c r="H154" s="5" t="e">
        <f>VLOOKUP($A154,tropes!$A$4:$O$2428,8,FALSE)</f>
        <v>#N/A</v>
      </c>
      <c r="I154" s="5" t="e">
        <f>VLOOKUP($A154,tropes!$A$4:$O$2428,9,FALSE)</f>
        <v>#N/A</v>
      </c>
      <c r="J154" s="5" t="e">
        <f>VLOOKUP($A154,tropes!$A$4:$O$2428,10,FALSE)</f>
        <v>#N/A</v>
      </c>
      <c r="K154" s="5" t="e">
        <f>VLOOKUP($A154,tropes!$A$4:$O$2428,11,FALSE)</f>
        <v>#N/A</v>
      </c>
      <c r="L154" s="5" t="e">
        <f>VLOOKUP($A154,tropes!$A$4:$O$2428,12,FALSE)</f>
        <v>#N/A</v>
      </c>
      <c r="M154" s="5" t="e">
        <f>VLOOKUP($A154,tropes!$A$4:$O$2428,13,FALSE)</f>
        <v>#N/A</v>
      </c>
      <c r="N154" s="5"/>
    </row>
    <row r="155" spans="1:14" x14ac:dyDescent="0.3">
      <c r="A155" s="14"/>
      <c r="B155" s="5" t="e">
        <f>VLOOKUP($A155,tropes!$A$4:$O$2428,2,FALSE)</f>
        <v>#N/A</v>
      </c>
      <c r="C155" s="5" t="e">
        <f>VLOOKUP($A155,tropes!$A$4:$O$2428,3,FALSE)</f>
        <v>#N/A</v>
      </c>
      <c r="D155" s="5" t="e">
        <f>VLOOKUP($A155,tropes!$A$4:$O$2428,4,FALSE)</f>
        <v>#N/A</v>
      </c>
      <c r="E155" s="5" t="e">
        <f>VLOOKUP($A155,tropes!$A$4:$O$2428,5,FALSE)</f>
        <v>#N/A</v>
      </c>
      <c r="F155" s="5" t="e">
        <f>VLOOKUP($A155,tropes!$A$4:$O$2428,6,FALSE)</f>
        <v>#N/A</v>
      </c>
      <c r="G155" s="5" t="e">
        <f>VLOOKUP($A155,tropes!$A$4:$O$2428,7,FALSE)</f>
        <v>#N/A</v>
      </c>
      <c r="H155" s="5" t="e">
        <f>VLOOKUP($A155,tropes!$A$4:$O$2428,8,FALSE)</f>
        <v>#N/A</v>
      </c>
      <c r="I155" s="5" t="e">
        <f>VLOOKUP($A155,tropes!$A$4:$O$2428,9,FALSE)</f>
        <v>#N/A</v>
      </c>
      <c r="J155" s="5" t="e">
        <f>VLOOKUP($A155,tropes!$A$4:$O$2428,10,FALSE)</f>
        <v>#N/A</v>
      </c>
      <c r="K155" s="5" t="e">
        <f>VLOOKUP($A155,tropes!$A$4:$O$2428,11,FALSE)</f>
        <v>#N/A</v>
      </c>
      <c r="L155" s="5" t="e">
        <f>VLOOKUP($A155,tropes!$A$4:$O$2428,12,FALSE)</f>
        <v>#N/A</v>
      </c>
      <c r="M155" s="5" t="e">
        <f>VLOOKUP($A155,tropes!$A$4:$O$2428,13,FALSE)</f>
        <v>#N/A</v>
      </c>
      <c r="N155" s="5"/>
    </row>
    <row r="156" spans="1:14" x14ac:dyDescent="0.3">
      <c r="A156" s="14"/>
      <c r="B156" s="5" t="e">
        <f>VLOOKUP($A156,tropes!$A$4:$O$2428,2,FALSE)</f>
        <v>#N/A</v>
      </c>
      <c r="C156" s="5" t="e">
        <f>VLOOKUP($A156,tropes!$A$4:$O$2428,3,FALSE)</f>
        <v>#N/A</v>
      </c>
      <c r="D156" s="5" t="e">
        <f>VLOOKUP($A156,tropes!$A$4:$O$2428,4,FALSE)</f>
        <v>#N/A</v>
      </c>
      <c r="E156" s="5" t="e">
        <f>VLOOKUP($A156,tropes!$A$4:$O$2428,5,FALSE)</f>
        <v>#N/A</v>
      </c>
      <c r="F156" s="5" t="e">
        <f>VLOOKUP($A156,tropes!$A$4:$O$2428,6,FALSE)</f>
        <v>#N/A</v>
      </c>
      <c r="G156" s="5" t="e">
        <f>VLOOKUP($A156,tropes!$A$4:$O$2428,7,FALSE)</f>
        <v>#N/A</v>
      </c>
      <c r="H156" s="5" t="e">
        <f>VLOOKUP($A156,tropes!$A$4:$O$2428,8,FALSE)</f>
        <v>#N/A</v>
      </c>
      <c r="I156" s="5" t="e">
        <f>VLOOKUP($A156,tropes!$A$4:$O$2428,9,FALSE)</f>
        <v>#N/A</v>
      </c>
      <c r="J156" s="5" t="e">
        <f>VLOOKUP($A156,tropes!$A$4:$O$2428,10,FALSE)</f>
        <v>#N/A</v>
      </c>
      <c r="K156" s="5" t="e">
        <f>VLOOKUP($A156,tropes!$A$4:$O$2428,11,FALSE)</f>
        <v>#N/A</v>
      </c>
      <c r="L156" s="5" t="e">
        <f>VLOOKUP($A156,tropes!$A$4:$O$2428,12,FALSE)</f>
        <v>#N/A</v>
      </c>
      <c r="M156" s="5" t="e">
        <f>VLOOKUP($A156,tropes!$A$4:$O$2428,13,FALSE)</f>
        <v>#N/A</v>
      </c>
      <c r="N156" s="5"/>
    </row>
    <row r="157" spans="1:14" x14ac:dyDescent="0.3">
      <c r="A157" s="14"/>
      <c r="B157" s="5" t="e">
        <f>VLOOKUP($A157,tropes!$A$4:$O$2428,2,FALSE)</f>
        <v>#N/A</v>
      </c>
      <c r="C157" s="5" t="e">
        <f>VLOOKUP($A157,tropes!$A$4:$O$2428,3,FALSE)</f>
        <v>#N/A</v>
      </c>
      <c r="D157" s="5" t="e">
        <f>VLOOKUP($A157,tropes!$A$4:$O$2428,4,FALSE)</f>
        <v>#N/A</v>
      </c>
      <c r="E157" s="5" t="e">
        <f>VLOOKUP($A157,tropes!$A$4:$O$2428,5,FALSE)</f>
        <v>#N/A</v>
      </c>
      <c r="F157" s="5" t="e">
        <f>VLOOKUP($A157,tropes!$A$4:$O$2428,6,FALSE)</f>
        <v>#N/A</v>
      </c>
      <c r="G157" s="5" t="e">
        <f>VLOOKUP($A157,tropes!$A$4:$O$2428,7,FALSE)</f>
        <v>#N/A</v>
      </c>
      <c r="H157" s="5" t="e">
        <f>VLOOKUP($A157,tropes!$A$4:$O$2428,8,FALSE)</f>
        <v>#N/A</v>
      </c>
      <c r="I157" s="5" t="e">
        <f>VLOOKUP($A157,tropes!$A$4:$O$2428,9,FALSE)</f>
        <v>#N/A</v>
      </c>
      <c r="J157" s="5" t="e">
        <f>VLOOKUP($A157,tropes!$A$4:$O$2428,10,FALSE)</f>
        <v>#N/A</v>
      </c>
      <c r="K157" s="5" t="e">
        <f>VLOOKUP($A157,tropes!$A$4:$O$2428,11,FALSE)</f>
        <v>#N/A</v>
      </c>
      <c r="L157" s="5" t="e">
        <f>VLOOKUP($A157,tropes!$A$4:$O$2428,12,FALSE)</f>
        <v>#N/A</v>
      </c>
      <c r="M157" s="5" t="e">
        <f>VLOOKUP($A157,tropes!$A$4:$O$2428,13,FALSE)</f>
        <v>#N/A</v>
      </c>
      <c r="N157" s="5"/>
    </row>
    <row r="158" spans="1:14" x14ac:dyDescent="0.3">
      <c r="A158" s="14"/>
      <c r="B158" s="5" t="e">
        <f>VLOOKUP($A158,tropes!$A$4:$O$2428,2,FALSE)</f>
        <v>#N/A</v>
      </c>
      <c r="C158" s="5" t="e">
        <f>VLOOKUP($A158,tropes!$A$4:$O$2428,3,FALSE)</f>
        <v>#N/A</v>
      </c>
      <c r="D158" s="5" t="e">
        <f>VLOOKUP($A158,tropes!$A$4:$O$2428,4,FALSE)</f>
        <v>#N/A</v>
      </c>
      <c r="E158" s="5" t="e">
        <f>VLOOKUP($A158,tropes!$A$4:$O$2428,5,FALSE)</f>
        <v>#N/A</v>
      </c>
      <c r="F158" s="5" t="e">
        <f>VLOOKUP($A158,tropes!$A$4:$O$2428,6,FALSE)</f>
        <v>#N/A</v>
      </c>
      <c r="G158" s="5" t="e">
        <f>VLOOKUP($A158,tropes!$A$4:$O$2428,7,FALSE)</f>
        <v>#N/A</v>
      </c>
      <c r="H158" s="5" t="e">
        <f>VLOOKUP($A158,tropes!$A$4:$O$2428,8,FALSE)</f>
        <v>#N/A</v>
      </c>
      <c r="I158" s="5" t="e">
        <f>VLOOKUP($A158,tropes!$A$4:$O$2428,9,FALSE)</f>
        <v>#N/A</v>
      </c>
      <c r="J158" s="5" t="e">
        <f>VLOOKUP($A158,tropes!$A$4:$O$2428,10,FALSE)</f>
        <v>#N/A</v>
      </c>
      <c r="K158" s="5" t="e">
        <f>VLOOKUP($A158,tropes!$A$4:$O$2428,11,FALSE)</f>
        <v>#N/A</v>
      </c>
      <c r="L158" s="5" t="e">
        <f>VLOOKUP($A158,tropes!$A$4:$O$2428,12,FALSE)</f>
        <v>#N/A</v>
      </c>
      <c r="M158" s="5" t="e">
        <f>VLOOKUP($A158,tropes!$A$4:$O$2428,13,FALSE)</f>
        <v>#N/A</v>
      </c>
      <c r="N158" s="5"/>
    </row>
    <row r="159" spans="1:14" x14ac:dyDescent="0.3">
      <c r="A159" s="14"/>
      <c r="B159" s="5" t="e">
        <f>VLOOKUP($A159,tropes!$A$4:$O$2428,2,FALSE)</f>
        <v>#N/A</v>
      </c>
      <c r="C159" s="5" t="e">
        <f>VLOOKUP($A159,tropes!$A$4:$O$2428,3,FALSE)</f>
        <v>#N/A</v>
      </c>
      <c r="D159" s="5" t="e">
        <f>VLOOKUP($A159,tropes!$A$4:$O$2428,4,FALSE)</f>
        <v>#N/A</v>
      </c>
      <c r="E159" s="5" t="e">
        <f>VLOOKUP($A159,tropes!$A$4:$O$2428,5,FALSE)</f>
        <v>#N/A</v>
      </c>
      <c r="F159" s="5" t="e">
        <f>VLOOKUP($A159,tropes!$A$4:$O$2428,6,FALSE)</f>
        <v>#N/A</v>
      </c>
      <c r="G159" s="5" t="e">
        <f>VLOOKUP($A159,tropes!$A$4:$O$2428,7,FALSE)</f>
        <v>#N/A</v>
      </c>
      <c r="H159" s="5" t="e">
        <f>VLOOKUP($A159,tropes!$A$4:$O$2428,8,FALSE)</f>
        <v>#N/A</v>
      </c>
      <c r="I159" s="5" t="e">
        <f>VLOOKUP($A159,tropes!$A$4:$O$2428,9,FALSE)</f>
        <v>#N/A</v>
      </c>
      <c r="J159" s="5" t="e">
        <f>VLOOKUP($A159,tropes!$A$4:$O$2428,10,FALSE)</f>
        <v>#N/A</v>
      </c>
      <c r="K159" s="5" t="e">
        <f>VLOOKUP($A159,tropes!$A$4:$O$2428,11,FALSE)</f>
        <v>#N/A</v>
      </c>
      <c r="L159" s="5" t="e">
        <f>VLOOKUP($A159,tropes!$A$4:$O$2428,12,FALSE)</f>
        <v>#N/A</v>
      </c>
      <c r="M159" s="5" t="e">
        <f>VLOOKUP($A159,tropes!$A$4:$O$2428,13,FALSE)</f>
        <v>#N/A</v>
      </c>
      <c r="N159" s="5"/>
    </row>
    <row r="160" spans="1:14" x14ac:dyDescent="0.3">
      <c r="A160" s="14"/>
      <c r="B160" s="5" t="e">
        <f>VLOOKUP($A160,tropes!$A$4:$O$2428,2,FALSE)</f>
        <v>#N/A</v>
      </c>
      <c r="C160" s="5" t="e">
        <f>VLOOKUP($A160,tropes!$A$4:$O$2428,3,FALSE)</f>
        <v>#N/A</v>
      </c>
      <c r="D160" s="5" t="e">
        <f>VLOOKUP($A160,tropes!$A$4:$O$2428,4,FALSE)</f>
        <v>#N/A</v>
      </c>
      <c r="E160" s="5" t="e">
        <f>VLOOKUP($A160,tropes!$A$4:$O$2428,5,FALSE)</f>
        <v>#N/A</v>
      </c>
      <c r="F160" s="5" t="e">
        <f>VLOOKUP($A160,tropes!$A$4:$O$2428,6,FALSE)</f>
        <v>#N/A</v>
      </c>
      <c r="G160" s="5" t="e">
        <f>VLOOKUP($A160,tropes!$A$4:$O$2428,7,FALSE)</f>
        <v>#N/A</v>
      </c>
      <c r="H160" s="5" t="e">
        <f>VLOOKUP($A160,tropes!$A$4:$O$2428,8,FALSE)</f>
        <v>#N/A</v>
      </c>
      <c r="I160" s="5" t="e">
        <f>VLOOKUP($A160,tropes!$A$4:$O$2428,9,FALSE)</f>
        <v>#N/A</v>
      </c>
      <c r="J160" s="5" t="e">
        <f>VLOOKUP($A160,tropes!$A$4:$O$2428,10,FALSE)</f>
        <v>#N/A</v>
      </c>
      <c r="K160" s="5" t="e">
        <f>VLOOKUP($A160,tropes!$A$4:$O$2428,11,FALSE)</f>
        <v>#N/A</v>
      </c>
      <c r="L160" s="5" t="e">
        <f>VLOOKUP($A160,tropes!$A$4:$O$2428,12,FALSE)</f>
        <v>#N/A</v>
      </c>
      <c r="M160" s="5" t="e">
        <f>VLOOKUP($A160,tropes!$A$4:$O$2428,13,FALSE)</f>
        <v>#N/A</v>
      </c>
      <c r="N160" s="5"/>
    </row>
    <row r="161" spans="1:14" x14ac:dyDescent="0.3">
      <c r="A161" s="14"/>
      <c r="B161" s="5" t="e">
        <f>VLOOKUP($A161,tropes!$A$4:$O$2428,2,FALSE)</f>
        <v>#N/A</v>
      </c>
      <c r="C161" s="5" t="e">
        <f>VLOOKUP($A161,tropes!$A$4:$O$2428,3,FALSE)</f>
        <v>#N/A</v>
      </c>
      <c r="D161" s="5" t="e">
        <f>VLOOKUP($A161,tropes!$A$4:$O$2428,4,FALSE)</f>
        <v>#N/A</v>
      </c>
      <c r="E161" s="5" t="e">
        <f>VLOOKUP($A161,tropes!$A$4:$O$2428,5,FALSE)</f>
        <v>#N/A</v>
      </c>
      <c r="F161" s="5" t="e">
        <f>VLOOKUP($A161,tropes!$A$4:$O$2428,6,FALSE)</f>
        <v>#N/A</v>
      </c>
      <c r="G161" s="5" t="e">
        <f>VLOOKUP($A161,tropes!$A$4:$O$2428,7,FALSE)</f>
        <v>#N/A</v>
      </c>
      <c r="H161" s="5" t="e">
        <f>VLOOKUP($A161,tropes!$A$4:$O$2428,8,FALSE)</f>
        <v>#N/A</v>
      </c>
      <c r="I161" s="5" t="e">
        <f>VLOOKUP($A161,tropes!$A$4:$O$2428,9,FALSE)</f>
        <v>#N/A</v>
      </c>
      <c r="J161" s="5" t="e">
        <f>VLOOKUP($A161,tropes!$A$4:$O$2428,10,FALSE)</f>
        <v>#N/A</v>
      </c>
      <c r="K161" s="5" t="e">
        <f>VLOOKUP($A161,tropes!$A$4:$O$2428,11,FALSE)</f>
        <v>#N/A</v>
      </c>
      <c r="L161" s="5" t="e">
        <f>VLOOKUP($A161,tropes!$A$4:$O$2428,12,FALSE)</f>
        <v>#N/A</v>
      </c>
      <c r="M161" s="5" t="e">
        <f>VLOOKUP($A161,tropes!$A$4:$O$2428,13,FALSE)</f>
        <v>#N/A</v>
      </c>
      <c r="N161" s="5"/>
    </row>
    <row r="162" spans="1:14" x14ac:dyDescent="0.3">
      <c r="A162" s="14"/>
      <c r="B162" s="5" t="e">
        <f>VLOOKUP($A162,tropes!$A$4:$O$2428,2,FALSE)</f>
        <v>#N/A</v>
      </c>
      <c r="C162" s="5" t="e">
        <f>VLOOKUP($A162,tropes!$A$4:$O$2428,3,FALSE)</f>
        <v>#N/A</v>
      </c>
      <c r="D162" s="5" t="e">
        <f>VLOOKUP($A162,tropes!$A$4:$O$2428,4,FALSE)</f>
        <v>#N/A</v>
      </c>
      <c r="E162" s="5" t="e">
        <f>VLOOKUP($A162,tropes!$A$4:$O$2428,5,FALSE)</f>
        <v>#N/A</v>
      </c>
      <c r="F162" s="5" t="e">
        <f>VLOOKUP($A162,tropes!$A$4:$O$2428,6,FALSE)</f>
        <v>#N/A</v>
      </c>
      <c r="G162" s="5" t="e">
        <f>VLOOKUP($A162,tropes!$A$4:$O$2428,7,FALSE)</f>
        <v>#N/A</v>
      </c>
      <c r="H162" s="5" t="e">
        <f>VLOOKUP($A162,tropes!$A$4:$O$2428,8,FALSE)</f>
        <v>#N/A</v>
      </c>
      <c r="I162" s="5" t="e">
        <f>VLOOKUP($A162,tropes!$A$4:$O$2428,9,FALSE)</f>
        <v>#N/A</v>
      </c>
      <c r="J162" s="5" t="e">
        <f>VLOOKUP($A162,tropes!$A$4:$O$2428,10,FALSE)</f>
        <v>#N/A</v>
      </c>
      <c r="K162" s="5" t="e">
        <f>VLOOKUP($A162,tropes!$A$4:$O$2428,11,FALSE)</f>
        <v>#N/A</v>
      </c>
      <c r="L162" s="5" t="e">
        <f>VLOOKUP($A162,tropes!$A$4:$O$2428,12,FALSE)</f>
        <v>#N/A</v>
      </c>
      <c r="M162" s="5" t="e">
        <f>VLOOKUP($A162,tropes!$A$4:$O$2428,13,FALSE)</f>
        <v>#N/A</v>
      </c>
      <c r="N162" s="5"/>
    </row>
    <row r="163" spans="1:14" x14ac:dyDescent="0.3">
      <c r="A163" s="14"/>
      <c r="B163" s="5" t="e">
        <f>VLOOKUP($A163,tropes!$A$4:$O$2428,2,FALSE)</f>
        <v>#N/A</v>
      </c>
      <c r="C163" s="5" t="e">
        <f>VLOOKUP($A163,tropes!$A$4:$O$2428,3,FALSE)</f>
        <v>#N/A</v>
      </c>
      <c r="D163" s="5" t="e">
        <f>VLOOKUP($A163,tropes!$A$4:$O$2428,4,FALSE)</f>
        <v>#N/A</v>
      </c>
      <c r="E163" s="5" t="e">
        <f>VLOOKUP($A163,tropes!$A$4:$O$2428,5,FALSE)</f>
        <v>#N/A</v>
      </c>
      <c r="F163" s="5" t="e">
        <f>VLOOKUP($A163,tropes!$A$4:$O$2428,6,FALSE)</f>
        <v>#N/A</v>
      </c>
      <c r="G163" s="5" t="e">
        <f>VLOOKUP($A163,tropes!$A$4:$O$2428,7,FALSE)</f>
        <v>#N/A</v>
      </c>
      <c r="H163" s="5" t="e">
        <f>VLOOKUP($A163,tropes!$A$4:$O$2428,8,FALSE)</f>
        <v>#N/A</v>
      </c>
      <c r="I163" s="5" t="e">
        <f>VLOOKUP($A163,tropes!$A$4:$O$2428,9,FALSE)</f>
        <v>#N/A</v>
      </c>
      <c r="J163" s="5" t="e">
        <f>VLOOKUP($A163,tropes!$A$4:$O$2428,10,FALSE)</f>
        <v>#N/A</v>
      </c>
      <c r="K163" s="5" t="e">
        <f>VLOOKUP($A163,tropes!$A$4:$O$2428,11,FALSE)</f>
        <v>#N/A</v>
      </c>
      <c r="L163" s="5" t="e">
        <f>VLOOKUP($A163,tropes!$A$4:$O$2428,12,FALSE)</f>
        <v>#N/A</v>
      </c>
      <c r="M163" s="5" t="e">
        <f>VLOOKUP($A163,tropes!$A$4:$O$2428,13,FALSE)</f>
        <v>#N/A</v>
      </c>
      <c r="N163" s="5"/>
    </row>
    <row r="164" spans="1:14" x14ac:dyDescent="0.3">
      <c r="A164" s="14"/>
      <c r="B164" s="5" t="e">
        <f>VLOOKUP($A164,tropes!$A$4:$O$2428,2,FALSE)</f>
        <v>#N/A</v>
      </c>
      <c r="C164" s="5" t="e">
        <f>VLOOKUP($A164,tropes!$A$4:$O$2428,3,FALSE)</f>
        <v>#N/A</v>
      </c>
      <c r="D164" s="5" t="e">
        <f>VLOOKUP($A164,tropes!$A$4:$O$2428,4,FALSE)</f>
        <v>#N/A</v>
      </c>
      <c r="E164" s="5" t="e">
        <f>VLOOKUP($A164,tropes!$A$4:$O$2428,5,FALSE)</f>
        <v>#N/A</v>
      </c>
      <c r="F164" s="5" t="e">
        <f>VLOOKUP($A164,tropes!$A$4:$O$2428,6,FALSE)</f>
        <v>#N/A</v>
      </c>
      <c r="G164" s="5" t="e">
        <f>VLOOKUP($A164,tropes!$A$4:$O$2428,7,FALSE)</f>
        <v>#N/A</v>
      </c>
      <c r="H164" s="5" t="e">
        <f>VLOOKUP($A164,tropes!$A$4:$O$2428,8,FALSE)</f>
        <v>#N/A</v>
      </c>
      <c r="I164" s="5" t="e">
        <f>VLOOKUP($A164,tropes!$A$4:$O$2428,9,FALSE)</f>
        <v>#N/A</v>
      </c>
      <c r="J164" s="5" t="e">
        <f>VLOOKUP($A164,tropes!$A$4:$O$2428,10,FALSE)</f>
        <v>#N/A</v>
      </c>
      <c r="K164" s="5" t="e">
        <f>VLOOKUP($A164,tropes!$A$4:$O$2428,11,FALSE)</f>
        <v>#N/A</v>
      </c>
      <c r="L164" s="5" t="e">
        <f>VLOOKUP($A164,tropes!$A$4:$O$2428,12,FALSE)</f>
        <v>#N/A</v>
      </c>
      <c r="M164" s="5" t="e">
        <f>VLOOKUP($A164,tropes!$A$4:$O$2428,13,FALSE)</f>
        <v>#N/A</v>
      </c>
      <c r="N164" s="5"/>
    </row>
    <row r="165" spans="1:14" x14ac:dyDescent="0.3">
      <c r="A165" s="14"/>
      <c r="B165" s="5" t="e">
        <f>VLOOKUP($A165,tropes!$A$4:$O$2428,2,FALSE)</f>
        <v>#N/A</v>
      </c>
      <c r="C165" s="5" t="e">
        <f>VLOOKUP($A165,tropes!$A$4:$O$2428,3,FALSE)</f>
        <v>#N/A</v>
      </c>
      <c r="D165" s="5" t="e">
        <f>VLOOKUP($A165,tropes!$A$4:$O$2428,4,FALSE)</f>
        <v>#N/A</v>
      </c>
      <c r="E165" s="5" t="e">
        <f>VLOOKUP($A165,tropes!$A$4:$O$2428,5,FALSE)</f>
        <v>#N/A</v>
      </c>
      <c r="F165" s="5" t="e">
        <f>VLOOKUP($A165,tropes!$A$4:$O$2428,6,FALSE)</f>
        <v>#N/A</v>
      </c>
      <c r="G165" s="5" t="e">
        <f>VLOOKUP($A165,tropes!$A$4:$O$2428,7,FALSE)</f>
        <v>#N/A</v>
      </c>
      <c r="H165" s="5" t="e">
        <f>VLOOKUP($A165,tropes!$A$4:$O$2428,8,FALSE)</f>
        <v>#N/A</v>
      </c>
      <c r="I165" s="5" t="e">
        <f>VLOOKUP($A165,tropes!$A$4:$O$2428,9,FALSE)</f>
        <v>#N/A</v>
      </c>
      <c r="J165" s="5" t="e">
        <f>VLOOKUP($A165,tropes!$A$4:$O$2428,10,FALSE)</f>
        <v>#N/A</v>
      </c>
      <c r="K165" s="5" t="e">
        <f>VLOOKUP($A165,tropes!$A$4:$O$2428,11,FALSE)</f>
        <v>#N/A</v>
      </c>
      <c r="L165" s="5" t="e">
        <f>VLOOKUP($A165,tropes!$A$4:$O$2428,12,FALSE)</f>
        <v>#N/A</v>
      </c>
      <c r="M165" s="5" t="e">
        <f>VLOOKUP($A165,tropes!$A$4:$O$2428,13,FALSE)</f>
        <v>#N/A</v>
      </c>
      <c r="N165" s="5"/>
    </row>
    <row r="166" spans="1:14" x14ac:dyDescent="0.3">
      <c r="A166" s="14"/>
      <c r="B166" s="5" t="e">
        <f>VLOOKUP($A166,tropes!$A$4:$O$2428,2,FALSE)</f>
        <v>#N/A</v>
      </c>
      <c r="C166" s="5" t="e">
        <f>VLOOKUP($A166,tropes!$A$4:$O$2428,3,FALSE)</f>
        <v>#N/A</v>
      </c>
      <c r="D166" s="5" t="e">
        <f>VLOOKUP($A166,tropes!$A$4:$O$2428,4,FALSE)</f>
        <v>#N/A</v>
      </c>
      <c r="E166" s="5" t="e">
        <f>VLOOKUP($A166,tropes!$A$4:$O$2428,5,FALSE)</f>
        <v>#N/A</v>
      </c>
      <c r="F166" s="5" t="e">
        <f>VLOOKUP($A166,tropes!$A$4:$O$2428,6,FALSE)</f>
        <v>#N/A</v>
      </c>
      <c r="G166" s="5" t="e">
        <f>VLOOKUP($A166,tropes!$A$4:$O$2428,7,FALSE)</f>
        <v>#N/A</v>
      </c>
      <c r="H166" s="5" t="e">
        <f>VLOOKUP($A166,tropes!$A$4:$O$2428,8,FALSE)</f>
        <v>#N/A</v>
      </c>
      <c r="I166" s="5" t="e">
        <f>VLOOKUP($A166,tropes!$A$4:$O$2428,9,FALSE)</f>
        <v>#N/A</v>
      </c>
      <c r="J166" s="5" t="e">
        <f>VLOOKUP($A166,tropes!$A$4:$O$2428,10,FALSE)</f>
        <v>#N/A</v>
      </c>
      <c r="K166" s="5" t="e">
        <f>VLOOKUP($A166,tropes!$A$4:$O$2428,11,FALSE)</f>
        <v>#N/A</v>
      </c>
      <c r="L166" s="5" t="e">
        <f>VLOOKUP($A166,tropes!$A$4:$O$2428,12,FALSE)</f>
        <v>#N/A</v>
      </c>
      <c r="M166" s="5" t="e">
        <f>VLOOKUP($A166,tropes!$A$4:$O$2428,13,FALSE)</f>
        <v>#N/A</v>
      </c>
      <c r="N166" s="5"/>
    </row>
    <row r="167" spans="1:14" x14ac:dyDescent="0.3">
      <c r="A167" s="14"/>
      <c r="B167" s="5" t="e">
        <f>VLOOKUP($A167,tropes!$A$4:$O$2428,2,FALSE)</f>
        <v>#N/A</v>
      </c>
      <c r="C167" s="5" t="e">
        <f>VLOOKUP($A167,tropes!$A$4:$O$2428,3,FALSE)</f>
        <v>#N/A</v>
      </c>
      <c r="D167" s="5" t="e">
        <f>VLOOKUP($A167,tropes!$A$4:$O$2428,4,FALSE)</f>
        <v>#N/A</v>
      </c>
      <c r="E167" s="5" t="e">
        <f>VLOOKUP($A167,tropes!$A$4:$O$2428,5,FALSE)</f>
        <v>#N/A</v>
      </c>
      <c r="F167" s="5" t="e">
        <f>VLOOKUP($A167,tropes!$A$4:$O$2428,6,FALSE)</f>
        <v>#N/A</v>
      </c>
      <c r="G167" s="5" t="e">
        <f>VLOOKUP($A167,tropes!$A$4:$O$2428,7,FALSE)</f>
        <v>#N/A</v>
      </c>
      <c r="H167" s="5" t="e">
        <f>VLOOKUP($A167,tropes!$A$4:$O$2428,8,FALSE)</f>
        <v>#N/A</v>
      </c>
      <c r="I167" s="5" t="e">
        <f>VLOOKUP($A167,tropes!$A$4:$O$2428,9,FALSE)</f>
        <v>#N/A</v>
      </c>
      <c r="J167" s="5" t="e">
        <f>VLOOKUP($A167,tropes!$A$4:$O$2428,10,FALSE)</f>
        <v>#N/A</v>
      </c>
      <c r="K167" s="5" t="e">
        <f>VLOOKUP($A167,tropes!$A$4:$O$2428,11,FALSE)</f>
        <v>#N/A</v>
      </c>
      <c r="L167" s="5" t="e">
        <f>VLOOKUP($A167,tropes!$A$4:$O$2428,12,FALSE)</f>
        <v>#N/A</v>
      </c>
      <c r="M167" s="5" t="e">
        <f>VLOOKUP($A167,tropes!$A$4:$O$2428,13,FALSE)</f>
        <v>#N/A</v>
      </c>
      <c r="N167" s="5"/>
    </row>
    <row r="168" spans="1:14" x14ac:dyDescent="0.3">
      <c r="A168" s="14"/>
      <c r="B168" s="5" t="e">
        <f>VLOOKUP($A168,tropes!$A$4:$O$2428,2,FALSE)</f>
        <v>#N/A</v>
      </c>
      <c r="C168" s="5" t="e">
        <f>VLOOKUP($A168,tropes!$A$4:$O$2428,3,FALSE)</f>
        <v>#N/A</v>
      </c>
      <c r="D168" s="5" t="e">
        <f>VLOOKUP($A168,tropes!$A$4:$O$2428,4,FALSE)</f>
        <v>#N/A</v>
      </c>
      <c r="E168" s="5" t="e">
        <f>VLOOKUP($A168,tropes!$A$4:$O$2428,5,FALSE)</f>
        <v>#N/A</v>
      </c>
      <c r="F168" s="5" t="e">
        <f>VLOOKUP($A168,tropes!$A$4:$O$2428,6,FALSE)</f>
        <v>#N/A</v>
      </c>
      <c r="G168" s="5" t="e">
        <f>VLOOKUP($A168,tropes!$A$4:$O$2428,7,FALSE)</f>
        <v>#N/A</v>
      </c>
      <c r="H168" s="5" t="e">
        <f>VLOOKUP($A168,tropes!$A$4:$O$2428,8,FALSE)</f>
        <v>#N/A</v>
      </c>
      <c r="I168" s="5" t="e">
        <f>VLOOKUP($A168,tropes!$A$4:$O$2428,9,FALSE)</f>
        <v>#N/A</v>
      </c>
      <c r="J168" s="5" t="e">
        <f>VLOOKUP($A168,tropes!$A$4:$O$2428,10,FALSE)</f>
        <v>#N/A</v>
      </c>
      <c r="K168" s="5" t="e">
        <f>VLOOKUP($A168,tropes!$A$4:$O$2428,11,FALSE)</f>
        <v>#N/A</v>
      </c>
      <c r="L168" s="5" t="e">
        <f>VLOOKUP($A168,tropes!$A$4:$O$2428,12,FALSE)</f>
        <v>#N/A</v>
      </c>
      <c r="M168" s="5" t="e">
        <f>VLOOKUP($A168,tropes!$A$4:$O$2428,13,FALSE)</f>
        <v>#N/A</v>
      </c>
      <c r="N168" s="5"/>
    </row>
    <row r="169" spans="1:14" x14ac:dyDescent="0.3">
      <c r="A169" s="14"/>
      <c r="B169" s="5" t="e">
        <f>VLOOKUP($A169,tropes!$A$4:$O$2428,2,FALSE)</f>
        <v>#N/A</v>
      </c>
      <c r="C169" s="5" t="e">
        <f>VLOOKUP($A169,tropes!$A$4:$O$2428,3,FALSE)</f>
        <v>#N/A</v>
      </c>
      <c r="D169" s="5" t="e">
        <f>VLOOKUP($A169,tropes!$A$4:$O$2428,4,FALSE)</f>
        <v>#N/A</v>
      </c>
      <c r="E169" s="5" t="e">
        <f>VLOOKUP($A169,tropes!$A$4:$O$2428,5,FALSE)</f>
        <v>#N/A</v>
      </c>
      <c r="F169" s="5" t="e">
        <f>VLOOKUP($A169,tropes!$A$4:$O$2428,6,FALSE)</f>
        <v>#N/A</v>
      </c>
      <c r="G169" s="5" t="e">
        <f>VLOOKUP($A169,tropes!$A$4:$O$2428,7,FALSE)</f>
        <v>#N/A</v>
      </c>
      <c r="H169" s="5" t="e">
        <f>VLOOKUP($A169,tropes!$A$4:$O$2428,8,FALSE)</f>
        <v>#N/A</v>
      </c>
      <c r="I169" s="5" t="e">
        <f>VLOOKUP($A169,tropes!$A$4:$O$2428,9,FALSE)</f>
        <v>#N/A</v>
      </c>
      <c r="J169" s="5" t="e">
        <f>VLOOKUP($A169,tropes!$A$4:$O$2428,10,FALSE)</f>
        <v>#N/A</v>
      </c>
      <c r="K169" s="5" t="e">
        <f>VLOOKUP($A169,tropes!$A$4:$O$2428,11,FALSE)</f>
        <v>#N/A</v>
      </c>
      <c r="L169" s="5" t="e">
        <f>VLOOKUP($A169,tropes!$A$4:$O$2428,12,FALSE)</f>
        <v>#N/A</v>
      </c>
      <c r="M169" s="5" t="e">
        <f>VLOOKUP($A169,tropes!$A$4:$O$2428,13,FALSE)</f>
        <v>#N/A</v>
      </c>
      <c r="N169" s="5"/>
    </row>
    <row r="170" spans="1:14" x14ac:dyDescent="0.3">
      <c r="A170" s="14"/>
      <c r="B170" s="5" t="e">
        <f>VLOOKUP($A170,tropes!$A$4:$O$2428,2,FALSE)</f>
        <v>#N/A</v>
      </c>
      <c r="C170" s="5" t="e">
        <f>VLOOKUP($A170,tropes!$A$4:$O$2428,3,FALSE)</f>
        <v>#N/A</v>
      </c>
      <c r="D170" s="5" t="e">
        <f>VLOOKUP($A170,tropes!$A$4:$O$2428,4,FALSE)</f>
        <v>#N/A</v>
      </c>
      <c r="E170" s="5" t="e">
        <f>VLOOKUP($A170,tropes!$A$4:$O$2428,5,FALSE)</f>
        <v>#N/A</v>
      </c>
      <c r="F170" s="5" t="e">
        <f>VLOOKUP($A170,tropes!$A$4:$O$2428,6,FALSE)</f>
        <v>#N/A</v>
      </c>
      <c r="G170" s="5" t="e">
        <f>VLOOKUP($A170,tropes!$A$4:$O$2428,7,FALSE)</f>
        <v>#N/A</v>
      </c>
      <c r="H170" s="5" t="e">
        <f>VLOOKUP($A170,tropes!$A$4:$O$2428,8,FALSE)</f>
        <v>#N/A</v>
      </c>
      <c r="I170" s="5" t="e">
        <f>VLOOKUP($A170,tropes!$A$4:$O$2428,9,FALSE)</f>
        <v>#N/A</v>
      </c>
      <c r="J170" s="5" t="e">
        <f>VLOOKUP($A170,tropes!$A$4:$O$2428,10,FALSE)</f>
        <v>#N/A</v>
      </c>
      <c r="K170" s="5" t="e">
        <f>VLOOKUP($A170,tropes!$A$4:$O$2428,11,FALSE)</f>
        <v>#N/A</v>
      </c>
      <c r="L170" s="5" t="e">
        <f>VLOOKUP($A170,tropes!$A$4:$O$2428,12,FALSE)</f>
        <v>#N/A</v>
      </c>
      <c r="M170" s="5" t="e">
        <f>VLOOKUP($A170,tropes!$A$4:$O$2428,13,FALSE)</f>
        <v>#N/A</v>
      </c>
      <c r="N170" s="5"/>
    </row>
    <row r="171" spans="1:14" x14ac:dyDescent="0.3">
      <c r="A171" s="14"/>
      <c r="B171" s="5" t="e">
        <f>VLOOKUP($A171,tropes!$A$4:$O$2428,2,FALSE)</f>
        <v>#N/A</v>
      </c>
      <c r="C171" s="5" t="e">
        <f>VLOOKUP($A171,tropes!$A$4:$O$2428,3,FALSE)</f>
        <v>#N/A</v>
      </c>
      <c r="D171" s="5" t="e">
        <f>VLOOKUP($A171,tropes!$A$4:$O$2428,4,FALSE)</f>
        <v>#N/A</v>
      </c>
      <c r="E171" s="5" t="e">
        <f>VLOOKUP($A171,tropes!$A$4:$O$2428,5,FALSE)</f>
        <v>#N/A</v>
      </c>
      <c r="F171" s="5" t="e">
        <f>VLOOKUP($A171,tropes!$A$4:$O$2428,6,FALSE)</f>
        <v>#N/A</v>
      </c>
      <c r="G171" s="5" t="e">
        <f>VLOOKUP($A171,tropes!$A$4:$O$2428,7,FALSE)</f>
        <v>#N/A</v>
      </c>
      <c r="H171" s="5" t="e">
        <f>VLOOKUP($A171,tropes!$A$4:$O$2428,8,FALSE)</f>
        <v>#N/A</v>
      </c>
      <c r="I171" s="5" t="e">
        <f>VLOOKUP($A171,tropes!$A$4:$O$2428,9,FALSE)</f>
        <v>#N/A</v>
      </c>
      <c r="J171" s="5" t="e">
        <f>VLOOKUP($A171,tropes!$A$4:$O$2428,10,FALSE)</f>
        <v>#N/A</v>
      </c>
      <c r="K171" s="5" t="e">
        <f>VLOOKUP($A171,tropes!$A$4:$O$2428,11,FALSE)</f>
        <v>#N/A</v>
      </c>
      <c r="L171" s="5" t="e">
        <f>VLOOKUP($A171,tropes!$A$4:$O$2428,12,FALSE)</f>
        <v>#N/A</v>
      </c>
      <c r="M171" s="5" t="e">
        <f>VLOOKUP($A171,tropes!$A$4:$O$2428,13,FALSE)</f>
        <v>#N/A</v>
      </c>
      <c r="N171" s="5"/>
    </row>
    <row r="172" spans="1:14" x14ac:dyDescent="0.3">
      <c r="A172" s="14"/>
      <c r="B172" s="5" t="e">
        <f>VLOOKUP($A172,tropes!$A$4:$O$2428,2,FALSE)</f>
        <v>#N/A</v>
      </c>
      <c r="C172" s="5" t="e">
        <f>VLOOKUP($A172,tropes!$A$4:$O$2428,3,FALSE)</f>
        <v>#N/A</v>
      </c>
      <c r="D172" s="5" t="e">
        <f>VLOOKUP($A172,tropes!$A$4:$O$2428,4,FALSE)</f>
        <v>#N/A</v>
      </c>
      <c r="E172" s="5" t="e">
        <f>VLOOKUP($A172,tropes!$A$4:$O$2428,5,FALSE)</f>
        <v>#N/A</v>
      </c>
      <c r="F172" s="5" t="e">
        <f>VLOOKUP($A172,tropes!$A$4:$O$2428,6,FALSE)</f>
        <v>#N/A</v>
      </c>
      <c r="G172" s="5" t="e">
        <f>VLOOKUP($A172,tropes!$A$4:$O$2428,7,FALSE)</f>
        <v>#N/A</v>
      </c>
      <c r="H172" s="5" t="e">
        <f>VLOOKUP($A172,tropes!$A$4:$O$2428,8,FALSE)</f>
        <v>#N/A</v>
      </c>
      <c r="I172" s="5" t="e">
        <f>VLOOKUP($A172,tropes!$A$4:$O$2428,9,FALSE)</f>
        <v>#N/A</v>
      </c>
      <c r="J172" s="5" t="e">
        <f>VLOOKUP($A172,tropes!$A$4:$O$2428,10,FALSE)</f>
        <v>#N/A</v>
      </c>
      <c r="K172" s="5" t="e">
        <f>VLOOKUP($A172,tropes!$A$4:$O$2428,11,FALSE)</f>
        <v>#N/A</v>
      </c>
      <c r="L172" s="5" t="e">
        <f>VLOOKUP($A172,tropes!$A$4:$O$2428,12,FALSE)</f>
        <v>#N/A</v>
      </c>
      <c r="M172" s="5" t="e">
        <f>VLOOKUP($A172,tropes!$A$4:$O$2428,13,FALSE)</f>
        <v>#N/A</v>
      </c>
      <c r="N172" s="5"/>
    </row>
    <row r="173" spans="1:14" x14ac:dyDescent="0.3">
      <c r="A173" s="14"/>
      <c r="B173" s="5" t="e">
        <f>VLOOKUP($A173,tropes!$A$4:$O$2428,2,FALSE)</f>
        <v>#N/A</v>
      </c>
      <c r="C173" s="5" t="e">
        <f>VLOOKUP($A173,tropes!$A$4:$O$2428,3,FALSE)</f>
        <v>#N/A</v>
      </c>
      <c r="D173" s="5" t="e">
        <f>VLOOKUP($A173,tropes!$A$4:$O$2428,4,FALSE)</f>
        <v>#N/A</v>
      </c>
      <c r="E173" s="5" t="e">
        <f>VLOOKUP($A173,tropes!$A$4:$O$2428,5,FALSE)</f>
        <v>#N/A</v>
      </c>
      <c r="F173" s="5" t="e">
        <f>VLOOKUP($A173,tropes!$A$4:$O$2428,6,FALSE)</f>
        <v>#N/A</v>
      </c>
      <c r="G173" s="5" t="e">
        <f>VLOOKUP($A173,tropes!$A$4:$O$2428,7,FALSE)</f>
        <v>#N/A</v>
      </c>
      <c r="H173" s="5" t="e">
        <f>VLOOKUP($A173,tropes!$A$4:$O$2428,8,FALSE)</f>
        <v>#N/A</v>
      </c>
      <c r="I173" s="5" t="e">
        <f>VLOOKUP($A173,tropes!$A$4:$O$2428,9,FALSE)</f>
        <v>#N/A</v>
      </c>
      <c r="J173" s="5" t="e">
        <f>VLOOKUP($A173,tropes!$A$4:$O$2428,10,FALSE)</f>
        <v>#N/A</v>
      </c>
      <c r="K173" s="5" t="e">
        <f>VLOOKUP($A173,tropes!$A$4:$O$2428,11,FALSE)</f>
        <v>#N/A</v>
      </c>
      <c r="L173" s="5" t="e">
        <f>VLOOKUP($A173,tropes!$A$4:$O$2428,12,FALSE)</f>
        <v>#N/A</v>
      </c>
      <c r="M173" s="5" t="e">
        <f>VLOOKUP($A173,tropes!$A$4:$O$2428,13,FALSE)</f>
        <v>#N/A</v>
      </c>
      <c r="N173" s="5"/>
    </row>
    <row r="174" spans="1:14" x14ac:dyDescent="0.3">
      <c r="A174" s="14"/>
      <c r="B174" s="5" t="e">
        <f>VLOOKUP($A174,tropes!$A$4:$O$2428,2,FALSE)</f>
        <v>#N/A</v>
      </c>
      <c r="C174" s="5" t="e">
        <f>VLOOKUP($A174,tropes!$A$4:$O$2428,3,FALSE)</f>
        <v>#N/A</v>
      </c>
      <c r="D174" s="5" t="e">
        <f>VLOOKUP($A174,tropes!$A$4:$O$2428,4,FALSE)</f>
        <v>#N/A</v>
      </c>
      <c r="E174" s="5" t="e">
        <f>VLOOKUP($A174,tropes!$A$4:$O$2428,5,FALSE)</f>
        <v>#N/A</v>
      </c>
      <c r="F174" s="5" t="e">
        <f>VLOOKUP($A174,tropes!$A$4:$O$2428,6,FALSE)</f>
        <v>#N/A</v>
      </c>
      <c r="G174" s="5" t="e">
        <f>VLOOKUP($A174,tropes!$A$4:$O$2428,7,FALSE)</f>
        <v>#N/A</v>
      </c>
      <c r="H174" s="5" t="e">
        <f>VLOOKUP($A174,tropes!$A$4:$O$2428,8,FALSE)</f>
        <v>#N/A</v>
      </c>
      <c r="I174" s="5" t="e">
        <f>VLOOKUP($A174,tropes!$A$4:$O$2428,9,FALSE)</f>
        <v>#N/A</v>
      </c>
      <c r="J174" s="5" t="e">
        <f>VLOOKUP($A174,tropes!$A$4:$O$2428,10,FALSE)</f>
        <v>#N/A</v>
      </c>
      <c r="K174" s="5" t="e">
        <f>VLOOKUP($A174,tropes!$A$4:$O$2428,11,FALSE)</f>
        <v>#N/A</v>
      </c>
      <c r="L174" s="5" t="e">
        <f>VLOOKUP($A174,tropes!$A$4:$O$2428,12,FALSE)</f>
        <v>#N/A</v>
      </c>
      <c r="M174" s="5" t="e">
        <f>VLOOKUP($A174,tropes!$A$4:$O$2428,13,FALSE)</f>
        <v>#N/A</v>
      </c>
      <c r="N174" s="5"/>
    </row>
    <row r="175" spans="1:14" x14ac:dyDescent="0.3">
      <c r="A175" s="14"/>
      <c r="B175" s="5" t="e">
        <f>VLOOKUP($A175,tropes!$A$4:$O$2428,2,FALSE)</f>
        <v>#N/A</v>
      </c>
      <c r="C175" s="5" t="e">
        <f>VLOOKUP($A175,tropes!$A$4:$O$2428,3,FALSE)</f>
        <v>#N/A</v>
      </c>
      <c r="D175" s="5" t="e">
        <f>VLOOKUP($A175,tropes!$A$4:$O$2428,4,FALSE)</f>
        <v>#N/A</v>
      </c>
      <c r="E175" s="5" t="e">
        <f>VLOOKUP($A175,tropes!$A$4:$O$2428,5,FALSE)</f>
        <v>#N/A</v>
      </c>
      <c r="F175" s="5" t="e">
        <f>VLOOKUP($A175,tropes!$A$4:$O$2428,6,FALSE)</f>
        <v>#N/A</v>
      </c>
      <c r="G175" s="5" t="e">
        <f>VLOOKUP($A175,tropes!$A$4:$O$2428,7,FALSE)</f>
        <v>#N/A</v>
      </c>
      <c r="H175" s="5" t="e">
        <f>VLOOKUP($A175,tropes!$A$4:$O$2428,8,FALSE)</f>
        <v>#N/A</v>
      </c>
      <c r="I175" s="5" t="e">
        <f>VLOOKUP($A175,tropes!$A$4:$O$2428,9,FALSE)</f>
        <v>#N/A</v>
      </c>
      <c r="J175" s="5" t="e">
        <f>VLOOKUP($A175,tropes!$A$4:$O$2428,10,FALSE)</f>
        <v>#N/A</v>
      </c>
      <c r="K175" s="5" t="e">
        <f>VLOOKUP($A175,tropes!$A$4:$O$2428,11,FALSE)</f>
        <v>#N/A</v>
      </c>
      <c r="L175" s="5" t="e">
        <f>VLOOKUP($A175,tropes!$A$4:$O$2428,12,FALSE)</f>
        <v>#N/A</v>
      </c>
      <c r="M175" s="5" t="e">
        <f>VLOOKUP($A175,tropes!$A$4:$O$2428,13,FALSE)</f>
        <v>#N/A</v>
      </c>
      <c r="N175" s="5"/>
    </row>
    <row r="176" spans="1:14" x14ac:dyDescent="0.3">
      <c r="A176" s="14"/>
      <c r="B176" s="5" t="e">
        <f>VLOOKUP($A176,tropes!$A$4:$O$2428,2,FALSE)</f>
        <v>#N/A</v>
      </c>
      <c r="C176" s="5" t="e">
        <f>VLOOKUP($A176,tropes!$A$4:$O$2428,3,FALSE)</f>
        <v>#N/A</v>
      </c>
      <c r="D176" s="5" t="e">
        <f>VLOOKUP($A176,tropes!$A$4:$O$2428,4,FALSE)</f>
        <v>#N/A</v>
      </c>
      <c r="E176" s="5" t="e">
        <f>VLOOKUP($A176,tropes!$A$4:$O$2428,5,FALSE)</f>
        <v>#N/A</v>
      </c>
      <c r="F176" s="5" t="e">
        <f>VLOOKUP($A176,tropes!$A$4:$O$2428,6,FALSE)</f>
        <v>#N/A</v>
      </c>
      <c r="G176" s="5" t="e">
        <f>VLOOKUP($A176,tropes!$A$4:$O$2428,7,FALSE)</f>
        <v>#N/A</v>
      </c>
      <c r="H176" s="5" t="e">
        <f>VLOOKUP($A176,tropes!$A$4:$O$2428,8,FALSE)</f>
        <v>#N/A</v>
      </c>
      <c r="I176" s="5" t="e">
        <f>VLOOKUP($A176,tropes!$A$4:$O$2428,9,FALSE)</f>
        <v>#N/A</v>
      </c>
      <c r="J176" s="5" t="e">
        <f>VLOOKUP($A176,tropes!$A$4:$O$2428,10,FALSE)</f>
        <v>#N/A</v>
      </c>
      <c r="K176" s="5" t="e">
        <f>VLOOKUP($A176,tropes!$A$4:$O$2428,11,FALSE)</f>
        <v>#N/A</v>
      </c>
      <c r="L176" s="5" t="e">
        <f>VLOOKUP($A176,tropes!$A$4:$O$2428,12,FALSE)</f>
        <v>#N/A</v>
      </c>
      <c r="M176" s="5" t="e">
        <f>VLOOKUP($A176,tropes!$A$4:$O$2428,13,FALSE)</f>
        <v>#N/A</v>
      </c>
      <c r="N176" s="5"/>
    </row>
    <row r="177" spans="1:14" x14ac:dyDescent="0.3">
      <c r="A177" s="14"/>
      <c r="B177" s="5" t="e">
        <f>VLOOKUP($A177,tropes!$A$4:$O$2428,2,FALSE)</f>
        <v>#N/A</v>
      </c>
      <c r="C177" s="5" t="e">
        <f>VLOOKUP($A177,tropes!$A$4:$O$2428,3,FALSE)</f>
        <v>#N/A</v>
      </c>
      <c r="D177" s="5" t="e">
        <f>VLOOKUP($A177,tropes!$A$4:$O$2428,4,FALSE)</f>
        <v>#N/A</v>
      </c>
      <c r="E177" s="5" t="e">
        <f>VLOOKUP($A177,tropes!$A$4:$O$2428,5,FALSE)</f>
        <v>#N/A</v>
      </c>
      <c r="F177" s="5" t="e">
        <f>VLOOKUP($A177,tropes!$A$4:$O$2428,6,FALSE)</f>
        <v>#N/A</v>
      </c>
      <c r="G177" s="5" t="e">
        <f>VLOOKUP($A177,tropes!$A$4:$O$2428,7,FALSE)</f>
        <v>#N/A</v>
      </c>
      <c r="H177" s="5" t="e">
        <f>VLOOKUP($A177,tropes!$A$4:$O$2428,8,FALSE)</f>
        <v>#N/A</v>
      </c>
      <c r="I177" s="5" t="e">
        <f>VLOOKUP($A177,tropes!$A$4:$O$2428,9,FALSE)</f>
        <v>#N/A</v>
      </c>
      <c r="J177" s="5" t="e">
        <f>VLOOKUP($A177,tropes!$A$4:$O$2428,10,FALSE)</f>
        <v>#N/A</v>
      </c>
      <c r="K177" s="5" t="e">
        <f>VLOOKUP($A177,tropes!$A$4:$O$2428,11,FALSE)</f>
        <v>#N/A</v>
      </c>
      <c r="L177" s="5" t="e">
        <f>VLOOKUP($A177,tropes!$A$4:$O$2428,12,FALSE)</f>
        <v>#N/A</v>
      </c>
      <c r="M177" s="5" t="e">
        <f>VLOOKUP($A177,tropes!$A$4:$O$2428,13,FALSE)</f>
        <v>#N/A</v>
      </c>
      <c r="N177" s="5"/>
    </row>
    <row r="178" spans="1:14" x14ac:dyDescent="0.3">
      <c r="A178" s="14"/>
      <c r="B178" s="5" t="e">
        <f>VLOOKUP($A178,tropes!$A$4:$O$2428,2,FALSE)</f>
        <v>#N/A</v>
      </c>
      <c r="C178" s="5" t="e">
        <f>VLOOKUP($A178,tropes!$A$4:$O$2428,3,FALSE)</f>
        <v>#N/A</v>
      </c>
      <c r="D178" s="5" t="e">
        <f>VLOOKUP($A178,tropes!$A$4:$O$2428,4,FALSE)</f>
        <v>#N/A</v>
      </c>
      <c r="E178" s="5" t="e">
        <f>VLOOKUP($A178,tropes!$A$4:$O$2428,5,FALSE)</f>
        <v>#N/A</v>
      </c>
      <c r="F178" s="5" t="e">
        <f>VLOOKUP($A178,tropes!$A$4:$O$2428,6,FALSE)</f>
        <v>#N/A</v>
      </c>
      <c r="G178" s="5" t="e">
        <f>VLOOKUP($A178,tropes!$A$4:$O$2428,7,FALSE)</f>
        <v>#N/A</v>
      </c>
      <c r="H178" s="5" t="e">
        <f>VLOOKUP($A178,tropes!$A$4:$O$2428,8,FALSE)</f>
        <v>#N/A</v>
      </c>
      <c r="I178" s="5" t="e">
        <f>VLOOKUP($A178,tropes!$A$4:$O$2428,9,FALSE)</f>
        <v>#N/A</v>
      </c>
      <c r="J178" s="5" t="e">
        <f>VLOOKUP($A178,tropes!$A$4:$O$2428,10,FALSE)</f>
        <v>#N/A</v>
      </c>
      <c r="K178" s="5" t="e">
        <f>VLOOKUP($A178,tropes!$A$4:$O$2428,11,FALSE)</f>
        <v>#N/A</v>
      </c>
      <c r="L178" s="5" t="e">
        <f>VLOOKUP($A178,tropes!$A$4:$O$2428,12,FALSE)</f>
        <v>#N/A</v>
      </c>
      <c r="M178" s="5" t="e">
        <f>VLOOKUP($A178,tropes!$A$4:$O$2428,13,FALSE)</f>
        <v>#N/A</v>
      </c>
      <c r="N178" s="5"/>
    </row>
    <row r="179" spans="1:14" x14ac:dyDescent="0.3">
      <c r="A179" s="14"/>
      <c r="B179" s="5" t="e">
        <f>VLOOKUP($A179,tropes!$A$4:$O$2428,2,FALSE)</f>
        <v>#N/A</v>
      </c>
      <c r="C179" s="5" t="e">
        <f>VLOOKUP($A179,tropes!$A$4:$O$2428,3,FALSE)</f>
        <v>#N/A</v>
      </c>
      <c r="D179" s="5" t="e">
        <f>VLOOKUP($A179,tropes!$A$4:$O$2428,4,FALSE)</f>
        <v>#N/A</v>
      </c>
      <c r="E179" s="5" t="e">
        <f>VLOOKUP($A179,tropes!$A$4:$O$2428,5,FALSE)</f>
        <v>#N/A</v>
      </c>
      <c r="F179" s="5" t="e">
        <f>VLOOKUP($A179,tropes!$A$4:$O$2428,6,FALSE)</f>
        <v>#N/A</v>
      </c>
      <c r="G179" s="5" t="e">
        <f>VLOOKUP($A179,tropes!$A$4:$O$2428,7,FALSE)</f>
        <v>#N/A</v>
      </c>
      <c r="H179" s="5" t="e">
        <f>VLOOKUP($A179,tropes!$A$4:$O$2428,8,FALSE)</f>
        <v>#N/A</v>
      </c>
      <c r="I179" s="5" t="e">
        <f>VLOOKUP($A179,tropes!$A$4:$O$2428,9,FALSE)</f>
        <v>#N/A</v>
      </c>
      <c r="J179" s="5" t="e">
        <f>VLOOKUP($A179,tropes!$A$4:$O$2428,10,FALSE)</f>
        <v>#N/A</v>
      </c>
      <c r="K179" s="5" t="e">
        <f>VLOOKUP($A179,tropes!$A$4:$O$2428,11,FALSE)</f>
        <v>#N/A</v>
      </c>
      <c r="L179" s="5" t="e">
        <f>VLOOKUP($A179,tropes!$A$4:$O$2428,12,FALSE)</f>
        <v>#N/A</v>
      </c>
      <c r="M179" s="5" t="e">
        <f>VLOOKUP($A179,tropes!$A$4:$O$2428,13,FALSE)</f>
        <v>#N/A</v>
      </c>
      <c r="N179" s="5"/>
    </row>
    <row r="180" spans="1:14" x14ac:dyDescent="0.3">
      <c r="A180" s="14"/>
      <c r="B180" s="5" t="e">
        <f>VLOOKUP($A180,tropes!$A$4:$O$2428,2,FALSE)</f>
        <v>#N/A</v>
      </c>
      <c r="C180" s="5" t="e">
        <f>VLOOKUP($A180,tropes!$A$4:$O$2428,3,FALSE)</f>
        <v>#N/A</v>
      </c>
      <c r="D180" s="5" t="e">
        <f>VLOOKUP($A180,tropes!$A$4:$O$2428,4,FALSE)</f>
        <v>#N/A</v>
      </c>
      <c r="E180" s="5" t="e">
        <f>VLOOKUP($A180,tropes!$A$4:$O$2428,5,FALSE)</f>
        <v>#N/A</v>
      </c>
      <c r="F180" s="5" t="e">
        <f>VLOOKUP($A180,tropes!$A$4:$O$2428,6,FALSE)</f>
        <v>#N/A</v>
      </c>
      <c r="G180" s="5" t="e">
        <f>VLOOKUP($A180,tropes!$A$4:$O$2428,7,FALSE)</f>
        <v>#N/A</v>
      </c>
      <c r="H180" s="5" t="e">
        <f>VLOOKUP($A180,tropes!$A$4:$O$2428,8,FALSE)</f>
        <v>#N/A</v>
      </c>
      <c r="I180" s="5" t="e">
        <f>VLOOKUP($A180,tropes!$A$4:$O$2428,9,FALSE)</f>
        <v>#N/A</v>
      </c>
      <c r="J180" s="5" t="e">
        <f>VLOOKUP($A180,tropes!$A$4:$O$2428,10,FALSE)</f>
        <v>#N/A</v>
      </c>
      <c r="K180" s="5" t="e">
        <f>VLOOKUP($A180,tropes!$A$4:$O$2428,11,FALSE)</f>
        <v>#N/A</v>
      </c>
      <c r="L180" s="5" t="e">
        <f>VLOOKUP($A180,tropes!$A$4:$O$2428,12,FALSE)</f>
        <v>#N/A</v>
      </c>
      <c r="M180" s="5" t="e">
        <f>VLOOKUP($A180,tropes!$A$4:$O$2428,13,FALSE)</f>
        <v>#N/A</v>
      </c>
      <c r="N180" s="5"/>
    </row>
    <row r="181" spans="1:14" x14ac:dyDescent="0.3">
      <c r="A181" s="14"/>
      <c r="B181" s="5" t="e">
        <f>VLOOKUP($A181,tropes!$A$4:$O$2428,2,FALSE)</f>
        <v>#N/A</v>
      </c>
      <c r="C181" s="5" t="e">
        <f>VLOOKUP($A181,tropes!$A$4:$O$2428,3,FALSE)</f>
        <v>#N/A</v>
      </c>
      <c r="D181" s="5" t="e">
        <f>VLOOKUP($A181,tropes!$A$4:$O$2428,4,FALSE)</f>
        <v>#N/A</v>
      </c>
      <c r="E181" s="5" t="e">
        <f>VLOOKUP($A181,tropes!$A$4:$O$2428,5,FALSE)</f>
        <v>#N/A</v>
      </c>
      <c r="F181" s="5" t="e">
        <f>VLOOKUP($A181,tropes!$A$4:$O$2428,6,FALSE)</f>
        <v>#N/A</v>
      </c>
      <c r="G181" s="5" t="e">
        <f>VLOOKUP($A181,tropes!$A$4:$O$2428,7,FALSE)</f>
        <v>#N/A</v>
      </c>
      <c r="H181" s="5" t="e">
        <f>VLOOKUP($A181,tropes!$A$4:$O$2428,8,FALSE)</f>
        <v>#N/A</v>
      </c>
      <c r="I181" s="5" t="e">
        <f>VLOOKUP($A181,tropes!$A$4:$O$2428,9,FALSE)</f>
        <v>#N/A</v>
      </c>
      <c r="J181" s="5" t="e">
        <f>VLOOKUP($A181,tropes!$A$4:$O$2428,10,FALSE)</f>
        <v>#N/A</v>
      </c>
      <c r="K181" s="5" t="e">
        <f>VLOOKUP($A181,tropes!$A$4:$O$2428,11,FALSE)</f>
        <v>#N/A</v>
      </c>
      <c r="L181" s="5" t="e">
        <f>VLOOKUP($A181,tropes!$A$4:$O$2428,12,FALSE)</f>
        <v>#N/A</v>
      </c>
      <c r="M181" s="5" t="e">
        <f>VLOOKUP($A181,tropes!$A$4:$O$2428,13,FALSE)</f>
        <v>#N/A</v>
      </c>
      <c r="N181" s="5"/>
    </row>
    <row r="182" spans="1:14" x14ac:dyDescent="0.3">
      <c r="A182" s="14"/>
      <c r="B182" s="5" t="e">
        <f>VLOOKUP($A182,tropes!$A$4:$O$2428,2,FALSE)</f>
        <v>#N/A</v>
      </c>
      <c r="C182" s="5" t="e">
        <f>VLOOKUP($A182,tropes!$A$4:$O$2428,3,FALSE)</f>
        <v>#N/A</v>
      </c>
      <c r="D182" s="5" t="e">
        <f>VLOOKUP($A182,tropes!$A$4:$O$2428,4,FALSE)</f>
        <v>#N/A</v>
      </c>
      <c r="E182" s="5" t="e">
        <f>VLOOKUP($A182,tropes!$A$4:$O$2428,5,FALSE)</f>
        <v>#N/A</v>
      </c>
      <c r="F182" s="5" t="e">
        <f>VLOOKUP($A182,tropes!$A$4:$O$2428,6,FALSE)</f>
        <v>#N/A</v>
      </c>
      <c r="G182" s="5" t="e">
        <f>VLOOKUP($A182,tropes!$A$4:$O$2428,7,FALSE)</f>
        <v>#N/A</v>
      </c>
      <c r="H182" s="5" t="e">
        <f>VLOOKUP($A182,tropes!$A$4:$O$2428,8,FALSE)</f>
        <v>#N/A</v>
      </c>
      <c r="I182" s="5" t="e">
        <f>VLOOKUP($A182,tropes!$A$4:$O$2428,9,FALSE)</f>
        <v>#N/A</v>
      </c>
      <c r="J182" s="5" t="e">
        <f>VLOOKUP($A182,tropes!$A$4:$O$2428,10,FALSE)</f>
        <v>#N/A</v>
      </c>
      <c r="K182" s="5" t="e">
        <f>VLOOKUP($A182,tropes!$A$4:$O$2428,11,FALSE)</f>
        <v>#N/A</v>
      </c>
      <c r="L182" s="5" t="e">
        <f>VLOOKUP($A182,tropes!$A$4:$O$2428,12,FALSE)</f>
        <v>#N/A</v>
      </c>
      <c r="M182" s="5" t="e">
        <f>VLOOKUP($A182,tropes!$A$4:$O$2428,13,FALSE)</f>
        <v>#N/A</v>
      </c>
      <c r="N182" s="5"/>
    </row>
    <row r="183" spans="1:14" x14ac:dyDescent="0.3">
      <c r="A183" s="14"/>
      <c r="B183" s="5" t="e">
        <f>VLOOKUP($A183,tropes!$A$4:$O$2428,2,FALSE)</f>
        <v>#N/A</v>
      </c>
      <c r="C183" s="5" t="e">
        <f>VLOOKUP($A183,tropes!$A$4:$O$2428,3,FALSE)</f>
        <v>#N/A</v>
      </c>
      <c r="D183" s="5" t="e">
        <f>VLOOKUP($A183,tropes!$A$4:$O$2428,4,FALSE)</f>
        <v>#N/A</v>
      </c>
      <c r="E183" s="5" t="e">
        <f>VLOOKUP($A183,tropes!$A$4:$O$2428,5,FALSE)</f>
        <v>#N/A</v>
      </c>
      <c r="F183" s="5" t="e">
        <f>VLOOKUP($A183,tropes!$A$4:$O$2428,6,FALSE)</f>
        <v>#N/A</v>
      </c>
      <c r="G183" s="5" t="e">
        <f>VLOOKUP($A183,tropes!$A$4:$O$2428,7,FALSE)</f>
        <v>#N/A</v>
      </c>
      <c r="H183" s="5" t="e">
        <f>VLOOKUP($A183,tropes!$A$4:$O$2428,8,FALSE)</f>
        <v>#N/A</v>
      </c>
      <c r="I183" s="5" t="e">
        <f>VLOOKUP($A183,tropes!$A$4:$O$2428,9,FALSE)</f>
        <v>#N/A</v>
      </c>
      <c r="J183" s="5" t="e">
        <f>VLOOKUP($A183,tropes!$A$4:$O$2428,10,FALSE)</f>
        <v>#N/A</v>
      </c>
      <c r="K183" s="5" t="e">
        <f>VLOOKUP($A183,tropes!$A$4:$O$2428,11,FALSE)</f>
        <v>#N/A</v>
      </c>
      <c r="L183" s="5" t="e">
        <f>VLOOKUP($A183,tropes!$A$4:$O$2428,12,FALSE)</f>
        <v>#N/A</v>
      </c>
      <c r="M183" s="5" t="e">
        <f>VLOOKUP($A183,tropes!$A$4:$O$2428,13,FALSE)</f>
        <v>#N/A</v>
      </c>
      <c r="N183" s="5"/>
    </row>
    <row r="184" spans="1:14" x14ac:dyDescent="0.3">
      <c r="A184" s="14"/>
      <c r="B184" s="5" t="e">
        <f>VLOOKUP($A184,tropes!$A$4:$O$2428,2,FALSE)</f>
        <v>#N/A</v>
      </c>
      <c r="C184" s="5" t="e">
        <f>VLOOKUP($A184,tropes!$A$4:$O$2428,3,FALSE)</f>
        <v>#N/A</v>
      </c>
      <c r="D184" s="5" t="e">
        <f>VLOOKUP($A184,tropes!$A$4:$O$2428,4,FALSE)</f>
        <v>#N/A</v>
      </c>
      <c r="E184" s="5" t="e">
        <f>VLOOKUP($A184,tropes!$A$4:$O$2428,5,FALSE)</f>
        <v>#N/A</v>
      </c>
      <c r="F184" s="5" t="e">
        <f>VLOOKUP($A184,tropes!$A$4:$O$2428,6,FALSE)</f>
        <v>#N/A</v>
      </c>
      <c r="G184" s="5" t="e">
        <f>VLOOKUP($A184,tropes!$A$4:$O$2428,7,FALSE)</f>
        <v>#N/A</v>
      </c>
      <c r="H184" s="5" t="e">
        <f>VLOOKUP($A184,tropes!$A$4:$O$2428,8,FALSE)</f>
        <v>#N/A</v>
      </c>
      <c r="I184" s="5" t="e">
        <f>VLOOKUP($A184,tropes!$A$4:$O$2428,9,FALSE)</f>
        <v>#N/A</v>
      </c>
      <c r="J184" s="5" t="e">
        <f>VLOOKUP($A184,tropes!$A$4:$O$2428,10,FALSE)</f>
        <v>#N/A</v>
      </c>
      <c r="K184" s="5" t="e">
        <f>VLOOKUP($A184,tropes!$A$4:$O$2428,11,FALSE)</f>
        <v>#N/A</v>
      </c>
      <c r="L184" s="5" t="e">
        <f>VLOOKUP($A184,tropes!$A$4:$O$2428,12,FALSE)</f>
        <v>#N/A</v>
      </c>
      <c r="M184" s="5" t="e">
        <f>VLOOKUP($A184,tropes!$A$4:$O$2428,13,FALSE)</f>
        <v>#N/A</v>
      </c>
      <c r="N184" s="5"/>
    </row>
    <row r="185" spans="1:14" x14ac:dyDescent="0.3">
      <c r="A185" s="14"/>
      <c r="B185" s="5" t="e">
        <f>VLOOKUP($A185,tropes!$A$4:$O$2428,2,FALSE)</f>
        <v>#N/A</v>
      </c>
      <c r="C185" s="5" t="e">
        <f>VLOOKUP($A185,tropes!$A$4:$O$2428,3,FALSE)</f>
        <v>#N/A</v>
      </c>
      <c r="D185" s="5" t="e">
        <f>VLOOKUP($A185,tropes!$A$4:$O$2428,4,FALSE)</f>
        <v>#N/A</v>
      </c>
      <c r="E185" s="5" t="e">
        <f>VLOOKUP($A185,tropes!$A$4:$O$2428,5,FALSE)</f>
        <v>#N/A</v>
      </c>
      <c r="F185" s="5" t="e">
        <f>VLOOKUP($A185,tropes!$A$4:$O$2428,6,FALSE)</f>
        <v>#N/A</v>
      </c>
      <c r="G185" s="5" t="e">
        <f>VLOOKUP($A185,tropes!$A$4:$O$2428,7,FALSE)</f>
        <v>#N/A</v>
      </c>
      <c r="H185" s="5" t="e">
        <f>VLOOKUP($A185,tropes!$A$4:$O$2428,8,FALSE)</f>
        <v>#N/A</v>
      </c>
      <c r="I185" s="5" t="e">
        <f>VLOOKUP($A185,tropes!$A$4:$O$2428,9,FALSE)</f>
        <v>#N/A</v>
      </c>
      <c r="J185" s="5" t="e">
        <f>VLOOKUP($A185,tropes!$A$4:$O$2428,10,FALSE)</f>
        <v>#N/A</v>
      </c>
      <c r="K185" s="5" t="e">
        <f>VLOOKUP($A185,tropes!$A$4:$O$2428,11,FALSE)</f>
        <v>#N/A</v>
      </c>
      <c r="L185" s="5" t="e">
        <f>VLOOKUP($A185,tropes!$A$4:$O$2428,12,FALSE)</f>
        <v>#N/A</v>
      </c>
      <c r="M185" s="5" t="e">
        <f>VLOOKUP($A185,tropes!$A$4:$O$2428,13,FALSE)</f>
        <v>#N/A</v>
      </c>
      <c r="N185" s="5"/>
    </row>
    <row r="186" spans="1:14" x14ac:dyDescent="0.3">
      <c r="A186" s="14"/>
      <c r="B186" s="5" t="e">
        <f>VLOOKUP($A186,tropes!$A$4:$O$2428,2,FALSE)</f>
        <v>#N/A</v>
      </c>
      <c r="C186" s="5" t="e">
        <f>VLOOKUP($A186,tropes!$A$4:$O$2428,3,FALSE)</f>
        <v>#N/A</v>
      </c>
      <c r="D186" s="5" t="e">
        <f>VLOOKUP($A186,tropes!$A$4:$O$2428,4,FALSE)</f>
        <v>#N/A</v>
      </c>
      <c r="E186" s="5" t="e">
        <f>VLOOKUP($A186,tropes!$A$4:$O$2428,5,FALSE)</f>
        <v>#N/A</v>
      </c>
      <c r="F186" s="5" t="e">
        <f>VLOOKUP($A186,tropes!$A$4:$O$2428,6,FALSE)</f>
        <v>#N/A</v>
      </c>
      <c r="G186" s="5" t="e">
        <f>VLOOKUP($A186,tropes!$A$4:$O$2428,7,FALSE)</f>
        <v>#N/A</v>
      </c>
      <c r="H186" s="5" t="e">
        <f>VLOOKUP($A186,tropes!$A$4:$O$2428,8,FALSE)</f>
        <v>#N/A</v>
      </c>
      <c r="I186" s="5" t="e">
        <f>VLOOKUP($A186,tropes!$A$4:$O$2428,9,FALSE)</f>
        <v>#N/A</v>
      </c>
      <c r="J186" s="5" t="e">
        <f>VLOOKUP($A186,tropes!$A$4:$O$2428,10,FALSE)</f>
        <v>#N/A</v>
      </c>
      <c r="K186" s="5" t="e">
        <f>VLOOKUP($A186,tropes!$A$4:$O$2428,11,FALSE)</f>
        <v>#N/A</v>
      </c>
      <c r="L186" s="5" t="e">
        <f>VLOOKUP($A186,tropes!$A$4:$O$2428,12,FALSE)</f>
        <v>#N/A</v>
      </c>
      <c r="M186" s="5" t="e">
        <f>VLOOKUP($A186,tropes!$A$4:$O$2428,13,FALSE)</f>
        <v>#N/A</v>
      </c>
      <c r="N186" s="5"/>
    </row>
    <row r="187" spans="1:14" x14ac:dyDescent="0.3">
      <c r="A187" s="14"/>
      <c r="B187" s="5" t="e">
        <f>VLOOKUP($A187,tropes!$A$4:$O$2428,2,FALSE)</f>
        <v>#N/A</v>
      </c>
      <c r="C187" s="5" t="e">
        <f>VLOOKUP($A187,tropes!$A$4:$O$2428,3,FALSE)</f>
        <v>#N/A</v>
      </c>
      <c r="D187" s="5" t="e">
        <f>VLOOKUP($A187,tropes!$A$4:$O$2428,4,FALSE)</f>
        <v>#N/A</v>
      </c>
      <c r="E187" s="5" t="e">
        <f>VLOOKUP($A187,tropes!$A$4:$O$2428,5,FALSE)</f>
        <v>#N/A</v>
      </c>
      <c r="F187" s="5" t="e">
        <f>VLOOKUP($A187,tropes!$A$4:$O$2428,6,FALSE)</f>
        <v>#N/A</v>
      </c>
      <c r="G187" s="5" t="e">
        <f>VLOOKUP($A187,tropes!$A$4:$O$2428,7,FALSE)</f>
        <v>#N/A</v>
      </c>
      <c r="H187" s="5" t="e">
        <f>VLOOKUP($A187,tropes!$A$4:$O$2428,8,FALSE)</f>
        <v>#N/A</v>
      </c>
      <c r="I187" s="5" t="e">
        <f>VLOOKUP($A187,tropes!$A$4:$O$2428,9,FALSE)</f>
        <v>#N/A</v>
      </c>
      <c r="J187" s="5" t="e">
        <f>VLOOKUP($A187,tropes!$A$4:$O$2428,10,FALSE)</f>
        <v>#N/A</v>
      </c>
      <c r="K187" s="5" t="e">
        <f>VLOOKUP($A187,tropes!$A$4:$O$2428,11,FALSE)</f>
        <v>#N/A</v>
      </c>
      <c r="L187" s="5" t="e">
        <f>VLOOKUP($A187,tropes!$A$4:$O$2428,12,FALSE)</f>
        <v>#N/A</v>
      </c>
      <c r="M187" s="5" t="e">
        <f>VLOOKUP($A187,tropes!$A$4:$O$2428,13,FALSE)</f>
        <v>#N/A</v>
      </c>
      <c r="N187" s="5"/>
    </row>
    <row r="188" spans="1:14" x14ac:dyDescent="0.3">
      <c r="A188" s="14"/>
      <c r="B188" s="5" t="e">
        <f>VLOOKUP($A188,tropes!$A$4:$O$2428,2,FALSE)</f>
        <v>#N/A</v>
      </c>
      <c r="C188" s="5" t="e">
        <f>VLOOKUP($A188,tropes!$A$4:$O$2428,3,FALSE)</f>
        <v>#N/A</v>
      </c>
      <c r="D188" s="5" t="e">
        <f>VLOOKUP($A188,tropes!$A$4:$O$2428,4,FALSE)</f>
        <v>#N/A</v>
      </c>
      <c r="E188" s="5" t="e">
        <f>VLOOKUP($A188,tropes!$A$4:$O$2428,5,FALSE)</f>
        <v>#N/A</v>
      </c>
      <c r="F188" s="5" t="e">
        <f>VLOOKUP($A188,tropes!$A$4:$O$2428,6,FALSE)</f>
        <v>#N/A</v>
      </c>
      <c r="G188" s="5" t="e">
        <f>VLOOKUP($A188,tropes!$A$4:$O$2428,7,FALSE)</f>
        <v>#N/A</v>
      </c>
      <c r="H188" s="5" t="e">
        <f>VLOOKUP($A188,tropes!$A$4:$O$2428,8,FALSE)</f>
        <v>#N/A</v>
      </c>
      <c r="I188" s="5" t="e">
        <f>VLOOKUP($A188,tropes!$A$4:$O$2428,9,FALSE)</f>
        <v>#N/A</v>
      </c>
      <c r="J188" s="5" t="e">
        <f>VLOOKUP($A188,tropes!$A$4:$O$2428,10,FALSE)</f>
        <v>#N/A</v>
      </c>
      <c r="K188" s="5" t="e">
        <f>VLOOKUP($A188,tropes!$A$4:$O$2428,11,FALSE)</f>
        <v>#N/A</v>
      </c>
      <c r="L188" s="5" t="e">
        <f>VLOOKUP($A188,tropes!$A$4:$O$2428,12,FALSE)</f>
        <v>#N/A</v>
      </c>
      <c r="M188" s="5" t="e">
        <f>VLOOKUP($A188,tropes!$A$4:$O$2428,13,FALSE)</f>
        <v>#N/A</v>
      </c>
      <c r="N188" s="5"/>
    </row>
    <row r="189" spans="1:14" x14ac:dyDescent="0.3">
      <c r="A189" s="14"/>
      <c r="B189" s="5" t="e">
        <f>VLOOKUP($A189,tropes!$A$4:$O$2428,2,FALSE)</f>
        <v>#N/A</v>
      </c>
      <c r="C189" s="5" t="e">
        <f>VLOOKUP($A189,tropes!$A$4:$O$2428,3,FALSE)</f>
        <v>#N/A</v>
      </c>
      <c r="D189" s="5" t="e">
        <f>VLOOKUP($A189,tropes!$A$4:$O$2428,4,FALSE)</f>
        <v>#N/A</v>
      </c>
      <c r="E189" s="5" t="e">
        <f>VLOOKUP($A189,tropes!$A$4:$O$2428,5,FALSE)</f>
        <v>#N/A</v>
      </c>
      <c r="F189" s="5" t="e">
        <f>VLOOKUP($A189,tropes!$A$4:$O$2428,6,FALSE)</f>
        <v>#N/A</v>
      </c>
      <c r="G189" s="5" t="e">
        <f>VLOOKUP($A189,tropes!$A$4:$O$2428,7,FALSE)</f>
        <v>#N/A</v>
      </c>
      <c r="H189" s="5" t="e">
        <f>VLOOKUP($A189,tropes!$A$4:$O$2428,8,FALSE)</f>
        <v>#N/A</v>
      </c>
      <c r="I189" s="5" t="e">
        <f>VLOOKUP($A189,tropes!$A$4:$O$2428,9,FALSE)</f>
        <v>#N/A</v>
      </c>
      <c r="J189" s="5" t="e">
        <f>VLOOKUP($A189,tropes!$A$4:$O$2428,10,FALSE)</f>
        <v>#N/A</v>
      </c>
      <c r="K189" s="5" t="e">
        <f>VLOOKUP($A189,tropes!$A$4:$O$2428,11,FALSE)</f>
        <v>#N/A</v>
      </c>
      <c r="L189" s="5" t="e">
        <f>VLOOKUP($A189,tropes!$A$4:$O$2428,12,FALSE)</f>
        <v>#N/A</v>
      </c>
      <c r="M189" s="5" t="e">
        <f>VLOOKUP($A189,tropes!$A$4:$O$2428,13,FALSE)</f>
        <v>#N/A</v>
      </c>
      <c r="N189" s="5"/>
    </row>
    <row r="190" spans="1:14" x14ac:dyDescent="0.3">
      <c r="A190" s="14"/>
      <c r="B190" s="5" t="e">
        <f>VLOOKUP($A190,tropes!$A$4:$O$2428,2,FALSE)</f>
        <v>#N/A</v>
      </c>
      <c r="C190" s="5" t="e">
        <f>VLOOKUP($A190,tropes!$A$4:$O$2428,3,FALSE)</f>
        <v>#N/A</v>
      </c>
      <c r="D190" s="5" t="e">
        <f>VLOOKUP($A190,tropes!$A$4:$O$2428,4,FALSE)</f>
        <v>#N/A</v>
      </c>
      <c r="E190" s="5" t="e">
        <f>VLOOKUP($A190,tropes!$A$4:$O$2428,5,FALSE)</f>
        <v>#N/A</v>
      </c>
      <c r="F190" s="5" t="e">
        <f>VLOOKUP($A190,tropes!$A$4:$O$2428,6,FALSE)</f>
        <v>#N/A</v>
      </c>
      <c r="G190" s="5" t="e">
        <f>VLOOKUP($A190,tropes!$A$4:$O$2428,7,FALSE)</f>
        <v>#N/A</v>
      </c>
      <c r="H190" s="5" t="e">
        <f>VLOOKUP($A190,tropes!$A$4:$O$2428,8,FALSE)</f>
        <v>#N/A</v>
      </c>
      <c r="I190" s="5" t="e">
        <f>VLOOKUP($A190,tropes!$A$4:$O$2428,9,FALSE)</f>
        <v>#N/A</v>
      </c>
      <c r="J190" s="5" t="e">
        <f>VLOOKUP($A190,tropes!$A$4:$O$2428,10,FALSE)</f>
        <v>#N/A</v>
      </c>
      <c r="K190" s="5" t="e">
        <f>VLOOKUP($A190,tropes!$A$4:$O$2428,11,FALSE)</f>
        <v>#N/A</v>
      </c>
      <c r="L190" s="5" t="e">
        <f>VLOOKUP($A190,tropes!$A$4:$O$2428,12,FALSE)</f>
        <v>#N/A</v>
      </c>
      <c r="M190" s="5" t="e">
        <f>VLOOKUP($A190,tropes!$A$4:$O$2428,13,FALSE)</f>
        <v>#N/A</v>
      </c>
      <c r="N190" s="5"/>
    </row>
    <row r="191" spans="1:14" x14ac:dyDescent="0.3">
      <c r="A191" s="14"/>
      <c r="B191" s="5" t="e">
        <f>VLOOKUP($A191,tropes!$A$4:$O$2428,2,FALSE)</f>
        <v>#N/A</v>
      </c>
      <c r="C191" s="5" t="e">
        <f>VLOOKUP($A191,tropes!$A$4:$O$2428,3,FALSE)</f>
        <v>#N/A</v>
      </c>
      <c r="D191" s="5" t="e">
        <f>VLOOKUP($A191,tropes!$A$4:$O$2428,4,FALSE)</f>
        <v>#N/A</v>
      </c>
      <c r="E191" s="5" t="e">
        <f>VLOOKUP($A191,tropes!$A$4:$O$2428,5,FALSE)</f>
        <v>#N/A</v>
      </c>
      <c r="F191" s="5" t="e">
        <f>VLOOKUP($A191,tropes!$A$4:$O$2428,6,FALSE)</f>
        <v>#N/A</v>
      </c>
      <c r="G191" s="5" t="e">
        <f>VLOOKUP($A191,tropes!$A$4:$O$2428,7,FALSE)</f>
        <v>#N/A</v>
      </c>
      <c r="H191" s="5" t="e">
        <f>VLOOKUP($A191,tropes!$A$4:$O$2428,8,FALSE)</f>
        <v>#N/A</v>
      </c>
      <c r="I191" s="5" t="e">
        <f>VLOOKUP($A191,tropes!$A$4:$O$2428,9,FALSE)</f>
        <v>#N/A</v>
      </c>
      <c r="J191" s="5" t="e">
        <f>VLOOKUP($A191,tropes!$A$4:$O$2428,10,FALSE)</f>
        <v>#N/A</v>
      </c>
      <c r="K191" s="5" t="e">
        <f>VLOOKUP($A191,tropes!$A$4:$O$2428,11,FALSE)</f>
        <v>#N/A</v>
      </c>
      <c r="L191" s="5" t="e">
        <f>VLOOKUP($A191,tropes!$A$4:$O$2428,12,FALSE)</f>
        <v>#N/A</v>
      </c>
      <c r="M191" s="5" t="e">
        <f>VLOOKUP($A191,tropes!$A$4:$O$2428,13,FALSE)</f>
        <v>#N/A</v>
      </c>
      <c r="N191" s="5"/>
    </row>
    <row r="192" spans="1:14" x14ac:dyDescent="0.3">
      <c r="A192" s="14"/>
      <c r="B192" s="5" t="e">
        <f>VLOOKUP($A192,tropes!$A$4:$O$2428,2,FALSE)</f>
        <v>#N/A</v>
      </c>
      <c r="C192" s="5" t="e">
        <f>VLOOKUP($A192,tropes!$A$4:$O$2428,3,FALSE)</f>
        <v>#N/A</v>
      </c>
      <c r="D192" s="5" t="e">
        <f>VLOOKUP($A192,tropes!$A$4:$O$2428,4,FALSE)</f>
        <v>#N/A</v>
      </c>
      <c r="E192" s="5" t="e">
        <f>VLOOKUP($A192,tropes!$A$4:$O$2428,5,FALSE)</f>
        <v>#N/A</v>
      </c>
      <c r="F192" s="5" t="e">
        <f>VLOOKUP($A192,tropes!$A$4:$O$2428,6,FALSE)</f>
        <v>#N/A</v>
      </c>
      <c r="G192" s="5" t="e">
        <f>VLOOKUP($A192,tropes!$A$4:$O$2428,7,FALSE)</f>
        <v>#N/A</v>
      </c>
      <c r="H192" s="5" t="e">
        <f>VLOOKUP($A192,tropes!$A$4:$O$2428,8,FALSE)</f>
        <v>#N/A</v>
      </c>
      <c r="I192" s="5" t="e">
        <f>VLOOKUP($A192,tropes!$A$4:$O$2428,9,FALSE)</f>
        <v>#N/A</v>
      </c>
      <c r="J192" s="5" t="e">
        <f>VLOOKUP($A192,tropes!$A$4:$O$2428,10,FALSE)</f>
        <v>#N/A</v>
      </c>
      <c r="K192" s="5" t="e">
        <f>VLOOKUP($A192,tropes!$A$4:$O$2428,11,FALSE)</f>
        <v>#N/A</v>
      </c>
      <c r="L192" s="5" t="e">
        <f>VLOOKUP($A192,tropes!$A$4:$O$2428,12,FALSE)</f>
        <v>#N/A</v>
      </c>
      <c r="M192" s="5" t="e">
        <f>VLOOKUP($A192,tropes!$A$4:$O$2428,13,FALSE)</f>
        <v>#N/A</v>
      </c>
      <c r="N192" s="5"/>
    </row>
    <row r="193" spans="1:14" x14ac:dyDescent="0.3">
      <c r="A193" s="14"/>
      <c r="B193" s="5" t="e">
        <f>VLOOKUP($A193,tropes!$A$4:$O$2428,2,FALSE)</f>
        <v>#N/A</v>
      </c>
      <c r="C193" s="5" t="e">
        <f>VLOOKUP($A193,tropes!$A$4:$O$2428,3,FALSE)</f>
        <v>#N/A</v>
      </c>
      <c r="D193" s="5" t="e">
        <f>VLOOKUP($A193,tropes!$A$4:$O$2428,4,FALSE)</f>
        <v>#N/A</v>
      </c>
      <c r="E193" s="5" t="e">
        <f>VLOOKUP($A193,tropes!$A$4:$O$2428,5,FALSE)</f>
        <v>#N/A</v>
      </c>
      <c r="F193" s="5" t="e">
        <f>VLOOKUP($A193,tropes!$A$4:$O$2428,6,FALSE)</f>
        <v>#N/A</v>
      </c>
      <c r="G193" s="5" t="e">
        <f>VLOOKUP($A193,tropes!$A$4:$O$2428,7,FALSE)</f>
        <v>#N/A</v>
      </c>
      <c r="H193" s="5" t="e">
        <f>VLOOKUP($A193,tropes!$A$4:$O$2428,8,FALSE)</f>
        <v>#N/A</v>
      </c>
      <c r="I193" s="5" t="e">
        <f>VLOOKUP($A193,tropes!$A$4:$O$2428,9,FALSE)</f>
        <v>#N/A</v>
      </c>
      <c r="J193" s="5" t="e">
        <f>VLOOKUP($A193,tropes!$A$4:$O$2428,10,FALSE)</f>
        <v>#N/A</v>
      </c>
      <c r="K193" s="5" t="e">
        <f>VLOOKUP($A193,tropes!$A$4:$O$2428,11,FALSE)</f>
        <v>#N/A</v>
      </c>
      <c r="L193" s="5" t="e">
        <f>VLOOKUP($A193,tropes!$A$4:$O$2428,12,FALSE)</f>
        <v>#N/A</v>
      </c>
      <c r="M193" s="5" t="e">
        <f>VLOOKUP($A193,tropes!$A$4:$O$2428,13,FALSE)</f>
        <v>#N/A</v>
      </c>
      <c r="N193" s="5"/>
    </row>
    <row r="194" spans="1:14" x14ac:dyDescent="0.3">
      <c r="A194" s="14"/>
      <c r="B194" s="5" t="e">
        <f>VLOOKUP($A194,tropes!$A$4:$O$2428,2,FALSE)</f>
        <v>#N/A</v>
      </c>
      <c r="C194" s="5" t="e">
        <f>VLOOKUP($A194,tropes!$A$4:$O$2428,3,FALSE)</f>
        <v>#N/A</v>
      </c>
      <c r="D194" s="5" t="e">
        <f>VLOOKUP($A194,tropes!$A$4:$O$2428,4,FALSE)</f>
        <v>#N/A</v>
      </c>
      <c r="E194" s="5" t="e">
        <f>VLOOKUP($A194,tropes!$A$4:$O$2428,5,FALSE)</f>
        <v>#N/A</v>
      </c>
      <c r="F194" s="5" t="e">
        <f>VLOOKUP($A194,tropes!$A$4:$O$2428,6,FALSE)</f>
        <v>#N/A</v>
      </c>
      <c r="G194" s="5" t="e">
        <f>VLOOKUP($A194,tropes!$A$4:$O$2428,7,FALSE)</f>
        <v>#N/A</v>
      </c>
      <c r="H194" s="5" t="e">
        <f>VLOOKUP($A194,tropes!$A$4:$O$2428,8,FALSE)</f>
        <v>#N/A</v>
      </c>
      <c r="I194" s="5" t="e">
        <f>VLOOKUP($A194,tropes!$A$4:$O$2428,9,FALSE)</f>
        <v>#N/A</v>
      </c>
      <c r="J194" s="5" t="e">
        <f>VLOOKUP($A194,tropes!$A$4:$O$2428,10,FALSE)</f>
        <v>#N/A</v>
      </c>
      <c r="K194" s="5" t="e">
        <f>VLOOKUP($A194,tropes!$A$4:$O$2428,11,FALSE)</f>
        <v>#N/A</v>
      </c>
      <c r="L194" s="5" t="e">
        <f>VLOOKUP($A194,tropes!$A$4:$O$2428,12,FALSE)</f>
        <v>#N/A</v>
      </c>
      <c r="M194" s="5" t="e">
        <f>VLOOKUP($A194,tropes!$A$4:$O$2428,13,FALSE)</f>
        <v>#N/A</v>
      </c>
      <c r="N194" s="5"/>
    </row>
    <row r="195" spans="1:14" x14ac:dyDescent="0.3">
      <c r="A195" s="14"/>
      <c r="B195" s="5" t="e">
        <f>VLOOKUP($A195,tropes!$A$4:$O$2428,2,FALSE)</f>
        <v>#N/A</v>
      </c>
      <c r="C195" s="5" t="e">
        <f>VLOOKUP($A195,tropes!$A$4:$O$2428,3,FALSE)</f>
        <v>#N/A</v>
      </c>
      <c r="D195" s="5" t="e">
        <f>VLOOKUP($A195,tropes!$A$4:$O$2428,4,FALSE)</f>
        <v>#N/A</v>
      </c>
      <c r="E195" s="5" t="e">
        <f>VLOOKUP($A195,tropes!$A$4:$O$2428,5,FALSE)</f>
        <v>#N/A</v>
      </c>
      <c r="F195" s="5" t="e">
        <f>VLOOKUP($A195,tropes!$A$4:$O$2428,6,FALSE)</f>
        <v>#N/A</v>
      </c>
      <c r="G195" s="5" t="e">
        <f>VLOOKUP($A195,tropes!$A$4:$O$2428,7,FALSE)</f>
        <v>#N/A</v>
      </c>
      <c r="H195" s="5" t="e">
        <f>VLOOKUP($A195,tropes!$A$4:$O$2428,8,FALSE)</f>
        <v>#N/A</v>
      </c>
      <c r="I195" s="5" t="e">
        <f>VLOOKUP($A195,tropes!$A$4:$O$2428,9,FALSE)</f>
        <v>#N/A</v>
      </c>
      <c r="J195" s="5" t="e">
        <f>VLOOKUP($A195,tropes!$A$4:$O$2428,10,FALSE)</f>
        <v>#N/A</v>
      </c>
      <c r="K195" s="5" t="e">
        <f>VLOOKUP($A195,tropes!$A$4:$O$2428,11,FALSE)</f>
        <v>#N/A</v>
      </c>
      <c r="L195" s="5" t="e">
        <f>VLOOKUP($A195,tropes!$A$4:$O$2428,12,FALSE)</f>
        <v>#N/A</v>
      </c>
      <c r="M195" s="5" t="e">
        <f>VLOOKUP($A195,tropes!$A$4:$O$2428,13,FALSE)</f>
        <v>#N/A</v>
      </c>
      <c r="N195" s="5"/>
    </row>
    <row r="196" spans="1:14" x14ac:dyDescent="0.3">
      <c r="A196" s="14"/>
      <c r="B196" s="5" t="e">
        <f>VLOOKUP($A196,tropes!$A$4:$O$2428,2,FALSE)</f>
        <v>#N/A</v>
      </c>
      <c r="C196" s="5" t="e">
        <f>VLOOKUP($A196,tropes!$A$4:$O$2428,3,FALSE)</f>
        <v>#N/A</v>
      </c>
      <c r="D196" s="5" t="e">
        <f>VLOOKUP($A196,tropes!$A$4:$O$2428,4,FALSE)</f>
        <v>#N/A</v>
      </c>
      <c r="E196" s="5" t="e">
        <f>VLOOKUP($A196,tropes!$A$4:$O$2428,5,FALSE)</f>
        <v>#N/A</v>
      </c>
      <c r="F196" s="5" t="e">
        <f>VLOOKUP($A196,tropes!$A$4:$O$2428,6,FALSE)</f>
        <v>#N/A</v>
      </c>
      <c r="G196" s="5" t="e">
        <f>VLOOKUP($A196,tropes!$A$4:$O$2428,7,FALSE)</f>
        <v>#N/A</v>
      </c>
      <c r="H196" s="5" t="e">
        <f>VLOOKUP($A196,tropes!$A$4:$O$2428,8,FALSE)</f>
        <v>#N/A</v>
      </c>
      <c r="I196" s="5" t="e">
        <f>VLOOKUP($A196,tropes!$A$4:$O$2428,9,FALSE)</f>
        <v>#N/A</v>
      </c>
      <c r="J196" s="5" t="e">
        <f>VLOOKUP($A196,tropes!$A$4:$O$2428,10,FALSE)</f>
        <v>#N/A</v>
      </c>
      <c r="K196" s="5" t="e">
        <f>VLOOKUP($A196,tropes!$A$4:$O$2428,11,FALSE)</f>
        <v>#N/A</v>
      </c>
      <c r="L196" s="5" t="e">
        <f>VLOOKUP($A196,tropes!$A$4:$O$2428,12,FALSE)</f>
        <v>#N/A</v>
      </c>
      <c r="M196" s="5" t="e">
        <f>VLOOKUP($A196,tropes!$A$4:$O$2428,13,FALSE)</f>
        <v>#N/A</v>
      </c>
      <c r="N196" s="5"/>
    </row>
    <row r="197" spans="1:14" x14ac:dyDescent="0.3">
      <c r="A197" s="14"/>
      <c r="B197" s="5" t="e">
        <f>VLOOKUP($A197,tropes!$A$4:$O$2428,2,FALSE)</f>
        <v>#N/A</v>
      </c>
      <c r="C197" s="5" t="e">
        <f>VLOOKUP($A197,tropes!$A$4:$O$2428,3,FALSE)</f>
        <v>#N/A</v>
      </c>
      <c r="D197" s="5" t="e">
        <f>VLOOKUP($A197,tropes!$A$4:$O$2428,4,FALSE)</f>
        <v>#N/A</v>
      </c>
      <c r="E197" s="5" t="e">
        <f>VLOOKUP($A197,tropes!$A$4:$O$2428,5,FALSE)</f>
        <v>#N/A</v>
      </c>
      <c r="F197" s="5" t="e">
        <f>VLOOKUP($A197,tropes!$A$4:$O$2428,6,FALSE)</f>
        <v>#N/A</v>
      </c>
      <c r="G197" s="5" t="e">
        <f>VLOOKUP($A197,tropes!$A$4:$O$2428,7,FALSE)</f>
        <v>#N/A</v>
      </c>
      <c r="H197" s="5" t="e">
        <f>VLOOKUP($A197,tropes!$A$4:$O$2428,8,FALSE)</f>
        <v>#N/A</v>
      </c>
      <c r="I197" s="5" t="e">
        <f>VLOOKUP($A197,tropes!$A$4:$O$2428,9,FALSE)</f>
        <v>#N/A</v>
      </c>
      <c r="J197" s="5" t="e">
        <f>VLOOKUP($A197,tropes!$A$4:$O$2428,10,FALSE)</f>
        <v>#N/A</v>
      </c>
      <c r="K197" s="5" t="e">
        <f>VLOOKUP($A197,tropes!$A$4:$O$2428,11,FALSE)</f>
        <v>#N/A</v>
      </c>
      <c r="L197" s="5" t="e">
        <f>VLOOKUP($A197,tropes!$A$4:$O$2428,12,FALSE)</f>
        <v>#N/A</v>
      </c>
      <c r="M197" s="5" t="e">
        <f>VLOOKUP($A197,tropes!$A$4:$O$2428,13,FALSE)</f>
        <v>#N/A</v>
      </c>
      <c r="N197" s="5"/>
    </row>
    <row r="198" spans="1:14" x14ac:dyDescent="0.3">
      <c r="A198" s="14"/>
      <c r="B198" s="5" t="e">
        <f>VLOOKUP($A198,tropes!$A$4:$O$2428,2,FALSE)</f>
        <v>#N/A</v>
      </c>
      <c r="C198" s="5" t="e">
        <f>VLOOKUP($A198,tropes!$A$4:$O$2428,3,FALSE)</f>
        <v>#N/A</v>
      </c>
      <c r="D198" s="5" t="e">
        <f>VLOOKUP($A198,tropes!$A$4:$O$2428,4,FALSE)</f>
        <v>#N/A</v>
      </c>
      <c r="E198" s="5" t="e">
        <f>VLOOKUP($A198,tropes!$A$4:$O$2428,5,FALSE)</f>
        <v>#N/A</v>
      </c>
      <c r="F198" s="5" t="e">
        <f>VLOOKUP($A198,tropes!$A$4:$O$2428,6,FALSE)</f>
        <v>#N/A</v>
      </c>
      <c r="G198" s="5" t="e">
        <f>VLOOKUP($A198,tropes!$A$4:$O$2428,7,FALSE)</f>
        <v>#N/A</v>
      </c>
      <c r="H198" s="5" t="e">
        <f>VLOOKUP($A198,tropes!$A$4:$O$2428,8,FALSE)</f>
        <v>#N/A</v>
      </c>
      <c r="I198" s="5" t="e">
        <f>VLOOKUP($A198,tropes!$A$4:$O$2428,9,FALSE)</f>
        <v>#N/A</v>
      </c>
      <c r="J198" s="5" t="e">
        <f>VLOOKUP($A198,tropes!$A$4:$O$2428,10,FALSE)</f>
        <v>#N/A</v>
      </c>
      <c r="K198" s="5" t="e">
        <f>VLOOKUP($A198,tropes!$A$4:$O$2428,11,FALSE)</f>
        <v>#N/A</v>
      </c>
      <c r="L198" s="5" t="e">
        <f>VLOOKUP($A198,tropes!$A$4:$O$2428,12,FALSE)</f>
        <v>#N/A</v>
      </c>
      <c r="M198" s="5" t="e">
        <f>VLOOKUP($A198,tropes!$A$4:$O$2428,13,FALSE)</f>
        <v>#N/A</v>
      </c>
      <c r="N198" s="5"/>
    </row>
    <row r="199" spans="1:14" x14ac:dyDescent="0.3">
      <c r="A199" s="14"/>
      <c r="B199" s="5" t="e">
        <f>VLOOKUP($A199,tropes!$A$4:$O$2428,2,FALSE)</f>
        <v>#N/A</v>
      </c>
      <c r="C199" s="5" t="e">
        <f>VLOOKUP($A199,tropes!$A$4:$O$2428,3,FALSE)</f>
        <v>#N/A</v>
      </c>
      <c r="D199" s="5" t="e">
        <f>VLOOKUP($A199,tropes!$A$4:$O$2428,4,FALSE)</f>
        <v>#N/A</v>
      </c>
      <c r="E199" s="5" t="e">
        <f>VLOOKUP($A199,tropes!$A$4:$O$2428,5,FALSE)</f>
        <v>#N/A</v>
      </c>
      <c r="F199" s="5" t="e">
        <f>VLOOKUP($A199,tropes!$A$4:$O$2428,6,FALSE)</f>
        <v>#N/A</v>
      </c>
      <c r="G199" s="5" t="e">
        <f>VLOOKUP($A199,tropes!$A$4:$O$2428,7,FALSE)</f>
        <v>#N/A</v>
      </c>
      <c r="H199" s="5" t="e">
        <f>VLOOKUP($A199,tropes!$A$4:$O$2428,8,FALSE)</f>
        <v>#N/A</v>
      </c>
      <c r="I199" s="5" t="e">
        <f>VLOOKUP($A199,tropes!$A$4:$O$2428,9,FALSE)</f>
        <v>#N/A</v>
      </c>
      <c r="J199" s="5" t="e">
        <f>VLOOKUP($A199,tropes!$A$4:$O$2428,10,FALSE)</f>
        <v>#N/A</v>
      </c>
      <c r="K199" s="5" t="e">
        <f>VLOOKUP($A199,tropes!$A$4:$O$2428,11,FALSE)</f>
        <v>#N/A</v>
      </c>
      <c r="L199" s="5" t="e">
        <f>VLOOKUP($A199,tropes!$A$4:$O$2428,12,FALSE)</f>
        <v>#N/A</v>
      </c>
      <c r="M199" s="5" t="e">
        <f>VLOOKUP($A199,tropes!$A$4:$O$2428,13,FALSE)</f>
        <v>#N/A</v>
      </c>
      <c r="N199" s="5"/>
    </row>
    <row r="200" spans="1:14" x14ac:dyDescent="0.3">
      <c r="A200" s="14"/>
      <c r="B200" s="5" t="e">
        <f>VLOOKUP($A200,tropes!$A$4:$O$2428,2,FALSE)</f>
        <v>#N/A</v>
      </c>
      <c r="C200" s="5" t="e">
        <f>VLOOKUP($A200,tropes!$A$4:$O$2428,3,FALSE)</f>
        <v>#N/A</v>
      </c>
      <c r="D200" s="5" t="e">
        <f>VLOOKUP($A200,tropes!$A$4:$O$2428,4,FALSE)</f>
        <v>#N/A</v>
      </c>
      <c r="E200" s="5" t="e">
        <f>VLOOKUP($A200,tropes!$A$4:$O$2428,5,FALSE)</f>
        <v>#N/A</v>
      </c>
      <c r="F200" s="5" t="e">
        <f>VLOOKUP($A200,tropes!$A$4:$O$2428,6,FALSE)</f>
        <v>#N/A</v>
      </c>
      <c r="G200" s="5" t="e">
        <f>VLOOKUP($A200,tropes!$A$4:$O$2428,7,FALSE)</f>
        <v>#N/A</v>
      </c>
      <c r="H200" s="5" t="e">
        <f>VLOOKUP($A200,tropes!$A$4:$O$2428,8,FALSE)</f>
        <v>#N/A</v>
      </c>
      <c r="I200" s="5" t="e">
        <f>VLOOKUP($A200,tropes!$A$4:$O$2428,9,FALSE)</f>
        <v>#N/A</v>
      </c>
      <c r="J200" s="5" t="e">
        <f>VLOOKUP($A200,tropes!$A$4:$O$2428,10,FALSE)</f>
        <v>#N/A</v>
      </c>
      <c r="K200" s="5" t="e">
        <f>VLOOKUP($A200,tropes!$A$4:$O$2428,11,FALSE)</f>
        <v>#N/A</v>
      </c>
      <c r="L200" s="5" t="e">
        <f>VLOOKUP($A200,tropes!$A$4:$O$2428,12,FALSE)</f>
        <v>#N/A</v>
      </c>
      <c r="M200" s="5" t="e">
        <f>VLOOKUP($A200,tropes!$A$4:$O$2428,13,FALSE)</f>
        <v>#N/A</v>
      </c>
      <c r="N200" s="5"/>
    </row>
    <row r="201" spans="1:14" x14ac:dyDescent="0.3">
      <c r="A201" s="14"/>
      <c r="B201" s="5" t="e">
        <f>VLOOKUP($A201,tropes!$A$4:$O$2428,2,FALSE)</f>
        <v>#N/A</v>
      </c>
      <c r="C201" s="5" t="e">
        <f>VLOOKUP($A201,tropes!$A$4:$O$2428,3,FALSE)</f>
        <v>#N/A</v>
      </c>
      <c r="D201" s="5" t="e">
        <f>VLOOKUP($A201,tropes!$A$4:$O$2428,4,FALSE)</f>
        <v>#N/A</v>
      </c>
      <c r="E201" s="5" t="e">
        <f>VLOOKUP($A201,tropes!$A$4:$O$2428,5,FALSE)</f>
        <v>#N/A</v>
      </c>
      <c r="F201" s="5" t="e">
        <f>VLOOKUP($A201,tropes!$A$4:$O$2428,6,FALSE)</f>
        <v>#N/A</v>
      </c>
      <c r="G201" s="5" t="e">
        <f>VLOOKUP($A201,tropes!$A$4:$O$2428,7,FALSE)</f>
        <v>#N/A</v>
      </c>
      <c r="H201" s="5" t="e">
        <f>VLOOKUP($A201,tropes!$A$4:$O$2428,8,FALSE)</f>
        <v>#N/A</v>
      </c>
      <c r="I201" s="5" t="e">
        <f>VLOOKUP($A201,tropes!$A$4:$O$2428,9,FALSE)</f>
        <v>#N/A</v>
      </c>
      <c r="J201" s="5" t="e">
        <f>VLOOKUP($A201,tropes!$A$4:$O$2428,10,FALSE)</f>
        <v>#N/A</v>
      </c>
      <c r="K201" s="5" t="e">
        <f>VLOOKUP($A201,tropes!$A$4:$O$2428,11,FALSE)</f>
        <v>#N/A</v>
      </c>
      <c r="L201" s="5" t="e">
        <f>VLOOKUP($A201,tropes!$A$4:$O$2428,12,FALSE)</f>
        <v>#N/A</v>
      </c>
      <c r="M201" s="5" t="e">
        <f>VLOOKUP($A201,tropes!$A$4:$O$2428,13,FALSE)</f>
        <v>#N/A</v>
      </c>
      <c r="N201" s="5"/>
    </row>
    <row r="202" spans="1:14" x14ac:dyDescent="0.3">
      <c r="A202" s="14"/>
      <c r="B202" s="5" t="e">
        <f>VLOOKUP($A202,tropes!$A$4:$O$2428,2,FALSE)</f>
        <v>#N/A</v>
      </c>
      <c r="C202" s="5" t="e">
        <f>VLOOKUP($A202,tropes!$A$4:$O$2428,3,FALSE)</f>
        <v>#N/A</v>
      </c>
      <c r="D202" s="5" t="e">
        <f>VLOOKUP($A202,tropes!$A$4:$O$2428,4,FALSE)</f>
        <v>#N/A</v>
      </c>
      <c r="E202" s="5" t="e">
        <f>VLOOKUP($A202,tropes!$A$4:$O$2428,5,FALSE)</f>
        <v>#N/A</v>
      </c>
      <c r="F202" s="5" t="e">
        <f>VLOOKUP($A202,tropes!$A$4:$O$2428,6,FALSE)</f>
        <v>#N/A</v>
      </c>
      <c r="G202" s="5" t="e">
        <f>VLOOKUP($A202,tropes!$A$4:$O$2428,7,FALSE)</f>
        <v>#N/A</v>
      </c>
      <c r="H202" s="5" t="e">
        <f>VLOOKUP($A202,tropes!$A$4:$O$2428,8,FALSE)</f>
        <v>#N/A</v>
      </c>
      <c r="I202" s="5" t="e">
        <f>VLOOKUP($A202,tropes!$A$4:$O$2428,9,FALSE)</f>
        <v>#N/A</v>
      </c>
      <c r="J202" s="5" t="e">
        <f>VLOOKUP($A202,tropes!$A$4:$O$2428,10,FALSE)</f>
        <v>#N/A</v>
      </c>
      <c r="K202" s="5" t="e">
        <f>VLOOKUP($A202,tropes!$A$4:$O$2428,11,FALSE)</f>
        <v>#N/A</v>
      </c>
      <c r="L202" s="5" t="e">
        <f>VLOOKUP($A202,tropes!$A$4:$O$2428,12,FALSE)</f>
        <v>#N/A</v>
      </c>
      <c r="M202" s="5" t="e">
        <f>VLOOKUP($A202,tropes!$A$4:$O$2428,13,FALSE)</f>
        <v>#N/A</v>
      </c>
      <c r="N202" s="5"/>
    </row>
    <row r="203" spans="1:14" x14ac:dyDescent="0.3">
      <c r="A203" s="14"/>
      <c r="B203" s="5" t="e">
        <f>VLOOKUP($A203,tropes!$A$4:$O$2428,2,FALSE)</f>
        <v>#N/A</v>
      </c>
      <c r="C203" s="5" t="e">
        <f>VLOOKUP($A203,tropes!$A$4:$O$2428,3,FALSE)</f>
        <v>#N/A</v>
      </c>
      <c r="D203" s="5" t="e">
        <f>VLOOKUP($A203,tropes!$A$4:$O$2428,4,FALSE)</f>
        <v>#N/A</v>
      </c>
      <c r="E203" s="5" t="e">
        <f>VLOOKUP($A203,tropes!$A$4:$O$2428,5,FALSE)</f>
        <v>#N/A</v>
      </c>
      <c r="F203" s="5" t="e">
        <f>VLOOKUP($A203,tropes!$A$4:$O$2428,6,FALSE)</f>
        <v>#N/A</v>
      </c>
      <c r="G203" s="5" t="e">
        <f>VLOOKUP($A203,tropes!$A$4:$O$2428,7,FALSE)</f>
        <v>#N/A</v>
      </c>
      <c r="H203" s="5" t="e">
        <f>VLOOKUP($A203,tropes!$A$4:$O$2428,8,FALSE)</f>
        <v>#N/A</v>
      </c>
      <c r="I203" s="5" t="e">
        <f>VLOOKUP($A203,tropes!$A$4:$O$2428,9,FALSE)</f>
        <v>#N/A</v>
      </c>
      <c r="J203" s="5" t="e">
        <f>VLOOKUP($A203,tropes!$A$4:$O$2428,10,FALSE)</f>
        <v>#N/A</v>
      </c>
      <c r="K203" s="5" t="e">
        <f>VLOOKUP($A203,tropes!$A$4:$O$2428,11,FALSE)</f>
        <v>#N/A</v>
      </c>
      <c r="L203" s="5" t="e">
        <f>VLOOKUP($A203,tropes!$A$4:$O$2428,12,FALSE)</f>
        <v>#N/A</v>
      </c>
      <c r="M203" s="5" t="e">
        <f>VLOOKUP($A203,tropes!$A$4:$O$2428,13,FALSE)</f>
        <v>#N/A</v>
      </c>
      <c r="N203" s="5"/>
    </row>
    <row r="204" spans="1:14" x14ac:dyDescent="0.3">
      <c r="A204" s="14"/>
      <c r="B204" s="5" t="e">
        <f>VLOOKUP($A204,tropes!$A$4:$O$2428,2,FALSE)</f>
        <v>#N/A</v>
      </c>
      <c r="C204" s="5" t="e">
        <f>VLOOKUP($A204,tropes!$A$4:$O$2428,3,FALSE)</f>
        <v>#N/A</v>
      </c>
      <c r="D204" s="5" t="e">
        <f>VLOOKUP($A204,tropes!$A$4:$O$2428,4,FALSE)</f>
        <v>#N/A</v>
      </c>
      <c r="E204" s="5" t="e">
        <f>VLOOKUP($A204,tropes!$A$4:$O$2428,5,FALSE)</f>
        <v>#N/A</v>
      </c>
      <c r="F204" s="5" t="e">
        <f>VLOOKUP($A204,tropes!$A$4:$O$2428,6,FALSE)</f>
        <v>#N/A</v>
      </c>
      <c r="G204" s="5" t="e">
        <f>VLOOKUP($A204,tropes!$A$4:$O$2428,7,FALSE)</f>
        <v>#N/A</v>
      </c>
      <c r="H204" s="5" t="e">
        <f>VLOOKUP($A204,tropes!$A$4:$O$2428,8,FALSE)</f>
        <v>#N/A</v>
      </c>
      <c r="I204" s="5" t="e">
        <f>VLOOKUP($A204,tropes!$A$4:$O$2428,9,FALSE)</f>
        <v>#N/A</v>
      </c>
      <c r="J204" s="5" t="e">
        <f>VLOOKUP($A204,tropes!$A$4:$O$2428,10,FALSE)</f>
        <v>#N/A</v>
      </c>
      <c r="K204" s="5" t="e">
        <f>VLOOKUP($A204,tropes!$A$4:$O$2428,11,FALSE)</f>
        <v>#N/A</v>
      </c>
      <c r="L204" s="5" t="e">
        <f>VLOOKUP($A204,tropes!$A$4:$O$2428,12,FALSE)</f>
        <v>#N/A</v>
      </c>
      <c r="M204" s="5" t="e">
        <f>VLOOKUP($A204,tropes!$A$4:$O$2428,13,FALSE)</f>
        <v>#N/A</v>
      </c>
      <c r="N204" s="5"/>
    </row>
    <row r="205" spans="1:14" x14ac:dyDescent="0.3">
      <c r="A205" s="14"/>
      <c r="B205" s="5" t="e">
        <f>VLOOKUP($A205,tropes!$A$4:$O$2428,2,FALSE)</f>
        <v>#N/A</v>
      </c>
      <c r="C205" s="5" t="e">
        <f>VLOOKUP($A205,tropes!$A$4:$O$2428,3,FALSE)</f>
        <v>#N/A</v>
      </c>
      <c r="D205" s="5" t="e">
        <f>VLOOKUP($A205,tropes!$A$4:$O$2428,4,FALSE)</f>
        <v>#N/A</v>
      </c>
      <c r="E205" s="5" t="e">
        <f>VLOOKUP($A205,tropes!$A$4:$O$2428,5,FALSE)</f>
        <v>#N/A</v>
      </c>
      <c r="F205" s="5" t="e">
        <f>VLOOKUP($A205,tropes!$A$4:$O$2428,6,FALSE)</f>
        <v>#N/A</v>
      </c>
      <c r="G205" s="5" t="e">
        <f>VLOOKUP($A205,tropes!$A$4:$O$2428,7,FALSE)</f>
        <v>#N/A</v>
      </c>
      <c r="H205" s="5" t="e">
        <f>VLOOKUP($A205,tropes!$A$4:$O$2428,8,FALSE)</f>
        <v>#N/A</v>
      </c>
      <c r="I205" s="5" t="e">
        <f>VLOOKUP($A205,tropes!$A$4:$O$2428,9,FALSE)</f>
        <v>#N/A</v>
      </c>
      <c r="J205" s="5" t="e">
        <f>VLOOKUP($A205,tropes!$A$4:$O$2428,10,FALSE)</f>
        <v>#N/A</v>
      </c>
      <c r="K205" s="5" t="e">
        <f>VLOOKUP($A205,tropes!$A$4:$O$2428,11,FALSE)</f>
        <v>#N/A</v>
      </c>
      <c r="L205" s="5" t="e">
        <f>VLOOKUP($A205,tropes!$A$4:$O$2428,12,FALSE)</f>
        <v>#N/A</v>
      </c>
      <c r="M205" s="5" t="e">
        <f>VLOOKUP($A205,tropes!$A$4:$O$2428,13,FALSE)</f>
        <v>#N/A</v>
      </c>
      <c r="N205" s="5"/>
    </row>
    <row r="206" spans="1:14" x14ac:dyDescent="0.3">
      <c r="A206" s="14"/>
      <c r="B206" s="5" t="e">
        <f>VLOOKUP($A206,tropes!$A$4:$O$2428,2,FALSE)</f>
        <v>#N/A</v>
      </c>
      <c r="C206" s="5" t="e">
        <f>VLOOKUP($A206,tropes!$A$4:$O$2428,3,FALSE)</f>
        <v>#N/A</v>
      </c>
      <c r="D206" s="5" t="e">
        <f>VLOOKUP($A206,tropes!$A$4:$O$2428,4,FALSE)</f>
        <v>#N/A</v>
      </c>
      <c r="E206" s="5" t="e">
        <f>VLOOKUP($A206,tropes!$A$4:$O$2428,5,FALSE)</f>
        <v>#N/A</v>
      </c>
      <c r="F206" s="5" t="e">
        <f>VLOOKUP($A206,tropes!$A$4:$O$2428,6,FALSE)</f>
        <v>#N/A</v>
      </c>
      <c r="G206" s="5" t="e">
        <f>VLOOKUP($A206,tropes!$A$4:$O$2428,7,FALSE)</f>
        <v>#N/A</v>
      </c>
      <c r="H206" s="5" t="e">
        <f>VLOOKUP($A206,tropes!$A$4:$O$2428,8,FALSE)</f>
        <v>#N/A</v>
      </c>
      <c r="I206" s="5" t="e">
        <f>VLOOKUP($A206,tropes!$A$4:$O$2428,9,FALSE)</f>
        <v>#N/A</v>
      </c>
      <c r="J206" s="5" t="e">
        <f>VLOOKUP($A206,tropes!$A$4:$O$2428,10,FALSE)</f>
        <v>#N/A</v>
      </c>
      <c r="K206" s="5" t="e">
        <f>VLOOKUP($A206,tropes!$A$4:$O$2428,11,FALSE)</f>
        <v>#N/A</v>
      </c>
      <c r="L206" s="5" t="e">
        <f>VLOOKUP($A206,tropes!$A$4:$O$2428,12,FALSE)</f>
        <v>#N/A</v>
      </c>
      <c r="M206" s="5" t="e">
        <f>VLOOKUP($A206,tropes!$A$4:$O$2428,13,FALSE)</f>
        <v>#N/A</v>
      </c>
      <c r="N206" s="5"/>
    </row>
    <row r="207" spans="1:14" x14ac:dyDescent="0.3">
      <c r="A207" s="14"/>
      <c r="B207" s="5" t="e">
        <f>VLOOKUP($A207,tropes!$A$4:$O$2428,2,FALSE)</f>
        <v>#N/A</v>
      </c>
      <c r="C207" s="5" t="e">
        <f>VLOOKUP($A207,tropes!$A$4:$O$2428,3,FALSE)</f>
        <v>#N/A</v>
      </c>
      <c r="D207" s="5" t="e">
        <f>VLOOKUP($A207,tropes!$A$4:$O$2428,4,FALSE)</f>
        <v>#N/A</v>
      </c>
      <c r="E207" s="5" t="e">
        <f>VLOOKUP($A207,tropes!$A$4:$O$2428,5,FALSE)</f>
        <v>#N/A</v>
      </c>
      <c r="F207" s="5" t="e">
        <f>VLOOKUP($A207,tropes!$A$4:$O$2428,6,FALSE)</f>
        <v>#N/A</v>
      </c>
      <c r="G207" s="5" t="e">
        <f>VLOOKUP($A207,tropes!$A$4:$O$2428,7,FALSE)</f>
        <v>#N/A</v>
      </c>
      <c r="H207" s="5" t="e">
        <f>VLOOKUP($A207,tropes!$A$4:$O$2428,8,FALSE)</f>
        <v>#N/A</v>
      </c>
      <c r="I207" s="5" t="e">
        <f>VLOOKUP($A207,tropes!$A$4:$O$2428,9,FALSE)</f>
        <v>#N/A</v>
      </c>
      <c r="J207" s="5" t="e">
        <f>VLOOKUP($A207,tropes!$A$4:$O$2428,10,FALSE)</f>
        <v>#N/A</v>
      </c>
      <c r="K207" s="5" t="e">
        <f>VLOOKUP($A207,tropes!$A$4:$O$2428,11,FALSE)</f>
        <v>#N/A</v>
      </c>
      <c r="L207" s="5" t="e">
        <f>VLOOKUP($A207,tropes!$A$4:$O$2428,12,FALSE)</f>
        <v>#N/A</v>
      </c>
      <c r="M207" s="5" t="e">
        <f>VLOOKUP($A207,tropes!$A$4:$O$2428,13,FALSE)</f>
        <v>#N/A</v>
      </c>
      <c r="N207" s="5"/>
    </row>
    <row r="208" spans="1:14" x14ac:dyDescent="0.3">
      <c r="A208" s="14"/>
      <c r="B208" s="5" t="e">
        <f>VLOOKUP($A208,tropes!$A$4:$O$2428,2,FALSE)</f>
        <v>#N/A</v>
      </c>
      <c r="C208" s="5" t="e">
        <f>VLOOKUP($A208,tropes!$A$4:$O$2428,3,FALSE)</f>
        <v>#N/A</v>
      </c>
      <c r="D208" s="5" t="e">
        <f>VLOOKUP($A208,tropes!$A$4:$O$2428,4,FALSE)</f>
        <v>#N/A</v>
      </c>
      <c r="E208" s="5" t="e">
        <f>VLOOKUP($A208,tropes!$A$4:$O$2428,5,FALSE)</f>
        <v>#N/A</v>
      </c>
      <c r="F208" s="5" t="e">
        <f>VLOOKUP($A208,tropes!$A$4:$O$2428,6,FALSE)</f>
        <v>#N/A</v>
      </c>
      <c r="G208" s="5" t="e">
        <f>VLOOKUP($A208,tropes!$A$4:$O$2428,7,FALSE)</f>
        <v>#N/A</v>
      </c>
      <c r="H208" s="5" t="e">
        <f>VLOOKUP($A208,tropes!$A$4:$O$2428,8,FALSE)</f>
        <v>#N/A</v>
      </c>
      <c r="I208" s="5" t="e">
        <f>VLOOKUP($A208,tropes!$A$4:$O$2428,9,FALSE)</f>
        <v>#N/A</v>
      </c>
      <c r="J208" s="5" t="e">
        <f>VLOOKUP($A208,tropes!$A$4:$O$2428,10,FALSE)</f>
        <v>#N/A</v>
      </c>
      <c r="K208" s="5" t="e">
        <f>VLOOKUP($A208,tropes!$A$4:$O$2428,11,FALSE)</f>
        <v>#N/A</v>
      </c>
      <c r="L208" s="5" t="e">
        <f>VLOOKUP($A208,tropes!$A$4:$O$2428,12,FALSE)</f>
        <v>#N/A</v>
      </c>
      <c r="M208" s="5" t="e">
        <f>VLOOKUP($A208,tropes!$A$4:$O$2428,13,FALSE)</f>
        <v>#N/A</v>
      </c>
      <c r="N208" s="5"/>
    </row>
    <row r="209" spans="1:14" x14ac:dyDescent="0.3">
      <c r="A209" s="14"/>
      <c r="B209" s="5" t="e">
        <f>VLOOKUP($A209,tropes!$A$4:$O$2428,2,FALSE)</f>
        <v>#N/A</v>
      </c>
      <c r="C209" s="5" t="e">
        <f>VLOOKUP($A209,tropes!$A$4:$O$2428,3,FALSE)</f>
        <v>#N/A</v>
      </c>
      <c r="D209" s="5" t="e">
        <f>VLOOKUP($A209,tropes!$A$4:$O$2428,4,FALSE)</f>
        <v>#N/A</v>
      </c>
      <c r="E209" s="5" t="e">
        <f>VLOOKUP($A209,tropes!$A$4:$O$2428,5,FALSE)</f>
        <v>#N/A</v>
      </c>
      <c r="F209" s="5" t="e">
        <f>VLOOKUP($A209,tropes!$A$4:$O$2428,6,FALSE)</f>
        <v>#N/A</v>
      </c>
      <c r="G209" s="5" t="e">
        <f>VLOOKUP($A209,tropes!$A$4:$O$2428,7,FALSE)</f>
        <v>#N/A</v>
      </c>
      <c r="H209" s="5" t="e">
        <f>VLOOKUP($A209,tropes!$A$4:$O$2428,8,FALSE)</f>
        <v>#N/A</v>
      </c>
      <c r="I209" s="5" t="e">
        <f>VLOOKUP($A209,tropes!$A$4:$O$2428,9,FALSE)</f>
        <v>#N/A</v>
      </c>
      <c r="J209" s="5" t="e">
        <f>VLOOKUP($A209,tropes!$A$4:$O$2428,10,FALSE)</f>
        <v>#N/A</v>
      </c>
      <c r="K209" s="5" t="e">
        <f>VLOOKUP($A209,tropes!$A$4:$O$2428,11,FALSE)</f>
        <v>#N/A</v>
      </c>
      <c r="L209" s="5" t="e">
        <f>VLOOKUP($A209,tropes!$A$4:$O$2428,12,FALSE)</f>
        <v>#N/A</v>
      </c>
      <c r="M209" s="5" t="e">
        <f>VLOOKUP($A209,tropes!$A$4:$O$2428,13,FALSE)</f>
        <v>#N/A</v>
      </c>
      <c r="N209" s="5"/>
    </row>
    <row r="210" spans="1:14" x14ac:dyDescent="0.3">
      <c r="A210" s="14"/>
      <c r="B210" s="5" t="e">
        <f>VLOOKUP($A210,tropes!$A$4:$O$2428,2,FALSE)</f>
        <v>#N/A</v>
      </c>
      <c r="C210" s="5" t="e">
        <f>VLOOKUP($A210,tropes!$A$4:$O$2428,3,FALSE)</f>
        <v>#N/A</v>
      </c>
      <c r="D210" s="5" t="e">
        <f>VLOOKUP($A210,tropes!$A$4:$O$2428,4,FALSE)</f>
        <v>#N/A</v>
      </c>
      <c r="E210" s="5" t="e">
        <f>VLOOKUP($A210,tropes!$A$4:$O$2428,5,FALSE)</f>
        <v>#N/A</v>
      </c>
      <c r="F210" s="5" t="e">
        <f>VLOOKUP($A210,tropes!$A$4:$O$2428,6,FALSE)</f>
        <v>#N/A</v>
      </c>
      <c r="G210" s="5" t="e">
        <f>VLOOKUP($A210,tropes!$A$4:$O$2428,7,FALSE)</f>
        <v>#N/A</v>
      </c>
      <c r="H210" s="5" t="e">
        <f>VLOOKUP($A210,tropes!$A$4:$O$2428,8,FALSE)</f>
        <v>#N/A</v>
      </c>
      <c r="I210" s="5" t="e">
        <f>VLOOKUP($A210,tropes!$A$4:$O$2428,9,FALSE)</f>
        <v>#N/A</v>
      </c>
      <c r="J210" s="5" t="e">
        <f>VLOOKUP($A210,tropes!$A$4:$O$2428,10,FALSE)</f>
        <v>#N/A</v>
      </c>
      <c r="K210" s="5" t="e">
        <f>VLOOKUP($A210,tropes!$A$4:$O$2428,11,FALSE)</f>
        <v>#N/A</v>
      </c>
      <c r="L210" s="5" t="e">
        <f>VLOOKUP($A210,tropes!$A$4:$O$2428,12,FALSE)</f>
        <v>#N/A</v>
      </c>
      <c r="M210" s="5" t="e">
        <f>VLOOKUP($A210,tropes!$A$4:$O$2428,13,FALSE)</f>
        <v>#N/A</v>
      </c>
      <c r="N210" s="5"/>
    </row>
    <row r="211" spans="1:14" x14ac:dyDescent="0.3">
      <c r="A211" s="14"/>
      <c r="B211" s="5" t="e">
        <f>VLOOKUP($A211,tropes!$A$4:$O$2428,2,FALSE)</f>
        <v>#N/A</v>
      </c>
      <c r="C211" s="5" t="e">
        <f>VLOOKUP($A211,tropes!$A$4:$O$2428,3,FALSE)</f>
        <v>#N/A</v>
      </c>
      <c r="D211" s="5" t="e">
        <f>VLOOKUP($A211,tropes!$A$4:$O$2428,4,FALSE)</f>
        <v>#N/A</v>
      </c>
      <c r="E211" s="5" t="e">
        <f>VLOOKUP($A211,tropes!$A$4:$O$2428,5,FALSE)</f>
        <v>#N/A</v>
      </c>
      <c r="F211" s="5" t="e">
        <f>VLOOKUP($A211,tropes!$A$4:$O$2428,6,FALSE)</f>
        <v>#N/A</v>
      </c>
      <c r="G211" s="5" t="e">
        <f>VLOOKUP($A211,tropes!$A$4:$O$2428,7,FALSE)</f>
        <v>#N/A</v>
      </c>
      <c r="H211" s="5" t="e">
        <f>VLOOKUP($A211,tropes!$A$4:$O$2428,8,FALSE)</f>
        <v>#N/A</v>
      </c>
      <c r="I211" s="5" t="e">
        <f>VLOOKUP($A211,tropes!$A$4:$O$2428,9,FALSE)</f>
        <v>#N/A</v>
      </c>
      <c r="J211" s="5" t="e">
        <f>VLOOKUP($A211,tropes!$A$4:$O$2428,10,FALSE)</f>
        <v>#N/A</v>
      </c>
      <c r="K211" s="5" t="e">
        <f>VLOOKUP($A211,tropes!$A$4:$O$2428,11,FALSE)</f>
        <v>#N/A</v>
      </c>
      <c r="L211" s="5" t="e">
        <f>VLOOKUP($A211,tropes!$A$4:$O$2428,12,FALSE)</f>
        <v>#N/A</v>
      </c>
      <c r="M211" s="5" t="e">
        <f>VLOOKUP($A211,tropes!$A$4:$O$2428,13,FALSE)</f>
        <v>#N/A</v>
      </c>
      <c r="N211" s="5"/>
    </row>
    <row r="212" spans="1:14" x14ac:dyDescent="0.3">
      <c r="A212" s="14"/>
      <c r="B212" s="5" t="e">
        <f>VLOOKUP($A212,tropes!$A$4:$O$2428,2,FALSE)</f>
        <v>#N/A</v>
      </c>
      <c r="C212" s="5" t="e">
        <f>VLOOKUP($A212,tropes!$A$4:$O$2428,3,FALSE)</f>
        <v>#N/A</v>
      </c>
      <c r="D212" s="5" t="e">
        <f>VLOOKUP($A212,tropes!$A$4:$O$2428,4,FALSE)</f>
        <v>#N/A</v>
      </c>
      <c r="E212" s="5" t="e">
        <f>VLOOKUP($A212,tropes!$A$4:$O$2428,5,FALSE)</f>
        <v>#N/A</v>
      </c>
      <c r="F212" s="5" t="e">
        <f>VLOOKUP($A212,tropes!$A$4:$O$2428,6,FALSE)</f>
        <v>#N/A</v>
      </c>
      <c r="G212" s="5" t="e">
        <f>VLOOKUP($A212,tropes!$A$4:$O$2428,7,FALSE)</f>
        <v>#N/A</v>
      </c>
      <c r="H212" s="5" t="e">
        <f>VLOOKUP($A212,tropes!$A$4:$O$2428,8,FALSE)</f>
        <v>#N/A</v>
      </c>
      <c r="I212" s="5" t="e">
        <f>VLOOKUP($A212,tropes!$A$4:$O$2428,9,FALSE)</f>
        <v>#N/A</v>
      </c>
      <c r="J212" s="5" t="e">
        <f>VLOOKUP($A212,tropes!$A$4:$O$2428,10,FALSE)</f>
        <v>#N/A</v>
      </c>
      <c r="K212" s="5" t="e">
        <f>VLOOKUP($A212,tropes!$A$4:$O$2428,11,FALSE)</f>
        <v>#N/A</v>
      </c>
      <c r="L212" s="5" t="e">
        <f>VLOOKUP($A212,tropes!$A$4:$O$2428,12,FALSE)</f>
        <v>#N/A</v>
      </c>
      <c r="M212" s="5" t="e">
        <f>VLOOKUP($A212,tropes!$A$4:$O$2428,13,FALSE)</f>
        <v>#N/A</v>
      </c>
      <c r="N212" s="5"/>
    </row>
    <row r="213" spans="1:14" x14ac:dyDescent="0.3">
      <c r="A213" s="14"/>
      <c r="B213" s="5" t="e">
        <f>VLOOKUP($A213,tropes!$A$4:$O$2428,2,FALSE)</f>
        <v>#N/A</v>
      </c>
      <c r="C213" s="5" t="e">
        <f>VLOOKUP($A213,tropes!$A$4:$O$2428,3,FALSE)</f>
        <v>#N/A</v>
      </c>
      <c r="D213" s="5" t="e">
        <f>VLOOKUP($A213,tropes!$A$4:$O$2428,4,FALSE)</f>
        <v>#N/A</v>
      </c>
      <c r="E213" s="5" t="e">
        <f>VLOOKUP($A213,tropes!$A$4:$O$2428,5,FALSE)</f>
        <v>#N/A</v>
      </c>
      <c r="F213" s="5" t="e">
        <f>VLOOKUP($A213,tropes!$A$4:$O$2428,6,FALSE)</f>
        <v>#N/A</v>
      </c>
      <c r="G213" s="5" t="e">
        <f>VLOOKUP($A213,tropes!$A$4:$O$2428,7,FALSE)</f>
        <v>#N/A</v>
      </c>
      <c r="H213" s="5" t="e">
        <f>VLOOKUP($A213,tropes!$A$4:$O$2428,8,FALSE)</f>
        <v>#N/A</v>
      </c>
      <c r="I213" s="5" t="e">
        <f>VLOOKUP($A213,tropes!$A$4:$O$2428,9,FALSE)</f>
        <v>#N/A</v>
      </c>
      <c r="J213" s="5" t="e">
        <f>VLOOKUP($A213,tropes!$A$4:$O$2428,10,FALSE)</f>
        <v>#N/A</v>
      </c>
      <c r="K213" s="5" t="e">
        <f>VLOOKUP($A213,tropes!$A$4:$O$2428,11,FALSE)</f>
        <v>#N/A</v>
      </c>
      <c r="L213" s="5" t="e">
        <f>VLOOKUP($A213,tropes!$A$4:$O$2428,12,FALSE)</f>
        <v>#N/A</v>
      </c>
      <c r="M213" s="5" t="e">
        <f>VLOOKUP($A213,tropes!$A$4:$O$2428,13,FALSE)</f>
        <v>#N/A</v>
      </c>
      <c r="N213" s="5"/>
    </row>
    <row r="214" spans="1:14" x14ac:dyDescent="0.3">
      <c r="A214" s="14"/>
      <c r="B214" s="5" t="e">
        <f>VLOOKUP($A214,tropes!$A$4:$O$2428,2,FALSE)</f>
        <v>#N/A</v>
      </c>
      <c r="C214" s="5" t="e">
        <f>VLOOKUP($A214,tropes!$A$4:$O$2428,3,FALSE)</f>
        <v>#N/A</v>
      </c>
      <c r="D214" s="5" t="e">
        <f>VLOOKUP($A214,tropes!$A$4:$O$2428,4,FALSE)</f>
        <v>#N/A</v>
      </c>
      <c r="E214" s="5" t="e">
        <f>VLOOKUP($A214,tropes!$A$4:$O$2428,5,FALSE)</f>
        <v>#N/A</v>
      </c>
      <c r="F214" s="5" t="e">
        <f>VLOOKUP($A214,tropes!$A$4:$O$2428,6,FALSE)</f>
        <v>#N/A</v>
      </c>
      <c r="G214" s="5" t="e">
        <f>VLOOKUP($A214,tropes!$A$4:$O$2428,7,FALSE)</f>
        <v>#N/A</v>
      </c>
      <c r="H214" s="5" t="e">
        <f>VLOOKUP($A214,tropes!$A$4:$O$2428,8,FALSE)</f>
        <v>#N/A</v>
      </c>
      <c r="I214" s="5" t="e">
        <f>VLOOKUP($A214,tropes!$A$4:$O$2428,9,FALSE)</f>
        <v>#N/A</v>
      </c>
      <c r="J214" s="5" t="e">
        <f>VLOOKUP($A214,tropes!$A$4:$O$2428,10,FALSE)</f>
        <v>#N/A</v>
      </c>
      <c r="K214" s="5" t="e">
        <f>VLOOKUP($A214,tropes!$A$4:$O$2428,11,FALSE)</f>
        <v>#N/A</v>
      </c>
      <c r="L214" s="5" t="e">
        <f>VLOOKUP($A214,tropes!$A$4:$O$2428,12,FALSE)</f>
        <v>#N/A</v>
      </c>
      <c r="M214" s="5" t="e">
        <f>VLOOKUP($A214,tropes!$A$4:$O$2428,13,FALSE)</f>
        <v>#N/A</v>
      </c>
      <c r="N214" s="5"/>
    </row>
    <row r="215" spans="1:14" x14ac:dyDescent="0.3">
      <c r="A215" s="14"/>
      <c r="B215" s="5" t="e">
        <f>VLOOKUP($A215,tropes!$A$4:$O$2428,2,FALSE)</f>
        <v>#N/A</v>
      </c>
      <c r="C215" s="5" t="e">
        <f>VLOOKUP($A215,tropes!$A$4:$O$2428,3,FALSE)</f>
        <v>#N/A</v>
      </c>
      <c r="D215" s="5" t="e">
        <f>VLOOKUP($A215,tropes!$A$4:$O$2428,4,FALSE)</f>
        <v>#N/A</v>
      </c>
      <c r="E215" s="5" t="e">
        <f>VLOOKUP($A215,tropes!$A$4:$O$2428,5,FALSE)</f>
        <v>#N/A</v>
      </c>
      <c r="F215" s="5" t="e">
        <f>VLOOKUP($A215,tropes!$A$4:$O$2428,6,FALSE)</f>
        <v>#N/A</v>
      </c>
      <c r="G215" s="5" t="e">
        <f>VLOOKUP($A215,tropes!$A$4:$O$2428,7,FALSE)</f>
        <v>#N/A</v>
      </c>
      <c r="H215" s="5" t="e">
        <f>VLOOKUP($A215,tropes!$A$4:$O$2428,8,FALSE)</f>
        <v>#N/A</v>
      </c>
      <c r="I215" s="5" t="e">
        <f>VLOOKUP($A215,tropes!$A$4:$O$2428,9,FALSE)</f>
        <v>#N/A</v>
      </c>
      <c r="J215" s="5" t="e">
        <f>VLOOKUP($A215,tropes!$A$4:$O$2428,10,FALSE)</f>
        <v>#N/A</v>
      </c>
      <c r="K215" s="5" t="e">
        <f>VLOOKUP($A215,tropes!$A$4:$O$2428,11,FALSE)</f>
        <v>#N/A</v>
      </c>
      <c r="L215" s="5" t="e">
        <f>VLOOKUP($A215,tropes!$A$4:$O$2428,12,FALSE)</f>
        <v>#N/A</v>
      </c>
      <c r="M215" s="5" t="e">
        <f>VLOOKUP($A215,tropes!$A$4:$O$2428,13,FALSE)</f>
        <v>#N/A</v>
      </c>
      <c r="N215" s="5"/>
    </row>
    <row r="216" spans="1:14" x14ac:dyDescent="0.3">
      <c r="A216" s="14"/>
      <c r="B216" s="5" t="e">
        <f>VLOOKUP($A216,tropes!$A$4:$O$2428,2,FALSE)</f>
        <v>#N/A</v>
      </c>
      <c r="C216" s="5" t="e">
        <f>VLOOKUP($A216,tropes!$A$4:$O$2428,3,FALSE)</f>
        <v>#N/A</v>
      </c>
      <c r="D216" s="5" t="e">
        <f>VLOOKUP($A216,tropes!$A$4:$O$2428,4,FALSE)</f>
        <v>#N/A</v>
      </c>
      <c r="E216" s="5" t="e">
        <f>VLOOKUP($A216,tropes!$A$4:$O$2428,5,FALSE)</f>
        <v>#N/A</v>
      </c>
      <c r="F216" s="5" t="e">
        <f>VLOOKUP($A216,tropes!$A$4:$O$2428,6,FALSE)</f>
        <v>#N/A</v>
      </c>
      <c r="G216" s="5" t="e">
        <f>VLOOKUP($A216,tropes!$A$4:$O$2428,7,FALSE)</f>
        <v>#N/A</v>
      </c>
      <c r="H216" s="5" t="e">
        <f>VLOOKUP($A216,tropes!$A$4:$O$2428,8,FALSE)</f>
        <v>#N/A</v>
      </c>
      <c r="I216" s="5" t="e">
        <f>VLOOKUP($A216,tropes!$A$4:$O$2428,9,FALSE)</f>
        <v>#N/A</v>
      </c>
      <c r="J216" s="5" t="e">
        <f>VLOOKUP($A216,tropes!$A$4:$O$2428,10,FALSE)</f>
        <v>#N/A</v>
      </c>
      <c r="K216" s="5" t="e">
        <f>VLOOKUP($A216,tropes!$A$4:$O$2428,11,FALSE)</f>
        <v>#N/A</v>
      </c>
      <c r="L216" s="5" t="e">
        <f>VLOOKUP($A216,tropes!$A$4:$O$2428,12,FALSE)</f>
        <v>#N/A</v>
      </c>
      <c r="M216" s="5" t="e">
        <f>VLOOKUP($A216,tropes!$A$4:$O$2428,13,FALSE)</f>
        <v>#N/A</v>
      </c>
      <c r="N216" s="5"/>
    </row>
    <row r="217" spans="1:14" x14ac:dyDescent="0.3">
      <c r="A217" s="14"/>
      <c r="B217" s="5" t="e">
        <f>VLOOKUP($A217,tropes!$A$4:$O$2428,2,FALSE)</f>
        <v>#N/A</v>
      </c>
      <c r="C217" s="5" t="e">
        <f>VLOOKUP($A217,tropes!$A$4:$O$2428,3,FALSE)</f>
        <v>#N/A</v>
      </c>
      <c r="D217" s="5" t="e">
        <f>VLOOKUP($A217,tropes!$A$4:$O$2428,4,FALSE)</f>
        <v>#N/A</v>
      </c>
      <c r="E217" s="5" t="e">
        <f>VLOOKUP($A217,tropes!$A$4:$O$2428,5,FALSE)</f>
        <v>#N/A</v>
      </c>
      <c r="F217" s="5" t="e">
        <f>VLOOKUP($A217,tropes!$A$4:$O$2428,6,FALSE)</f>
        <v>#N/A</v>
      </c>
      <c r="G217" s="5" t="e">
        <f>VLOOKUP($A217,tropes!$A$4:$O$2428,7,FALSE)</f>
        <v>#N/A</v>
      </c>
      <c r="H217" s="5" t="e">
        <f>VLOOKUP($A217,tropes!$A$4:$O$2428,8,FALSE)</f>
        <v>#N/A</v>
      </c>
      <c r="I217" s="5" t="e">
        <f>VLOOKUP($A217,tropes!$A$4:$O$2428,9,FALSE)</f>
        <v>#N/A</v>
      </c>
      <c r="J217" s="5" t="e">
        <f>VLOOKUP($A217,tropes!$A$4:$O$2428,10,FALSE)</f>
        <v>#N/A</v>
      </c>
      <c r="K217" s="5" t="e">
        <f>VLOOKUP($A217,tropes!$A$4:$O$2428,11,FALSE)</f>
        <v>#N/A</v>
      </c>
      <c r="L217" s="5" t="e">
        <f>VLOOKUP($A217,tropes!$A$4:$O$2428,12,FALSE)</f>
        <v>#N/A</v>
      </c>
      <c r="M217" s="5" t="e">
        <f>VLOOKUP($A217,tropes!$A$4:$O$2428,13,FALSE)</f>
        <v>#N/A</v>
      </c>
      <c r="N217" s="5"/>
    </row>
    <row r="218" spans="1:14" x14ac:dyDescent="0.3">
      <c r="A218" s="14"/>
      <c r="B218" s="5" t="e">
        <f>VLOOKUP($A218,tropes!$A$4:$O$2428,2,FALSE)</f>
        <v>#N/A</v>
      </c>
      <c r="C218" s="5" t="e">
        <f>VLOOKUP($A218,tropes!$A$4:$O$2428,3,FALSE)</f>
        <v>#N/A</v>
      </c>
      <c r="D218" s="5" t="e">
        <f>VLOOKUP($A218,tropes!$A$4:$O$2428,4,FALSE)</f>
        <v>#N/A</v>
      </c>
      <c r="E218" s="5" t="e">
        <f>VLOOKUP($A218,tropes!$A$4:$O$2428,5,FALSE)</f>
        <v>#N/A</v>
      </c>
      <c r="F218" s="5" t="e">
        <f>VLOOKUP($A218,tropes!$A$4:$O$2428,6,FALSE)</f>
        <v>#N/A</v>
      </c>
      <c r="G218" s="5" t="e">
        <f>VLOOKUP($A218,tropes!$A$4:$O$2428,7,FALSE)</f>
        <v>#N/A</v>
      </c>
      <c r="H218" s="5" t="e">
        <f>VLOOKUP($A218,tropes!$A$4:$O$2428,8,FALSE)</f>
        <v>#N/A</v>
      </c>
      <c r="I218" s="5" t="e">
        <f>VLOOKUP($A218,tropes!$A$4:$O$2428,9,FALSE)</f>
        <v>#N/A</v>
      </c>
      <c r="J218" s="5" t="e">
        <f>VLOOKUP($A218,tropes!$A$4:$O$2428,10,FALSE)</f>
        <v>#N/A</v>
      </c>
      <c r="K218" s="5" t="e">
        <f>VLOOKUP($A218,tropes!$A$4:$O$2428,11,FALSE)</f>
        <v>#N/A</v>
      </c>
      <c r="L218" s="5" t="e">
        <f>VLOOKUP($A218,tropes!$A$4:$O$2428,12,FALSE)</f>
        <v>#N/A</v>
      </c>
      <c r="M218" s="5" t="e">
        <f>VLOOKUP($A218,tropes!$A$4:$O$2428,13,FALSE)</f>
        <v>#N/A</v>
      </c>
      <c r="N218" s="5"/>
    </row>
    <row r="219" spans="1:14" x14ac:dyDescent="0.3">
      <c r="A219" s="14"/>
      <c r="B219" s="5" t="e">
        <f>VLOOKUP($A219,tropes!$A$4:$O$2428,2,FALSE)</f>
        <v>#N/A</v>
      </c>
      <c r="C219" s="5" t="e">
        <f>VLOOKUP($A219,tropes!$A$4:$O$2428,3,FALSE)</f>
        <v>#N/A</v>
      </c>
      <c r="D219" s="5" t="e">
        <f>VLOOKUP($A219,tropes!$A$4:$O$2428,4,FALSE)</f>
        <v>#N/A</v>
      </c>
      <c r="E219" s="5" t="e">
        <f>VLOOKUP($A219,tropes!$A$4:$O$2428,5,FALSE)</f>
        <v>#N/A</v>
      </c>
      <c r="F219" s="5" t="e">
        <f>VLOOKUP($A219,tropes!$A$4:$O$2428,6,FALSE)</f>
        <v>#N/A</v>
      </c>
      <c r="G219" s="5" t="e">
        <f>VLOOKUP($A219,tropes!$A$4:$O$2428,7,FALSE)</f>
        <v>#N/A</v>
      </c>
      <c r="H219" s="5" t="e">
        <f>VLOOKUP($A219,tropes!$A$4:$O$2428,8,FALSE)</f>
        <v>#N/A</v>
      </c>
      <c r="I219" s="5" t="e">
        <f>VLOOKUP($A219,tropes!$A$4:$O$2428,9,FALSE)</f>
        <v>#N/A</v>
      </c>
      <c r="J219" s="5" t="e">
        <f>VLOOKUP($A219,tropes!$A$4:$O$2428,10,FALSE)</f>
        <v>#N/A</v>
      </c>
      <c r="K219" s="5" t="e">
        <f>VLOOKUP($A219,tropes!$A$4:$O$2428,11,FALSE)</f>
        <v>#N/A</v>
      </c>
      <c r="L219" s="5" t="e">
        <f>VLOOKUP($A219,tropes!$A$4:$O$2428,12,FALSE)</f>
        <v>#N/A</v>
      </c>
      <c r="M219" s="5" t="e">
        <f>VLOOKUP($A219,tropes!$A$4:$O$2428,13,FALSE)</f>
        <v>#N/A</v>
      </c>
      <c r="N219" s="5"/>
    </row>
    <row r="220" spans="1:14" x14ac:dyDescent="0.3">
      <c r="A220" s="14"/>
      <c r="B220" s="5" t="e">
        <f>VLOOKUP($A220,tropes!$A$4:$O$2428,2,FALSE)</f>
        <v>#N/A</v>
      </c>
      <c r="C220" s="5" t="e">
        <f>VLOOKUP($A220,tropes!$A$4:$O$2428,3,FALSE)</f>
        <v>#N/A</v>
      </c>
      <c r="D220" s="5" t="e">
        <f>VLOOKUP($A220,tropes!$A$4:$O$2428,4,FALSE)</f>
        <v>#N/A</v>
      </c>
      <c r="E220" s="5" t="e">
        <f>VLOOKUP($A220,tropes!$A$4:$O$2428,5,FALSE)</f>
        <v>#N/A</v>
      </c>
      <c r="F220" s="5" t="e">
        <f>VLOOKUP($A220,tropes!$A$4:$O$2428,6,FALSE)</f>
        <v>#N/A</v>
      </c>
      <c r="G220" s="5" t="e">
        <f>VLOOKUP($A220,tropes!$A$4:$O$2428,7,FALSE)</f>
        <v>#N/A</v>
      </c>
      <c r="H220" s="5" t="e">
        <f>VLOOKUP($A220,tropes!$A$4:$O$2428,8,FALSE)</f>
        <v>#N/A</v>
      </c>
      <c r="I220" s="5" t="e">
        <f>VLOOKUP($A220,tropes!$A$4:$O$2428,9,FALSE)</f>
        <v>#N/A</v>
      </c>
      <c r="J220" s="5" t="e">
        <f>VLOOKUP($A220,tropes!$A$4:$O$2428,10,FALSE)</f>
        <v>#N/A</v>
      </c>
      <c r="K220" s="5" t="e">
        <f>VLOOKUP($A220,tropes!$A$4:$O$2428,11,FALSE)</f>
        <v>#N/A</v>
      </c>
      <c r="L220" s="5" t="e">
        <f>VLOOKUP($A220,tropes!$A$4:$O$2428,12,FALSE)</f>
        <v>#N/A</v>
      </c>
      <c r="M220" s="5" t="e">
        <f>VLOOKUP($A220,tropes!$A$4:$O$2428,13,FALSE)</f>
        <v>#N/A</v>
      </c>
      <c r="N220" s="5"/>
    </row>
    <row r="221" spans="1:14" x14ac:dyDescent="0.3">
      <c r="A221" s="14"/>
      <c r="B221" s="5" t="e">
        <f>VLOOKUP($A221,tropes!$A$4:$O$2428,2,FALSE)</f>
        <v>#N/A</v>
      </c>
      <c r="C221" s="5" t="e">
        <f>VLOOKUP($A221,tropes!$A$4:$O$2428,3,FALSE)</f>
        <v>#N/A</v>
      </c>
      <c r="D221" s="5" t="e">
        <f>VLOOKUP($A221,tropes!$A$4:$O$2428,4,FALSE)</f>
        <v>#N/A</v>
      </c>
      <c r="E221" s="5" t="e">
        <f>VLOOKUP($A221,tropes!$A$4:$O$2428,5,FALSE)</f>
        <v>#N/A</v>
      </c>
      <c r="F221" s="5" t="e">
        <f>VLOOKUP($A221,tropes!$A$4:$O$2428,6,FALSE)</f>
        <v>#N/A</v>
      </c>
      <c r="G221" s="5" t="e">
        <f>VLOOKUP($A221,tropes!$A$4:$O$2428,7,FALSE)</f>
        <v>#N/A</v>
      </c>
      <c r="H221" s="5" t="e">
        <f>VLOOKUP($A221,tropes!$A$4:$O$2428,8,FALSE)</f>
        <v>#N/A</v>
      </c>
      <c r="I221" s="5" t="e">
        <f>VLOOKUP($A221,tropes!$A$4:$O$2428,9,FALSE)</f>
        <v>#N/A</v>
      </c>
      <c r="J221" s="5" t="e">
        <f>VLOOKUP($A221,tropes!$A$4:$O$2428,10,FALSE)</f>
        <v>#N/A</v>
      </c>
      <c r="K221" s="5" t="e">
        <f>VLOOKUP($A221,tropes!$A$4:$O$2428,11,FALSE)</f>
        <v>#N/A</v>
      </c>
      <c r="L221" s="5" t="e">
        <f>VLOOKUP($A221,tropes!$A$4:$O$2428,12,FALSE)</f>
        <v>#N/A</v>
      </c>
      <c r="M221" s="5" t="e">
        <f>VLOOKUP($A221,tropes!$A$4:$O$2428,13,FALSE)</f>
        <v>#N/A</v>
      </c>
      <c r="N221" s="5"/>
    </row>
    <row r="222" spans="1:14" x14ac:dyDescent="0.3">
      <c r="A222" s="14"/>
      <c r="B222" s="5" t="e">
        <f>VLOOKUP($A222,tropes!$A$4:$O$2428,2,FALSE)</f>
        <v>#N/A</v>
      </c>
      <c r="C222" s="5" t="e">
        <f>VLOOKUP($A222,tropes!$A$4:$O$2428,3,FALSE)</f>
        <v>#N/A</v>
      </c>
      <c r="D222" s="5" t="e">
        <f>VLOOKUP($A222,tropes!$A$4:$O$2428,4,FALSE)</f>
        <v>#N/A</v>
      </c>
      <c r="E222" s="5" t="e">
        <f>VLOOKUP($A222,tropes!$A$4:$O$2428,5,FALSE)</f>
        <v>#N/A</v>
      </c>
      <c r="F222" s="5" t="e">
        <f>VLOOKUP($A222,tropes!$A$4:$O$2428,6,FALSE)</f>
        <v>#N/A</v>
      </c>
      <c r="G222" s="5" t="e">
        <f>VLOOKUP($A222,tropes!$A$4:$O$2428,7,FALSE)</f>
        <v>#N/A</v>
      </c>
      <c r="H222" s="5" t="e">
        <f>VLOOKUP($A222,tropes!$A$4:$O$2428,8,FALSE)</f>
        <v>#N/A</v>
      </c>
      <c r="I222" s="5" t="e">
        <f>VLOOKUP($A222,tropes!$A$4:$O$2428,9,FALSE)</f>
        <v>#N/A</v>
      </c>
      <c r="J222" s="5" t="e">
        <f>VLOOKUP($A222,tropes!$A$4:$O$2428,10,FALSE)</f>
        <v>#N/A</v>
      </c>
      <c r="K222" s="5" t="e">
        <f>VLOOKUP($A222,tropes!$A$4:$O$2428,11,FALSE)</f>
        <v>#N/A</v>
      </c>
      <c r="L222" s="5" t="e">
        <f>VLOOKUP($A222,tropes!$A$4:$O$2428,12,FALSE)</f>
        <v>#N/A</v>
      </c>
      <c r="M222" s="5" t="e">
        <f>VLOOKUP($A222,tropes!$A$4:$O$2428,13,FALSE)</f>
        <v>#N/A</v>
      </c>
      <c r="N222" s="5"/>
    </row>
    <row r="223" spans="1:14" x14ac:dyDescent="0.3">
      <c r="A223" s="14"/>
      <c r="B223" s="5" t="e">
        <f>VLOOKUP($A223,tropes!$A$4:$O$2428,2,FALSE)</f>
        <v>#N/A</v>
      </c>
      <c r="C223" s="5" t="e">
        <f>VLOOKUP($A223,tropes!$A$4:$O$2428,3,FALSE)</f>
        <v>#N/A</v>
      </c>
      <c r="D223" s="5" t="e">
        <f>VLOOKUP($A223,tropes!$A$4:$O$2428,4,FALSE)</f>
        <v>#N/A</v>
      </c>
      <c r="E223" s="5" t="e">
        <f>VLOOKUP($A223,tropes!$A$4:$O$2428,5,FALSE)</f>
        <v>#N/A</v>
      </c>
      <c r="F223" s="5" t="e">
        <f>VLOOKUP($A223,tropes!$A$4:$O$2428,6,FALSE)</f>
        <v>#N/A</v>
      </c>
      <c r="G223" s="5" t="e">
        <f>VLOOKUP($A223,tropes!$A$4:$O$2428,7,FALSE)</f>
        <v>#N/A</v>
      </c>
      <c r="H223" s="5" t="e">
        <f>VLOOKUP($A223,tropes!$A$4:$O$2428,8,FALSE)</f>
        <v>#N/A</v>
      </c>
      <c r="I223" s="5" t="e">
        <f>VLOOKUP($A223,tropes!$A$4:$O$2428,9,FALSE)</f>
        <v>#N/A</v>
      </c>
      <c r="J223" s="5" t="e">
        <f>VLOOKUP($A223,tropes!$A$4:$O$2428,10,FALSE)</f>
        <v>#N/A</v>
      </c>
      <c r="K223" s="5" t="e">
        <f>VLOOKUP($A223,tropes!$A$4:$O$2428,11,FALSE)</f>
        <v>#N/A</v>
      </c>
      <c r="L223" s="5" t="e">
        <f>VLOOKUP($A223,tropes!$A$4:$O$2428,12,FALSE)</f>
        <v>#N/A</v>
      </c>
      <c r="M223" s="5" t="e">
        <f>VLOOKUP($A223,tropes!$A$4:$O$2428,13,FALSE)</f>
        <v>#N/A</v>
      </c>
      <c r="N223" s="5"/>
    </row>
    <row r="224" spans="1:14" x14ac:dyDescent="0.3">
      <c r="A224" s="14"/>
      <c r="B224" s="5" t="e">
        <f>VLOOKUP($A224,tropes!$A$4:$O$2428,2,FALSE)</f>
        <v>#N/A</v>
      </c>
      <c r="C224" s="5" t="e">
        <f>VLOOKUP($A224,tropes!$A$4:$O$2428,3,FALSE)</f>
        <v>#N/A</v>
      </c>
      <c r="D224" s="5" t="e">
        <f>VLOOKUP($A224,tropes!$A$4:$O$2428,4,FALSE)</f>
        <v>#N/A</v>
      </c>
      <c r="E224" s="5" t="e">
        <f>VLOOKUP($A224,tropes!$A$4:$O$2428,5,FALSE)</f>
        <v>#N/A</v>
      </c>
      <c r="F224" s="5" t="e">
        <f>VLOOKUP($A224,tropes!$A$4:$O$2428,6,FALSE)</f>
        <v>#N/A</v>
      </c>
      <c r="G224" s="5" t="e">
        <f>VLOOKUP($A224,tropes!$A$4:$O$2428,7,FALSE)</f>
        <v>#N/A</v>
      </c>
      <c r="H224" s="5" t="e">
        <f>VLOOKUP($A224,tropes!$A$4:$O$2428,8,FALSE)</f>
        <v>#N/A</v>
      </c>
      <c r="I224" s="5" t="e">
        <f>VLOOKUP($A224,tropes!$A$4:$O$2428,9,FALSE)</f>
        <v>#N/A</v>
      </c>
      <c r="J224" s="5" t="e">
        <f>VLOOKUP($A224,tropes!$A$4:$O$2428,10,FALSE)</f>
        <v>#N/A</v>
      </c>
      <c r="K224" s="5" t="e">
        <f>VLOOKUP($A224,tropes!$A$4:$O$2428,11,FALSE)</f>
        <v>#N/A</v>
      </c>
      <c r="L224" s="5" t="e">
        <f>VLOOKUP($A224,tropes!$A$4:$O$2428,12,FALSE)</f>
        <v>#N/A</v>
      </c>
      <c r="M224" s="5" t="e">
        <f>VLOOKUP($A224,tropes!$A$4:$O$2428,13,FALSE)</f>
        <v>#N/A</v>
      </c>
      <c r="N224" s="5"/>
    </row>
    <row r="225" spans="1:14" x14ac:dyDescent="0.3">
      <c r="A225" s="14"/>
      <c r="B225" s="5" t="e">
        <f>VLOOKUP($A225,tropes!$A$4:$O$2428,2,FALSE)</f>
        <v>#N/A</v>
      </c>
      <c r="C225" s="5" t="e">
        <f>VLOOKUP($A225,tropes!$A$4:$O$2428,3,FALSE)</f>
        <v>#N/A</v>
      </c>
      <c r="D225" s="5" t="e">
        <f>VLOOKUP($A225,tropes!$A$4:$O$2428,4,FALSE)</f>
        <v>#N/A</v>
      </c>
      <c r="E225" s="5" t="e">
        <f>VLOOKUP($A225,tropes!$A$4:$O$2428,5,FALSE)</f>
        <v>#N/A</v>
      </c>
      <c r="F225" s="5" t="e">
        <f>VLOOKUP($A225,tropes!$A$4:$O$2428,6,FALSE)</f>
        <v>#N/A</v>
      </c>
      <c r="G225" s="5" t="e">
        <f>VLOOKUP($A225,tropes!$A$4:$O$2428,7,FALSE)</f>
        <v>#N/A</v>
      </c>
      <c r="H225" s="5" t="e">
        <f>VLOOKUP($A225,tropes!$A$4:$O$2428,8,FALSE)</f>
        <v>#N/A</v>
      </c>
      <c r="I225" s="5" t="e">
        <f>VLOOKUP($A225,tropes!$A$4:$O$2428,9,FALSE)</f>
        <v>#N/A</v>
      </c>
      <c r="J225" s="5" t="e">
        <f>VLOOKUP($A225,tropes!$A$4:$O$2428,10,FALSE)</f>
        <v>#N/A</v>
      </c>
      <c r="K225" s="5" t="e">
        <f>VLOOKUP($A225,tropes!$A$4:$O$2428,11,FALSE)</f>
        <v>#N/A</v>
      </c>
      <c r="L225" s="5" t="e">
        <f>VLOOKUP($A225,tropes!$A$4:$O$2428,12,FALSE)</f>
        <v>#N/A</v>
      </c>
      <c r="M225" s="5" t="e">
        <f>VLOOKUP($A225,tropes!$A$4:$O$2428,13,FALSE)</f>
        <v>#N/A</v>
      </c>
      <c r="N225" s="5"/>
    </row>
    <row r="226" spans="1:14" x14ac:dyDescent="0.3">
      <c r="A226" s="14"/>
      <c r="B226" s="5" t="e">
        <f>VLOOKUP($A226,tropes!$A$4:$O$2428,2,FALSE)</f>
        <v>#N/A</v>
      </c>
      <c r="C226" s="5" t="e">
        <f>VLOOKUP($A226,tropes!$A$4:$O$2428,3,FALSE)</f>
        <v>#N/A</v>
      </c>
      <c r="D226" s="5" t="e">
        <f>VLOOKUP($A226,tropes!$A$4:$O$2428,4,FALSE)</f>
        <v>#N/A</v>
      </c>
      <c r="E226" s="5" t="e">
        <f>VLOOKUP($A226,tropes!$A$4:$O$2428,5,FALSE)</f>
        <v>#N/A</v>
      </c>
      <c r="F226" s="5" t="e">
        <f>VLOOKUP($A226,tropes!$A$4:$O$2428,6,FALSE)</f>
        <v>#N/A</v>
      </c>
      <c r="G226" s="5" t="e">
        <f>VLOOKUP($A226,tropes!$A$4:$O$2428,7,FALSE)</f>
        <v>#N/A</v>
      </c>
      <c r="H226" s="5" t="e">
        <f>VLOOKUP($A226,tropes!$A$4:$O$2428,8,FALSE)</f>
        <v>#N/A</v>
      </c>
      <c r="I226" s="5" t="e">
        <f>VLOOKUP($A226,tropes!$A$4:$O$2428,9,FALSE)</f>
        <v>#N/A</v>
      </c>
      <c r="J226" s="5" t="e">
        <f>VLOOKUP($A226,tropes!$A$4:$O$2428,10,FALSE)</f>
        <v>#N/A</v>
      </c>
      <c r="K226" s="5" t="e">
        <f>VLOOKUP($A226,tropes!$A$4:$O$2428,11,FALSE)</f>
        <v>#N/A</v>
      </c>
      <c r="L226" s="5" t="e">
        <f>VLOOKUP($A226,tropes!$A$4:$O$2428,12,FALSE)</f>
        <v>#N/A</v>
      </c>
      <c r="M226" s="5" t="e">
        <f>VLOOKUP($A226,tropes!$A$4:$O$2428,13,FALSE)</f>
        <v>#N/A</v>
      </c>
      <c r="N226" s="5"/>
    </row>
    <row r="227" spans="1:14" x14ac:dyDescent="0.3">
      <c r="A227" s="14"/>
      <c r="B227" s="5" t="e">
        <f>VLOOKUP($A227,tropes!$A$4:$O$2428,2,FALSE)</f>
        <v>#N/A</v>
      </c>
      <c r="C227" s="5" t="e">
        <f>VLOOKUP($A227,tropes!$A$4:$O$2428,3,FALSE)</f>
        <v>#N/A</v>
      </c>
      <c r="D227" s="5" t="e">
        <f>VLOOKUP($A227,tropes!$A$4:$O$2428,4,FALSE)</f>
        <v>#N/A</v>
      </c>
      <c r="E227" s="5" t="e">
        <f>VLOOKUP($A227,tropes!$A$4:$O$2428,5,FALSE)</f>
        <v>#N/A</v>
      </c>
      <c r="F227" s="5" t="e">
        <f>VLOOKUP($A227,tropes!$A$4:$O$2428,6,FALSE)</f>
        <v>#N/A</v>
      </c>
      <c r="G227" s="5" t="e">
        <f>VLOOKUP($A227,tropes!$A$4:$O$2428,7,FALSE)</f>
        <v>#N/A</v>
      </c>
      <c r="H227" s="5" t="e">
        <f>VLOOKUP($A227,tropes!$A$4:$O$2428,8,FALSE)</f>
        <v>#N/A</v>
      </c>
      <c r="I227" s="5" t="e">
        <f>VLOOKUP($A227,tropes!$A$4:$O$2428,9,FALSE)</f>
        <v>#N/A</v>
      </c>
      <c r="J227" s="5" t="e">
        <f>VLOOKUP($A227,tropes!$A$4:$O$2428,10,FALSE)</f>
        <v>#N/A</v>
      </c>
      <c r="K227" s="5" t="e">
        <f>VLOOKUP($A227,tropes!$A$4:$O$2428,11,FALSE)</f>
        <v>#N/A</v>
      </c>
      <c r="L227" s="5" t="e">
        <f>VLOOKUP($A227,tropes!$A$4:$O$2428,12,FALSE)</f>
        <v>#N/A</v>
      </c>
      <c r="M227" s="5" t="e">
        <f>VLOOKUP($A227,tropes!$A$4:$O$2428,13,FALSE)</f>
        <v>#N/A</v>
      </c>
      <c r="N227" s="5"/>
    </row>
    <row r="228" spans="1:14" x14ac:dyDescent="0.3">
      <c r="A228" s="14"/>
      <c r="B228" s="5" t="e">
        <f>VLOOKUP($A228,tropes!$A$4:$O$2428,2,FALSE)</f>
        <v>#N/A</v>
      </c>
      <c r="C228" s="5" t="e">
        <f>VLOOKUP($A228,tropes!$A$4:$O$2428,3,FALSE)</f>
        <v>#N/A</v>
      </c>
      <c r="D228" s="5" t="e">
        <f>VLOOKUP($A228,tropes!$A$4:$O$2428,4,FALSE)</f>
        <v>#N/A</v>
      </c>
      <c r="E228" s="5" t="e">
        <f>VLOOKUP($A228,tropes!$A$4:$O$2428,5,FALSE)</f>
        <v>#N/A</v>
      </c>
      <c r="F228" s="5" t="e">
        <f>VLOOKUP($A228,tropes!$A$4:$O$2428,6,FALSE)</f>
        <v>#N/A</v>
      </c>
      <c r="G228" s="5" t="e">
        <f>VLOOKUP($A228,tropes!$A$4:$O$2428,7,FALSE)</f>
        <v>#N/A</v>
      </c>
      <c r="H228" s="5" t="e">
        <f>VLOOKUP($A228,tropes!$A$4:$O$2428,8,FALSE)</f>
        <v>#N/A</v>
      </c>
      <c r="I228" s="5" t="e">
        <f>VLOOKUP($A228,tropes!$A$4:$O$2428,9,FALSE)</f>
        <v>#N/A</v>
      </c>
      <c r="J228" s="5" t="e">
        <f>VLOOKUP($A228,tropes!$A$4:$O$2428,10,FALSE)</f>
        <v>#N/A</v>
      </c>
      <c r="K228" s="5" t="e">
        <f>VLOOKUP($A228,tropes!$A$4:$O$2428,11,FALSE)</f>
        <v>#N/A</v>
      </c>
      <c r="L228" s="5" t="e">
        <f>VLOOKUP($A228,tropes!$A$4:$O$2428,12,FALSE)</f>
        <v>#N/A</v>
      </c>
      <c r="M228" s="5" t="e">
        <f>VLOOKUP($A228,tropes!$A$4:$O$2428,13,FALSE)</f>
        <v>#N/A</v>
      </c>
      <c r="N228" s="5"/>
    </row>
    <row r="229" spans="1:14" x14ac:dyDescent="0.3">
      <c r="A229" s="14"/>
      <c r="B229" s="5" t="e">
        <f>VLOOKUP($A229,tropes!$A$4:$O$2428,2,FALSE)</f>
        <v>#N/A</v>
      </c>
      <c r="C229" s="5" t="e">
        <f>VLOOKUP($A229,tropes!$A$4:$O$2428,3,FALSE)</f>
        <v>#N/A</v>
      </c>
      <c r="D229" s="5" t="e">
        <f>VLOOKUP($A229,tropes!$A$4:$O$2428,4,FALSE)</f>
        <v>#N/A</v>
      </c>
      <c r="E229" s="5" t="e">
        <f>VLOOKUP($A229,tropes!$A$4:$O$2428,5,FALSE)</f>
        <v>#N/A</v>
      </c>
      <c r="F229" s="5" t="e">
        <f>VLOOKUP($A229,tropes!$A$4:$O$2428,6,FALSE)</f>
        <v>#N/A</v>
      </c>
      <c r="G229" s="5" t="e">
        <f>VLOOKUP($A229,tropes!$A$4:$O$2428,7,FALSE)</f>
        <v>#N/A</v>
      </c>
      <c r="H229" s="5" t="e">
        <f>VLOOKUP($A229,tropes!$A$4:$O$2428,8,FALSE)</f>
        <v>#N/A</v>
      </c>
      <c r="I229" s="5" t="e">
        <f>VLOOKUP($A229,tropes!$A$4:$O$2428,9,FALSE)</f>
        <v>#N/A</v>
      </c>
      <c r="J229" s="5" t="e">
        <f>VLOOKUP($A229,tropes!$A$4:$O$2428,10,FALSE)</f>
        <v>#N/A</v>
      </c>
      <c r="K229" s="5" t="e">
        <f>VLOOKUP($A229,tropes!$A$4:$O$2428,11,FALSE)</f>
        <v>#N/A</v>
      </c>
      <c r="L229" s="5" t="e">
        <f>VLOOKUP($A229,tropes!$A$4:$O$2428,12,FALSE)</f>
        <v>#N/A</v>
      </c>
      <c r="M229" s="5" t="e">
        <f>VLOOKUP($A229,tropes!$A$4:$O$2428,13,FALSE)</f>
        <v>#N/A</v>
      </c>
      <c r="N229" s="5"/>
    </row>
    <row r="230" spans="1:14" x14ac:dyDescent="0.3">
      <c r="A230" s="14"/>
      <c r="B230" s="5" t="e">
        <f>VLOOKUP($A230,tropes!$A$4:$O$2428,2,FALSE)</f>
        <v>#N/A</v>
      </c>
      <c r="C230" s="5" t="e">
        <f>VLOOKUP($A230,tropes!$A$4:$O$2428,3,FALSE)</f>
        <v>#N/A</v>
      </c>
      <c r="D230" s="5" t="e">
        <f>VLOOKUP($A230,tropes!$A$4:$O$2428,4,FALSE)</f>
        <v>#N/A</v>
      </c>
      <c r="E230" s="5" t="e">
        <f>VLOOKUP($A230,tropes!$A$4:$O$2428,5,FALSE)</f>
        <v>#N/A</v>
      </c>
      <c r="F230" s="5" t="e">
        <f>VLOOKUP($A230,tropes!$A$4:$O$2428,6,FALSE)</f>
        <v>#N/A</v>
      </c>
      <c r="G230" s="5" t="e">
        <f>VLOOKUP($A230,tropes!$A$4:$O$2428,7,FALSE)</f>
        <v>#N/A</v>
      </c>
      <c r="H230" s="5" t="e">
        <f>VLOOKUP($A230,tropes!$A$4:$O$2428,8,FALSE)</f>
        <v>#N/A</v>
      </c>
      <c r="I230" s="5" t="e">
        <f>VLOOKUP($A230,tropes!$A$4:$O$2428,9,FALSE)</f>
        <v>#N/A</v>
      </c>
      <c r="J230" s="5" t="e">
        <f>VLOOKUP($A230,tropes!$A$4:$O$2428,10,FALSE)</f>
        <v>#N/A</v>
      </c>
      <c r="K230" s="5" t="e">
        <f>VLOOKUP($A230,tropes!$A$4:$O$2428,11,FALSE)</f>
        <v>#N/A</v>
      </c>
      <c r="L230" s="5" t="e">
        <f>VLOOKUP($A230,tropes!$A$4:$O$2428,12,FALSE)</f>
        <v>#N/A</v>
      </c>
      <c r="M230" s="5" t="e">
        <f>VLOOKUP($A230,tropes!$A$4:$O$2428,13,FALSE)</f>
        <v>#N/A</v>
      </c>
      <c r="N230" s="5"/>
    </row>
    <row r="231" spans="1:14" x14ac:dyDescent="0.3">
      <c r="A231" s="14"/>
      <c r="B231" s="5" t="e">
        <f>VLOOKUP($A231,tropes!$A$4:$O$2428,2,FALSE)</f>
        <v>#N/A</v>
      </c>
      <c r="C231" s="5" t="e">
        <f>VLOOKUP($A231,tropes!$A$4:$O$2428,3,FALSE)</f>
        <v>#N/A</v>
      </c>
      <c r="D231" s="5" t="e">
        <f>VLOOKUP($A231,tropes!$A$4:$O$2428,4,FALSE)</f>
        <v>#N/A</v>
      </c>
      <c r="E231" s="5" t="e">
        <f>VLOOKUP($A231,tropes!$A$4:$O$2428,5,FALSE)</f>
        <v>#N/A</v>
      </c>
      <c r="F231" s="5" t="e">
        <f>VLOOKUP($A231,tropes!$A$4:$O$2428,6,FALSE)</f>
        <v>#N/A</v>
      </c>
      <c r="G231" s="5" t="e">
        <f>VLOOKUP($A231,tropes!$A$4:$O$2428,7,FALSE)</f>
        <v>#N/A</v>
      </c>
      <c r="H231" s="5" t="e">
        <f>VLOOKUP($A231,tropes!$A$4:$O$2428,8,FALSE)</f>
        <v>#N/A</v>
      </c>
      <c r="I231" s="5" t="e">
        <f>VLOOKUP($A231,tropes!$A$4:$O$2428,9,FALSE)</f>
        <v>#N/A</v>
      </c>
      <c r="J231" s="5" t="e">
        <f>VLOOKUP($A231,tropes!$A$4:$O$2428,10,FALSE)</f>
        <v>#N/A</v>
      </c>
      <c r="K231" s="5" t="e">
        <f>VLOOKUP($A231,tropes!$A$4:$O$2428,11,FALSE)</f>
        <v>#N/A</v>
      </c>
      <c r="L231" s="5" t="e">
        <f>VLOOKUP($A231,tropes!$A$4:$O$2428,12,FALSE)</f>
        <v>#N/A</v>
      </c>
      <c r="M231" s="5" t="e">
        <f>VLOOKUP($A231,tropes!$A$4:$O$2428,13,FALSE)</f>
        <v>#N/A</v>
      </c>
      <c r="N231" s="5"/>
    </row>
    <row r="232" spans="1:14" x14ac:dyDescent="0.3">
      <c r="A232" s="14"/>
      <c r="B232" s="5" t="e">
        <f>VLOOKUP($A232,tropes!$A$4:$O$2428,2,FALSE)</f>
        <v>#N/A</v>
      </c>
      <c r="C232" s="5" t="e">
        <f>VLOOKUP($A232,tropes!$A$4:$O$2428,3,FALSE)</f>
        <v>#N/A</v>
      </c>
      <c r="D232" s="5" t="e">
        <f>VLOOKUP($A232,tropes!$A$4:$O$2428,4,FALSE)</f>
        <v>#N/A</v>
      </c>
      <c r="E232" s="5" t="e">
        <f>VLOOKUP($A232,tropes!$A$4:$O$2428,5,FALSE)</f>
        <v>#N/A</v>
      </c>
      <c r="F232" s="5" t="e">
        <f>VLOOKUP($A232,tropes!$A$4:$O$2428,6,FALSE)</f>
        <v>#N/A</v>
      </c>
      <c r="G232" s="5" t="e">
        <f>VLOOKUP($A232,tropes!$A$4:$O$2428,7,FALSE)</f>
        <v>#N/A</v>
      </c>
      <c r="H232" s="5" t="e">
        <f>VLOOKUP($A232,tropes!$A$4:$O$2428,8,FALSE)</f>
        <v>#N/A</v>
      </c>
      <c r="I232" s="5" t="e">
        <f>VLOOKUP($A232,tropes!$A$4:$O$2428,9,FALSE)</f>
        <v>#N/A</v>
      </c>
      <c r="J232" s="5" t="e">
        <f>VLOOKUP($A232,tropes!$A$4:$O$2428,10,FALSE)</f>
        <v>#N/A</v>
      </c>
      <c r="K232" s="5" t="e">
        <f>VLOOKUP($A232,tropes!$A$4:$O$2428,11,FALSE)</f>
        <v>#N/A</v>
      </c>
      <c r="L232" s="5" t="e">
        <f>VLOOKUP($A232,tropes!$A$4:$O$2428,12,FALSE)</f>
        <v>#N/A</v>
      </c>
      <c r="M232" s="5" t="e">
        <f>VLOOKUP($A232,tropes!$A$4:$O$2428,13,FALSE)</f>
        <v>#N/A</v>
      </c>
      <c r="N232" s="5"/>
    </row>
    <row r="233" spans="1:14" x14ac:dyDescent="0.3">
      <c r="A233" s="14"/>
      <c r="B233" s="5" t="e">
        <f>VLOOKUP($A233,tropes!$A$4:$O$2428,2,FALSE)</f>
        <v>#N/A</v>
      </c>
      <c r="C233" s="5" t="e">
        <f>VLOOKUP($A233,tropes!$A$4:$O$2428,3,FALSE)</f>
        <v>#N/A</v>
      </c>
      <c r="D233" s="5" t="e">
        <f>VLOOKUP($A233,tropes!$A$4:$O$2428,4,FALSE)</f>
        <v>#N/A</v>
      </c>
      <c r="E233" s="5" t="e">
        <f>VLOOKUP($A233,tropes!$A$4:$O$2428,5,FALSE)</f>
        <v>#N/A</v>
      </c>
      <c r="F233" s="5" t="e">
        <f>VLOOKUP($A233,tropes!$A$4:$O$2428,6,FALSE)</f>
        <v>#N/A</v>
      </c>
      <c r="G233" s="5" t="e">
        <f>VLOOKUP($A233,tropes!$A$4:$O$2428,7,FALSE)</f>
        <v>#N/A</v>
      </c>
      <c r="H233" s="5" t="e">
        <f>VLOOKUP($A233,tropes!$A$4:$O$2428,8,FALSE)</f>
        <v>#N/A</v>
      </c>
      <c r="I233" s="5" t="e">
        <f>VLOOKUP($A233,tropes!$A$4:$O$2428,9,FALSE)</f>
        <v>#N/A</v>
      </c>
      <c r="J233" s="5" t="e">
        <f>VLOOKUP($A233,tropes!$A$4:$O$2428,10,FALSE)</f>
        <v>#N/A</v>
      </c>
      <c r="K233" s="5" t="e">
        <f>VLOOKUP($A233,tropes!$A$4:$O$2428,11,FALSE)</f>
        <v>#N/A</v>
      </c>
      <c r="L233" s="5" t="e">
        <f>VLOOKUP($A233,tropes!$A$4:$O$2428,12,FALSE)</f>
        <v>#N/A</v>
      </c>
      <c r="M233" s="5" t="e">
        <f>VLOOKUP($A233,tropes!$A$4:$O$2428,13,FALSE)</f>
        <v>#N/A</v>
      </c>
      <c r="N233" s="5"/>
    </row>
    <row r="234" spans="1:14" x14ac:dyDescent="0.3">
      <c r="A234" s="14"/>
      <c r="B234" s="5" t="e">
        <f>VLOOKUP($A234,tropes!$A$4:$O$2428,2,FALSE)</f>
        <v>#N/A</v>
      </c>
      <c r="C234" s="5" t="e">
        <f>VLOOKUP($A234,tropes!$A$4:$O$2428,3,FALSE)</f>
        <v>#N/A</v>
      </c>
      <c r="D234" s="5" t="e">
        <f>VLOOKUP($A234,tropes!$A$4:$O$2428,4,FALSE)</f>
        <v>#N/A</v>
      </c>
      <c r="E234" s="5" t="e">
        <f>VLOOKUP($A234,tropes!$A$4:$O$2428,5,FALSE)</f>
        <v>#N/A</v>
      </c>
      <c r="F234" s="5" t="e">
        <f>VLOOKUP($A234,tropes!$A$4:$O$2428,6,FALSE)</f>
        <v>#N/A</v>
      </c>
      <c r="G234" s="5" t="e">
        <f>VLOOKUP($A234,tropes!$A$4:$O$2428,7,FALSE)</f>
        <v>#N/A</v>
      </c>
      <c r="H234" s="5" t="e">
        <f>VLOOKUP($A234,tropes!$A$4:$O$2428,8,FALSE)</f>
        <v>#N/A</v>
      </c>
      <c r="I234" s="5" t="e">
        <f>VLOOKUP($A234,tropes!$A$4:$O$2428,9,FALSE)</f>
        <v>#N/A</v>
      </c>
      <c r="J234" s="5" t="e">
        <f>VLOOKUP($A234,tropes!$A$4:$O$2428,10,FALSE)</f>
        <v>#N/A</v>
      </c>
      <c r="K234" s="5" t="e">
        <f>VLOOKUP($A234,tropes!$A$4:$O$2428,11,FALSE)</f>
        <v>#N/A</v>
      </c>
      <c r="L234" s="5" t="e">
        <f>VLOOKUP($A234,tropes!$A$4:$O$2428,12,FALSE)</f>
        <v>#N/A</v>
      </c>
      <c r="M234" s="5" t="e">
        <f>VLOOKUP($A234,tropes!$A$4:$O$2428,13,FALSE)</f>
        <v>#N/A</v>
      </c>
      <c r="N234" s="5"/>
    </row>
    <row r="235" spans="1:14" x14ac:dyDescent="0.3">
      <c r="A235" s="14"/>
      <c r="B235" s="5" t="e">
        <f>VLOOKUP($A235,tropes!$A$4:$O$2428,2,FALSE)</f>
        <v>#N/A</v>
      </c>
      <c r="C235" s="5" t="e">
        <f>VLOOKUP($A235,tropes!$A$4:$O$2428,3,FALSE)</f>
        <v>#N/A</v>
      </c>
      <c r="D235" s="5" t="e">
        <f>VLOOKUP($A235,tropes!$A$4:$O$2428,4,FALSE)</f>
        <v>#N/A</v>
      </c>
      <c r="E235" s="5" t="e">
        <f>VLOOKUP($A235,tropes!$A$4:$O$2428,5,FALSE)</f>
        <v>#N/A</v>
      </c>
      <c r="F235" s="5" t="e">
        <f>VLOOKUP($A235,tropes!$A$4:$O$2428,6,FALSE)</f>
        <v>#N/A</v>
      </c>
      <c r="G235" s="5" t="e">
        <f>VLOOKUP($A235,tropes!$A$4:$O$2428,7,FALSE)</f>
        <v>#N/A</v>
      </c>
      <c r="H235" s="5" t="e">
        <f>VLOOKUP($A235,tropes!$A$4:$O$2428,8,FALSE)</f>
        <v>#N/A</v>
      </c>
      <c r="I235" s="5" t="e">
        <f>VLOOKUP($A235,tropes!$A$4:$O$2428,9,FALSE)</f>
        <v>#N/A</v>
      </c>
      <c r="J235" s="5" t="e">
        <f>VLOOKUP($A235,tropes!$A$4:$O$2428,10,FALSE)</f>
        <v>#N/A</v>
      </c>
      <c r="K235" s="5" t="e">
        <f>VLOOKUP($A235,tropes!$A$4:$O$2428,11,FALSE)</f>
        <v>#N/A</v>
      </c>
      <c r="L235" s="5" t="e">
        <f>VLOOKUP($A235,tropes!$A$4:$O$2428,12,FALSE)</f>
        <v>#N/A</v>
      </c>
      <c r="M235" s="5" t="e">
        <f>VLOOKUP($A235,tropes!$A$4:$O$2428,13,FALSE)</f>
        <v>#N/A</v>
      </c>
      <c r="N235" s="5"/>
    </row>
    <row r="236" spans="1:14" x14ac:dyDescent="0.3">
      <c r="A236" s="14"/>
      <c r="B236" s="5" t="e">
        <f>VLOOKUP($A236,tropes!$A$4:$O$2428,2,FALSE)</f>
        <v>#N/A</v>
      </c>
      <c r="C236" s="5" t="e">
        <f>VLOOKUP($A236,tropes!$A$4:$O$2428,3,FALSE)</f>
        <v>#N/A</v>
      </c>
      <c r="D236" s="5" t="e">
        <f>VLOOKUP($A236,tropes!$A$4:$O$2428,4,FALSE)</f>
        <v>#N/A</v>
      </c>
      <c r="E236" s="5" t="e">
        <f>VLOOKUP($A236,tropes!$A$4:$O$2428,5,FALSE)</f>
        <v>#N/A</v>
      </c>
      <c r="F236" s="5" t="e">
        <f>VLOOKUP($A236,tropes!$A$4:$O$2428,6,FALSE)</f>
        <v>#N/A</v>
      </c>
      <c r="G236" s="5" t="e">
        <f>VLOOKUP($A236,tropes!$A$4:$O$2428,7,FALSE)</f>
        <v>#N/A</v>
      </c>
      <c r="H236" s="5" t="e">
        <f>VLOOKUP($A236,tropes!$A$4:$O$2428,8,FALSE)</f>
        <v>#N/A</v>
      </c>
      <c r="I236" s="5" t="e">
        <f>VLOOKUP($A236,tropes!$A$4:$O$2428,9,FALSE)</f>
        <v>#N/A</v>
      </c>
      <c r="J236" s="5" t="e">
        <f>VLOOKUP($A236,tropes!$A$4:$O$2428,10,FALSE)</f>
        <v>#N/A</v>
      </c>
      <c r="K236" s="5" t="e">
        <f>VLOOKUP($A236,tropes!$A$4:$O$2428,11,FALSE)</f>
        <v>#N/A</v>
      </c>
      <c r="L236" s="5" t="e">
        <f>VLOOKUP($A236,tropes!$A$4:$O$2428,12,FALSE)</f>
        <v>#N/A</v>
      </c>
      <c r="M236" s="5" t="e">
        <f>VLOOKUP($A236,tropes!$A$4:$O$2428,13,FALSE)</f>
        <v>#N/A</v>
      </c>
      <c r="N236" s="5"/>
    </row>
    <row r="237" spans="1:14" x14ac:dyDescent="0.3">
      <c r="A237" s="14"/>
      <c r="B237" s="5" t="e">
        <f>VLOOKUP($A237,tropes!$A$4:$O$2428,2,FALSE)</f>
        <v>#N/A</v>
      </c>
      <c r="C237" s="5" t="e">
        <f>VLOOKUP($A237,tropes!$A$4:$O$2428,3,FALSE)</f>
        <v>#N/A</v>
      </c>
      <c r="D237" s="5" t="e">
        <f>VLOOKUP($A237,tropes!$A$4:$O$2428,4,FALSE)</f>
        <v>#N/A</v>
      </c>
      <c r="E237" s="5" t="e">
        <f>VLOOKUP($A237,tropes!$A$4:$O$2428,5,FALSE)</f>
        <v>#N/A</v>
      </c>
      <c r="F237" s="5" t="e">
        <f>VLOOKUP($A237,tropes!$A$4:$O$2428,6,FALSE)</f>
        <v>#N/A</v>
      </c>
      <c r="G237" s="5" t="e">
        <f>VLOOKUP($A237,tropes!$A$4:$O$2428,7,FALSE)</f>
        <v>#N/A</v>
      </c>
      <c r="H237" s="5" t="e">
        <f>VLOOKUP($A237,tropes!$A$4:$O$2428,8,FALSE)</f>
        <v>#N/A</v>
      </c>
      <c r="I237" s="5" t="e">
        <f>VLOOKUP($A237,tropes!$A$4:$O$2428,9,FALSE)</f>
        <v>#N/A</v>
      </c>
      <c r="J237" s="5" t="e">
        <f>VLOOKUP($A237,tropes!$A$4:$O$2428,10,FALSE)</f>
        <v>#N/A</v>
      </c>
      <c r="K237" s="5" t="e">
        <f>VLOOKUP($A237,tropes!$A$4:$O$2428,11,FALSE)</f>
        <v>#N/A</v>
      </c>
      <c r="L237" s="5" t="e">
        <f>VLOOKUP($A237,tropes!$A$4:$O$2428,12,FALSE)</f>
        <v>#N/A</v>
      </c>
      <c r="M237" s="5" t="e">
        <f>VLOOKUP($A237,tropes!$A$4:$O$2428,13,FALSE)</f>
        <v>#N/A</v>
      </c>
      <c r="N237" s="5"/>
    </row>
    <row r="238" spans="1:14" x14ac:dyDescent="0.3">
      <c r="A238" s="14"/>
      <c r="B238" s="5" t="e">
        <f>VLOOKUP($A238,tropes!$A$4:$O$2428,2,FALSE)</f>
        <v>#N/A</v>
      </c>
      <c r="C238" s="5" t="e">
        <f>VLOOKUP($A238,tropes!$A$4:$O$2428,3,FALSE)</f>
        <v>#N/A</v>
      </c>
      <c r="D238" s="5" t="e">
        <f>VLOOKUP($A238,tropes!$A$4:$O$2428,4,FALSE)</f>
        <v>#N/A</v>
      </c>
      <c r="E238" s="5" t="e">
        <f>VLOOKUP($A238,tropes!$A$4:$O$2428,5,FALSE)</f>
        <v>#N/A</v>
      </c>
      <c r="F238" s="5" t="e">
        <f>VLOOKUP($A238,tropes!$A$4:$O$2428,6,FALSE)</f>
        <v>#N/A</v>
      </c>
      <c r="G238" s="5" t="e">
        <f>VLOOKUP($A238,tropes!$A$4:$O$2428,7,FALSE)</f>
        <v>#N/A</v>
      </c>
      <c r="H238" s="5" t="e">
        <f>VLOOKUP($A238,tropes!$A$4:$O$2428,8,FALSE)</f>
        <v>#N/A</v>
      </c>
      <c r="I238" s="5" t="e">
        <f>VLOOKUP($A238,tropes!$A$4:$O$2428,9,FALSE)</f>
        <v>#N/A</v>
      </c>
      <c r="J238" s="5" t="e">
        <f>VLOOKUP($A238,tropes!$A$4:$O$2428,10,FALSE)</f>
        <v>#N/A</v>
      </c>
      <c r="K238" s="5" t="e">
        <f>VLOOKUP($A238,tropes!$A$4:$O$2428,11,FALSE)</f>
        <v>#N/A</v>
      </c>
      <c r="L238" s="5" t="e">
        <f>VLOOKUP($A238,tropes!$A$4:$O$2428,12,FALSE)</f>
        <v>#N/A</v>
      </c>
      <c r="M238" s="5" t="e">
        <f>VLOOKUP($A238,tropes!$A$4:$O$2428,13,FALSE)</f>
        <v>#N/A</v>
      </c>
      <c r="N238" s="5"/>
    </row>
    <row r="239" spans="1:14" x14ac:dyDescent="0.3">
      <c r="A239" s="14"/>
      <c r="B239" s="5" t="e">
        <f>VLOOKUP($A239,tropes!$A$4:$O$2428,2,FALSE)</f>
        <v>#N/A</v>
      </c>
      <c r="C239" s="5" t="e">
        <f>VLOOKUP($A239,tropes!$A$4:$O$2428,3,FALSE)</f>
        <v>#N/A</v>
      </c>
      <c r="D239" s="5" t="e">
        <f>VLOOKUP($A239,tropes!$A$4:$O$2428,4,FALSE)</f>
        <v>#N/A</v>
      </c>
      <c r="E239" s="5" t="e">
        <f>VLOOKUP($A239,tropes!$A$4:$O$2428,5,FALSE)</f>
        <v>#N/A</v>
      </c>
      <c r="F239" s="5" t="e">
        <f>VLOOKUP($A239,tropes!$A$4:$O$2428,6,FALSE)</f>
        <v>#N/A</v>
      </c>
      <c r="G239" s="5" t="e">
        <f>VLOOKUP($A239,tropes!$A$4:$O$2428,7,FALSE)</f>
        <v>#N/A</v>
      </c>
      <c r="H239" s="5" t="e">
        <f>VLOOKUP($A239,tropes!$A$4:$O$2428,8,FALSE)</f>
        <v>#N/A</v>
      </c>
      <c r="I239" s="5" t="e">
        <f>VLOOKUP($A239,tropes!$A$4:$O$2428,9,FALSE)</f>
        <v>#N/A</v>
      </c>
      <c r="J239" s="5" t="e">
        <f>VLOOKUP($A239,tropes!$A$4:$O$2428,10,FALSE)</f>
        <v>#N/A</v>
      </c>
      <c r="K239" s="5" t="e">
        <f>VLOOKUP($A239,tropes!$A$4:$O$2428,11,FALSE)</f>
        <v>#N/A</v>
      </c>
      <c r="L239" s="5" t="e">
        <f>VLOOKUP($A239,tropes!$A$4:$O$2428,12,FALSE)</f>
        <v>#N/A</v>
      </c>
      <c r="M239" s="5" t="e">
        <f>VLOOKUP($A239,tropes!$A$4:$O$2428,13,FALSE)</f>
        <v>#N/A</v>
      </c>
      <c r="N239" s="5"/>
    </row>
    <row r="240" spans="1:14" x14ac:dyDescent="0.3">
      <c r="A240" s="14"/>
      <c r="B240" s="5" t="e">
        <f>VLOOKUP($A240,tropes!$A$4:$O$2428,2,FALSE)</f>
        <v>#N/A</v>
      </c>
      <c r="C240" s="5" t="e">
        <f>VLOOKUP($A240,tropes!$A$4:$O$2428,3,FALSE)</f>
        <v>#N/A</v>
      </c>
      <c r="D240" s="5" t="e">
        <f>VLOOKUP($A240,tropes!$A$4:$O$2428,4,FALSE)</f>
        <v>#N/A</v>
      </c>
      <c r="E240" s="5" t="e">
        <f>VLOOKUP($A240,tropes!$A$4:$O$2428,5,FALSE)</f>
        <v>#N/A</v>
      </c>
      <c r="F240" s="5" t="e">
        <f>VLOOKUP($A240,tropes!$A$4:$O$2428,6,FALSE)</f>
        <v>#N/A</v>
      </c>
      <c r="G240" s="5" t="e">
        <f>VLOOKUP($A240,tropes!$A$4:$O$2428,7,FALSE)</f>
        <v>#N/A</v>
      </c>
      <c r="H240" s="5" t="e">
        <f>VLOOKUP($A240,tropes!$A$4:$O$2428,8,FALSE)</f>
        <v>#N/A</v>
      </c>
      <c r="I240" s="5" t="e">
        <f>VLOOKUP($A240,tropes!$A$4:$O$2428,9,FALSE)</f>
        <v>#N/A</v>
      </c>
      <c r="J240" s="5" t="e">
        <f>VLOOKUP($A240,tropes!$A$4:$O$2428,10,FALSE)</f>
        <v>#N/A</v>
      </c>
      <c r="K240" s="5" t="e">
        <f>VLOOKUP($A240,tropes!$A$4:$O$2428,11,FALSE)</f>
        <v>#N/A</v>
      </c>
      <c r="L240" s="5" t="e">
        <f>VLOOKUP($A240,tropes!$A$4:$O$2428,12,FALSE)</f>
        <v>#N/A</v>
      </c>
      <c r="M240" s="5" t="e">
        <f>VLOOKUP($A240,tropes!$A$4:$O$2428,13,FALSE)</f>
        <v>#N/A</v>
      </c>
      <c r="N240" s="5"/>
    </row>
    <row r="241" spans="1:14" x14ac:dyDescent="0.3">
      <c r="A241" s="14"/>
      <c r="B241" s="5" t="e">
        <f>VLOOKUP($A241,tropes!$A$4:$O$2428,2,FALSE)</f>
        <v>#N/A</v>
      </c>
      <c r="C241" s="5" t="e">
        <f>VLOOKUP($A241,tropes!$A$4:$O$2428,3,FALSE)</f>
        <v>#N/A</v>
      </c>
      <c r="D241" s="5" t="e">
        <f>VLOOKUP($A241,tropes!$A$4:$O$2428,4,FALSE)</f>
        <v>#N/A</v>
      </c>
      <c r="E241" s="5" t="e">
        <f>VLOOKUP($A241,tropes!$A$4:$O$2428,5,FALSE)</f>
        <v>#N/A</v>
      </c>
      <c r="F241" s="5" t="e">
        <f>VLOOKUP($A241,tropes!$A$4:$O$2428,6,FALSE)</f>
        <v>#N/A</v>
      </c>
      <c r="G241" s="5" t="e">
        <f>VLOOKUP($A241,tropes!$A$4:$O$2428,7,FALSE)</f>
        <v>#N/A</v>
      </c>
      <c r="H241" s="5" t="e">
        <f>VLOOKUP($A241,tropes!$A$4:$O$2428,8,FALSE)</f>
        <v>#N/A</v>
      </c>
      <c r="I241" s="5" t="e">
        <f>VLOOKUP($A241,tropes!$A$4:$O$2428,9,FALSE)</f>
        <v>#N/A</v>
      </c>
      <c r="J241" s="5" t="e">
        <f>VLOOKUP($A241,tropes!$A$4:$O$2428,10,FALSE)</f>
        <v>#N/A</v>
      </c>
      <c r="K241" s="5" t="e">
        <f>VLOOKUP($A241,tropes!$A$4:$O$2428,11,FALSE)</f>
        <v>#N/A</v>
      </c>
      <c r="L241" s="5" t="e">
        <f>VLOOKUP($A241,tropes!$A$4:$O$2428,12,FALSE)</f>
        <v>#N/A</v>
      </c>
      <c r="M241" s="5" t="e">
        <f>VLOOKUP($A241,tropes!$A$4:$O$2428,13,FALSE)</f>
        <v>#N/A</v>
      </c>
      <c r="N241" s="5"/>
    </row>
    <row r="242" spans="1:14" x14ac:dyDescent="0.3">
      <c r="A242" s="14"/>
      <c r="B242" s="5" t="e">
        <f>VLOOKUP($A242,tropes!$A$4:$O$2428,2,FALSE)</f>
        <v>#N/A</v>
      </c>
      <c r="C242" s="5" t="e">
        <f>VLOOKUP($A242,tropes!$A$4:$O$2428,3,FALSE)</f>
        <v>#N/A</v>
      </c>
      <c r="D242" s="5" t="e">
        <f>VLOOKUP($A242,tropes!$A$4:$O$2428,4,FALSE)</f>
        <v>#N/A</v>
      </c>
      <c r="E242" s="5" t="e">
        <f>VLOOKUP($A242,tropes!$A$4:$O$2428,5,FALSE)</f>
        <v>#N/A</v>
      </c>
      <c r="F242" s="5" t="e">
        <f>VLOOKUP($A242,tropes!$A$4:$O$2428,6,FALSE)</f>
        <v>#N/A</v>
      </c>
      <c r="G242" s="5" t="e">
        <f>VLOOKUP($A242,tropes!$A$4:$O$2428,7,FALSE)</f>
        <v>#N/A</v>
      </c>
      <c r="H242" s="5" t="e">
        <f>VLOOKUP($A242,tropes!$A$4:$O$2428,8,FALSE)</f>
        <v>#N/A</v>
      </c>
      <c r="I242" s="5" t="e">
        <f>VLOOKUP($A242,tropes!$A$4:$O$2428,9,FALSE)</f>
        <v>#N/A</v>
      </c>
      <c r="J242" s="5" t="e">
        <f>VLOOKUP($A242,tropes!$A$4:$O$2428,10,FALSE)</f>
        <v>#N/A</v>
      </c>
      <c r="K242" s="5" t="e">
        <f>VLOOKUP($A242,tropes!$A$4:$O$2428,11,FALSE)</f>
        <v>#N/A</v>
      </c>
      <c r="L242" s="5" t="e">
        <f>VLOOKUP($A242,tropes!$A$4:$O$2428,12,FALSE)</f>
        <v>#N/A</v>
      </c>
      <c r="M242" s="5" t="e">
        <f>VLOOKUP($A242,tropes!$A$4:$O$2428,13,FALSE)</f>
        <v>#N/A</v>
      </c>
      <c r="N242" s="5"/>
    </row>
    <row r="243" spans="1:14" x14ac:dyDescent="0.3">
      <c r="A243" s="14"/>
      <c r="B243" s="5" t="e">
        <f>VLOOKUP($A243,tropes!$A$4:$O$2428,2,FALSE)</f>
        <v>#N/A</v>
      </c>
      <c r="C243" s="5" t="e">
        <f>VLOOKUP($A243,tropes!$A$4:$O$2428,3,FALSE)</f>
        <v>#N/A</v>
      </c>
      <c r="D243" s="5" t="e">
        <f>VLOOKUP($A243,tropes!$A$4:$O$2428,4,FALSE)</f>
        <v>#N/A</v>
      </c>
      <c r="E243" s="5" t="e">
        <f>VLOOKUP($A243,tropes!$A$4:$O$2428,5,FALSE)</f>
        <v>#N/A</v>
      </c>
      <c r="F243" s="5" t="e">
        <f>VLOOKUP($A243,tropes!$A$4:$O$2428,6,FALSE)</f>
        <v>#N/A</v>
      </c>
      <c r="G243" s="5" t="e">
        <f>VLOOKUP($A243,tropes!$A$4:$O$2428,7,FALSE)</f>
        <v>#N/A</v>
      </c>
      <c r="H243" s="5" t="e">
        <f>VLOOKUP($A243,tropes!$A$4:$O$2428,8,FALSE)</f>
        <v>#N/A</v>
      </c>
      <c r="I243" s="5" t="e">
        <f>VLOOKUP($A243,tropes!$A$4:$O$2428,9,FALSE)</f>
        <v>#N/A</v>
      </c>
      <c r="J243" s="5" t="e">
        <f>VLOOKUP($A243,tropes!$A$4:$O$2428,10,FALSE)</f>
        <v>#N/A</v>
      </c>
      <c r="K243" s="5" t="e">
        <f>VLOOKUP($A243,tropes!$A$4:$O$2428,11,FALSE)</f>
        <v>#N/A</v>
      </c>
      <c r="L243" s="5" t="e">
        <f>VLOOKUP($A243,tropes!$A$4:$O$2428,12,FALSE)</f>
        <v>#N/A</v>
      </c>
      <c r="M243" s="5" t="e">
        <f>VLOOKUP($A243,tropes!$A$4:$O$2428,13,FALSE)</f>
        <v>#N/A</v>
      </c>
      <c r="N243" s="5"/>
    </row>
    <row r="244" spans="1:14" x14ac:dyDescent="0.3">
      <c r="A244" s="14"/>
      <c r="B244" s="5" t="e">
        <f>VLOOKUP($A244,tropes!$A$4:$O$2428,2,FALSE)</f>
        <v>#N/A</v>
      </c>
      <c r="C244" s="5" t="e">
        <f>VLOOKUP($A244,tropes!$A$4:$O$2428,3,FALSE)</f>
        <v>#N/A</v>
      </c>
      <c r="D244" s="5" t="e">
        <f>VLOOKUP($A244,tropes!$A$4:$O$2428,4,FALSE)</f>
        <v>#N/A</v>
      </c>
      <c r="E244" s="5" t="e">
        <f>VLOOKUP($A244,tropes!$A$4:$O$2428,5,FALSE)</f>
        <v>#N/A</v>
      </c>
      <c r="F244" s="5" t="e">
        <f>VLOOKUP($A244,tropes!$A$4:$O$2428,6,FALSE)</f>
        <v>#N/A</v>
      </c>
      <c r="G244" s="5" t="e">
        <f>VLOOKUP($A244,tropes!$A$4:$O$2428,7,FALSE)</f>
        <v>#N/A</v>
      </c>
      <c r="H244" s="5" t="e">
        <f>VLOOKUP($A244,tropes!$A$4:$O$2428,8,FALSE)</f>
        <v>#N/A</v>
      </c>
      <c r="I244" s="5" t="e">
        <f>VLOOKUP($A244,tropes!$A$4:$O$2428,9,FALSE)</f>
        <v>#N/A</v>
      </c>
      <c r="J244" s="5" t="e">
        <f>VLOOKUP($A244,tropes!$A$4:$O$2428,10,FALSE)</f>
        <v>#N/A</v>
      </c>
      <c r="K244" s="5" t="e">
        <f>VLOOKUP($A244,tropes!$A$4:$O$2428,11,FALSE)</f>
        <v>#N/A</v>
      </c>
      <c r="L244" s="5" t="e">
        <f>VLOOKUP($A244,tropes!$A$4:$O$2428,12,FALSE)</f>
        <v>#N/A</v>
      </c>
      <c r="M244" s="5" t="e">
        <f>VLOOKUP($A244,tropes!$A$4:$O$2428,13,FALSE)</f>
        <v>#N/A</v>
      </c>
      <c r="N244" s="5"/>
    </row>
    <row r="245" spans="1:14" x14ac:dyDescent="0.3">
      <c r="A245" s="14"/>
      <c r="B245" s="5" t="e">
        <f>VLOOKUP($A245,tropes!$A$4:$O$2428,2,FALSE)</f>
        <v>#N/A</v>
      </c>
      <c r="C245" s="5" t="e">
        <f>VLOOKUP($A245,tropes!$A$4:$O$2428,3,FALSE)</f>
        <v>#N/A</v>
      </c>
      <c r="D245" s="5" t="e">
        <f>VLOOKUP($A245,tropes!$A$4:$O$2428,4,FALSE)</f>
        <v>#N/A</v>
      </c>
      <c r="E245" s="5" t="e">
        <f>VLOOKUP($A245,tropes!$A$4:$O$2428,5,FALSE)</f>
        <v>#N/A</v>
      </c>
      <c r="F245" s="5" t="e">
        <f>VLOOKUP($A245,tropes!$A$4:$O$2428,6,FALSE)</f>
        <v>#N/A</v>
      </c>
      <c r="G245" s="5" t="e">
        <f>VLOOKUP($A245,tropes!$A$4:$O$2428,7,FALSE)</f>
        <v>#N/A</v>
      </c>
      <c r="H245" s="5" t="e">
        <f>VLOOKUP($A245,tropes!$A$4:$O$2428,8,FALSE)</f>
        <v>#N/A</v>
      </c>
      <c r="I245" s="5" t="e">
        <f>VLOOKUP($A245,tropes!$A$4:$O$2428,9,FALSE)</f>
        <v>#N/A</v>
      </c>
      <c r="J245" s="5" t="e">
        <f>VLOOKUP($A245,tropes!$A$4:$O$2428,10,FALSE)</f>
        <v>#N/A</v>
      </c>
      <c r="K245" s="5" t="e">
        <f>VLOOKUP($A245,tropes!$A$4:$O$2428,11,FALSE)</f>
        <v>#N/A</v>
      </c>
      <c r="L245" s="5" t="e">
        <f>VLOOKUP($A245,tropes!$A$4:$O$2428,12,FALSE)</f>
        <v>#N/A</v>
      </c>
      <c r="M245" s="5" t="e">
        <f>VLOOKUP($A245,tropes!$A$4:$O$2428,13,FALSE)</f>
        <v>#N/A</v>
      </c>
      <c r="N245" s="5"/>
    </row>
    <row r="246" spans="1:14" x14ac:dyDescent="0.3">
      <c r="A246" s="14"/>
      <c r="B246" s="5" t="e">
        <f>VLOOKUP($A246,tropes!$A$4:$O$2428,2,FALSE)</f>
        <v>#N/A</v>
      </c>
      <c r="C246" s="5" t="e">
        <f>VLOOKUP($A246,tropes!$A$4:$O$2428,3,FALSE)</f>
        <v>#N/A</v>
      </c>
      <c r="D246" s="5" t="e">
        <f>VLOOKUP($A246,tropes!$A$4:$O$2428,4,FALSE)</f>
        <v>#N/A</v>
      </c>
      <c r="E246" s="5" t="e">
        <f>VLOOKUP($A246,tropes!$A$4:$O$2428,5,FALSE)</f>
        <v>#N/A</v>
      </c>
      <c r="F246" s="5" t="e">
        <f>VLOOKUP($A246,tropes!$A$4:$O$2428,6,FALSE)</f>
        <v>#N/A</v>
      </c>
      <c r="G246" s="5" t="e">
        <f>VLOOKUP($A246,tropes!$A$4:$O$2428,7,FALSE)</f>
        <v>#N/A</v>
      </c>
      <c r="H246" s="5" t="e">
        <f>VLOOKUP($A246,tropes!$A$4:$O$2428,8,FALSE)</f>
        <v>#N/A</v>
      </c>
      <c r="I246" s="5" t="e">
        <f>VLOOKUP($A246,tropes!$A$4:$O$2428,9,FALSE)</f>
        <v>#N/A</v>
      </c>
      <c r="J246" s="5" t="e">
        <f>VLOOKUP($A246,tropes!$A$4:$O$2428,10,FALSE)</f>
        <v>#N/A</v>
      </c>
      <c r="K246" s="5" t="e">
        <f>VLOOKUP($A246,tropes!$A$4:$O$2428,11,FALSE)</f>
        <v>#N/A</v>
      </c>
      <c r="L246" s="5" t="e">
        <f>VLOOKUP($A246,tropes!$A$4:$O$2428,12,FALSE)</f>
        <v>#N/A</v>
      </c>
      <c r="M246" s="5" t="e">
        <f>VLOOKUP($A246,tropes!$A$4:$O$2428,13,FALSE)</f>
        <v>#N/A</v>
      </c>
      <c r="N246" s="5"/>
    </row>
    <row r="247" spans="1:14" x14ac:dyDescent="0.3">
      <c r="A247" s="14"/>
      <c r="B247" s="5" t="e">
        <f>VLOOKUP($A247,tropes!$A$4:$O$2428,2,FALSE)</f>
        <v>#N/A</v>
      </c>
      <c r="C247" s="5" t="e">
        <f>VLOOKUP($A247,tropes!$A$4:$O$2428,3,FALSE)</f>
        <v>#N/A</v>
      </c>
      <c r="D247" s="5" t="e">
        <f>VLOOKUP($A247,tropes!$A$4:$O$2428,4,FALSE)</f>
        <v>#N/A</v>
      </c>
      <c r="E247" s="5" t="e">
        <f>VLOOKUP($A247,tropes!$A$4:$O$2428,5,FALSE)</f>
        <v>#N/A</v>
      </c>
      <c r="F247" s="5" t="e">
        <f>VLOOKUP($A247,tropes!$A$4:$O$2428,6,FALSE)</f>
        <v>#N/A</v>
      </c>
      <c r="G247" s="5" t="e">
        <f>VLOOKUP($A247,tropes!$A$4:$O$2428,7,FALSE)</f>
        <v>#N/A</v>
      </c>
      <c r="H247" s="5" t="e">
        <f>VLOOKUP($A247,tropes!$A$4:$O$2428,8,FALSE)</f>
        <v>#N/A</v>
      </c>
      <c r="I247" s="5" t="e">
        <f>VLOOKUP($A247,tropes!$A$4:$O$2428,9,FALSE)</f>
        <v>#N/A</v>
      </c>
      <c r="J247" s="5" t="e">
        <f>VLOOKUP($A247,tropes!$A$4:$O$2428,10,FALSE)</f>
        <v>#N/A</v>
      </c>
      <c r="K247" s="5" t="e">
        <f>VLOOKUP($A247,tropes!$A$4:$O$2428,11,FALSE)</f>
        <v>#N/A</v>
      </c>
      <c r="L247" s="5" t="e">
        <f>VLOOKUP($A247,tropes!$A$4:$O$2428,12,FALSE)</f>
        <v>#N/A</v>
      </c>
      <c r="M247" s="5" t="e">
        <f>VLOOKUP($A247,tropes!$A$4:$O$2428,13,FALSE)</f>
        <v>#N/A</v>
      </c>
      <c r="N247" s="5"/>
    </row>
    <row r="248" spans="1:14" x14ac:dyDescent="0.3">
      <c r="A248" s="14"/>
      <c r="B248" s="5" t="e">
        <f>VLOOKUP($A248,tropes!$A$4:$O$2428,2,FALSE)</f>
        <v>#N/A</v>
      </c>
      <c r="C248" s="5" t="e">
        <f>VLOOKUP($A248,tropes!$A$4:$O$2428,3,FALSE)</f>
        <v>#N/A</v>
      </c>
      <c r="D248" s="5" t="e">
        <f>VLOOKUP($A248,tropes!$A$4:$O$2428,4,FALSE)</f>
        <v>#N/A</v>
      </c>
      <c r="E248" s="5" t="e">
        <f>VLOOKUP($A248,tropes!$A$4:$O$2428,5,FALSE)</f>
        <v>#N/A</v>
      </c>
      <c r="F248" s="5" t="e">
        <f>VLOOKUP($A248,tropes!$A$4:$O$2428,6,FALSE)</f>
        <v>#N/A</v>
      </c>
      <c r="G248" s="5" t="e">
        <f>VLOOKUP($A248,tropes!$A$4:$O$2428,7,FALSE)</f>
        <v>#N/A</v>
      </c>
      <c r="H248" s="5" t="e">
        <f>VLOOKUP($A248,tropes!$A$4:$O$2428,8,FALSE)</f>
        <v>#N/A</v>
      </c>
      <c r="I248" s="5" t="e">
        <f>VLOOKUP($A248,tropes!$A$4:$O$2428,9,FALSE)</f>
        <v>#N/A</v>
      </c>
      <c r="J248" s="5" t="e">
        <f>VLOOKUP($A248,tropes!$A$4:$O$2428,10,FALSE)</f>
        <v>#N/A</v>
      </c>
      <c r="K248" s="5" t="e">
        <f>VLOOKUP($A248,tropes!$A$4:$O$2428,11,FALSE)</f>
        <v>#N/A</v>
      </c>
      <c r="L248" s="5" t="e">
        <f>VLOOKUP($A248,tropes!$A$4:$O$2428,12,FALSE)</f>
        <v>#N/A</v>
      </c>
      <c r="M248" s="5" t="e">
        <f>VLOOKUP($A248,tropes!$A$4:$O$2428,13,FALSE)</f>
        <v>#N/A</v>
      </c>
      <c r="N248" s="5"/>
    </row>
    <row r="249" spans="1:14" x14ac:dyDescent="0.3">
      <c r="A249" s="14"/>
      <c r="B249" s="5" t="e">
        <f>VLOOKUP($A249,tropes!$A$4:$O$2428,2,FALSE)</f>
        <v>#N/A</v>
      </c>
      <c r="C249" s="5" t="e">
        <f>VLOOKUP($A249,tropes!$A$4:$O$2428,3,FALSE)</f>
        <v>#N/A</v>
      </c>
      <c r="D249" s="5" t="e">
        <f>VLOOKUP($A249,tropes!$A$4:$O$2428,4,FALSE)</f>
        <v>#N/A</v>
      </c>
      <c r="E249" s="5" t="e">
        <f>VLOOKUP($A249,tropes!$A$4:$O$2428,5,FALSE)</f>
        <v>#N/A</v>
      </c>
      <c r="F249" s="5" t="e">
        <f>VLOOKUP($A249,tropes!$A$4:$O$2428,6,FALSE)</f>
        <v>#N/A</v>
      </c>
      <c r="G249" s="5" t="e">
        <f>VLOOKUP($A249,tropes!$A$4:$O$2428,7,FALSE)</f>
        <v>#N/A</v>
      </c>
      <c r="H249" s="5" t="e">
        <f>VLOOKUP($A249,tropes!$A$4:$O$2428,8,FALSE)</f>
        <v>#N/A</v>
      </c>
      <c r="I249" s="5" t="e">
        <f>VLOOKUP($A249,tropes!$A$4:$O$2428,9,FALSE)</f>
        <v>#N/A</v>
      </c>
      <c r="J249" s="5" t="e">
        <f>VLOOKUP($A249,tropes!$A$4:$O$2428,10,FALSE)</f>
        <v>#N/A</v>
      </c>
      <c r="K249" s="5" t="e">
        <f>VLOOKUP($A249,tropes!$A$4:$O$2428,11,FALSE)</f>
        <v>#N/A</v>
      </c>
      <c r="L249" s="5" t="e">
        <f>VLOOKUP($A249,tropes!$A$4:$O$2428,12,FALSE)</f>
        <v>#N/A</v>
      </c>
      <c r="M249" s="5" t="e">
        <f>VLOOKUP($A249,tropes!$A$4:$O$2428,13,FALSE)</f>
        <v>#N/A</v>
      </c>
      <c r="N249" s="5"/>
    </row>
    <row r="250" spans="1:14" x14ac:dyDescent="0.3">
      <c r="A250" s="14"/>
      <c r="B250" s="5" t="e">
        <f>VLOOKUP($A250,tropes!$A$4:$O$2428,2,FALSE)</f>
        <v>#N/A</v>
      </c>
      <c r="C250" s="5" t="e">
        <f>VLOOKUP($A250,tropes!$A$4:$O$2428,3,FALSE)</f>
        <v>#N/A</v>
      </c>
      <c r="D250" s="5" t="e">
        <f>VLOOKUP($A250,tropes!$A$4:$O$2428,4,FALSE)</f>
        <v>#N/A</v>
      </c>
      <c r="E250" s="5" t="e">
        <f>VLOOKUP($A250,tropes!$A$4:$O$2428,5,FALSE)</f>
        <v>#N/A</v>
      </c>
      <c r="F250" s="5" t="e">
        <f>VLOOKUP($A250,tropes!$A$4:$O$2428,6,FALSE)</f>
        <v>#N/A</v>
      </c>
      <c r="G250" s="5" t="e">
        <f>VLOOKUP($A250,tropes!$A$4:$O$2428,7,FALSE)</f>
        <v>#N/A</v>
      </c>
      <c r="H250" s="5" t="e">
        <f>VLOOKUP($A250,tropes!$A$4:$O$2428,8,FALSE)</f>
        <v>#N/A</v>
      </c>
      <c r="I250" s="5" t="e">
        <f>VLOOKUP($A250,tropes!$A$4:$O$2428,9,FALSE)</f>
        <v>#N/A</v>
      </c>
      <c r="J250" s="5" t="e">
        <f>VLOOKUP($A250,tropes!$A$4:$O$2428,10,FALSE)</f>
        <v>#N/A</v>
      </c>
      <c r="K250" s="5" t="e">
        <f>VLOOKUP($A250,tropes!$A$4:$O$2428,11,FALSE)</f>
        <v>#N/A</v>
      </c>
      <c r="L250" s="5" t="e">
        <f>VLOOKUP($A250,tropes!$A$4:$O$2428,12,FALSE)</f>
        <v>#N/A</v>
      </c>
      <c r="M250" s="5" t="e">
        <f>VLOOKUP($A250,tropes!$A$4:$O$2428,13,FALSE)</f>
        <v>#N/A</v>
      </c>
      <c r="N250" s="5"/>
    </row>
    <row r="251" spans="1:14" x14ac:dyDescent="0.3">
      <c r="A251" s="14"/>
      <c r="B251" s="5" t="e">
        <f>VLOOKUP($A251,tropes!$A$4:$O$2428,2,FALSE)</f>
        <v>#N/A</v>
      </c>
      <c r="C251" s="5" t="e">
        <f>VLOOKUP($A251,tropes!$A$4:$O$2428,3,FALSE)</f>
        <v>#N/A</v>
      </c>
      <c r="D251" s="5" t="e">
        <f>VLOOKUP($A251,tropes!$A$4:$O$2428,4,FALSE)</f>
        <v>#N/A</v>
      </c>
      <c r="E251" s="5" t="e">
        <f>VLOOKUP($A251,tropes!$A$4:$O$2428,5,FALSE)</f>
        <v>#N/A</v>
      </c>
      <c r="F251" s="5" t="e">
        <f>VLOOKUP($A251,tropes!$A$4:$O$2428,6,FALSE)</f>
        <v>#N/A</v>
      </c>
      <c r="G251" s="5" t="e">
        <f>VLOOKUP($A251,tropes!$A$4:$O$2428,7,FALSE)</f>
        <v>#N/A</v>
      </c>
      <c r="H251" s="5" t="e">
        <f>VLOOKUP($A251,tropes!$A$4:$O$2428,8,FALSE)</f>
        <v>#N/A</v>
      </c>
      <c r="I251" s="5" t="e">
        <f>VLOOKUP($A251,tropes!$A$4:$O$2428,9,FALSE)</f>
        <v>#N/A</v>
      </c>
      <c r="J251" s="5" t="e">
        <f>VLOOKUP($A251,tropes!$A$4:$O$2428,10,FALSE)</f>
        <v>#N/A</v>
      </c>
      <c r="K251" s="5" t="e">
        <f>VLOOKUP($A251,tropes!$A$4:$O$2428,11,FALSE)</f>
        <v>#N/A</v>
      </c>
      <c r="L251" s="5" t="e">
        <f>VLOOKUP($A251,tropes!$A$4:$O$2428,12,FALSE)</f>
        <v>#N/A</v>
      </c>
      <c r="M251" s="5" t="e">
        <f>VLOOKUP($A251,tropes!$A$4:$O$2428,13,FALSE)</f>
        <v>#N/A</v>
      </c>
      <c r="N251" s="5"/>
    </row>
    <row r="252" spans="1:14" x14ac:dyDescent="0.3">
      <c r="A252" s="14"/>
      <c r="B252" s="5" t="e">
        <f>VLOOKUP($A252,tropes!$A$4:$O$2428,2,FALSE)</f>
        <v>#N/A</v>
      </c>
      <c r="C252" s="5" t="e">
        <f>VLOOKUP($A252,tropes!$A$4:$O$2428,3,FALSE)</f>
        <v>#N/A</v>
      </c>
      <c r="D252" s="5" t="e">
        <f>VLOOKUP($A252,tropes!$A$4:$O$2428,4,FALSE)</f>
        <v>#N/A</v>
      </c>
      <c r="E252" s="5" t="e">
        <f>VLOOKUP($A252,tropes!$A$4:$O$2428,5,FALSE)</f>
        <v>#N/A</v>
      </c>
      <c r="F252" s="5" t="e">
        <f>VLOOKUP($A252,tropes!$A$4:$O$2428,6,FALSE)</f>
        <v>#N/A</v>
      </c>
      <c r="G252" s="5" t="e">
        <f>VLOOKUP($A252,tropes!$A$4:$O$2428,7,FALSE)</f>
        <v>#N/A</v>
      </c>
      <c r="H252" s="5" t="e">
        <f>VLOOKUP($A252,tropes!$A$4:$O$2428,8,FALSE)</f>
        <v>#N/A</v>
      </c>
      <c r="I252" s="5" t="e">
        <f>VLOOKUP($A252,tropes!$A$4:$O$2428,9,FALSE)</f>
        <v>#N/A</v>
      </c>
      <c r="J252" s="5" t="e">
        <f>VLOOKUP($A252,tropes!$A$4:$O$2428,10,FALSE)</f>
        <v>#N/A</v>
      </c>
      <c r="K252" s="5" t="e">
        <f>VLOOKUP($A252,tropes!$A$4:$O$2428,11,FALSE)</f>
        <v>#N/A</v>
      </c>
      <c r="L252" s="5" t="e">
        <f>VLOOKUP($A252,tropes!$A$4:$O$2428,12,FALSE)</f>
        <v>#N/A</v>
      </c>
      <c r="M252" s="5" t="e">
        <f>VLOOKUP($A252,tropes!$A$4:$O$2428,13,FALSE)</f>
        <v>#N/A</v>
      </c>
      <c r="N252" s="5"/>
    </row>
    <row r="253" spans="1:14" x14ac:dyDescent="0.3">
      <c r="A253" s="14"/>
      <c r="B253" s="5" t="e">
        <f>VLOOKUP($A253,tropes!$A$4:$O$2428,2,FALSE)</f>
        <v>#N/A</v>
      </c>
      <c r="C253" s="5" t="e">
        <f>VLOOKUP($A253,tropes!$A$4:$O$2428,3,FALSE)</f>
        <v>#N/A</v>
      </c>
      <c r="D253" s="5" t="e">
        <f>VLOOKUP($A253,tropes!$A$4:$O$2428,4,FALSE)</f>
        <v>#N/A</v>
      </c>
      <c r="E253" s="5" t="e">
        <f>VLOOKUP($A253,tropes!$A$4:$O$2428,5,FALSE)</f>
        <v>#N/A</v>
      </c>
      <c r="F253" s="5" t="e">
        <f>VLOOKUP($A253,tropes!$A$4:$O$2428,6,FALSE)</f>
        <v>#N/A</v>
      </c>
      <c r="G253" s="5" t="e">
        <f>VLOOKUP($A253,tropes!$A$4:$O$2428,7,FALSE)</f>
        <v>#N/A</v>
      </c>
      <c r="H253" s="5" t="e">
        <f>VLOOKUP($A253,tropes!$A$4:$O$2428,8,FALSE)</f>
        <v>#N/A</v>
      </c>
      <c r="I253" s="5" t="e">
        <f>VLOOKUP($A253,tropes!$A$4:$O$2428,9,FALSE)</f>
        <v>#N/A</v>
      </c>
      <c r="J253" s="5" t="e">
        <f>VLOOKUP($A253,tropes!$A$4:$O$2428,10,FALSE)</f>
        <v>#N/A</v>
      </c>
      <c r="K253" s="5" t="e">
        <f>VLOOKUP($A253,tropes!$A$4:$O$2428,11,FALSE)</f>
        <v>#N/A</v>
      </c>
      <c r="L253" s="5" t="e">
        <f>VLOOKUP($A253,tropes!$A$4:$O$2428,12,FALSE)</f>
        <v>#N/A</v>
      </c>
      <c r="M253" s="5" t="e">
        <f>VLOOKUP($A253,tropes!$A$4:$O$2428,13,FALSE)</f>
        <v>#N/A</v>
      </c>
      <c r="N253" s="5"/>
    </row>
    <row r="254" spans="1:14" x14ac:dyDescent="0.3">
      <c r="A254" s="14"/>
      <c r="B254" s="5" t="e">
        <f>VLOOKUP($A254,tropes!$A$4:$O$2428,2,FALSE)</f>
        <v>#N/A</v>
      </c>
      <c r="C254" s="5" t="e">
        <f>VLOOKUP($A254,tropes!$A$4:$O$2428,3,FALSE)</f>
        <v>#N/A</v>
      </c>
      <c r="D254" s="5" t="e">
        <f>VLOOKUP($A254,tropes!$A$4:$O$2428,4,FALSE)</f>
        <v>#N/A</v>
      </c>
      <c r="E254" s="5" t="e">
        <f>VLOOKUP($A254,tropes!$A$4:$O$2428,5,FALSE)</f>
        <v>#N/A</v>
      </c>
      <c r="F254" s="5" t="e">
        <f>VLOOKUP($A254,tropes!$A$4:$O$2428,6,FALSE)</f>
        <v>#N/A</v>
      </c>
      <c r="G254" s="5" t="e">
        <f>VLOOKUP($A254,tropes!$A$4:$O$2428,7,FALSE)</f>
        <v>#N/A</v>
      </c>
      <c r="H254" s="5" t="e">
        <f>VLOOKUP($A254,tropes!$A$4:$O$2428,8,FALSE)</f>
        <v>#N/A</v>
      </c>
      <c r="I254" s="5" t="e">
        <f>VLOOKUP($A254,tropes!$A$4:$O$2428,9,FALSE)</f>
        <v>#N/A</v>
      </c>
      <c r="J254" s="5" t="e">
        <f>VLOOKUP($A254,tropes!$A$4:$O$2428,10,FALSE)</f>
        <v>#N/A</v>
      </c>
      <c r="K254" s="5" t="e">
        <f>VLOOKUP($A254,tropes!$A$4:$O$2428,11,FALSE)</f>
        <v>#N/A</v>
      </c>
      <c r="L254" s="5" t="e">
        <f>VLOOKUP($A254,tropes!$A$4:$O$2428,12,FALSE)</f>
        <v>#N/A</v>
      </c>
      <c r="M254" s="5" t="e">
        <f>VLOOKUP($A254,tropes!$A$4:$O$2428,13,FALSE)</f>
        <v>#N/A</v>
      </c>
      <c r="N254" s="5"/>
    </row>
    <row r="255" spans="1:14" x14ac:dyDescent="0.3">
      <c r="A255" s="14"/>
      <c r="B255" s="5" t="e">
        <f>VLOOKUP($A255,tropes!$A$4:$O$2428,2,FALSE)</f>
        <v>#N/A</v>
      </c>
      <c r="C255" s="5" t="e">
        <f>VLOOKUP($A255,tropes!$A$4:$O$2428,3,FALSE)</f>
        <v>#N/A</v>
      </c>
      <c r="D255" s="5" t="e">
        <f>VLOOKUP($A255,tropes!$A$4:$O$2428,4,FALSE)</f>
        <v>#N/A</v>
      </c>
      <c r="E255" s="5" t="e">
        <f>VLOOKUP($A255,tropes!$A$4:$O$2428,5,FALSE)</f>
        <v>#N/A</v>
      </c>
      <c r="F255" s="5" t="e">
        <f>VLOOKUP($A255,tropes!$A$4:$O$2428,6,FALSE)</f>
        <v>#N/A</v>
      </c>
      <c r="G255" s="5" t="e">
        <f>VLOOKUP($A255,tropes!$A$4:$O$2428,7,FALSE)</f>
        <v>#N/A</v>
      </c>
      <c r="H255" s="5" t="e">
        <f>VLOOKUP($A255,tropes!$A$4:$O$2428,8,FALSE)</f>
        <v>#N/A</v>
      </c>
      <c r="I255" s="5" t="e">
        <f>VLOOKUP($A255,tropes!$A$4:$O$2428,9,FALSE)</f>
        <v>#N/A</v>
      </c>
      <c r="J255" s="5" t="e">
        <f>VLOOKUP($A255,tropes!$A$4:$O$2428,10,FALSE)</f>
        <v>#N/A</v>
      </c>
      <c r="K255" s="5" t="e">
        <f>VLOOKUP($A255,tropes!$A$4:$O$2428,11,FALSE)</f>
        <v>#N/A</v>
      </c>
      <c r="L255" s="5" t="e">
        <f>VLOOKUP($A255,tropes!$A$4:$O$2428,12,FALSE)</f>
        <v>#N/A</v>
      </c>
      <c r="M255" s="5" t="e">
        <f>VLOOKUP($A255,tropes!$A$4:$O$2428,13,FALSE)</f>
        <v>#N/A</v>
      </c>
      <c r="N255" s="5"/>
    </row>
    <row r="256" spans="1:14" x14ac:dyDescent="0.3">
      <c r="A256" s="14"/>
      <c r="B256" s="5" t="e">
        <f>VLOOKUP($A256,tropes!$A$4:$O$2428,2,FALSE)</f>
        <v>#N/A</v>
      </c>
      <c r="C256" s="5" t="e">
        <f>VLOOKUP($A256,tropes!$A$4:$O$2428,3,FALSE)</f>
        <v>#N/A</v>
      </c>
      <c r="D256" s="5" t="e">
        <f>VLOOKUP($A256,tropes!$A$4:$O$2428,4,FALSE)</f>
        <v>#N/A</v>
      </c>
      <c r="E256" s="5" t="e">
        <f>VLOOKUP($A256,tropes!$A$4:$O$2428,5,FALSE)</f>
        <v>#N/A</v>
      </c>
      <c r="F256" s="5" t="e">
        <f>VLOOKUP($A256,tropes!$A$4:$O$2428,6,FALSE)</f>
        <v>#N/A</v>
      </c>
      <c r="G256" s="5" t="e">
        <f>VLOOKUP($A256,tropes!$A$4:$O$2428,7,FALSE)</f>
        <v>#N/A</v>
      </c>
      <c r="H256" s="5" t="e">
        <f>VLOOKUP($A256,tropes!$A$4:$O$2428,8,FALSE)</f>
        <v>#N/A</v>
      </c>
      <c r="I256" s="5" t="e">
        <f>VLOOKUP($A256,tropes!$A$4:$O$2428,9,FALSE)</f>
        <v>#N/A</v>
      </c>
      <c r="J256" s="5" t="e">
        <f>VLOOKUP($A256,tropes!$A$4:$O$2428,10,FALSE)</f>
        <v>#N/A</v>
      </c>
      <c r="K256" s="5" t="e">
        <f>VLOOKUP($A256,tropes!$A$4:$O$2428,11,FALSE)</f>
        <v>#N/A</v>
      </c>
      <c r="L256" s="5" t="e">
        <f>VLOOKUP($A256,tropes!$A$4:$O$2428,12,FALSE)</f>
        <v>#N/A</v>
      </c>
      <c r="M256" s="5" t="e">
        <f>VLOOKUP($A256,tropes!$A$4:$O$2428,13,FALSE)</f>
        <v>#N/A</v>
      </c>
      <c r="N256" s="5"/>
    </row>
    <row r="257" spans="1:14" x14ac:dyDescent="0.3">
      <c r="A257" s="14"/>
      <c r="B257" s="5" t="e">
        <f>VLOOKUP($A257,tropes!$A$4:$O$2428,2,FALSE)</f>
        <v>#N/A</v>
      </c>
      <c r="C257" s="5" t="e">
        <f>VLOOKUP($A257,tropes!$A$4:$O$2428,3,FALSE)</f>
        <v>#N/A</v>
      </c>
      <c r="D257" s="5" t="e">
        <f>VLOOKUP($A257,tropes!$A$4:$O$2428,4,FALSE)</f>
        <v>#N/A</v>
      </c>
      <c r="E257" s="5" t="e">
        <f>VLOOKUP($A257,tropes!$A$4:$O$2428,5,FALSE)</f>
        <v>#N/A</v>
      </c>
      <c r="F257" s="5" t="e">
        <f>VLOOKUP($A257,tropes!$A$4:$O$2428,6,FALSE)</f>
        <v>#N/A</v>
      </c>
      <c r="G257" s="5" t="e">
        <f>VLOOKUP($A257,tropes!$A$4:$O$2428,7,FALSE)</f>
        <v>#N/A</v>
      </c>
      <c r="H257" s="5" t="e">
        <f>VLOOKUP($A257,tropes!$A$4:$O$2428,8,FALSE)</f>
        <v>#N/A</v>
      </c>
      <c r="I257" s="5" t="e">
        <f>VLOOKUP($A257,tropes!$A$4:$O$2428,9,FALSE)</f>
        <v>#N/A</v>
      </c>
      <c r="J257" s="5" t="e">
        <f>VLOOKUP($A257,tropes!$A$4:$O$2428,10,FALSE)</f>
        <v>#N/A</v>
      </c>
      <c r="K257" s="5" t="e">
        <f>VLOOKUP($A257,tropes!$A$4:$O$2428,11,FALSE)</f>
        <v>#N/A</v>
      </c>
      <c r="L257" s="5" t="e">
        <f>VLOOKUP($A257,tropes!$A$4:$O$2428,12,FALSE)</f>
        <v>#N/A</v>
      </c>
      <c r="M257" s="5" t="e">
        <f>VLOOKUP($A257,tropes!$A$4:$O$2428,13,FALSE)</f>
        <v>#N/A</v>
      </c>
      <c r="N257" s="5"/>
    </row>
    <row r="258" spans="1:14" x14ac:dyDescent="0.3">
      <c r="A258" s="14"/>
      <c r="B258" s="5" t="e">
        <f>VLOOKUP($A258,tropes!$A$4:$O$2428,2,FALSE)</f>
        <v>#N/A</v>
      </c>
      <c r="C258" s="5" t="e">
        <f>VLOOKUP($A258,tropes!$A$4:$O$2428,3,FALSE)</f>
        <v>#N/A</v>
      </c>
      <c r="D258" s="5" t="e">
        <f>VLOOKUP($A258,tropes!$A$4:$O$2428,4,FALSE)</f>
        <v>#N/A</v>
      </c>
      <c r="E258" s="5" t="e">
        <f>VLOOKUP($A258,tropes!$A$4:$O$2428,5,FALSE)</f>
        <v>#N/A</v>
      </c>
      <c r="F258" s="5" t="e">
        <f>VLOOKUP($A258,tropes!$A$4:$O$2428,6,FALSE)</f>
        <v>#N/A</v>
      </c>
      <c r="G258" s="5" t="e">
        <f>VLOOKUP($A258,tropes!$A$4:$O$2428,7,FALSE)</f>
        <v>#N/A</v>
      </c>
      <c r="H258" s="5" t="e">
        <f>VLOOKUP($A258,tropes!$A$4:$O$2428,8,FALSE)</f>
        <v>#N/A</v>
      </c>
      <c r="I258" s="5" t="e">
        <f>VLOOKUP($A258,tropes!$A$4:$O$2428,9,FALSE)</f>
        <v>#N/A</v>
      </c>
      <c r="J258" s="5" t="e">
        <f>VLOOKUP($A258,tropes!$A$4:$O$2428,10,FALSE)</f>
        <v>#N/A</v>
      </c>
      <c r="K258" s="5" t="e">
        <f>VLOOKUP($A258,tropes!$A$4:$O$2428,11,FALSE)</f>
        <v>#N/A</v>
      </c>
      <c r="L258" s="5" t="e">
        <f>VLOOKUP($A258,tropes!$A$4:$O$2428,12,FALSE)</f>
        <v>#N/A</v>
      </c>
      <c r="M258" s="5" t="e">
        <f>VLOOKUP($A258,tropes!$A$4:$O$2428,13,FALSE)</f>
        <v>#N/A</v>
      </c>
      <c r="N258" s="5"/>
    </row>
    <row r="259" spans="1:14" x14ac:dyDescent="0.3">
      <c r="A259" s="14"/>
      <c r="B259" s="5" t="e">
        <f>VLOOKUP($A259,tropes!$A$4:$O$2428,2,FALSE)</f>
        <v>#N/A</v>
      </c>
      <c r="C259" s="5" t="e">
        <f>VLOOKUP($A259,tropes!$A$4:$O$2428,3,FALSE)</f>
        <v>#N/A</v>
      </c>
      <c r="D259" s="5" t="e">
        <f>VLOOKUP($A259,tropes!$A$4:$O$2428,4,FALSE)</f>
        <v>#N/A</v>
      </c>
      <c r="E259" s="5" t="e">
        <f>VLOOKUP($A259,tropes!$A$4:$O$2428,5,FALSE)</f>
        <v>#N/A</v>
      </c>
      <c r="F259" s="5" t="e">
        <f>VLOOKUP($A259,tropes!$A$4:$O$2428,6,FALSE)</f>
        <v>#N/A</v>
      </c>
      <c r="G259" s="5" t="e">
        <f>VLOOKUP($A259,tropes!$A$4:$O$2428,7,FALSE)</f>
        <v>#N/A</v>
      </c>
      <c r="H259" s="5" t="e">
        <f>VLOOKUP($A259,tropes!$A$4:$O$2428,8,FALSE)</f>
        <v>#N/A</v>
      </c>
      <c r="I259" s="5" t="e">
        <f>VLOOKUP($A259,tropes!$A$4:$O$2428,9,FALSE)</f>
        <v>#N/A</v>
      </c>
      <c r="J259" s="5" t="e">
        <f>VLOOKUP($A259,tropes!$A$4:$O$2428,10,FALSE)</f>
        <v>#N/A</v>
      </c>
      <c r="K259" s="5" t="e">
        <f>VLOOKUP($A259,tropes!$A$4:$O$2428,11,FALSE)</f>
        <v>#N/A</v>
      </c>
      <c r="L259" s="5" t="e">
        <f>VLOOKUP($A259,tropes!$A$4:$O$2428,12,FALSE)</f>
        <v>#N/A</v>
      </c>
      <c r="M259" s="5" t="e">
        <f>VLOOKUP($A259,tropes!$A$4:$O$2428,13,FALSE)</f>
        <v>#N/A</v>
      </c>
      <c r="N259" s="5"/>
    </row>
    <row r="260" spans="1:14" x14ac:dyDescent="0.3">
      <c r="A260" s="14"/>
      <c r="B260" s="5" t="e">
        <f>VLOOKUP($A260,tropes!$A$4:$O$2428,2,FALSE)</f>
        <v>#N/A</v>
      </c>
      <c r="C260" s="5" t="e">
        <f>VLOOKUP($A260,tropes!$A$4:$O$2428,3,FALSE)</f>
        <v>#N/A</v>
      </c>
      <c r="D260" s="5" t="e">
        <f>VLOOKUP($A260,tropes!$A$4:$O$2428,4,FALSE)</f>
        <v>#N/A</v>
      </c>
      <c r="E260" s="5" t="e">
        <f>VLOOKUP($A260,tropes!$A$4:$O$2428,5,FALSE)</f>
        <v>#N/A</v>
      </c>
      <c r="F260" s="5" t="e">
        <f>VLOOKUP($A260,tropes!$A$4:$O$2428,6,FALSE)</f>
        <v>#N/A</v>
      </c>
      <c r="G260" s="5" t="e">
        <f>VLOOKUP($A260,tropes!$A$4:$O$2428,7,FALSE)</f>
        <v>#N/A</v>
      </c>
      <c r="H260" s="5" t="e">
        <f>VLOOKUP($A260,tropes!$A$4:$O$2428,8,FALSE)</f>
        <v>#N/A</v>
      </c>
      <c r="I260" s="5" t="e">
        <f>VLOOKUP($A260,tropes!$A$4:$O$2428,9,FALSE)</f>
        <v>#N/A</v>
      </c>
      <c r="J260" s="5" t="e">
        <f>VLOOKUP($A260,tropes!$A$4:$O$2428,10,FALSE)</f>
        <v>#N/A</v>
      </c>
      <c r="K260" s="5" t="e">
        <f>VLOOKUP($A260,tropes!$A$4:$O$2428,11,FALSE)</f>
        <v>#N/A</v>
      </c>
      <c r="L260" s="5" t="e">
        <f>VLOOKUP($A260,tropes!$A$4:$O$2428,12,FALSE)</f>
        <v>#N/A</v>
      </c>
      <c r="M260" s="5" t="e">
        <f>VLOOKUP($A260,tropes!$A$4:$O$2428,13,FALSE)</f>
        <v>#N/A</v>
      </c>
      <c r="N260" s="5"/>
    </row>
    <row r="261" spans="1:14" x14ac:dyDescent="0.3">
      <c r="A261" s="14"/>
      <c r="B261" s="5" t="e">
        <f>VLOOKUP($A261,tropes!$A$4:$O$2428,2,FALSE)</f>
        <v>#N/A</v>
      </c>
      <c r="C261" s="5" t="e">
        <f>VLOOKUP($A261,tropes!$A$4:$O$2428,3,FALSE)</f>
        <v>#N/A</v>
      </c>
      <c r="D261" s="5" t="e">
        <f>VLOOKUP($A261,tropes!$A$4:$O$2428,4,FALSE)</f>
        <v>#N/A</v>
      </c>
      <c r="E261" s="5" t="e">
        <f>VLOOKUP($A261,tropes!$A$4:$O$2428,5,FALSE)</f>
        <v>#N/A</v>
      </c>
      <c r="F261" s="5" t="e">
        <f>VLOOKUP($A261,tropes!$A$4:$O$2428,6,FALSE)</f>
        <v>#N/A</v>
      </c>
      <c r="G261" s="5" t="e">
        <f>VLOOKUP($A261,tropes!$A$4:$O$2428,7,FALSE)</f>
        <v>#N/A</v>
      </c>
      <c r="H261" s="5" t="e">
        <f>VLOOKUP($A261,tropes!$A$4:$O$2428,8,FALSE)</f>
        <v>#N/A</v>
      </c>
      <c r="I261" s="5" t="e">
        <f>VLOOKUP($A261,tropes!$A$4:$O$2428,9,FALSE)</f>
        <v>#N/A</v>
      </c>
      <c r="J261" s="5" t="e">
        <f>VLOOKUP($A261,tropes!$A$4:$O$2428,10,FALSE)</f>
        <v>#N/A</v>
      </c>
      <c r="K261" s="5" t="e">
        <f>VLOOKUP($A261,tropes!$A$4:$O$2428,11,FALSE)</f>
        <v>#N/A</v>
      </c>
      <c r="L261" s="5" t="e">
        <f>VLOOKUP($A261,tropes!$A$4:$O$2428,12,FALSE)</f>
        <v>#N/A</v>
      </c>
      <c r="M261" s="5" t="e">
        <f>VLOOKUP($A261,tropes!$A$4:$O$2428,13,FALSE)</f>
        <v>#N/A</v>
      </c>
      <c r="N261" s="5"/>
    </row>
    <row r="262" spans="1:14" x14ac:dyDescent="0.3">
      <c r="A262" s="14"/>
      <c r="B262" s="5" t="e">
        <f>VLOOKUP($A262,tropes!$A$4:$O$2428,2,FALSE)</f>
        <v>#N/A</v>
      </c>
      <c r="C262" s="5" t="e">
        <f>VLOOKUP($A262,tropes!$A$4:$O$2428,3,FALSE)</f>
        <v>#N/A</v>
      </c>
      <c r="D262" s="5" t="e">
        <f>VLOOKUP($A262,tropes!$A$4:$O$2428,4,FALSE)</f>
        <v>#N/A</v>
      </c>
      <c r="E262" s="5" t="e">
        <f>VLOOKUP($A262,tropes!$A$4:$O$2428,5,FALSE)</f>
        <v>#N/A</v>
      </c>
      <c r="F262" s="5" t="e">
        <f>VLOOKUP($A262,tropes!$A$4:$O$2428,6,FALSE)</f>
        <v>#N/A</v>
      </c>
      <c r="G262" s="5" t="e">
        <f>VLOOKUP($A262,tropes!$A$4:$O$2428,7,FALSE)</f>
        <v>#N/A</v>
      </c>
      <c r="H262" s="5" t="e">
        <f>VLOOKUP($A262,tropes!$A$4:$O$2428,8,FALSE)</f>
        <v>#N/A</v>
      </c>
      <c r="I262" s="5" t="e">
        <f>VLOOKUP($A262,tropes!$A$4:$O$2428,9,FALSE)</f>
        <v>#N/A</v>
      </c>
      <c r="J262" s="5" t="e">
        <f>VLOOKUP($A262,tropes!$A$4:$O$2428,10,FALSE)</f>
        <v>#N/A</v>
      </c>
      <c r="K262" s="5" t="e">
        <f>VLOOKUP($A262,tropes!$A$4:$O$2428,11,FALSE)</f>
        <v>#N/A</v>
      </c>
      <c r="L262" s="5" t="e">
        <f>VLOOKUP($A262,tropes!$A$4:$O$2428,12,FALSE)</f>
        <v>#N/A</v>
      </c>
      <c r="M262" s="5" t="e">
        <f>VLOOKUP($A262,tropes!$A$4:$O$2428,13,FALSE)</f>
        <v>#N/A</v>
      </c>
      <c r="N262" s="5"/>
    </row>
    <row r="263" spans="1:14" x14ac:dyDescent="0.3">
      <c r="A263" s="14"/>
      <c r="B263" s="5" t="e">
        <f>VLOOKUP($A263,tropes!$A$4:$O$2428,2,FALSE)</f>
        <v>#N/A</v>
      </c>
      <c r="C263" s="5" t="e">
        <f>VLOOKUP($A263,tropes!$A$4:$O$2428,3,FALSE)</f>
        <v>#N/A</v>
      </c>
      <c r="D263" s="5" t="e">
        <f>VLOOKUP($A263,tropes!$A$4:$O$2428,4,FALSE)</f>
        <v>#N/A</v>
      </c>
      <c r="E263" s="5" t="e">
        <f>VLOOKUP($A263,tropes!$A$4:$O$2428,5,FALSE)</f>
        <v>#N/A</v>
      </c>
      <c r="F263" s="5" t="e">
        <f>VLOOKUP($A263,tropes!$A$4:$O$2428,6,FALSE)</f>
        <v>#N/A</v>
      </c>
      <c r="G263" s="5" t="e">
        <f>VLOOKUP($A263,tropes!$A$4:$O$2428,7,FALSE)</f>
        <v>#N/A</v>
      </c>
      <c r="H263" s="5" t="e">
        <f>VLOOKUP($A263,tropes!$A$4:$O$2428,8,FALSE)</f>
        <v>#N/A</v>
      </c>
      <c r="I263" s="5" t="e">
        <f>VLOOKUP($A263,tropes!$A$4:$O$2428,9,FALSE)</f>
        <v>#N/A</v>
      </c>
      <c r="J263" s="5" t="e">
        <f>VLOOKUP($A263,tropes!$A$4:$O$2428,10,FALSE)</f>
        <v>#N/A</v>
      </c>
      <c r="K263" s="5" t="e">
        <f>VLOOKUP($A263,tropes!$A$4:$O$2428,11,FALSE)</f>
        <v>#N/A</v>
      </c>
      <c r="L263" s="5" t="e">
        <f>VLOOKUP($A263,tropes!$A$4:$O$2428,12,FALSE)</f>
        <v>#N/A</v>
      </c>
      <c r="M263" s="5" t="e">
        <f>VLOOKUP($A263,tropes!$A$4:$O$2428,13,FALSE)</f>
        <v>#N/A</v>
      </c>
      <c r="N263" s="5"/>
    </row>
    <row r="264" spans="1:14" x14ac:dyDescent="0.3">
      <c r="A264" s="14"/>
      <c r="B264" s="5" t="e">
        <f>VLOOKUP($A264,tropes!$A$4:$O$2428,2,FALSE)</f>
        <v>#N/A</v>
      </c>
      <c r="C264" s="5" t="e">
        <f>VLOOKUP($A264,tropes!$A$4:$O$2428,3,FALSE)</f>
        <v>#N/A</v>
      </c>
      <c r="D264" s="5" t="e">
        <f>VLOOKUP($A264,tropes!$A$4:$O$2428,4,FALSE)</f>
        <v>#N/A</v>
      </c>
      <c r="E264" s="5" t="e">
        <f>VLOOKUP($A264,tropes!$A$4:$O$2428,5,FALSE)</f>
        <v>#N/A</v>
      </c>
      <c r="F264" s="5" t="e">
        <f>VLOOKUP($A264,tropes!$A$4:$O$2428,6,FALSE)</f>
        <v>#N/A</v>
      </c>
      <c r="G264" s="5" t="e">
        <f>VLOOKUP($A264,tropes!$A$4:$O$2428,7,FALSE)</f>
        <v>#N/A</v>
      </c>
      <c r="H264" s="5" t="e">
        <f>VLOOKUP($A264,tropes!$A$4:$O$2428,8,FALSE)</f>
        <v>#N/A</v>
      </c>
      <c r="I264" s="5" t="e">
        <f>VLOOKUP($A264,tropes!$A$4:$O$2428,9,FALSE)</f>
        <v>#N/A</v>
      </c>
      <c r="J264" s="5" t="e">
        <f>VLOOKUP($A264,tropes!$A$4:$O$2428,10,FALSE)</f>
        <v>#N/A</v>
      </c>
      <c r="K264" s="5" t="e">
        <f>VLOOKUP($A264,tropes!$A$4:$O$2428,11,FALSE)</f>
        <v>#N/A</v>
      </c>
      <c r="L264" s="5" t="e">
        <f>VLOOKUP($A264,tropes!$A$4:$O$2428,12,FALSE)</f>
        <v>#N/A</v>
      </c>
      <c r="M264" s="5" t="e">
        <f>VLOOKUP($A264,tropes!$A$4:$O$2428,13,FALSE)</f>
        <v>#N/A</v>
      </c>
      <c r="N264" s="5"/>
    </row>
    <row r="265" spans="1:14" x14ac:dyDescent="0.3">
      <c r="A265" s="14"/>
      <c r="B265" s="5" t="e">
        <f>VLOOKUP($A265,tropes!$A$4:$O$2428,2,FALSE)</f>
        <v>#N/A</v>
      </c>
      <c r="C265" s="5" t="e">
        <f>VLOOKUP($A265,tropes!$A$4:$O$2428,3,FALSE)</f>
        <v>#N/A</v>
      </c>
      <c r="D265" s="5" t="e">
        <f>VLOOKUP($A265,tropes!$A$4:$O$2428,4,FALSE)</f>
        <v>#N/A</v>
      </c>
      <c r="E265" s="5" t="e">
        <f>VLOOKUP($A265,tropes!$A$4:$O$2428,5,FALSE)</f>
        <v>#N/A</v>
      </c>
      <c r="F265" s="5" t="e">
        <f>VLOOKUP($A265,tropes!$A$4:$O$2428,6,FALSE)</f>
        <v>#N/A</v>
      </c>
      <c r="G265" s="5" t="e">
        <f>VLOOKUP($A265,tropes!$A$4:$O$2428,7,FALSE)</f>
        <v>#N/A</v>
      </c>
      <c r="H265" s="5" t="e">
        <f>VLOOKUP($A265,tropes!$A$4:$O$2428,8,FALSE)</f>
        <v>#N/A</v>
      </c>
      <c r="I265" s="5" t="e">
        <f>VLOOKUP($A265,tropes!$A$4:$O$2428,9,FALSE)</f>
        <v>#N/A</v>
      </c>
      <c r="J265" s="5" t="e">
        <f>VLOOKUP($A265,tropes!$A$4:$O$2428,10,FALSE)</f>
        <v>#N/A</v>
      </c>
      <c r="K265" s="5" t="e">
        <f>VLOOKUP($A265,tropes!$A$4:$O$2428,11,FALSE)</f>
        <v>#N/A</v>
      </c>
      <c r="L265" s="5" t="e">
        <f>VLOOKUP($A265,tropes!$A$4:$O$2428,12,FALSE)</f>
        <v>#N/A</v>
      </c>
      <c r="M265" s="5" t="e">
        <f>VLOOKUP($A265,tropes!$A$4:$O$2428,13,FALSE)</f>
        <v>#N/A</v>
      </c>
      <c r="N265" s="5"/>
    </row>
    <row r="266" spans="1:14" x14ac:dyDescent="0.3">
      <c r="A266" s="14"/>
      <c r="B266" s="5" t="e">
        <f>VLOOKUP($A266,tropes!$A$4:$O$2428,2,FALSE)</f>
        <v>#N/A</v>
      </c>
      <c r="C266" s="5" t="e">
        <f>VLOOKUP($A266,tropes!$A$4:$O$2428,3,FALSE)</f>
        <v>#N/A</v>
      </c>
      <c r="D266" s="5" t="e">
        <f>VLOOKUP($A266,tropes!$A$4:$O$2428,4,FALSE)</f>
        <v>#N/A</v>
      </c>
      <c r="E266" s="5" t="e">
        <f>VLOOKUP($A266,tropes!$A$4:$O$2428,5,FALSE)</f>
        <v>#N/A</v>
      </c>
      <c r="F266" s="5" t="e">
        <f>VLOOKUP($A266,tropes!$A$4:$O$2428,6,FALSE)</f>
        <v>#N/A</v>
      </c>
      <c r="G266" s="5" t="e">
        <f>VLOOKUP($A266,tropes!$A$4:$O$2428,7,FALSE)</f>
        <v>#N/A</v>
      </c>
      <c r="H266" s="5" t="e">
        <f>VLOOKUP($A266,tropes!$A$4:$O$2428,8,FALSE)</f>
        <v>#N/A</v>
      </c>
      <c r="I266" s="5" t="e">
        <f>VLOOKUP($A266,tropes!$A$4:$O$2428,9,FALSE)</f>
        <v>#N/A</v>
      </c>
      <c r="J266" s="5" t="e">
        <f>VLOOKUP($A266,tropes!$A$4:$O$2428,10,FALSE)</f>
        <v>#N/A</v>
      </c>
      <c r="K266" s="5" t="e">
        <f>VLOOKUP($A266,tropes!$A$4:$O$2428,11,FALSE)</f>
        <v>#N/A</v>
      </c>
      <c r="L266" s="5" t="e">
        <f>VLOOKUP($A266,tropes!$A$4:$O$2428,12,FALSE)</f>
        <v>#N/A</v>
      </c>
      <c r="M266" s="5" t="e">
        <f>VLOOKUP($A266,tropes!$A$4:$O$2428,13,FALSE)</f>
        <v>#N/A</v>
      </c>
      <c r="N266" s="5"/>
    </row>
    <row r="267" spans="1:14" x14ac:dyDescent="0.3">
      <c r="A267" s="14"/>
      <c r="B267" s="5" t="e">
        <f>VLOOKUP($A267,tropes!$A$4:$O$2428,2,FALSE)</f>
        <v>#N/A</v>
      </c>
      <c r="C267" s="5" t="e">
        <f>VLOOKUP($A267,tropes!$A$4:$O$2428,3,FALSE)</f>
        <v>#N/A</v>
      </c>
      <c r="D267" s="5" t="e">
        <f>VLOOKUP($A267,tropes!$A$4:$O$2428,4,FALSE)</f>
        <v>#N/A</v>
      </c>
      <c r="E267" s="5" t="e">
        <f>VLOOKUP($A267,tropes!$A$4:$O$2428,5,FALSE)</f>
        <v>#N/A</v>
      </c>
      <c r="F267" s="5" t="e">
        <f>VLOOKUP($A267,tropes!$A$4:$O$2428,6,FALSE)</f>
        <v>#N/A</v>
      </c>
      <c r="G267" s="5" t="e">
        <f>VLOOKUP($A267,tropes!$A$4:$O$2428,7,FALSE)</f>
        <v>#N/A</v>
      </c>
      <c r="H267" s="5" t="e">
        <f>VLOOKUP($A267,tropes!$A$4:$O$2428,8,FALSE)</f>
        <v>#N/A</v>
      </c>
      <c r="I267" s="5" t="e">
        <f>VLOOKUP($A267,tropes!$A$4:$O$2428,9,FALSE)</f>
        <v>#N/A</v>
      </c>
      <c r="J267" s="5" t="e">
        <f>VLOOKUP($A267,tropes!$A$4:$O$2428,10,FALSE)</f>
        <v>#N/A</v>
      </c>
      <c r="K267" s="5" t="e">
        <f>VLOOKUP($A267,tropes!$A$4:$O$2428,11,FALSE)</f>
        <v>#N/A</v>
      </c>
      <c r="L267" s="5" t="e">
        <f>VLOOKUP($A267,tropes!$A$4:$O$2428,12,FALSE)</f>
        <v>#N/A</v>
      </c>
      <c r="M267" s="5" t="e">
        <f>VLOOKUP($A267,tropes!$A$4:$O$2428,13,FALSE)</f>
        <v>#N/A</v>
      </c>
      <c r="N267" s="5"/>
    </row>
    <row r="268" spans="1:14" x14ac:dyDescent="0.3">
      <c r="A268" s="14"/>
      <c r="B268" s="5" t="e">
        <f>VLOOKUP($A268,tropes!$A$4:$O$2428,2,FALSE)</f>
        <v>#N/A</v>
      </c>
      <c r="C268" s="5" t="e">
        <f>VLOOKUP($A268,tropes!$A$4:$O$2428,3,FALSE)</f>
        <v>#N/A</v>
      </c>
      <c r="D268" s="5" t="e">
        <f>VLOOKUP($A268,tropes!$A$4:$O$2428,4,FALSE)</f>
        <v>#N/A</v>
      </c>
      <c r="E268" s="5" t="e">
        <f>VLOOKUP($A268,tropes!$A$4:$O$2428,5,FALSE)</f>
        <v>#N/A</v>
      </c>
      <c r="F268" s="5" t="e">
        <f>VLOOKUP($A268,tropes!$A$4:$O$2428,6,FALSE)</f>
        <v>#N/A</v>
      </c>
      <c r="G268" s="5" t="e">
        <f>VLOOKUP($A268,tropes!$A$4:$O$2428,7,FALSE)</f>
        <v>#N/A</v>
      </c>
      <c r="H268" s="5" t="e">
        <f>VLOOKUP($A268,tropes!$A$4:$O$2428,8,FALSE)</f>
        <v>#N/A</v>
      </c>
      <c r="I268" s="5" t="e">
        <f>VLOOKUP($A268,tropes!$A$4:$O$2428,9,FALSE)</f>
        <v>#N/A</v>
      </c>
      <c r="J268" s="5" t="e">
        <f>VLOOKUP($A268,tropes!$A$4:$O$2428,10,FALSE)</f>
        <v>#N/A</v>
      </c>
      <c r="K268" s="5" t="e">
        <f>VLOOKUP($A268,tropes!$A$4:$O$2428,11,FALSE)</f>
        <v>#N/A</v>
      </c>
      <c r="L268" s="5" t="e">
        <f>VLOOKUP($A268,tropes!$A$4:$O$2428,12,FALSE)</f>
        <v>#N/A</v>
      </c>
      <c r="M268" s="5" t="e">
        <f>VLOOKUP($A268,tropes!$A$4:$O$2428,13,FALSE)</f>
        <v>#N/A</v>
      </c>
      <c r="N268" s="5"/>
    </row>
    <row r="269" spans="1:14" x14ac:dyDescent="0.3">
      <c r="A269" s="14"/>
      <c r="B269" s="5" t="e">
        <f>VLOOKUP($A269,tropes!$A$4:$O$2428,2,FALSE)</f>
        <v>#N/A</v>
      </c>
      <c r="C269" s="5" t="e">
        <f>VLOOKUP($A269,tropes!$A$4:$O$2428,3,FALSE)</f>
        <v>#N/A</v>
      </c>
      <c r="D269" s="5" t="e">
        <f>VLOOKUP($A269,tropes!$A$4:$O$2428,4,FALSE)</f>
        <v>#N/A</v>
      </c>
      <c r="E269" s="5" t="e">
        <f>VLOOKUP($A269,tropes!$A$4:$O$2428,5,FALSE)</f>
        <v>#N/A</v>
      </c>
      <c r="F269" s="5" t="e">
        <f>VLOOKUP($A269,tropes!$A$4:$O$2428,6,FALSE)</f>
        <v>#N/A</v>
      </c>
      <c r="G269" s="5" t="e">
        <f>VLOOKUP($A269,tropes!$A$4:$O$2428,7,FALSE)</f>
        <v>#N/A</v>
      </c>
      <c r="H269" s="5" t="e">
        <f>VLOOKUP($A269,tropes!$A$4:$O$2428,8,FALSE)</f>
        <v>#N/A</v>
      </c>
      <c r="I269" s="5" t="e">
        <f>VLOOKUP($A269,tropes!$A$4:$O$2428,9,FALSE)</f>
        <v>#N/A</v>
      </c>
      <c r="J269" s="5" t="e">
        <f>VLOOKUP($A269,tropes!$A$4:$O$2428,10,FALSE)</f>
        <v>#N/A</v>
      </c>
      <c r="K269" s="5" t="e">
        <f>VLOOKUP($A269,tropes!$A$4:$O$2428,11,FALSE)</f>
        <v>#N/A</v>
      </c>
      <c r="L269" s="5" t="e">
        <f>VLOOKUP($A269,tropes!$A$4:$O$2428,12,FALSE)</f>
        <v>#N/A</v>
      </c>
      <c r="M269" s="5" t="e">
        <f>VLOOKUP($A269,tropes!$A$4:$O$2428,13,FALSE)</f>
        <v>#N/A</v>
      </c>
      <c r="N269" s="5"/>
    </row>
    <row r="270" spans="1:14" x14ac:dyDescent="0.3">
      <c r="A270" s="14"/>
      <c r="B270" s="5" t="e">
        <f>VLOOKUP($A270,tropes!$A$4:$O$2428,2,FALSE)</f>
        <v>#N/A</v>
      </c>
      <c r="C270" s="5" t="e">
        <f>VLOOKUP($A270,tropes!$A$4:$O$2428,3,FALSE)</f>
        <v>#N/A</v>
      </c>
      <c r="D270" s="5" t="e">
        <f>VLOOKUP($A270,tropes!$A$4:$O$2428,4,FALSE)</f>
        <v>#N/A</v>
      </c>
      <c r="E270" s="5" t="e">
        <f>VLOOKUP($A270,tropes!$A$4:$O$2428,5,FALSE)</f>
        <v>#N/A</v>
      </c>
      <c r="F270" s="5" t="e">
        <f>VLOOKUP($A270,tropes!$A$4:$O$2428,6,FALSE)</f>
        <v>#N/A</v>
      </c>
      <c r="G270" s="5" t="e">
        <f>VLOOKUP($A270,tropes!$A$4:$O$2428,7,FALSE)</f>
        <v>#N/A</v>
      </c>
      <c r="H270" s="5" t="e">
        <f>VLOOKUP($A270,tropes!$A$4:$O$2428,8,FALSE)</f>
        <v>#N/A</v>
      </c>
      <c r="I270" s="5" t="e">
        <f>VLOOKUP($A270,tropes!$A$4:$O$2428,9,FALSE)</f>
        <v>#N/A</v>
      </c>
      <c r="J270" s="5" t="e">
        <f>VLOOKUP($A270,tropes!$A$4:$O$2428,10,FALSE)</f>
        <v>#N/A</v>
      </c>
      <c r="K270" s="5" t="e">
        <f>VLOOKUP($A270,tropes!$A$4:$O$2428,11,FALSE)</f>
        <v>#N/A</v>
      </c>
      <c r="L270" s="5" t="e">
        <f>VLOOKUP($A270,tropes!$A$4:$O$2428,12,FALSE)</f>
        <v>#N/A</v>
      </c>
      <c r="M270" s="5" t="e">
        <f>VLOOKUP($A270,tropes!$A$4:$O$2428,13,FALSE)</f>
        <v>#N/A</v>
      </c>
      <c r="N270" s="5"/>
    </row>
    <row r="271" spans="1:14" x14ac:dyDescent="0.3">
      <c r="A271" s="14"/>
      <c r="B271" s="5" t="e">
        <f>VLOOKUP($A271,tropes!$A$4:$O$2428,2,FALSE)</f>
        <v>#N/A</v>
      </c>
      <c r="C271" s="5" t="e">
        <f>VLOOKUP($A271,tropes!$A$4:$O$2428,3,FALSE)</f>
        <v>#N/A</v>
      </c>
      <c r="D271" s="5" t="e">
        <f>VLOOKUP($A271,tropes!$A$4:$O$2428,4,FALSE)</f>
        <v>#N/A</v>
      </c>
      <c r="E271" s="5" t="e">
        <f>VLOOKUP($A271,tropes!$A$4:$O$2428,5,FALSE)</f>
        <v>#N/A</v>
      </c>
      <c r="F271" s="5" t="e">
        <f>VLOOKUP($A271,tropes!$A$4:$O$2428,6,FALSE)</f>
        <v>#N/A</v>
      </c>
      <c r="G271" s="5" t="e">
        <f>VLOOKUP($A271,tropes!$A$4:$O$2428,7,FALSE)</f>
        <v>#N/A</v>
      </c>
      <c r="H271" s="5" t="e">
        <f>VLOOKUP($A271,tropes!$A$4:$O$2428,8,FALSE)</f>
        <v>#N/A</v>
      </c>
      <c r="I271" s="5" t="e">
        <f>VLOOKUP($A271,tropes!$A$4:$O$2428,9,FALSE)</f>
        <v>#N/A</v>
      </c>
      <c r="J271" s="5" t="e">
        <f>VLOOKUP($A271,tropes!$A$4:$O$2428,10,FALSE)</f>
        <v>#N/A</v>
      </c>
      <c r="K271" s="5" t="e">
        <f>VLOOKUP($A271,tropes!$A$4:$O$2428,11,FALSE)</f>
        <v>#N/A</v>
      </c>
      <c r="L271" s="5" t="e">
        <f>VLOOKUP($A271,tropes!$A$4:$O$2428,12,FALSE)</f>
        <v>#N/A</v>
      </c>
      <c r="M271" s="5" t="e">
        <f>VLOOKUP($A271,tropes!$A$4:$O$2428,13,FALSE)</f>
        <v>#N/A</v>
      </c>
      <c r="N271" s="5"/>
    </row>
    <row r="272" spans="1:14" x14ac:dyDescent="0.3">
      <c r="A272" s="14"/>
      <c r="B272" s="5" t="e">
        <f>VLOOKUP($A272,tropes!$A$4:$O$2428,2,FALSE)</f>
        <v>#N/A</v>
      </c>
      <c r="C272" s="5" t="e">
        <f>VLOOKUP($A272,tropes!$A$4:$O$2428,3,FALSE)</f>
        <v>#N/A</v>
      </c>
      <c r="D272" s="5" t="e">
        <f>VLOOKUP($A272,tropes!$A$4:$O$2428,4,FALSE)</f>
        <v>#N/A</v>
      </c>
      <c r="E272" s="5" t="e">
        <f>VLOOKUP($A272,tropes!$A$4:$O$2428,5,FALSE)</f>
        <v>#N/A</v>
      </c>
      <c r="F272" s="5" t="e">
        <f>VLOOKUP($A272,tropes!$A$4:$O$2428,6,FALSE)</f>
        <v>#N/A</v>
      </c>
      <c r="G272" s="5" t="e">
        <f>VLOOKUP($A272,tropes!$A$4:$O$2428,7,FALSE)</f>
        <v>#N/A</v>
      </c>
      <c r="H272" s="5" t="e">
        <f>VLOOKUP($A272,tropes!$A$4:$O$2428,8,FALSE)</f>
        <v>#N/A</v>
      </c>
      <c r="I272" s="5" t="e">
        <f>VLOOKUP($A272,tropes!$A$4:$O$2428,9,FALSE)</f>
        <v>#N/A</v>
      </c>
      <c r="J272" s="5" t="e">
        <f>VLOOKUP($A272,tropes!$A$4:$O$2428,10,FALSE)</f>
        <v>#N/A</v>
      </c>
      <c r="K272" s="5" t="e">
        <f>VLOOKUP($A272,tropes!$A$4:$O$2428,11,FALSE)</f>
        <v>#N/A</v>
      </c>
      <c r="L272" s="5" t="e">
        <f>VLOOKUP($A272,tropes!$A$4:$O$2428,12,FALSE)</f>
        <v>#N/A</v>
      </c>
      <c r="M272" s="5" t="e">
        <f>VLOOKUP($A272,tropes!$A$4:$O$2428,13,FALSE)</f>
        <v>#N/A</v>
      </c>
      <c r="N272" s="5"/>
    </row>
    <row r="273" spans="1:14" x14ac:dyDescent="0.3">
      <c r="A273" s="14"/>
      <c r="B273" s="5" t="e">
        <f>VLOOKUP($A273,tropes!$A$4:$O$2428,2,FALSE)</f>
        <v>#N/A</v>
      </c>
      <c r="C273" s="5" t="e">
        <f>VLOOKUP($A273,tropes!$A$4:$O$2428,3,FALSE)</f>
        <v>#N/A</v>
      </c>
      <c r="D273" s="5" t="e">
        <f>VLOOKUP($A273,tropes!$A$4:$O$2428,4,FALSE)</f>
        <v>#N/A</v>
      </c>
      <c r="E273" s="5" t="e">
        <f>VLOOKUP($A273,tropes!$A$4:$O$2428,5,FALSE)</f>
        <v>#N/A</v>
      </c>
      <c r="F273" s="5" t="e">
        <f>VLOOKUP($A273,tropes!$A$4:$O$2428,6,FALSE)</f>
        <v>#N/A</v>
      </c>
      <c r="G273" s="5" t="e">
        <f>VLOOKUP($A273,tropes!$A$4:$O$2428,7,FALSE)</f>
        <v>#N/A</v>
      </c>
      <c r="H273" s="5" t="e">
        <f>VLOOKUP($A273,tropes!$A$4:$O$2428,8,FALSE)</f>
        <v>#N/A</v>
      </c>
      <c r="I273" s="5" t="e">
        <f>VLOOKUP($A273,tropes!$A$4:$O$2428,9,FALSE)</f>
        <v>#N/A</v>
      </c>
      <c r="J273" s="5" t="e">
        <f>VLOOKUP($A273,tropes!$A$4:$O$2428,10,FALSE)</f>
        <v>#N/A</v>
      </c>
      <c r="K273" s="5" t="e">
        <f>VLOOKUP($A273,tropes!$A$4:$O$2428,11,FALSE)</f>
        <v>#N/A</v>
      </c>
      <c r="L273" s="5" t="e">
        <f>VLOOKUP($A273,tropes!$A$4:$O$2428,12,FALSE)</f>
        <v>#N/A</v>
      </c>
      <c r="M273" s="5" t="e">
        <f>VLOOKUP($A273,tropes!$A$4:$O$2428,13,FALSE)</f>
        <v>#N/A</v>
      </c>
      <c r="N273" s="5"/>
    </row>
    <row r="274" spans="1:14" x14ac:dyDescent="0.3">
      <c r="A274" s="14"/>
      <c r="B274" s="5" t="e">
        <f>VLOOKUP($A274,tropes!$A$4:$O$2428,2,FALSE)</f>
        <v>#N/A</v>
      </c>
      <c r="C274" s="5" t="e">
        <f>VLOOKUP($A274,tropes!$A$4:$O$2428,3,FALSE)</f>
        <v>#N/A</v>
      </c>
      <c r="D274" s="5" t="e">
        <f>VLOOKUP($A274,tropes!$A$4:$O$2428,4,FALSE)</f>
        <v>#N/A</v>
      </c>
      <c r="E274" s="5" t="e">
        <f>VLOOKUP($A274,tropes!$A$4:$O$2428,5,FALSE)</f>
        <v>#N/A</v>
      </c>
      <c r="F274" s="5" t="e">
        <f>VLOOKUP($A274,tropes!$A$4:$O$2428,6,FALSE)</f>
        <v>#N/A</v>
      </c>
      <c r="G274" s="5" t="e">
        <f>VLOOKUP($A274,tropes!$A$4:$O$2428,7,FALSE)</f>
        <v>#N/A</v>
      </c>
      <c r="H274" s="5" t="e">
        <f>VLOOKUP($A274,tropes!$A$4:$O$2428,8,FALSE)</f>
        <v>#N/A</v>
      </c>
      <c r="I274" s="5" t="e">
        <f>VLOOKUP($A274,tropes!$A$4:$O$2428,9,FALSE)</f>
        <v>#N/A</v>
      </c>
      <c r="J274" s="5" t="e">
        <f>VLOOKUP($A274,tropes!$A$4:$O$2428,10,FALSE)</f>
        <v>#N/A</v>
      </c>
      <c r="K274" s="5" t="e">
        <f>VLOOKUP($A274,tropes!$A$4:$O$2428,11,FALSE)</f>
        <v>#N/A</v>
      </c>
      <c r="L274" s="5" t="e">
        <f>VLOOKUP($A274,tropes!$A$4:$O$2428,12,FALSE)</f>
        <v>#N/A</v>
      </c>
      <c r="M274" s="5" t="e">
        <f>VLOOKUP($A274,tropes!$A$4:$O$2428,13,FALSE)</f>
        <v>#N/A</v>
      </c>
      <c r="N274" s="5"/>
    </row>
    <row r="275" spans="1:14" x14ac:dyDescent="0.3">
      <c r="A275" s="14"/>
      <c r="B275" s="5" t="e">
        <f>VLOOKUP($A275,tropes!$A$4:$O$2428,2,FALSE)</f>
        <v>#N/A</v>
      </c>
      <c r="C275" s="5" t="e">
        <f>VLOOKUP($A275,tropes!$A$4:$O$2428,3,FALSE)</f>
        <v>#N/A</v>
      </c>
      <c r="D275" s="5" t="e">
        <f>VLOOKUP($A275,tropes!$A$4:$O$2428,4,FALSE)</f>
        <v>#N/A</v>
      </c>
      <c r="E275" s="5" t="e">
        <f>VLOOKUP($A275,tropes!$A$4:$O$2428,5,FALSE)</f>
        <v>#N/A</v>
      </c>
      <c r="F275" s="5" t="e">
        <f>VLOOKUP($A275,tropes!$A$4:$O$2428,6,FALSE)</f>
        <v>#N/A</v>
      </c>
      <c r="G275" s="5" t="e">
        <f>VLOOKUP($A275,tropes!$A$4:$O$2428,7,FALSE)</f>
        <v>#N/A</v>
      </c>
      <c r="H275" s="5" t="e">
        <f>VLOOKUP($A275,tropes!$A$4:$O$2428,8,FALSE)</f>
        <v>#N/A</v>
      </c>
      <c r="I275" s="5" t="e">
        <f>VLOOKUP($A275,tropes!$A$4:$O$2428,9,FALSE)</f>
        <v>#N/A</v>
      </c>
      <c r="J275" s="5" t="e">
        <f>VLOOKUP($A275,tropes!$A$4:$O$2428,10,FALSE)</f>
        <v>#N/A</v>
      </c>
      <c r="K275" s="5" t="e">
        <f>VLOOKUP($A275,tropes!$A$4:$O$2428,11,FALSE)</f>
        <v>#N/A</v>
      </c>
      <c r="L275" s="5" t="e">
        <f>VLOOKUP($A275,tropes!$A$4:$O$2428,12,FALSE)</f>
        <v>#N/A</v>
      </c>
      <c r="M275" s="5" t="e">
        <f>VLOOKUP($A275,tropes!$A$4:$O$2428,13,FALSE)</f>
        <v>#N/A</v>
      </c>
      <c r="N275" s="5"/>
    </row>
    <row r="276" spans="1:14" x14ac:dyDescent="0.3">
      <c r="A276" s="14"/>
      <c r="B276" s="5" t="e">
        <f>VLOOKUP($A276,tropes!$A$4:$O$2428,2,FALSE)</f>
        <v>#N/A</v>
      </c>
      <c r="C276" s="5" t="e">
        <f>VLOOKUP($A276,tropes!$A$4:$O$2428,3,FALSE)</f>
        <v>#N/A</v>
      </c>
      <c r="D276" s="5" t="e">
        <f>VLOOKUP($A276,tropes!$A$4:$O$2428,4,FALSE)</f>
        <v>#N/A</v>
      </c>
      <c r="E276" s="5" t="e">
        <f>VLOOKUP($A276,tropes!$A$4:$O$2428,5,FALSE)</f>
        <v>#N/A</v>
      </c>
      <c r="F276" s="5" t="e">
        <f>VLOOKUP($A276,tropes!$A$4:$O$2428,6,FALSE)</f>
        <v>#N/A</v>
      </c>
      <c r="G276" s="5" t="e">
        <f>VLOOKUP($A276,tropes!$A$4:$O$2428,7,FALSE)</f>
        <v>#N/A</v>
      </c>
      <c r="H276" s="5" t="e">
        <f>VLOOKUP($A276,tropes!$A$4:$O$2428,8,FALSE)</f>
        <v>#N/A</v>
      </c>
      <c r="I276" s="5" t="e">
        <f>VLOOKUP($A276,tropes!$A$4:$O$2428,9,FALSE)</f>
        <v>#N/A</v>
      </c>
      <c r="J276" s="5" t="e">
        <f>VLOOKUP($A276,tropes!$A$4:$O$2428,10,FALSE)</f>
        <v>#N/A</v>
      </c>
      <c r="K276" s="5" t="e">
        <f>VLOOKUP($A276,tropes!$A$4:$O$2428,11,FALSE)</f>
        <v>#N/A</v>
      </c>
      <c r="L276" s="5" t="e">
        <f>VLOOKUP($A276,tropes!$A$4:$O$2428,12,FALSE)</f>
        <v>#N/A</v>
      </c>
      <c r="M276" s="5" t="e">
        <f>VLOOKUP($A276,tropes!$A$4:$O$2428,13,FALSE)</f>
        <v>#N/A</v>
      </c>
      <c r="N276" s="5"/>
    </row>
    <row r="277" spans="1:14" x14ac:dyDescent="0.3">
      <c r="A277" s="14"/>
      <c r="B277" s="5" t="e">
        <f>VLOOKUP($A277,tropes!$A$4:$O$2428,2,FALSE)</f>
        <v>#N/A</v>
      </c>
      <c r="C277" s="5" t="e">
        <f>VLOOKUP($A277,tropes!$A$4:$O$2428,3,FALSE)</f>
        <v>#N/A</v>
      </c>
      <c r="D277" s="5" t="e">
        <f>VLOOKUP($A277,tropes!$A$4:$O$2428,4,FALSE)</f>
        <v>#N/A</v>
      </c>
      <c r="E277" s="5" t="e">
        <f>VLOOKUP($A277,tropes!$A$4:$O$2428,5,FALSE)</f>
        <v>#N/A</v>
      </c>
      <c r="F277" s="5" t="e">
        <f>VLOOKUP($A277,tropes!$A$4:$O$2428,6,FALSE)</f>
        <v>#N/A</v>
      </c>
      <c r="G277" s="5" t="e">
        <f>VLOOKUP($A277,tropes!$A$4:$O$2428,7,FALSE)</f>
        <v>#N/A</v>
      </c>
      <c r="H277" s="5" t="e">
        <f>VLOOKUP($A277,tropes!$A$4:$O$2428,8,FALSE)</f>
        <v>#N/A</v>
      </c>
      <c r="I277" s="5" t="e">
        <f>VLOOKUP($A277,tropes!$A$4:$O$2428,9,FALSE)</f>
        <v>#N/A</v>
      </c>
      <c r="J277" s="5" t="e">
        <f>VLOOKUP($A277,tropes!$A$4:$O$2428,10,FALSE)</f>
        <v>#N/A</v>
      </c>
      <c r="K277" s="5" t="e">
        <f>VLOOKUP($A277,tropes!$A$4:$O$2428,11,FALSE)</f>
        <v>#N/A</v>
      </c>
      <c r="L277" s="5" t="e">
        <f>VLOOKUP($A277,tropes!$A$4:$O$2428,12,FALSE)</f>
        <v>#N/A</v>
      </c>
      <c r="M277" s="5" t="e">
        <f>VLOOKUP($A277,tropes!$A$4:$O$2428,13,FALSE)</f>
        <v>#N/A</v>
      </c>
      <c r="N277" s="5"/>
    </row>
    <row r="278" spans="1:14" x14ac:dyDescent="0.3">
      <c r="A278" s="14"/>
      <c r="B278" s="5" t="e">
        <f>VLOOKUP($A278,tropes!$A$4:$O$2428,2,FALSE)</f>
        <v>#N/A</v>
      </c>
      <c r="C278" s="5" t="e">
        <f>VLOOKUP($A278,tropes!$A$4:$O$2428,3,FALSE)</f>
        <v>#N/A</v>
      </c>
      <c r="D278" s="5" t="e">
        <f>VLOOKUP($A278,tropes!$A$4:$O$2428,4,FALSE)</f>
        <v>#N/A</v>
      </c>
      <c r="E278" s="5" t="e">
        <f>VLOOKUP($A278,tropes!$A$4:$O$2428,5,FALSE)</f>
        <v>#N/A</v>
      </c>
      <c r="F278" s="5" t="e">
        <f>VLOOKUP($A278,tropes!$A$4:$O$2428,6,FALSE)</f>
        <v>#N/A</v>
      </c>
      <c r="G278" s="5" t="e">
        <f>VLOOKUP($A278,tropes!$A$4:$O$2428,7,FALSE)</f>
        <v>#N/A</v>
      </c>
      <c r="H278" s="5" t="e">
        <f>VLOOKUP($A278,tropes!$A$4:$O$2428,8,FALSE)</f>
        <v>#N/A</v>
      </c>
      <c r="I278" s="5" t="e">
        <f>VLOOKUP($A278,tropes!$A$4:$O$2428,9,FALSE)</f>
        <v>#N/A</v>
      </c>
      <c r="J278" s="5" t="e">
        <f>VLOOKUP($A278,tropes!$A$4:$O$2428,10,FALSE)</f>
        <v>#N/A</v>
      </c>
      <c r="K278" s="5" t="e">
        <f>VLOOKUP($A278,tropes!$A$4:$O$2428,11,FALSE)</f>
        <v>#N/A</v>
      </c>
      <c r="L278" s="5" t="e">
        <f>VLOOKUP($A278,tropes!$A$4:$O$2428,12,FALSE)</f>
        <v>#N/A</v>
      </c>
      <c r="M278" s="5" t="e">
        <f>VLOOKUP($A278,tropes!$A$4:$O$2428,13,FALSE)</f>
        <v>#N/A</v>
      </c>
      <c r="N278" s="5"/>
    </row>
    <row r="279" spans="1:14" x14ac:dyDescent="0.3">
      <c r="A279" s="14"/>
      <c r="B279" s="5" t="e">
        <f>VLOOKUP($A279,tropes!$A$4:$O$2428,2,FALSE)</f>
        <v>#N/A</v>
      </c>
      <c r="C279" s="5" t="e">
        <f>VLOOKUP($A279,tropes!$A$4:$O$2428,3,FALSE)</f>
        <v>#N/A</v>
      </c>
      <c r="D279" s="5" t="e">
        <f>VLOOKUP($A279,tropes!$A$4:$O$2428,4,FALSE)</f>
        <v>#N/A</v>
      </c>
      <c r="E279" s="5" t="e">
        <f>VLOOKUP($A279,tropes!$A$4:$O$2428,5,FALSE)</f>
        <v>#N/A</v>
      </c>
      <c r="F279" s="5" t="e">
        <f>VLOOKUP($A279,tropes!$A$4:$O$2428,6,FALSE)</f>
        <v>#N/A</v>
      </c>
      <c r="G279" s="5" t="e">
        <f>VLOOKUP($A279,tropes!$A$4:$O$2428,7,FALSE)</f>
        <v>#N/A</v>
      </c>
      <c r="H279" s="5" t="e">
        <f>VLOOKUP($A279,tropes!$A$4:$O$2428,8,FALSE)</f>
        <v>#N/A</v>
      </c>
      <c r="I279" s="5" t="e">
        <f>VLOOKUP($A279,tropes!$A$4:$O$2428,9,FALSE)</f>
        <v>#N/A</v>
      </c>
      <c r="J279" s="5" t="e">
        <f>VLOOKUP($A279,tropes!$A$4:$O$2428,10,FALSE)</f>
        <v>#N/A</v>
      </c>
      <c r="K279" s="5" t="e">
        <f>VLOOKUP($A279,tropes!$A$4:$O$2428,11,FALSE)</f>
        <v>#N/A</v>
      </c>
      <c r="L279" s="5" t="e">
        <f>VLOOKUP($A279,tropes!$A$4:$O$2428,12,FALSE)</f>
        <v>#N/A</v>
      </c>
      <c r="M279" s="5" t="e">
        <f>VLOOKUP($A279,tropes!$A$4:$O$2428,13,FALSE)</f>
        <v>#N/A</v>
      </c>
      <c r="N279" s="5"/>
    </row>
    <row r="280" spans="1:14" x14ac:dyDescent="0.3">
      <c r="A280" s="14"/>
      <c r="B280" s="5" t="e">
        <f>VLOOKUP($A280,tropes!$A$4:$O$2428,2,FALSE)</f>
        <v>#N/A</v>
      </c>
      <c r="C280" s="5" t="e">
        <f>VLOOKUP($A280,tropes!$A$4:$O$2428,3,FALSE)</f>
        <v>#N/A</v>
      </c>
      <c r="D280" s="5" t="e">
        <f>VLOOKUP($A280,tropes!$A$4:$O$2428,4,FALSE)</f>
        <v>#N/A</v>
      </c>
      <c r="E280" s="5" t="e">
        <f>VLOOKUP($A280,tropes!$A$4:$O$2428,5,FALSE)</f>
        <v>#N/A</v>
      </c>
      <c r="F280" s="5" t="e">
        <f>VLOOKUP($A280,tropes!$A$4:$O$2428,6,FALSE)</f>
        <v>#N/A</v>
      </c>
      <c r="G280" s="5" t="e">
        <f>VLOOKUP($A280,tropes!$A$4:$O$2428,7,FALSE)</f>
        <v>#N/A</v>
      </c>
      <c r="H280" s="5" t="e">
        <f>VLOOKUP($A280,tropes!$A$4:$O$2428,8,FALSE)</f>
        <v>#N/A</v>
      </c>
      <c r="I280" s="5" t="e">
        <f>VLOOKUP($A280,tropes!$A$4:$O$2428,9,FALSE)</f>
        <v>#N/A</v>
      </c>
      <c r="J280" s="5" t="e">
        <f>VLOOKUP($A280,tropes!$A$4:$O$2428,10,FALSE)</f>
        <v>#N/A</v>
      </c>
      <c r="K280" s="5" t="e">
        <f>VLOOKUP($A280,tropes!$A$4:$O$2428,11,FALSE)</f>
        <v>#N/A</v>
      </c>
      <c r="L280" s="5" t="e">
        <f>VLOOKUP($A280,tropes!$A$4:$O$2428,12,FALSE)</f>
        <v>#N/A</v>
      </c>
      <c r="M280" s="5" t="e">
        <f>VLOOKUP($A280,tropes!$A$4:$O$2428,13,FALSE)</f>
        <v>#N/A</v>
      </c>
      <c r="N280" s="5"/>
    </row>
    <row r="281" spans="1:14" x14ac:dyDescent="0.3">
      <c r="A281" s="14"/>
      <c r="B281" s="5" t="e">
        <f>VLOOKUP($A281,tropes!$A$4:$O$2428,2,FALSE)</f>
        <v>#N/A</v>
      </c>
      <c r="C281" s="5" t="e">
        <f>VLOOKUP($A281,tropes!$A$4:$O$2428,3,FALSE)</f>
        <v>#N/A</v>
      </c>
      <c r="D281" s="5" t="e">
        <f>VLOOKUP($A281,tropes!$A$4:$O$2428,4,FALSE)</f>
        <v>#N/A</v>
      </c>
      <c r="E281" s="5" t="e">
        <f>VLOOKUP($A281,tropes!$A$4:$O$2428,5,FALSE)</f>
        <v>#N/A</v>
      </c>
      <c r="F281" s="5" t="e">
        <f>VLOOKUP($A281,tropes!$A$4:$O$2428,6,FALSE)</f>
        <v>#N/A</v>
      </c>
      <c r="G281" s="5" t="e">
        <f>VLOOKUP($A281,tropes!$A$4:$O$2428,7,FALSE)</f>
        <v>#N/A</v>
      </c>
      <c r="H281" s="5" t="e">
        <f>VLOOKUP($A281,tropes!$A$4:$O$2428,8,FALSE)</f>
        <v>#N/A</v>
      </c>
      <c r="I281" s="5" t="e">
        <f>VLOOKUP($A281,tropes!$A$4:$O$2428,9,FALSE)</f>
        <v>#N/A</v>
      </c>
      <c r="J281" s="5" t="e">
        <f>VLOOKUP($A281,tropes!$A$4:$O$2428,10,FALSE)</f>
        <v>#N/A</v>
      </c>
      <c r="K281" s="5" t="e">
        <f>VLOOKUP($A281,tropes!$A$4:$O$2428,11,FALSE)</f>
        <v>#N/A</v>
      </c>
      <c r="L281" s="5" t="e">
        <f>VLOOKUP($A281,tropes!$A$4:$O$2428,12,FALSE)</f>
        <v>#N/A</v>
      </c>
      <c r="M281" s="5" t="e">
        <f>VLOOKUP($A281,tropes!$A$4:$O$2428,13,FALSE)</f>
        <v>#N/A</v>
      </c>
      <c r="N281" s="5"/>
    </row>
    <row r="282" spans="1:14" x14ac:dyDescent="0.3">
      <c r="A282" s="14"/>
      <c r="B282" s="5" t="e">
        <f>VLOOKUP($A282,tropes!$A$4:$O$2428,2,FALSE)</f>
        <v>#N/A</v>
      </c>
      <c r="C282" s="5" t="e">
        <f>VLOOKUP($A282,tropes!$A$4:$O$2428,3,FALSE)</f>
        <v>#N/A</v>
      </c>
      <c r="D282" s="5" t="e">
        <f>VLOOKUP($A282,tropes!$A$4:$O$2428,4,FALSE)</f>
        <v>#N/A</v>
      </c>
      <c r="E282" s="5" t="e">
        <f>VLOOKUP($A282,tropes!$A$4:$O$2428,5,FALSE)</f>
        <v>#N/A</v>
      </c>
      <c r="F282" s="5" t="e">
        <f>VLOOKUP($A282,tropes!$A$4:$O$2428,6,FALSE)</f>
        <v>#N/A</v>
      </c>
      <c r="G282" s="5" t="e">
        <f>VLOOKUP($A282,tropes!$A$4:$O$2428,7,FALSE)</f>
        <v>#N/A</v>
      </c>
      <c r="H282" s="5" t="e">
        <f>VLOOKUP($A282,tropes!$A$4:$O$2428,8,FALSE)</f>
        <v>#N/A</v>
      </c>
      <c r="I282" s="5" t="e">
        <f>VLOOKUP($A282,tropes!$A$4:$O$2428,9,FALSE)</f>
        <v>#N/A</v>
      </c>
      <c r="J282" s="5" t="e">
        <f>VLOOKUP($A282,tropes!$A$4:$O$2428,10,FALSE)</f>
        <v>#N/A</v>
      </c>
      <c r="K282" s="5" t="e">
        <f>VLOOKUP($A282,tropes!$A$4:$O$2428,11,FALSE)</f>
        <v>#N/A</v>
      </c>
      <c r="L282" s="5" t="e">
        <f>VLOOKUP($A282,tropes!$A$4:$O$2428,12,FALSE)</f>
        <v>#N/A</v>
      </c>
      <c r="M282" s="5" t="e">
        <f>VLOOKUP($A282,tropes!$A$4:$O$2428,13,FALSE)</f>
        <v>#N/A</v>
      </c>
      <c r="N282" s="5"/>
    </row>
    <row r="283" spans="1:14" x14ac:dyDescent="0.3">
      <c r="A283" s="14"/>
      <c r="B283" s="5" t="e">
        <f>VLOOKUP($A283,tropes!$A$4:$O$2428,2,FALSE)</f>
        <v>#N/A</v>
      </c>
      <c r="C283" s="5" t="e">
        <f>VLOOKUP($A283,tropes!$A$4:$O$2428,3,FALSE)</f>
        <v>#N/A</v>
      </c>
      <c r="D283" s="5" t="e">
        <f>VLOOKUP($A283,tropes!$A$4:$O$2428,4,FALSE)</f>
        <v>#N/A</v>
      </c>
      <c r="E283" s="5" t="e">
        <f>VLOOKUP($A283,tropes!$A$4:$O$2428,5,FALSE)</f>
        <v>#N/A</v>
      </c>
      <c r="F283" s="5" t="e">
        <f>VLOOKUP($A283,tropes!$A$4:$O$2428,6,FALSE)</f>
        <v>#N/A</v>
      </c>
      <c r="G283" s="5" t="e">
        <f>VLOOKUP($A283,tropes!$A$4:$O$2428,7,FALSE)</f>
        <v>#N/A</v>
      </c>
      <c r="H283" s="5" t="e">
        <f>VLOOKUP($A283,tropes!$A$4:$O$2428,8,FALSE)</f>
        <v>#N/A</v>
      </c>
      <c r="I283" s="5" t="e">
        <f>VLOOKUP($A283,tropes!$A$4:$O$2428,9,FALSE)</f>
        <v>#N/A</v>
      </c>
      <c r="J283" s="5" t="e">
        <f>VLOOKUP($A283,tropes!$A$4:$O$2428,10,FALSE)</f>
        <v>#N/A</v>
      </c>
      <c r="K283" s="5" t="e">
        <f>VLOOKUP($A283,tropes!$A$4:$O$2428,11,FALSE)</f>
        <v>#N/A</v>
      </c>
      <c r="L283" s="5" t="e">
        <f>VLOOKUP($A283,tropes!$A$4:$O$2428,12,FALSE)</f>
        <v>#N/A</v>
      </c>
      <c r="M283" s="5" t="e">
        <f>VLOOKUP($A283,tropes!$A$4:$O$2428,13,FALSE)</f>
        <v>#N/A</v>
      </c>
      <c r="N283" s="5"/>
    </row>
    <row r="284" spans="1:14" x14ac:dyDescent="0.3">
      <c r="A284" s="14"/>
      <c r="B284" s="5" t="e">
        <f>VLOOKUP($A284,tropes!$A$4:$O$2428,2,FALSE)</f>
        <v>#N/A</v>
      </c>
      <c r="C284" s="5" t="e">
        <f>VLOOKUP($A284,tropes!$A$4:$O$2428,3,FALSE)</f>
        <v>#N/A</v>
      </c>
      <c r="D284" s="5" t="e">
        <f>VLOOKUP($A284,tropes!$A$4:$O$2428,4,FALSE)</f>
        <v>#N/A</v>
      </c>
      <c r="E284" s="5" t="e">
        <f>VLOOKUP($A284,tropes!$A$4:$O$2428,5,FALSE)</f>
        <v>#N/A</v>
      </c>
      <c r="F284" s="5" t="e">
        <f>VLOOKUP($A284,tropes!$A$4:$O$2428,6,FALSE)</f>
        <v>#N/A</v>
      </c>
      <c r="G284" s="5" t="e">
        <f>VLOOKUP($A284,tropes!$A$4:$O$2428,7,FALSE)</f>
        <v>#N/A</v>
      </c>
      <c r="H284" s="5" t="e">
        <f>VLOOKUP($A284,tropes!$A$4:$O$2428,8,FALSE)</f>
        <v>#N/A</v>
      </c>
      <c r="I284" s="5" t="e">
        <f>VLOOKUP($A284,tropes!$A$4:$O$2428,9,FALSE)</f>
        <v>#N/A</v>
      </c>
      <c r="J284" s="5" t="e">
        <f>VLOOKUP($A284,tropes!$A$4:$O$2428,10,FALSE)</f>
        <v>#N/A</v>
      </c>
      <c r="K284" s="5" t="e">
        <f>VLOOKUP($A284,tropes!$A$4:$O$2428,11,FALSE)</f>
        <v>#N/A</v>
      </c>
      <c r="L284" s="5" t="e">
        <f>VLOOKUP($A284,tropes!$A$4:$O$2428,12,FALSE)</f>
        <v>#N/A</v>
      </c>
      <c r="M284" s="5" t="e">
        <f>VLOOKUP($A284,tropes!$A$4:$O$2428,13,FALSE)</f>
        <v>#N/A</v>
      </c>
      <c r="N284" s="5"/>
    </row>
    <row r="285" spans="1:14" x14ac:dyDescent="0.3">
      <c r="A285" s="14"/>
      <c r="B285" s="5" t="e">
        <f>VLOOKUP($A285,tropes!$A$4:$O$2428,2,FALSE)</f>
        <v>#N/A</v>
      </c>
      <c r="C285" s="5" t="e">
        <f>VLOOKUP($A285,tropes!$A$4:$O$2428,3,FALSE)</f>
        <v>#N/A</v>
      </c>
      <c r="D285" s="5" t="e">
        <f>VLOOKUP($A285,tropes!$A$4:$O$2428,4,FALSE)</f>
        <v>#N/A</v>
      </c>
      <c r="E285" s="5" t="e">
        <f>VLOOKUP($A285,tropes!$A$4:$O$2428,5,FALSE)</f>
        <v>#N/A</v>
      </c>
      <c r="F285" s="5" t="e">
        <f>VLOOKUP($A285,tropes!$A$4:$O$2428,6,FALSE)</f>
        <v>#N/A</v>
      </c>
      <c r="G285" s="5" t="e">
        <f>VLOOKUP($A285,tropes!$A$4:$O$2428,7,FALSE)</f>
        <v>#N/A</v>
      </c>
      <c r="H285" s="5" t="e">
        <f>VLOOKUP($A285,tropes!$A$4:$O$2428,8,FALSE)</f>
        <v>#N/A</v>
      </c>
      <c r="I285" s="5" t="e">
        <f>VLOOKUP($A285,tropes!$A$4:$O$2428,9,FALSE)</f>
        <v>#N/A</v>
      </c>
      <c r="J285" s="5" t="e">
        <f>VLOOKUP($A285,tropes!$A$4:$O$2428,10,FALSE)</f>
        <v>#N/A</v>
      </c>
      <c r="K285" s="5" t="e">
        <f>VLOOKUP($A285,tropes!$A$4:$O$2428,11,FALSE)</f>
        <v>#N/A</v>
      </c>
      <c r="L285" s="5" t="e">
        <f>VLOOKUP($A285,tropes!$A$4:$O$2428,12,FALSE)</f>
        <v>#N/A</v>
      </c>
      <c r="M285" s="5" t="e">
        <f>VLOOKUP($A285,tropes!$A$4:$O$2428,13,FALSE)</f>
        <v>#N/A</v>
      </c>
      <c r="N285" s="5"/>
    </row>
    <row r="286" spans="1:14" x14ac:dyDescent="0.3">
      <c r="A286" s="14"/>
      <c r="B286" s="5" t="e">
        <f>VLOOKUP($A286,tropes!$A$4:$O$2428,2,FALSE)</f>
        <v>#N/A</v>
      </c>
      <c r="C286" s="5" t="e">
        <f>VLOOKUP($A286,tropes!$A$4:$O$2428,3,FALSE)</f>
        <v>#N/A</v>
      </c>
      <c r="D286" s="5" t="e">
        <f>VLOOKUP($A286,tropes!$A$4:$O$2428,4,FALSE)</f>
        <v>#N/A</v>
      </c>
      <c r="E286" s="5" t="e">
        <f>VLOOKUP($A286,tropes!$A$4:$O$2428,5,FALSE)</f>
        <v>#N/A</v>
      </c>
      <c r="F286" s="5" t="e">
        <f>VLOOKUP($A286,tropes!$A$4:$O$2428,6,FALSE)</f>
        <v>#N/A</v>
      </c>
      <c r="G286" s="5" t="e">
        <f>VLOOKUP($A286,tropes!$A$4:$O$2428,7,FALSE)</f>
        <v>#N/A</v>
      </c>
      <c r="H286" s="5" t="e">
        <f>VLOOKUP($A286,tropes!$A$4:$O$2428,8,FALSE)</f>
        <v>#N/A</v>
      </c>
      <c r="I286" s="5" t="e">
        <f>VLOOKUP($A286,tropes!$A$4:$O$2428,9,FALSE)</f>
        <v>#N/A</v>
      </c>
      <c r="J286" s="5" t="e">
        <f>VLOOKUP($A286,tropes!$A$4:$O$2428,10,FALSE)</f>
        <v>#N/A</v>
      </c>
      <c r="K286" s="5" t="e">
        <f>VLOOKUP($A286,tropes!$A$4:$O$2428,11,FALSE)</f>
        <v>#N/A</v>
      </c>
      <c r="L286" s="5" t="e">
        <f>VLOOKUP($A286,tropes!$A$4:$O$2428,12,FALSE)</f>
        <v>#N/A</v>
      </c>
      <c r="M286" s="5" t="e">
        <f>VLOOKUP($A286,tropes!$A$4:$O$2428,13,FALSE)</f>
        <v>#N/A</v>
      </c>
      <c r="N286" s="5"/>
    </row>
    <row r="287" spans="1:14" x14ac:dyDescent="0.3">
      <c r="A287" s="14"/>
      <c r="B287" s="5" t="e">
        <f>VLOOKUP($A287,tropes!$A$4:$O$2428,2,FALSE)</f>
        <v>#N/A</v>
      </c>
      <c r="C287" s="5" t="e">
        <f>VLOOKUP($A287,tropes!$A$4:$O$2428,3,FALSE)</f>
        <v>#N/A</v>
      </c>
      <c r="D287" s="5" t="e">
        <f>VLOOKUP($A287,tropes!$A$4:$O$2428,4,FALSE)</f>
        <v>#N/A</v>
      </c>
      <c r="E287" s="5" t="e">
        <f>VLOOKUP($A287,tropes!$A$4:$O$2428,5,FALSE)</f>
        <v>#N/A</v>
      </c>
      <c r="F287" s="5" t="e">
        <f>VLOOKUP($A287,tropes!$A$4:$O$2428,6,FALSE)</f>
        <v>#N/A</v>
      </c>
      <c r="G287" s="5" t="e">
        <f>VLOOKUP($A287,tropes!$A$4:$O$2428,7,FALSE)</f>
        <v>#N/A</v>
      </c>
      <c r="H287" s="5" t="e">
        <f>VLOOKUP($A287,tropes!$A$4:$O$2428,8,FALSE)</f>
        <v>#N/A</v>
      </c>
      <c r="I287" s="5" t="e">
        <f>VLOOKUP($A287,tropes!$A$4:$O$2428,9,FALSE)</f>
        <v>#N/A</v>
      </c>
      <c r="J287" s="5" t="e">
        <f>VLOOKUP($A287,tropes!$A$4:$O$2428,10,FALSE)</f>
        <v>#N/A</v>
      </c>
      <c r="K287" s="5" t="e">
        <f>VLOOKUP($A287,tropes!$A$4:$O$2428,11,FALSE)</f>
        <v>#N/A</v>
      </c>
      <c r="L287" s="5" t="e">
        <f>VLOOKUP($A287,tropes!$A$4:$O$2428,12,FALSE)</f>
        <v>#N/A</v>
      </c>
      <c r="M287" s="5" t="e">
        <f>VLOOKUP($A287,tropes!$A$4:$O$2428,13,FALSE)</f>
        <v>#N/A</v>
      </c>
      <c r="N287" s="5"/>
    </row>
    <row r="288" spans="1:14" x14ac:dyDescent="0.3">
      <c r="A288" s="14"/>
      <c r="B288" s="5" t="e">
        <f>VLOOKUP($A288,tropes!$A$4:$O$2428,2,FALSE)</f>
        <v>#N/A</v>
      </c>
      <c r="C288" s="5" t="e">
        <f>VLOOKUP($A288,tropes!$A$4:$O$2428,3,FALSE)</f>
        <v>#N/A</v>
      </c>
      <c r="D288" s="5" t="e">
        <f>VLOOKUP($A288,tropes!$A$4:$O$2428,4,FALSE)</f>
        <v>#N/A</v>
      </c>
      <c r="E288" s="5" t="e">
        <f>VLOOKUP($A288,tropes!$A$4:$O$2428,5,FALSE)</f>
        <v>#N/A</v>
      </c>
      <c r="F288" s="5" t="e">
        <f>VLOOKUP($A288,tropes!$A$4:$O$2428,6,FALSE)</f>
        <v>#N/A</v>
      </c>
      <c r="G288" s="5" t="e">
        <f>VLOOKUP($A288,tropes!$A$4:$O$2428,7,FALSE)</f>
        <v>#N/A</v>
      </c>
      <c r="H288" s="5" t="e">
        <f>VLOOKUP($A288,tropes!$A$4:$O$2428,8,FALSE)</f>
        <v>#N/A</v>
      </c>
      <c r="I288" s="5" t="e">
        <f>VLOOKUP($A288,tropes!$A$4:$O$2428,9,FALSE)</f>
        <v>#N/A</v>
      </c>
      <c r="J288" s="5" t="e">
        <f>VLOOKUP($A288,tropes!$A$4:$O$2428,10,FALSE)</f>
        <v>#N/A</v>
      </c>
      <c r="K288" s="5" t="e">
        <f>VLOOKUP($A288,tropes!$A$4:$O$2428,11,FALSE)</f>
        <v>#N/A</v>
      </c>
      <c r="L288" s="5" t="e">
        <f>VLOOKUP($A288,tropes!$A$4:$O$2428,12,FALSE)</f>
        <v>#N/A</v>
      </c>
      <c r="M288" s="5" t="e">
        <f>VLOOKUP($A288,tropes!$A$4:$O$2428,13,FALSE)</f>
        <v>#N/A</v>
      </c>
      <c r="N288" s="5"/>
    </row>
    <row r="289" spans="1:14" x14ac:dyDescent="0.3">
      <c r="A289" s="14"/>
      <c r="B289" s="5" t="e">
        <f>VLOOKUP($A289,tropes!$A$4:$O$2428,2,FALSE)</f>
        <v>#N/A</v>
      </c>
      <c r="C289" s="5" t="e">
        <f>VLOOKUP($A289,tropes!$A$4:$O$2428,3,FALSE)</f>
        <v>#N/A</v>
      </c>
      <c r="D289" s="5" t="e">
        <f>VLOOKUP($A289,tropes!$A$4:$O$2428,4,FALSE)</f>
        <v>#N/A</v>
      </c>
      <c r="E289" s="5" t="e">
        <f>VLOOKUP($A289,tropes!$A$4:$O$2428,5,FALSE)</f>
        <v>#N/A</v>
      </c>
      <c r="F289" s="5" t="e">
        <f>VLOOKUP($A289,tropes!$A$4:$O$2428,6,FALSE)</f>
        <v>#N/A</v>
      </c>
      <c r="G289" s="5" t="e">
        <f>VLOOKUP($A289,tropes!$A$4:$O$2428,7,FALSE)</f>
        <v>#N/A</v>
      </c>
      <c r="H289" s="5" t="e">
        <f>VLOOKUP($A289,tropes!$A$4:$O$2428,8,FALSE)</f>
        <v>#N/A</v>
      </c>
      <c r="I289" s="5" t="e">
        <f>VLOOKUP($A289,tropes!$A$4:$O$2428,9,FALSE)</f>
        <v>#N/A</v>
      </c>
      <c r="J289" s="5" t="e">
        <f>VLOOKUP($A289,tropes!$A$4:$O$2428,10,FALSE)</f>
        <v>#N/A</v>
      </c>
      <c r="K289" s="5" t="e">
        <f>VLOOKUP($A289,tropes!$A$4:$O$2428,11,FALSE)</f>
        <v>#N/A</v>
      </c>
      <c r="L289" s="5" t="e">
        <f>VLOOKUP($A289,tropes!$A$4:$O$2428,12,FALSE)</f>
        <v>#N/A</v>
      </c>
      <c r="M289" s="5" t="e">
        <f>VLOOKUP($A289,tropes!$A$4:$O$2428,13,FALSE)</f>
        <v>#N/A</v>
      </c>
      <c r="N289" s="5"/>
    </row>
    <row r="290" spans="1:14" x14ac:dyDescent="0.3">
      <c r="A290" s="14"/>
      <c r="B290" s="5" t="e">
        <f>VLOOKUP($A290,tropes!$A$4:$O$2428,2,FALSE)</f>
        <v>#N/A</v>
      </c>
      <c r="C290" s="5" t="e">
        <f>VLOOKUP($A290,tropes!$A$4:$O$2428,3,FALSE)</f>
        <v>#N/A</v>
      </c>
      <c r="D290" s="5" t="e">
        <f>VLOOKUP($A290,tropes!$A$4:$O$2428,4,FALSE)</f>
        <v>#N/A</v>
      </c>
      <c r="E290" s="5" t="e">
        <f>VLOOKUP($A290,tropes!$A$4:$O$2428,5,FALSE)</f>
        <v>#N/A</v>
      </c>
      <c r="F290" s="5" t="e">
        <f>VLOOKUP($A290,tropes!$A$4:$O$2428,6,FALSE)</f>
        <v>#N/A</v>
      </c>
      <c r="G290" s="5" t="e">
        <f>VLOOKUP($A290,tropes!$A$4:$O$2428,7,FALSE)</f>
        <v>#N/A</v>
      </c>
      <c r="H290" s="5" t="e">
        <f>VLOOKUP($A290,tropes!$A$4:$O$2428,8,FALSE)</f>
        <v>#N/A</v>
      </c>
      <c r="I290" s="5" t="e">
        <f>VLOOKUP($A290,tropes!$A$4:$O$2428,9,FALSE)</f>
        <v>#N/A</v>
      </c>
      <c r="J290" s="5" t="e">
        <f>VLOOKUP($A290,tropes!$A$4:$O$2428,10,FALSE)</f>
        <v>#N/A</v>
      </c>
      <c r="K290" s="5" t="e">
        <f>VLOOKUP($A290,tropes!$A$4:$O$2428,11,FALSE)</f>
        <v>#N/A</v>
      </c>
      <c r="L290" s="5" t="e">
        <f>VLOOKUP($A290,tropes!$A$4:$O$2428,12,FALSE)</f>
        <v>#N/A</v>
      </c>
      <c r="M290" s="5" t="e">
        <f>VLOOKUP($A290,tropes!$A$4:$O$2428,13,FALSE)</f>
        <v>#N/A</v>
      </c>
      <c r="N290" s="5"/>
    </row>
    <row r="291" spans="1:14" x14ac:dyDescent="0.3">
      <c r="A291" s="14"/>
      <c r="B291" s="5" t="e">
        <f>VLOOKUP($A291,tropes!$A$4:$O$2428,2,FALSE)</f>
        <v>#N/A</v>
      </c>
      <c r="C291" s="5" t="e">
        <f>VLOOKUP($A291,tropes!$A$4:$O$2428,3,FALSE)</f>
        <v>#N/A</v>
      </c>
      <c r="D291" s="5" t="e">
        <f>VLOOKUP($A291,tropes!$A$4:$O$2428,4,FALSE)</f>
        <v>#N/A</v>
      </c>
      <c r="E291" s="5" t="e">
        <f>VLOOKUP($A291,tropes!$A$4:$O$2428,5,FALSE)</f>
        <v>#N/A</v>
      </c>
      <c r="F291" s="5" t="e">
        <f>VLOOKUP($A291,tropes!$A$4:$O$2428,6,FALSE)</f>
        <v>#N/A</v>
      </c>
      <c r="G291" s="5" t="e">
        <f>VLOOKUP($A291,tropes!$A$4:$O$2428,7,FALSE)</f>
        <v>#N/A</v>
      </c>
      <c r="H291" s="5" t="e">
        <f>VLOOKUP($A291,tropes!$A$4:$O$2428,8,FALSE)</f>
        <v>#N/A</v>
      </c>
      <c r="I291" s="5" t="e">
        <f>VLOOKUP($A291,tropes!$A$4:$O$2428,9,FALSE)</f>
        <v>#N/A</v>
      </c>
      <c r="J291" s="5" t="e">
        <f>VLOOKUP($A291,tropes!$A$4:$O$2428,10,FALSE)</f>
        <v>#N/A</v>
      </c>
      <c r="K291" s="5" t="e">
        <f>VLOOKUP($A291,tropes!$A$4:$O$2428,11,FALSE)</f>
        <v>#N/A</v>
      </c>
      <c r="L291" s="5" t="e">
        <f>VLOOKUP($A291,tropes!$A$4:$O$2428,12,FALSE)</f>
        <v>#N/A</v>
      </c>
      <c r="M291" s="5" t="e">
        <f>VLOOKUP($A291,tropes!$A$4:$O$2428,13,FALSE)</f>
        <v>#N/A</v>
      </c>
      <c r="N291" s="5"/>
    </row>
    <row r="292" spans="1:14" x14ac:dyDescent="0.3">
      <c r="A292" s="14"/>
      <c r="B292" s="5" t="e">
        <f>VLOOKUP($A292,tropes!$A$4:$O$2428,2,FALSE)</f>
        <v>#N/A</v>
      </c>
      <c r="C292" s="5" t="e">
        <f>VLOOKUP($A292,tropes!$A$4:$O$2428,3,FALSE)</f>
        <v>#N/A</v>
      </c>
      <c r="D292" s="5" t="e">
        <f>VLOOKUP($A292,tropes!$A$4:$O$2428,4,FALSE)</f>
        <v>#N/A</v>
      </c>
      <c r="E292" s="5" t="e">
        <f>VLOOKUP($A292,tropes!$A$4:$O$2428,5,FALSE)</f>
        <v>#N/A</v>
      </c>
      <c r="F292" s="5" t="e">
        <f>VLOOKUP($A292,tropes!$A$4:$O$2428,6,FALSE)</f>
        <v>#N/A</v>
      </c>
      <c r="G292" s="5" t="e">
        <f>VLOOKUP($A292,tropes!$A$4:$O$2428,7,FALSE)</f>
        <v>#N/A</v>
      </c>
      <c r="H292" s="5" t="e">
        <f>VLOOKUP($A292,tropes!$A$4:$O$2428,8,FALSE)</f>
        <v>#N/A</v>
      </c>
      <c r="I292" s="5" t="e">
        <f>VLOOKUP($A292,tropes!$A$4:$O$2428,9,FALSE)</f>
        <v>#N/A</v>
      </c>
      <c r="J292" s="5" t="e">
        <f>VLOOKUP($A292,tropes!$A$4:$O$2428,10,FALSE)</f>
        <v>#N/A</v>
      </c>
      <c r="K292" s="5" t="e">
        <f>VLOOKUP($A292,tropes!$A$4:$O$2428,11,FALSE)</f>
        <v>#N/A</v>
      </c>
      <c r="L292" s="5" t="e">
        <f>VLOOKUP($A292,tropes!$A$4:$O$2428,12,FALSE)</f>
        <v>#N/A</v>
      </c>
      <c r="M292" s="5" t="e">
        <f>VLOOKUP($A292,tropes!$A$4:$O$2428,13,FALSE)</f>
        <v>#N/A</v>
      </c>
      <c r="N292" s="5"/>
    </row>
    <row r="293" spans="1:14" x14ac:dyDescent="0.3">
      <c r="A293" s="14"/>
      <c r="B293" s="5" t="e">
        <f>VLOOKUP($A293,tropes!$A$4:$O$2428,2,FALSE)</f>
        <v>#N/A</v>
      </c>
      <c r="C293" s="5" t="e">
        <f>VLOOKUP($A293,tropes!$A$4:$O$2428,3,FALSE)</f>
        <v>#N/A</v>
      </c>
      <c r="D293" s="5" t="e">
        <f>VLOOKUP($A293,tropes!$A$4:$O$2428,4,FALSE)</f>
        <v>#N/A</v>
      </c>
      <c r="E293" s="5" t="e">
        <f>VLOOKUP($A293,tropes!$A$4:$O$2428,5,FALSE)</f>
        <v>#N/A</v>
      </c>
      <c r="F293" s="5" t="e">
        <f>VLOOKUP($A293,tropes!$A$4:$O$2428,6,FALSE)</f>
        <v>#N/A</v>
      </c>
      <c r="G293" s="5" t="e">
        <f>VLOOKUP($A293,tropes!$A$4:$O$2428,7,FALSE)</f>
        <v>#N/A</v>
      </c>
      <c r="H293" s="5" t="e">
        <f>VLOOKUP($A293,tropes!$A$4:$O$2428,8,FALSE)</f>
        <v>#N/A</v>
      </c>
      <c r="I293" s="5" t="e">
        <f>VLOOKUP($A293,tropes!$A$4:$O$2428,9,FALSE)</f>
        <v>#N/A</v>
      </c>
      <c r="J293" s="5" t="e">
        <f>VLOOKUP($A293,tropes!$A$4:$O$2428,10,FALSE)</f>
        <v>#N/A</v>
      </c>
      <c r="K293" s="5" t="e">
        <f>VLOOKUP($A293,tropes!$A$4:$O$2428,11,FALSE)</f>
        <v>#N/A</v>
      </c>
      <c r="L293" s="5" t="e">
        <f>VLOOKUP($A293,tropes!$A$4:$O$2428,12,FALSE)</f>
        <v>#N/A</v>
      </c>
      <c r="M293" s="5" t="e">
        <f>VLOOKUP($A293,tropes!$A$4:$O$2428,13,FALSE)</f>
        <v>#N/A</v>
      </c>
      <c r="N293" s="5"/>
    </row>
    <row r="294" spans="1:14" x14ac:dyDescent="0.3">
      <c r="A294" s="14"/>
      <c r="B294" s="5" t="e">
        <f>VLOOKUP($A294,tropes!$A$4:$O$2428,2,FALSE)</f>
        <v>#N/A</v>
      </c>
      <c r="C294" s="5" t="e">
        <f>VLOOKUP($A294,tropes!$A$4:$O$2428,3,FALSE)</f>
        <v>#N/A</v>
      </c>
      <c r="D294" s="5" t="e">
        <f>VLOOKUP($A294,tropes!$A$4:$O$2428,4,FALSE)</f>
        <v>#N/A</v>
      </c>
      <c r="E294" s="5" t="e">
        <f>VLOOKUP($A294,tropes!$A$4:$O$2428,5,FALSE)</f>
        <v>#N/A</v>
      </c>
      <c r="F294" s="5" t="e">
        <f>VLOOKUP($A294,tropes!$A$4:$O$2428,6,FALSE)</f>
        <v>#N/A</v>
      </c>
      <c r="G294" s="5" t="e">
        <f>VLOOKUP($A294,tropes!$A$4:$O$2428,7,FALSE)</f>
        <v>#N/A</v>
      </c>
      <c r="H294" s="5" t="e">
        <f>VLOOKUP($A294,tropes!$A$4:$O$2428,8,FALSE)</f>
        <v>#N/A</v>
      </c>
      <c r="I294" s="5" t="e">
        <f>VLOOKUP($A294,tropes!$A$4:$O$2428,9,FALSE)</f>
        <v>#N/A</v>
      </c>
      <c r="J294" s="5" t="e">
        <f>VLOOKUP($A294,tropes!$A$4:$O$2428,10,FALSE)</f>
        <v>#N/A</v>
      </c>
      <c r="K294" s="5" t="e">
        <f>VLOOKUP($A294,tropes!$A$4:$O$2428,11,FALSE)</f>
        <v>#N/A</v>
      </c>
      <c r="L294" s="5" t="e">
        <f>VLOOKUP($A294,tropes!$A$4:$O$2428,12,FALSE)</f>
        <v>#N/A</v>
      </c>
      <c r="M294" s="5" t="e">
        <f>VLOOKUP($A294,tropes!$A$4:$O$2428,13,FALSE)</f>
        <v>#N/A</v>
      </c>
      <c r="N294" s="5"/>
    </row>
    <row r="295" spans="1:14" x14ac:dyDescent="0.3">
      <c r="A295" s="14"/>
      <c r="B295" s="5" t="e">
        <f>VLOOKUP($A295,tropes!$A$4:$O$2428,2,FALSE)</f>
        <v>#N/A</v>
      </c>
      <c r="C295" s="5" t="e">
        <f>VLOOKUP($A295,tropes!$A$4:$O$2428,3,FALSE)</f>
        <v>#N/A</v>
      </c>
      <c r="D295" s="5" t="e">
        <f>VLOOKUP($A295,tropes!$A$4:$O$2428,4,FALSE)</f>
        <v>#N/A</v>
      </c>
      <c r="E295" s="5" t="e">
        <f>VLOOKUP($A295,tropes!$A$4:$O$2428,5,FALSE)</f>
        <v>#N/A</v>
      </c>
      <c r="F295" s="5" t="e">
        <f>VLOOKUP($A295,tropes!$A$4:$O$2428,6,FALSE)</f>
        <v>#N/A</v>
      </c>
      <c r="G295" s="5" t="e">
        <f>VLOOKUP($A295,tropes!$A$4:$O$2428,7,FALSE)</f>
        <v>#N/A</v>
      </c>
      <c r="H295" s="5" t="e">
        <f>VLOOKUP($A295,tropes!$A$4:$O$2428,8,FALSE)</f>
        <v>#N/A</v>
      </c>
      <c r="I295" s="5" t="e">
        <f>VLOOKUP($A295,tropes!$A$4:$O$2428,9,FALSE)</f>
        <v>#N/A</v>
      </c>
      <c r="J295" s="5" t="e">
        <f>VLOOKUP($A295,tropes!$A$4:$O$2428,10,FALSE)</f>
        <v>#N/A</v>
      </c>
      <c r="K295" s="5" t="e">
        <f>VLOOKUP($A295,tropes!$A$4:$O$2428,11,FALSE)</f>
        <v>#N/A</v>
      </c>
      <c r="L295" s="5" t="e">
        <f>VLOOKUP($A295,tropes!$A$4:$O$2428,12,FALSE)</f>
        <v>#N/A</v>
      </c>
      <c r="M295" s="5" t="e">
        <f>VLOOKUP($A295,tropes!$A$4:$O$2428,13,FALSE)</f>
        <v>#N/A</v>
      </c>
      <c r="N295" s="5"/>
    </row>
    <row r="296" spans="1:14" x14ac:dyDescent="0.3">
      <c r="A296" s="14"/>
      <c r="B296" s="5" t="e">
        <f>VLOOKUP($A296,tropes!$A$4:$O$2428,2,FALSE)</f>
        <v>#N/A</v>
      </c>
      <c r="C296" s="5" t="e">
        <f>VLOOKUP($A296,tropes!$A$4:$O$2428,3,FALSE)</f>
        <v>#N/A</v>
      </c>
      <c r="D296" s="5" t="e">
        <f>VLOOKUP($A296,tropes!$A$4:$O$2428,4,FALSE)</f>
        <v>#N/A</v>
      </c>
      <c r="E296" s="5" t="e">
        <f>VLOOKUP($A296,tropes!$A$4:$O$2428,5,FALSE)</f>
        <v>#N/A</v>
      </c>
      <c r="F296" s="5" t="e">
        <f>VLOOKUP($A296,tropes!$A$4:$O$2428,6,FALSE)</f>
        <v>#N/A</v>
      </c>
      <c r="G296" s="5" t="e">
        <f>VLOOKUP($A296,tropes!$A$4:$O$2428,7,FALSE)</f>
        <v>#N/A</v>
      </c>
      <c r="H296" s="5" t="e">
        <f>VLOOKUP($A296,tropes!$A$4:$O$2428,8,FALSE)</f>
        <v>#N/A</v>
      </c>
      <c r="I296" s="5" t="e">
        <f>VLOOKUP($A296,tropes!$A$4:$O$2428,9,FALSE)</f>
        <v>#N/A</v>
      </c>
      <c r="J296" s="5" t="e">
        <f>VLOOKUP($A296,tropes!$A$4:$O$2428,10,FALSE)</f>
        <v>#N/A</v>
      </c>
      <c r="K296" s="5" t="e">
        <f>VLOOKUP($A296,tropes!$A$4:$O$2428,11,FALSE)</f>
        <v>#N/A</v>
      </c>
      <c r="L296" s="5" t="e">
        <f>VLOOKUP($A296,tropes!$A$4:$O$2428,12,FALSE)</f>
        <v>#N/A</v>
      </c>
      <c r="M296" s="5" t="e">
        <f>VLOOKUP($A296,tropes!$A$4:$O$2428,13,FALSE)</f>
        <v>#N/A</v>
      </c>
      <c r="N296" s="5"/>
    </row>
    <row r="297" spans="1:14" x14ac:dyDescent="0.3">
      <c r="A297" s="14"/>
      <c r="B297" s="5" t="e">
        <f>VLOOKUP($A297,tropes!$A$4:$O$2428,2,FALSE)</f>
        <v>#N/A</v>
      </c>
      <c r="C297" s="5" t="e">
        <f>VLOOKUP($A297,tropes!$A$4:$O$2428,3,FALSE)</f>
        <v>#N/A</v>
      </c>
      <c r="D297" s="5" t="e">
        <f>VLOOKUP($A297,tropes!$A$4:$O$2428,4,FALSE)</f>
        <v>#N/A</v>
      </c>
      <c r="E297" s="5" t="e">
        <f>VLOOKUP($A297,tropes!$A$4:$O$2428,5,FALSE)</f>
        <v>#N/A</v>
      </c>
      <c r="F297" s="5" t="e">
        <f>VLOOKUP($A297,tropes!$A$4:$O$2428,6,FALSE)</f>
        <v>#N/A</v>
      </c>
      <c r="G297" s="5" t="e">
        <f>VLOOKUP($A297,tropes!$A$4:$O$2428,7,FALSE)</f>
        <v>#N/A</v>
      </c>
      <c r="H297" s="5" t="e">
        <f>VLOOKUP($A297,tropes!$A$4:$O$2428,8,FALSE)</f>
        <v>#N/A</v>
      </c>
      <c r="I297" s="5" t="e">
        <f>VLOOKUP($A297,tropes!$A$4:$O$2428,9,FALSE)</f>
        <v>#N/A</v>
      </c>
      <c r="J297" s="5" t="e">
        <f>VLOOKUP($A297,tropes!$A$4:$O$2428,10,FALSE)</f>
        <v>#N/A</v>
      </c>
      <c r="K297" s="5" t="e">
        <f>VLOOKUP($A297,tropes!$A$4:$O$2428,11,FALSE)</f>
        <v>#N/A</v>
      </c>
      <c r="L297" s="5" t="e">
        <f>VLOOKUP($A297,tropes!$A$4:$O$2428,12,FALSE)</f>
        <v>#N/A</v>
      </c>
      <c r="M297" s="5" t="e">
        <f>VLOOKUP($A297,tropes!$A$4:$O$2428,13,FALSE)</f>
        <v>#N/A</v>
      </c>
      <c r="N297" s="5"/>
    </row>
    <row r="298" spans="1:14" x14ac:dyDescent="0.3">
      <c r="A298" s="14"/>
      <c r="B298" s="5" t="e">
        <f>VLOOKUP($A298,tropes!$A$4:$O$2428,2,FALSE)</f>
        <v>#N/A</v>
      </c>
      <c r="C298" s="5" t="e">
        <f>VLOOKUP($A298,tropes!$A$4:$O$2428,3,FALSE)</f>
        <v>#N/A</v>
      </c>
      <c r="D298" s="5" t="e">
        <f>VLOOKUP($A298,tropes!$A$4:$O$2428,4,FALSE)</f>
        <v>#N/A</v>
      </c>
      <c r="E298" s="5" t="e">
        <f>VLOOKUP($A298,tropes!$A$4:$O$2428,5,FALSE)</f>
        <v>#N/A</v>
      </c>
      <c r="F298" s="5" t="e">
        <f>VLOOKUP($A298,tropes!$A$4:$O$2428,6,FALSE)</f>
        <v>#N/A</v>
      </c>
      <c r="G298" s="5" t="e">
        <f>VLOOKUP($A298,tropes!$A$4:$O$2428,7,FALSE)</f>
        <v>#N/A</v>
      </c>
      <c r="H298" s="5" t="e">
        <f>VLOOKUP($A298,tropes!$A$4:$O$2428,8,FALSE)</f>
        <v>#N/A</v>
      </c>
      <c r="I298" s="5" t="e">
        <f>VLOOKUP($A298,tropes!$A$4:$O$2428,9,FALSE)</f>
        <v>#N/A</v>
      </c>
      <c r="J298" s="5" t="e">
        <f>VLOOKUP($A298,tropes!$A$4:$O$2428,10,FALSE)</f>
        <v>#N/A</v>
      </c>
      <c r="K298" s="5" t="e">
        <f>VLOOKUP($A298,tropes!$A$4:$O$2428,11,FALSE)</f>
        <v>#N/A</v>
      </c>
      <c r="L298" s="5" t="e">
        <f>VLOOKUP($A298,tropes!$A$4:$O$2428,12,FALSE)</f>
        <v>#N/A</v>
      </c>
      <c r="M298" s="5" t="e">
        <f>VLOOKUP($A298,tropes!$A$4:$O$2428,13,FALSE)</f>
        <v>#N/A</v>
      </c>
      <c r="N298" s="5"/>
    </row>
    <row r="299" spans="1:14" x14ac:dyDescent="0.3">
      <c r="A299" s="14"/>
      <c r="B299" s="5" t="e">
        <f>VLOOKUP($A299,tropes!$A$4:$O$2428,2,FALSE)</f>
        <v>#N/A</v>
      </c>
      <c r="C299" s="5" t="e">
        <f>VLOOKUP($A299,tropes!$A$4:$O$2428,3,FALSE)</f>
        <v>#N/A</v>
      </c>
      <c r="D299" s="5" t="e">
        <f>VLOOKUP($A299,tropes!$A$4:$O$2428,4,FALSE)</f>
        <v>#N/A</v>
      </c>
      <c r="E299" s="5" t="e">
        <f>VLOOKUP($A299,tropes!$A$4:$O$2428,5,FALSE)</f>
        <v>#N/A</v>
      </c>
      <c r="F299" s="5" t="e">
        <f>VLOOKUP($A299,tropes!$A$4:$O$2428,6,FALSE)</f>
        <v>#N/A</v>
      </c>
      <c r="G299" s="5" t="e">
        <f>VLOOKUP($A299,tropes!$A$4:$O$2428,7,FALSE)</f>
        <v>#N/A</v>
      </c>
      <c r="H299" s="5" t="e">
        <f>VLOOKUP($A299,tropes!$A$4:$O$2428,8,FALSE)</f>
        <v>#N/A</v>
      </c>
      <c r="I299" s="5" t="e">
        <f>VLOOKUP($A299,tropes!$A$4:$O$2428,9,FALSE)</f>
        <v>#N/A</v>
      </c>
      <c r="J299" s="5" t="e">
        <f>VLOOKUP($A299,tropes!$A$4:$O$2428,10,FALSE)</f>
        <v>#N/A</v>
      </c>
      <c r="K299" s="5" t="e">
        <f>VLOOKUP($A299,tropes!$A$4:$O$2428,11,FALSE)</f>
        <v>#N/A</v>
      </c>
      <c r="L299" s="5" t="e">
        <f>VLOOKUP($A299,tropes!$A$4:$O$2428,12,FALSE)</f>
        <v>#N/A</v>
      </c>
      <c r="M299" s="5" t="e">
        <f>VLOOKUP($A299,tropes!$A$4:$O$2428,13,FALSE)</f>
        <v>#N/A</v>
      </c>
      <c r="N299" s="5"/>
    </row>
    <row r="300" spans="1:14" x14ac:dyDescent="0.3">
      <c r="A300" s="14"/>
      <c r="B300" s="5" t="e">
        <f>VLOOKUP($A300,tropes!$A$4:$O$2428,2,FALSE)</f>
        <v>#N/A</v>
      </c>
      <c r="C300" s="5" t="e">
        <f>VLOOKUP($A300,tropes!$A$4:$O$2428,3,FALSE)</f>
        <v>#N/A</v>
      </c>
      <c r="D300" s="5" t="e">
        <f>VLOOKUP($A300,tropes!$A$4:$O$2428,4,FALSE)</f>
        <v>#N/A</v>
      </c>
      <c r="E300" s="5" t="e">
        <f>VLOOKUP($A300,tropes!$A$4:$O$2428,5,FALSE)</f>
        <v>#N/A</v>
      </c>
      <c r="F300" s="5" t="e">
        <f>VLOOKUP($A300,tropes!$A$4:$O$2428,6,FALSE)</f>
        <v>#N/A</v>
      </c>
      <c r="G300" s="5" t="e">
        <f>VLOOKUP($A300,tropes!$A$4:$O$2428,7,FALSE)</f>
        <v>#N/A</v>
      </c>
      <c r="H300" s="5" t="e">
        <f>VLOOKUP($A300,tropes!$A$4:$O$2428,8,FALSE)</f>
        <v>#N/A</v>
      </c>
      <c r="I300" s="5" t="e">
        <f>VLOOKUP($A300,tropes!$A$4:$O$2428,9,FALSE)</f>
        <v>#N/A</v>
      </c>
      <c r="J300" s="5" t="e">
        <f>VLOOKUP($A300,tropes!$A$4:$O$2428,10,FALSE)</f>
        <v>#N/A</v>
      </c>
      <c r="K300" s="5" t="e">
        <f>VLOOKUP($A300,tropes!$A$4:$O$2428,11,FALSE)</f>
        <v>#N/A</v>
      </c>
      <c r="L300" s="5" t="e">
        <f>VLOOKUP($A300,tropes!$A$4:$O$2428,12,FALSE)</f>
        <v>#N/A</v>
      </c>
      <c r="M300" s="5" t="e">
        <f>VLOOKUP($A300,tropes!$A$4:$O$2428,13,FALSE)</f>
        <v>#N/A</v>
      </c>
      <c r="N300" s="5"/>
    </row>
    <row r="301" spans="1:14" x14ac:dyDescent="0.3">
      <c r="A301" s="14"/>
      <c r="B301" s="5" t="e">
        <f>VLOOKUP($A301,tropes!$A$4:$O$2428,2,FALSE)</f>
        <v>#N/A</v>
      </c>
      <c r="C301" s="5" t="e">
        <f>VLOOKUP($A301,tropes!$A$4:$O$2428,3,FALSE)</f>
        <v>#N/A</v>
      </c>
      <c r="D301" s="5" t="e">
        <f>VLOOKUP($A301,tropes!$A$4:$O$2428,4,FALSE)</f>
        <v>#N/A</v>
      </c>
      <c r="E301" s="5" t="e">
        <f>VLOOKUP($A301,tropes!$A$4:$O$2428,5,FALSE)</f>
        <v>#N/A</v>
      </c>
      <c r="F301" s="5" t="e">
        <f>VLOOKUP($A301,tropes!$A$4:$O$2428,6,FALSE)</f>
        <v>#N/A</v>
      </c>
      <c r="G301" s="5" t="e">
        <f>VLOOKUP($A301,tropes!$A$4:$O$2428,7,FALSE)</f>
        <v>#N/A</v>
      </c>
      <c r="H301" s="5" t="e">
        <f>VLOOKUP($A301,tropes!$A$4:$O$2428,8,FALSE)</f>
        <v>#N/A</v>
      </c>
      <c r="I301" s="5" t="e">
        <f>VLOOKUP($A301,tropes!$A$4:$O$2428,9,FALSE)</f>
        <v>#N/A</v>
      </c>
      <c r="J301" s="5" t="e">
        <f>VLOOKUP($A301,tropes!$A$4:$O$2428,10,FALSE)</f>
        <v>#N/A</v>
      </c>
      <c r="K301" s="5" t="e">
        <f>VLOOKUP($A301,tropes!$A$4:$O$2428,11,FALSE)</f>
        <v>#N/A</v>
      </c>
      <c r="L301" s="5" t="e">
        <f>VLOOKUP($A301,tropes!$A$4:$O$2428,12,FALSE)</f>
        <v>#N/A</v>
      </c>
      <c r="M301" s="5" t="e">
        <f>VLOOKUP($A301,tropes!$A$4:$O$2428,13,FALSE)</f>
        <v>#N/A</v>
      </c>
      <c r="N301" s="5"/>
    </row>
    <row r="302" spans="1:14" x14ac:dyDescent="0.3">
      <c r="A302" s="14"/>
      <c r="B302" s="5" t="e">
        <f>VLOOKUP($A302,tropes!$A$4:$O$2428,2,FALSE)</f>
        <v>#N/A</v>
      </c>
      <c r="C302" s="5" t="e">
        <f>VLOOKUP($A302,tropes!$A$4:$O$2428,3,FALSE)</f>
        <v>#N/A</v>
      </c>
      <c r="D302" s="5" t="e">
        <f>VLOOKUP($A302,tropes!$A$4:$O$2428,4,FALSE)</f>
        <v>#N/A</v>
      </c>
      <c r="E302" s="5" t="e">
        <f>VLOOKUP($A302,tropes!$A$4:$O$2428,5,FALSE)</f>
        <v>#N/A</v>
      </c>
      <c r="F302" s="5" t="e">
        <f>VLOOKUP($A302,tropes!$A$4:$O$2428,6,FALSE)</f>
        <v>#N/A</v>
      </c>
      <c r="G302" s="5" t="e">
        <f>VLOOKUP($A302,tropes!$A$4:$O$2428,7,FALSE)</f>
        <v>#N/A</v>
      </c>
      <c r="H302" s="5" t="e">
        <f>VLOOKUP($A302,tropes!$A$4:$O$2428,8,FALSE)</f>
        <v>#N/A</v>
      </c>
      <c r="I302" s="5" t="e">
        <f>VLOOKUP($A302,tropes!$A$4:$O$2428,9,FALSE)</f>
        <v>#N/A</v>
      </c>
      <c r="J302" s="5" t="e">
        <f>VLOOKUP($A302,tropes!$A$4:$O$2428,10,FALSE)</f>
        <v>#N/A</v>
      </c>
      <c r="K302" s="5" t="e">
        <f>VLOOKUP($A302,tropes!$A$4:$O$2428,11,FALSE)</f>
        <v>#N/A</v>
      </c>
      <c r="L302" s="5" t="e">
        <f>VLOOKUP($A302,tropes!$A$4:$O$2428,12,FALSE)</f>
        <v>#N/A</v>
      </c>
      <c r="M302" s="5" t="e">
        <f>VLOOKUP($A302,tropes!$A$4:$O$2428,13,FALSE)</f>
        <v>#N/A</v>
      </c>
      <c r="N302" s="5"/>
    </row>
    <row r="303" spans="1:14" x14ac:dyDescent="0.3">
      <c r="A303" s="14"/>
      <c r="B303" s="5" t="e">
        <f>VLOOKUP($A303,tropes!$A$4:$O$2428,2,FALSE)</f>
        <v>#N/A</v>
      </c>
      <c r="C303" s="5" t="e">
        <f>VLOOKUP($A303,tropes!$A$4:$O$2428,3,FALSE)</f>
        <v>#N/A</v>
      </c>
      <c r="D303" s="5" t="e">
        <f>VLOOKUP($A303,tropes!$A$4:$O$2428,4,FALSE)</f>
        <v>#N/A</v>
      </c>
      <c r="E303" s="5" t="e">
        <f>VLOOKUP($A303,tropes!$A$4:$O$2428,5,FALSE)</f>
        <v>#N/A</v>
      </c>
      <c r="F303" s="5" t="e">
        <f>VLOOKUP($A303,tropes!$A$4:$O$2428,6,FALSE)</f>
        <v>#N/A</v>
      </c>
      <c r="G303" s="5" t="e">
        <f>VLOOKUP($A303,tropes!$A$4:$O$2428,7,FALSE)</f>
        <v>#N/A</v>
      </c>
      <c r="H303" s="5" t="e">
        <f>VLOOKUP($A303,tropes!$A$4:$O$2428,8,FALSE)</f>
        <v>#N/A</v>
      </c>
      <c r="I303" s="5" t="e">
        <f>VLOOKUP($A303,tropes!$A$4:$O$2428,9,FALSE)</f>
        <v>#N/A</v>
      </c>
      <c r="J303" s="5" t="e">
        <f>VLOOKUP($A303,tropes!$A$4:$O$2428,10,FALSE)</f>
        <v>#N/A</v>
      </c>
      <c r="K303" s="5" t="e">
        <f>VLOOKUP($A303,tropes!$A$4:$O$2428,11,FALSE)</f>
        <v>#N/A</v>
      </c>
      <c r="L303" s="5" t="e">
        <f>VLOOKUP($A303,tropes!$A$4:$O$2428,12,FALSE)</f>
        <v>#N/A</v>
      </c>
      <c r="M303" s="5" t="e">
        <f>VLOOKUP($A303,tropes!$A$4:$O$2428,13,FALSE)</f>
        <v>#N/A</v>
      </c>
      <c r="N303" s="5"/>
    </row>
    <row r="304" spans="1:14" x14ac:dyDescent="0.3">
      <c r="A304" s="14"/>
      <c r="B304" s="5" t="e">
        <f>VLOOKUP($A304,tropes!$A$4:$O$2428,2,FALSE)</f>
        <v>#N/A</v>
      </c>
      <c r="C304" s="5" t="e">
        <f>VLOOKUP($A304,tropes!$A$4:$O$2428,3,FALSE)</f>
        <v>#N/A</v>
      </c>
      <c r="D304" s="5" t="e">
        <f>VLOOKUP($A304,tropes!$A$4:$O$2428,4,FALSE)</f>
        <v>#N/A</v>
      </c>
      <c r="E304" s="5" t="e">
        <f>VLOOKUP($A304,tropes!$A$4:$O$2428,5,FALSE)</f>
        <v>#N/A</v>
      </c>
      <c r="F304" s="5" t="e">
        <f>VLOOKUP($A304,tropes!$A$4:$O$2428,6,FALSE)</f>
        <v>#N/A</v>
      </c>
      <c r="G304" s="5" t="e">
        <f>VLOOKUP($A304,tropes!$A$4:$O$2428,7,FALSE)</f>
        <v>#N/A</v>
      </c>
      <c r="H304" s="5" t="e">
        <f>VLOOKUP($A304,tropes!$A$4:$O$2428,8,FALSE)</f>
        <v>#N/A</v>
      </c>
      <c r="I304" s="5" t="e">
        <f>VLOOKUP($A304,tropes!$A$4:$O$2428,9,FALSE)</f>
        <v>#N/A</v>
      </c>
      <c r="J304" s="5" t="e">
        <f>VLOOKUP($A304,tropes!$A$4:$O$2428,10,FALSE)</f>
        <v>#N/A</v>
      </c>
      <c r="K304" s="5" t="e">
        <f>VLOOKUP($A304,tropes!$A$4:$O$2428,11,FALSE)</f>
        <v>#N/A</v>
      </c>
      <c r="L304" s="5" t="e">
        <f>VLOOKUP($A304,tropes!$A$4:$O$2428,12,FALSE)</f>
        <v>#N/A</v>
      </c>
      <c r="M304" s="5" t="e">
        <f>VLOOKUP($A304,tropes!$A$4:$O$2428,13,FALSE)</f>
        <v>#N/A</v>
      </c>
      <c r="N304" s="5"/>
    </row>
    <row r="305" spans="1:14" x14ac:dyDescent="0.3">
      <c r="A305" s="14"/>
      <c r="B305" s="5" t="e">
        <f>VLOOKUP($A305,tropes!$A$4:$O$2428,2,FALSE)</f>
        <v>#N/A</v>
      </c>
      <c r="C305" s="5" t="e">
        <f>VLOOKUP($A305,tropes!$A$4:$O$2428,3,FALSE)</f>
        <v>#N/A</v>
      </c>
      <c r="D305" s="5" t="e">
        <f>VLOOKUP($A305,tropes!$A$4:$O$2428,4,FALSE)</f>
        <v>#N/A</v>
      </c>
      <c r="E305" s="5" t="e">
        <f>VLOOKUP($A305,tropes!$A$4:$O$2428,5,FALSE)</f>
        <v>#N/A</v>
      </c>
      <c r="F305" s="5" t="e">
        <f>VLOOKUP($A305,tropes!$A$4:$O$2428,6,FALSE)</f>
        <v>#N/A</v>
      </c>
      <c r="G305" s="5" t="e">
        <f>VLOOKUP($A305,tropes!$A$4:$O$2428,7,FALSE)</f>
        <v>#N/A</v>
      </c>
      <c r="H305" s="5" t="e">
        <f>VLOOKUP($A305,tropes!$A$4:$O$2428,8,FALSE)</f>
        <v>#N/A</v>
      </c>
      <c r="I305" s="5" t="e">
        <f>VLOOKUP($A305,tropes!$A$4:$O$2428,9,FALSE)</f>
        <v>#N/A</v>
      </c>
      <c r="J305" s="5" t="e">
        <f>VLOOKUP($A305,tropes!$A$4:$O$2428,10,FALSE)</f>
        <v>#N/A</v>
      </c>
      <c r="K305" s="5" t="e">
        <f>VLOOKUP($A305,tropes!$A$4:$O$2428,11,FALSE)</f>
        <v>#N/A</v>
      </c>
      <c r="L305" s="5" t="e">
        <f>VLOOKUP($A305,tropes!$A$4:$O$2428,12,FALSE)</f>
        <v>#N/A</v>
      </c>
      <c r="M305" s="5" t="e">
        <f>VLOOKUP($A305,tropes!$A$4:$O$2428,13,FALSE)</f>
        <v>#N/A</v>
      </c>
      <c r="N305" s="5"/>
    </row>
    <row r="306" spans="1:14" x14ac:dyDescent="0.3">
      <c r="A306" s="14"/>
      <c r="B306" s="5" t="e">
        <f>VLOOKUP($A306,tropes!$A$4:$O$2428,2,FALSE)</f>
        <v>#N/A</v>
      </c>
      <c r="C306" s="5" t="e">
        <f>VLOOKUP($A306,tropes!$A$4:$O$2428,3,FALSE)</f>
        <v>#N/A</v>
      </c>
      <c r="D306" s="5" t="e">
        <f>VLOOKUP($A306,tropes!$A$4:$O$2428,4,FALSE)</f>
        <v>#N/A</v>
      </c>
      <c r="E306" s="5" t="e">
        <f>VLOOKUP($A306,tropes!$A$4:$O$2428,5,FALSE)</f>
        <v>#N/A</v>
      </c>
      <c r="F306" s="5" t="e">
        <f>VLOOKUP($A306,tropes!$A$4:$O$2428,6,FALSE)</f>
        <v>#N/A</v>
      </c>
      <c r="G306" s="5" t="e">
        <f>VLOOKUP($A306,tropes!$A$4:$O$2428,7,FALSE)</f>
        <v>#N/A</v>
      </c>
      <c r="H306" s="5" t="e">
        <f>VLOOKUP($A306,tropes!$A$4:$O$2428,8,FALSE)</f>
        <v>#N/A</v>
      </c>
      <c r="I306" s="5" t="e">
        <f>VLOOKUP($A306,tropes!$A$4:$O$2428,9,FALSE)</f>
        <v>#N/A</v>
      </c>
      <c r="J306" s="5" t="e">
        <f>VLOOKUP($A306,tropes!$A$4:$O$2428,10,FALSE)</f>
        <v>#N/A</v>
      </c>
      <c r="K306" s="5" t="e">
        <f>VLOOKUP($A306,tropes!$A$4:$O$2428,11,FALSE)</f>
        <v>#N/A</v>
      </c>
      <c r="L306" s="5" t="e">
        <f>VLOOKUP($A306,tropes!$A$4:$O$2428,12,FALSE)</f>
        <v>#N/A</v>
      </c>
      <c r="M306" s="5" t="e">
        <f>VLOOKUP($A306,tropes!$A$4:$O$2428,13,FALSE)</f>
        <v>#N/A</v>
      </c>
      <c r="N306" s="5"/>
    </row>
    <row r="307" spans="1:14" x14ac:dyDescent="0.3">
      <c r="A307" s="14"/>
      <c r="B307" s="5" t="e">
        <f>VLOOKUP($A307,tropes!$A$4:$O$2428,2,FALSE)</f>
        <v>#N/A</v>
      </c>
      <c r="C307" s="5" t="e">
        <f>VLOOKUP($A307,tropes!$A$4:$O$2428,3,FALSE)</f>
        <v>#N/A</v>
      </c>
      <c r="D307" s="5" t="e">
        <f>VLOOKUP($A307,tropes!$A$4:$O$2428,4,FALSE)</f>
        <v>#N/A</v>
      </c>
      <c r="E307" s="5" t="e">
        <f>VLOOKUP($A307,tropes!$A$4:$O$2428,5,FALSE)</f>
        <v>#N/A</v>
      </c>
      <c r="F307" s="5" t="e">
        <f>VLOOKUP($A307,tropes!$A$4:$O$2428,6,FALSE)</f>
        <v>#N/A</v>
      </c>
      <c r="G307" s="5" t="e">
        <f>VLOOKUP($A307,tropes!$A$4:$O$2428,7,FALSE)</f>
        <v>#N/A</v>
      </c>
      <c r="H307" s="5" t="e">
        <f>VLOOKUP($A307,tropes!$A$4:$O$2428,8,FALSE)</f>
        <v>#N/A</v>
      </c>
      <c r="I307" s="5" t="e">
        <f>VLOOKUP($A307,tropes!$A$4:$O$2428,9,FALSE)</f>
        <v>#N/A</v>
      </c>
      <c r="J307" s="5" t="e">
        <f>VLOOKUP($A307,tropes!$A$4:$O$2428,10,FALSE)</f>
        <v>#N/A</v>
      </c>
      <c r="K307" s="5" t="e">
        <f>VLOOKUP($A307,tropes!$A$4:$O$2428,11,FALSE)</f>
        <v>#N/A</v>
      </c>
      <c r="L307" s="5" t="e">
        <f>VLOOKUP($A307,tropes!$A$4:$O$2428,12,FALSE)</f>
        <v>#N/A</v>
      </c>
      <c r="M307" s="5" t="e">
        <f>VLOOKUP($A307,tropes!$A$4:$O$2428,13,FALSE)</f>
        <v>#N/A</v>
      </c>
      <c r="N307" s="5"/>
    </row>
    <row r="308" spans="1:14" x14ac:dyDescent="0.3">
      <c r="A308" s="14"/>
      <c r="B308" s="5" t="e">
        <f>VLOOKUP($A308,tropes!$A$4:$O$2428,2,FALSE)</f>
        <v>#N/A</v>
      </c>
      <c r="C308" s="5" t="e">
        <f>VLOOKUP($A308,tropes!$A$4:$O$2428,3,FALSE)</f>
        <v>#N/A</v>
      </c>
      <c r="D308" s="5" t="e">
        <f>VLOOKUP($A308,tropes!$A$4:$O$2428,4,FALSE)</f>
        <v>#N/A</v>
      </c>
      <c r="E308" s="5" t="e">
        <f>VLOOKUP($A308,tropes!$A$4:$O$2428,5,FALSE)</f>
        <v>#N/A</v>
      </c>
      <c r="F308" s="5" t="e">
        <f>VLOOKUP($A308,tropes!$A$4:$O$2428,6,FALSE)</f>
        <v>#N/A</v>
      </c>
      <c r="G308" s="5" t="e">
        <f>VLOOKUP($A308,tropes!$A$4:$O$2428,7,FALSE)</f>
        <v>#N/A</v>
      </c>
      <c r="H308" s="5" t="e">
        <f>VLOOKUP($A308,tropes!$A$4:$O$2428,8,FALSE)</f>
        <v>#N/A</v>
      </c>
      <c r="I308" s="5" t="e">
        <f>VLOOKUP($A308,tropes!$A$4:$O$2428,9,FALSE)</f>
        <v>#N/A</v>
      </c>
      <c r="J308" s="5" t="e">
        <f>VLOOKUP($A308,tropes!$A$4:$O$2428,10,FALSE)</f>
        <v>#N/A</v>
      </c>
      <c r="K308" s="5" t="e">
        <f>VLOOKUP($A308,tropes!$A$4:$O$2428,11,FALSE)</f>
        <v>#N/A</v>
      </c>
      <c r="L308" s="5" t="e">
        <f>VLOOKUP($A308,tropes!$A$4:$O$2428,12,FALSE)</f>
        <v>#N/A</v>
      </c>
      <c r="M308" s="5" t="e">
        <f>VLOOKUP($A308,tropes!$A$4:$O$2428,13,FALSE)</f>
        <v>#N/A</v>
      </c>
      <c r="N308" s="5"/>
    </row>
    <row r="309" spans="1:14" x14ac:dyDescent="0.3">
      <c r="A309" s="14"/>
      <c r="B309" s="5" t="e">
        <f>VLOOKUP($A309,tropes!$A$4:$O$2428,2,FALSE)</f>
        <v>#N/A</v>
      </c>
      <c r="C309" s="5" t="e">
        <f>VLOOKUP($A309,tropes!$A$4:$O$2428,3,FALSE)</f>
        <v>#N/A</v>
      </c>
      <c r="D309" s="5" t="e">
        <f>VLOOKUP($A309,tropes!$A$4:$O$2428,4,FALSE)</f>
        <v>#N/A</v>
      </c>
      <c r="E309" s="5" t="e">
        <f>VLOOKUP($A309,tropes!$A$4:$O$2428,5,FALSE)</f>
        <v>#N/A</v>
      </c>
      <c r="F309" s="5" t="e">
        <f>VLOOKUP($A309,tropes!$A$4:$O$2428,6,FALSE)</f>
        <v>#N/A</v>
      </c>
      <c r="G309" s="5" t="e">
        <f>VLOOKUP($A309,tropes!$A$4:$O$2428,7,FALSE)</f>
        <v>#N/A</v>
      </c>
      <c r="H309" s="5" t="e">
        <f>VLOOKUP($A309,tropes!$A$4:$O$2428,8,FALSE)</f>
        <v>#N/A</v>
      </c>
      <c r="I309" s="5" t="e">
        <f>VLOOKUP($A309,tropes!$A$4:$O$2428,9,FALSE)</f>
        <v>#N/A</v>
      </c>
      <c r="J309" s="5" t="e">
        <f>VLOOKUP($A309,tropes!$A$4:$O$2428,10,FALSE)</f>
        <v>#N/A</v>
      </c>
      <c r="K309" s="5" t="e">
        <f>VLOOKUP($A309,tropes!$A$4:$O$2428,11,FALSE)</f>
        <v>#N/A</v>
      </c>
      <c r="L309" s="5" t="e">
        <f>VLOOKUP($A309,tropes!$A$4:$O$2428,12,FALSE)</f>
        <v>#N/A</v>
      </c>
      <c r="M309" s="5" t="e">
        <f>VLOOKUP($A309,tropes!$A$4:$O$2428,13,FALSE)</f>
        <v>#N/A</v>
      </c>
      <c r="N309" s="5"/>
    </row>
    <row r="310" spans="1:14" x14ac:dyDescent="0.3">
      <c r="A310" s="14"/>
      <c r="B310" s="5" t="e">
        <f>VLOOKUP($A310,tropes!$A$4:$O$2428,2,FALSE)</f>
        <v>#N/A</v>
      </c>
      <c r="C310" s="5" t="e">
        <f>VLOOKUP($A310,tropes!$A$4:$O$2428,3,FALSE)</f>
        <v>#N/A</v>
      </c>
      <c r="D310" s="5" t="e">
        <f>VLOOKUP($A310,tropes!$A$4:$O$2428,4,FALSE)</f>
        <v>#N/A</v>
      </c>
      <c r="E310" s="5" t="e">
        <f>VLOOKUP($A310,tropes!$A$4:$O$2428,5,FALSE)</f>
        <v>#N/A</v>
      </c>
      <c r="F310" s="5" t="e">
        <f>VLOOKUP($A310,tropes!$A$4:$O$2428,6,FALSE)</f>
        <v>#N/A</v>
      </c>
      <c r="G310" s="5" t="e">
        <f>VLOOKUP($A310,tropes!$A$4:$O$2428,7,FALSE)</f>
        <v>#N/A</v>
      </c>
      <c r="H310" s="5" t="e">
        <f>VLOOKUP($A310,tropes!$A$4:$O$2428,8,FALSE)</f>
        <v>#N/A</v>
      </c>
      <c r="I310" s="5" t="e">
        <f>VLOOKUP($A310,tropes!$A$4:$O$2428,9,FALSE)</f>
        <v>#N/A</v>
      </c>
      <c r="J310" s="5" t="e">
        <f>VLOOKUP($A310,tropes!$A$4:$O$2428,10,FALSE)</f>
        <v>#N/A</v>
      </c>
      <c r="K310" s="5" t="e">
        <f>VLOOKUP($A310,tropes!$A$4:$O$2428,11,FALSE)</f>
        <v>#N/A</v>
      </c>
      <c r="L310" s="5" t="e">
        <f>VLOOKUP($A310,tropes!$A$4:$O$2428,12,FALSE)</f>
        <v>#N/A</v>
      </c>
      <c r="M310" s="5" t="e">
        <f>VLOOKUP($A310,tropes!$A$4:$O$2428,13,FALSE)</f>
        <v>#N/A</v>
      </c>
      <c r="N310" s="5"/>
    </row>
    <row r="311" spans="1:14" x14ac:dyDescent="0.3">
      <c r="A311" s="14"/>
      <c r="B311" s="5" t="e">
        <f>VLOOKUP($A311,tropes!$A$4:$O$2428,2,FALSE)</f>
        <v>#N/A</v>
      </c>
      <c r="C311" s="5" t="e">
        <f>VLOOKUP($A311,tropes!$A$4:$O$2428,3,FALSE)</f>
        <v>#N/A</v>
      </c>
      <c r="D311" s="5" t="e">
        <f>VLOOKUP($A311,tropes!$A$4:$O$2428,4,FALSE)</f>
        <v>#N/A</v>
      </c>
      <c r="E311" s="5" t="e">
        <f>VLOOKUP($A311,tropes!$A$4:$O$2428,5,FALSE)</f>
        <v>#N/A</v>
      </c>
      <c r="F311" s="5" t="e">
        <f>VLOOKUP($A311,tropes!$A$4:$O$2428,6,FALSE)</f>
        <v>#N/A</v>
      </c>
      <c r="G311" s="5" t="e">
        <f>VLOOKUP($A311,tropes!$A$4:$O$2428,7,FALSE)</f>
        <v>#N/A</v>
      </c>
      <c r="H311" s="5" t="e">
        <f>VLOOKUP($A311,tropes!$A$4:$O$2428,8,FALSE)</f>
        <v>#N/A</v>
      </c>
      <c r="I311" s="5" t="e">
        <f>VLOOKUP($A311,tropes!$A$4:$O$2428,9,FALSE)</f>
        <v>#N/A</v>
      </c>
      <c r="J311" s="5" t="e">
        <f>VLOOKUP($A311,tropes!$A$4:$O$2428,10,FALSE)</f>
        <v>#N/A</v>
      </c>
      <c r="K311" s="5" t="e">
        <f>VLOOKUP($A311,tropes!$A$4:$O$2428,11,FALSE)</f>
        <v>#N/A</v>
      </c>
      <c r="L311" s="5" t="e">
        <f>VLOOKUP($A311,tropes!$A$4:$O$2428,12,FALSE)</f>
        <v>#N/A</v>
      </c>
      <c r="M311" s="5" t="e">
        <f>VLOOKUP($A311,tropes!$A$4:$O$2428,13,FALSE)</f>
        <v>#N/A</v>
      </c>
      <c r="N311" s="5"/>
    </row>
    <row r="312" spans="1:14" x14ac:dyDescent="0.3">
      <c r="A312" s="14"/>
      <c r="B312" s="5" t="e">
        <f>VLOOKUP($A312,tropes!$A$4:$O$2428,2,FALSE)</f>
        <v>#N/A</v>
      </c>
      <c r="C312" s="5" t="e">
        <f>VLOOKUP($A312,tropes!$A$4:$O$2428,3,FALSE)</f>
        <v>#N/A</v>
      </c>
      <c r="D312" s="5" t="e">
        <f>VLOOKUP($A312,tropes!$A$4:$O$2428,4,FALSE)</f>
        <v>#N/A</v>
      </c>
      <c r="E312" s="5" t="e">
        <f>VLOOKUP($A312,tropes!$A$4:$O$2428,5,FALSE)</f>
        <v>#N/A</v>
      </c>
      <c r="F312" s="5" t="e">
        <f>VLOOKUP($A312,tropes!$A$4:$O$2428,6,FALSE)</f>
        <v>#N/A</v>
      </c>
      <c r="G312" s="5" t="e">
        <f>VLOOKUP($A312,tropes!$A$4:$O$2428,7,FALSE)</f>
        <v>#N/A</v>
      </c>
      <c r="H312" s="5" t="e">
        <f>VLOOKUP($A312,tropes!$A$4:$O$2428,8,FALSE)</f>
        <v>#N/A</v>
      </c>
      <c r="I312" s="5" t="e">
        <f>VLOOKUP($A312,tropes!$A$4:$O$2428,9,FALSE)</f>
        <v>#N/A</v>
      </c>
      <c r="J312" s="5" t="e">
        <f>VLOOKUP($A312,tropes!$A$4:$O$2428,10,FALSE)</f>
        <v>#N/A</v>
      </c>
      <c r="K312" s="5" t="e">
        <f>VLOOKUP($A312,tropes!$A$4:$O$2428,11,FALSE)</f>
        <v>#N/A</v>
      </c>
      <c r="L312" s="5" t="e">
        <f>VLOOKUP($A312,tropes!$A$4:$O$2428,12,FALSE)</f>
        <v>#N/A</v>
      </c>
      <c r="M312" s="5" t="e">
        <f>VLOOKUP($A312,tropes!$A$4:$O$2428,13,FALSE)</f>
        <v>#N/A</v>
      </c>
      <c r="N312" s="5"/>
    </row>
    <row r="313" spans="1:14" x14ac:dyDescent="0.3">
      <c r="A313" s="14"/>
      <c r="B313" s="5" t="e">
        <f>VLOOKUP($A313,tropes!$A$4:$O$2428,2,FALSE)</f>
        <v>#N/A</v>
      </c>
      <c r="C313" s="5" t="e">
        <f>VLOOKUP($A313,tropes!$A$4:$O$2428,3,FALSE)</f>
        <v>#N/A</v>
      </c>
      <c r="D313" s="5" t="e">
        <f>VLOOKUP($A313,tropes!$A$4:$O$2428,4,FALSE)</f>
        <v>#N/A</v>
      </c>
      <c r="E313" s="5" t="e">
        <f>VLOOKUP($A313,tropes!$A$4:$O$2428,5,FALSE)</f>
        <v>#N/A</v>
      </c>
      <c r="F313" s="5" t="e">
        <f>VLOOKUP($A313,tropes!$A$4:$O$2428,6,FALSE)</f>
        <v>#N/A</v>
      </c>
      <c r="G313" s="5" t="e">
        <f>VLOOKUP($A313,tropes!$A$4:$O$2428,7,FALSE)</f>
        <v>#N/A</v>
      </c>
      <c r="H313" s="5" t="e">
        <f>VLOOKUP($A313,tropes!$A$4:$O$2428,8,FALSE)</f>
        <v>#N/A</v>
      </c>
      <c r="I313" s="5" t="e">
        <f>VLOOKUP($A313,tropes!$A$4:$O$2428,9,FALSE)</f>
        <v>#N/A</v>
      </c>
      <c r="J313" s="5" t="e">
        <f>VLOOKUP($A313,tropes!$A$4:$O$2428,10,FALSE)</f>
        <v>#N/A</v>
      </c>
      <c r="K313" s="5" t="e">
        <f>VLOOKUP($A313,tropes!$A$4:$O$2428,11,FALSE)</f>
        <v>#N/A</v>
      </c>
      <c r="L313" s="5" t="e">
        <f>VLOOKUP($A313,tropes!$A$4:$O$2428,12,FALSE)</f>
        <v>#N/A</v>
      </c>
      <c r="M313" s="5" t="e">
        <f>VLOOKUP($A313,tropes!$A$4:$O$2428,13,FALSE)</f>
        <v>#N/A</v>
      </c>
      <c r="N313" s="5"/>
    </row>
    <row r="314" spans="1:14" x14ac:dyDescent="0.3">
      <c r="A314" s="14"/>
      <c r="B314" s="5" t="e">
        <f>VLOOKUP($A314,tropes!$A$4:$O$2428,2,FALSE)</f>
        <v>#N/A</v>
      </c>
      <c r="C314" s="5" t="e">
        <f>VLOOKUP($A314,tropes!$A$4:$O$2428,3,FALSE)</f>
        <v>#N/A</v>
      </c>
      <c r="D314" s="5" t="e">
        <f>VLOOKUP($A314,tropes!$A$4:$O$2428,4,FALSE)</f>
        <v>#N/A</v>
      </c>
      <c r="E314" s="5" t="e">
        <f>VLOOKUP($A314,tropes!$A$4:$O$2428,5,FALSE)</f>
        <v>#N/A</v>
      </c>
      <c r="F314" s="5" t="e">
        <f>VLOOKUP($A314,tropes!$A$4:$O$2428,6,FALSE)</f>
        <v>#N/A</v>
      </c>
      <c r="G314" s="5" t="e">
        <f>VLOOKUP($A314,tropes!$A$4:$O$2428,7,FALSE)</f>
        <v>#N/A</v>
      </c>
      <c r="H314" s="5" t="e">
        <f>VLOOKUP($A314,tropes!$A$4:$O$2428,8,FALSE)</f>
        <v>#N/A</v>
      </c>
      <c r="I314" s="5" t="e">
        <f>VLOOKUP($A314,tropes!$A$4:$O$2428,9,FALSE)</f>
        <v>#N/A</v>
      </c>
      <c r="J314" s="5" t="e">
        <f>VLOOKUP($A314,tropes!$A$4:$O$2428,10,FALSE)</f>
        <v>#N/A</v>
      </c>
      <c r="K314" s="5" t="e">
        <f>VLOOKUP($A314,tropes!$A$4:$O$2428,11,FALSE)</f>
        <v>#N/A</v>
      </c>
      <c r="L314" s="5" t="e">
        <f>VLOOKUP($A314,tropes!$A$4:$O$2428,12,FALSE)</f>
        <v>#N/A</v>
      </c>
      <c r="M314" s="5" t="e">
        <f>VLOOKUP($A314,tropes!$A$4:$O$2428,13,FALSE)</f>
        <v>#N/A</v>
      </c>
      <c r="N314" s="5"/>
    </row>
    <row r="315" spans="1:14" x14ac:dyDescent="0.3">
      <c r="A315" s="14"/>
      <c r="B315" s="5" t="e">
        <f>VLOOKUP($A315,tropes!$A$4:$O$2428,2,FALSE)</f>
        <v>#N/A</v>
      </c>
      <c r="C315" s="5" t="e">
        <f>VLOOKUP($A315,tropes!$A$4:$O$2428,3,FALSE)</f>
        <v>#N/A</v>
      </c>
      <c r="D315" s="5" t="e">
        <f>VLOOKUP($A315,tropes!$A$4:$O$2428,4,FALSE)</f>
        <v>#N/A</v>
      </c>
      <c r="E315" s="5" t="e">
        <f>VLOOKUP($A315,tropes!$A$4:$O$2428,5,FALSE)</f>
        <v>#N/A</v>
      </c>
      <c r="F315" s="5" t="e">
        <f>VLOOKUP($A315,tropes!$A$4:$O$2428,6,FALSE)</f>
        <v>#N/A</v>
      </c>
      <c r="G315" s="5" t="e">
        <f>VLOOKUP($A315,tropes!$A$4:$O$2428,7,FALSE)</f>
        <v>#N/A</v>
      </c>
      <c r="H315" s="5" t="e">
        <f>VLOOKUP($A315,tropes!$A$4:$O$2428,8,FALSE)</f>
        <v>#N/A</v>
      </c>
      <c r="I315" s="5" t="e">
        <f>VLOOKUP($A315,tropes!$A$4:$O$2428,9,FALSE)</f>
        <v>#N/A</v>
      </c>
      <c r="J315" s="5" t="e">
        <f>VLOOKUP($A315,tropes!$A$4:$O$2428,10,FALSE)</f>
        <v>#N/A</v>
      </c>
      <c r="K315" s="5" t="e">
        <f>VLOOKUP($A315,tropes!$A$4:$O$2428,11,FALSE)</f>
        <v>#N/A</v>
      </c>
      <c r="L315" s="5" t="e">
        <f>VLOOKUP($A315,tropes!$A$4:$O$2428,12,FALSE)</f>
        <v>#N/A</v>
      </c>
      <c r="M315" s="5" t="e">
        <f>VLOOKUP($A315,tropes!$A$4:$O$2428,13,FALSE)</f>
        <v>#N/A</v>
      </c>
      <c r="N315" s="5"/>
    </row>
    <row r="316" spans="1:14" x14ac:dyDescent="0.3">
      <c r="A316" s="14"/>
      <c r="B316" s="5" t="e">
        <f>VLOOKUP($A316,tropes!$A$4:$O$2428,2,FALSE)</f>
        <v>#N/A</v>
      </c>
      <c r="C316" s="5" t="e">
        <f>VLOOKUP($A316,tropes!$A$4:$O$2428,3,FALSE)</f>
        <v>#N/A</v>
      </c>
      <c r="D316" s="5" t="e">
        <f>VLOOKUP($A316,tropes!$A$4:$O$2428,4,FALSE)</f>
        <v>#N/A</v>
      </c>
      <c r="E316" s="5" t="e">
        <f>VLOOKUP($A316,tropes!$A$4:$O$2428,5,FALSE)</f>
        <v>#N/A</v>
      </c>
      <c r="F316" s="5" t="e">
        <f>VLOOKUP($A316,tropes!$A$4:$O$2428,6,FALSE)</f>
        <v>#N/A</v>
      </c>
      <c r="G316" s="5" t="e">
        <f>VLOOKUP($A316,tropes!$A$4:$O$2428,7,FALSE)</f>
        <v>#N/A</v>
      </c>
      <c r="H316" s="5" t="e">
        <f>VLOOKUP($A316,tropes!$A$4:$O$2428,8,FALSE)</f>
        <v>#N/A</v>
      </c>
      <c r="I316" s="5" t="e">
        <f>VLOOKUP($A316,tropes!$A$4:$O$2428,9,FALSE)</f>
        <v>#N/A</v>
      </c>
      <c r="J316" s="5" t="e">
        <f>VLOOKUP($A316,tropes!$A$4:$O$2428,10,FALSE)</f>
        <v>#N/A</v>
      </c>
      <c r="K316" s="5" t="e">
        <f>VLOOKUP($A316,tropes!$A$4:$O$2428,11,FALSE)</f>
        <v>#N/A</v>
      </c>
      <c r="L316" s="5" t="e">
        <f>VLOOKUP($A316,tropes!$A$4:$O$2428,12,FALSE)</f>
        <v>#N/A</v>
      </c>
      <c r="M316" s="5" t="e">
        <f>VLOOKUP($A316,tropes!$A$4:$O$2428,13,FALSE)</f>
        <v>#N/A</v>
      </c>
      <c r="N316" s="5"/>
    </row>
    <row r="317" spans="1:14" x14ac:dyDescent="0.3">
      <c r="A317" s="14"/>
      <c r="B317" s="5" t="e">
        <f>VLOOKUP($A317,tropes!$A$4:$O$2428,2,FALSE)</f>
        <v>#N/A</v>
      </c>
      <c r="C317" s="5" t="e">
        <f>VLOOKUP($A317,tropes!$A$4:$O$2428,3,FALSE)</f>
        <v>#N/A</v>
      </c>
      <c r="D317" s="5" t="e">
        <f>VLOOKUP($A317,tropes!$A$4:$O$2428,4,FALSE)</f>
        <v>#N/A</v>
      </c>
      <c r="E317" s="5" t="e">
        <f>VLOOKUP($A317,tropes!$A$4:$O$2428,5,FALSE)</f>
        <v>#N/A</v>
      </c>
      <c r="F317" s="5" t="e">
        <f>VLOOKUP($A317,tropes!$A$4:$O$2428,6,FALSE)</f>
        <v>#N/A</v>
      </c>
      <c r="G317" s="5" t="e">
        <f>VLOOKUP($A317,tropes!$A$4:$O$2428,7,FALSE)</f>
        <v>#N/A</v>
      </c>
      <c r="H317" s="5" t="e">
        <f>VLOOKUP($A317,tropes!$A$4:$O$2428,8,FALSE)</f>
        <v>#N/A</v>
      </c>
      <c r="I317" s="5" t="e">
        <f>VLOOKUP($A317,tropes!$A$4:$O$2428,9,FALSE)</f>
        <v>#N/A</v>
      </c>
      <c r="J317" s="5" t="e">
        <f>VLOOKUP($A317,tropes!$A$4:$O$2428,10,FALSE)</f>
        <v>#N/A</v>
      </c>
      <c r="K317" s="5" t="e">
        <f>VLOOKUP($A317,tropes!$A$4:$O$2428,11,FALSE)</f>
        <v>#N/A</v>
      </c>
      <c r="L317" s="5" t="e">
        <f>VLOOKUP($A317,tropes!$A$4:$O$2428,12,FALSE)</f>
        <v>#N/A</v>
      </c>
      <c r="M317" s="5" t="e">
        <f>VLOOKUP($A317,tropes!$A$4:$O$2428,13,FALSE)</f>
        <v>#N/A</v>
      </c>
      <c r="N317" s="5"/>
    </row>
    <row r="318" spans="1:14" x14ac:dyDescent="0.3">
      <c r="A318" s="14"/>
      <c r="B318" s="5" t="e">
        <f>VLOOKUP($A318,tropes!$A$4:$O$2428,2,FALSE)</f>
        <v>#N/A</v>
      </c>
      <c r="C318" s="5" t="e">
        <f>VLOOKUP($A318,tropes!$A$4:$O$2428,3,FALSE)</f>
        <v>#N/A</v>
      </c>
      <c r="D318" s="5" t="e">
        <f>VLOOKUP($A318,tropes!$A$4:$O$2428,4,FALSE)</f>
        <v>#N/A</v>
      </c>
      <c r="E318" s="5" t="e">
        <f>VLOOKUP($A318,tropes!$A$4:$O$2428,5,FALSE)</f>
        <v>#N/A</v>
      </c>
      <c r="F318" s="5" t="e">
        <f>VLOOKUP($A318,tropes!$A$4:$O$2428,6,FALSE)</f>
        <v>#N/A</v>
      </c>
      <c r="G318" s="5" t="e">
        <f>VLOOKUP($A318,tropes!$A$4:$O$2428,7,FALSE)</f>
        <v>#N/A</v>
      </c>
      <c r="H318" s="5" t="e">
        <f>VLOOKUP($A318,tropes!$A$4:$O$2428,8,FALSE)</f>
        <v>#N/A</v>
      </c>
      <c r="I318" s="5" t="e">
        <f>VLOOKUP($A318,tropes!$A$4:$O$2428,9,FALSE)</f>
        <v>#N/A</v>
      </c>
      <c r="J318" s="5" t="e">
        <f>VLOOKUP($A318,tropes!$A$4:$O$2428,10,FALSE)</f>
        <v>#N/A</v>
      </c>
      <c r="K318" s="5" t="e">
        <f>VLOOKUP($A318,tropes!$A$4:$O$2428,11,FALSE)</f>
        <v>#N/A</v>
      </c>
      <c r="L318" s="5" t="e">
        <f>VLOOKUP($A318,tropes!$A$4:$O$2428,12,FALSE)</f>
        <v>#N/A</v>
      </c>
      <c r="M318" s="5" t="e">
        <f>VLOOKUP($A318,tropes!$A$4:$O$2428,13,FALSE)</f>
        <v>#N/A</v>
      </c>
      <c r="N318" s="5"/>
    </row>
    <row r="319" spans="1:14" x14ac:dyDescent="0.3">
      <c r="A319" s="14"/>
      <c r="B319" s="5" t="e">
        <f>VLOOKUP($A319,tropes!$A$4:$O$2428,2,FALSE)</f>
        <v>#N/A</v>
      </c>
      <c r="C319" s="5" t="e">
        <f>VLOOKUP($A319,tropes!$A$4:$O$2428,3,FALSE)</f>
        <v>#N/A</v>
      </c>
      <c r="D319" s="5" t="e">
        <f>VLOOKUP($A319,tropes!$A$4:$O$2428,4,FALSE)</f>
        <v>#N/A</v>
      </c>
      <c r="E319" s="5" t="e">
        <f>VLOOKUP($A319,tropes!$A$4:$O$2428,5,FALSE)</f>
        <v>#N/A</v>
      </c>
      <c r="F319" s="5" t="e">
        <f>VLOOKUP($A319,tropes!$A$4:$O$2428,6,FALSE)</f>
        <v>#N/A</v>
      </c>
      <c r="G319" s="5" t="e">
        <f>VLOOKUP($A319,tropes!$A$4:$O$2428,7,FALSE)</f>
        <v>#N/A</v>
      </c>
      <c r="H319" s="5" t="e">
        <f>VLOOKUP($A319,tropes!$A$4:$O$2428,8,FALSE)</f>
        <v>#N/A</v>
      </c>
      <c r="I319" s="5" t="e">
        <f>VLOOKUP($A319,tropes!$A$4:$O$2428,9,FALSE)</f>
        <v>#N/A</v>
      </c>
      <c r="J319" s="5" t="e">
        <f>VLOOKUP($A319,tropes!$A$4:$O$2428,10,FALSE)</f>
        <v>#N/A</v>
      </c>
      <c r="K319" s="5" t="e">
        <f>VLOOKUP($A319,tropes!$A$4:$O$2428,11,FALSE)</f>
        <v>#N/A</v>
      </c>
      <c r="L319" s="5" t="e">
        <f>VLOOKUP($A319,tropes!$A$4:$O$2428,12,FALSE)</f>
        <v>#N/A</v>
      </c>
      <c r="M319" s="5" t="e">
        <f>VLOOKUP($A319,tropes!$A$4:$O$2428,13,FALSE)</f>
        <v>#N/A</v>
      </c>
      <c r="N319" s="5"/>
    </row>
    <row r="320" spans="1:14" x14ac:dyDescent="0.3">
      <c r="A320" s="14"/>
      <c r="B320" s="5" t="e">
        <f>VLOOKUP($A320,tropes!$A$4:$O$2428,2,FALSE)</f>
        <v>#N/A</v>
      </c>
      <c r="C320" s="5" t="e">
        <f>VLOOKUP($A320,tropes!$A$4:$O$2428,3,FALSE)</f>
        <v>#N/A</v>
      </c>
      <c r="D320" s="5" t="e">
        <f>VLOOKUP($A320,tropes!$A$4:$O$2428,4,FALSE)</f>
        <v>#N/A</v>
      </c>
      <c r="E320" s="5" t="e">
        <f>VLOOKUP($A320,tropes!$A$4:$O$2428,5,FALSE)</f>
        <v>#N/A</v>
      </c>
      <c r="F320" s="5" t="e">
        <f>VLOOKUP($A320,tropes!$A$4:$O$2428,6,FALSE)</f>
        <v>#N/A</v>
      </c>
      <c r="G320" s="5" t="e">
        <f>VLOOKUP($A320,tropes!$A$4:$O$2428,7,FALSE)</f>
        <v>#N/A</v>
      </c>
      <c r="H320" s="5" t="e">
        <f>VLOOKUP($A320,tropes!$A$4:$O$2428,8,FALSE)</f>
        <v>#N/A</v>
      </c>
      <c r="I320" s="5" t="e">
        <f>VLOOKUP($A320,tropes!$A$4:$O$2428,9,FALSE)</f>
        <v>#N/A</v>
      </c>
      <c r="J320" s="5" t="e">
        <f>VLOOKUP($A320,tropes!$A$4:$O$2428,10,FALSE)</f>
        <v>#N/A</v>
      </c>
      <c r="K320" s="5" t="e">
        <f>VLOOKUP($A320,tropes!$A$4:$O$2428,11,FALSE)</f>
        <v>#N/A</v>
      </c>
      <c r="L320" s="5" t="e">
        <f>VLOOKUP($A320,tropes!$A$4:$O$2428,12,FALSE)</f>
        <v>#N/A</v>
      </c>
      <c r="M320" s="5" t="e">
        <f>VLOOKUP($A320,tropes!$A$4:$O$2428,13,FALSE)</f>
        <v>#N/A</v>
      </c>
      <c r="N320" s="5"/>
    </row>
    <row r="321" spans="1:14" x14ac:dyDescent="0.3">
      <c r="A321" s="14"/>
      <c r="B321" s="5" t="e">
        <f>VLOOKUP($A321,tropes!$A$4:$O$2428,2,FALSE)</f>
        <v>#N/A</v>
      </c>
      <c r="C321" s="5" t="e">
        <f>VLOOKUP($A321,tropes!$A$4:$O$2428,3,FALSE)</f>
        <v>#N/A</v>
      </c>
      <c r="D321" s="5" t="e">
        <f>VLOOKUP($A321,tropes!$A$4:$O$2428,4,FALSE)</f>
        <v>#N/A</v>
      </c>
      <c r="E321" s="5" t="e">
        <f>VLOOKUP($A321,tropes!$A$4:$O$2428,5,FALSE)</f>
        <v>#N/A</v>
      </c>
      <c r="F321" s="5" t="e">
        <f>VLOOKUP($A321,tropes!$A$4:$O$2428,6,FALSE)</f>
        <v>#N/A</v>
      </c>
      <c r="G321" s="5" t="e">
        <f>VLOOKUP($A321,tropes!$A$4:$O$2428,7,FALSE)</f>
        <v>#N/A</v>
      </c>
      <c r="H321" s="5" t="e">
        <f>VLOOKUP($A321,tropes!$A$4:$O$2428,8,FALSE)</f>
        <v>#N/A</v>
      </c>
      <c r="I321" s="5" t="e">
        <f>VLOOKUP($A321,tropes!$A$4:$O$2428,9,FALSE)</f>
        <v>#N/A</v>
      </c>
      <c r="J321" s="5" t="e">
        <f>VLOOKUP($A321,tropes!$A$4:$O$2428,10,FALSE)</f>
        <v>#N/A</v>
      </c>
      <c r="K321" s="5" t="e">
        <f>VLOOKUP($A321,tropes!$A$4:$O$2428,11,FALSE)</f>
        <v>#N/A</v>
      </c>
      <c r="L321" s="5" t="e">
        <f>VLOOKUP($A321,tropes!$A$4:$O$2428,12,FALSE)</f>
        <v>#N/A</v>
      </c>
      <c r="M321" s="5" t="e">
        <f>VLOOKUP($A321,tropes!$A$4:$O$2428,13,FALSE)</f>
        <v>#N/A</v>
      </c>
      <c r="N321" s="5"/>
    </row>
    <row r="322" spans="1:14" x14ac:dyDescent="0.3">
      <c r="A322" s="14"/>
      <c r="B322" s="5" t="e">
        <f>VLOOKUP($A322,tropes!$A$4:$O$2428,2,FALSE)</f>
        <v>#N/A</v>
      </c>
      <c r="C322" s="5" t="e">
        <f>VLOOKUP($A322,tropes!$A$4:$O$2428,3,FALSE)</f>
        <v>#N/A</v>
      </c>
      <c r="D322" s="5" t="e">
        <f>VLOOKUP($A322,tropes!$A$4:$O$2428,4,FALSE)</f>
        <v>#N/A</v>
      </c>
      <c r="E322" s="5" t="e">
        <f>VLOOKUP($A322,tropes!$A$4:$O$2428,5,FALSE)</f>
        <v>#N/A</v>
      </c>
      <c r="F322" s="5" t="e">
        <f>VLOOKUP($A322,tropes!$A$4:$O$2428,6,FALSE)</f>
        <v>#N/A</v>
      </c>
      <c r="G322" s="5" t="e">
        <f>VLOOKUP($A322,tropes!$A$4:$O$2428,7,FALSE)</f>
        <v>#N/A</v>
      </c>
      <c r="H322" s="5" t="e">
        <f>VLOOKUP($A322,tropes!$A$4:$O$2428,8,FALSE)</f>
        <v>#N/A</v>
      </c>
      <c r="I322" s="5" t="e">
        <f>VLOOKUP($A322,tropes!$A$4:$O$2428,9,FALSE)</f>
        <v>#N/A</v>
      </c>
      <c r="J322" s="5" t="e">
        <f>VLOOKUP($A322,tropes!$A$4:$O$2428,10,FALSE)</f>
        <v>#N/A</v>
      </c>
      <c r="K322" s="5" t="e">
        <f>VLOOKUP($A322,tropes!$A$4:$O$2428,11,FALSE)</f>
        <v>#N/A</v>
      </c>
      <c r="L322" s="5" t="e">
        <f>VLOOKUP($A322,tropes!$A$4:$O$2428,12,FALSE)</f>
        <v>#N/A</v>
      </c>
      <c r="M322" s="5" t="e">
        <f>VLOOKUP($A322,tropes!$A$4:$O$2428,13,FALSE)</f>
        <v>#N/A</v>
      </c>
      <c r="N322" s="5"/>
    </row>
    <row r="323" spans="1:14" x14ac:dyDescent="0.3">
      <c r="A323" s="14"/>
      <c r="B323" s="5" t="e">
        <f>VLOOKUP($A323,tropes!$A$4:$O$2428,2,FALSE)</f>
        <v>#N/A</v>
      </c>
      <c r="C323" s="5" t="e">
        <f>VLOOKUP($A323,tropes!$A$4:$O$2428,3,FALSE)</f>
        <v>#N/A</v>
      </c>
      <c r="D323" s="5" t="e">
        <f>VLOOKUP($A323,tropes!$A$4:$O$2428,4,FALSE)</f>
        <v>#N/A</v>
      </c>
      <c r="E323" s="5" t="e">
        <f>VLOOKUP($A323,tropes!$A$4:$O$2428,5,FALSE)</f>
        <v>#N/A</v>
      </c>
      <c r="F323" s="5" t="e">
        <f>VLOOKUP($A323,tropes!$A$4:$O$2428,6,FALSE)</f>
        <v>#N/A</v>
      </c>
      <c r="G323" s="5" t="e">
        <f>VLOOKUP($A323,tropes!$A$4:$O$2428,7,FALSE)</f>
        <v>#N/A</v>
      </c>
      <c r="H323" s="5" t="e">
        <f>VLOOKUP($A323,tropes!$A$4:$O$2428,8,FALSE)</f>
        <v>#N/A</v>
      </c>
      <c r="I323" s="5" t="e">
        <f>VLOOKUP($A323,tropes!$A$4:$O$2428,9,FALSE)</f>
        <v>#N/A</v>
      </c>
      <c r="J323" s="5" t="e">
        <f>VLOOKUP($A323,tropes!$A$4:$O$2428,10,FALSE)</f>
        <v>#N/A</v>
      </c>
      <c r="K323" s="5" t="e">
        <f>VLOOKUP($A323,tropes!$A$4:$O$2428,11,FALSE)</f>
        <v>#N/A</v>
      </c>
      <c r="L323" s="5" t="e">
        <f>VLOOKUP($A323,tropes!$A$4:$O$2428,12,FALSE)</f>
        <v>#N/A</v>
      </c>
      <c r="M323" s="5" t="e">
        <f>VLOOKUP($A323,tropes!$A$4:$O$2428,13,FALSE)</f>
        <v>#N/A</v>
      </c>
      <c r="N323" s="5"/>
    </row>
    <row r="324" spans="1:14" x14ac:dyDescent="0.3">
      <c r="A324" s="14"/>
      <c r="B324" s="5" t="e">
        <f>VLOOKUP($A324,tropes!$A$4:$O$2428,2,FALSE)</f>
        <v>#N/A</v>
      </c>
      <c r="C324" s="5" t="e">
        <f>VLOOKUP($A324,tropes!$A$4:$O$2428,3,FALSE)</f>
        <v>#N/A</v>
      </c>
      <c r="D324" s="5" t="e">
        <f>VLOOKUP($A324,tropes!$A$4:$O$2428,4,FALSE)</f>
        <v>#N/A</v>
      </c>
      <c r="E324" s="5" t="e">
        <f>VLOOKUP($A324,tropes!$A$4:$O$2428,5,FALSE)</f>
        <v>#N/A</v>
      </c>
      <c r="F324" s="5" t="e">
        <f>VLOOKUP($A324,tropes!$A$4:$O$2428,6,FALSE)</f>
        <v>#N/A</v>
      </c>
      <c r="G324" s="5" t="e">
        <f>VLOOKUP($A324,tropes!$A$4:$O$2428,7,FALSE)</f>
        <v>#N/A</v>
      </c>
      <c r="H324" s="5" t="e">
        <f>VLOOKUP($A324,tropes!$A$4:$O$2428,8,FALSE)</f>
        <v>#N/A</v>
      </c>
      <c r="I324" s="5" t="e">
        <f>VLOOKUP($A324,tropes!$A$4:$O$2428,9,FALSE)</f>
        <v>#N/A</v>
      </c>
      <c r="J324" s="5" t="e">
        <f>VLOOKUP($A324,tropes!$A$4:$O$2428,10,FALSE)</f>
        <v>#N/A</v>
      </c>
      <c r="K324" s="5" t="e">
        <f>VLOOKUP($A324,tropes!$A$4:$O$2428,11,FALSE)</f>
        <v>#N/A</v>
      </c>
      <c r="L324" s="5" t="e">
        <f>VLOOKUP($A324,tropes!$A$4:$O$2428,12,FALSE)</f>
        <v>#N/A</v>
      </c>
      <c r="M324" s="5" t="e">
        <f>VLOOKUP($A324,tropes!$A$4:$O$2428,13,FALSE)</f>
        <v>#N/A</v>
      </c>
      <c r="N324" s="5"/>
    </row>
    <row r="325" spans="1:14" x14ac:dyDescent="0.3">
      <c r="A325" s="14"/>
      <c r="B325" s="5" t="e">
        <f>VLOOKUP($A325,tropes!$A$4:$O$2428,2,FALSE)</f>
        <v>#N/A</v>
      </c>
      <c r="C325" s="5" t="e">
        <f>VLOOKUP($A325,tropes!$A$4:$O$2428,3,FALSE)</f>
        <v>#N/A</v>
      </c>
      <c r="D325" s="5" t="e">
        <f>VLOOKUP($A325,tropes!$A$4:$O$2428,4,FALSE)</f>
        <v>#N/A</v>
      </c>
      <c r="E325" s="5" t="e">
        <f>VLOOKUP($A325,tropes!$A$4:$O$2428,5,FALSE)</f>
        <v>#N/A</v>
      </c>
      <c r="F325" s="5" t="e">
        <f>VLOOKUP($A325,tropes!$A$4:$O$2428,6,FALSE)</f>
        <v>#N/A</v>
      </c>
      <c r="G325" s="5" t="e">
        <f>VLOOKUP($A325,tropes!$A$4:$O$2428,7,FALSE)</f>
        <v>#N/A</v>
      </c>
      <c r="H325" s="5" t="e">
        <f>VLOOKUP($A325,tropes!$A$4:$O$2428,8,FALSE)</f>
        <v>#N/A</v>
      </c>
      <c r="I325" s="5" t="e">
        <f>VLOOKUP($A325,tropes!$A$4:$O$2428,9,FALSE)</f>
        <v>#N/A</v>
      </c>
      <c r="J325" s="5" t="e">
        <f>VLOOKUP($A325,tropes!$A$4:$O$2428,10,FALSE)</f>
        <v>#N/A</v>
      </c>
      <c r="K325" s="5" t="e">
        <f>VLOOKUP($A325,tropes!$A$4:$O$2428,11,FALSE)</f>
        <v>#N/A</v>
      </c>
      <c r="L325" s="5" t="e">
        <f>VLOOKUP($A325,tropes!$A$4:$O$2428,12,FALSE)</f>
        <v>#N/A</v>
      </c>
      <c r="M325" s="5" t="e">
        <f>VLOOKUP($A325,tropes!$A$4:$O$2428,13,FALSE)</f>
        <v>#N/A</v>
      </c>
      <c r="N325" s="5"/>
    </row>
    <row r="326" spans="1:14" x14ac:dyDescent="0.3">
      <c r="A326" s="14"/>
      <c r="B326" s="5" t="e">
        <f>VLOOKUP($A326,tropes!$A$4:$O$2428,2,FALSE)</f>
        <v>#N/A</v>
      </c>
      <c r="C326" s="5" t="e">
        <f>VLOOKUP($A326,tropes!$A$4:$O$2428,3,FALSE)</f>
        <v>#N/A</v>
      </c>
      <c r="D326" s="5" t="e">
        <f>VLOOKUP($A326,tropes!$A$4:$O$2428,4,FALSE)</f>
        <v>#N/A</v>
      </c>
      <c r="E326" s="5" t="e">
        <f>VLOOKUP($A326,tropes!$A$4:$O$2428,5,FALSE)</f>
        <v>#N/A</v>
      </c>
      <c r="F326" s="5" t="e">
        <f>VLOOKUP($A326,tropes!$A$4:$O$2428,6,FALSE)</f>
        <v>#N/A</v>
      </c>
      <c r="G326" s="5" t="e">
        <f>VLOOKUP($A326,tropes!$A$4:$O$2428,7,FALSE)</f>
        <v>#N/A</v>
      </c>
      <c r="H326" s="5" t="e">
        <f>VLOOKUP($A326,tropes!$A$4:$O$2428,8,FALSE)</f>
        <v>#N/A</v>
      </c>
      <c r="I326" s="5" t="e">
        <f>VLOOKUP($A326,tropes!$A$4:$O$2428,9,FALSE)</f>
        <v>#N/A</v>
      </c>
      <c r="J326" s="5" t="e">
        <f>VLOOKUP($A326,tropes!$A$4:$O$2428,10,FALSE)</f>
        <v>#N/A</v>
      </c>
      <c r="K326" s="5" t="e">
        <f>VLOOKUP($A326,tropes!$A$4:$O$2428,11,FALSE)</f>
        <v>#N/A</v>
      </c>
      <c r="L326" s="5" t="e">
        <f>VLOOKUP($A326,tropes!$A$4:$O$2428,12,FALSE)</f>
        <v>#N/A</v>
      </c>
      <c r="M326" s="5" t="e">
        <f>VLOOKUP($A326,tropes!$A$4:$O$2428,13,FALSE)</f>
        <v>#N/A</v>
      </c>
      <c r="N326" s="5"/>
    </row>
    <row r="327" spans="1:14" x14ac:dyDescent="0.3">
      <c r="A327" s="14"/>
      <c r="B327" s="5" t="e">
        <f>VLOOKUP($A327,tropes!$A$4:$O$2428,2,FALSE)</f>
        <v>#N/A</v>
      </c>
      <c r="C327" s="5" t="e">
        <f>VLOOKUP($A327,tropes!$A$4:$O$2428,3,FALSE)</f>
        <v>#N/A</v>
      </c>
      <c r="D327" s="5" t="e">
        <f>VLOOKUP($A327,tropes!$A$4:$O$2428,4,FALSE)</f>
        <v>#N/A</v>
      </c>
      <c r="E327" s="5" t="e">
        <f>VLOOKUP($A327,tropes!$A$4:$O$2428,5,FALSE)</f>
        <v>#N/A</v>
      </c>
      <c r="F327" s="5" t="e">
        <f>VLOOKUP($A327,tropes!$A$4:$O$2428,6,FALSE)</f>
        <v>#N/A</v>
      </c>
      <c r="G327" s="5" t="e">
        <f>VLOOKUP($A327,tropes!$A$4:$O$2428,7,FALSE)</f>
        <v>#N/A</v>
      </c>
      <c r="H327" s="5" t="e">
        <f>VLOOKUP($A327,tropes!$A$4:$O$2428,8,FALSE)</f>
        <v>#N/A</v>
      </c>
      <c r="I327" s="5" t="e">
        <f>VLOOKUP($A327,tropes!$A$4:$O$2428,9,FALSE)</f>
        <v>#N/A</v>
      </c>
      <c r="J327" s="5" t="e">
        <f>VLOOKUP($A327,tropes!$A$4:$O$2428,10,FALSE)</f>
        <v>#N/A</v>
      </c>
      <c r="K327" s="5" t="e">
        <f>VLOOKUP($A327,tropes!$A$4:$O$2428,11,FALSE)</f>
        <v>#N/A</v>
      </c>
      <c r="L327" s="5" t="e">
        <f>VLOOKUP($A327,tropes!$A$4:$O$2428,12,FALSE)</f>
        <v>#N/A</v>
      </c>
      <c r="M327" s="5" t="e">
        <f>VLOOKUP($A327,tropes!$A$4:$O$2428,13,FALSE)</f>
        <v>#N/A</v>
      </c>
      <c r="N327" s="5"/>
    </row>
    <row r="328" spans="1:14" x14ac:dyDescent="0.3">
      <c r="A328" s="14"/>
      <c r="B328" s="5" t="e">
        <f>VLOOKUP($A328,tropes!$A$4:$O$2428,2,FALSE)</f>
        <v>#N/A</v>
      </c>
      <c r="C328" s="5" t="e">
        <f>VLOOKUP($A328,tropes!$A$4:$O$2428,3,FALSE)</f>
        <v>#N/A</v>
      </c>
      <c r="D328" s="5" t="e">
        <f>VLOOKUP($A328,tropes!$A$4:$O$2428,4,FALSE)</f>
        <v>#N/A</v>
      </c>
      <c r="E328" s="5" t="e">
        <f>VLOOKUP($A328,tropes!$A$4:$O$2428,5,FALSE)</f>
        <v>#N/A</v>
      </c>
      <c r="F328" s="5" t="e">
        <f>VLOOKUP($A328,tropes!$A$4:$O$2428,6,FALSE)</f>
        <v>#N/A</v>
      </c>
      <c r="G328" s="5" t="e">
        <f>VLOOKUP($A328,tropes!$A$4:$O$2428,7,FALSE)</f>
        <v>#N/A</v>
      </c>
      <c r="H328" s="5" t="e">
        <f>VLOOKUP($A328,tropes!$A$4:$O$2428,8,FALSE)</f>
        <v>#N/A</v>
      </c>
      <c r="I328" s="5" t="e">
        <f>VLOOKUP($A328,tropes!$A$4:$O$2428,9,FALSE)</f>
        <v>#N/A</v>
      </c>
      <c r="J328" s="5" t="e">
        <f>VLOOKUP($A328,tropes!$A$4:$O$2428,10,FALSE)</f>
        <v>#N/A</v>
      </c>
      <c r="K328" s="5" t="e">
        <f>VLOOKUP($A328,tropes!$A$4:$O$2428,11,FALSE)</f>
        <v>#N/A</v>
      </c>
      <c r="L328" s="5" t="e">
        <f>VLOOKUP($A328,tropes!$A$4:$O$2428,12,FALSE)</f>
        <v>#N/A</v>
      </c>
      <c r="M328" s="5" t="e">
        <f>VLOOKUP($A328,tropes!$A$4:$O$2428,13,FALSE)</f>
        <v>#N/A</v>
      </c>
      <c r="N328" s="5"/>
    </row>
    <row r="329" spans="1:14" x14ac:dyDescent="0.3">
      <c r="A329" s="14"/>
      <c r="B329" s="5" t="e">
        <f>VLOOKUP($A329,tropes!$A$4:$O$2428,2,FALSE)</f>
        <v>#N/A</v>
      </c>
      <c r="C329" s="5" t="e">
        <f>VLOOKUP($A329,tropes!$A$4:$O$2428,3,FALSE)</f>
        <v>#N/A</v>
      </c>
      <c r="D329" s="5" t="e">
        <f>VLOOKUP($A329,tropes!$A$4:$O$2428,4,FALSE)</f>
        <v>#N/A</v>
      </c>
      <c r="E329" s="5" t="e">
        <f>VLOOKUP($A329,tropes!$A$4:$O$2428,5,FALSE)</f>
        <v>#N/A</v>
      </c>
      <c r="F329" s="5" t="e">
        <f>VLOOKUP($A329,tropes!$A$4:$O$2428,6,FALSE)</f>
        <v>#N/A</v>
      </c>
      <c r="G329" s="5" t="e">
        <f>VLOOKUP($A329,tropes!$A$4:$O$2428,7,FALSE)</f>
        <v>#N/A</v>
      </c>
      <c r="H329" s="5" t="e">
        <f>VLOOKUP($A329,tropes!$A$4:$O$2428,8,FALSE)</f>
        <v>#N/A</v>
      </c>
      <c r="I329" s="5" t="e">
        <f>VLOOKUP($A329,tropes!$A$4:$O$2428,9,FALSE)</f>
        <v>#N/A</v>
      </c>
      <c r="J329" s="5" t="e">
        <f>VLOOKUP($A329,tropes!$A$4:$O$2428,10,FALSE)</f>
        <v>#N/A</v>
      </c>
      <c r="K329" s="5" t="e">
        <f>VLOOKUP($A329,tropes!$A$4:$O$2428,11,FALSE)</f>
        <v>#N/A</v>
      </c>
      <c r="L329" s="5" t="e">
        <f>VLOOKUP($A329,tropes!$A$4:$O$2428,12,FALSE)</f>
        <v>#N/A</v>
      </c>
      <c r="M329" s="5" t="e">
        <f>VLOOKUP($A329,tropes!$A$4:$O$2428,13,FALSE)</f>
        <v>#N/A</v>
      </c>
      <c r="N329" s="5"/>
    </row>
    <row r="330" spans="1:14" x14ac:dyDescent="0.3">
      <c r="A330" s="14"/>
      <c r="B330" s="5" t="e">
        <f>VLOOKUP($A330,tropes!$A$4:$O$2428,2,FALSE)</f>
        <v>#N/A</v>
      </c>
      <c r="C330" s="5" t="e">
        <f>VLOOKUP($A330,tropes!$A$4:$O$2428,3,FALSE)</f>
        <v>#N/A</v>
      </c>
      <c r="D330" s="5" t="e">
        <f>VLOOKUP($A330,tropes!$A$4:$O$2428,4,FALSE)</f>
        <v>#N/A</v>
      </c>
      <c r="E330" s="5" t="e">
        <f>VLOOKUP($A330,tropes!$A$4:$O$2428,5,FALSE)</f>
        <v>#N/A</v>
      </c>
      <c r="F330" s="5" t="e">
        <f>VLOOKUP($A330,tropes!$A$4:$O$2428,6,FALSE)</f>
        <v>#N/A</v>
      </c>
      <c r="G330" s="5" t="e">
        <f>VLOOKUP($A330,tropes!$A$4:$O$2428,7,FALSE)</f>
        <v>#N/A</v>
      </c>
      <c r="H330" s="5" t="e">
        <f>VLOOKUP($A330,tropes!$A$4:$O$2428,8,FALSE)</f>
        <v>#N/A</v>
      </c>
      <c r="I330" s="5" t="e">
        <f>VLOOKUP($A330,tropes!$A$4:$O$2428,9,FALSE)</f>
        <v>#N/A</v>
      </c>
      <c r="J330" s="5" t="e">
        <f>VLOOKUP($A330,tropes!$A$4:$O$2428,10,FALSE)</f>
        <v>#N/A</v>
      </c>
      <c r="K330" s="5" t="e">
        <f>VLOOKUP($A330,tropes!$A$4:$O$2428,11,FALSE)</f>
        <v>#N/A</v>
      </c>
      <c r="L330" s="5" t="e">
        <f>VLOOKUP($A330,tropes!$A$4:$O$2428,12,FALSE)</f>
        <v>#N/A</v>
      </c>
      <c r="M330" s="5" t="e">
        <f>VLOOKUP($A330,tropes!$A$4:$O$2428,13,FALSE)</f>
        <v>#N/A</v>
      </c>
      <c r="N330" s="5"/>
    </row>
    <row r="331" spans="1:14" x14ac:dyDescent="0.3">
      <c r="A331" s="14"/>
      <c r="B331" s="5" t="e">
        <f>VLOOKUP($A331,tropes!$A$4:$O$2428,2,FALSE)</f>
        <v>#N/A</v>
      </c>
      <c r="C331" s="5" t="e">
        <f>VLOOKUP($A331,tropes!$A$4:$O$2428,3,FALSE)</f>
        <v>#N/A</v>
      </c>
      <c r="D331" s="5" t="e">
        <f>VLOOKUP($A331,tropes!$A$4:$O$2428,4,FALSE)</f>
        <v>#N/A</v>
      </c>
      <c r="E331" s="5" t="e">
        <f>VLOOKUP($A331,tropes!$A$4:$O$2428,5,FALSE)</f>
        <v>#N/A</v>
      </c>
      <c r="F331" s="5" t="e">
        <f>VLOOKUP($A331,tropes!$A$4:$O$2428,6,FALSE)</f>
        <v>#N/A</v>
      </c>
      <c r="G331" s="5" t="e">
        <f>VLOOKUP($A331,tropes!$A$4:$O$2428,7,FALSE)</f>
        <v>#N/A</v>
      </c>
      <c r="H331" s="5" t="e">
        <f>VLOOKUP($A331,tropes!$A$4:$O$2428,8,FALSE)</f>
        <v>#N/A</v>
      </c>
      <c r="I331" s="5" t="e">
        <f>VLOOKUP($A331,tropes!$A$4:$O$2428,9,FALSE)</f>
        <v>#N/A</v>
      </c>
      <c r="J331" s="5" t="e">
        <f>VLOOKUP($A331,tropes!$A$4:$O$2428,10,FALSE)</f>
        <v>#N/A</v>
      </c>
      <c r="K331" s="5" t="e">
        <f>VLOOKUP($A331,tropes!$A$4:$O$2428,11,FALSE)</f>
        <v>#N/A</v>
      </c>
      <c r="L331" s="5" t="e">
        <f>VLOOKUP($A331,tropes!$A$4:$O$2428,12,FALSE)</f>
        <v>#N/A</v>
      </c>
      <c r="M331" s="5" t="e">
        <f>VLOOKUP($A331,tropes!$A$4:$O$2428,13,FALSE)</f>
        <v>#N/A</v>
      </c>
      <c r="N331" s="5"/>
    </row>
    <row r="332" spans="1:14" x14ac:dyDescent="0.3">
      <c r="A332" s="14"/>
      <c r="B332" s="5" t="e">
        <f>VLOOKUP($A332,tropes!$A$4:$O$2428,2,FALSE)</f>
        <v>#N/A</v>
      </c>
      <c r="C332" s="5" t="e">
        <f>VLOOKUP($A332,tropes!$A$4:$O$2428,3,FALSE)</f>
        <v>#N/A</v>
      </c>
      <c r="D332" s="5" t="e">
        <f>VLOOKUP($A332,tropes!$A$4:$O$2428,4,FALSE)</f>
        <v>#N/A</v>
      </c>
      <c r="E332" s="5" t="e">
        <f>VLOOKUP($A332,tropes!$A$4:$O$2428,5,FALSE)</f>
        <v>#N/A</v>
      </c>
      <c r="F332" s="5" t="e">
        <f>VLOOKUP($A332,tropes!$A$4:$O$2428,6,FALSE)</f>
        <v>#N/A</v>
      </c>
      <c r="G332" s="5" t="e">
        <f>VLOOKUP($A332,tropes!$A$4:$O$2428,7,FALSE)</f>
        <v>#N/A</v>
      </c>
      <c r="H332" s="5" t="e">
        <f>VLOOKUP($A332,tropes!$A$4:$O$2428,8,FALSE)</f>
        <v>#N/A</v>
      </c>
      <c r="I332" s="5" t="e">
        <f>VLOOKUP($A332,tropes!$A$4:$O$2428,9,FALSE)</f>
        <v>#N/A</v>
      </c>
      <c r="J332" s="5" t="e">
        <f>VLOOKUP($A332,tropes!$A$4:$O$2428,10,FALSE)</f>
        <v>#N/A</v>
      </c>
      <c r="K332" s="5" t="e">
        <f>VLOOKUP($A332,tropes!$A$4:$O$2428,11,FALSE)</f>
        <v>#N/A</v>
      </c>
      <c r="L332" s="5" t="e">
        <f>VLOOKUP($A332,tropes!$A$4:$O$2428,12,FALSE)</f>
        <v>#N/A</v>
      </c>
      <c r="M332" s="5" t="e">
        <f>VLOOKUP($A332,tropes!$A$4:$O$2428,13,FALSE)</f>
        <v>#N/A</v>
      </c>
      <c r="N332" s="5"/>
    </row>
    <row r="333" spans="1:14" x14ac:dyDescent="0.3">
      <c r="A333" s="14"/>
      <c r="B333" s="5" t="e">
        <f>VLOOKUP($A333,tropes!$A$4:$O$2428,2,FALSE)</f>
        <v>#N/A</v>
      </c>
      <c r="C333" s="5" t="e">
        <f>VLOOKUP($A333,tropes!$A$4:$O$2428,3,FALSE)</f>
        <v>#N/A</v>
      </c>
      <c r="D333" s="5" t="e">
        <f>VLOOKUP($A333,tropes!$A$4:$O$2428,4,FALSE)</f>
        <v>#N/A</v>
      </c>
      <c r="E333" s="5" t="e">
        <f>VLOOKUP($A333,tropes!$A$4:$O$2428,5,FALSE)</f>
        <v>#N/A</v>
      </c>
      <c r="F333" s="5" t="e">
        <f>VLOOKUP($A333,tropes!$A$4:$O$2428,6,FALSE)</f>
        <v>#N/A</v>
      </c>
      <c r="G333" s="5" t="e">
        <f>VLOOKUP($A333,tropes!$A$4:$O$2428,7,FALSE)</f>
        <v>#N/A</v>
      </c>
      <c r="H333" s="5" t="e">
        <f>VLOOKUP($A333,tropes!$A$4:$O$2428,8,FALSE)</f>
        <v>#N/A</v>
      </c>
      <c r="I333" s="5" t="e">
        <f>VLOOKUP($A333,tropes!$A$4:$O$2428,9,FALSE)</f>
        <v>#N/A</v>
      </c>
      <c r="J333" s="5" t="e">
        <f>VLOOKUP($A333,tropes!$A$4:$O$2428,10,FALSE)</f>
        <v>#N/A</v>
      </c>
      <c r="K333" s="5" t="e">
        <f>VLOOKUP($A333,tropes!$A$4:$O$2428,11,FALSE)</f>
        <v>#N/A</v>
      </c>
      <c r="L333" s="5" t="e">
        <f>VLOOKUP($A333,tropes!$A$4:$O$2428,12,FALSE)</f>
        <v>#N/A</v>
      </c>
      <c r="M333" s="5" t="e">
        <f>VLOOKUP($A333,tropes!$A$4:$O$2428,13,FALSE)</f>
        <v>#N/A</v>
      </c>
      <c r="N333" s="5"/>
    </row>
    <row r="334" spans="1:14" x14ac:dyDescent="0.3">
      <c r="A334" s="14"/>
      <c r="B334" s="5" t="e">
        <f>VLOOKUP($A334,tropes!$A$4:$O$2428,2,FALSE)</f>
        <v>#N/A</v>
      </c>
      <c r="C334" s="5" t="e">
        <f>VLOOKUP($A334,tropes!$A$4:$O$2428,3,FALSE)</f>
        <v>#N/A</v>
      </c>
      <c r="D334" s="5" t="e">
        <f>VLOOKUP($A334,tropes!$A$4:$O$2428,4,FALSE)</f>
        <v>#N/A</v>
      </c>
      <c r="E334" s="5" t="e">
        <f>VLOOKUP($A334,tropes!$A$4:$O$2428,5,FALSE)</f>
        <v>#N/A</v>
      </c>
      <c r="F334" s="5" t="e">
        <f>VLOOKUP($A334,tropes!$A$4:$O$2428,6,FALSE)</f>
        <v>#N/A</v>
      </c>
      <c r="G334" s="5" t="e">
        <f>VLOOKUP($A334,tropes!$A$4:$O$2428,7,FALSE)</f>
        <v>#N/A</v>
      </c>
      <c r="H334" s="5" t="e">
        <f>VLOOKUP($A334,tropes!$A$4:$O$2428,8,FALSE)</f>
        <v>#N/A</v>
      </c>
      <c r="I334" s="5" t="e">
        <f>VLOOKUP($A334,tropes!$A$4:$O$2428,9,FALSE)</f>
        <v>#N/A</v>
      </c>
      <c r="J334" s="5" t="e">
        <f>VLOOKUP($A334,tropes!$A$4:$O$2428,10,FALSE)</f>
        <v>#N/A</v>
      </c>
      <c r="K334" s="5" t="e">
        <f>VLOOKUP($A334,tropes!$A$4:$O$2428,11,FALSE)</f>
        <v>#N/A</v>
      </c>
      <c r="L334" s="5" t="e">
        <f>VLOOKUP($A334,tropes!$A$4:$O$2428,12,FALSE)</f>
        <v>#N/A</v>
      </c>
      <c r="M334" s="5" t="e">
        <f>VLOOKUP($A334,tropes!$A$4:$O$2428,13,FALSE)</f>
        <v>#N/A</v>
      </c>
      <c r="N334" s="5"/>
    </row>
    <row r="335" spans="1:14" x14ac:dyDescent="0.3">
      <c r="A335" s="14"/>
      <c r="B335" s="5" t="e">
        <f>VLOOKUP($A335,tropes!$A$4:$O$2428,2,FALSE)</f>
        <v>#N/A</v>
      </c>
      <c r="C335" s="5" t="e">
        <f>VLOOKUP($A335,tropes!$A$4:$O$2428,3,FALSE)</f>
        <v>#N/A</v>
      </c>
      <c r="D335" s="5" t="e">
        <f>VLOOKUP($A335,tropes!$A$4:$O$2428,4,FALSE)</f>
        <v>#N/A</v>
      </c>
      <c r="E335" s="5" t="e">
        <f>VLOOKUP($A335,tropes!$A$4:$O$2428,5,FALSE)</f>
        <v>#N/A</v>
      </c>
      <c r="F335" s="5" t="e">
        <f>VLOOKUP($A335,tropes!$A$4:$O$2428,6,FALSE)</f>
        <v>#N/A</v>
      </c>
      <c r="G335" s="5" t="e">
        <f>VLOOKUP($A335,tropes!$A$4:$O$2428,7,FALSE)</f>
        <v>#N/A</v>
      </c>
      <c r="H335" s="5" t="e">
        <f>VLOOKUP($A335,tropes!$A$4:$O$2428,8,FALSE)</f>
        <v>#N/A</v>
      </c>
      <c r="I335" s="5" t="e">
        <f>VLOOKUP($A335,tropes!$A$4:$O$2428,9,FALSE)</f>
        <v>#N/A</v>
      </c>
      <c r="J335" s="5" t="e">
        <f>VLOOKUP($A335,tropes!$A$4:$O$2428,10,FALSE)</f>
        <v>#N/A</v>
      </c>
      <c r="K335" s="5" t="e">
        <f>VLOOKUP($A335,tropes!$A$4:$O$2428,11,FALSE)</f>
        <v>#N/A</v>
      </c>
      <c r="L335" s="5" t="e">
        <f>VLOOKUP($A335,tropes!$A$4:$O$2428,12,FALSE)</f>
        <v>#N/A</v>
      </c>
      <c r="M335" s="5" t="e">
        <f>VLOOKUP($A335,tropes!$A$4:$O$2428,13,FALSE)</f>
        <v>#N/A</v>
      </c>
      <c r="N335" s="5"/>
    </row>
    <row r="336" spans="1:14" x14ac:dyDescent="0.3">
      <c r="A336" s="14"/>
      <c r="B336" s="5" t="e">
        <f>VLOOKUP($A336,tropes!$A$4:$O$2428,2,FALSE)</f>
        <v>#N/A</v>
      </c>
      <c r="C336" s="5" t="e">
        <f>VLOOKUP($A336,tropes!$A$4:$O$2428,3,FALSE)</f>
        <v>#N/A</v>
      </c>
      <c r="D336" s="5" t="e">
        <f>VLOOKUP($A336,tropes!$A$4:$O$2428,4,FALSE)</f>
        <v>#N/A</v>
      </c>
      <c r="E336" s="5" t="e">
        <f>VLOOKUP($A336,tropes!$A$4:$O$2428,5,FALSE)</f>
        <v>#N/A</v>
      </c>
      <c r="F336" s="5" t="e">
        <f>VLOOKUP($A336,tropes!$A$4:$O$2428,6,FALSE)</f>
        <v>#N/A</v>
      </c>
      <c r="G336" s="5" t="e">
        <f>VLOOKUP($A336,tropes!$A$4:$O$2428,7,FALSE)</f>
        <v>#N/A</v>
      </c>
      <c r="H336" s="5" t="e">
        <f>VLOOKUP($A336,tropes!$A$4:$O$2428,8,FALSE)</f>
        <v>#N/A</v>
      </c>
      <c r="I336" s="5" t="e">
        <f>VLOOKUP($A336,tropes!$A$4:$O$2428,9,FALSE)</f>
        <v>#N/A</v>
      </c>
      <c r="J336" s="5" t="e">
        <f>VLOOKUP($A336,tropes!$A$4:$O$2428,10,FALSE)</f>
        <v>#N/A</v>
      </c>
      <c r="K336" s="5" t="e">
        <f>VLOOKUP($A336,tropes!$A$4:$O$2428,11,FALSE)</f>
        <v>#N/A</v>
      </c>
      <c r="L336" s="5" t="e">
        <f>VLOOKUP($A336,tropes!$A$4:$O$2428,12,FALSE)</f>
        <v>#N/A</v>
      </c>
      <c r="M336" s="5" t="e">
        <f>VLOOKUP($A336,tropes!$A$4:$O$2428,13,FALSE)</f>
        <v>#N/A</v>
      </c>
      <c r="N336" s="5"/>
    </row>
    <row r="337" spans="1:14" x14ac:dyDescent="0.3">
      <c r="A337" s="14"/>
      <c r="B337" s="5" t="e">
        <f>VLOOKUP($A337,tropes!$A$4:$O$2428,2,FALSE)</f>
        <v>#N/A</v>
      </c>
      <c r="C337" s="5" t="e">
        <f>VLOOKUP($A337,tropes!$A$4:$O$2428,3,FALSE)</f>
        <v>#N/A</v>
      </c>
      <c r="D337" s="5" t="e">
        <f>VLOOKUP($A337,tropes!$A$4:$O$2428,4,FALSE)</f>
        <v>#N/A</v>
      </c>
      <c r="E337" s="5" t="e">
        <f>VLOOKUP($A337,tropes!$A$4:$O$2428,5,FALSE)</f>
        <v>#N/A</v>
      </c>
      <c r="F337" s="5" t="e">
        <f>VLOOKUP($A337,tropes!$A$4:$O$2428,6,FALSE)</f>
        <v>#N/A</v>
      </c>
      <c r="G337" s="5" t="e">
        <f>VLOOKUP($A337,tropes!$A$4:$O$2428,7,FALSE)</f>
        <v>#N/A</v>
      </c>
      <c r="H337" s="5" t="e">
        <f>VLOOKUP($A337,tropes!$A$4:$O$2428,8,FALSE)</f>
        <v>#N/A</v>
      </c>
      <c r="I337" s="5" t="e">
        <f>VLOOKUP($A337,tropes!$A$4:$O$2428,9,FALSE)</f>
        <v>#N/A</v>
      </c>
      <c r="J337" s="5" t="e">
        <f>VLOOKUP($A337,tropes!$A$4:$O$2428,10,FALSE)</f>
        <v>#N/A</v>
      </c>
      <c r="K337" s="5" t="e">
        <f>VLOOKUP($A337,tropes!$A$4:$O$2428,11,FALSE)</f>
        <v>#N/A</v>
      </c>
      <c r="L337" s="5" t="e">
        <f>VLOOKUP($A337,tropes!$A$4:$O$2428,12,FALSE)</f>
        <v>#N/A</v>
      </c>
      <c r="M337" s="5" t="e">
        <f>VLOOKUP($A337,tropes!$A$4:$O$2428,13,FALSE)</f>
        <v>#N/A</v>
      </c>
      <c r="N337" s="5"/>
    </row>
    <row r="338" spans="1:14" x14ac:dyDescent="0.3">
      <c r="A338" s="14"/>
      <c r="B338" s="5" t="e">
        <f>VLOOKUP($A338,tropes!$A$4:$O$2428,2,FALSE)</f>
        <v>#N/A</v>
      </c>
      <c r="C338" s="5" t="e">
        <f>VLOOKUP($A338,tropes!$A$4:$O$2428,3,FALSE)</f>
        <v>#N/A</v>
      </c>
      <c r="D338" s="5" t="e">
        <f>VLOOKUP($A338,tropes!$A$4:$O$2428,4,FALSE)</f>
        <v>#N/A</v>
      </c>
      <c r="E338" s="5" t="e">
        <f>VLOOKUP($A338,tropes!$A$4:$O$2428,5,FALSE)</f>
        <v>#N/A</v>
      </c>
      <c r="F338" s="5" t="e">
        <f>VLOOKUP($A338,tropes!$A$4:$O$2428,6,FALSE)</f>
        <v>#N/A</v>
      </c>
      <c r="G338" s="5" t="e">
        <f>VLOOKUP($A338,tropes!$A$4:$O$2428,7,FALSE)</f>
        <v>#N/A</v>
      </c>
      <c r="H338" s="5" t="e">
        <f>VLOOKUP($A338,tropes!$A$4:$O$2428,8,FALSE)</f>
        <v>#N/A</v>
      </c>
      <c r="I338" s="5" t="e">
        <f>VLOOKUP($A338,tropes!$A$4:$O$2428,9,FALSE)</f>
        <v>#N/A</v>
      </c>
      <c r="J338" s="5" t="e">
        <f>VLOOKUP($A338,tropes!$A$4:$O$2428,10,FALSE)</f>
        <v>#N/A</v>
      </c>
      <c r="K338" s="5" t="e">
        <f>VLOOKUP($A338,tropes!$A$4:$O$2428,11,FALSE)</f>
        <v>#N/A</v>
      </c>
      <c r="L338" s="5" t="e">
        <f>VLOOKUP($A338,tropes!$A$4:$O$2428,12,FALSE)</f>
        <v>#N/A</v>
      </c>
      <c r="M338" s="5" t="e">
        <f>VLOOKUP($A338,tropes!$A$4:$O$2428,13,FALSE)</f>
        <v>#N/A</v>
      </c>
      <c r="N338" s="5"/>
    </row>
    <row r="339" spans="1:14" x14ac:dyDescent="0.3">
      <c r="A339" s="14"/>
      <c r="B339" s="5" t="e">
        <f>VLOOKUP($A339,tropes!$A$4:$O$2428,2,FALSE)</f>
        <v>#N/A</v>
      </c>
      <c r="C339" s="5" t="e">
        <f>VLOOKUP($A339,tropes!$A$4:$O$2428,3,FALSE)</f>
        <v>#N/A</v>
      </c>
      <c r="D339" s="5" t="e">
        <f>VLOOKUP($A339,tropes!$A$4:$O$2428,4,FALSE)</f>
        <v>#N/A</v>
      </c>
      <c r="E339" s="5" t="e">
        <f>VLOOKUP($A339,tropes!$A$4:$O$2428,5,FALSE)</f>
        <v>#N/A</v>
      </c>
      <c r="F339" s="5" t="e">
        <f>VLOOKUP($A339,tropes!$A$4:$O$2428,6,FALSE)</f>
        <v>#N/A</v>
      </c>
      <c r="G339" s="5" t="e">
        <f>VLOOKUP($A339,tropes!$A$4:$O$2428,7,FALSE)</f>
        <v>#N/A</v>
      </c>
      <c r="H339" s="5" t="e">
        <f>VLOOKUP($A339,tropes!$A$4:$O$2428,8,FALSE)</f>
        <v>#N/A</v>
      </c>
      <c r="I339" s="5" t="e">
        <f>VLOOKUP($A339,tropes!$A$4:$O$2428,9,FALSE)</f>
        <v>#N/A</v>
      </c>
      <c r="J339" s="5" t="e">
        <f>VLOOKUP($A339,tropes!$A$4:$O$2428,10,FALSE)</f>
        <v>#N/A</v>
      </c>
      <c r="K339" s="5" t="e">
        <f>VLOOKUP($A339,tropes!$A$4:$O$2428,11,FALSE)</f>
        <v>#N/A</v>
      </c>
      <c r="L339" s="5" t="e">
        <f>VLOOKUP($A339,tropes!$A$4:$O$2428,12,FALSE)</f>
        <v>#N/A</v>
      </c>
      <c r="M339" s="5" t="e">
        <f>VLOOKUP($A339,tropes!$A$4:$O$2428,13,FALSE)</f>
        <v>#N/A</v>
      </c>
      <c r="N339" s="5"/>
    </row>
    <row r="340" spans="1:14" x14ac:dyDescent="0.3">
      <c r="A340" s="14"/>
      <c r="B340" s="5" t="e">
        <f>VLOOKUP($A340,tropes!$A$4:$O$2428,2,FALSE)</f>
        <v>#N/A</v>
      </c>
      <c r="C340" s="5" t="e">
        <f>VLOOKUP($A340,tropes!$A$4:$O$2428,3,FALSE)</f>
        <v>#N/A</v>
      </c>
      <c r="D340" s="5" t="e">
        <f>VLOOKUP($A340,tropes!$A$4:$O$2428,4,FALSE)</f>
        <v>#N/A</v>
      </c>
      <c r="E340" s="5" t="e">
        <f>VLOOKUP($A340,tropes!$A$4:$O$2428,5,FALSE)</f>
        <v>#N/A</v>
      </c>
      <c r="F340" s="5" t="e">
        <f>VLOOKUP($A340,tropes!$A$4:$O$2428,6,FALSE)</f>
        <v>#N/A</v>
      </c>
      <c r="G340" s="5" t="e">
        <f>VLOOKUP($A340,tropes!$A$4:$O$2428,7,FALSE)</f>
        <v>#N/A</v>
      </c>
      <c r="H340" s="5" t="e">
        <f>VLOOKUP($A340,tropes!$A$4:$O$2428,8,FALSE)</f>
        <v>#N/A</v>
      </c>
      <c r="I340" s="5" t="e">
        <f>VLOOKUP($A340,tropes!$A$4:$O$2428,9,FALSE)</f>
        <v>#N/A</v>
      </c>
      <c r="J340" s="5" t="e">
        <f>VLOOKUP($A340,tropes!$A$4:$O$2428,10,FALSE)</f>
        <v>#N/A</v>
      </c>
      <c r="K340" s="5" t="e">
        <f>VLOOKUP($A340,tropes!$A$4:$O$2428,11,FALSE)</f>
        <v>#N/A</v>
      </c>
      <c r="L340" s="5" t="e">
        <f>VLOOKUP($A340,tropes!$A$4:$O$2428,12,FALSE)</f>
        <v>#N/A</v>
      </c>
      <c r="M340" s="5" t="e">
        <f>VLOOKUP($A340,tropes!$A$4:$O$2428,13,FALSE)</f>
        <v>#N/A</v>
      </c>
      <c r="N340" s="5"/>
    </row>
    <row r="341" spans="1:14" x14ac:dyDescent="0.3">
      <c r="A341" s="14"/>
      <c r="B341" s="5" t="e">
        <f>VLOOKUP($A341,tropes!$A$4:$O$2428,2,FALSE)</f>
        <v>#N/A</v>
      </c>
      <c r="C341" s="5" t="e">
        <f>VLOOKUP($A341,tropes!$A$4:$O$2428,3,FALSE)</f>
        <v>#N/A</v>
      </c>
      <c r="D341" s="5" t="e">
        <f>VLOOKUP($A341,tropes!$A$4:$O$2428,4,FALSE)</f>
        <v>#N/A</v>
      </c>
      <c r="E341" s="5" t="e">
        <f>VLOOKUP($A341,tropes!$A$4:$O$2428,5,FALSE)</f>
        <v>#N/A</v>
      </c>
      <c r="F341" s="5" t="e">
        <f>VLOOKUP($A341,tropes!$A$4:$O$2428,6,FALSE)</f>
        <v>#N/A</v>
      </c>
      <c r="G341" s="5" t="e">
        <f>VLOOKUP($A341,tropes!$A$4:$O$2428,7,FALSE)</f>
        <v>#N/A</v>
      </c>
      <c r="H341" s="5" t="e">
        <f>VLOOKUP($A341,tropes!$A$4:$O$2428,8,FALSE)</f>
        <v>#N/A</v>
      </c>
      <c r="I341" s="5" t="e">
        <f>VLOOKUP($A341,tropes!$A$4:$O$2428,9,FALSE)</f>
        <v>#N/A</v>
      </c>
      <c r="J341" s="5" t="e">
        <f>VLOOKUP($A341,tropes!$A$4:$O$2428,10,FALSE)</f>
        <v>#N/A</v>
      </c>
      <c r="K341" s="5" t="e">
        <f>VLOOKUP($A341,tropes!$A$4:$O$2428,11,FALSE)</f>
        <v>#N/A</v>
      </c>
      <c r="L341" s="5" t="e">
        <f>VLOOKUP($A341,tropes!$A$4:$O$2428,12,FALSE)</f>
        <v>#N/A</v>
      </c>
      <c r="M341" s="5" t="e">
        <f>VLOOKUP($A341,tropes!$A$4:$O$2428,13,FALSE)</f>
        <v>#N/A</v>
      </c>
      <c r="N341" s="5"/>
    </row>
    <row r="342" spans="1:14" x14ac:dyDescent="0.3">
      <c r="A342" s="14"/>
      <c r="B342" s="5" t="e">
        <f>VLOOKUP($A342,tropes!$A$4:$O$2428,2,FALSE)</f>
        <v>#N/A</v>
      </c>
      <c r="C342" s="5" t="e">
        <f>VLOOKUP($A342,tropes!$A$4:$O$2428,3,FALSE)</f>
        <v>#N/A</v>
      </c>
      <c r="D342" s="5" t="e">
        <f>VLOOKUP($A342,tropes!$A$4:$O$2428,4,FALSE)</f>
        <v>#N/A</v>
      </c>
      <c r="E342" s="5" t="e">
        <f>VLOOKUP($A342,tropes!$A$4:$O$2428,5,FALSE)</f>
        <v>#N/A</v>
      </c>
      <c r="F342" s="5" t="e">
        <f>VLOOKUP($A342,tropes!$A$4:$O$2428,6,FALSE)</f>
        <v>#N/A</v>
      </c>
      <c r="G342" s="5" t="e">
        <f>VLOOKUP($A342,tropes!$A$4:$O$2428,7,FALSE)</f>
        <v>#N/A</v>
      </c>
      <c r="H342" s="5" t="e">
        <f>VLOOKUP($A342,tropes!$A$4:$O$2428,8,FALSE)</f>
        <v>#N/A</v>
      </c>
      <c r="I342" s="5" t="e">
        <f>VLOOKUP($A342,tropes!$A$4:$O$2428,9,FALSE)</f>
        <v>#N/A</v>
      </c>
      <c r="J342" s="5" t="e">
        <f>VLOOKUP($A342,tropes!$A$4:$O$2428,10,FALSE)</f>
        <v>#N/A</v>
      </c>
      <c r="K342" s="5" t="e">
        <f>VLOOKUP($A342,tropes!$A$4:$O$2428,11,FALSE)</f>
        <v>#N/A</v>
      </c>
      <c r="L342" s="5" t="e">
        <f>VLOOKUP($A342,tropes!$A$4:$O$2428,12,FALSE)</f>
        <v>#N/A</v>
      </c>
      <c r="M342" s="5" t="e">
        <f>VLOOKUP($A342,tropes!$A$4:$O$2428,13,FALSE)</f>
        <v>#N/A</v>
      </c>
      <c r="N342" s="5"/>
    </row>
    <row r="343" spans="1:14" x14ac:dyDescent="0.3">
      <c r="A343" s="14"/>
      <c r="B343" s="5" t="e">
        <f>VLOOKUP($A343,tropes!$A$4:$O$2428,2,FALSE)</f>
        <v>#N/A</v>
      </c>
      <c r="C343" s="5" t="e">
        <f>VLOOKUP($A343,tropes!$A$4:$O$2428,3,FALSE)</f>
        <v>#N/A</v>
      </c>
      <c r="D343" s="5" t="e">
        <f>VLOOKUP($A343,tropes!$A$4:$O$2428,4,FALSE)</f>
        <v>#N/A</v>
      </c>
      <c r="E343" s="5" t="e">
        <f>VLOOKUP($A343,tropes!$A$4:$O$2428,5,FALSE)</f>
        <v>#N/A</v>
      </c>
      <c r="F343" s="5" t="e">
        <f>VLOOKUP($A343,tropes!$A$4:$O$2428,6,FALSE)</f>
        <v>#N/A</v>
      </c>
      <c r="G343" s="5" t="e">
        <f>VLOOKUP($A343,tropes!$A$4:$O$2428,7,FALSE)</f>
        <v>#N/A</v>
      </c>
      <c r="H343" s="5" t="e">
        <f>VLOOKUP($A343,tropes!$A$4:$O$2428,8,FALSE)</f>
        <v>#N/A</v>
      </c>
      <c r="I343" s="5" t="e">
        <f>VLOOKUP($A343,tropes!$A$4:$O$2428,9,FALSE)</f>
        <v>#N/A</v>
      </c>
      <c r="J343" s="5" t="e">
        <f>VLOOKUP($A343,tropes!$A$4:$O$2428,10,FALSE)</f>
        <v>#N/A</v>
      </c>
      <c r="K343" s="5" t="e">
        <f>VLOOKUP($A343,tropes!$A$4:$O$2428,11,FALSE)</f>
        <v>#N/A</v>
      </c>
      <c r="L343" s="5" t="e">
        <f>VLOOKUP($A343,tropes!$A$4:$O$2428,12,FALSE)</f>
        <v>#N/A</v>
      </c>
      <c r="M343" s="5" t="e">
        <f>VLOOKUP($A343,tropes!$A$4:$O$2428,13,FALSE)</f>
        <v>#N/A</v>
      </c>
      <c r="N343" s="5"/>
    </row>
    <row r="344" spans="1:14" x14ac:dyDescent="0.3">
      <c r="A344" s="14"/>
      <c r="B344" s="5" t="e">
        <f>VLOOKUP($A344,tropes!$A$4:$O$2428,2,FALSE)</f>
        <v>#N/A</v>
      </c>
      <c r="C344" s="5" t="e">
        <f>VLOOKUP($A344,tropes!$A$4:$O$2428,3,FALSE)</f>
        <v>#N/A</v>
      </c>
      <c r="D344" s="5" t="e">
        <f>VLOOKUP($A344,tropes!$A$4:$O$2428,4,FALSE)</f>
        <v>#N/A</v>
      </c>
      <c r="E344" s="5" t="e">
        <f>VLOOKUP($A344,tropes!$A$4:$O$2428,5,FALSE)</f>
        <v>#N/A</v>
      </c>
      <c r="F344" s="5" t="e">
        <f>VLOOKUP($A344,tropes!$A$4:$O$2428,6,FALSE)</f>
        <v>#N/A</v>
      </c>
      <c r="G344" s="5" t="e">
        <f>VLOOKUP($A344,tropes!$A$4:$O$2428,7,FALSE)</f>
        <v>#N/A</v>
      </c>
      <c r="H344" s="5" t="e">
        <f>VLOOKUP($A344,tropes!$A$4:$O$2428,8,FALSE)</f>
        <v>#N/A</v>
      </c>
      <c r="I344" s="5" t="e">
        <f>VLOOKUP($A344,tropes!$A$4:$O$2428,9,FALSE)</f>
        <v>#N/A</v>
      </c>
      <c r="J344" s="5" t="e">
        <f>VLOOKUP($A344,tropes!$A$4:$O$2428,10,FALSE)</f>
        <v>#N/A</v>
      </c>
      <c r="K344" s="5" t="e">
        <f>VLOOKUP($A344,tropes!$A$4:$O$2428,11,FALSE)</f>
        <v>#N/A</v>
      </c>
      <c r="L344" s="5" t="e">
        <f>VLOOKUP($A344,tropes!$A$4:$O$2428,12,FALSE)</f>
        <v>#N/A</v>
      </c>
      <c r="M344" s="5" t="e">
        <f>VLOOKUP($A344,tropes!$A$4:$O$2428,13,FALSE)</f>
        <v>#N/A</v>
      </c>
      <c r="N344" s="5"/>
    </row>
    <row r="345" spans="1:14" x14ac:dyDescent="0.3">
      <c r="A345" s="14"/>
      <c r="B345" s="5" t="e">
        <f>VLOOKUP($A345,tropes!$A$4:$O$2428,2,FALSE)</f>
        <v>#N/A</v>
      </c>
      <c r="C345" s="5" t="e">
        <f>VLOOKUP($A345,tropes!$A$4:$O$2428,3,FALSE)</f>
        <v>#N/A</v>
      </c>
      <c r="D345" s="5" t="e">
        <f>VLOOKUP($A345,tropes!$A$4:$O$2428,4,FALSE)</f>
        <v>#N/A</v>
      </c>
      <c r="E345" s="5" t="e">
        <f>VLOOKUP($A345,tropes!$A$4:$O$2428,5,FALSE)</f>
        <v>#N/A</v>
      </c>
      <c r="F345" s="5" t="e">
        <f>VLOOKUP($A345,tropes!$A$4:$O$2428,6,FALSE)</f>
        <v>#N/A</v>
      </c>
      <c r="G345" s="5" t="e">
        <f>VLOOKUP($A345,tropes!$A$4:$O$2428,7,FALSE)</f>
        <v>#N/A</v>
      </c>
      <c r="H345" s="5" t="e">
        <f>VLOOKUP($A345,tropes!$A$4:$O$2428,8,FALSE)</f>
        <v>#N/A</v>
      </c>
      <c r="I345" s="5" t="e">
        <f>VLOOKUP($A345,tropes!$A$4:$O$2428,9,FALSE)</f>
        <v>#N/A</v>
      </c>
      <c r="J345" s="5" t="e">
        <f>VLOOKUP($A345,tropes!$A$4:$O$2428,10,FALSE)</f>
        <v>#N/A</v>
      </c>
      <c r="K345" s="5" t="e">
        <f>VLOOKUP($A345,tropes!$A$4:$O$2428,11,FALSE)</f>
        <v>#N/A</v>
      </c>
      <c r="L345" s="5" t="e">
        <f>VLOOKUP($A345,tropes!$A$4:$O$2428,12,FALSE)</f>
        <v>#N/A</v>
      </c>
      <c r="M345" s="5" t="e">
        <f>VLOOKUP($A345,tropes!$A$4:$O$2428,13,FALSE)</f>
        <v>#N/A</v>
      </c>
      <c r="N345" s="5"/>
    </row>
    <row r="346" spans="1:14" x14ac:dyDescent="0.3">
      <c r="A346" s="14"/>
      <c r="B346" s="5" t="e">
        <f>VLOOKUP($A346,tropes!$A$4:$O$2428,2,FALSE)</f>
        <v>#N/A</v>
      </c>
      <c r="C346" s="5" t="e">
        <f>VLOOKUP($A346,tropes!$A$4:$O$2428,3,FALSE)</f>
        <v>#N/A</v>
      </c>
      <c r="D346" s="5" t="e">
        <f>VLOOKUP($A346,tropes!$A$4:$O$2428,4,FALSE)</f>
        <v>#N/A</v>
      </c>
      <c r="E346" s="5" t="e">
        <f>VLOOKUP($A346,tropes!$A$4:$O$2428,5,FALSE)</f>
        <v>#N/A</v>
      </c>
      <c r="F346" s="5" t="e">
        <f>VLOOKUP($A346,tropes!$A$4:$O$2428,6,FALSE)</f>
        <v>#N/A</v>
      </c>
      <c r="G346" s="5" t="e">
        <f>VLOOKUP($A346,tropes!$A$4:$O$2428,7,FALSE)</f>
        <v>#N/A</v>
      </c>
      <c r="H346" s="5" t="e">
        <f>VLOOKUP($A346,tropes!$A$4:$O$2428,8,FALSE)</f>
        <v>#N/A</v>
      </c>
      <c r="I346" s="5" t="e">
        <f>VLOOKUP($A346,tropes!$A$4:$O$2428,9,FALSE)</f>
        <v>#N/A</v>
      </c>
      <c r="J346" s="5" t="e">
        <f>VLOOKUP($A346,tropes!$A$4:$O$2428,10,FALSE)</f>
        <v>#N/A</v>
      </c>
      <c r="K346" s="5" t="e">
        <f>VLOOKUP($A346,tropes!$A$4:$O$2428,11,FALSE)</f>
        <v>#N/A</v>
      </c>
      <c r="L346" s="5" t="e">
        <f>VLOOKUP($A346,tropes!$A$4:$O$2428,12,FALSE)</f>
        <v>#N/A</v>
      </c>
      <c r="M346" s="5" t="e">
        <f>VLOOKUP($A346,tropes!$A$4:$O$2428,13,FALSE)</f>
        <v>#N/A</v>
      </c>
      <c r="N346" s="5"/>
    </row>
    <row r="347" spans="1:14" x14ac:dyDescent="0.3">
      <c r="A347" s="14"/>
      <c r="B347" s="5" t="e">
        <f>VLOOKUP($A347,tropes!$A$4:$O$2428,2,FALSE)</f>
        <v>#N/A</v>
      </c>
      <c r="C347" s="5" t="e">
        <f>VLOOKUP($A347,tropes!$A$4:$O$2428,3,FALSE)</f>
        <v>#N/A</v>
      </c>
      <c r="D347" s="5" t="e">
        <f>VLOOKUP($A347,tropes!$A$4:$O$2428,4,FALSE)</f>
        <v>#N/A</v>
      </c>
      <c r="E347" s="5" t="e">
        <f>VLOOKUP($A347,tropes!$A$4:$O$2428,5,FALSE)</f>
        <v>#N/A</v>
      </c>
      <c r="F347" s="5" t="e">
        <f>VLOOKUP($A347,tropes!$A$4:$O$2428,6,FALSE)</f>
        <v>#N/A</v>
      </c>
      <c r="G347" s="5" t="e">
        <f>VLOOKUP($A347,tropes!$A$4:$O$2428,7,FALSE)</f>
        <v>#N/A</v>
      </c>
      <c r="H347" s="5" t="e">
        <f>VLOOKUP($A347,tropes!$A$4:$O$2428,8,FALSE)</f>
        <v>#N/A</v>
      </c>
      <c r="I347" s="5" t="e">
        <f>VLOOKUP($A347,tropes!$A$4:$O$2428,9,FALSE)</f>
        <v>#N/A</v>
      </c>
      <c r="J347" s="5" t="e">
        <f>VLOOKUP($A347,tropes!$A$4:$O$2428,10,FALSE)</f>
        <v>#N/A</v>
      </c>
      <c r="K347" s="5" t="e">
        <f>VLOOKUP($A347,tropes!$A$4:$O$2428,11,FALSE)</f>
        <v>#N/A</v>
      </c>
      <c r="L347" s="5" t="e">
        <f>VLOOKUP($A347,tropes!$A$4:$O$2428,12,FALSE)</f>
        <v>#N/A</v>
      </c>
      <c r="M347" s="5" t="e">
        <f>VLOOKUP($A347,tropes!$A$4:$O$2428,13,FALSE)</f>
        <v>#N/A</v>
      </c>
      <c r="N347" s="5"/>
    </row>
    <row r="348" spans="1:14" x14ac:dyDescent="0.3">
      <c r="A348" s="14"/>
      <c r="B348" s="5" t="e">
        <f>VLOOKUP($A348,tropes!$A$4:$O$2428,2,FALSE)</f>
        <v>#N/A</v>
      </c>
      <c r="C348" s="5" t="e">
        <f>VLOOKUP($A348,tropes!$A$4:$O$2428,3,FALSE)</f>
        <v>#N/A</v>
      </c>
      <c r="D348" s="5" t="e">
        <f>VLOOKUP($A348,tropes!$A$4:$O$2428,4,FALSE)</f>
        <v>#N/A</v>
      </c>
      <c r="E348" s="5" t="e">
        <f>VLOOKUP($A348,tropes!$A$4:$O$2428,5,FALSE)</f>
        <v>#N/A</v>
      </c>
      <c r="F348" s="5" t="e">
        <f>VLOOKUP($A348,tropes!$A$4:$O$2428,6,FALSE)</f>
        <v>#N/A</v>
      </c>
      <c r="G348" s="5" t="e">
        <f>VLOOKUP($A348,tropes!$A$4:$O$2428,7,FALSE)</f>
        <v>#N/A</v>
      </c>
      <c r="H348" s="5" t="e">
        <f>VLOOKUP($A348,tropes!$A$4:$O$2428,8,FALSE)</f>
        <v>#N/A</v>
      </c>
      <c r="I348" s="5" t="e">
        <f>VLOOKUP($A348,tropes!$A$4:$O$2428,9,FALSE)</f>
        <v>#N/A</v>
      </c>
      <c r="J348" s="5" t="e">
        <f>VLOOKUP($A348,tropes!$A$4:$O$2428,10,FALSE)</f>
        <v>#N/A</v>
      </c>
      <c r="K348" s="5" t="e">
        <f>VLOOKUP($A348,tropes!$A$4:$O$2428,11,FALSE)</f>
        <v>#N/A</v>
      </c>
      <c r="L348" s="5" t="e">
        <f>VLOOKUP($A348,tropes!$A$4:$O$2428,12,FALSE)</f>
        <v>#N/A</v>
      </c>
      <c r="M348" s="5" t="e">
        <f>VLOOKUP($A348,tropes!$A$4:$O$2428,13,FALSE)</f>
        <v>#N/A</v>
      </c>
      <c r="N348" s="5"/>
    </row>
    <row r="349" spans="1:14" x14ac:dyDescent="0.3">
      <c r="A349" s="14"/>
      <c r="B349" s="5" t="e">
        <f>VLOOKUP($A349,tropes!$A$4:$O$2428,2,FALSE)</f>
        <v>#N/A</v>
      </c>
      <c r="C349" s="5" t="e">
        <f>VLOOKUP($A349,tropes!$A$4:$O$2428,3,FALSE)</f>
        <v>#N/A</v>
      </c>
      <c r="D349" s="5" t="e">
        <f>VLOOKUP($A349,tropes!$A$4:$O$2428,4,FALSE)</f>
        <v>#N/A</v>
      </c>
      <c r="E349" s="5" t="e">
        <f>VLOOKUP($A349,tropes!$A$4:$O$2428,5,FALSE)</f>
        <v>#N/A</v>
      </c>
      <c r="F349" s="5" t="e">
        <f>VLOOKUP($A349,tropes!$A$4:$O$2428,6,FALSE)</f>
        <v>#N/A</v>
      </c>
      <c r="G349" s="5" t="e">
        <f>VLOOKUP($A349,tropes!$A$4:$O$2428,7,FALSE)</f>
        <v>#N/A</v>
      </c>
      <c r="H349" s="5" t="e">
        <f>VLOOKUP($A349,tropes!$A$4:$O$2428,8,FALSE)</f>
        <v>#N/A</v>
      </c>
      <c r="I349" s="5" t="e">
        <f>VLOOKUP($A349,tropes!$A$4:$O$2428,9,FALSE)</f>
        <v>#N/A</v>
      </c>
      <c r="J349" s="5" t="e">
        <f>VLOOKUP($A349,tropes!$A$4:$O$2428,10,FALSE)</f>
        <v>#N/A</v>
      </c>
      <c r="K349" s="5" t="e">
        <f>VLOOKUP($A349,tropes!$A$4:$O$2428,11,FALSE)</f>
        <v>#N/A</v>
      </c>
      <c r="L349" s="5" t="e">
        <f>VLOOKUP($A349,tropes!$A$4:$O$2428,12,FALSE)</f>
        <v>#N/A</v>
      </c>
      <c r="M349" s="5" t="e">
        <f>VLOOKUP($A349,tropes!$A$4:$O$2428,13,FALSE)</f>
        <v>#N/A</v>
      </c>
      <c r="N349" s="5"/>
    </row>
    <row r="350" spans="1:14" x14ac:dyDescent="0.3">
      <c r="A350" s="14"/>
      <c r="B350" s="5" t="e">
        <f>VLOOKUP($A350,tropes!$A$4:$O$2428,2,FALSE)</f>
        <v>#N/A</v>
      </c>
      <c r="C350" s="5" t="e">
        <f>VLOOKUP($A350,tropes!$A$4:$O$2428,3,FALSE)</f>
        <v>#N/A</v>
      </c>
      <c r="D350" s="5" t="e">
        <f>VLOOKUP($A350,tropes!$A$4:$O$2428,4,FALSE)</f>
        <v>#N/A</v>
      </c>
      <c r="E350" s="5" t="e">
        <f>VLOOKUP($A350,tropes!$A$4:$O$2428,5,FALSE)</f>
        <v>#N/A</v>
      </c>
      <c r="F350" s="5" t="e">
        <f>VLOOKUP($A350,tropes!$A$4:$O$2428,6,FALSE)</f>
        <v>#N/A</v>
      </c>
      <c r="G350" s="5" t="e">
        <f>VLOOKUP($A350,tropes!$A$4:$O$2428,7,FALSE)</f>
        <v>#N/A</v>
      </c>
      <c r="H350" s="5" t="e">
        <f>VLOOKUP($A350,tropes!$A$4:$O$2428,8,FALSE)</f>
        <v>#N/A</v>
      </c>
      <c r="I350" s="5" t="e">
        <f>VLOOKUP($A350,tropes!$A$4:$O$2428,9,FALSE)</f>
        <v>#N/A</v>
      </c>
      <c r="J350" s="5" t="e">
        <f>VLOOKUP($A350,tropes!$A$4:$O$2428,10,FALSE)</f>
        <v>#N/A</v>
      </c>
      <c r="K350" s="5" t="e">
        <f>VLOOKUP($A350,tropes!$A$4:$O$2428,11,FALSE)</f>
        <v>#N/A</v>
      </c>
      <c r="L350" s="5" t="e">
        <f>VLOOKUP($A350,tropes!$A$4:$O$2428,12,FALSE)</f>
        <v>#N/A</v>
      </c>
      <c r="M350" s="5" t="e">
        <f>VLOOKUP($A350,tropes!$A$4:$O$2428,13,FALSE)</f>
        <v>#N/A</v>
      </c>
      <c r="N350" s="5"/>
    </row>
    <row r="351" spans="1:14" x14ac:dyDescent="0.3">
      <c r="A351" s="14"/>
      <c r="B351" s="5" t="e">
        <f>VLOOKUP($A351,tropes!$A$4:$O$2428,2,FALSE)</f>
        <v>#N/A</v>
      </c>
      <c r="C351" s="5" t="e">
        <f>VLOOKUP($A351,tropes!$A$4:$O$2428,3,FALSE)</f>
        <v>#N/A</v>
      </c>
      <c r="D351" s="5" t="e">
        <f>VLOOKUP($A351,tropes!$A$4:$O$2428,4,FALSE)</f>
        <v>#N/A</v>
      </c>
      <c r="E351" s="5" t="e">
        <f>VLOOKUP($A351,tropes!$A$4:$O$2428,5,FALSE)</f>
        <v>#N/A</v>
      </c>
      <c r="F351" s="5" t="e">
        <f>VLOOKUP($A351,tropes!$A$4:$O$2428,6,FALSE)</f>
        <v>#N/A</v>
      </c>
      <c r="G351" s="5" t="e">
        <f>VLOOKUP($A351,tropes!$A$4:$O$2428,7,FALSE)</f>
        <v>#N/A</v>
      </c>
      <c r="H351" s="5" t="e">
        <f>VLOOKUP($A351,tropes!$A$4:$O$2428,8,FALSE)</f>
        <v>#N/A</v>
      </c>
      <c r="I351" s="5" t="e">
        <f>VLOOKUP($A351,tropes!$A$4:$O$2428,9,FALSE)</f>
        <v>#N/A</v>
      </c>
      <c r="J351" s="5" t="e">
        <f>VLOOKUP($A351,tropes!$A$4:$O$2428,10,FALSE)</f>
        <v>#N/A</v>
      </c>
      <c r="K351" s="5" t="e">
        <f>VLOOKUP($A351,tropes!$A$4:$O$2428,11,FALSE)</f>
        <v>#N/A</v>
      </c>
      <c r="L351" s="5" t="e">
        <f>VLOOKUP($A351,tropes!$A$4:$O$2428,12,FALSE)</f>
        <v>#N/A</v>
      </c>
      <c r="M351" s="5" t="e">
        <f>VLOOKUP($A351,tropes!$A$4:$O$2428,13,FALSE)</f>
        <v>#N/A</v>
      </c>
      <c r="N351" s="5"/>
    </row>
    <row r="352" spans="1:14" x14ac:dyDescent="0.3">
      <c r="A352" s="14"/>
      <c r="B352" s="5" t="e">
        <f>VLOOKUP($A352,tropes!$A$4:$O$2428,2,FALSE)</f>
        <v>#N/A</v>
      </c>
      <c r="C352" s="5" t="e">
        <f>VLOOKUP($A352,tropes!$A$4:$O$2428,3,FALSE)</f>
        <v>#N/A</v>
      </c>
      <c r="D352" s="5" t="e">
        <f>VLOOKUP($A352,tropes!$A$4:$O$2428,4,FALSE)</f>
        <v>#N/A</v>
      </c>
      <c r="E352" s="5" t="e">
        <f>VLOOKUP($A352,tropes!$A$4:$O$2428,5,FALSE)</f>
        <v>#N/A</v>
      </c>
      <c r="F352" s="5" t="e">
        <f>VLOOKUP($A352,tropes!$A$4:$O$2428,6,FALSE)</f>
        <v>#N/A</v>
      </c>
      <c r="G352" s="5" t="e">
        <f>VLOOKUP($A352,tropes!$A$4:$O$2428,7,FALSE)</f>
        <v>#N/A</v>
      </c>
      <c r="H352" s="5" t="e">
        <f>VLOOKUP($A352,tropes!$A$4:$O$2428,8,FALSE)</f>
        <v>#N/A</v>
      </c>
      <c r="I352" s="5" t="e">
        <f>VLOOKUP($A352,tropes!$A$4:$O$2428,9,FALSE)</f>
        <v>#N/A</v>
      </c>
      <c r="J352" s="5" t="e">
        <f>VLOOKUP($A352,tropes!$A$4:$O$2428,10,FALSE)</f>
        <v>#N/A</v>
      </c>
      <c r="K352" s="5" t="e">
        <f>VLOOKUP($A352,tropes!$A$4:$O$2428,11,FALSE)</f>
        <v>#N/A</v>
      </c>
      <c r="L352" s="5" t="e">
        <f>VLOOKUP($A352,tropes!$A$4:$O$2428,12,FALSE)</f>
        <v>#N/A</v>
      </c>
      <c r="M352" s="5" t="e">
        <f>VLOOKUP($A352,tropes!$A$4:$O$2428,13,FALSE)</f>
        <v>#N/A</v>
      </c>
      <c r="N352" s="5"/>
    </row>
    <row r="353" spans="1:14" x14ac:dyDescent="0.3">
      <c r="A353" s="14"/>
      <c r="B353" s="5" t="e">
        <f>VLOOKUP($A353,tropes!$A$4:$O$2428,2,FALSE)</f>
        <v>#N/A</v>
      </c>
      <c r="C353" s="5" t="e">
        <f>VLOOKUP($A353,tropes!$A$4:$O$2428,3,FALSE)</f>
        <v>#N/A</v>
      </c>
      <c r="D353" s="5" t="e">
        <f>VLOOKUP($A353,tropes!$A$4:$O$2428,4,FALSE)</f>
        <v>#N/A</v>
      </c>
      <c r="E353" s="5" t="e">
        <f>VLOOKUP($A353,tropes!$A$4:$O$2428,5,FALSE)</f>
        <v>#N/A</v>
      </c>
      <c r="F353" s="5" t="e">
        <f>VLOOKUP($A353,tropes!$A$4:$O$2428,6,FALSE)</f>
        <v>#N/A</v>
      </c>
      <c r="G353" s="5" t="e">
        <f>VLOOKUP($A353,tropes!$A$4:$O$2428,7,FALSE)</f>
        <v>#N/A</v>
      </c>
      <c r="H353" s="5" t="e">
        <f>VLOOKUP($A353,tropes!$A$4:$O$2428,8,FALSE)</f>
        <v>#N/A</v>
      </c>
      <c r="I353" s="5" t="e">
        <f>VLOOKUP($A353,tropes!$A$4:$O$2428,9,FALSE)</f>
        <v>#N/A</v>
      </c>
      <c r="J353" s="5" t="e">
        <f>VLOOKUP($A353,tropes!$A$4:$O$2428,10,FALSE)</f>
        <v>#N/A</v>
      </c>
      <c r="K353" s="5" t="e">
        <f>VLOOKUP($A353,tropes!$A$4:$O$2428,11,FALSE)</f>
        <v>#N/A</v>
      </c>
      <c r="L353" s="5" t="e">
        <f>VLOOKUP($A353,tropes!$A$4:$O$2428,12,FALSE)</f>
        <v>#N/A</v>
      </c>
      <c r="M353" s="5" t="e">
        <f>VLOOKUP($A353,tropes!$A$4:$O$2428,13,FALSE)</f>
        <v>#N/A</v>
      </c>
      <c r="N353" s="5"/>
    </row>
    <row r="354" spans="1:14" x14ac:dyDescent="0.3">
      <c r="A354" s="14"/>
      <c r="B354" s="5" t="e">
        <f>VLOOKUP($A354,tropes!$A$4:$O$2428,2,FALSE)</f>
        <v>#N/A</v>
      </c>
      <c r="C354" s="5" t="e">
        <f>VLOOKUP($A354,tropes!$A$4:$O$2428,3,FALSE)</f>
        <v>#N/A</v>
      </c>
      <c r="D354" s="5" t="e">
        <f>VLOOKUP($A354,tropes!$A$4:$O$2428,4,FALSE)</f>
        <v>#N/A</v>
      </c>
      <c r="E354" s="5" t="e">
        <f>VLOOKUP($A354,tropes!$A$4:$O$2428,5,FALSE)</f>
        <v>#N/A</v>
      </c>
      <c r="F354" s="5" t="e">
        <f>VLOOKUP($A354,tropes!$A$4:$O$2428,6,FALSE)</f>
        <v>#N/A</v>
      </c>
      <c r="G354" s="5" t="e">
        <f>VLOOKUP($A354,tropes!$A$4:$O$2428,7,FALSE)</f>
        <v>#N/A</v>
      </c>
      <c r="H354" s="5" t="e">
        <f>VLOOKUP($A354,tropes!$A$4:$O$2428,8,FALSE)</f>
        <v>#N/A</v>
      </c>
      <c r="I354" s="5" t="e">
        <f>VLOOKUP($A354,tropes!$A$4:$O$2428,9,FALSE)</f>
        <v>#N/A</v>
      </c>
      <c r="J354" s="5" t="e">
        <f>VLOOKUP($A354,tropes!$A$4:$O$2428,10,FALSE)</f>
        <v>#N/A</v>
      </c>
      <c r="K354" s="5" t="e">
        <f>VLOOKUP($A354,tropes!$A$4:$O$2428,11,FALSE)</f>
        <v>#N/A</v>
      </c>
      <c r="L354" s="5" t="e">
        <f>VLOOKUP($A354,tropes!$A$4:$O$2428,12,FALSE)</f>
        <v>#N/A</v>
      </c>
      <c r="M354" s="5" t="e">
        <f>VLOOKUP($A354,tropes!$A$4:$O$2428,13,FALSE)</f>
        <v>#N/A</v>
      </c>
      <c r="N354" s="5"/>
    </row>
    <row r="355" spans="1:14" x14ac:dyDescent="0.3">
      <c r="A355" s="14"/>
      <c r="B355" s="5" t="e">
        <f>VLOOKUP($A355,tropes!$A$4:$O$2428,2,FALSE)</f>
        <v>#N/A</v>
      </c>
      <c r="C355" s="5" t="e">
        <f>VLOOKUP($A355,tropes!$A$4:$O$2428,3,FALSE)</f>
        <v>#N/A</v>
      </c>
      <c r="D355" s="5" t="e">
        <f>VLOOKUP($A355,tropes!$A$4:$O$2428,4,FALSE)</f>
        <v>#N/A</v>
      </c>
      <c r="E355" s="5" t="e">
        <f>VLOOKUP($A355,tropes!$A$4:$O$2428,5,FALSE)</f>
        <v>#N/A</v>
      </c>
      <c r="F355" s="5" t="e">
        <f>VLOOKUP($A355,tropes!$A$4:$O$2428,6,FALSE)</f>
        <v>#N/A</v>
      </c>
      <c r="G355" s="5" t="e">
        <f>VLOOKUP($A355,tropes!$A$4:$O$2428,7,FALSE)</f>
        <v>#N/A</v>
      </c>
      <c r="H355" s="5" t="e">
        <f>VLOOKUP($A355,tropes!$A$4:$O$2428,8,FALSE)</f>
        <v>#N/A</v>
      </c>
      <c r="I355" s="5" t="e">
        <f>VLOOKUP($A355,tropes!$A$4:$O$2428,9,FALSE)</f>
        <v>#N/A</v>
      </c>
      <c r="J355" s="5" t="e">
        <f>VLOOKUP($A355,tropes!$A$4:$O$2428,10,FALSE)</f>
        <v>#N/A</v>
      </c>
      <c r="K355" s="5" t="e">
        <f>VLOOKUP($A355,tropes!$A$4:$O$2428,11,FALSE)</f>
        <v>#N/A</v>
      </c>
      <c r="L355" s="5" t="e">
        <f>VLOOKUP($A355,tropes!$A$4:$O$2428,12,FALSE)</f>
        <v>#N/A</v>
      </c>
      <c r="M355" s="5" t="e">
        <f>VLOOKUP($A355,tropes!$A$4:$O$2428,13,FALSE)</f>
        <v>#N/A</v>
      </c>
      <c r="N355" s="5"/>
    </row>
    <row r="356" spans="1:14" x14ac:dyDescent="0.3">
      <c r="A356" s="14"/>
      <c r="B356" s="5" t="e">
        <f>VLOOKUP($A356,tropes!$A$4:$O$2428,2,FALSE)</f>
        <v>#N/A</v>
      </c>
      <c r="C356" s="5" t="e">
        <f>VLOOKUP($A356,tropes!$A$4:$O$2428,3,FALSE)</f>
        <v>#N/A</v>
      </c>
      <c r="D356" s="5" t="e">
        <f>VLOOKUP($A356,tropes!$A$4:$O$2428,4,FALSE)</f>
        <v>#N/A</v>
      </c>
      <c r="E356" s="5" t="e">
        <f>VLOOKUP($A356,tropes!$A$4:$O$2428,5,FALSE)</f>
        <v>#N/A</v>
      </c>
      <c r="F356" s="5" t="e">
        <f>VLOOKUP($A356,tropes!$A$4:$O$2428,6,FALSE)</f>
        <v>#N/A</v>
      </c>
      <c r="G356" s="5" t="e">
        <f>VLOOKUP($A356,tropes!$A$4:$O$2428,7,FALSE)</f>
        <v>#N/A</v>
      </c>
      <c r="H356" s="5" t="e">
        <f>VLOOKUP($A356,tropes!$A$4:$O$2428,8,FALSE)</f>
        <v>#N/A</v>
      </c>
      <c r="I356" s="5" t="e">
        <f>VLOOKUP($A356,tropes!$A$4:$O$2428,9,FALSE)</f>
        <v>#N/A</v>
      </c>
      <c r="J356" s="5" t="e">
        <f>VLOOKUP($A356,tropes!$A$4:$O$2428,10,FALSE)</f>
        <v>#N/A</v>
      </c>
      <c r="K356" s="5" t="e">
        <f>VLOOKUP($A356,tropes!$A$4:$O$2428,11,FALSE)</f>
        <v>#N/A</v>
      </c>
      <c r="L356" s="5" t="e">
        <f>VLOOKUP($A356,tropes!$A$4:$O$2428,12,FALSE)</f>
        <v>#N/A</v>
      </c>
      <c r="M356" s="5" t="e">
        <f>VLOOKUP($A356,tropes!$A$4:$O$2428,13,FALSE)</f>
        <v>#N/A</v>
      </c>
      <c r="N356" s="5"/>
    </row>
    <row r="357" spans="1:14" x14ac:dyDescent="0.3">
      <c r="A357" s="14"/>
      <c r="B357" s="5" t="e">
        <f>VLOOKUP($A357,tropes!$A$4:$O$2428,2,FALSE)</f>
        <v>#N/A</v>
      </c>
      <c r="C357" s="5" t="e">
        <f>VLOOKUP($A357,tropes!$A$4:$O$2428,3,FALSE)</f>
        <v>#N/A</v>
      </c>
      <c r="D357" s="5" t="e">
        <f>VLOOKUP($A357,tropes!$A$4:$O$2428,4,FALSE)</f>
        <v>#N/A</v>
      </c>
      <c r="E357" s="5" t="e">
        <f>VLOOKUP($A357,tropes!$A$4:$O$2428,5,FALSE)</f>
        <v>#N/A</v>
      </c>
      <c r="F357" s="5" t="e">
        <f>VLOOKUP($A357,tropes!$A$4:$O$2428,6,FALSE)</f>
        <v>#N/A</v>
      </c>
      <c r="G357" s="5" t="e">
        <f>VLOOKUP($A357,tropes!$A$4:$O$2428,7,FALSE)</f>
        <v>#N/A</v>
      </c>
      <c r="H357" s="5" t="e">
        <f>VLOOKUP($A357,tropes!$A$4:$O$2428,8,FALSE)</f>
        <v>#N/A</v>
      </c>
      <c r="I357" s="5" t="e">
        <f>VLOOKUP($A357,tropes!$A$4:$O$2428,9,FALSE)</f>
        <v>#N/A</v>
      </c>
      <c r="J357" s="5" t="e">
        <f>VLOOKUP($A357,tropes!$A$4:$O$2428,10,FALSE)</f>
        <v>#N/A</v>
      </c>
      <c r="K357" s="5" t="e">
        <f>VLOOKUP($A357,tropes!$A$4:$O$2428,11,FALSE)</f>
        <v>#N/A</v>
      </c>
      <c r="L357" s="5" t="e">
        <f>VLOOKUP($A357,tropes!$A$4:$O$2428,12,FALSE)</f>
        <v>#N/A</v>
      </c>
      <c r="M357" s="5" t="e">
        <f>VLOOKUP($A357,tropes!$A$4:$O$2428,13,FALSE)</f>
        <v>#N/A</v>
      </c>
      <c r="N357" s="5"/>
    </row>
    <row r="358" spans="1:14" x14ac:dyDescent="0.3">
      <c r="A358" s="14"/>
      <c r="B358" s="5" t="e">
        <f>VLOOKUP($A358,tropes!$A$4:$O$2428,2,FALSE)</f>
        <v>#N/A</v>
      </c>
      <c r="C358" s="5" t="e">
        <f>VLOOKUP($A358,tropes!$A$4:$O$2428,3,FALSE)</f>
        <v>#N/A</v>
      </c>
      <c r="D358" s="5" t="e">
        <f>VLOOKUP($A358,tropes!$A$4:$O$2428,4,FALSE)</f>
        <v>#N/A</v>
      </c>
      <c r="E358" s="5" t="e">
        <f>VLOOKUP($A358,tropes!$A$4:$O$2428,5,FALSE)</f>
        <v>#N/A</v>
      </c>
      <c r="F358" s="5" t="e">
        <f>VLOOKUP($A358,tropes!$A$4:$O$2428,6,FALSE)</f>
        <v>#N/A</v>
      </c>
      <c r="G358" s="5" t="e">
        <f>VLOOKUP($A358,tropes!$A$4:$O$2428,7,FALSE)</f>
        <v>#N/A</v>
      </c>
      <c r="H358" s="5" t="e">
        <f>VLOOKUP($A358,tropes!$A$4:$O$2428,8,FALSE)</f>
        <v>#N/A</v>
      </c>
      <c r="I358" s="5" t="e">
        <f>VLOOKUP($A358,tropes!$A$4:$O$2428,9,FALSE)</f>
        <v>#N/A</v>
      </c>
      <c r="J358" s="5" t="e">
        <f>VLOOKUP($A358,tropes!$A$4:$O$2428,10,FALSE)</f>
        <v>#N/A</v>
      </c>
      <c r="K358" s="5" t="e">
        <f>VLOOKUP($A358,tropes!$A$4:$O$2428,11,FALSE)</f>
        <v>#N/A</v>
      </c>
      <c r="L358" s="5" t="e">
        <f>VLOOKUP($A358,tropes!$A$4:$O$2428,12,FALSE)</f>
        <v>#N/A</v>
      </c>
      <c r="M358" s="5" t="e">
        <f>VLOOKUP($A358,tropes!$A$4:$O$2428,13,FALSE)</f>
        <v>#N/A</v>
      </c>
      <c r="N358" s="5"/>
    </row>
    <row r="359" spans="1:14" x14ac:dyDescent="0.3">
      <c r="A359" s="14"/>
      <c r="B359" s="5" t="e">
        <f>VLOOKUP($A359,tropes!$A$4:$O$2428,2,FALSE)</f>
        <v>#N/A</v>
      </c>
      <c r="C359" s="5" t="e">
        <f>VLOOKUP($A359,tropes!$A$4:$O$2428,3,FALSE)</f>
        <v>#N/A</v>
      </c>
      <c r="D359" s="5" t="e">
        <f>VLOOKUP($A359,tropes!$A$4:$O$2428,4,FALSE)</f>
        <v>#N/A</v>
      </c>
      <c r="E359" s="5" t="e">
        <f>VLOOKUP($A359,tropes!$A$4:$O$2428,5,FALSE)</f>
        <v>#N/A</v>
      </c>
      <c r="F359" s="5" t="e">
        <f>VLOOKUP($A359,tropes!$A$4:$O$2428,6,FALSE)</f>
        <v>#N/A</v>
      </c>
      <c r="G359" s="5" t="e">
        <f>VLOOKUP($A359,tropes!$A$4:$O$2428,7,FALSE)</f>
        <v>#N/A</v>
      </c>
      <c r="H359" s="5" t="e">
        <f>VLOOKUP($A359,tropes!$A$4:$O$2428,8,FALSE)</f>
        <v>#N/A</v>
      </c>
      <c r="I359" s="5" t="e">
        <f>VLOOKUP($A359,tropes!$A$4:$O$2428,9,FALSE)</f>
        <v>#N/A</v>
      </c>
      <c r="J359" s="5" t="e">
        <f>VLOOKUP($A359,tropes!$A$4:$O$2428,10,FALSE)</f>
        <v>#N/A</v>
      </c>
      <c r="K359" s="5" t="e">
        <f>VLOOKUP($A359,tropes!$A$4:$O$2428,11,FALSE)</f>
        <v>#N/A</v>
      </c>
      <c r="L359" s="5" t="e">
        <f>VLOOKUP($A359,tropes!$A$4:$O$2428,12,FALSE)</f>
        <v>#N/A</v>
      </c>
      <c r="M359" s="5" t="e">
        <f>VLOOKUP($A359,tropes!$A$4:$O$2428,13,FALSE)</f>
        <v>#N/A</v>
      </c>
      <c r="N359" s="5"/>
    </row>
    <row r="360" spans="1:14" x14ac:dyDescent="0.3">
      <c r="A360" s="14"/>
      <c r="B360" s="5" t="e">
        <f>VLOOKUP($A360,tropes!$A$4:$O$2428,2,FALSE)</f>
        <v>#N/A</v>
      </c>
      <c r="C360" s="5" t="e">
        <f>VLOOKUP($A360,tropes!$A$4:$O$2428,3,FALSE)</f>
        <v>#N/A</v>
      </c>
      <c r="D360" s="5" t="e">
        <f>VLOOKUP($A360,tropes!$A$4:$O$2428,4,FALSE)</f>
        <v>#N/A</v>
      </c>
      <c r="E360" s="5" t="e">
        <f>VLOOKUP($A360,tropes!$A$4:$O$2428,5,FALSE)</f>
        <v>#N/A</v>
      </c>
      <c r="F360" s="5" t="e">
        <f>VLOOKUP($A360,tropes!$A$4:$O$2428,6,FALSE)</f>
        <v>#N/A</v>
      </c>
      <c r="G360" s="5" t="e">
        <f>VLOOKUP($A360,tropes!$A$4:$O$2428,7,FALSE)</f>
        <v>#N/A</v>
      </c>
      <c r="H360" s="5" t="e">
        <f>VLOOKUP($A360,tropes!$A$4:$O$2428,8,FALSE)</f>
        <v>#N/A</v>
      </c>
      <c r="I360" s="5" t="e">
        <f>VLOOKUP($A360,tropes!$A$4:$O$2428,9,FALSE)</f>
        <v>#N/A</v>
      </c>
      <c r="J360" s="5" t="e">
        <f>VLOOKUP($A360,tropes!$A$4:$O$2428,10,FALSE)</f>
        <v>#N/A</v>
      </c>
      <c r="K360" s="5" t="e">
        <f>VLOOKUP($A360,tropes!$A$4:$O$2428,11,FALSE)</f>
        <v>#N/A</v>
      </c>
      <c r="L360" s="5" t="e">
        <f>VLOOKUP($A360,tropes!$A$4:$O$2428,12,FALSE)</f>
        <v>#N/A</v>
      </c>
      <c r="M360" s="5" t="e">
        <f>VLOOKUP($A360,tropes!$A$4:$O$2428,13,FALSE)</f>
        <v>#N/A</v>
      </c>
      <c r="N360" s="5"/>
    </row>
    <row r="361" spans="1:14" x14ac:dyDescent="0.3">
      <c r="A361" s="14"/>
      <c r="B361" s="5" t="e">
        <f>VLOOKUP($A361,tropes!$A$4:$O$2428,2,FALSE)</f>
        <v>#N/A</v>
      </c>
      <c r="C361" s="5" t="e">
        <f>VLOOKUP($A361,tropes!$A$4:$O$2428,3,FALSE)</f>
        <v>#N/A</v>
      </c>
      <c r="D361" s="5" t="e">
        <f>VLOOKUP($A361,tropes!$A$4:$O$2428,4,FALSE)</f>
        <v>#N/A</v>
      </c>
      <c r="E361" s="5" t="e">
        <f>VLOOKUP($A361,tropes!$A$4:$O$2428,5,FALSE)</f>
        <v>#N/A</v>
      </c>
      <c r="F361" s="5" t="e">
        <f>VLOOKUP($A361,tropes!$A$4:$O$2428,6,FALSE)</f>
        <v>#N/A</v>
      </c>
      <c r="G361" s="5" t="e">
        <f>VLOOKUP($A361,tropes!$A$4:$O$2428,7,FALSE)</f>
        <v>#N/A</v>
      </c>
      <c r="H361" s="5" t="e">
        <f>VLOOKUP($A361,tropes!$A$4:$O$2428,8,FALSE)</f>
        <v>#N/A</v>
      </c>
      <c r="I361" s="5" t="e">
        <f>VLOOKUP($A361,tropes!$A$4:$O$2428,9,FALSE)</f>
        <v>#N/A</v>
      </c>
      <c r="J361" s="5" t="e">
        <f>VLOOKUP($A361,tropes!$A$4:$O$2428,10,FALSE)</f>
        <v>#N/A</v>
      </c>
      <c r="K361" s="5" t="e">
        <f>VLOOKUP($A361,tropes!$A$4:$O$2428,11,FALSE)</f>
        <v>#N/A</v>
      </c>
      <c r="L361" s="5" t="e">
        <f>VLOOKUP($A361,tropes!$A$4:$O$2428,12,FALSE)</f>
        <v>#N/A</v>
      </c>
      <c r="M361" s="5" t="e">
        <f>VLOOKUP($A361,tropes!$A$4:$O$2428,13,FALSE)</f>
        <v>#N/A</v>
      </c>
      <c r="N361" s="5"/>
    </row>
    <row r="362" spans="1:14" x14ac:dyDescent="0.3">
      <c r="A362" s="14"/>
      <c r="B362" s="5" t="e">
        <f>VLOOKUP($A362,tropes!$A$4:$O$2428,2,FALSE)</f>
        <v>#N/A</v>
      </c>
      <c r="C362" s="5" t="e">
        <f>VLOOKUP($A362,tropes!$A$4:$O$2428,3,FALSE)</f>
        <v>#N/A</v>
      </c>
      <c r="D362" s="5" t="e">
        <f>VLOOKUP($A362,tropes!$A$4:$O$2428,4,FALSE)</f>
        <v>#N/A</v>
      </c>
      <c r="E362" s="5" t="e">
        <f>VLOOKUP($A362,tropes!$A$4:$O$2428,5,FALSE)</f>
        <v>#N/A</v>
      </c>
      <c r="F362" s="5" t="e">
        <f>VLOOKUP($A362,tropes!$A$4:$O$2428,6,FALSE)</f>
        <v>#N/A</v>
      </c>
      <c r="G362" s="5" t="e">
        <f>VLOOKUP($A362,tropes!$A$4:$O$2428,7,FALSE)</f>
        <v>#N/A</v>
      </c>
      <c r="H362" s="5" t="e">
        <f>VLOOKUP($A362,tropes!$A$4:$O$2428,8,FALSE)</f>
        <v>#N/A</v>
      </c>
      <c r="I362" s="5" t="e">
        <f>VLOOKUP($A362,tropes!$A$4:$O$2428,9,FALSE)</f>
        <v>#N/A</v>
      </c>
      <c r="J362" s="5" t="e">
        <f>VLOOKUP($A362,tropes!$A$4:$O$2428,10,FALSE)</f>
        <v>#N/A</v>
      </c>
      <c r="K362" s="5" t="e">
        <f>VLOOKUP($A362,tropes!$A$4:$O$2428,11,FALSE)</f>
        <v>#N/A</v>
      </c>
      <c r="L362" s="5" t="e">
        <f>VLOOKUP($A362,tropes!$A$4:$O$2428,12,FALSE)</f>
        <v>#N/A</v>
      </c>
      <c r="M362" s="5" t="e">
        <f>VLOOKUP($A362,tropes!$A$4:$O$2428,13,FALSE)</f>
        <v>#N/A</v>
      </c>
      <c r="N362" s="5"/>
    </row>
    <row r="363" spans="1:14" x14ac:dyDescent="0.3">
      <c r="A363" s="14"/>
      <c r="B363" s="5" t="e">
        <f>VLOOKUP($A363,tropes!$A$4:$O$2428,2,FALSE)</f>
        <v>#N/A</v>
      </c>
      <c r="C363" s="5" t="e">
        <f>VLOOKUP($A363,tropes!$A$4:$O$2428,3,FALSE)</f>
        <v>#N/A</v>
      </c>
      <c r="D363" s="5" t="e">
        <f>VLOOKUP($A363,tropes!$A$4:$O$2428,4,FALSE)</f>
        <v>#N/A</v>
      </c>
      <c r="E363" s="5" t="e">
        <f>VLOOKUP($A363,tropes!$A$4:$O$2428,5,FALSE)</f>
        <v>#N/A</v>
      </c>
      <c r="F363" s="5" t="e">
        <f>VLOOKUP($A363,tropes!$A$4:$O$2428,6,FALSE)</f>
        <v>#N/A</v>
      </c>
      <c r="G363" s="5" t="e">
        <f>VLOOKUP($A363,tropes!$A$4:$O$2428,7,FALSE)</f>
        <v>#N/A</v>
      </c>
      <c r="H363" s="5" t="e">
        <f>VLOOKUP($A363,tropes!$A$4:$O$2428,8,FALSE)</f>
        <v>#N/A</v>
      </c>
      <c r="I363" s="5" t="e">
        <f>VLOOKUP($A363,tropes!$A$4:$O$2428,9,FALSE)</f>
        <v>#N/A</v>
      </c>
      <c r="J363" s="5" t="e">
        <f>VLOOKUP($A363,tropes!$A$4:$O$2428,10,FALSE)</f>
        <v>#N/A</v>
      </c>
      <c r="K363" s="5" t="e">
        <f>VLOOKUP($A363,tropes!$A$4:$O$2428,11,FALSE)</f>
        <v>#N/A</v>
      </c>
      <c r="L363" s="5" t="e">
        <f>VLOOKUP($A363,tropes!$A$4:$O$2428,12,FALSE)</f>
        <v>#N/A</v>
      </c>
      <c r="M363" s="5" t="e">
        <f>VLOOKUP($A363,tropes!$A$4:$O$2428,13,FALSE)</f>
        <v>#N/A</v>
      </c>
      <c r="N363" s="5"/>
    </row>
    <row r="364" spans="1:14" x14ac:dyDescent="0.3">
      <c r="A364" s="14"/>
      <c r="B364" s="5" t="e">
        <f>VLOOKUP($A364,tropes!$A$4:$O$2428,2,FALSE)</f>
        <v>#N/A</v>
      </c>
      <c r="C364" s="5" t="e">
        <f>VLOOKUP($A364,tropes!$A$4:$O$2428,3,FALSE)</f>
        <v>#N/A</v>
      </c>
      <c r="D364" s="5" t="e">
        <f>VLOOKUP($A364,tropes!$A$4:$O$2428,4,FALSE)</f>
        <v>#N/A</v>
      </c>
      <c r="E364" s="5" t="e">
        <f>VLOOKUP($A364,tropes!$A$4:$O$2428,5,FALSE)</f>
        <v>#N/A</v>
      </c>
      <c r="F364" s="5" t="e">
        <f>VLOOKUP($A364,tropes!$A$4:$O$2428,6,FALSE)</f>
        <v>#N/A</v>
      </c>
      <c r="G364" s="5" t="e">
        <f>VLOOKUP($A364,tropes!$A$4:$O$2428,7,FALSE)</f>
        <v>#N/A</v>
      </c>
      <c r="H364" s="5" t="e">
        <f>VLOOKUP($A364,tropes!$A$4:$O$2428,8,FALSE)</f>
        <v>#N/A</v>
      </c>
      <c r="I364" s="5" t="e">
        <f>VLOOKUP($A364,tropes!$A$4:$O$2428,9,FALSE)</f>
        <v>#N/A</v>
      </c>
      <c r="J364" s="5" t="e">
        <f>VLOOKUP($A364,tropes!$A$4:$O$2428,10,FALSE)</f>
        <v>#N/A</v>
      </c>
      <c r="K364" s="5" t="e">
        <f>VLOOKUP($A364,tropes!$A$4:$O$2428,11,FALSE)</f>
        <v>#N/A</v>
      </c>
      <c r="L364" s="5" t="e">
        <f>VLOOKUP($A364,tropes!$A$4:$O$2428,12,FALSE)</f>
        <v>#N/A</v>
      </c>
      <c r="M364" s="5" t="e">
        <f>VLOOKUP($A364,tropes!$A$4:$O$2428,13,FALSE)</f>
        <v>#N/A</v>
      </c>
      <c r="N364" s="5"/>
    </row>
    <row r="365" spans="1:14" x14ac:dyDescent="0.3">
      <c r="A365" s="14"/>
      <c r="B365" s="5" t="e">
        <f>VLOOKUP($A365,tropes!$A$4:$O$2428,2,FALSE)</f>
        <v>#N/A</v>
      </c>
      <c r="C365" s="5" t="e">
        <f>VLOOKUP($A365,tropes!$A$4:$O$2428,3,FALSE)</f>
        <v>#N/A</v>
      </c>
      <c r="D365" s="5" t="e">
        <f>VLOOKUP($A365,tropes!$A$4:$O$2428,4,FALSE)</f>
        <v>#N/A</v>
      </c>
      <c r="E365" s="5" t="e">
        <f>VLOOKUP($A365,tropes!$A$4:$O$2428,5,FALSE)</f>
        <v>#N/A</v>
      </c>
      <c r="F365" s="5" t="e">
        <f>VLOOKUP($A365,tropes!$A$4:$O$2428,6,FALSE)</f>
        <v>#N/A</v>
      </c>
      <c r="G365" s="5" t="e">
        <f>VLOOKUP($A365,tropes!$A$4:$O$2428,7,FALSE)</f>
        <v>#N/A</v>
      </c>
      <c r="H365" s="5" t="e">
        <f>VLOOKUP($A365,tropes!$A$4:$O$2428,8,FALSE)</f>
        <v>#N/A</v>
      </c>
      <c r="I365" s="5" t="e">
        <f>VLOOKUP($A365,tropes!$A$4:$O$2428,9,FALSE)</f>
        <v>#N/A</v>
      </c>
      <c r="J365" s="5" t="e">
        <f>VLOOKUP($A365,tropes!$A$4:$O$2428,10,FALSE)</f>
        <v>#N/A</v>
      </c>
      <c r="K365" s="5" t="e">
        <f>VLOOKUP($A365,tropes!$A$4:$O$2428,11,FALSE)</f>
        <v>#N/A</v>
      </c>
      <c r="L365" s="5" t="e">
        <f>VLOOKUP($A365,tropes!$A$4:$O$2428,12,FALSE)</f>
        <v>#N/A</v>
      </c>
      <c r="M365" s="5" t="e">
        <f>VLOOKUP($A365,tropes!$A$4:$O$2428,13,FALSE)</f>
        <v>#N/A</v>
      </c>
      <c r="N365" s="5"/>
    </row>
    <row r="366" spans="1:14" x14ac:dyDescent="0.3">
      <c r="A366" s="14"/>
      <c r="B366" s="5" t="e">
        <f>VLOOKUP($A366,tropes!$A$4:$O$2428,2,FALSE)</f>
        <v>#N/A</v>
      </c>
      <c r="C366" s="5" t="e">
        <f>VLOOKUP($A366,tropes!$A$4:$O$2428,3,FALSE)</f>
        <v>#N/A</v>
      </c>
      <c r="D366" s="5" t="e">
        <f>VLOOKUP($A366,tropes!$A$4:$O$2428,4,FALSE)</f>
        <v>#N/A</v>
      </c>
      <c r="E366" s="5" t="e">
        <f>VLOOKUP($A366,tropes!$A$4:$O$2428,5,FALSE)</f>
        <v>#N/A</v>
      </c>
      <c r="F366" s="5" t="e">
        <f>VLOOKUP($A366,tropes!$A$4:$O$2428,6,FALSE)</f>
        <v>#N/A</v>
      </c>
      <c r="G366" s="5" t="e">
        <f>VLOOKUP($A366,tropes!$A$4:$O$2428,7,FALSE)</f>
        <v>#N/A</v>
      </c>
      <c r="H366" s="5" t="e">
        <f>VLOOKUP($A366,tropes!$A$4:$O$2428,8,FALSE)</f>
        <v>#N/A</v>
      </c>
      <c r="I366" s="5" t="e">
        <f>VLOOKUP($A366,tropes!$A$4:$O$2428,9,FALSE)</f>
        <v>#N/A</v>
      </c>
      <c r="J366" s="5" t="e">
        <f>VLOOKUP($A366,tropes!$A$4:$O$2428,10,FALSE)</f>
        <v>#N/A</v>
      </c>
      <c r="K366" s="5" t="e">
        <f>VLOOKUP($A366,tropes!$A$4:$O$2428,11,FALSE)</f>
        <v>#N/A</v>
      </c>
      <c r="L366" s="5" t="e">
        <f>VLOOKUP($A366,tropes!$A$4:$O$2428,12,FALSE)</f>
        <v>#N/A</v>
      </c>
      <c r="M366" s="5" t="e">
        <f>VLOOKUP($A366,tropes!$A$4:$O$2428,13,FALSE)</f>
        <v>#N/A</v>
      </c>
      <c r="N366" s="5"/>
    </row>
    <row r="367" spans="1:14" x14ac:dyDescent="0.3">
      <c r="A367" s="14"/>
      <c r="B367" s="5" t="e">
        <f>VLOOKUP($A367,tropes!$A$4:$O$2428,2,FALSE)</f>
        <v>#N/A</v>
      </c>
      <c r="C367" s="5" t="e">
        <f>VLOOKUP($A367,tropes!$A$4:$O$2428,3,FALSE)</f>
        <v>#N/A</v>
      </c>
      <c r="D367" s="5" t="e">
        <f>VLOOKUP($A367,tropes!$A$4:$O$2428,4,FALSE)</f>
        <v>#N/A</v>
      </c>
      <c r="E367" s="5" t="e">
        <f>VLOOKUP($A367,tropes!$A$4:$O$2428,5,FALSE)</f>
        <v>#N/A</v>
      </c>
      <c r="F367" s="5" t="e">
        <f>VLOOKUP($A367,tropes!$A$4:$O$2428,6,FALSE)</f>
        <v>#N/A</v>
      </c>
      <c r="G367" s="5" t="e">
        <f>VLOOKUP($A367,tropes!$A$4:$O$2428,7,FALSE)</f>
        <v>#N/A</v>
      </c>
      <c r="H367" s="5" t="e">
        <f>VLOOKUP($A367,tropes!$A$4:$O$2428,8,FALSE)</f>
        <v>#N/A</v>
      </c>
      <c r="I367" s="5" t="e">
        <f>VLOOKUP($A367,tropes!$A$4:$O$2428,9,FALSE)</f>
        <v>#N/A</v>
      </c>
      <c r="J367" s="5" t="e">
        <f>VLOOKUP($A367,tropes!$A$4:$O$2428,10,FALSE)</f>
        <v>#N/A</v>
      </c>
      <c r="K367" s="5" t="e">
        <f>VLOOKUP($A367,tropes!$A$4:$O$2428,11,FALSE)</f>
        <v>#N/A</v>
      </c>
      <c r="L367" s="5" t="e">
        <f>VLOOKUP($A367,tropes!$A$4:$O$2428,12,FALSE)</f>
        <v>#N/A</v>
      </c>
      <c r="M367" s="5" t="e">
        <f>VLOOKUP($A367,tropes!$A$4:$O$2428,13,FALSE)</f>
        <v>#N/A</v>
      </c>
      <c r="N367" s="5"/>
    </row>
    <row r="368" spans="1:14" x14ac:dyDescent="0.3">
      <c r="A368" s="14"/>
      <c r="B368" s="5" t="e">
        <f>VLOOKUP($A368,tropes!$A$4:$O$2428,2,FALSE)</f>
        <v>#N/A</v>
      </c>
      <c r="C368" s="5" t="e">
        <f>VLOOKUP($A368,tropes!$A$4:$O$2428,3,FALSE)</f>
        <v>#N/A</v>
      </c>
      <c r="D368" s="5" t="e">
        <f>VLOOKUP($A368,tropes!$A$4:$O$2428,4,FALSE)</f>
        <v>#N/A</v>
      </c>
      <c r="E368" s="5" t="e">
        <f>VLOOKUP($A368,tropes!$A$4:$O$2428,5,FALSE)</f>
        <v>#N/A</v>
      </c>
      <c r="F368" s="5" t="e">
        <f>VLOOKUP($A368,tropes!$A$4:$O$2428,6,FALSE)</f>
        <v>#N/A</v>
      </c>
      <c r="G368" s="5" t="e">
        <f>VLOOKUP($A368,tropes!$A$4:$O$2428,7,FALSE)</f>
        <v>#N/A</v>
      </c>
      <c r="H368" s="5" t="e">
        <f>VLOOKUP($A368,tropes!$A$4:$O$2428,8,FALSE)</f>
        <v>#N/A</v>
      </c>
      <c r="I368" s="5" t="e">
        <f>VLOOKUP($A368,tropes!$A$4:$O$2428,9,FALSE)</f>
        <v>#N/A</v>
      </c>
      <c r="J368" s="5" t="e">
        <f>VLOOKUP($A368,tropes!$A$4:$O$2428,10,FALSE)</f>
        <v>#N/A</v>
      </c>
      <c r="K368" s="5" t="e">
        <f>VLOOKUP($A368,tropes!$A$4:$O$2428,11,FALSE)</f>
        <v>#N/A</v>
      </c>
      <c r="L368" s="5" t="e">
        <f>VLOOKUP($A368,tropes!$A$4:$O$2428,12,FALSE)</f>
        <v>#N/A</v>
      </c>
      <c r="M368" s="5" t="e">
        <f>VLOOKUP($A368,tropes!$A$4:$O$2428,13,FALSE)</f>
        <v>#N/A</v>
      </c>
      <c r="N368" s="5"/>
    </row>
    <row r="369" spans="1:14" x14ac:dyDescent="0.3">
      <c r="A369" s="14"/>
      <c r="B369" s="5" t="e">
        <f>VLOOKUP($A369,tropes!$A$4:$O$2428,2,FALSE)</f>
        <v>#N/A</v>
      </c>
      <c r="C369" s="5" t="e">
        <f>VLOOKUP($A369,tropes!$A$4:$O$2428,3,FALSE)</f>
        <v>#N/A</v>
      </c>
      <c r="D369" s="5" t="e">
        <f>VLOOKUP($A369,tropes!$A$4:$O$2428,4,FALSE)</f>
        <v>#N/A</v>
      </c>
      <c r="E369" s="5" t="e">
        <f>VLOOKUP($A369,tropes!$A$4:$O$2428,5,FALSE)</f>
        <v>#N/A</v>
      </c>
      <c r="F369" s="5" t="e">
        <f>VLOOKUP($A369,tropes!$A$4:$O$2428,6,FALSE)</f>
        <v>#N/A</v>
      </c>
      <c r="G369" s="5" t="e">
        <f>VLOOKUP($A369,tropes!$A$4:$O$2428,7,FALSE)</f>
        <v>#N/A</v>
      </c>
      <c r="H369" s="5" t="e">
        <f>VLOOKUP($A369,tropes!$A$4:$O$2428,8,FALSE)</f>
        <v>#N/A</v>
      </c>
      <c r="I369" s="5" t="e">
        <f>VLOOKUP($A369,tropes!$A$4:$O$2428,9,FALSE)</f>
        <v>#N/A</v>
      </c>
      <c r="J369" s="5" t="e">
        <f>VLOOKUP($A369,tropes!$A$4:$O$2428,10,FALSE)</f>
        <v>#N/A</v>
      </c>
      <c r="K369" s="5" t="e">
        <f>VLOOKUP($A369,tropes!$A$4:$O$2428,11,FALSE)</f>
        <v>#N/A</v>
      </c>
      <c r="L369" s="5" t="e">
        <f>VLOOKUP($A369,tropes!$A$4:$O$2428,12,FALSE)</f>
        <v>#N/A</v>
      </c>
      <c r="M369" s="5" t="e">
        <f>VLOOKUP($A369,tropes!$A$4:$O$2428,13,FALSE)</f>
        <v>#N/A</v>
      </c>
      <c r="N369" s="5"/>
    </row>
    <row r="370" spans="1:14" x14ac:dyDescent="0.3">
      <c r="A370" s="14"/>
      <c r="B370" s="5" t="e">
        <f>VLOOKUP($A370,tropes!$A$4:$O$2428,2,FALSE)</f>
        <v>#N/A</v>
      </c>
      <c r="C370" s="5" t="e">
        <f>VLOOKUP($A370,tropes!$A$4:$O$2428,3,FALSE)</f>
        <v>#N/A</v>
      </c>
      <c r="D370" s="5" t="e">
        <f>VLOOKUP($A370,tropes!$A$4:$O$2428,4,FALSE)</f>
        <v>#N/A</v>
      </c>
      <c r="E370" s="5" t="e">
        <f>VLOOKUP($A370,tropes!$A$4:$O$2428,5,FALSE)</f>
        <v>#N/A</v>
      </c>
      <c r="F370" s="5" t="e">
        <f>VLOOKUP($A370,tropes!$A$4:$O$2428,6,FALSE)</f>
        <v>#N/A</v>
      </c>
      <c r="G370" s="5" t="e">
        <f>VLOOKUP($A370,tropes!$A$4:$O$2428,7,FALSE)</f>
        <v>#N/A</v>
      </c>
      <c r="H370" s="5" t="e">
        <f>VLOOKUP($A370,tropes!$A$4:$O$2428,8,FALSE)</f>
        <v>#N/A</v>
      </c>
      <c r="I370" s="5" t="e">
        <f>VLOOKUP($A370,tropes!$A$4:$O$2428,9,FALSE)</f>
        <v>#N/A</v>
      </c>
      <c r="J370" s="5" t="e">
        <f>VLOOKUP($A370,tropes!$A$4:$O$2428,10,FALSE)</f>
        <v>#N/A</v>
      </c>
      <c r="K370" s="5" t="e">
        <f>VLOOKUP($A370,tropes!$A$4:$O$2428,11,FALSE)</f>
        <v>#N/A</v>
      </c>
      <c r="L370" s="5" t="e">
        <f>VLOOKUP($A370,tropes!$A$4:$O$2428,12,FALSE)</f>
        <v>#N/A</v>
      </c>
      <c r="M370" s="5" t="e">
        <f>VLOOKUP($A370,tropes!$A$4:$O$2428,13,FALSE)</f>
        <v>#N/A</v>
      </c>
      <c r="N370" s="5"/>
    </row>
    <row r="371" spans="1:14" x14ac:dyDescent="0.3">
      <c r="A371" s="14"/>
      <c r="B371" s="5" t="e">
        <f>VLOOKUP($A371,tropes!$A$4:$O$2428,2,FALSE)</f>
        <v>#N/A</v>
      </c>
      <c r="C371" s="5" t="e">
        <f>VLOOKUP($A371,tropes!$A$4:$O$2428,3,FALSE)</f>
        <v>#N/A</v>
      </c>
      <c r="D371" s="5" t="e">
        <f>VLOOKUP($A371,tropes!$A$4:$O$2428,4,FALSE)</f>
        <v>#N/A</v>
      </c>
      <c r="E371" s="5" t="e">
        <f>VLOOKUP($A371,tropes!$A$4:$O$2428,5,FALSE)</f>
        <v>#N/A</v>
      </c>
      <c r="F371" s="5" t="e">
        <f>VLOOKUP($A371,tropes!$A$4:$O$2428,6,FALSE)</f>
        <v>#N/A</v>
      </c>
      <c r="G371" s="5" t="e">
        <f>VLOOKUP($A371,tropes!$A$4:$O$2428,7,FALSE)</f>
        <v>#N/A</v>
      </c>
      <c r="H371" s="5" t="e">
        <f>VLOOKUP($A371,tropes!$A$4:$O$2428,8,FALSE)</f>
        <v>#N/A</v>
      </c>
      <c r="I371" s="5" t="e">
        <f>VLOOKUP($A371,tropes!$A$4:$O$2428,9,FALSE)</f>
        <v>#N/A</v>
      </c>
      <c r="J371" s="5" t="e">
        <f>VLOOKUP($A371,tropes!$A$4:$O$2428,10,FALSE)</f>
        <v>#N/A</v>
      </c>
      <c r="K371" s="5" t="e">
        <f>VLOOKUP($A371,tropes!$A$4:$O$2428,11,FALSE)</f>
        <v>#N/A</v>
      </c>
      <c r="L371" s="5" t="e">
        <f>VLOOKUP($A371,tropes!$A$4:$O$2428,12,FALSE)</f>
        <v>#N/A</v>
      </c>
      <c r="M371" s="5" t="e">
        <f>VLOOKUP($A371,tropes!$A$4:$O$2428,13,FALSE)</f>
        <v>#N/A</v>
      </c>
      <c r="N371" s="5"/>
    </row>
    <row r="372" spans="1:14" x14ac:dyDescent="0.3">
      <c r="A372" s="14"/>
      <c r="B372" s="5" t="e">
        <f>VLOOKUP($A372,tropes!$A$4:$O$2428,2,FALSE)</f>
        <v>#N/A</v>
      </c>
      <c r="C372" s="5" t="e">
        <f>VLOOKUP($A372,tropes!$A$4:$O$2428,3,FALSE)</f>
        <v>#N/A</v>
      </c>
      <c r="D372" s="5" t="e">
        <f>VLOOKUP($A372,tropes!$A$4:$O$2428,4,FALSE)</f>
        <v>#N/A</v>
      </c>
      <c r="E372" s="5" t="e">
        <f>VLOOKUP($A372,tropes!$A$4:$O$2428,5,FALSE)</f>
        <v>#N/A</v>
      </c>
      <c r="F372" s="5" t="e">
        <f>VLOOKUP($A372,tropes!$A$4:$O$2428,6,FALSE)</f>
        <v>#N/A</v>
      </c>
      <c r="G372" s="5" t="e">
        <f>VLOOKUP($A372,tropes!$A$4:$O$2428,7,FALSE)</f>
        <v>#N/A</v>
      </c>
      <c r="H372" s="5" t="e">
        <f>VLOOKUP($A372,tropes!$A$4:$O$2428,8,FALSE)</f>
        <v>#N/A</v>
      </c>
      <c r="I372" s="5" t="e">
        <f>VLOOKUP($A372,tropes!$A$4:$O$2428,9,FALSE)</f>
        <v>#N/A</v>
      </c>
      <c r="J372" s="5" t="e">
        <f>VLOOKUP($A372,tropes!$A$4:$O$2428,10,FALSE)</f>
        <v>#N/A</v>
      </c>
      <c r="K372" s="5" t="e">
        <f>VLOOKUP($A372,tropes!$A$4:$O$2428,11,FALSE)</f>
        <v>#N/A</v>
      </c>
      <c r="L372" s="5" t="e">
        <f>VLOOKUP($A372,tropes!$A$4:$O$2428,12,FALSE)</f>
        <v>#N/A</v>
      </c>
      <c r="M372" s="5" t="e">
        <f>VLOOKUP($A372,tropes!$A$4:$O$2428,13,FALSE)</f>
        <v>#N/A</v>
      </c>
      <c r="N372" s="5"/>
    </row>
    <row r="373" spans="1:14" x14ac:dyDescent="0.3">
      <c r="A373" s="14"/>
      <c r="B373" s="5" t="e">
        <f>VLOOKUP($A373,tropes!$A$4:$O$2428,2,FALSE)</f>
        <v>#N/A</v>
      </c>
      <c r="C373" s="5" t="e">
        <f>VLOOKUP($A373,tropes!$A$4:$O$2428,3,FALSE)</f>
        <v>#N/A</v>
      </c>
      <c r="D373" s="5" t="e">
        <f>VLOOKUP($A373,tropes!$A$4:$O$2428,4,FALSE)</f>
        <v>#N/A</v>
      </c>
      <c r="E373" s="5" t="e">
        <f>VLOOKUP($A373,tropes!$A$4:$O$2428,5,FALSE)</f>
        <v>#N/A</v>
      </c>
      <c r="F373" s="5" t="e">
        <f>VLOOKUP($A373,tropes!$A$4:$O$2428,6,FALSE)</f>
        <v>#N/A</v>
      </c>
      <c r="G373" s="5" t="e">
        <f>VLOOKUP($A373,tropes!$A$4:$O$2428,7,FALSE)</f>
        <v>#N/A</v>
      </c>
      <c r="H373" s="5" t="e">
        <f>VLOOKUP($A373,tropes!$A$4:$O$2428,8,FALSE)</f>
        <v>#N/A</v>
      </c>
      <c r="I373" s="5" t="e">
        <f>VLOOKUP($A373,tropes!$A$4:$O$2428,9,FALSE)</f>
        <v>#N/A</v>
      </c>
      <c r="J373" s="5" t="e">
        <f>VLOOKUP($A373,tropes!$A$4:$O$2428,10,FALSE)</f>
        <v>#N/A</v>
      </c>
      <c r="K373" s="5" t="e">
        <f>VLOOKUP($A373,tropes!$A$4:$O$2428,11,FALSE)</f>
        <v>#N/A</v>
      </c>
      <c r="L373" s="5" t="e">
        <f>VLOOKUP($A373,tropes!$A$4:$O$2428,12,FALSE)</f>
        <v>#N/A</v>
      </c>
      <c r="M373" s="5" t="e">
        <f>VLOOKUP($A373,tropes!$A$4:$O$2428,13,FALSE)</f>
        <v>#N/A</v>
      </c>
      <c r="N373" s="5"/>
    </row>
    <row r="374" spans="1:14" x14ac:dyDescent="0.3">
      <c r="A374" s="14"/>
      <c r="B374" s="5" t="e">
        <f>VLOOKUP($A374,tropes!$A$4:$O$2428,2,FALSE)</f>
        <v>#N/A</v>
      </c>
      <c r="C374" s="5" t="e">
        <f>VLOOKUP($A374,tropes!$A$4:$O$2428,3,FALSE)</f>
        <v>#N/A</v>
      </c>
      <c r="D374" s="5" t="e">
        <f>VLOOKUP($A374,tropes!$A$4:$O$2428,4,FALSE)</f>
        <v>#N/A</v>
      </c>
      <c r="E374" s="5" t="e">
        <f>VLOOKUP($A374,tropes!$A$4:$O$2428,5,FALSE)</f>
        <v>#N/A</v>
      </c>
      <c r="F374" s="5" t="e">
        <f>VLOOKUP($A374,tropes!$A$4:$O$2428,6,FALSE)</f>
        <v>#N/A</v>
      </c>
      <c r="G374" s="5" t="e">
        <f>VLOOKUP($A374,tropes!$A$4:$O$2428,7,FALSE)</f>
        <v>#N/A</v>
      </c>
      <c r="H374" s="5" t="e">
        <f>VLOOKUP($A374,tropes!$A$4:$O$2428,8,FALSE)</f>
        <v>#N/A</v>
      </c>
      <c r="I374" s="5" t="e">
        <f>VLOOKUP($A374,tropes!$A$4:$O$2428,9,FALSE)</f>
        <v>#N/A</v>
      </c>
      <c r="J374" s="5" t="e">
        <f>VLOOKUP($A374,tropes!$A$4:$O$2428,10,FALSE)</f>
        <v>#N/A</v>
      </c>
      <c r="K374" s="5" t="e">
        <f>VLOOKUP($A374,tropes!$A$4:$O$2428,11,FALSE)</f>
        <v>#N/A</v>
      </c>
      <c r="L374" s="5" t="e">
        <f>VLOOKUP($A374,tropes!$A$4:$O$2428,12,FALSE)</f>
        <v>#N/A</v>
      </c>
      <c r="M374" s="5" t="e">
        <f>VLOOKUP($A374,tropes!$A$4:$O$2428,13,FALSE)</f>
        <v>#N/A</v>
      </c>
      <c r="N374" s="5"/>
    </row>
    <row r="375" spans="1:14" x14ac:dyDescent="0.3">
      <c r="A375" s="14"/>
      <c r="B375" s="5" t="e">
        <f>VLOOKUP($A375,tropes!$A$4:$O$2428,2,FALSE)</f>
        <v>#N/A</v>
      </c>
      <c r="C375" s="5" t="e">
        <f>VLOOKUP($A375,tropes!$A$4:$O$2428,3,FALSE)</f>
        <v>#N/A</v>
      </c>
      <c r="D375" s="5" t="e">
        <f>VLOOKUP($A375,tropes!$A$4:$O$2428,4,FALSE)</f>
        <v>#N/A</v>
      </c>
      <c r="E375" s="5" t="e">
        <f>VLOOKUP($A375,tropes!$A$4:$O$2428,5,FALSE)</f>
        <v>#N/A</v>
      </c>
      <c r="F375" s="5" t="e">
        <f>VLOOKUP($A375,tropes!$A$4:$O$2428,6,FALSE)</f>
        <v>#N/A</v>
      </c>
      <c r="G375" s="5" t="e">
        <f>VLOOKUP($A375,tropes!$A$4:$O$2428,7,FALSE)</f>
        <v>#N/A</v>
      </c>
      <c r="H375" s="5" t="e">
        <f>VLOOKUP($A375,tropes!$A$4:$O$2428,8,FALSE)</f>
        <v>#N/A</v>
      </c>
      <c r="I375" s="5" t="e">
        <f>VLOOKUP($A375,tropes!$A$4:$O$2428,9,FALSE)</f>
        <v>#N/A</v>
      </c>
      <c r="J375" s="5" t="e">
        <f>VLOOKUP($A375,tropes!$A$4:$O$2428,10,FALSE)</f>
        <v>#N/A</v>
      </c>
      <c r="K375" s="5" t="e">
        <f>VLOOKUP($A375,tropes!$A$4:$O$2428,11,FALSE)</f>
        <v>#N/A</v>
      </c>
      <c r="L375" s="5" t="e">
        <f>VLOOKUP($A375,tropes!$A$4:$O$2428,12,FALSE)</f>
        <v>#N/A</v>
      </c>
      <c r="M375" s="5" t="e">
        <f>VLOOKUP($A375,tropes!$A$4:$O$2428,13,FALSE)</f>
        <v>#N/A</v>
      </c>
      <c r="N375" s="5"/>
    </row>
    <row r="376" spans="1:14" x14ac:dyDescent="0.3">
      <c r="A376" s="14"/>
      <c r="B376" s="5" t="e">
        <f>VLOOKUP($A376,tropes!$A$4:$O$2428,2,FALSE)</f>
        <v>#N/A</v>
      </c>
      <c r="C376" s="5" t="e">
        <f>VLOOKUP($A376,tropes!$A$4:$O$2428,3,FALSE)</f>
        <v>#N/A</v>
      </c>
      <c r="D376" s="5" t="e">
        <f>VLOOKUP($A376,tropes!$A$4:$O$2428,4,FALSE)</f>
        <v>#N/A</v>
      </c>
      <c r="E376" s="5" t="e">
        <f>VLOOKUP($A376,tropes!$A$4:$O$2428,5,FALSE)</f>
        <v>#N/A</v>
      </c>
      <c r="F376" s="5" t="e">
        <f>VLOOKUP($A376,tropes!$A$4:$O$2428,6,FALSE)</f>
        <v>#N/A</v>
      </c>
      <c r="G376" s="5" t="e">
        <f>VLOOKUP($A376,tropes!$A$4:$O$2428,7,FALSE)</f>
        <v>#N/A</v>
      </c>
      <c r="H376" s="5" t="e">
        <f>VLOOKUP($A376,tropes!$A$4:$O$2428,8,FALSE)</f>
        <v>#N/A</v>
      </c>
      <c r="I376" s="5" t="e">
        <f>VLOOKUP($A376,tropes!$A$4:$O$2428,9,FALSE)</f>
        <v>#N/A</v>
      </c>
      <c r="J376" s="5" t="e">
        <f>VLOOKUP($A376,tropes!$A$4:$O$2428,10,FALSE)</f>
        <v>#N/A</v>
      </c>
      <c r="K376" s="5" t="e">
        <f>VLOOKUP($A376,tropes!$A$4:$O$2428,11,FALSE)</f>
        <v>#N/A</v>
      </c>
      <c r="L376" s="5" t="e">
        <f>VLOOKUP($A376,tropes!$A$4:$O$2428,12,FALSE)</f>
        <v>#N/A</v>
      </c>
      <c r="M376" s="5" t="e">
        <f>VLOOKUP($A376,tropes!$A$4:$O$2428,13,FALSE)</f>
        <v>#N/A</v>
      </c>
      <c r="N376" s="5"/>
    </row>
    <row r="377" spans="1:14" x14ac:dyDescent="0.3">
      <c r="A377" s="14"/>
      <c r="B377" s="5" t="e">
        <f>VLOOKUP($A377,tropes!$A$4:$O$2428,2,FALSE)</f>
        <v>#N/A</v>
      </c>
      <c r="C377" s="5" t="e">
        <f>VLOOKUP($A377,tropes!$A$4:$O$2428,3,FALSE)</f>
        <v>#N/A</v>
      </c>
      <c r="D377" s="5" t="e">
        <f>VLOOKUP($A377,tropes!$A$4:$O$2428,4,FALSE)</f>
        <v>#N/A</v>
      </c>
      <c r="E377" s="5" t="e">
        <f>VLOOKUP($A377,tropes!$A$4:$O$2428,5,FALSE)</f>
        <v>#N/A</v>
      </c>
      <c r="F377" s="5" t="e">
        <f>VLOOKUP($A377,tropes!$A$4:$O$2428,6,FALSE)</f>
        <v>#N/A</v>
      </c>
      <c r="G377" s="5" t="e">
        <f>VLOOKUP($A377,tropes!$A$4:$O$2428,7,FALSE)</f>
        <v>#N/A</v>
      </c>
      <c r="H377" s="5" t="e">
        <f>VLOOKUP($A377,tropes!$A$4:$O$2428,8,FALSE)</f>
        <v>#N/A</v>
      </c>
      <c r="I377" s="5" t="e">
        <f>VLOOKUP($A377,tropes!$A$4:$O$2428,9,FALSE)</f>
        <v>#N/A</v>
      </c>
      <c r="J377" s="5" t="e">
        <f>VLOOKUP($A377,tropes!$A$4:$O$2428,10,FALSE)</f>
        <v>#N/A</v>
      </c>
      <c r="K377" s="5" t="e">
        <f>VLOOKUP($A377,tropes!$A$4:$O$2428,11,FALSE)</f>
        <v>#N/A</v>
      </c>
      <c r="L377" s="5" t="e">
        <f>VLOOKUP($A377,tropes!$A$4:$O$2428,12,FALSE)</f>
        <v>#N/A</v>
      </c>
      <c r="M377" s="5" t="e">
        <f>VLOOKUP($A377,tropes!$A$4:$O$2428,13,FALSE)</f>
        <v>#N/A</v>
      </c>
      <c r="N377" s="5"/>
    </row>
    <row r="378" spans="1:14" x14ac:dyDescent="0.3">
      <c r="A378" s="14"/>
      <c r="B378" s="5" t="e">
        <f>VLOOKUP($A378,tropes!$A$4:$O$2428,2,FALSE)</f>
        <v>#N/A</v>
      </c>
      <c r="C378" s="5" t="e">
        <f>VLOOKUP($A378,tropes!$A$4:$O$2428,3,FALSE)</f>
        <v>#N/A</v>
      </c>
      <c r="D378" s="5" t="e">
        <f>VLOOKUP($A378,tropes!$A$4:$O$2428,4,FALSE)</f>
        <v>#N/A</v>
      </c>
      <c r="E378" s="5" t="e">
        <f>VLOOKUP($A378,tropes!$A$4:$O$2428,5,FALSE)</f>
        <v>#N/A</v>
      </c>
      <c r="F378" s="5" t="e">
        <f>VLOOKUP($A378,tropes!$A$4:$O$2428,6,FALSE)</f>
        <v>#N/A</v>
      </c>
      <c r="G378" s="5" t="e">
        <f>VLOOKUP($A378,tropes!$A$4:$O$2428,7,FALSE)</f>
        <v>#N/A</v>
      </c>
      <c r="H378" s="5" t="e">
        <f>VLOOKUP($A378,tropes!$A$4:$O$2428,8,FALSE)</f>
        <v>#N/A</v>
      </c>
      <c r="I378" s="5" t="e">
        <f>VLOOKUP($A378,tropes!$A$4:$O$2428,9,FALSE)</f>
        <v>#N/A</v>
      </c>
      <c r="J378" s="5" t="e">
        <f>VLOOKUP($A378,tropes!$A$4:$O$2428,10,FALSE)</f>
        <v>#N/A</v>
      </c>
      <c r="K378" s="5" t="e">
        <f>VLOOKUP($A378,tropes!$A$4:$O$2428,11,FALSE)</f>
        <v>#N/A</v>
      </c>
      <c r="L378" s="5" t="e">
        <f>VLOOKUP($A378,tropes!$A$4:$O$2428,12,FALSE)</f>
        <v>#N/A</v>
      </c>
      <c r="M378" s="5" t="e">
        <f>VLOOKUP($A378,tropes!$A$4:$O$2428,13,FALSE)</f>
        <v>#N/A</v>
      </c>
      <c r="N378" s="5"/>
    </row>
    <row r="379" spans="1:14" x14ac:dyDescent="0.3">
      <c r="A379" s="14"/>
      <c r="B379" s="5" t="e">
        <f>VLOOKUP($A379,tropes!$A$4:$O$2428,2,FALSE)</f>
        <v>#N/A</v>
      </c>
      <c r="C379" s="5" t="e">
        <f>VLOOKUP($A379,tropes!$A$4:$O$2428,3,FALSE)</f>
        <v>#N/A</v>
      </c>
      <c r="D379" s="5" t="e">
        <f>VLOOKUP($A379,tropes!$A$4:$O$2428,4,FALSE)</f>
        <v>#N/A</v>
      </c>
      <c r="E379" s="5" t="e">
        <f>VLOOKUP($A379,tropes!$A$4:$O$2428,5,FALSE)</f>
        <v>#N/A</v>
      </c>
      <c r="F379" s="5" t="e">
        <f>VLOOKUP($A379,tropes!$A$4:$O$2428,6,FALSE)</f>
        <v>#N/A</v>
      </c>
      <c r="G379" s="5" t="e">
        <f>VLOOKUP($A379,tropes!$A$4:$O$2428,7,FALSE)</f>
        <v>#N/A</v>
      </c>
      <c r="H379" s="5" t="e">
        <f>VLOOKUP($A379,tropes!$A$4:$O$2428,8,FALSE)</f>
        <v>#N/A</v>
      </c>
      <c r="I379" s="5" t="e">
        <f>VLOOKUP($A379,tropes!$A$4:$O$2428,9,FALSE)</f>
        <v>#N/A</v>
      </c>
      <c r="J379" s="5" t="e">
        <f>VLOOKUP($A379,tropes!$A$4:$O$2428,10,FALSE)</f>
        <v>#N/A</v>
      </c>
      <c r="K379" s="5" t="e">
        <f>VLOOKUP($A379,tropes!$A$4:$O$2428,11,FALSE)</f>
        <v>#N/A</v>
      </c>
      <c r="L379" s="5" t="e">
        <f>VLOOKUP($A379,tropes!$A$4:$O$2428,12,FALSE)</f>
        <v>#N/A</v>
      </c>
      <c r="M379" s="5" t="e">
        <f>VLOOKUP($A379,tropes!$A$4:$O$2428,13,FALSE)</f>
        <v>#N/A</v>
      </c>
      <c r="N379" s="5"/>
    </row>
    <row r="380" spans="1:14" x14ac:dyDescent="0.3">
      <c r="A380" s="14"/>
      <c r="B380" s="5" t="e">
        <f>VLOOKUP($A380,tropes!$A$4:$O$2428,2,FALSE)</f>
        <v>#N/A</v>
      </c>
      <c r="C380" s="5" t="e">
        <f>VLOOKUP($A380,tropes!$A$4:$O$2428,3,FALSE)</f>
        <v>#N/A</v>
      </c>
      <c r="D380" s="5" t="e">
        <f>VLOOKUP($A380,tropes!$A$4:$O$2428,4,FALSE)</f>
        <v>#N/A</v>
      </c>
      <c r="E380" s="5" t="e">
        <f>VLOOKUP($A380,tropes!$A$4:$O$2428,5,FALSE)</f>
        <v>#N/A</v>
      </c>
      <c r="F380" s="5" t="e">
        <f>VLOOKUP($A380,tropes!$A$4:$O$2428,6,FALSE)</f>
        <v>#N/A</v>
      </c>
      <c r="G380" s="5" t="e">
        <f>VLOOKUP($A380,tropes!$A$4:$O$2428,7,FALSE)</f>
        <v>#N/A</v>
      </c>
      <c r="H380" s="5" t="e">
        <f>VLOOKUP($A380,tropes!$A$4:$O$2428,8,FALSE)</f>
        <v>#N/A</v>
      </c>
      <c r="I380" s="5" t="e">
        <f>VLOOKUP($A380,tropes!$A$4:$O$2428,9,FALSE)</f>
        <v>#N/A</v>
      </c>
      <c r="J380" s="5" t="e">
        <f>VLOOKUP($A380,tropes!$A$4:$O$2428,10,FALSE)</f>
        <v>#N/A</v>
      </c>
      <c r="K380" s="5" t="e">
        <f>VLOOKUP($A380,tropes!$A$4:$O$2428,11,FALSE)</f>
        <v>#N/A</v>
      </c>
      <c r="L380" s="5" t="e">
        <f>VLOOKUP($A380,tropes!$A$4:$O$2428,12,FALSE)</f>
        <v>#N/A</v>
      </c>
      <c r="M380" s="5" t="e">
        <f>VLOOKUP($A380,tropes!$A$4:$O$2428,13,FALSE)</f>
        <v>#N/A</v>
      </c>
      <c r="N380" s="5"/>
    </row>
    <row r="381" spans="1:14" x14ac:dyDescent="0.3">
      <c r="A381" s="14"/>
      <c r="B381" s="5" t="e">
        <f>VLOOKUP($A381,tropes!$A$4:$O$2428,2,FALSE)</f>
        <v>#N/A</v>
      </c>
      <c r="C381" s="5" t="e">
        <f>VLOOKUP($A381,tropes!$A$4:$O$2428,3,FALSE)</f>
        <v>#N/A</v>
      </c>
      <c r="D381" s="5" t="e">
        <f>VLOOKUP($A381,tropes!$A$4:$O$2428,4,FALSE)</f>
        <v>#N/A</v>
      </c>
      <c r="E381" s="5" t="e">
        <f>VLOOKUP($A381,tropes!$A$4:$O$2428,5,FALSE)</f>
        <v>#N/A</v>
      </c>
      <c r="F381" s="5" t="e">
        <f>VLOOKUP($A381,tropes!$A$4:$O$2428,6,FALSE)</f>
        <v>#N/A</v>
      </c>
      <c r="G381" s="5" t="e">
        <f>VLOOKUP($A381,tropes!$A$4:$O$2428,7,FALSE)</f>
        <v>#N/A</v>
      </c>
      <c r="H381" s="5" t="e">
        <f>VLOOKUP($A381,tropes!$A$4:$O$2428,8,FALSE)</f>
        <v>#N/A</v>
      </c>
      <c r="I381" s="5" t="e">
        <f>VLOOKUP($A381,tropes!$A$4:$O$2428,9,FALSE)</f>
        <v>#N/A</v>
      </c>
      <c r="J381" s="5" t="e">
        <f>VLOOKUP($A381,tropes!$A$4:$O$2428,10,FALSE)</f>
        <v>#N/A</v>
      </c>
      <c r="K381" s="5" t="e">
        <f>VLOOKUP($A381,tropes!$A$4:$O$2428,11,FALSE)</f>
        <v>#N/A</v>
      </c>
      <c r="L381" s="5" t="e">
        <f>VLOOKUP($A381,tropes!$A$4:$O$2428,12,FALSE)</f>
        <v>#N/A</v>
      </c>
      <c r="M381" s="5" t="e">
        <f>VLOOKUP($A381,tropes!$A$4:$O$2428,13,FALSE)</f>
        <v>#N/A</v>
      </c>
      <c r="N381" s="5"/>
    </row>
    <row r="382" spans="1:14" x14ac:dyDescent="0.3">
      <c r="A382" s="14"/>
      <c r="B382" s="5" t="e">
        <f>VLOOKUP($A382,tropes!$A$4:$O$2428,2,FALSE)</f>
        <v>#N/A</v>
      </c>
      <c r="C382" s="5" t="e">
        <f>VLOOKUP($A382,tropes!$A$4:$O$2428,3,FALSE)</f>
        <v>#N/A</v>
      </c>
      <c r="D382" s="5" t="e">
        <f>VLOOKUP($A382,tropes!$A$4:$O$2428,4,FALSE)</f>
        <v>#N/A</v>
      </c>
      <c r="E382" s="5" t="e">
        <f>VLOOKUP($A382,tropes!$A$4:$O$2428,5,FALSE)</f>
        <v>#N/A</v>
      </c>
      <c r="F382" s="5" t="e">
        <f>VLOOKUP($A382,tropes!$A$4:$O$2428,6,FALSE)</f>
        <v>#N/A</v>
      </c>
      <c r="G382" s="5" t="e">
        <f>VLOOKUP($A382,tropes!$A$4:$O$2428,7,FALSE)</f>
        <v>#N/A</v>
      </c>
      <c r="H382" s="5" t="e">
        <f>VLOOKUP($A382,tropes!$A$4:$O$2428,8,FALSE)</f>
        <v>#N/A</v>
      </c>
      <c r="I382" s="5" t="e">
        <f>VLOOKUP($A382,tropes!$A$4:$O$2428,9,FALSE)</f>
        <v>#N/A</v>
      </c>
      <c r="J382" s="5" t="e">
        <f>VLOOKUP($A382,tropes!$A$4:$O$2428,10,FALSE)</f>
        <v>#N/A</v>
      </c>
      <c r="K382" s="5" t="e">
        <f>VLOOKUP($A382,tropes!$A$4:$O$2428,11,FALSE)</f>
        <v>#N/A</v>
      </c>
      <c r="L382" s="5" t="e">
        <f>VLOOKUP($A382,tropes!$A$4:$O$2428,12,FALSE)</f>
        <v>#N/A</v>
      </c>
      <c r="M382" s="5" t="e">
        <f>VLOOKUP($A382,tropes!$A$4:$O$2428,13,FALSE)</f>
        <v>#N/A</v>
      </c>
      <c r="N382" s="5"/>
    </row>
    <row r="383" spans="1:14" x14ac:dyDescent="0.3">
      <c r="A383" s="14"/>
      <c r="B383" s="5" t="e">
        <f>VLOOKUP($A383,tropes!$A$4:$O$2428,2,FALSE)</f>
        <v>#N/A</v>
      </c>
      <c r="C383" s="5" t="e">
        <f>VLOOKUP($A383,tropes!$A$4:$O$2428,3,FALSE)</f>
        <v>#N/A</v>
      </c>
      <c r="D383" s="5" t="e">
        <f>VLOOKUP($A383,tropes!$A$4:$O$2428,4,FALSE)</f>
        <v>#N/A</v>
      </c>
      <c r="E383" s="5" t="e">
        <f>VLOOKUP($A383,tropes!$A$4:$O$2428,5,FALSE)</f>
        <v>#N/A</v>
      </c>
      <c r="F383" s="5" t="e">
        <f>VLOOKUP($A383,tropes!$A$4:$O$2428,6,FALSE)</f>
        <v>#N/A</v>
      </c>
      <c r="G383" s="5" t="e">
        <f>VLOOKUP($A383,tropes!$A$4:$O$2428,7,FALSE)</f>
        <v>#N/A</v>
      </c>
      <c r="H383" s="5" t="e">
        <f>VLOOKUP($A383,tropes!$A$4:$O$2428,8,FALSE)</f>
        <v>#N/A</v>
      </c>
      <c r="I383" s="5" t="e">
        <f>VLOOKUP($A383,tropes!$A$4:$O$2428,9,FALSE)</f>
        <v>#N/A</v>
      </c>
      <c r="J383" s="5" t="e">
        <f>VLOOKUP($A383,tropes!$A$4:$O$2428,10,FALSE)</f>
        <v>#N/A</v>
      </c>
      <c r="K383" s="5" t="e">
        <f>VLOOKUP($A383,tropes!$A$4:$O$2428,11,FALSE)</f>
        <v>#N/A</v>
      </c>
      <c r="L383" s="5" t="e">
        <f>VLOOKUP($A383,tropes!$A$4:$O$2428,12,FALSE)</f>
        <v>#N/A</v>
      </c>
      <c r="M383" s="5" t="e">
        <f>VLOOKUP($A383,tropes!$A$4:$O$2428,13,FALSE)</f>
        <v>#N/A</v>
      </c>
      <c r="N383" s="5"/>
    </row>
    <row r="384" spans="1:14" x14ac:dyDescent="0.3">
      <c r="A384" s="14"/>
      <c r="B384" s="5" t="e">
        <f>VLOOKUP($A384,tropes!$A$4:$O$2428,2,FALSE)</f>
        <v>#N/A</v>
      </c>
      <c r="C384" s="5" t="e">
        <f>VLOOKUP($A384,tropes!$A$4:$O$2428,3,FALSE)</f>
        <v>#N/A</v>
      </c>
      <c r="D384" s="5" t="e">
        <f>VLOOKUP($A384,tropes!$A$4:$O$2428,4,FALSE)</f>
        <v>#N/A</v>
      </c>
      <c r="E384" s="5" t="e">
        <f>VLOOKUP($A384,tropes!$A$4:$O$2428,5,FALSE)</f>
        <v>#N/A</v>
      </c>
      <c r="F384" s="5" t="e">
        <f>VLOOKUP($A384,tropes!$A$4:$O$2428,6,FALSE)</f>
        <v>#N/A</v>
      </c>
      <c r="G384" s="5" t="e">
        <f>VLOOKUP($A384,tropes!$A$4:$O$2428,7,FALSE)</f>
        <v>#N/A</v>
      </c>
      <c r="H384" s="5" t="e">
        <f>VLOOKUP($A384,tropes!$A$4:$O$2428,8,FALSE)</f>
        <v>#N/A</v>
      </c>
      <c r="I384" s="5" t="e">
        <f>VLOOKUP($A384,tropes!$A$4:$O$2428,9,FALSE)</f>
        <v>#N/A</v>
      </c>
      <c r="J384" s="5" t="e">
        <f>VLOOKUP($A384,tropes!$A$4:$O$2428,10,FALSE)</f>
        <v>#N/A</v>
      </c>
      <c r="K384" s="5" t="e">
        <f>VLOOKUP($A384,tropes!$A$4:$O$2428,11,FALSE)</f>
        <v>#N/A</v>
      </c>
      <c r="L384" s="5" t="e">
        <f>VLOOKUP($A384,tropes!$A$4:$O$2428,12,FALSE)</f>
        <v>#N/A</v>
      </c>
      <c r="M384" s="5" t="e">
        <f>VLOOKUP($A384,tropes!$A$4:$O$2428,13,FALSE)</f>
        <v>#N/A</v>
      </c>
      <c r="N384" s="5"/>
    </row>
    <row r="385" spans="1:14" x14ac:dyDescent="0.3">
      <c r="A385" s="14"/>
      <c r="B385" s="5" t="e">
        <f>VLOOKUP($A385,tropes!$A$4:$O$2428,2,FALSE)</f>
        <v>#N/A</v>
      </c>
      <c r="C385" s="5" t="e">
        <f>VLOOKUP($A385,tropes!$A$4:$O$2428,3,FALSE)</f>
        <v>#N/A</v>
      </c>
      <c r="D385" s="5" t="e">
        <f>VLOOKUP($A385,tropes!$A$4:$O$2428,4,FALSE)</f>
        <v>#N/A</v>
      </c>
      <c r="E385" s="5" t="e">
        <f>VLOOKUP($A385,tropes!$A$4:$O$2428,5,FALSE)</f>
        <v>#N/A</v>
      </c>
      <c r="F385" s="5" t="e">
        <f>VLOOKUP($A385,tropes!$A$4:$O$2428,6,FALSE)</f>
        <v>#N/A</v>
      </c>
      <c r="G385" s="5" t="e">
        <f>VLOOKUP($A385,tropes!$A$4:$O$2428,7,FALSE)</f>
        <v>#N/A</v>
      </c>
      <c r="H385" s="5" t="e">
        <f>VLOOKUP($A385,tropes!$A$4:$O$2428,8,FALSE)</f>
        <v>#N/A</v>
      </c>
      <c r="I385" s="5" t="e">
        <f>VLOOKUP($A385,tropes!$A$4:$O$2428,9,FALSE)</f>
        <v>#N/A</v>
      </c>
      <c r="J385" s="5" t="e">
        <f>VLOOKUP($A385,tropes!$A$4:$O$2428,10,FALSE)</f>
        <v>#N/A</v>
      </c>
      <c r="K385" s="5" t="e">
        <f>VLOOKUP($A385,tropes!$A$4:$O$2428,11,FALSE)</f>
        <v>#N/A</v>
      </c>
      <c r="L385" s="5" t="e">
        <f>VLOOKUP($A385,tropes!$A$4:$O$2428,12,FALSE)</f>
        <v>#N/A</v>
      </c>
      <c r="M385" s="5" t="e">
        <f>VLOOKUP($A385,tropes!$A$4:$O$2428,13,FALSE)</f>
        <v>#N/A</v>
      </c>
      <c r="N385" s="5"/>
    </row>
    <row r="386" spans="1:14" x14ac:dyDescent="0.3">
      <c r="A386" s="14"/>
      <c r="B386" s="5" t="e">
        <f>VLOOKUP($A386,tropes!$A$4:$O$2428,2,FALSE)</f>
        <v>#N/A</v>
      </c>
      <c r="C386" s="5" t="e">
        <f>VLOOKUP($A386,tropes!$A$4:$O$2428,3,FALSE)</f>
        <v>#N/A</v>
      </c>
      <c r="D386" s="5" t="e">
        <f>VLOOKUP($A386,tropes!$A$4:$O$2428,4,FALSE)</f>
        <v>#N/A</v>
      </c>
      <c r="E386" s="5" t="e">
        <f>VLOOKUP($A386,tropes!$A$4:$O$2428,5,FALSE)</f>
        <v>#N/A</v>
      </c>
      <c r="F386" s="5" t="e">
        <f>VLOOKUP($A386,tropes!$A$4:$O$2428,6,FALSE)</f>
        <v>#N/A</v>
      </c>
      <c r="G386" s="5" t="e">
        <f>VLOOKUP($A386,tropes!$A$4:$O$2428,7,FALSE)</f>
        <v>#N/A</v>
      </c>
      <c r="H386" s="5" t="e">
        <f>VLOOKUP($A386,tropes!$A$4:$O$2428,8,FALSE)</f>
        <v>#N/A</v>
      </c>
      <c r="I386" s="5" t="e">
        <f>VLOOKUP($A386,tropes!$A$4:$O$2428,9,FALSE)</f>
        <v>#N/A</v>
      </c>
      <c r="J386" s="5" t="e">
        <f>VLOOKUP($A386,tropes!$A$4:$O$2428,10,FALSE)</f>
        <v>#N/A</v>
      </c>
      <c r="K386" s="5" t="e">
        <f>VLOOKUP($A386,tropes!$A$4:$O$2428,11,FALSE)</f>
        <v>#N/A</v>
      </c>
      <c r="L386" s="5" t="e">
        <f>VLOOKUP($A386,tropes!$A$4:$O$2428,12,FALSE)</f>
        <v>#N/A</v>
      </c>
      <c r="M386" s="5" t="e">
        <f>VLOOKUP($A386,tropes!$A$4:$O$2428,13,FALSE)</f>
        <v>#N/A</v>
      </c>
      <c r="N386" s="5"/>
    </row>
    <row r="387" spans="1:14" x14ac:dyDescent="0.3">
      <c r="A387" s="14"/>
      <c r="B387" s="5" t="e">
        <f>VLOOKUP($A387,tropes!$A$4:$O$2428,2,FALSE)</f>
        <v>#N/A</v>
      </c>
      <c r="C387" s="5" t="e">
        <f>VLOOKUP($A387,tropes!$A$4:$O$2428,3,FALSE)</f>
        <v>#N/A</v>
      </c>
      <c r="D387" s="5" t="e">
        <f>VLOOKUP($A387,tropes!$A$4:$O$2428,4,FALSE)</f>
        <v>#N/A</v>
      </c>
      <c r="E387" s="5" t="e">
        <f>VLOOKUP($A387,tropes!$A$4:$O$2428,5,FALSE)</f>
        <v>#N/A</v>
      </c>
      <c r="F387" s="5" t="e">
        <f>VLOOKUP($A387,tropes!$A$4:$O$2428,6,FALSE)</f>
        <v>#N/A</v>
      </c>
      <c r="G387" s="5" t="e">
        <f>VLOOKUP($A387,tropes!$A$4:$O$2428,7,FALSE)</f>
        <v>#N/A</v>
      </c>
      <c r="H387" s="5" t="e">
        <f>VLOOKUP($A387,tropes!$A$4:$O$2428,8,FALSE)</f>
        <v>#N/A</v>
      </c>
      <c r="I387" s="5" t="e">
        <f>VLOOKUP($A387,tropes!$A$4:$O$2428,9,FALSE)</f>
        <v>#N/A</v>
      </c>
      <c r="J387" s="5" t="e">
        <f>VLOOKUP($A387,tropes!$A$4:$O$2428,10,FALSE)</f>
        <v>#N/A</v>
      </c>
      <c r="K387" s="5" t="e">
        <f>VLOOKUP($A387,tropes!$A$4:$O$2428,11,FALSE)</f>
        <v>#N/A</v>
      </c>
      <c r="L387" s="5" t="e">
        <f>VLOOKUP($A387,tropes!$A$4:$O$2428,12,FALSE)</f>
        <v>#N/A</v>
      </c>
      <c r="M387" s="5" t="e">
        <f>VLOOKUP($A387,tropes!$A$4:$O$2428,13,FALSE)</f>
        <v>#N/A</v>
      </c>
      <c r="N387" s="5"/>
    </row>
    <row r="388" spans="1:14" x14ac:dyDescent="0.3">
      <c r="A388" s="14"/>
      <c r="B388" s="5" t="e">
        <f>VLOOKUP($A388,tropes!$A$4:$O$2428,2,FALSE)</f>
        <v>#N/A</v>
      </c>
      <c r="C388" s="5" t="e">
        <f>VLOOKUP($A388,tropes!$A$4:$O$2428,3,FALSE)</f>
        <v>#N/A</v>
      </c>
      <c r="D388" s="5" t="e">
        <f>VLOOKUP($A388,tropes!$A$4:$O$2428,4,FALSE)</f>
        <v>#N/A</v>
      </c>
      <c r="E388" s="5" t="e">
        <f>VLOOKUP($A388,tropes!$A$4:$O$2428,5,FALSE)</f>
        <v>#N/A</v>
      </c>
      <c r="F388" s="5" t="e">
        <f>VLOOKUP($A388,tropes!$A$4:$O$2428,6,FALSE)</f>
        <v>#N/A</v>
      </c>
      <c r="G388" s="5" t="e">
        <f>VLOOKUP($A388,tropes!$A$4:$O$2428,7,FALSE)</f>
        <v>#N/A</v>
      </c>
      <c r="H388" s="5" t="e">
        <f>VLOOKUP($A388,tropes!$A$4:$O$2428,8,FALSE)</f>
        <v>#N/A</v>
      </c>
      <c r="I388" s="5" t="e">
        <f>VLOOKUP($A388,tropes!$A$4:$O$2428,9,FALSE)</f>
        <v>#N/A</v>
      </c>
      <c r="J388" s="5" t="e">
        <f>VLOOKUP($A388,tropes!$A$4:$O$2428,10,FALSE)</f>
        <v>#N/A</v>
      </c>
      <c r="K388" s="5" t="e">
        <f>VLOOKUP($A388,tropes!$A$4:$O$2428,11,FALSE)</f>
        <v>#N/A</v>
      </c>
      <c r="L388" s="5" t="e">
        <f>VLOOKUP($A388,tropes!$A$4:$O$2428,12,FALSE)</f>
        <v>#N/A</v>
      </c>
      <c r="M388" s="5" t="e">
        <f>VLOOKUP($A388,tropes!$A$4:$O$2428,13,FALSE)</f>
        <v>#N/A</v>
      </c>
      <c r="N388" s="5"/>
    </row>
    <row r="389" spans="1:14" x14ac:dyDescent="0.3">
      <c r="A389" s="14"/>
      <c r="B389" s="5" t="e">
        <f>VLOOKUP($A389,tropes!$A$4:$O$2428,2,FALSE)</f>
        <v>#N/A</v>
      </c>
      <c r="C389" s="5" t="e">
        <f>VLOOKUP($A389,tropes!$A$4:$O$2428,3,FALSE)</f>
        <v>#N/A</v>
      </c>
      <c r="D389" s="5" t="e">
        <f>VLOOKUP($A389,tropes!$A$4:$O$2428,4,FALSE)</f>
        <v>#N/A</v>
      </c>
      <c r="E389" s="5" t="e">
        <f>VLOOKUP($A389,tropes!$A$4:$O$2428,5,FALSE)</f>
        <v>#N/A</v>
      </c>
      <c r="F389" s="5" t="e">
        <f>VLOOKUP($A389,tropes!$A$4:$O$2428,6,FALSE)</f>
        <v>#N/A</v>
      </c>
      <c r="G389" s="5" t="e">
        <f>VLOOKUP($A389,tropes!$A$4:$O$2428,7,FALSE)</f>
        <v>#N/A</v>
      </c>
      <c r="H389" s="5" t="e">
        <f>VLOOKUP($A389,tropes!$A$4:$O$2428,8,FALSE)</f>
        <v>#N/A</v>
      </c>
      <c r="I389" s="5" t="e">
        <f>VLOOKUP($A389,tropes!$A$4:$O$2428,9,FALSE)</f>
        <v>#N/A</v>
      </c>
      <c r="J389" s="5" t="e">
        <f>VLOOKUP($A389,tropes!$A$4:$O$2428,10,FALSE)</f>
        <v>#N/A</v>
      </c>
      <c r="K389" s="5" t="e">
        <f>VLOOKUP($A389,tropes!$A$4:$O$2428,11,FALSE)</f>
        <v>#N/A</v>
      </c>
      <c r="L389" s="5" t="e">
        <f>VLOOKUP($A389,tropes!$A$4:$O$2428,12,FALSE)</f>
        <v>#N/A</v>
      </c>
      <c r="M389" s="5" t="e">
        <f>VLOOKUP($A389,tropes!$A$4:$O$2428,13,FALSE)</f>
        <v>#N/A</v>
      </c>
      <c r="N389" s="5"/>
    </row>
    <row r="390" spans="1:14" x14ac:dyDescent="0.3">
      <c r="A390" s="14"/>
      <c r="B390" s="5" t="e">
        <f>VLOOKUP($A390,tropes!$A$4:$O$2428,2,FALSE)</f>
        <v>#N/A</v>
      </c>
      <c r="C390" s="5" t="e">
        <f>VLOOKUP($A390,tropes!$A$4:$O$2428,3,FALSE)</f>
        <v>#N/A</v>
      </c>
      <c r="D390" s="5" t="e">
        <f>VLOOKUP($A390,tropes!$A$4:$O$2428,4,FALSE)</f>
        <v>#N/A</v>
      </c>
      <c r="E390" s="5" t="e">
        <f>VLOOKUP($A390,tropes!$A$4:$O$2428,5,FALSE)</f>
        <v>#N/A</v>
      </c>
      <c r="F390" s="5" t="e">
        <f>VLOOKUP($A390,tropes!$A$4:$O$2428,6,FALSE)</f>
        <v>#N/A</v>
      </c>
      <c r="G390" s="5" t="e">
        <f>VLOOKUP($A390,tropes!$A$4:$O$2428,7,FALSE)</f>
        <v>#N/A</v>
      </c>
      <c r="H390" s="5" t="e">
        <f>VLOOKUP($A390,tropes!$A$4:$O$2428,8,FALSE)</f>
        <v>#N/A</v>
      </c>
      <c r="I390" s="5" t="e">
        <f>VLOOKUP($A390,tropes!$A$4:$O$2428,9,FALSE)</f>
        <v>#N/A</v>
      </c>
      <c r="J390" s="5" t="e">
        <f>VLOOKUP($A390,tropes!$A$4:$O$2428,10,FALSE)</f>
        <v>#N/A</v>
      </c>
      <c r="K390" s="5" t="e">
        <f>VLOOKUP($A390,tropes!$A$4:$O$2428,11,FALSE)</f>
        <v>#N/A</v>
      </c>
      <c r="L390" s="5" t="e">
        <f>VLOOKUP($A390,tropes!$A$4:$O$2428,12,FALSE)</f>
        <v>#N/A</v>
      </c>
      <c r="M390" s="5" t="e">
        <f>VLOOKUP($A390,tropes!$A$4:$O$2428,13,FALSE)</f>
        <v>#N/A</v>
      </c>
      <c r="N390" s="5"/>
    </row>
    <row r="391" spans="1:14" x14ac:dyDescent="0.3">
      <c r="A391" s="14"/>
      <c r="B391" s="5" t="e">
        <f>VLOOKUP($A391,tropes!$A$4:$O$2428,2,FALSE)</f>
        <v>#N/A</v>
      </c>
      <c r="C391" s="5" t="e">
        <f>VLOOKUP($A391,tropes!$A$4:$O$2428,3,FALSE)</f>
        <v>#N/A</v>
      </c>
      <c r="D391" s="5" t="e">
        <f>VLOOKUP($A391,tropes!$A$4:$O$2428,4,FALSE)</f>
        <v>#N/A</v>
      </c>
      <c r="E391" s="5" t="e">
        <f>VLOOKUP($A391,tropes!$A$4:$O$2428,5,FALSE)</f>
        <v>#N/A</v>
      </c>
      <c r="F391" s="5" t="e">
        <f>VLOOKUP($A391,tropes!$A$4:$O$2428,6,FALSE)</f>
        <v>#N/A</v>
      </c>
      <c r="G391" s="5" t="e">
        <f>VLOOKUP($A391,tropes!$A$4:$O$2428,7,FALSE)</f>
        <v>#N/A</v>
      </c>
      <c r="H391" s="5" t="e">
        <f>VLOOKUP($A391,tropes!$A$4:$O$2428,8,FALSE)</f>
        <v>#N/A</v>
      </c>
      <c r="I391" s="5" t="e">
        <f>VLOOKUP($A391,tropes!$A$4:$O$2428,9,FALSE)</f>
        <v>#N/A</v>
      </c>
      <c r="J391" s="5" t="e">
        <f>VLOOKUP($A391,tropes!$A$4:$O$2428,10,FALSE)</f>
        <v>#N/A</v>
      </c>
      <c r="K391" s="5" t="e">
        <f>VLOOKUP($A391,tropes!$A$4:$O$2428,11,FALSE)</f>
        <v>#N/A</v>
      </c>
      <c r="L391" s="5" t="e">
        <f>VLOOKUP($A391,tropes!$A$4:$O$2428,12,FALSE)</f>
        <v>#N/A</v>
      </c>
      <c r="M391" s="5" t="e">
        <f>VLOOKUP($A391,tropes!$A$4:$O$2428,13,FALSE)</f>
        <v>#N/A</v>
      </c>
      <c r="N391" s="5"/>
    </row>
    <row r="392" spans="1:14" x14ac:dyDescent="0.3">
      <c r="A392" s="14"/>
      <c r="B392" s="5" t="e">
        <f>VLOOKUP($A392,tropes!$A$4:$O$2428,2,FALSE)</f>
        <v>#N/A</v>
      </c>
      <c r="C392" s="5" t="e">
        <f>VLOOKUP($A392,tropes!$A$4:$O$2428,3,FALSE)</f>
        <v>#N/A</v>
      </c>
      <c r="D392" s="5" t="e">
        <f>VLOOKUP($A392,tropes!$A$4:$O$2428,4,FALSE)</f>
        <v>#N/A</v>
      </c>
      <c r="E392" s="5" t="e">
        <f>VLOOKUP($A392,tropes!$A$4:$O$2428,5,FALSE)</f>
        <v>#N/A</v>
      </c>
      <c r="F392" s="5" t="e">
        <f>VLOOKUP($A392,tropes!$A$4:$O$2428,6,FALSE)</f>
        <v>#N/A</v>
      </c>
      <c r="G392" s="5" t="e">
        <f>VLOOKUP($A392,tropes!$A$4:$O$2428,7,FALSE)</f>
        <v>#N/A</v>
      </c>
      <c r="H392" s="5" t="e">
        <f>VLOOKUP($A392,tropes!$A$4:$O$2428,8,FALSE)</f>
        <v>#N/A</v>
      </c>
      <c r="I392" s="5" t="e">
        <f>VLOOKUP($A392,tropes!$A$4:$O$2428,9,FALSE)</f>
        <v>#N/A</v>
      </c>
      <c r="J392" s="5" t="e">
        <f>VLOOKUP($A392,tropes!$A$4:$O$2428,10,FALSE)</f>
        <v>#N/A</v>
      </c>
      <c r="K392" s="5" t="e">
        <f>VLOOKUP($A392,tropes!$A$4:$O$2428,11,FALSE)</f>
        <v>#N/A</v>
      </c>
      <c r="L392" s="5" t="e">
        <f>VLOOKUP($A392,tropes!$A$4:$O$2428,12,FALSE)</f>
        <v>#N/A</v>
      </c>
      <c r="M392" s="5" t="e">
        <f>VLOOKUP($A392,tropes!$A$4:$O$2428,13,FALSE)</f>
        <v>#N/A</v>
      </c>
      <c r="N392" s="5"/>
    </row>
    <row r="393" spans="1:14" x14ac:dyDescent="0.3">
      <c r="A393" s="14"/>
      <c r="B393" s="5" t="e">
        <f>VLOOKUP($A393,tropes!$A$4:$O$2428,2,FALSE)</f>
        <v>#N/A</v>
      </c>
      <c r="C393" s="5" t="e">
        <f>VLOOKUP($A393,tropes!$A$4:$O$2428,3,FALSE)</f>
        <v>#N/A</v>
      </c>
      <c r="D393" s="5" t="e">
        <f>VLOOKUP($A393,tropes!$A$4:$O$2428,4,FALSE)</f>
        <v>#N/A</v>
      </c>
      <c r="E393" s="5" t="e">
        <f>VLOOKUP($A393,tropes!$A$4:$O$2428,5,FALSE)</f>
        <v>#N/A</v>
      </c>
      <c r="F393" s="5" t="e">
        <f>VLOOKUP($A393,tropes!$A$4:$O$2428,6,FALSE)</f>
        <v>#N/A</v>
      </c>
      <c r="G393" s="5" t="e">
        <f>VLOOKUP($A393,tropes!$A$4:$O$2428,7,FALSE)</f>
        <v>#N/A</v>
      </c>
      <c r="H393" s="5" t="e">
        <f>VLOOKUP($A393,tropes!$A$4:$O$2428,8,FALSE)</f>
        <v>#N/A</v>
      </c>
      <c r="I393" s="5" t="e">
        <f>VLOOKUP($A393,tropes!$A$4:$O$2428,9,FALSE)</f>
        <v>#N/A</v>
      </c>
      <c r="J393" s="5" t="e">
        <f>VLOOKUP($A393,tropes!$A$4:$O$2428,10,FALSE)</f>
        <v>#N/A</v>
      </c>
      <c r="K393" s="5" t="e">
        <f>VLOOKUP($A393,tropes!$A$4:$O$2428,11,FALSE)</f>
        <v>#N/A</v>
      </c>
      <c r="L393" s="5" t="e">
        <f>VLOOKUP($A393,tropes!$A$4:$O$2428,12,FALSE)</f>
        <v>#N/A</v>
      </c>
      <c r="M393" s="5" t="e">
        <f>VLOOKUP($A393,tropes!$A$4:$O$2428,13,FALSE)</f>
        <v>#N/A</v>
      </c>
      <c r="N393" s="5"/>
    </row>
    <row r="394" spans="1:14" x14ac:dyDescent="0.3">
      <c r="A394" s="14"/>
      <c r="B394" s="5" t="e">
        <f>VLOOKUP($A394,tropes!$A$4:$O$2428,2,FALSE)</f>
        <v>#N/A</v>
      </c>
      <c r="C394" s="5" t="e">
        <f>VLOOKUP($A394,tropes!$A$4:$O$2428,3,FALSE)</f>
        <v>#N/A</v>
      </c>
      <c r="D394" s="5" t="e">
        <f>VLOOKUP($A394,tropes!$A$4:$O$2428,4,FALSE)</f>
        <v>#N/A</v>
      </c>
      <c r="E394" s="5" t="e">
        <f>VLOOKUP($A394,tropes!$A$4:$O$2428,5,FALSE)</f>
        <v>#N/A</v>
      </c>
      <c r="F394" s="5" t="e">
        <f>VLOOKUP($A394,tropes!$A$4:$O$2428,6,FALSE)</f>
        <v>#N/A</v>
      </c>
      <c r="G394" s="5" t="e">
        <f>VLOOKUP($A394,tropes!$A$4:$O$2428,7,FALSE)</f>
        <v>#N/A</v>
      </c>
      <c r="H394" s="5" t="e">
        <f>VLOOKUP($A394,tropes!$A$4:$O$2428,8,FALSE)</f>
        <v>#N/A</v>
      </c>
      <c r="I394" s="5" t="e">
        <f>VLOOKUP($A394,tropes!$A$4:$O$2428,9,FALSE)</f>
        <v>#N/A</v>
      </c>
      <c r="J394" s="5" t="e">
        <f>VLOOKUP($A394,tropes!$A$4:$O$2428,10,FALSE)</f>
        <v>#N/A</v>
      </c>
      <c r="K394" s="5" t="e">
        <f>VLOOKUP($A394,tropes!$A$4:$O$2428,11,FALSE)</f>
        <v>#N/A</v>
      </c>
      <c r="L394" s="5" t="e">
        <f>VLOOKUP($A394,tropes!$A$4:$O$2428,12,FALSE)</f>
        <v>#N/A</v>
      </c>
      <c r="M394" s="5" t="e">
        <f>VLOOKUP($A394,tropes!$A$4:$O$2428,13,FALSE)</f>
        <v>#N/A</v>
      </c>
      <c r="N394" s="5"/>
    </row>
    <row r="395" spans="1:14" x14ac:dyDescent="0.3">
      <c r="A395" s="14"/>
      <c r="B395" s="5" t="e">
        <f>VLOOKUP($A395,tropes!$A$4:$O$2428,2,FALSE)</f>
        <v>#N/A</v>
      </c>
      <c r="C395" s="5" t="e">
        <f>VLOOKUP($A395,tropes!$A$4:$O$2428,3,FALSE)</f>
        <v>#N/A</v>
      </c>
      <c r="D395" s="5" t="e">
        <f>VLOOKUP($A395,tropes!$A$4:$O$2428,4,FALSE)</f>
        <v>#N/A</v>
      </c>
      <c r="E395" s="5" t="e">
        <f>VLOOKUP($A395,tropes!$A$4:$O$2428,5,FALSE)</f>
        <v>#N/A</v>
      </c>
      <c r="F395" s="5" t="e">
        <f>VLOOKUP($A395,tropes!$A$4:$O$2428,6,FALSE)</f>
        <v>#N/A</v>
      </c>
      <c r="G395" s="5" t="e">
        <f>VLOOKUP($A395,tropes!$A$4:$O$2428,7,FALSE)</f>
        <v>#N/A</v>
      </c>
      <c r="H395" s="5" t="e">
        <f>VLOOKUP($A395,tropes!$A$4:$O$2428,8,FALSE)</f>
        <v>#N/A</v>
      </c>
      <c r="I395" s="5" t="e">
        <f>VLOOKUP($A395,tropes!$A$4:$O$2428,9,FALSE)</f>
        <v>#N/A</v>
      </c>
      <c r="J395" s="5" t="e">
        <f>VLOOKUP($A395,tropes!$A$4:$O$2428,10,FALSE)</f>
        <v>#N/A</v>
      </c>
      <c r="K395" s="5" t="e">
        <f>VLOOKUP($A395,tropes!$A$4:$O$2428,11,FALSE)</f>
        <v>#N/A</v>
      </c>
      <c r="L395" s="5" t="e">
        <f>VLOOKUP($A395,tropes!$A$4:$O$2428,12,FALSE)</f>
        <v>#N/A</v>
      </c>
      <c r="M395" s="5" t="e">
        <f>VLOOKUP($A395,tropes!$A$4:$O$2428,13,FALSE)</f>
        <v>#N/A</v>
      </c>
      <c r="N395" s="5"/>
    </row>
    <row r="396" spans="1:14" x14ac:dyDescent="0.3">
      <c r="A396" s="14"/>
      <c r="B396" s="5" t="e">
        <f>VLOOKUP($A396,tropes!$A$4:$O$2428,2,FALSE)</f>
        <v>#N/A</v>
      </c>
      <c r="C396" s="5" t="e">
        <f>VLOOKUP($A396,tropes!$A$4:$O$2428,3,FALSE)</f>
        <v>#N/A</v>
      </c>
      <c r="D396" s="5" t="e">
        <f>VLOOKUP($A396,tropes!$A$4:$O$2428,4,FALSE)</f>
        <v>#N/A</v>
      </c>
      <c r="E396" s="5" t="e">
        <f>VLOOKUP($A396,tropes!$A$4:$O$2428,5,FALSE)</f>
        <v>#N/A</v>
      </c>
      <c r="F396" s="5" t="e">
        <f>VLOOKUP($A396,tropes!$A$4:$O$2428,6,FALSE)</f>
        <v>#N/A</v>
      </c>
      <c r="G396" s="5" t="e">
        <f>VLOOKUP($A396,tropes!$A$4:$O$2428,7,FALSE)</f>
        <v>#N/A</v>
      </c>
      <c r="H396" s="5" t="e">
        <f>VLOOKUP($A396,tropes!$A$4:$O$2428,8,FALSE)</f>
        <v>#N/A</v>
      </c>
      <c r="I396" s="5" t="e">
        <f>VLOOKUP($A396,tropes!$A$4:$O$2428,9,FALSE)</f>
        <v>#N/A</v>
      </c>
      <c r="J396" s="5" t="e">
        <f>VLOOKUP($A396,tropes!$A$4:$O$2428,10,FALSE)</f>
        <v>#N/A</v>
      </c>
      <c r="K396" s="5" t="e">
        <f>VLOOKUP($A396,tropes!$A$4:$O$2428,11,FALSE)</f>
        <v>#N/A</v>
      </c>
      <c r="L396" s="5" t="e">
        <f>VLOOKUP($A396,tropes!$A$4:$O$2428,12,FALSE)</f>
        <v>#N/A</v>
      </c>
      <c r="M396" s="5" t="e">
        <f>VLOOKUP($A396,tropes!$A$4:$O$2428,13,FALSE)</f>
        <v>#N/A</v>
      </c>
      <c r="N396" s="5"/>
    </row>
    <row r="397" spans="1:14" x14ac:dyDescent="0.3">
      <c r="A397" s="14"/>
      <c r="B397" s="5" t="e">
        <f>VLOOKUP($A397,tropes!$A$4:$O$2428,2,FALSE)</f>
        <v>#N/A</v>
      </c>
      <c r="C397" s="5" t="e">
        <f>VLOOKUP($A397,tropes!$A$4:$O$2428,3,FALSE)</f>
        <v>#N/A</v>
      </c>
      <c r="D397" s="5" t="e">
        <f>VLOOKUP($A397,tropes!$A$4:$O$2428,4,FALSE)</f>
        <v>#N/A</v>
      </c>
      <c r="E397" s="5" t="e">
        <f>VLOOKUP($A397,tropes!$A$4:$O$2428,5,FALSE)</f>
        <v>#N/A</v>
      </c>
      <c r="F397" s="5" t="e">
        <f>VLOOKUP($A397,tropes!$A$4:$O$2428,6,FALSE)</f>
        <v>#N/A</v>
      </c>
      <c r="G397" s="5" t="e">
        <f>VLOOKUP($A397,tropes!$A$4:$O$2428,7,FALSE)</f>
        <v>#N/A</v>
      </c>
      <c r="H397" s="5" t="e">
        <f>VLOOKUP($A397,tropes!$A$4:$O$2428,8,FALSE)</f>
        <v>#N/A</v>
      </c>
      <c r="I397" s="5" t="e">
        <f>VLOOKUP($A397,tropes!$A$4:$O$2428,9,FALSE)</f>
        <v>#N/A</v>
      </c>
      <c r="J397" s="5" t="e">
        <f>VLOOKUP($A397,tropes!$A$4:$O$2428,10,FALSE)</f>
        <v>#N/A</v>
      </c>
      <c r="K397" s="5" t="e">
        <f>VLOOKUP($A397,tropes!$A$4:$O$2428,11,FALSE)</f>
        <v>#N/A</v>
      </c>
      <c r="L397" s="5" t="e">
        <f>VLOOKUP($A397,tropes!$A$4:$O$2428,12,FALSE)</f>
        <v>#N/A</v>
      </c>
      <c r="M397" s="5" t="e">
        <f>VLOOKUP($A397,tropes!$A$4:$O$2428,13,FALSE)</f>
        <v>#N/A</v>
      </c>
      <c r="N397" s="5"/>
    </row>
    <row r="398" spans="1:14" x14ac:dyDescent="0.3">
      <c r="A398" s="14"/>
      <c r="B398" s="5" t="e">
        <f>VLOOKUP($A398,tropes!$A$4:$O$2428,2,FALSE)</f>
        <v>#N/A</v>
      </c>
      <c r="C398" s="5" t="e">
        <f>VLOOKUP($A398,tropes!$A$4:$O$2428,3,FALSE)</f>
        <v>#N/A</v>
      </c>
      <c r="D398" s="5" t="e">
        <f>VLOOKUP($A398,tropes!$A$4:$O$2428,4,FALSE)</f>
        <v>#N/A</v>
      </c>
      <c r="E398" s="5" t="e">
        <f>VLOOKUP($A398,tropes!$A$4:$O$2428,5,FALSE)</f>
        <v>#N/A</v>
      </c>
      <c r="F398" s="5" t="e">
        <f>VLOOKUP($A398,tropes!$A$4:$O$2428,6,FALSE)</f>
        <v>#N/A</v>
      </c>
      <c r="G398" s="5" t="e">
        <f>VLOOKUP($A398,tropes!$A$4:$O$2428,7,FALSE)</f>
        <v>#N/A</v>
      </c>
      <c r="H398" s="5" t="e">
        <f>VLOOKUP($A398,tropes!$A$4:$O$2428,8,FALSE)</f>
        <v>#N/A</v>
      </c>
      <c r="I398" s="5" t="e">
        <f>VLOOKUP($A398,tropes!$A$4:$O$2428,9,FALSE)</f>
        <v>#N/A</v>
      </c>
      <c r="J398" s="5" t="e">
        <f>VLOOKUP($A398,tropes!$A$4:$O$2428,10,FALSE)</f>
        <v>#N/A</v>
      </c>
      <c r="K398" s="5" t="e">
        <f>VLOOKUP($A398,tropes!$A$4:$O$2428,11,FALSE)</f>
        <v>#N/A</v>
      </c>
      <c r="L398" s="5" t="e">
        <f>VLOOKUP($A398,tropes!$A$4:$O$2428,12,FALSE)</f>
        <v>#N/A</v>
      </c>
      <c r="M398" s="5" t="e">
        <f>VLOOKUP($A398,tropes!$A$4:$O$2428,13,FALSE)</f>
        <v>#N/A</v>
      </c>
      <c r="N398" s="5"/>
    </row>
    <row r="399" spans="1:14" x14ac:dyDescent="0.3">
      <c r="A399" s="14"/>
      <c r="B399" s="5" t="e">
        <f>VLOOKUP($A399,tropes!$A$4:$O$2428,2,FALSE)</f>
        <v>#N/A</v>
      </c>
      <c r="C399" s="5" t="e">
        <f>VLOOKUP($A399,tropes!$A$4:$O$2428,3,FALSE)</f>
        <v>#N/A</v>
      </c>
      <c r="D399" s="5" t="e">
        <f>VLOOKUP($A399,tropes!$A$4:$O$2428,4,FALSE)</f>
        <v>#N/A</v>
      </c>
      <c r="E399" s="5" t="e">
        <f>VLOOKUP($A399,tropes!$A$4:$O$2428,5,FALSE)</f>
        <v>#N/A</v>
      </c>
      <c r="F399" s="5" t="e">
        <f>VLOOKUP($A399,tropes!$A$4:$O$2428,6,FALSE)</f>
        <v>#N/A</v>
      </c>
      <c r="G399" s="5" t="e">
        <f>VLOOKUP($A399,tropes!$A$4:$O$2428,7,FALSE)</f>
        <v>#N/A</v>
      </c>
      <c r="H399" s="5" t="e">
        <f>VLOOKUP($A399,tropes!$A$4:$O$2428,8,FALSE)</f>
        <v>#N/A</v>
      </c>
      <c r="I399" s="5" t="e">
        <f>VLOOKUP($A399,tropes!$A$4:$O$2428,9,FALSE)</f>
        <v>#N/A</v>
      </c>
      <c r="J399" s="5" t="e">
        <f>VLOOKUP($A399,tropes!$A$4:$O$2428,10,FALSE)</f>
        <v>#N/A</v>
      </c>
      <c r="K399" s="5" t="e">
        <f>VLOOKUP($A399,tropes!$A$4:$O$2428,11,FALSE)</f>
        <v>#N/A</v>
      </c>
      <c r="L399" s="5" t="e">
        <f>VLOOKUP($A399,tropes!$A$4:$O$2428,12,FALSE)</f>
        <v>#N/A</v>
      </c>
      <c r="M399" s="5" t="e">
        <f>VLOOKUP($A399,tropes!$A$4:$O$2428,13,FALSE)</f>
        <v>#N/A</v>
      </c>
      <c r="N399" s="5"/>
    </row>
    <row r="400" spans="1:14" x14ac:dyDescent="0.3">
      <c r="A400" s="14"/>
      <c r="B400" s="5" t="e">
        <f>VLOOKUP($A400,tropes!$A$4:$O$2428,2,FALSE)</f>
        <v>#N/A</v>
      </c>
      <c r="C400" s="5" t="e">
        <f>VLOOKUP($A400,tropes!$A$4:$O$2428,3,FALSE)</f>
        <v>#N/A</v>
      </c>
      <c r="D400" s="5" t="e">
        <f>VLOOKUP($A400,tropes!$A$4:$O$2428,4,FALSE)</f>
        <v>#N/A</v>
      </c>
      <c r="E400" s="5" t="e">
        <f>VLOOKUP($A400,tropes!$A$4:$O$2428,5,FALSE)</f>
        <v>#N/A</v>
      </c>
      <c r="F400" s="5" t="e">
        <f>VLOOKUP($A400,tropes!$A$4:$O$2428,6,FALSE)</f>
        <v>#N/A</v>
      </c>
      <c r="G400" s="5" t="e">
        <f>VLOOKUP($A400,tropes!$A$4:$O$2428,7,FALSE)</f>
        <v>#N/A</v>
      </c>
      <c r="H400" s="5" t="e">
        <f>VLOOKUP($A400,tropes!$A$4:$O$2428,8,FALSE)</f>
        <v>#N/A</v>
      </c>
      <c r="I400" s="5" t="e">
        <f>VLOOKUP($A400,tropes!$A$4:$O$2428,9,FALSE)</f>
        <v>#N/A</v>
      </c>
      <c r="J400" s="5" t="e">
        <f>VLOOKUP($A400,tropes!$A$4:$O$2428,10,FALSE)</f>
        <v>#N/A</v>
      </c>
      <c r="K400" s="5" t="e">
        <f>VLOOKUP($A400,tropes!$A$4:$O$2428,11,FALSE)</f>
        <v>#N/A</v>
      </c>
      <c r="L400" s="5" t="e">
        <f>VLOOKUP($A400,tropes!$A$4:$O$2428,12,FALSE)</f>
        <v>#N/A</v>
      </c>
      <c r="M400" s="5" t="e">
        <f>VLOOKUP($A400,tropes!$A$4:$O$2428,13,FALSE)</f>
        <v>#N/A</v>
      </c>
      <c r="N400" s="5"/>
    </row>
    <row r="401" spans="1:14" x14ac:dyDescent="0.3">
      <c r="A401" s="14"/>
      <c r="B401" s="5" t="e">
        <f>VLOOKUP($A401,tropes!$A$4:$O$2428,2,FALSE)</f>
        <v>#N/A</v>
      </c>
      <c r="C401" s="5" t="e">
        <f>VLOOKUP($A401,tropes!$A$4:$O$2428,3,FALSE)</f>
        <v>#N/A</v>
      </c>
      <c r="D401" s="5" t="e">
        <f>VLOOKUP($A401,tropes!$A$4:$O$2428,4,FALSE)</f>
        <v>#N/A</v>
      </c>
      <c r="E401" s="5" t="e">
        <f>VLOOKUP($A401,tropes!$A$4:$O$2428,5,FALSE)</f>
        <v>#N/A</v>
      </c>
      <c r="F401" s="5" t="e">
        <f>VLOOKUP($A401,tropes!$A$4:$O$2428,6,FALSE)</f>
        <v>#N/A</v>
      </c>
      <c r="G401" s="5" t="e">
        <f>VLOOKUP($A401,tropes!$A$4:$O$2428,7,FALSE)</f>
        <v>#N/A</v>
      </c>
      <c r="H401" s="5" t="e">
        <f>VLOOKUP($A401,tropes!$A$4:$O$2428,8,FALSE)</f>
        <v>#N/A</v>
      </c>
      <c r="I401" s="5" t="e">
        <f>VLOOKUP($A401,tropes!$A$4:$O$2428,9,FALSE)</f>
        <v>#N/A</v>
      </c>
      <c r="J401" s="5" t="e">
        <f>VLOOKUP($A401,tropes!$A$4:$O$2428,10,FALSE)</f>
        <v>#N/A</v>
      </c>
      <c r="K401" s="5" t="e">
        <f>VLOOKUP($A401,tropes!$A$4:$O$2428,11,FALSE)</f>
        <v>#N/A</v>
      </c>
      <c r="L401" s="5" t="e">
        <f>VLOOKUP($A401,tropes!$A$4:$O$2428,12,FALSE)</f>
        <v>#N/A</v>
      </c>
      <c r="M401" s="5" t="e">
        <f>VLOOKUP($A401,tropes!$A$4:$O$2428,13,FALSE)</f>
        <v>#N/A</v>
      </c>
      <c r="N401" s="5"/>
    </row>
    <row r="402" spans="1:14" x14ac:dyDescent="0.3">
      <c r="A402" s="14"/>
      <c r="B402" s="5" t="e">
        <f>VLOOKUP($A402,tropes!$A$4:$O$2428,2,FALSE)</f>
        <v>#N/A</v>
      </c>
      <c r="C402" s="5" t="e">
        <f>VLOOKUP($A402,tropes!$A$4:$O$2428,3,FALSE)</f>
        <v>#N/A</v>
      </c>
      <c r="D402" s="5" t="e">
        <f>VLOOKUP($A402,tropes!$A$4:$O$2428,4,FALSE)</f>
        <v>#N/A</v>
      </c>
      <c r="E402" s="5" t="e">
        <f>VLOOKUP($A402,tropes!$A$4:$O$2428,5,FALSE)</f>
        <v>#N/A</v>
      </c>
      <c r="F402" s="5" t="e">
        <f>VLOOKUP($A402,tropes!$A$4:$O$2428,6,FALSE)</f>
        <v>#N/A</v>
      </c>
      <c r="G402" s="5" t="e">
        <f>VLOOKUP($A402,tropes!$A$4:$O$2428,7,FALSE)</f>
        <v>#N/A</v>
      </c>
      <c r="H402" s="5" t="e">
        <f>VLOOKUP($A402,tropes!$A$4:$O$2428,8,FALSE)</f>
        <v>#N/A</v>
      </c>
      <c r="I402" s="5" t="e">
        <f>VLOOKUP($A402,tropes!$A$4:$O$2428,9,FALSE)</f>
        <v>#N/A</v>
      </c>
      <c r="J402" s="5" t="e">
        <f>VLOOKUP($A402,tropes!$A$4:$O$2428,10,FALSE)</f>
        <v>#N/A</v>
      </c>
      <c r="K402" s="5" t="e">
        <f>VLOOKUP($A402,tropes!$A$4:$O$2428,11,FALSE)</f>
        <v>#N/A</v>
      </c>
      <c r="L402" s="5" t="e">
        <f>VLOOKUP($A402,tropes!$A$4:$O$2428,12,FALSE)</f>
        <v>#N/A</v>
      </c>
      <c r="M402" s="5" t="e">
        <f>VLOOKUP($A402,tropes!$A$4:$O$2428,13,FALSE)</f>
        <v>#N/A</v>
      </c>
      <c r="N402" s="5"/>
    </row>
    <row r="403" spans="1:14" x14ac:dyDescent="0.3">
      <c r="A403" s="14"/>
      <c r="B403" s="5" t="e">
        <f>VLOOKUP($A403,tropes!$A$4:$O$2428,2,FALSE)</f>
        <v>#N/A</v>
      </c>
      <c r="C403" s="5" t="e">
        <f>VLOOKUP($A403,tropes!$A$4:$O$2428,3,FALSE)</f>
        <v>#N/A</v>
      </c>
      <c r="D403" s="5" t="e">
        <f>VLOOKUP($A403,tropes!$A$4:$O$2428,4,FALSE)</f>
        <v>#N/A</v>
      </c>
      <c r="E403" s="5" t="e">
        <f>VLOOKUP($A403,tropes!$A$4:$O$2428,5,FALSE)</f>
        <v>#N/A</v>
      </c>
      <c r="F403" s="5" t="e">
        <f>VLOOKUP($A403,tropes!$A$4:$O$2428,6,FALSE)</f>
        <v>#N/A</v>
      </c>
      <c r="G403" s="5" t="e">
        <f>VLOOKUP($A403,tropes!$A$4:$O$2428,7,FALSE)</f>
        <v>#N/A</v>
      </c>
      <c r="H403" s="5" t="e">
        <f>VLOOKUP($A403,tropes!$A$4:$O$2428,8,FALSE)</f>
        <v>#N/A</v>
      </c>
      <c r="I403" s="5" t="e">
        <f>VLOOKUP($A403,tropes!$A$4:$O$2428,9,FALSE)</f>
        <v>#N/A</v>
      </c>
      <c r="J403" s="5" t="e">
        <f>VLOOKUP($A403,tropes!$A$4:$O$2428,10,FALSE)</f>
        <v>#N/A</v>
      </c>
      <c r="K403" s="5" t="e">
        <f>VLOOKUP($A403,tropes!$A$4:$O$2428,11,FALSE)</f>
        <v>#N/A</v>
      </c>
      <c r="L403" s="5" t="e">
        <f>VLOOKUP($A403,tropes!$A$4:$O$2428,12,FALSE)</f>
        <v>#N/A</v>
      </c>
      <c r="M403" s="5" t="e">
        <f>VLOOKUP($A403,tropes!$A$4:$O$2428,13,FALSE)</f>
        <v>#N/A</v>
      </c>
      <c r="N403" s="5"/>
    </row>
    <row r="404" spans="1:14" x14ac:dyDescent="0.3">
      <c r="A404" s="14"/>
      <c r="B404" s="5" t="e">
        <f>VLOOKUP($A404,tropes!$A$4:$O$2428,2,FALSE)</f>
        <v>#N/A</v>
      </c>
      <c r="C404" s="5" t="e">
        <f>VLOOKUP($A404,tropes!$A$4:$O$2428,3,FALSE)</f>
        <v>#N/A</v>
      </c>
      <c r="D404" s="5" t="e">
        <f>VLOOKUP($A404,tropes!$A$4:$O$2428,4,FALSE)</f>
        <v>#N/A</v>
      </c>
      <c r="E404" s="5" t="e">
        <f>VLOOKUP($A404,tropes!$A$4:$O$2428,5,FALSE)</f>
        <v>#N/A</v>
      </c>
      <c r="F404" s="5" t="e">
        <f>VLOOKUP($A404,tropes!$A$4:$O$2428,6,FALSE)</f>
        <v>#N/A</v>
      </c>
      <c r="G404" s="5" t="e">
        <f>VLOOKUP($A404,tropes!$A$4:$O$2428,7,FALSE)</f>
        <v>#N/A</v>
      </c>
      <c r="H404" s="5" t="e">
        <f>VLOOKUP($A404,tropes!$A$4:$O$2428,8,FALSE)</f>
        <v>#N/A</v>
      </c>
      <c r="I404" s="5" t="e">
        <f>VLOOKUP($A404,tropes!$A$4:$O$2428,9,FALSE)</f>
        <v>#N/A</v>
      </c>
      <c r="J404" s="5" t="e">
        <f>VLOOKUP($A404,tropes!$A$4:$O$2428,10,FALSE)</f>
        <v>#N/A</v>
      </c>
      <c r="K404" s="5" t="e">
        <f>VLOOKUP($A404,tropes!$A$4:$O$2428,11,FALSE)</f>
        <v>#N/A</v>
      </c>
      <c r="L404" s="5" t="e">
        <f>VLOOKUP($A404,tropes!$A$4:$O$2428,12,FALSE)</f>
        <v>#N/A</v>
      </c>
      <c r="M404" s="5" t="e">
        <f>VLOOKUP($A404,tropes!$A$4:$O$2428,13,FALSE)</f>
        <v>#N/A</v>
      </c>
      <c r="N404" s="5"/>
    </row>
    <row r="405" spans="1:14" x14ac:dyDescent="0.3">
      <c r="A405" s="14"/>
      <c r="B405" s="5" t="e">
        <f>VLOOKUP($A405,tropes!$A$4:$O$2428,2,FALSE)</f>
        <v>#N/A</v>
      </c>
      <c r="C405" s="5" t="e">
        <f>VLOOKUP($A405,tropes!$A$4:$O$2428,3,FALSE)</f>
        <v>#N/A</v>
      </c>
      <c r="D405" s="5" t="e">
        <f>VLOOKUP($A405,tropes!$A$4:$O$2428,4,FALSE)</f>
        <v>#N/A</v>
      </c>
      <c r="E405" s="5" t="e">
        <f>VLOOKUP($A405,tropes!$A$4:$O$2428,5,FALSE)</f>
        <v>#N/A</v>
      </c>
      <c r="F405" s="5" t="e">
        <f>VLOOKUP($A405,tropes!$A$4:$O$2428,6,FALSE)</f>
        <v>#N/A</v>
      </c>
      <c r="G405" s="5" t="e">
        <f>VLOOKUP($A405,tropes!$A$4:$O$2428,7,FALSE)</f>
        <v>#N/A</v>
      </c>
      <c r="H405" s="5" t="e">
        <f>VLOOKUP($A405,tropes!$A$4:$O$2428,8,FALSE)</f>
        <v>#N/A</v>
      </c>
      <c r="I405" s="5" t="e">
        <f>VLOOKUP($A405,tropes!$A$4:$O$2428,9,FALSE)</f>
        <v>#N/A</v>
      </c>
      <c r="J405" s="5" t="e">
        <f>VLOOKUP($A405,tropes!$A$4:$O$2428,10,FALSE)</f>
        <v>#N/A</v>
      </c>
      <c r="K405" s="5" t="e">
        <f>VLOOKUP($A405,tropes!$A$4:$O$2428,11,FALSE)</f>
        <v>#N/A</v>
      </c>
      <c r="L405" s="5" t="e">
        <f>VLOOKUP($A405,tropes!$A$4:$O$2428,12,FALSE)</f>
        <v>#N/A</v>
      </c>
      <c r="M405" s="5" t="e">
        <f>VLOOKUP($A405,tropes!$A$4:$O$2428,13,FALSE)</f>
        <v>#N/A</v>
      </c>
      <c r="N405" s="5"/>
    </row>
    <row r="406" spans="1:14" x14ac:dyDescent="0.3">
      <c r="A406" s="14"/>
      <c r="B406" s="5" t="e">
        <f>VLOOKUP($A406,tropes!$A$4:$O$2428,2,FALSE)</f>
        <v>#N/A</v>
      </c>
      <c r="C406" s="5" t="e">
        <f>VLOOKUP($A406,tropes!$A$4:$O$2428,3,FALSE)</f>
        <v>#N/A</v>
      </c>
      <c r="D406" s="5" t="e">
        <f>VLOOKUP($A406,tropes!$A$4:$O$2428,4,FALSE)</f>
        <v>#N/A</v>
      </c>
      <c r="E406" s="5" t="e">
        <f>VLOOKUP($A406,tropes!$A$4:$O$2428,5,FALSE)</f>
        <v>#N/A</v>
      </c>
      <c r="F406" s="5" t="e">
        <f>VLOOKUP($A406,tropes!$A$4:$O$2428,6,FALSE)</f>
        <v>#N/A</v>
      </c>
      <c r="G406" s="5" t="e">
        <f>VLOOKUP($A406,tropes!$A$4:$O$2428,7,FALSE)</f>
        <v>#N/A</v>
      </c>
      <c r="H406" s="5" t="e">
        <f>VLOOKUP($A406,tropes!$A$4:$O$2428,8,FALSE)</f>
        <v>#N/A</v>
      </c>
      <c r="I406" s="5" t="e">
        <f>VLOOKUP($A406,tropes!$A$4:$O$2428,9,FALSE)</f>
        <v>#N/A</v>
      </c>
      <c r="J406" s="5" t="e">
        <f>VLOOKUP($A406,tropes!$A$4:$O$2428,10,FALSE)</f>
        <v>#N/A</v>
      </c>
      <c r="K406" s="5" t="e">
        <f>VLOOKUP($A406,tropes!$A$4:$O$2428,11,FALSE)</f>
        <v>#N/A</v>
      </c>
      <c r="L406" s="5" t="e">
        <f>VLOOKUP($A406,tropes!$A$4:$O$2428,12,FALSE)</f>
        <v>#N/A</v>
      </c>
      <c r="M406" s="5" t="e">
        <f>VLOOKUP($A406,tropes!$A$4:$O$2428,13,FALSE)</f>
        <v>#N/A</v>
      </c>
      <c r="N406" s="5"/>
    </row>
    <row r="407" spans="1:14" x14ac:dyDescent="0.3">
      <c r="A407" s="14"/>
      <c r="B407" s="5" t="e">
        <f>VLOOKUP($A407,tropes!$A$4:$O$2428,2,FALSE)</f>
        <v>#N/A</v>
      </c>
      <c r="C407" s="5" t="e">
        <f>VLOOKUP($A407,tropes!$A$4:$O$2428,3,FALSE)</f>
        <v>#N/A</v>
      </c>
      <c r="D407" s="5" t="e">
        <f>VLOOKUP($A407,tropes!$A$4:$O$2428,4,FALSE)</f>
        <v>#N/A</v>
      </c>
      <c r="E407" s="5" t="e">
        <f>VLOOKUP($A407,tropes!$A$4:$O$2428,5,FALSE)</f>
        <v>#N/A</v>
      </c>
      <c r="F407" s="5" t="e">
        <f>VLOOKUP($A407,tropes!$A$4:$O$2428,6,FALSE)</f>
        <v>#N/A</v>
      </c>
      <c r="G407" s="5" t="e">
        <f>VLOOKUP($A407,tropes!$A$4:$O$2428,7,FALSE)</f>
        <v>#N/A</v>
      </c>
      <c r="H407" s="5" t="e">
        <f>VLOOKUP($A407,tropes!$A$4:$O$2428,8,FALSE)</f>
        <v>#N/A</v>
      </c>
      <c r="I407" s="5" t="e">
        <f>VLOOKUP($A407,tropes!$A$4:$O$2428,9,FALSE)</f>
        <v>#N/A</v>
      </c>
      <c r="J407" s="5" t="e">
        <f>VLOOKUP($A407,tropes!$A$4:$O$2428,10,FALSE)</f>
        <v>#N/A</v>
      </c>
      <c r="K407" s="5" t="e">
        <f>VLOOKUP($A407,tropes!$A$4:$O$2428,11,FALSE)</f>
        <v>#N/A</v>
      </c>
      <c r="L407" s="5" t="e">
        <f>VLOOKUP($A407,tropes!$A$4:$O$2428,12,FALSE)</f>
        <v>#N/A</v>
      </c>
      <c r="M407" s="5" t="e">
        <f>VLOOKUP($A407,tropes!$A$4:$O$2428,13,FALSE)</f>
        <v>#N/A</v>
      </c>
      <c r="N407" s="5"/>
    </row>
    <row r="408" spans="1:14" x14ac:dyDescent="0.3">
      <c r="A408" s="14"/>
      <c r="B408" s="5" t="e">
        <f>VLOOKUP($A408,tropes!$A$4:$O$2428,2,FALSE)</f>
        <v>#N/A</v>
      </c>
      <c r="C408" s="5" t="e">
        <f>VLOOKUP($A408,tropes!$A$4:$O$2428,3,FALSE)</f>
        <v>#N/A</v>
      </c>
      <c r="D408" s="5" t="e">
        <f>VLOOKUP($A408,tropes!$A$4:$O$2428,4,FALSE)</f>
        <v>#N/A</v>
      </c>
      <c r="E408" s="5" t="e">
        <f>VLOOKUP($A408,tropes!$A$4:$O$2428,5,FALSE)</f>
        <v>#N/A</v>
      </c>
      <c r="F408" s="5" t="e">
        <f>VLOOKUP($A408,tropes!$A$4:$O$2428,6,FALSE)</f>
        <v>#N/A</v>
      </c>
      <c r="G408" s="5" t="e">
        <f>VLOOKUP($A408,tropes!$A$4:$O$2428,7,FALSE)</f>
        <v>#N/A</v>
      </c>
      <c r="H408" s="5" t="e">
        <f>VLOOKUP($A408,tropes!$A$4:$O$2428,8,FALSE)</f>
        <v>#N/A</v>
      </c>
      <c r="I408" s="5" t="e">
        <f>VLOOKUP($A408,tropes!$A$4:$O$2428,9,FALSE)</f>
        <v>#N/A</v>
      </c>
      <c r="J408" s="5" t="e">
        <f>VLOOKUP($A408,tropes!$A$4:$O$2428,10,FALSE)</f>
        <v>#N/A</v>
      </c>
      <c r="K408" s="5" t="e">
        <f>VLOOKUP($A408,tropes!$A$4:$O$2428,11,FALSE)</f>
        <v>#N/A</v>
      </c>
      <c r="L408" s="5" t="e">
        <f>VLOOKUP($A408,tropes!$A$4:$O$2428,12,FALSE)</f>
        <v>#N/A</v>
      </c>
      <c r="M408" s="5" t="e">
        <f>VLOOKUP($A408,tropes!$A$4:$O$2428,13,FALSE)</f>
        <v>#N/A</v>
      </c>
      <c r="N408" s="5"/>
    </row>
    <row r="409" spans="1:14" x14ac:dyDescent="0.3">
      <c r="A409" s="14"/>
      <c r="B409" s="5" t="e">
        <f>VLOOKUP($A409,tropes!$A$4:$O$2428,2,FALSE)</f>
        <v>#N/A</v>
      </c>
      <c r="C409" s="5" t="e">
        <f>VLOOKUP($A409,tropes!$A$4:$O$2428,3,FALSE)</f>
        <v>#N/A</v>
      </c>
      <c r="D409" s="5" t="e">
        <f>VLOOKUP($A409,tropes!$A$4:$O$2428,4,FALSE)</f>
        <v>#N/A</v>
      </c>
      <c r="E409" s="5" t="e">
        <f>VLOOKUP($A409,tropes!$A$4:$O$2428,5,FALSE)</f>
        <v>#N/A</v>
      </c>
      <c r="F409" s="5" t="e">
        <f>VLOOKUP($A409,tropes!$A$4:$O$2428,6,FALSE)</f>
        <v>#N/A</v>
      </c>
      <c r="G409" s="5" t="e">
        <f>VLOOKUP($A409,tropes!$A$4:$O$2428,7,FALSE)</f>
        <v>#N/A</v>
      </c>
      <c r="H409" s="5" t="e">
        <f>VLOOKUP($A409,tropes!$A$4:$O$2428,8,FALSE)</f>
        <v>#N/A</v>
      </c>
      <c r="I409" s="5" t="e">
        <f>VLOOKUP($A409,tropes!$A$4:$O$2428,9,FALSE)</f>
        <v>#N/A</v>
      </c>
      <c r="J409" s="5" t="e">
        <f>VLOOKUP($A409,tropes!$A$4:$O$2428,10,FALSE)</f>
        <v>#N/A</v>
      </c>
      <c r="K409" s="5" t="e">
        <f>VLOOKUP($A409,tropes!$A$4:$O$2428,11,FALSE)</f>
        <v>#N/A</v>
      </c>
      <c r="L409" s="5" t="e">
        <f>VLOOKUP($A409,tropes!$A$4:$O$2428,12,FALSE)</f>
        <v>#N/A</v>
      </c>
      <c r="M409" s="5" t="e">
        <f>VLOOKUP($A409,tropes!$A$4:$O$2428,13,FALSE)</f>
        <v>#N/A</v>
      </c>
      <c r="N409" s="5"/>
    </row>
    <row r="410" spans="1:14" x14ac:dyDescent="0.3">
      <c r="A410" s="14"/>
      <c r="B410" s="5" t="e">
        <f>VLOOKUP($A410,tropes!$A$4:$O$2428,2,FALSE)</f>
        <v>#N/A</v>
      </c>
      <c r="C410" s="5" t="e">
        <f>VLOOKUP($A410,tropes!$A$4:$O$2428,3,FALSE)</f>
        <v>#N/A</v>
      </c>
      <c r="D410" s="5" t="e">
        <f>VLOOKUP($A410,tropes!$A$4:$O$2428,4,FALSE)</f>
        <v>#N/A</v>
      </c>
      <c r="E410" s="5" t="e">
        <f>VLOOKUP($A410,tropes!$A$4:$O$2428,5,FALSE)</f>
        <v>#N/A</v>
      </c>
      <c r="F410" s="5" t="e">
        <f>VLOOKUP($A410,tropes!$A$4:$O$2428,6,FALSE)</f>
        <v>#N/A</v>
      </c>
      <c r="G410" s="5" t="e">
        <f>VLOOKUP($A410,tropes!$A$4:$O$2428,7,FALSE)</f>
        <v>#N/A</v>
      </c>
      <c r="H410" s="5" t="e">
        <f>VLOOKUP($A410,tropes!$A$4:$O$2428,8,FALSE)</f>
        <v>#N/A</v>
      </c>
      <c r="I410" s="5" t="e">
        <f>VLOOKUP($A410,tropes!$A$4:$O$2428,9,FALSE)</f>
        <v>#N/A</v>
      </c>
      <c r="J410" s="5" t="e">
        <f>VLOOKUP($A410,tropes!$A$4:$O$2428,10,FALSE)</f>
        <v>#N/A</v>
      </c>
      <c r="K410" s="5" t="e">
        <f>VLOOKUP($A410,tropes!$A$4:$O$2428,11,FALSE)</f>
        <v>#N/A</v>
      </c>
      <c r="L410" s="5" t="e">
        <f>VLOOKUP($A410,tropes!$A$4:$O$2428,12,FALSE)</f>
        <v>#N/A</v>
      </c>
      <c r="M410" s="5" t="e">
        <f>VLOOKUP($A410,tropes!$A$4:$O$2428,13,FALSE)</f>
        <v>#N/A</v>
      </c>
      <c r="N410" s="5"/>
    </row>
    <row r="411" spans="1:14" x14ac:dyDescent="0.3">
      <c r="A411" s="14"/>
      <c r="B411" s="5" t="e">
        <f>VLOOKUP($A411,tropes!$A$4:$O$2428,2,FALSE)</f>
        <v>#N/A</v>
      </c>
      <c r="C411" s="5" t="e">
        <f>VLOOKUP($A411,tropes!$A$4:$O$2428,3,FALSE)</f>
        <v>#N/A</v>
      </c>
      <c r="D411" s="5" t="e">
        <f>VLOOKUP($A411,tropes!$A$4:$O$2428,4,FALSE)</f>
        <v>#N/A</v>
      </c>
      <c r="E411" s="5" t="e">
        <f>VLOOKUP($A411,tropes!$A$4:$O$2428,5,FALSE)</f>
        <v>#N/A</v>
      </c>
      <c r="F411" s="5" t="e">
        <f>VLOOKUP($A411,tropes!$A$4:$O$2428,6,FALSE)</f>
        <v>#N/A</v>
      </c>
      <c r="G411" s="5" t="e">
        <f>VLOOKUP($A411,tropes!$A$4:$O$2428,7,FALSE)</f>
        <v>#N/A</v>
      </c>
      <c r="H411" s="5" t="e">
        <f>VLOOKUP($A411,tropes!$A$4:$O$2428,8,FALSE)</f>
        <v>#N/A</v>
      </c>
      <c r="I411" s="5" t="e">
        <f>VLOOKUP($A411,tropes!$A$4:$O$2428,9,FALSE)</f>
        <v>#N/A</v>
      </c>
      <c r="J411" s="5" t="e">
        <f>VLOOKUP($A411,tropes!$A$4:$O$2428,10,FALSE)</f>
        <v>#N/A</v>
      </c>
      <c r="K411" s="5" t="e">
        <f>VLOOKUP($A411,tropes!$A$4:$O$2428,11,FALSE)</f>
        <v>#N/A</v>
      </c>
      <c r="L411" s="5" t="e">
        <f>VLOOKUP($A411,tropes!$A$4:$O$2428,12,FALSE)</f>
        <v>#N/A</v>
      </c>
      <c r="M411" s="5" t="e">
        <f>VLOOKUP($A411,tropes!$A$4:$O$2428,13,FALSE)</f>
        <v>#N/A</v>
      </c>
      <c r="N411" s="5"/>
    </row>
    <row r="412" spans="1:14" x14ac:dyDescent="0.3">
      <c r="A412" s="14"/>
      <c r="B412" s="5" t="e">
        <f>VLOOKUP($A412,tropes!$A$4:$O$2428,2,FALSE)</f>
        <v>#N/A</v>
      </c>
      <c r="C412" s="5" t="e">
        <f>VLOOKUP($A412,tropes!$A$4:$O$2428,3,FALSE)</f>
        <v>#N/A</v>
      </c>
      <c r="D412" s="5" t="e">
        <f>VLOOKUP($A412,tropes!$A$4:$O$2428,4,FALSE)</f>
        <v>#N/A</v>
      </c>
      <c r="E412" s="5" t="e">
        <f>VLOOKUP($A412,tropes!$A$4:$O$2428,5,FALSE)</f>
        <v>#N/A</v>
      </c>
      <c r="F412" s="5" t="e">
        <f>VLOOKUP($A412,tropes!$A$4:$O$2428,6,FALSE)</f>
        <v>#N/A</v>
      </c>
      <c r="G412" s="5" t="e">
        <f>VLOOKUP($A412,tropes!$A$4:$O$2428,7,FALSE)</f>
        <v>#N/A</v>
      </c>
      <c r="H412" s="5" t="e">
        <f>VLOOKUP($A412,tropes!$A$4:$O$2428,8,FALSE)</f>
        <v>#N/A</v>
      </c>
      <c r="I412" s="5" t="e">
        <f>VLOOKUP($A412,tropes!$A$4:$O$2428,9,FALSE)</f>
        <v>#N/A</v>
      </c>
      <c r="J412" s="5" t="e">
        <f>VLOOKUP($A412,tropes!$A$4:$O$2428,10,FALSE)</f>
        <v>#N/A</v>
      </c>
      <c r="K412" s="5" t="e">
        <f>VLOOKUP($A412,tropes!$A$4:$O$2428,11,FALSE)</f>
        <v>#N/A</v>
      </c>
      <c r="L412" s="5" t="e">
        <f>VLOOKUP($A412,tropes!$A$4:$O$2428,12,FALSE)</f>
        <v>#N/A</v>
      </c>
      <c r="M412" s="5" t="e">
        <f>VLOOKUP($A412,tropes!$A$4:$O$2428,13,FALSE)</f>
        <v>#N/A</v>
      </c>
      <c r="N412" s="5"/>
    </row>
    <row r="413" spans="1:14" x14ac:dyDescent="0.3">
      <c r="A413" s="14"/>
      <c r="B413" s="5" t="e">
        <f>VLOOKUP($A413,tropes!$A$4:$O$2428,2,FALSE)</f>
        <v>#N/A</v>
      </c>
      <c r="C413" s="5" t="e">
        <f>VLOOKUP($A413,tropes!$A$4:$O$2428,3,FALSE)</f>
        <v>#N/A</v>
      </c>
      <c r="D413" s="5" t="e">
        <f>VLOOKUP($A413,tropes!$A$4:$O$2428,4,FALSE)</f>
        <v>#N/A</v>
      </c>
      <c r="E413" s="5" t="e">
        <f>VLOOKUP($A413,tropes!$A$4:$O$2428,5,FALSE)</f>
        <v>#N/A</v>
      </c>
      <c r="F413" s="5" t="e">
        <f>VLOOKUP($A413,tropes!$A$4:$O$2428,6,FALSE)</f>
        <v>#N/A</v>
      </c>
      <c r="G413" s="5" t="e">
        <f>VLOOKUP($A413,tropes!$A$4:$O$2428,7,FALSE)</f>
        <v>#N/A</v>
      </c>
      <c r="H413" s="5" t="e">
        <f>VLOOKUP($A413,tropes!$A$4:$O$2428,8,FALSE)</f>
        <v>#N/A</v>
      </c>
      <c r="I413" s="5" t="e">
        <f>VLOOKUP($A413,tropes!$A$4:$O$2428,9,FALSE)</f>
        <v>#N/A</v>
      </c>
      <c r="J413" s="5" t="e">
        <f>VLOOKUP($A413,tropes!$A$4:$O$2428,10,FALSE)</f>
        <v>#N/A</v>
      </c>
      <c r="K413" s="5" t="e">
        <f>VLOOKUP($A413,tropes!$A$4:$O$2428,11,FALSE)</f>
        <v>#N/A</v>
      </c>
      <c r="L413" s="5" t="e">
        <f>VLOOKUP($A413,tropes!$A$4:$O$2428,12,FALSE)</f>
        <v>#N/A</v>
      </c>
      <c r="M413" s="5" t="e">
        <f>VLOOKUP($A413,tropes!$A$4:$O$2428,13,FALSE)</f>
        <v>#N/A</v>
      </c>
      <c r="N413" s="5"/>
    </row>
    <row r="414" spans="1:14" x14ac:dyDescent="0.3">
      <c r="A414" s="14"/>
      <c r="B414" s="5" t="e">
        <f>VLOOKUP($A414,tropes!$A$4:$O$2428,2,FALSE)</f>
        <v>#N/A</v>
      </c>
      <c r="C414" s="5" t="e">
        <f>VLOOKUP($A414,tropes!$A$4:$O$2428,3,FALSE)</f>
        <v>#N/A</v>
      </c>
      <c r="D414" s="5" t="e">
        <f>VLOOKUP($A414,tropes!$A$4:$O$2428,4,FALSE)</f>
        <v>#N/A</v>
      </c>
      <c r="E414" s="5" t="e">
        <f>VLOOKUP($A414,tropes!$A$4:$O$2428,5,FALSE)</f>
        <v>#N/A</v>
      </c>
      <c r="F414" s="5" t="e">
        <f>VLOOKUP($A414,tropes!$A$4:$O$2428,6,FALSE)</f>
        <v>#N/A</v>
      </c>
      <c r="G414" s="5" t="e">
        <f>VLOOKUP($A414,tropes!$A$4:$O$2428,7,FALSE)</f>
        <v>#N/A</v>
      </c>
      <c r="H414" s="5" t="e">
        <f>VLOOKUP($A414,tropes!$A$4:$O$2428,8,FALSE)</f>
        <v>#N/A</v>
      </c>
      <c r="I414" s="5" t="e">
        <f>VLOOKUP($A414,tropes!$A$4:$O$2428,9,FALSE)</f>
        <v>#N/A</v>
      </c>
      <c r="J414" s="5" t="e">
        <f>VLOOKUP($A414,tropes!$A$4:$O$2428,10,FALSE)</f>
        <v>#N/A</v>
      </c>
      <c r="K414" s="5" t="e">
        <f>VLOOKUP($A414,tropes!$A$4:$O$2428,11,FALSE)</f>
        <v>#N/A</v>
      </c>
      <c r="L414" s="5" t="e">
        <f>VLOOKUP($A414,tropes!$A$4:$O$2428,12,FALSE)</f>
        <v>#N/A</v>
      </c>
      <c r="M414" s="5" t="e">
        <f>VLOOKUP($A414,tropes!$A$4:$O$2428,13,FALSE)</f>
        <v>#N/A</v>
      </c>
      <c r="N414" s="5"/>
    </row>
    <row r="415" spans="1:14" x14ac:dyDescent="0.3">
      <c r="A415" s="14"/>
      <c r="B415" s="5" t="e">
        <f>VLOOKUP($A415,tropes!$A$4:$O$2428,2,FALSE)</f>
        <v>#N/A</v>
      </c>
      <c r="C415" s="5" t="e">
        <f>VLOOKUP($A415,tropes!$A$4:$O$2428,3,FALSE)</f>
        <v>#N/A</v>
      </c>
      <c r="D415" s="5" t="e">
        <f>VLOOKUP($A415,tropes!$A$4:$O$2428,4,FALSE)</f>
        <v>#N/A</v>
      </c>
      <c r="E415" s="5" t="e">
        <f>VLOOKUP($A415,tropes!$A$4:$O$2428,5,FALSE)</f>
        <v>#N/A</v>
      </c>
      <c r="F415" s="5" t="e">
        <f>VLOOKUP($A415,tropes!$A$4:$O$2428,6,FALSE)</f>
        <v>#N/A</v>
      </c>
      <c r="G415" s="5" t="e">
        <f>VLOOKUP($A415,tropes!$A$4:$O$2428,7,FALSE)</f>
        <v>#N/A</v>
      </c>
      <c r="H415" s="5" t="e">
        <f>VLOOKUP($A415,tropes!$A$4:$O$2428,8,FALSE)</f>
        <v>#N/A</v>
      </c>
      <c r="I415" s="5" t="e">
        <f>VLOOKUP($A415,tropes!$A$4:$O$2428,9,FALSE)</f>
        <v>#N/A</v>
      </c>
      <c r="J415" s="5" t="e">
        <f>VLOOKUP($A415,tropes!$A$4:$O$2428,10,FALSE)</f>
        <v>#N/A</v>
      </c>
      <c r="K415" s="5" t="e">
        <f>VLOOKUP($A415,tropes!$A$4:$O$2428,11,FALSE)</f>
        <v>#N/A</v>
      </c>
      <c r="L415" s="5" t="e">
        <f>VLOOKUP($A415,tropes!$A$4:$O$2428,12,FALSE)</f>
        <v>#N/A</v>
      </c>
      <c r="M415" s="5" t="e">
        <f>VLOOKUP($A415,tropes!$A$4:$O$2428,13,FALSE)</f>
        <v>#N/A</v>
      </c>
      <c r="N415" s="5"/>
    </row>
    <row r="416" spans="1:14" x14ac:dyDescent="0.3">
      <c r="A416" s="14"/>
      <c r="B416" s="5" t="e">
        <f>VLOOKUP($A416,tropes!$A$4:$O$2428,2,FALSE)</f>
        <v>#N/A</v>
      </c>
      <c r="C416" s="5" t="e">
        <f>VLOOKUP($A416,tropes!$A$4:$O$2428,3,FALSE)</f>
        <v>#N/A</v>
      </c>
      <c r="D416" s="5" t="e">
        <f>VLOOKUP($A416,tropes!$A$4:$O$2428,4,FALSE)</f>
        <v>#N/A</v>
      </c>
      <c r="E416" s="5" t="e">
        <f>VLOOKUP($A416,tropes!$A$4:$O$2428,5,FALSE)</f>
        <v>#N/A</v>
      </c>
      <c r="F416" s="5" t="e">
        <f>VLOOKUP($A416,tropes!$A$4:$O$2428,6,FALSE)</f>
        <v>#N/A</v>
      </c>
      <c r="G416" s="5" t="e">
        <f>VLOOKUP($A416,tropes!$A$4:$O$2428,7,FALSE)</f>
        <v>#N/A</v>
      </c>
      <c r="H416" s="5" t="e">
        <f>VLOOKUP($A416,tropes!$A$4:$O$2428,8,FALSE)</f>
        <v>#N/A</v>
      </c>
      <c r="I416" s="5" t="e">
        <f>VLOOKUP($A416,tropes!$A$4:$O$2428,9,FALSE)</f>
        <v>#N/A</v>
      </c>
      <c r="J416" s="5" t="e">
        <f>VLOOKUP($A416,tropes!$A$4:$O$2428,10,FALSE)</f>
        <v>#N/A</v>
      </c>
      <c r="K416" s="5" t="e">
        <f>VLOOKUP($A416,tropes!$A$4:$O$2428,11,FALSE)</f>
        <v>#N/A</v>
      </c>
      <c r="L416" s="5" t="e">
        <f>VLOOKUP($A416,tropes!$A$4:$O$2428,12,FALSE)</f>
        <v>#N/A</v>
      </c>
      <c r="M416" s="5" t="e">
        <f>VLOOKUP($A416,tropes!$A$4:$O$2428,13,FALSE)</f>
        <v>#N/A</v>
      </c>
      <c r="N416" s="5"/>
    </row>
    <row r="417" spans="1:14" x14ac:dyDescent="0.3">
      <c r="A417" s="14"/>
      <c r="B417" s="5" t="e">
        <f>VLOOKUP($A417,tropes!$A$4:$O$2428,2,FALSE)</f>
        <v>#N/A</v>
      </c>
      <c r="C417" s="5" t="e">
        <f>VLOOKUP($A417,tropes!$A$4:$O$2428,3,FALSE)</f>
        <v>#N/A</v>
      </c>
      <c r="D417" s="5" t="e">
        <f>VLOOKUP($A417,tropes!$A$4:$O$2428,4,FALSE)</f>
        <v>#N/A</v>
      </c>
      <c r="E417" s="5" t="e">
        <f>VLOOKUP($A417,tropes!$A$4:$O$2428,5,FALSE)</f>
        <v>#N/A</v>
      </c>
      <c r="F417" s="5" t="e">
        <f>VLOOKUP($A417,tropes!$A$4:$O$2428,6,FALSE)</f>
        <v>#N/A</v>
      </c>
      <c r="G417" s="5" t="e">
        <f>VLOOKUP($A417,tropes!$A$4:$O$2428,7,FALSE)</f>
        <v>#N/A</v>
      </c>
      <c r="H417" s="5" t="e">
        <f>VLOOKUP($A417,tropes!$A$4:$O$2428,8,FALSE)</f>
        <v>#N/A</v>
      </c>
      <c r="I417" s="5" t="e">
        <f>VLOOKUP($A417,tropes!$A$4:$O$2428,9,FALSE)</f>
        <v>#N/A</v>
      </c>
      <c r="J417" s="5" t="e">
        <f>VLOOKUP($A417,tropes!$A$4:$O$2428,10,FALSE)</f>
        <v>#N/A</v>
      </c>
      <c r="K417" s="5" t="e">
        <f>VLOOKUP($A417,tropes!$A$4:$O$2428,11,FALSE)</f>
        <v>#N/A</v>
      </c>
      <c r="L417" s="5" t="e">
        <f>VLOOKUP($A417,tropes!$A$4:$O$2428,12,FALSE)</f>
        <v>#N/A</v>
      </c>
      <c r="M417" s="5" t="e">
        <f>VLOOKUP($A417,tropes!$A$4:$O$2428,13,FALSE)</f>
        <v>#N/A</v>
      </c>
      <c r="N417" s="5"/>
    </row>
    <row r="418" spans="1:14" x14ac:dyDescent="0.3">
      <c r="A418" s="14"/>
      <c r="B418" s="5" t="e">
        <f>VLOOKUP($A418,tropes!$A$4:$O$2428,2,FALSE)</f>
        <v>#N/A</v>
      </c>
      <c r="C418" s="5" t="e">
        <f>VLOOKUP($A418,tropes!$A$4:$O$2428,3,FALSE)</f>
        <v>#N/A</v>
      </c>
      <c r="D418" s="5" t="e">
        <f>VLOOKUP($A418,tropes!$A$4:$O$2428,4,FALSE)</f>
        <v>#N/A</v>
      </c>
      <c r="E418" s="5" t="e">
        <f>VLOOKUP($A418,tropes!$A$4:$O$2428,5,FALSE)</f>
        <v>#N/A</v>
      </c>
      <c r="F418" s="5" t="e">
        <f>VLOOKUP($A418,tropes!$A$4:$O$2428,6,FALSE)</f>
        <v>#N/A</v>
      </c>
      <c r="G418" s="5" t="e">
        <f>VLOOKUP($A418,tropes!$A$4:$O$2428,7,FALSE)</f>
        <v>#N/A</v>
      </c>
      <c r="H418" s="5" t="e">
        <f>VLOOKUP($A418,tropes!$A$4:$O$2428,8,FALSE)</f>
        <v>#N/A</v>
      </c>
      <c r="I418" s="5" t="e">
        <f>VLOOKUP($A418,tropes!$A$4:$O$2428,9,FALSE)</f>
        <v>#N/A</v>
      </c>
      <c r="J418" s="5" t="e">
        <f>VLOOKUP($A418,tropes!$A$4:$O$2428,10,FALSE)</f>
        <v>#N/A</v>
      </c>
      <c r="K418" s="5" t="e">
        <f>VLOOKUP($A418,tropes!$A$4:$O$2428,11,FALSE)</f>
        <v>#N/A</v>
      </c>
      <c r="L418" s="5" t="e">
        <f>VLOOKUP($A418,tropes!$A$4:$O$2428,12,FALSE)</f>
        <v>#N/A</v>
      </c>
      <c r="M418" s="5" t="e">
        <f>VLOOKUP($A418,tropes!$A$4:$O$2428,13,FALSE)</f>
        <v>#N/A</v>
      </c>
      <c r="N418" s="5"/>
    </row>
    <row r="419" spans="1:14" x14ac:dyDescent="0.3">
      <c r="A419" s="14"/>
      <c r="B419" s="5" t="e">
        <f>VLOOKUP($A419,tropes!$A$4:$O$2428,2,FALSE)</f>
        <v>#N/A</v>
      </c>
      <c r="C419" s="5" t="e">
        <f>VLOOKUP($A419,tropes!$A$4:$O$2428,3,FALSE)</f>
        <v>#N/A</v>
      </c>
      <c r="D419" s="5" t="e">
        <f>VLOOKUP($A419,tropes!$A$4:$O$2428,4,FALSE)</f>
        <v>#N/A</v>
      </c>
      <c r="E419" s="5" t="e">
        <f>VLOOKUP($A419,tropes!$A$4:$O$2428,5,FALSE)</f>
        <v>#N/A</v>
      </c>
      <c r="F419" s="5" t="e">
        <f>VLOOKUP($A419,tropes!$A$4:$O$2428,6,FALSE)</f>
        <v>#N/A</v>
      </c>
      <c r="G419" s="5" t="e">
        <f>VLOOKUP($A419,tropes!$A$4:$O$2428,7,FALSE)</f>
        <v>#N/A</v>
      </c>
      <c r="H419" s="5" t="e">
        <f>VLOOKUP($A419,tropes!$A$4:$O$2428,8,FALSE)</f>
        <v>#N/A</v>
      </c>
      <c r="I419" s="5" t="e">
        <f>VLOOKUP($A419,tropes!$A$4:$O$2428,9,FALSE)</f>
        <v>#N/A</v>
      </c>
      <c r="J419" s="5" t="e">
        <f>VLOOKUP($A419,tropes!$A$4:$O$2428,10,FALSE)</f>
        <v>#N/A</v>
      </c>
      <c r="K419" s="5" t="e">
        <f>VLOOKUP($A419,tropes!$A$4:$O$2428,11,FALSE)</f>
        <v>#N/A</v>
      </c>
      <c r="L419" s="5" t="e">
        <f>VLOOKUP($A419,tropes!$A$4:$O$2428,12,FALSE)</f>
        <v>#N/A</v>
      </c>
      <c r="M419" s="5" t="e">
        <f>VLOOKUP($A419,tropes!$A$4:$O$2428,13,FALSE)</f>
        <v>#N/A</v>
      </c>
      <c r="N419" s="5"/>
    </row>
    <row r="420" spans="1:14" x14ac:dyDescent="0.3">
      <c r="A420" s="14"/>
      <c r="B420" s="5" t="e">
        <f>VLOOKUP($A420,tropes!$A$4:$O$2428,2,FALSE)</f>
        <v>#N/A</v>
      </c>
      <c r="C420" s="5" t="e">
        <f>VLOOKUP($A420,tropes!$A$4:$O$2428,3,FALSE)</f>
        <v>#N/A</v>
      </c>
      <c r="D420" s="5" t="e">
        <f>VLOOKUP($A420,tropes!$A$4:$O$2428,4,FALSE)</f>
        <v>#N/A</v>
      </c>
      <c r="E420" s="5" t="e">
        <f>VLOOKUP($A420,tropes!$A$4:$O$2428,5,FALSE)</f>
        <v>#N/A</v>
      </c>
      <c r="F420" s="5" t="e">
        <f>VLOOKUP($A420,tropes!$A$4:$O$2428,6,FALSE)</f>
        <v>#N/A</v>
      </c>
      <c r="G420" s="5" t="e">
        <f>VLOOKUP($A420,tropes!$A$4:$O$2428,7,FALSE)</f>
        <v>#N/A</v>
      </c>
      <c r="H420" s="5" t="e">
        <f>VLOOKUP($A420,tropes!$A$4:$O$2428,8,FALSE)</f>
        <v>#N/A</v>
      </c>
      <c r="I420" s="5" t="e">
        <f>VLOOKUP($A420,tropes!$A$4:$O$2428,9,FALSE)</f>
        <v>#N/A</v>
      </c>
      <c r="J420" s="5" t="e">
        <f>VLOOKUP($A420,tropes!$A$4:$O$2428,10,FALSE)</f>
        <v>#N/A</v>
      </c>
      <c r="K420" s="5" t="e">
        <f>VLOOKUP($A420,tropes!$A$4:$O$2428,11,FALSE)</f>
        <v>#N/A</v>
      </c>
      <c r="L420" s="5" t="e">
        <f>VLOOKUP($A420,tropes!$A$4:$O$2428,12,FALSE)</f>
        <v>#N/A</v>
      </c>
      <c r="M420" s="5" t="e">
        <f>VLOOKUP($A420,tropes!$A$4:$O$2428,13,FALSE)</f>
        <v>#N/A</v>
      </c>
      <c r="N420" s="5"/>
    </row>
    <row r="421" spans="1:14" x14ac:dyDescent="0.3">
      <c r="A421" s="14"/>
      <c r="B421" s="5" t="e">
        <f>VLOOKUP($A421,tropes!$A$4:$O$2428,2,FALSE)</f>
        <v>#N/A</v>
      </c>
      <c r="C421" s="5" t="e">
        <f>VLOOKUP($A421,tropes!$A$4:$O$2428,3,FALSE)</f>
        <v>#N/A</v>
      </c>
      <c r="D421" s="5" t="e">
        <f>VLOOKUP($A421,tropes!$A$4:$O$2428,4,FALSE)</f>
        <v>#N/A</v>
      </c>
      <c r="E421" s="5" t="e">
        <f>VLOOKUP($A421,tropes!$A$4:$O$2428,5,FALSE)</f>
        <v>#N/A</v>
      </c>
      <c r="F421" s="5" t="e">
        <f>VLOOKUP($A421,tropes!$A$4:$O$2428,6,FALSE)</f>
        <v>#N/A</v>
      </c>
      <c r="G421" s="5" t="e">
        <f>VLOOKUP($A421,tropes!$A$4:$O$2428,7,FALSE)</f>
        <v>#N/A</v>
      </c>
      <c r="H421" s="5" t="e">
        <f>VLOOKUP($A421,tropes!$A$4:$O$2428,8,FALSE)</f>
        <v>#N/A</v>
      </c>
      <c r="I421" s="5" t="e">
        <f>VLOOKUP($A421,tropes!$A$4:$O$2428,9,FALSE)</f>
        <v>#N/A</v>
      </c>
      <c r="J421" s="5" t="e">
        <f>VLOOKUP($A421,tropes!$A$4:$O$2428,10,FALSE)</f>
        <v>#N/A</v>
      </c>
      <c r="K421" s="5" t="e">
        <f>VLOOKUP($A421,tropes!$A$4:$O$2428,11,FALSE)</f>
        <v>#N/A</v>
      </c>
      <c r="L421" s="5" t="e">
        <f>VLOOKUP($A421,tropes!$A$4:$O$2428,12,FALSE)</f>
        <v>#N/A</v>
      </c>
      <c r="M421" s="5" t="e">
        <f>VLOOKUP($A421,tropes!$A$4:$O$2428,13,FALSE)</f>
        <v>#N/A</v>
      </c>
      <c r="N421" s="5"/>
    </row>
    <row r="422" spans="1:14" x14ac:dyDescent="0.3">
      <c r="A422" s="14"/>
      <c r="B422" s="5" t="e">
        <f>VLOOKUP($A422,tropes!$A$4:$O$2428,2,FALSE)</f>
        <v>#N/A</v>
      </c>
      <c r="C422" s="5" t="e">
        <f>VLOOKUP($A422,tropes!$A$4:$O$2428,3,FALSE)</f>
        <v>#N/A</v>
      </c>
      <c r="D422" s="5" t="e">
        <f>VLOOKUP($A422,tropes!$A$4:$O$2428,4,FALSE)</f>
        <v>#N/A</v>
      </c>
      <c r="E422" s="5" t="e">
        <f>VLOOKUP($A422,tropes!$A$4:$O$2428,5,FALSE)</f>
        <v>#N/A</v>
      </c>
      <c r="F422" s="5" t="e">
        <f>VLOOKUP($A422,tropes!$A$4:$O$2428,6,FALSE)</f>
        <v>#N/A</v>
      </c>
      <c r="G422" s="5" t="e">
        <f>VLOOKUP($A422,tropes!$A$4:$O$2428,7,FALSE)</f>
        <v>#N/A</v>
      </c>
      <c r="H422" s="5" t="e">
        <f>VLOOKUP($A422,tropes!$A$4:$O$2428,8,FALSE)</f>
        <v>#N/A</v>
      </c>
      <c r="I422" s="5" t="e">
        <f>VLOOKUP($A422,tropes!$A$4:$O$2428,9,FALSE)</f>
        <v>#N/A</v>
      </c>
      <c r="J422" s="5" t="e">
        <f>VLOOKUP($A422,tropes!$A$4:$O$2428,10,FALSE)</f>
        <v>#N/A</v>
      </c>
      <c r="K422" s="5" t="e">
        <f>VLOOKUP($A422,tropes!$A$4:$O$2428,11,FALSE)</f>
        <v>#N/A</v>
      </c>
      <c r="L422" s="5" t="e">
        <f>VLOOKUP($A422,tropes!$A$4:$O$2428,12,FALSE)</f>
        <v>#N/A</v>
      </c>
      <c r="M422" s="5" t="e">
        <f>VLOOKUP($A422,tropes!$A$4:$O$2428,13,FALSE)</f>
        <v>#N/A</v>
      </c>
      <c r="N422" s="5"/>
    </row>
    <row r="423" spans="1:14" x14ac:dyDescent="0.3">
      <c r="A423" s="14"/>
      <c r="B423" s="5" t="e">
        <f>VLOOKUP($A423,tropes!$A$4:$O$2428,2,FALSE)</f>
        <v>#N/A</v>
      </c>
      <c r="C423" s="5" t="e">
        <f>VLOOKUP($A423,tropes!$A$4:$O$2428,3,FALSE)</f>
        <v>#N/A</v>
      </c>
      <c r="D423" s="5" t="e">
        <f>VLOOKUP($A423,tropes!$A$4:$O$2428,4,FALSE)</f>
        <v>#N/A</v>
      </c>
      <c r="E423" s="5" t="e">
        <f>VLOOKUP($A423,tropes!$A$4:$O$2428,5,FALSE)</f>
        <v>#N/A</v>
      </c>
      <c r="F423" s="5" t="e">
        <f>VLOOKUP($A423,tropes!$A$4:$O$2428,6,FALSE)</f>
        <v>#N/A</v>
      </c>
      <c r="G423" s="5" t="e">
        <f>VLOOKUP($A423,tropes!$A$4:$O$2428,7,FALSE)</f>
        <v>#N/A</v>
      </c>
      <c r="H423" s="5" t="e">
        <f>VLOOKUP($A423,tropes!$A$4:$O$2428,8,FALSE)</f>
        <v>#N/A</v>
      </c>
      <c r="I423" s="5" t="e">
        <f>VLOOKUP($A423,tropes!$A$4:$O$2428,9,FALSE)</f>
        <v>#N/A</v>
      </c>
      <c r="J423" s="5" t="e">
        <f>VLOOKUP($A423,tropes!$A$4:$O$2428,10,FALSE)</f>
        <v>#N/A</v>
      </c>
      <c r="K423" s="5" t="e">
        <f>VLOOKUP($A423,tropes!$A$4:$O$2428,11,FALSE)</f>
        <v>#N/A</v>
      </c>
      <c r="L423" s="5" t="e">
        <f>VLOOKUP($A423,tropes!$A$4:$O$2428,12,FALSE)</f>
        <v>#N/A</v>
      </c>
      <c r="M423" s="5" t="e">
        <f>VLOOKUP($A423,tropes!$A$4:$O$2428,13,FALSE)</f>
        <v>#N/A</v>
      </c>
      <c r="N423" s="5"/>
    </row>
    <row r="424" spans="1:14" x14ac:dyDescent="0.3">
      <c r="A424" s="14"/>
      <c r="B424" s="5" t="e">
        <f>VLOOKUP($A424,tropes!$A$4:$O$2428,2,FALSE)</f>
        <v>#N/A</v>
      </c>
      <c r="C424" s="5" t="e">
        <f>VLOOKUP($A424,tropes!$A$4:$O$2428,3,FALSE)</f>
        <v>#N/A</v>
      </c>
      <c r="D424" s="5" t="e">
        <f>VLOOKUP($A424,tropes!$A$4:$O$2428,4,FALSE)</f>
        <v>#N/A</v>
      </c>
      <c r="E424" s="5" t="e">
        <f>VLOOKUP($A424,tropes!$A$4:$O$2428,5,FALSE)</f>
        <v>#N/A</v>
      </c>
      <c r="F424" s="5" t="e">
        <f>VLOOKUP($A424,tropes!$A$4:$O$2428,6,FALSE)</f>
        <v>#N/A</v>
      </c>
      <c r="G424" s="5" t="e">
        <f>VLOOKUP($A424,tropes!$A$4:$O$2428,7,FALSE)</f>
        <v>#N/A</v>
      </c>
      <c r="H424" s="5" t="e">
        <f>VLOOKUP($A424,tropes!$A$4:$O$2428,8,FALSE)</f>
        <v>#N/A</v>
      </c>
      <c r="I424" s="5" t="e">
        <f>VLOOKUP($A424,tropes!$A$4:$O$2428,9,FALSE)</f>
        <v>#N/A</v>
      </c>
      <c r="J424" s="5" t="e">
        <f>VLOOKUP($A424,tropes!$A$4:$O$2428,10,FALSE)</f>
        <v>#N/A</v>
      </c>
      <c r="K424" s="5" t="e">
        <f>VLOOKUP($A424,tropes!$A$4:$O$2428,11,FALSE)</f>
        <v>#N/A</v>
      </c>
      <c r="L424" s="5" t="e">
        <f>VLOOKUP($A424,tropes!$A$4:$O$2428,12,FALSE)</f>
        <v>#N/A</v>
      </c>
      <c r="M424" s="5" t="e">
        <f>VLOOKUP($A424,tropes!$A$4:$O$2428,13,FALSE)</f>
        <v>#N/A</v>
      </c>
      <c r="N424" s="5"/>
    </row>
    <row r="425" spans="1:14" x14ac:dyDescent="0.3">
      <c r="A425" s="14"/>
      <c r="B425" s="5" t="e">
        <f>VLOOKUP($A425,tropes!$A$4:$O$2428,2,FALSE)</f>
        <v>#N/A</v>
      </c>
      <c r="C425" s="5" t="e">
        <f>VLOOKUP($A425,tropes!$A$4:$O$2428,3,FALSE)</f>
        <v>#N/A</v>
      </c>
      <c r="D425" s="5" t="e">
        <f>VLOOKUP($A425,tropes!$A$4:$O$2428,4,FALSE)</f>
        <v>#N/A</v>
      </c>
      <c r="E425" s="5" t="e">
        <f>VLOOKUP($A425,tropes!$A$4:$O$2428,5,FALSE)</f>
        <v>#N/A</v>
      </c>
      <c r="F425" s="5" t="e">
        <f>VLOOKUP($A425,tropes!$A$4:$O$2428,6,FALSE)</f>
        <v>#N/A</v>
      </c>
      <c r="G425" s="5" t="e">
        <f>VLOOKUP($A425,tropes!$A$4:$O$2428,7,FALSE)</f>
        <v>#N/A</v>
      </c>
      <c r="H425" s="5" t="e">
        <f>VLOOKUP($A425,tropes!$A$4:$O$2428,8,FALSE)</f>
        <v>#N/A</v>
      </c>
      <c r="I425" s="5" t="e">
        <f>VLOOKUP($A425,tropes!$A$4:$O$2428,9,FALSE)</f>
        <v>#N/A</v>
      </c>
      <c r="J425" s="5" t="e">
        <f>VLOOKUP($A425,tropes!$A$4:$O$2428,10,FALSE)</f>
        <v>#N/A</v>
      </c>
      <c r="K425" s="5" t="e">
        <f>VLOOKUP($A425,tropes!$A$4:$O$2428,11,FALSE)</f>
        <v>#N/A</v>
      </c>
      <c r="L425" s="5" t="e">
        <f>VLOOKUP($A425,tropes!$A$4:$O$2428,12,FALSE)</f>
        <v>#N/A</v>
      </c>
      <c r="M425" s="5" t="e">
        <f>VLOOKUP($A425,tropes!$A$4:$O$2428,13,FALSE)</f>
        <v>#N/A</v>
      </c>
      <c r="N425" s="5"/>
    </row>
    <row r="426" spans="1:14" x14ac:dyDescent="0.3">
      <c r="A426" s="14"/>
      <c r="B426" s="5" t="e">
        <f>VLOOKUP($A426,tropes!$A$4:$O$2428,2,FALSE)</f>
        <v>#N/A</v>
      </c>
      <c r="C426" s="5" t="e">
        <f>VLOOKUP($A426,tropes!$A$4:$O$2428,3,FALSE)</f>
        <v>#N/A</v>
      </c>
      <c r="D426" s="5" t="e">
        <f>VLOOKUP($A426,tropes!$A$4:$O$2428,4,FALSE)</f>
        <v>#N/A</v>
      </c>
      <c r="E426" s="5" t="e">
        <f>VLOOKUP($A426,tropes!$A$4:$O$2428,5,FALSE)</f>
        <v>#N/A</v>
      </c>
      <c r="F426" s="5" t="e">
        <f>VLOOKUP($A426,tropes!$A$4:$O$2428,6,FALSE)</f>
        <v>#N/A</v>
      </c>
      <c r="G426" s="5" t="e">
        <f>VLOOKUP($A426,tropes!$A$4:$O$2428,7,FALSE)</f>
        <v>#N/A</v>
      </c>
      <c r="H426" s="5" t="e">
        <f>VLOOKUP($A426,tropes!$A$4:$O$2428,8,FALSE)</f>
        <v>#N/A</v>
      </c>
      <c r="I426" s="5" t="e">
        <f>VLOOKUP($A426,tropes!$A$4:$O$2428,9,FALSE)</f>
        <v>#N/A</v>
      </c>
      <c r="J426" s="5" t="e">
        <f>VLOOKUP($A426,tropes!$A$4:$O$2428,10,FALSE)</f>
        <v>#N/A</v>
      </c>
      <c r="K426" s="5" t="e">
        <f>VLOOKUP($A426,tropes!$A$4:$O$2428,11,FALSE)</f>
        <v>#N/A</v>
      </c>
      <c r="L426" s="5" t="e">
        <f>VLOOKUP($A426,tropes!$A$4:$O$2428,12,FALSE)</f>
        <v>#N/A</v>
      </c>
      <c r="M426" s="5" t="e">
        <f>VLOOKUP($A426,tropes!$A$4:$O$2428,13,FALSE)</f>
        <v>#N/A</v>
      </c>
      <c r="N426" s="5"/>
    </row>
    <row r="427" spans="1:14" x14ac:dyDescent="0.3">
      <c r="A427" s="14"/>
      <c r="B427" s="5" t="e">
        <f>VLOOKUP($A427,tropes!$A$4:$O$2428,2,FALSE)</f>
        <v>#N/A</v>
      </c>
      <c r="C427" s="5" t="e">
        <f>VLOOKUP($A427,tropes!$A$4:$O$2428,3,FALSE)</f>
        <v>#N/A</v>
      </c>
      <c r="D427" s="5" t="e">
        <f>VLOOKUP($A427,tropes!$A$4:$O$2428,4,FALSE)</f>
        <v>#N/A</v>
      </c>
      <c r="E427" s="5" t="e">
        <f>VLOOKUP($A427,tropes!$A$4:$O$2428,5,FALSE)</f>
        <v>#N/A</v>
      </c>
      <c r="F427" s="5" t="e">
        <f>VLOOKUP($A427,tropes!$A$4:$O$2428,6,FALSE)</f>
        <v>#N/A</v>
      </c>
      <c r="G427" s="5" t="e">
        <f>VLOOKUP($A427,tropes!$A$4:$O$2428,7,FALSE)</f>
        <v>#N/A</v>
      </c>
      <c r="H427" s="5" t="e">
        <f>VLOOKUP($A427,tropes!$A$4:$O$2428,8,FALSE)</f>
        <v>#N/A</v>
      </c>
      <c r="I427" s="5" t="e">
        <f>VLOOKUP($A427,tropes!$A$4:$O$2428,9,FALSE)</f>
        <v>#N/A</v>
      </c>
      <c r="J427" s="5" t="e">
        <f>VLOOKUP($A427,tropes!$A$4:$O$2428,10,FALSE)</f>
        <v>#N/A</v>
      </c>
      <c r="K427" s="5" t="e">
        <f>VLOOKUP($A427,tropes!$A$4:$O$2428,11,FALSE)</f>
        <v>#N/A</v>
      </c>
      <c r="L427" s="5" t="e">
        <f>VLOOKUP($A427,tropes!$A$4:$O$2428,12,FALSE)</f>
        <v>#N/A</v>
      </c>
      <c r="M427" s="5" t="e">
        <f>VLOOKUP($A427,tropes!$A$4:$O$2428,13,FALSE)</f>
        <v>#N/A</v>
      </c>
      <c r="N427" s="5"/>
    </row>
    <row r="428" spans="1:14" x14ac:dyDescent="0.3">
      <c r="A428" s="14"/>
      <c r="B428" s="5" t="e">
        <f>VLOOKUP($A428,tropes!$A$4:$O$2428,2,FALSE)</f>
        <v>#N/A</v>
      </c>
      <c r="C428" s="5" t="e">
        <f>VLOOKUP($A428,tropes!$A$4:$O$2428,3,FALSE)</f>
        <v>#N/A</v>
      </c>
      <c r="D428" s="5" t="e">
        <f>VLOOKUP($A428,tropes!$A$4:$O$2428,4,FALSE)</f>
        <v>#N/A</v>
      </c>
      <c r="E428" s="5" t="e">
        <f>VLOOKUP($A428,tropes!$A$4:$O$2428,5,FALSE)</f>
        <v>#N/A</v>
      </c>
      <c r="F428" s="5" t="e">
        <f>VLOOKUP($A428,tropes!$A$4:$O$2428,6,FALSE)</f>
        <v>#N/A</v>
      </c>
      <c r="G428" s="5" t="e">
        <f>VLOOKUP($A428,tropes!$A$4:$O$2428,7,FALSE)</f>
        <v>#N/A</v>
      </c>
      <c r="H428" s="5" t="e">
        <f>VLOOKUP($A428,tropes!$A$4:$O$2428,8,FALSE)</f>
        <v>#N/A</v>
      </c>
      <c r="I428" s="5" t="e">
        <f>VLOOKUP($A428,tropes!$A$4:$O$2428,9,FALSE)</f>
        <v>#N/A</v>
      </c>
      <c r="J428" s="5" t="e">
        <f>VLOOKUP($A428,tropes!$A$4:$O$2428,10,FALSE)</f>
        <v>#N/A</v>
      </c>
      <c r="K428" s="5" t="e">
        <f>VLOOKUP($A428,tropes!$A$4:$O$2428,11,FALSE)</f>
        <v>#N/A</v>
      </c>
      <c r="L428" s="5" t="e">
        <f>VLOOKUP($A428,tropes!$A$4:$O$2428,12,FALSE)</f>
        <v>#N/A</v>
      </c>
      <c r="M428" s="5" t="e">
        <f>VLOOKUP($A428,tropes!$A$4:$O$2428,13,FALSE)</f>
        <v>#N/A</v>
      </c>
      <c r="N428" s="5"/>
    </row>
    <row r="429" spans="1:14" x14ac:dyDescent="0.3">
      <c r="A429" s="14"/>
      <c r="B429" s="5" t="e">
        <f>VLOOKUP($A429,tropes!$A$4:$O$2428,2,FALSE)</f>
        <v>#N/A</v>
      </c>
      <c r="C429" s="5" t="e">
        <f>VLOOKUP($A429,tropes!$A$4:$O$2428,3,FALSE)</f>
        <v>#N/A</v>
      </c>
      <c r="D429" s="5" t="e">
        <f>VLOOKUP($A429,tropes!$A$4:$O$2428,4,FALSE)</f>
        <v>#N/A</v>
      </c>
      <c r="E429" s="5" t="e">
        <f>VLOOKUP($A429,tropes!$A$4:$O$2428,5,FALSE)</f>
        <v>#N/A</v>
      </c>
      <c r="F429" s="5" t="e">
        <f>VLOOKUP($A429,tropes!$A$4:$O$2428,6,FALSE)</f>
        <v>#N/A</v>
      </c>
      <c r="G429" s="5" t="e">
        <f>VLOOKUP($A429,tropes!$A$4:$O$2428,7,FALSE)</f>
        <v>#N/A</v>
      </c>
      <c r="H429" s="5" t="e">
        <f>VLOOKUP($A429,tropes!$A$4:$O$2428,8,FALSE)</f>
        <v>#N/A</v>
      </c>
      <c r="I429" s="5" t="e">
        <f>VLOOKUP($A429,tropes!$A$4:$O$2428,9,FALSE)</f>
        <v>#N/A</v>
      </c>
      <c r="J429" s="5" t="e">
        <f>VLOOKUP($A429,tropes!$A$4:$O$2428,10,FALSE)</f>
        <v>#N/A</v>
      </c>
      <c r="K429" s="5" t="e">
        <f>VLOOKUP($A429,tropes!$A$4:$O$2428,11,FALSE)</f>
        <v>#N/A</v>
      </c>
      <c r="L429" s="5" t="e">
        <f>VLOOKUP($A429,tropes!$A$4:$O$2428,12,FALSE)</f>
        <v>#N/A</v>
      </c>
      <c r="M429" s="5" t="e">
        <f>VLOOKUP($A429,tropes!$A$4:$O$2428,13,FALSE)</f>
        <v>#N/A</v>
      </c>
      <c r="N429" s="5"/>
    </row>
    <row r="430" spans="1:14" x14ac:dyDescent="0.3">
      <c r="A430" s="14"/>
      <c r="B430" s="5" t="e">
        <f>VLOOKUP($A430,tropes!$A$4:$O$2428,2,FALSE)</f>
        <v>#N/A</v>
      </c>
      <c r="C430" s="5" t="e">
        <f>VLOOKUP($A430,tropes!$A$4:$O$2428,3,FALSE)</f>
        <v>#N/A</v>
      </c>
      <c r="D430" s="5" t="e">
        <f>VLOOKUP($A430,tropes!$A$4:$O$2428,4,FALSE)</f>
        <v>#N/A</v>
      </c>
      <c r="E430" s="5" t="e">
        <f>VLOOKUP($A430,tropes!$A$4:$O$2428,5,FALSE)</f>
        <v>#N/A</v>
      </c>
      <c r="F430" s="5" t="e">
        <f>VLOOKUP($A430,tropes!$A$4:$O$2428,6,FALSE)</f>
        <v>#N/A</v>
      </c>
      <c r="G430" s="5" t="e">
        <f>VLOOKUP($A430,tropes!$A$4:$O$2428,7,FALSE)</f>
        <v>#N/A</v>
      </c>
      <c r="H430" s="5" t="e">
        <f>VLOOKUP($A430,tropes!$A$4:$O$2428,8,FALSE)</f>
        <v>#N/A</v>
      </c>
      <c r="I430" s="5" t="e">
        <f>VLOOKUP($A430,tropes!$A$4:$O$2428,9,FALSE)</f>
        <v>#N/A</v>
      </c>
      <c r="J430" s="5" t="e">
        <f>VLOOKUP($A430,tropes!$A$4:$O$2428,10,FALSE)</f>
        <v>#N/A</v>
      </c>
      <c r="K430" s="5" t="e">
        <f>VLOOKUP($A430,tropes!$A$4:$O$2428,11,FALSE)</f>
        <v>#N/A</v>
      </c>
      <c r="L430" s="5" t="e">
        <f>VLOOKUP($A430,tropes!$A$4:$O$2428,12,FALSE)</f>
        <v>#N/A</v>
      </c>
      <c r="M430" s="5" t="e">
        <f>VLOOKUP($A430,tropes!$A$4:$O$2428,13,FALSE)</f>
        <v>#N/A</v>
      </c>
      <c r="N430" s="5"/>
    </row>
    <row r="431" spans="1:14" x14ac:dyDescent="0.3">
      <c r="A431" s="14"/>
      <c r="B431" s="5" t="e">
        <f>VLOOKUP($A431,tropes!$A$4:$O$2428,2,FALSE)</f>
        <v>#N/A</v>
      </c>
      <c r="C431" s="5" t="e">
        <f>VLOOKUP($A431,tropes!$A$4:$O$2428,3,FALSE)</f>
        <v>#N/A</v>
      </c>
      <c r="D431" s="5" t="e">
        <f>VLOOKUP($A431,tropes!$A$4:$O$2428,4,FALSE)</f>
        <v>#N/A</v>
      </c>
      <c r="E431" s="5" t="e">
        <f>VLOOKUP($A431,tropes!$A$4:$O$2428,5,FALSE)</f>
        <v>#N/A</v>
      </c>
      <c r="F431" s="5" t="e">
        <f>VLOOKUP($A431,tropes!$A$4:$O$2428,6,FALSE)</f>
        <v>#N/A</v>
      </c>
      <c r="G431" s="5" t="e">
        <f>VLOOKUP($A431,tropes!$A$4:$O$2428,7,FALSE)</f>
        <v>#N/A</v>
      </c>
      <c r="H431" s="5" t="e">
        <f>VLOOKUP($A431,tropes!$A$4:$O$2428,8,FALSE)</f>
        <v>#N/A</v>
      </c>
      <c r="I431" s="5" t="e">
        <f>VLOOKUP($A431,tropes!$A$4:$O$2428,9,FALSE)</f>
        <v>#N/A</v>
      </c>
      <c r="J431" s="5" t="e">
        <f>VLOOKUP($A431,tropes!$A$4:$O$2428,10,FALSE)</f>
        <v>#N/A</v>
      </c>
      <c r="K431" s="5" t="e">
        <f>VLOOKUP($A431,tropes!$A$4:$O$2428,11,FALSE)</f>
        <v>#N/A</v>
      </c>
      <c r="L431" s="5" t="e">
        <f>VLOOKUP($A431,tropes!$A$4:$O$2428,12,FALSE)</f>
        <v>#N/A</v>
      </c>
      <c r="M431" s="5" t="e">
        <f>VLOOKUP($A431,tropes!$A$4:$O$2428,13,FALSE)</f>
        <v>#N/A</v>
      </c>
      <c r="N431" s="5"/>
    </row>
    <row r="432" spans="1:14" x14ac:dyDescent="0.3">
      <c r="A432" s="14"/>
      <c r="B432" s="5" t="e">
        <f>VLOOKUP($A432,tropes!$A$4:$O$2428,2,FALSE)</f>
        <v>#N/A</v>
      </c>
      <c r="C432" s="5" t="e">
        <f>VLOOKUP($A432,tropes!$A$4:$O$2428,3,FALSE)</f>
        <v>#N/A</v>
      </c>
      <c r="D432" s="5" t="e">
        <f>VLOOKUP($A432,tropes!$A$4:$O$2428,4,FALSE)</f>
        <v>#N/A</v>
      </c>
      <c r="E432" s="5" t="e">
        <f>VLOOKUP($A432,tropes!$A$4:$O$2428,5,FALSE)</f>
        <v>#N/A</v>
      </c>
      <c r="F432" s="5" t="e">
        <f>VLOOKUP($A432,tropes!$A$4:$O$2428,6,FALSE)</f>
        <v>#N/A</v>
      </c>
      <c r="G432" s="5" t="e">
        <f>VLOOKUP($A432,tropes!$A$4:$O$2428,7,FALSE)</f>
        <v>#N/A</v>
      </c>
      <c r="H432" s="5" t="e">
        <f>VLOOKUP($A432,tropes!$A$4:$O$2428,8,FALSE)</f>
        <v>#N/A</v>
      </c>
      <c r="I432" s="5" t="e">
        <f>VLOOKUP($A432,tropes!$A$4:$O$2428,9,FALSE)</f>
        <v>#N/A</v>
      </c>
      <c r="J432" s="5" t="e">
        <f>VLOOKUP($A432,tropes!$A$4:$O$2428,10,FALSE)</f>
        <v>#N/A</v>
      </c>
      <c r="K432" s="5" t="e">
        <f>VLOOKUP($A432,tropes!$A$4:$O$2428,11,FALSE)</f>
        <v>#N/A</v>
      </c>
      <c r="L432" s="5" t="e">
        <f>VLOOKUP($A432,tropes!$A$4:$O$2428,12,FALSE)</f>
        <v>#N/A</v>
      </c>
      <c r="M432" s="5" t="e">
        <f>VLOOKUP($A432,tropes!$A$4:$O$2428,13,FALSE)</f>
        <v>#N/A</v>
      </c>
      <c r="N432" s="5"/>
    </row>
    <row r="433" spans="1:14" x14ac:dyDescent="0.3">
      <c r="A433" s="14"/>
      <c r="B433" s="5" t="e">
        <f>VLOOKUP($A433,tropes!$A$4:$O$2428,2,FALSE)</f>
        <v>#N/A</v>
      </c>
      <c r="C433" s="5" t="e">
        <f>VLOOKUP($A433,tropes!$A$4:$O$2428,3,FALSE)</f>
        <v>#N/A</v>
      </c>
      <c r="D433" s="5" t="e">
        <f>VLOOKUP($A433,tropes!$A$4:$O$2428,4,FALSE)</f>
        <v>#N/A</v>
      </c>
      <c r="E433" s="5" t="e">
        <f>VLOOKUP($A433,tropes!$A$4:$O$2428,5,FALSE)</f>
        <v>#N/A</v>
      </c>
      <c r="F433" s="5" t="e">
        <f>VLOOKUP($A433,tropes!$A$4:$O$2428,6,FALSE)</f>
        <v>#N/A</v>
      </c>
      <c r="G433" s="5" t="e">
        <f>VLOOKUP($A433,tropes!$A$4:$O$2428,7,FALSE)</f>
        <v>#N/A</v>
      </c>
      <c r="H433" s="5" t="e">
        <f>VLOOKUP($A433,tropes!$A$4:$O$2428,8,FALSE)</f>
        <v>#N/A</v>
      </c>
      <c r="I433" s="5" t="e">
        <f>VLOOKUP($A433,tropes!$A$4:$O$2428,9,FALSE)</f>
        <v>#N/A</v>
      </c>
      <c r="J433" s="5" t="e">
        <f>VLOOKUP($A433,tropes!$A$4:$O$2428,10,FALSE)</f>
        <v>#N/A</v>
      </c>
      <c r="K433" s="5" t="e">
        <f>VLOOKUP($A433,tropes!$A$4:$O$2428,11,FALSE)</f>
        <v>#N/A</v>
      </c>
      <c r="L433" s="5" t="e">
        <f>VLOOKUP($A433,tropes!$A$4:$O$2428,12,FALSE)</f>
        <v>#N/A</v>
      </c>
      <c r="M433" s="5" t="e">
        <f>VLOOKUP($A433,tropes!$A$4:$O$2428,13,FALSE)</f>
        <v>#N/A</v>
      </c>
      <c r="N433" s="5"/>
    </row>
    <row r="434" spans="1:14" x14ac:dyDescent="0.3">
      <c r="A434" s="14"/>
      <c r="B434" s="5" t="e">
        <f>VLOOKUP($A434,tropes!$A$4:$O$2428,2,FALSE)</f>
        <v>#N/A</v>
      </c>
      <c r="C434" s="5" t="e">
        <f>VLOOKUP($A434,tropes!$A$4:$O$2428,3,FALSE)</f>
        <v>#N/A</v>
      </c>
      <c r="D434" s="5" t="e">
        <f>VLOOKUP($A434,tropes!$A$4:$O$2428,4,FALSE)</f>
        <v>#N/A</v>
      </c>
      <c r="E434" s="5" t="e">
        <f>VLOOKUP($A434,tropes!$A$4:$O$2428,5,FALSE)</f>
        <v>#N/A</v>
      </c>
      <c r="F434" s="5" t="e">
        <f>VLOOKUP($A434,tropes!$A$4:$O$2428,6,FALSE)</f>
        <v>#N/A</v>
      </c>
      <c r="G434" s="5" t="e">
        <f>VLOOKUP($A434,tropes!$A$4:$O$2428,7,FALSE)</f>
        <v>#N/A</v>
      </c>
      <c r="H434" s="5" t="e">
        <f>VLOOKUP($A434,tropes!$A$4:$O$2428,8,FALSE)</f>
        <v>#N/A</v>
      </c>
      <c r="I434" s="5" t="e">
        <f>VLOOKUP($A434,tropes!$A$4:$O$2428,9,FALSE)</f>
        <v>#N/A</v>
      </c>
      <c r="J434" s="5" t="e">
        <f>VLOOKUP($A434,tropes!$A$4:$O$2428,10,FALSE)</f>
        <v>#N/A</v>
      </c>
      <c r="K434" s="5" t="e">
        <f>VLOOKUP($A434,tropes!$A$4:$O$2428,11,FALSE)</f>
        <v>#N/A</v>
      </c>
      <c r="L434" s="5" t="e">
        <f>VLOOKUP($A434,tropes!$A$4:$O$2428,12,FALSE)</f>
        <v>#N/A</v>
      </c>
      <c r="M434" s="5" t="e">
        <f>VLOOKUP($A434,tropes!$A$4:$O$2428,13,FALSE)</f>
        <v>#N/A</v>
      </c>
      <c r="N434" s="5"/>
    </row>
    <row r="435" spans="1:14" x14ac:dyDescent="0.3">
      <c r="A435" s="14"/>
      <c r="B435" s="5" t="e">
        <f>VLOOKUP($A435,tropes!$A$4:$O$2428,2,FALSE)</f>
        <v>#N/A</v>
      </c>
      <c r="C435" s="5" t="e">
        <f>VLOOKUP($A435,tropes!$A$4:$O$2428,3,FALSE)</f>
        <v>#N/A</v>
      </c>
      <c r="D435" s="5" t="e">
        <f>VLOOKUP($A435,tropes!$A$4:$O$2428,4,FALSE)</f>
        <v>#N/A</v>
      </c>
      <c r="E435" s="5" t="e">
        <f>VLOOKUP($A435,tropes!$A$4:$O$2428,5,FALSE)</f>
        <v>#N/A</v>
      </c>
      <c r="F435" s="5" t="e">
        <f>VLOOKUP($A435,tropes!$A$4:$O$2428,6,FALSE)</f>
        <v>#N/A</v>
      </c>
      <c r="G435" s="5" t="e">
        <f>VLOOKUP($A435,tropes!$A$4:$O$2428,7,FALSE)</f>
        <v>#N/A</v>
      </c>
      <c r="H435" s="5" t="e">
        <f>VLOOKUP($A435,tropes!$A$4:$O$2428,8,FALSE)</f>
        <v>#N/A</v>
      </c>
      <c r="I435" s="5" t="e">
        <f>VLOOKUP($A435,tropes!$A$4:$O$2428,9,FALSE)</f>
        <v>#N/A</v>
      </c>
      <c r="J435" s="5" t="e">
        <f>VLOOKUP($A435,tropes!$A$4:$O$2428,10,FALSE)</f>
        <v>#N/A</v>
      </c>
      <c r="K435" s="5" t="e">
        <f>VLOOKUP($A435,tropes!$A$4:$O$2428,11,FALSE)</f>
        <v>#N/A</v>
      </c>
      <c r="L435" s="5" t="e">
        <f>VLOOKUP($A435,tropes!$A$4:$O$2428,12,FALSE)</f>
        <v>#N/A</v>
      </c>
      <c r="M435" s="5" t="e">
        <f>VLOOKUP($A435,tropes!$A$4:$O$2428,13,FALSE)</f>
        <v>#N/A</v>
      </c>
      <c r="N435" s="5"/>
    </row>
    <row r="436" spans="1:14" x14ac:dyDescent="0.3">
      <c r="A436" s="14"/>
      <c r="B436" s="5" t="e">
        <f>VLOOKUP($A436,tropes!$A$4:$O$2428,2,FALSE)</f>
        <v>#N/A</v>
      </c>
      <c r="C436" s="5" t="e">
        <f>VLOOKUP($A436,tropes!$A$4:$O$2428,3,FALSE)</f>
        <v>#N/A</v>
      </c>
      <c r="D436" s="5" t="e">
        <f>VLOOKUP($A436,tropes!$A$4:$O$2428,4,FALSE)</f>
        <v>#N/A</v>
      </c>
      <c r="E436" s="5" t="e">
        <f>VLOOKUP($A436,tropes!$A$4:$O$2428,5,FALSE)</f>
        <v>#N/A</v>
      </c>
      <c r="F436" s="5" t="e">
        <f>VLOOKUP($A436,tropes!$A$4:$O$2428,6,FALSE)</f>
        <v>#N/A</v>
      </c>
      <c r="G436" s="5" t="e">
        <f>VLOOKUP($A436,tropes!$A$4:$O$2428,7,FALSE)</f>
        <v>#N/A</v>
      </c>
      <c r="H436" s="5" t="e">
        <f>VLOOKUP($A436,tropes!$A$4:$O$2428,8,FALSE)</f>
        <v>#N/A</v>
      </c>
      <c r="I436" s="5" t="e">
        <f>VLOOKUP($A436,tropes!$A$4:$O$2428,9,FALSE)</f>
        <v>#N/A</v>
      </c>
      <c r="J436" s="5" t="e">
        <f>VLOOKUP($A436,tropes!$A$4:$O$2428,10,FALSE)</f>
        <v>#N/A</v>
      </c>
      <c r="K436" s="5" t="e">
        <f>VLOOKUP($A436,tropes!$A$4:$O$2428,11,FALSE)</f>
        <v>#N/A</v>
      </c>
      <c r="L436" s="5" t="e">
        <f>VLOOKUP($A436,tropes!$A$4:$O$2428,12,FALSE)</f>
        <v>#N/A</v>
      </c>
      <c r="M436" s="5" t="e">
        <f>VLOOKUP($A436,tropes!$A$4:$O$2428,13,FALSE)</f>
        <v>#N/A</v>
      </c>
      <c r="N436" s="5"/>
    </row>
    <row r="437" spans="1:14" x14ac:dyDescent="0.3">
      <c r="A437" s="14"/>
      <c r="B437" s="5" t="e">
        <f>VLOOKUP($A437,tropes!$A$4:$O$2428,2,FALSE)</f>
        <v>#N/A</v>
      </c>
      <c r="C437" s="5" t="e">
        <f>VLOOKUP($A437,tropes!$A$4:$O$2428,3,FALSE)</f>
        <v>#N/A</v>
      </c>
      <c r="D437" s="5" t="e">
        <f>VLOOKUP($A437,tropes!$A$4:$O$2428,4,FALSE)</f>
        <v>#N/A</v>
      </c>
      <c r="E437" s="5" t="e">
        <f>VLOOKUP($A437,tropes!$A$4:$O$2428,5,FALSE)</f>
        <v>#N/A</v>
      </c>
      <c r="F437" s="5" t="e">
        <f>VLOOKUP($A437,tropes!$A$4:$O$2428,6,FALSE)</f>
        <v>#N/A</v>
      </c>
      <c r="G437" s="5" t="e">
        <f>VLOOKUP($A437,tropes!$A$4:$O$2428,7,FALSE)</f>
        <v>#N/A</v>
      </c>
      <c r="H437" s="5" t="e">
        <f>VLOOKUP($A437,tropes!$A$4:$O$2428,8,FALSE)</f>
        <v>#N/A</v>
      </c>
      <c r="I437" s="5" t="e">
        <f>VLOOKUP($A437,tropes!$A$4:$O$2428,9,FALSE)</f>
        <v>#N/A</v>
      </c>
      <c r="J437" s="5" t="e">
        <f>VLOOKUP($A437,tropes!$A$4:$O$2428,10,FALSE)</f>
        <v>#N/A</v>
      </c>
      <c r="K437" s="5" t="e">
        <f>VLOOKUP($A437,tropes!$A$4:$O$2428,11,FALSE)</f>
        <v>#N/A</v>
      </c>
      <c r="L437" s="5" t="e">
        <f>VLOOKUP($A437,tropes!$A$4:$O$2428,12,FALSE)</f>
        <v>#N/A</v>
      </c>
      <c r="M437" s="5" t="e">
        <f>VLOOKUP($A437,tropes!$A$4:$O$2428,13,FALSE)</f>
        <v>#N/A</v>
      </c>
      <c r="N437" s="5"/>
    </row>
    <row r="438" spans="1:14" x14ac:dyDescent="0.3">
      <c r="A438" s="14"/>
      <c r="B438" s="5" t="e">
        <f>VLOOKUP($A438,tropes!$A$4:$O$2428,2,FALSE)</f>
        <v>#N/A</v>
      </c>
      <c r="C438" s="5" t="e">
        <f>VLOOKUP($A438,tropes!$A$4:$O$2428,3,FALSE)</f>
        <v>#N/A</v>
      </c>
      <c r="D438" s="5" t="e">
        <f>VLOOKUP($A438,tropes!$A$4:$O$2428,4,FALSE)</f>
        <v>#N/A</v>
      </c>
      <c r="E438" s="5" t="e">
        <f>VLOOKUP($A438,tropes!$A$4:$O$2428,5,FALSE)</f>
        <v>#N/A</v>
      </c>
      <c r="F438" s="5" t="e">
        <f>VLOOKUP($A438,tropes!$A$4:$O$2428,6,FALSE)</f>
        <v>#N/A</v>
      </c>
      <c r="G438" s="5" t="e">
        <f>VLOOKUP($A438,tropes!$A$4:$O$2428,7,FALSE)</f>
        <v>#N/A</v>
      </c>
      <c r="H438" s="5" t="e">
        <f>VLOOKUP($A438,tropes!$A$4:$O$2428,8,FALSE)</f>
        <v>#N/A</v>
      </c>
      <c r="I438" s="5" t="e">
        <f>VLOOKUP($A438,tropes!$A$4:$O$2428,9,FALSE)</f>
        <v>#N/A</v>
      </c>
      <c r="J438" s="5" t="e">
        <f>VLOOKUP($A438,tropes!$A$4:$O$2428,10,FALSE)</f>
        <v>#N/A</v>
      </c>
      <c r="K438" s="5" t="e">
        <f>VLOOKUP($A438,tropes!$A$4:$O$2428,11,FALSE)</f>
        <v>#N/A</v>
      </c>
      <c r="L438" s="5" t="e">
        <f>VLOOKUP($A438,tropes!$A$4:$O$2428,12,FALSE)</f>
        <v>#N/A</v>
      </c>
      <c r="M438" s="5" t="e">
        <f>VLOOKUP($A438,tropes!$A$4:$O$2428,13,FALSE)</f>
        <v>#N/A</v>
      </c>
      <c r="N438" s="5"/>
    </row>
    <row r="439" spans="1:14" x14ac:dyDescent="0.3">
      <c r="A439" s="14"/>
      <c r="B439" s="5" t="e">
        <f>VLOOKUP($A439,tropes!$A$4:$O$2428,2,FALSE)</f>
        <v>#N/A</v>
      </c>
      <c r="C439" s="5" t="e">
        <f>VLOOKUP($A439,tropes!$A$4:$O$2428,3,FALSE)</f>
        <v>#N/A</v>
      </c>
      <c r="D439" s="5" t="e">
        <f>VLOOKUP($A439,tropes!$A$4:$O$2428,4,FALSE)</f>
        <v>#N/A</v>
      </c>
      <c r="E439" s="5" t="e">
        <f>VLOOKUP($A439,tropes!$A$4:$O$2428,5,FALSE)</f>
        <v>#N/A</v>
      </c>
      <c r="F439" s="5" t="e">
        <f>VLOOKUP($A439,tropes!$A$4:$O$2428,6,FALSE)</f>
        <v>#N/A</v>
      </c>
      <c r="G439" s="5" t="e">
        <f>VLOOKUP($A439,tropes!$A$4:$O$2428,7,FALSE)</f>
        <v>#N/A</v>
      </c>
      <c r="H439" s="5" t="e">
        <f>VLOOKUP($A439,tropes!$A$4:$O$2428,8,FALSE)</f>
        <v>#N/A</v>
      </c>
      <c r="I439" s="5" t="e">
        <f>VLOOKUP($A439,tropes!$A$4:$O$2428,9,FALSE)</f>
        <v>#N/A</v>
      </c>
      <c r="J439" s="5" t="e">
        <f>VLOOKUP($A439,tropes!$A$4:$O$2428,10,FALSE)</f>
        <v>#N/A</v>
      </c>
      <c r="K439" s="5" t="e">
        <f>VLOOKUP($A439,tropes!$A$4:$O$2428,11,FALSE)</f>
        <v>#N/A</v>
      </c>
      <c r="L439" s="5" t="e">
        <f>VLOOKUP($A439,tropes!$A$4:$O$2428,12,FALSE)</f>
        <v>#N/A</v>
      </c>
      <c r="M439" s="5" t="e">
        <f>VLOOKUP($A439,tropes!$A$4:$O$2428,13,FALSE)</f>
        <v>#N/A</v>
      </c>
      <c r="N439" s="5"/>
    </row>
    <row r="440" spans="1:14" x14ac:dyDescent="0.3">
      <c r="A440" s="14"/>
      <c r="B440" s="5" t="e">
        <f>VLOOKUP($A440,tropes!$A$4:$O$2428,2,FALSE)</f>
        <v>#N/A</v>
      </c>
      <c r="C440" s="5" t="e">
        <f>VLOOKUP($A440,tropes!$A$4:$O$2428,3,FALSE)</f>
        <v>#N/A</v>
      </c>
      <c r="D440" s="5" t="e">
        <f>VLOOKUP($A440,tropes!$A$4:$O$2428,4,FALSE)</f>
        <v>#N/A</v>
      </c>
      <c r="E440" s="5" t="e">
        <f>VLOOKUP($A440,tropes!$A$4:$O$2428,5,FALSE)</f>
        <v>#N/A</v>
      </c>
      <c r="F440" s="5" t="e">
        <f>VLOOKUP($A440,tropes!$A$4:$O$2428,6,FALSE)</f>
        <v>#N/A</v>
      </c>
      <c r="G440" s="5" t="e">
        <f>VLOOKUP($A440,tropes!$A$4:$O$2428,7,FALSE)</f>
        <v>#N/A</v>
      </c>
      <c r="H440" s="5" t="e">
        <f>VLOOKUP($A440,tropes!$A$4:$O$2428,8,FALSE)</f>
        <v>#N/A</v>
      </c>
      <c r="I440" s="5" t="e">
        <f>VLOOKUP($A440,tropes!$A$4:$O$2428,9,FALSE)</f>
        <v>#N/A</v>
      </c>
      <c r="J440" s="5" t="e">
        <f>VLOOKUP($A440,tropes!$A$4:$O$2428,10,FALSE)</f>
        <v>#N/A</v>
      </c>
      <c r="K440" s="5" t="e">
        <f>VLOOKUP($A440,tropes!$A$4:$O$2428,11,FALSE)</f>
        <v>#N/A</v>
      </c>
      <c r="L440" s="5" t="e">
        <f>VLOOKUP($A440,tropes!$A$4:$O$2428,12,FALSE)</f>
        <v>#N/A</v>
      </c>
      <c r="M440" s="5" t="e">
        <f>VLOOKUP($A440,tropes!$A$4:$O$2428,13,FALSE)</f>
        <v>#N/A</v>
      </c>
      <c r="N440" s="5"/>
    </row>
    <row r="441" spans="1:14" x14ac:dyDescent="0.3">
      <c r="A441" s="14"/>
      <c r="B441" s="5" t="e">
        <f>VLOOKUP($A441,tropes!$A$4:$O$2428,2,FALSE)</f>
        <v>#N/A</v>
      </c>
      <c r="C441" s="5" t="e">
        <f>VLOOKUP($A441,tropes!$A$4:$O$2428,3,FALSE)</f>
        <v>#N/A</v>
      </c>
      <c r="D441" s="5" t="e">
        <f>VLOOKUP($A441,tropes!$A$4:$O$2428,4,FALSE)</f>
        <v>#N/A</v>
      </c>
      <c r="E441" s="5" t="e">
        <f>VLOOKUP($A441,tropes!$A$4:$O$2428,5,FALSE)</f>
        <v>#N/A</v>
      </c>
      <c r="F441" s="5" t="e">
        <f>VLOOKUP($A441,tropes!$A$4:$O$2428,6,FALSE)</f>
        <v>#N/A</v>
      </c>
      <c r="G441" s="5" t="e">
        <f>VLOOKUP($A441,tropes!$A$4:$O$2428,7,FALSE)</f>
        <v>#N/A</v>
      </c>
      <c r="H441" s="5" t="e">
        <f>VLOOKUP($A441,tropes!$A$4:$O$2428,8,FALSE)</f>
        <v>#N/A</v>
      </c>
      <c r="I441" s="5" t="e">
        <f>VLOOKUP($A441,tropes!$A$4:$O$2428,9,FALSE)</f>
        <v>#N/A</v>
      </c>
      <c r="J441" s="5" t="e">
        <f>VLOOKUP($A441,tropes!$A$4:$O$2428,10,FALSE)</f>
        <v>#N/A</v>
      </c>
      <c r="K441" s="5" t="e">
        <f>VLOOKUP($A441,tropes!$A$4:$O$2428,11,FALSE)</f>
        <v>#N/A</v>
      </c>
      <c r="L441" s="5" t="e">
        <f>VLOOKUP($A441,tropes!$A$4:$O$2428,12,FALSE)</f>
        <v>#N/A</v>
      </c>
      <c r="M441" s="5" t="e">
        <f>VLOOKUP($A441,tropes!$A$4:$O$2428,13,FALSE)</f>
        <v>#N/A</v>
      </c>
      <c r="N441" s="5"/>
    </row>
    <row r="442" spans="1:14" x14ac:dyDescent="0.3">
      <c r="A442" s="14"/>
      <c r="B442" s="5" t="e">
        <f>VLOOKUP($A442,tropes!$A$4:$O$2428,2,FALSE)</f>
        <v>#N/A</v>
      </c>
      <c r="C442" s="5" t="e">
        <f>VLOOKUP($A442,tropes!$A$4:$O$2428,3,FALSE)</f>
        <v>#N/A</v>
      </c>
      <c r="D442" s="5" t="e">
        <f>VLOOKUP($A442,tropes!$A$4:$O$2428,4,FALSE)</f>
        <v>#N/A</v>
      </c>
      <c r="E442" s="5" t="e">
        <f>VLOOKUP($A442,tropes!$A$4:$O$2428,5,FALSE)</f>
        <v>#N/A</v>
      </c>
      <c r="F442" s="5" t="e">
        <f>VLOOKUP($A442,tropes!$A$4:$O$2428,6,FALSE)</f>
        <v>#N/A</v>
      </c>
      <c r="G442" s="5" t="e">
        <f>VLOOKUP($A442,tropes!$A$4:$O$2428,7,FALSE)</f>
        <v>#N/A</v>
      </c>
      <c r="H442" s="5" t="e">
        <f>VLOOKUP($A442,tropes!$A$4:$O$2428,8,FALSE)</f>
        <v>#N/A</v>
      </c>
      <c r="I442" s="5" t="e">
        <f>VLOOKUP($A442,tropes!$A$4:$O$2428,9,FALSE)</f>
        <v>#N/A</v>
      </c>
      <c r="J442" s="5" t="e">
        <f>VLOOKUP($A442,tropes!$A$4:$O$2428,10,FALSE)</f>
        <v>#N/A</v>
      </c>
      <c r="K442" s="5" t="e">
        <f>VLOOKUP($A442,tropes!$A$4:$O$2428,11,FALSE)</f>
        <v>#N/A</v>
      </c>
      <c r="L442" s="5" t="e">
        <f>VLOOKUP($A442,tropes!$A$4:$O$2428,12,FALSE)</f>
        <v>#N/A</v>
      </c>
      <c r="M442" s="5" t="e">
        <f>VLOOKUP($A442,tropes!$A$4:$O$2428,13,FALSE)</f>
        <v>#N/A</v>
      </c>
      <c r="N442" s="5"/>
    </row>
    <row r="443" spans="1:14" x14ac:dyDescent="0.3">
      <c r="A443" s="14"/>
      <c r="B443" s="5" t="e">
        <f>VLOOKUP($A443,tropes!$A$4:$O$2428,2,FALSE)</f>
        <v>#N/A</v>
      </c>
      <c r="C443" s="5" t="e">
        <f>VLOOKUP($A443,tropes!$A$4:$O$2428,3,FALSE)</f>
        <v>#N/A</v>
      </c>
      <c r="D443" s="5" t="e">
        <f>VLOOKUP($A443,tropes!$A$4:$O$2428,4,FALSE)</f>
        <v>#N/A</v>
      </c>
      <c r="E443" s="5" t="e">
        <f>VLOOKUP($A443,tropes!$A$4:$O$2428,5,FALSE)</f>
        <v>#N/A</v>
      </c>
      <c r="F443" s="5" t="e">
        <f>VLOOKUP($A443,tropes!$A$4:$O$2428,6,FALSE)</f>
        <v>#N/A</v>
      </c>
      <c r="G443" s="5" t="e">
        <f>VLOOKUP($A443,tropes!$A$4:$O$2428,7,FALSE)</f>
        <v>#N/A</v>
      </c>
      <c r="H443" s="5" t="e">
        <f>VLOOKUP($A443,tropes!$A$4:$O$2428,8,FALSE)</f>
        <v>#N/A</v>
      </c>
      <c r="I443" s="5" t="e">
        <f>VLOOKUP($A443,tropes!$A$4:$O$2428,9,FALSE)</f>
        <v>#N/A</v>
      </c>
      <c r="J443" s="5" t="e">
        <f>VLOOKUP($A443,tropes!$A$4:$O$2428,10,FALSE)</f>
        <v>#N/A</v>
      </c>
      <c r="K443" s="5" t="e">
        <f>VLOOKUP($A443,tropes!$A$4:$O$2428,11,FALSE)</f>
        <v>#N/A</v>
      </c>
      <c r="L443" s="5" t="e">
        <f>VLOOKUP($A443,tropes!$A$4:$O$2428,12,FALSE)</f>
        <v>#N/A</v>
      </c>
      <c r="M443" s="5" t="e">
        <f>VLOOKUP($A443,tropes!$A$4:$O$2428,13,FALSE)</f>
        <v>#N/A</v>
      </c>
      <c r="N443" s="5"/>
    </row>
    <row r="444" spans="1:14" x14ac:dyDescent="0.3">
      <c r="A444" s="14"/>
      <c r="B444" s="5" t="e">
        <f>VLOOKUP($A444,tropes!$A$4:$O$2428,2,FALSE)</f>
        <v>#N/A</v>
      </c>
      <c r="C444" s="5" t="e">
        <f>VLOOKUP($A444,tropes!$A$4:$O$2428,3,FALSE)</f>
        <v>#N/A</v>
      </c>
      <c r="D444" s="5" t="e">
        <f>VLOOKUP($A444,tropes!$A$4:$O$2428,4,FALSE)</f>
        <v>#N/A</v>
      </c>
      <c r="E444" s="5" t="e">
        <f>VLOOKUP($A444,tropes!$A$4:$O$2428,5,FALSE)</f>
        <v>#N/A</v>
      </c>
      <c r="F444" s="5" t="e">
        <f>VLOOKUP($A444,tropes!$A$4:$O$2428,6,FALSE)</f>
        <v>#N/A</v>
      </c>
      <c r="G444" s="5" t="e">
        <f>VLOOKUP($A444,tropes!$A$4:$O$2428,7,FALSE)</f>
        <v>#N/A</v>
      </c>
      <c r="H444" s="5" t="e">
        <f>VLOOKUP($A444,tropes!$A$4:$O$2428,8,FALSE)</f>
        <v>#N/A</v>
      </c>
      <c r="I444" s="5" t="e">
        <f>VLOOKUP($A444,tropes!$A$4:$O$2428,9,FALSE)</f>
        <v>#N/A</v>
      </c>
      <c r="J444" s="5" t="e">
        <f>VLOOKUP($A444,tropes!$A$4:$O$2428,10,FALSE)</f>
        <v>#N/A</v>
      </c>
      <c r="K444" s="5" t="e">
        <f>VLOOKUP($A444,tropes!$A$4:$O$2428,11,FALSE)</f>
        <v>#N/A</v>
      </c>
      <c r="L444" s="5" t="e">
        <f>VLOOKUP($A444,tropes!$A$4:$O$2428,12,FALSE)</f>
        <v>#N/A</v>
      </c>
      <c r="M444" s="5" t="e">
        <f>VLOOKUP($A444,tropes!$A$4:$O$2428,13,FALSE)</f>
        <v>#N/A</v>
      </c>
      <c r="N444" s="5"/>
    </row>
    <row r="445" spans="1:14" x14ac:dyDescent="0.3">
      <c r="A445" s="14"/>
      <c r="B445" s="5" t="e">
        <f>VLOOKUP($A445,tropes!$A$4:$O$2428,2,FALSE)</f>
        <v>#N/A</v>
      </c>
      <c r="C445" s="5" t="e">
        <f>VLOOKUP($A445,tropes!$A$4:$O$2428,3,FALSE)</f>
        <v>#N/A</v>
      </c>
      <c r="D445" s="5" t="e">
        <f>VLOOKUP($A445,tropes!$A$4:$O$2428,4,FALSE)</f>
        <v>#N/A</v>
      </c>
      <c r="E445" s="5" t="e">
        <f>VLOOKUP($A445,tropes!$A$4:$O$2428,5,FALSE)</f>
        <v>#N/A</v>
      </c>
      <c r="F445" s="5" t="e">
        <f>VLOOKUP($A445,tropes!$A$4:$O$2428,6,FALSE)</f>
        <v>#N/A</v>
      </c>
      <c r="G445" s="5" t="e">
        <f>VLOOKUP($A445,tropes!$A$4:$O$2428,7,FALSE)</f>
        <v>#N/A</v>
      </c>
      <c r="H445" s="5" t="e">
        <f>VLOOKUP($A445,tropes!$A$4:$O$2428,8,FALSE)</f>
        <v>#N/A</v>
      </c>
      <c r="I445" s="5" t="e">
        <f>VLOOKUP($A445,tropes!$A$4:$O$2428,9,FALSE)</f>
        <v>#N/A</v>
      </c>
      <c r="J445" s="5" t="e">
        <f>VLOOKUP($A445,tropes!$A$4:$O$2428,10,FALSE)</f>
        <v>#N/A</v>
      </c>
      <c r="K445" s="5" t="e">
        <f>VLOOKUP($A445,tropes!$A$4:$O$2428,11,FALSE)</f>
        <v>#N/A</v>
      </c>
      <c r="L445" s="5" t="e">
        <f>VLOOKUP($A445,tropes!$A$4:$O$2428,12,FALSE)</f>
        <v>#N/A</v>
      </c>
      <c r="M445" s="5" t="e">
        <f>VLOOKUP($A445,tropes!$A$4:$O$2428,13,FALSE)</f>
        <v>#N/A</v>
      </c>
      <c r="N445" s="5"/>
    </row>
    <row r="446" spans="1:14" x14ac:dyDescent="0.3">
      <c r="A446" s="14"/>
      <c r="B446" s="5" t="e">
        <f>VLOOKUP($A446,tropes!$A$4:$O$2428,2,FALSE)</f>
        <v>#N/A</v>
      </c>
      <c r="C446" s="5" t="e">
        <f>VLOOKUP($A446,tropes!$A$4:$O$2428,3,FALSE)</f>
        <v>#N/A</v>
      </c>
      <c r="D446" s="5" t="e">
        <f>VLOOKUP($A446,tropes!$A$4:$O$2428,4,FALSE)</f>
        <v>#N/A</v>
      </c>
      <c r="E446" s="5" t="e">
        <f>VLOOKUP($A446,tropes!$A$4:$O$2428,5,FALSE)</f>
        <v>#N/A</v>
      </c>
      <c r="F446" s="5" t="e">
        <f>VLOOKUP($A446,tropes!$A$4:$O$2428,6,FALSE)</f>
        <v>#N/A</v>
      </c>
      <c r="G446" s="5" t="e">
        <f>VLOOKUP($A446,tropes!$A$4:$O$2428,7,FALSE)</f>
        <v>#N/A</v>
      </c>
      <c r="H446" s="5" t="e">
        <f>VLOOKUP($A446,tropes!$A$4:$O$2428,8,FALSE)</f>
        <v>#N/A</v>
      </c>
      <c r="I446" s="5" t="e">
        <f>VLOOKUP($A446,tropes!$A$4:$O$2428,9,FALSE)</f>
        <v>#N/A</v>
      </c>
      <c r="J446" s="5" t="e">
        <f>VLOOKUP($A446,tropes!$A$4:$O$2428,10,FALSE)</f>
        <v>#N/A</v>
      </c>
      <c r="K446" s="5" t="e">
        <f>VLOOKUP($A446,tropes!$A$4:$O$2428,11,FALSE)</f>
        <v>#N/A</v>
      </c>
      <c r="L446" s="5" t="e">
        <f>VLOOKUP($A446,tropes!$A$4:$O$2428,12,FALSE)</f>
        <v>#N/A</v>
      </c>
      <c r="M446" s="5" t="e">
        <f>VLOOKUP($A446,tropes!$A$4:$O$2428,13,FALSE)</f>
        <v>#N/A</v>
      </c>
      <c r="N446" s="5"/>
    </row>
    <row r="447" spans="1:14" x14ac:dyDescent="0.3">
      <c r="A447" s="14"/>
      <c r="B447" s="5" t="e">
        <f>VLOOKUP($A447,tropes!$A$4:$O$2428,2,FALSE)</f>
        <v>#N/A</v>
      </c>
      <c r="C447" s="5" t="e">
        <f>VLOOKUP($A447,tropes!$A$4:$O$2428,3,FALSE)</f>
        <v>#N/A</v>
      </c>
      <c r="D447" s="5" t="e">
        <f>VLOOKUP($A447,tropes!$A$4:$O$2428,4,FALSE)</f>
        <v>#N/A</v>
      </c>
      <c r="E447" s="5" t="e">
        <f>VLOOKUP($A447,tropes!$A$4:$O$2428,5,FALSE)</f>
        <v>#N/A</v>
      </c>
      <c r="F447" s="5" t="e">
        <f>VLOOKUP($A447,tropes!$A$4:$O$2428,6,FALSE)</f>
        <v>#N/A</v>
      </c>
      <c r="G447" s="5" t="e">
        <f>VLOOKUP($A447,tropes!$A$4:$O$2428,7,FALSE)</f>
        <v>#N/A</v>
      </c>
      <c r="H447" s="5" t="e">
        <f>VLOOKUP($A447,tropes!$A$4:$O$2428,8,FALSE)</f>
        <v>#N/A</v>
      </c>
      <c r="I447" s="5" t="e">
        <f>VLOOKUP($A447,tropes!$A$4:$O$2428,9,FALSE)</f>
        <v>#N/A</v>
      </c>
      <c r="J447" s="5" t="e">
        <f>VLOOKUP($A447,tropes!$A$4:$O$2428,10,FALSE)</f>
        <v>#N/A</v>
      </c>
      <c r="K447" s="5" t="e">
        <f>VLOOKUP($A447,tropes!$A$4:$O$2428,11,FALSE)</f>
        <v>#N/A</v>
      </c>
      <c r="L447" s="5" t="e">
        <f>VLOOKUP($A447,tropes!$A$4:$O$2428,12,FALSE)</f>
        <v>#N/A</v>
      </c>
      <c r="M447" s="5" t="e">
        <f>VLOOKUP($A447,tropes!$A$4:$O$2428,13,FALSE)</f>
        <v>#N/A</v>
      </c>
      <c r="N447" s="5"/>
    </row>
    <row r="448" spans="1:14" x14ac:dyDescent="0.3">
      <c r="A448" s="14"/>
      <c r="B448" s="5" t="e">
        <f>VLOOKUP($A448,tropes!$A$4:$O$2428,2,FALSE)</f>
        <v>#N/A</v>
      </c>
      <c r="C448" s="5" t="e">
        <f>VLOOKUP($A448,tropes!$A$4:$O$2428,3,FALSE)</f>
        <v>#N/A</v>
      </c>
      <c r="D448" s="5" t="e">
        <f>VLOOKUP($A448,tropes!$A$4:$O$2428,4,FALSE)</f>
        <v>#N/A</v>
      </c>
      <c r="E448" s="5" t="e">
        <f>VLOOKUP($A448,tropes!$A$4:$O$2428,5,FALSE)</f>
        <v>#N/A</v>
      </c>
      <c r="F448" s="5" t="e">
        <f>VLOOKUP($A448,tropes!$A$4:$O$2428,6,FALSE)</f>
        <v>#N/A</v>
      </c>
      <c r="G448" s="5" t="e">
        <f>VLOOKUP($A448,tropes!$A$4:$O$2428,7,FALSE)</f>
        <v>#N/A</v>
      </c>
      <c r="H448" s="5" t="e">
        <f>VLOOKUP($A448,tropes!$A$4:$O$2428,8,FALSE)</f>
        <v>#N/A</v>
      </c>
      <c r="I448" s="5" t="e">
        <f>VLOOKUP($A448,tropes!$A$4:$O$2428,9,FALSE)</f>
        <v>#N/A</v>
      </c>
      <c r="J448" s="5" t="e">
        <f>VLOOKUP($A448,tropes!$A$4:$O$2428,10,FALSE)</f>
        <v>#N/A</v>
      </c>
      <c r="K448" s="5" t="e">
        <f>VLOOKUP($A448,tropes!$A$4:$O$2428,11,FALSE)</f>
        <v>#N/A</v>
      </c>
      <c r="L448" s="5" t="e">
        <f>VLOOKUP($A448,tropes!$A$4:$O$2428,12,FALSE)</f>
        <v>#N/A</v>
      </c>
      <c r="M448" s="5" t="e">
        <f>VLOOKUP($A448,tropes!$A$4:$O$2428,13,FALSE)</f>
        <v>#N/A</v>
      </c>
      <c r="N448" s="5"/>
    </row>
    <row r="449" spans="1:14" x14ac:dyDescent="0.3">
      <c r="A449" s="14"/>
      <c r="B449" s="5" t="e">
        <f>VLOOKUP($A449,tropes!$A$4:$O$2428,2,FALSE)</f>
        <v>#N/A</v>
      </c>
      <c r="C449" s="5" t="e">
        <f>VLOOKUP($A449,tropes!$A$4:$O$2428,3,FALSE)</f>
        <v>#N/A</v>
      </c>
      <c r="D449" s="5" t="e">
        <f>VLOOKUP($A449,tropes!$A$4:$O$2428,4,FALSE)</f>
        <v>#N/A</v>
      </c>
      <c r="E449" s="5" t="e">
        <f>VLOOKUP($A449,tropes!$A$4:$O$2428,5,FALSE)</f>
        <v>#N/A</v>
      </c>
      <c r="F449" s="5" t="e">
        <f>VLOOKUP($A449,tropes!$A$4:$O$2428,6,FALSE)</f>
        <v>#N/A</v>
      </c>
      <c r="G449" s="5" t="e">
        <f>VLOOKUP($A449,tropes!$A$4:$O$2428,7,FALSE)</f>
        <v>#N/A</v>
      </c>
      <c r="H449" s="5" t="e">
        <f>VLOOKUP($A449,tropes!$A$4:$O$2428,8,FALSE)</f>
        <v>#N/A</v>
      </c>
      <c r="I449" s="5" t="e">
        <f>VLOOKUP($A449,tropes!$A$4:$O$2428,9,FALSE)</f>
        <v>#N/A</v>
      </c>
      <c r="J449" s="5" t="e">
        <f>VLOOKUP($A449,tropes!$A$4:$O$2428,10,FALSE)</f>
        <v>#N/A</v>
      </c>
      <c r="K449" s="5" t="e">
        <f>VLOOKUP($A449,tropes!$A$4:$O$2428,11,FALSE)</f>
        <v>#N/A</v>
      </c>
      <c r="L449" s="5" t="e">
        <f>VLOOKUP($A449,tropes!$A$4:$O$2428,12,FALSE)</f>
        <v>#N/A</v>
      </c>
      <c r="M449" s="5" t="e">
        <f>VLOOKUP($A449,tropes!$A$4:$O$2428,13,FALSE)</f>
        <v>#N/A</v>
      </c>
      <c r="N449" s="5"/>
    </row>
    <row r="450" spans="1:14" x14ac:dyDescent="0.3">
      <c r="A450" s="14"/>
      <c r="B450" s="5" t="e">
        <f>VLOOKUP($A450,tropes!$A$4:$O$2428,2,FALSE)</f>
        <v>#N/A</v>
      </c>
      <c r="C450" s="5" t="e">
        <f>VLOOKUP($A450,tropes!$A$4:$O$2428,3,FALSE)</f>
        <v>#N/A</v>
      </c>
      <c r="D450" s="5" t="e">
        <f>VLOOKUP($A450,tropes!$A$4:$O$2428,4,FALSE)</f>
        <v>#N/A</v>
      </c>
      <c r="E450" s="5" t="e">
        <f>VLOOKUP($A450,tropes!$A$4:$O$2428,5,FALSE)</f>
        <v>#N/A</v>
      </c>
      <c r="F450" s="5" t="e">
        <f>VLOOKUP($A450,tropes!$A$4:$O$2428,6,FALSE)</f>
        <v>#N/A</v>
      </c>
      <c r="G450" s="5" t="e">
        <f>VLOOKUP($A450,tropes!$A$4:$O$2428,7,FALSE)</f>
        <v>#N/A</v>
      </c>
      <c r="H450" s="5" t="e">
        <f>VLOOKUP($A450,tropes!$A$4:$O$2428,8,FALSE)</f>
        <v>#N/A</v>
      </c>
      <c r="I450" s="5" t="e">
        <f>VLOOKUP($A450,tropes!$A$4:$O$2428,9,FALSE)</f>
        <v>#N/A</v>
      </c>
      <c r="J450" s="5" t="e">
        <f>VLOOKUP($A450,tropes!$A$4:$O$2428,10,FALSE)</f>
        <v>#N/A</v>
      </c>
      <c r="K450" s="5" t="e">
        <f>VLOOKUP($A450,tropes!$A$4:$O$2428,11,FALSE)</f>
        <v>#N/A</v>
      </c>
      <c r="L450" s="5" t="e">
        <f>VLOOKUP($A450,tropes!$A$4:$O$2428,12,FALSE)</f>
        <v>#N/A</v>
      </c>
      <c r="M450" s="5" t="e">
        <f>VLOOKUP($A450,tropes!$A$4:$O$2428,13,FALSE)</f>
        <v>#N/A</v>
      </c>
      <c r="N450" s="5"/>
    </row>
    <row r="451" spans="1:14" x14ac:dyDescent="0.3">
      <c r="A451" s="14"/>
      <c r="B451" s="5" t="e">
        <f>VLOOKUP($A451,tropes!$A$4:$O$2428,2,FALSE)</f>
        <v>#N/A</v>
      </c>
      <c r="C451" s="5" t="e">
        <f>VLOOKUP($A451,tropes!$A$4:$O$2428,3,FALSE)</f>
        <v>#N/A</v>
      </c>
      <c r="D451" s="5" t="e">
        <f>VLOOKUP($A451,tropes!$A$4:$O$2428,4,FALSE)</f>
        <v>#N/A</v>
      </c>
      <c r="E451" s="5" t="e">
        <f>VLOOKUP($A451,tropes!$A$4:$O$2428,5,FALSE)</f>
        <v>#N/A</v>
      </c>
      <c r="F451" s="5" t="e">
        <f>VLOOKUP($A451,tropes!$A$4:$O$2428,6,FALSE)</f>
        <v>#N/A</v>
      </c>
      <c r="G451" s="5" t="e">
        <f>VLOOKUP($A451,tropes!$A$4:$O$2428,7,FALSE)</f>
        <v>#N/A</v>
      </c>
      <c r="H451" s="5" t="e">
        <f>VLOOKUP($A451,tropes!$A$4:$O$2428,8,FALSE)</f>
        <v>#N/A</v>
      </c>
      <c r="I451" s="5" t="e">
        <f>VLOOKUP($A451,tropes!$A$4:$O$2428,9,FALSE)</f>
        <v>#N/A</v>
      </c>
      <c r="J451" s="5" t="e">
        <f>VLOOKUP($A451,tropes!$A$4:$O$2428,10,FALSE)</f>
        <v>#N/A</v>
      </c>
      <c r="K451" s="5" t="e">
        <f>VLOOKUP($A451,tropes!$A$4:$O$2428,11,FALSE)</f>
        <v>#N/A</v>
      </c>
      <c r="L451" s="5" t="e">
        <f>VLOOKUP($A451,tropes!$A$4:$O$2428,12,FALSE)</f>
        <v>#N/A</v>
      </c>
      <c r="M451" s="5" t="e">
        <f>VLOOKUP($A451,tropes!$A$4:$O$2428,13,FALSE)</f>
        <v>#N/A</v>
      </c>
      <c r="N451" s="5"/>
    </row>
    <row r="452" spans="1:14" x14ac:dyDescent="0.3">
      <c r="A452" s="14"/>
      <c r="B452" s="5" t="e">
        <f>VLOOKUP($A452,tropes!$A$4:$O$2428,2,FALSE)</f>
        <v>#N/A</v>
      </c>
      <c r="C452" s="5" t="e">
        <f>VLOOKUP($A452,tropes!$A$4:$O$2428,3,FALSE)</f>
        <v>#N/A</v>
      </c>
      <c r="D452" s="5" t="e">
        <f>VLOOKUP($A452,tropes!$A$4:$O$2428,4,FALSE)</f>
        <v>#N/A</v>
      </c>
      <c r="E452" s="5" t="e">
        <f>VLOOKUP($A452,tropes!$A$4:$O$2428,5,FALSE)</f>
        <v>#N/A</v>
      </c>
      <c r="F452" s="5" t="e">
        <f>VLOOKUP($A452,tropes!$A$4:$O$2428,6,FALSE)</f>
        <v>#N/A</v>
      </c>
      <c r="G452" s="5" t="e">
        <f>VLOOKUP($A452,tropes!$A$4:$O$2428,7,FALSE)</f>
        <v>#N/A</v>
      </c>
      <c r="H452" s="5" t="e">
        <f>VLOOKUP($A452,tropes!$A$4:$O$2428,8,FALSE)</f>
        <v>#N/A</v>
      </c>
      <c r="I452" s="5" t="e">
        <f>VLOOKUP($A452,tropes!$A$4:$O$2428,9,FALSE)</f>
        <v>#N/A</v>
      </c>
      <c r="J452" s="5" t="e">
        <f>VLOOKUP($A452,tropes!$A$4:$O$2428,10,FALSE)</f>
        <v>#N/A</v>
      </c>
      <c r="K452" s="5" t="e">
        <f>VLOOKUP($A452,tropes!$A$4:$O$2428,11,FALSE)</f>
        <v>#N/A</v>
      </c>
      <c r="L452" s="5" t="e">
        <f>VLOOKUP($A452,tropes!$A$4:$O$2428,12,FALSE)</f>
        <v>#N/A</v>
      </c>
      <c r="M452" s="5" t="e">
        <f>VLOOKUP($A452,tropes!$A$4:$O$2428,13,FALSE)</f>
        <v>#N/A</v>
      </c>
      <c r="N452" s="5"/>
    </row>
    <row r="453" spans="1:14" x14ac:dyDescent="0.3">
      <c r="A453" s="14"/>
      <c r="B453" s="5" t="e">
        <f>VLOOKUP($A453,tropes!$A$4:$O$2428,2,FALSE)</f>
        <v>#N/A</v>
      </c>
      <c r="C453" s="5" t="e">
        <f>VLOOKUP($A453,tropes!$A$4:$O$2428,3,FALSE)</f>
        <v>#N/A</v>
      </c>
      <c r="D453" s="5" t="e">
        <f>VLOOKUP($A453,tropes!$A$4:$O$2428,4,FALSE)</f>
        <v>#N/A</v>
      </c>
      <c r="E453" s="5" t="e">
        <f>VLOOKUP($A453,tropes!$A$4:$O$2428,5,FALSE)</f>
        <v>#N/A</v>
      </c>
      <c r="F453" s="5" t="e">
        <f>VLOOKUP($A453,tropes!$A$4:$O$2428,6,FALSE)</f>
        <v>#N/A</v>
      </c>
      <c r="G453" s="5" t="e">
        <f>VLOOKUP($A453,tropes!$A$4:$O$2428,7,FALSE)</f>
        <v>#N/A</v>
      </c>
      <c r="H453" s="5" t="e">
        <f>VLOOKUP($A453,tropes!$A$4:$O$2428,8,FALSE)</f>
        <v>#N/A</v>
      </c>
      <c r="I453" s="5" t="e">
        <f>VLOOKUP($A453,tropes!$A$4:$O$2428,9,FALSE)</f>
        <v>#N/A</v>
      </c>
      <c r="J453" s="5" t="e">
        <f>VLOOKUP($A453,tropes!$A$4:$O$2428,10,FALSE)</f>
        <v>#N/A</v>
      </c>
      <c r="K453" s="5" t="e">
        <f>VLOOKUP($A453,tropes!$A$4:$O$2428,11,FALSE)</f>
        <v>#N/A</v>
      </c>
      <c r="L453" s="5" t="e">
        <f>VLOOKUP($A453,tropes!$A$4:$O$2428,12,FALSE)</f>
        <v>#N/A</v>
      </c>
      <c r="M453" s="5" t="e">
        <f>VLOOKUP($A453,tropes!$A$4:$O$2428,13,FALSE)</f>
        <v>#N/A</v>
      </c>
      <c r="N453" s="5"/>
    </row>
    <row r="454" spans="1:14" x14ac:dyDescent="0.3">
      <c r="A454" s="14"/>
      <c r="B454" s="5" t="e">
        <f>VLOOKUP($A454,tropes!$A$4:$O$2428,2,FALSE)</f>
        <v>#N/A</v>
      </c>
      <c r="C454" s="5" t="e">
        <f>VLOOKUP($A454,tropes!$A$4:$O$2428,3,FALSE)</f>
        <v>#N/A</v>
      </c>
      <c r="D454" s="5" t="e">
        <f>VLOOKUP($A454,tropes!$A$4:$O$2428,4,FALSE)</f>
        <v>#N/A</v>
      </c>
      <c r="E454" s="5" t="e">
        <f>VLOOKUP($A454,tropes!$A$4:$O$2428,5,FALSE)</f>
        <v>#N/A</v>
      </c>
      <c r="F454" s="5" t="e">
        <f>VLOOKUP($A454,tropes!$A$4:$O$2428,6,FALSE)</f>
        <v>#N/A</v>
      </c>
      <c r="G454" s="5" t="e">
        <f>VLOOKUP($A454,tropes!$A$4:$O$2428,7,FALSE)</f>
        <v>#N/A</v>
      </c>
      <c r="H454" s="5" t="e">
        <f>VLOOKUP($A454,tropes!$A$4:$O$2428,8,FALSE)</f>
        <v>#N/A</v>
      </c>
      <c r="I454" s="5" t="e">
        <f>VLOOKUP($A454,tropes!$A$4:$O$2428,9,FALSE)</f>
        <v>#N/A</v>
      </c>
      <c r="J454" s="5" t="e">
        <f>VLOOKUP($A454,tropes!$A$4:$O$2428,10,FALSE)</f>
        <v>#N/A</v>
      </c>
      <c r="K454" s="5" t="e">
        <f>VLOOKUP($A454,tropes!$A$4:$O$2428,11,FALSE)</f>
        <v>#N/A</v>
      </c>
      <c r="L454" s="5" t="e">
        <f>VLOOKUP($A454,tropes!$A$4:$O$2428,12,FALSE)</f>
        <v>#N/A</v>
      </c>
      <c r="M454" s="5" t="e">
        <f>VLOOKUP($A454,tropes!$A$4:$O$2428,13,FALSE)</f>
        <v>#N/A</v>
      </c>
      <c r="N454" s="5"/>
    </row>
    <row r="455" spans="1:14" x14ac:dyDescent="0.3">
      <c r="A455" s="14"/>
      <c r="B455" s="5" t="e">
        <f>VLOOKUP($A455,tropes!$A$4:$O$2428,2,FALSE)</f>
        <v>#N/A</v>
      </c>
      <c r="C455" s="5" t="e">
        <f>VLOOKUP($A455,tropes!$A$4:$O$2428,3,FALSE)</f>
        <v>#N/A</v>
      </c>
      <c r="D455" s="5" t="e">
        <f>VLOOKUP($A455,tropes!$A$4:$O$2428,4,FALSE)</f>
        <v>#N/A</v>
      </c>
      <c r="E455" s="5" t="e">
        <f>VLOOKUP($A455,tropes!$A$4:$O$2428,5,FALSE)</f>
        <v>#N/A</v>
      </c>
      <c r="F455" s="5" t="e">
        <f>VLOOKUP($A455,tropes!$A$4:$O$2428,6,FALSE)</f>
        <v>#N/A</v>
      </c>
      <c r="G455" s="5" t="e">
        <f>VLOOKUP($A455,tropes!$A$4:$O$2428,7,FALSE)</f>
        <v>#N/A</v>
      </c>
      <c r="H455" s="5" t="e">
        <f>VLOOKUP($A455,tropes!$A$4:$O$2428,8,FALSE)</f>
        <v>#N/A</v>
      </c>
      <c r="I455" s="5" t="e">
        <f>VLOOKUP($A455,tropes!$A$4:$O$2428,9,FALSE)</f>
        <v>#N/A</v>
      </c>
      <c r="J455" s="5" t="e">
        <f>VLOOKUP($A455,tropes!$A$4:$O$2428,10,FALSE)</f>
        <v>#N/A</v>
      </c>
      <c r="K455" s="5" t="e">
        <f>VLOOKUP($A455,tropes!$A$4:$O$2428,11,FALSE)</f>
        <v>#N/A</v>
      </c>
      <c r="L455" s="5" t="e">
        <f>VLOOKUP($A455,tropes!$A$4:$O$2428,12,FALSE)</f>
        <v>#N/A</v>
      </c>
      <c r="M455" s="5" t="e">
        <f>VLOOKUP($A455,tropes!$A$4:$O$2428,13,FALSE)</f>
        <v>#N/A</v>
      </c>
      <c r="N455" s="5"/>
    </row>
    <row r="456" spans="1:14" x14ac:dyDescent="0.3">
      <c r="A456" s="14"/>
      <c r="B456" s="5" t="e">
        <f>VLOOKUP($A456,tropes!$A$4:$O$2428,2,FALSE)</f>
        <v>#N/A</v>
      </c>
      <c r="C456" s="5" t="e">
        <f>VLOOKUP($A456,tropes!$A$4:$O$2428,3,FALSE)</f>
        <v>#N/A</v>
      </c>
      <c r="D456" s="5" t="e">
        <f>VLOOKUP($A456,tropes!$A$4:$O$2428,4,FALSE)</f>
        <v>#N/A</v>
      </c>
      <c r="E456" s="5" t="e">
        <f>VLOOKUP($A456,tropes!$A$4:$O$2428,5,FALSE)</f>
        <v>#N/A</v>
      </c>
      <c r="F456" s="5" t="e">
        <f>VLOOKUP($A456,tropes!$A$4:$O$2428,6,FALSE)</f>
        <v>#N/A</v>
      </c>
      <c r="G456" s="5" t="e">
        <f>VLOOKUP($A456,tropes!$A$4:$O$2428,7,FALSE)</f>
        <v>#N/A</v>
      </c>
      <c r="H456" s="5" t="e">
        <f>VLOOKUP($A456,tropes!$A$4:$O$2428,8,FALSE)</f>
        <v>#N/A</v>
      </c>
      <c r="I456" s="5" t="e">
        <f>VLOOKUP($A456,tropes!$A$4:$O$2428,9,FALSE)</f>
        <v>#N/A</v>
      </c>
      <c r="J456" s="5" t="e">
        <f>VLOOKUP($A456,tropes!$A$4:$O$2428,10,FALSE)</f>
        <v>#N/A</v>
      </c>
      <c r="K456" s="5" t="e">
        <f>VLOOKUP($A456,tropes!$A$4:$O$2428,11,FALSE)</f>
        <v>#N/A</v>
      </c>
      <c r="L456" s="5" t="e">
        <f>VLOOKUP($A456,tropes!$A$4:$O$2428,12,FALSE)</f>
        <v>#N/A</v>
      </c>
      <c r="M456" s="5" t="e">
        <f>VLOOKUP($A456,tropes!$A$4:$O$2428,13,FALSE)</f>
        <v>#N/A</v>
      </c>
      <c r="N456" s="5"/>
    </row>
    <row r="457" spans="1:14" x14ac:dyDescent="0.3">
      <c r="A457" s="14"/>
      <c r="B457" s="5" t="e">
        <f>VLOOKUP($A457,tropes!$A$4:$O$2428,2,FALSE)</f>
        <v>#N/A</v>
      </c>
      <c r="C457" s="5" t="e">
        <f>VLOOKUP($A457,tropes!$A$4:$O$2428,3,FALSE)</f>
        <v>#N/A</v>
      </c>
      <c r="D457" s="5" t="e">
        <f>VLOOKUP($A457,tropes!$A$4:$O$2428,4,FALSE)</f>
        <v>#N/A</v>
      </c>
      <c r="E457" s="5" t="e">
        <f>VLOOKUP($A457,tropes!$A$4:$O$2428,5,FALSE)</f>
        <v>#N/A</v>
      </c>
      <c r="F457" s="5" t="e">
        <f>VLOOKUP($A457,tropes!$A$4:$O$2428,6,FALSE)</f>
        <v>#N/A</v>
      </c>
      <c r="G457" s="5" t="e">
        <f>VLOOKUP($A457,tropes!$A$4:$O$2428,7,FALSE)</f>
        <v>#N/A</v>
      </c>
      <c r="H457" s="5" t="e">
        <f>VLOOKUP($A457,tropes!$A$4:$O$2428,8,FALSE)</f>
        <v>#N/A</v>
      </c>
      <c r="I457" s="5" t="e">
        <f>VLOOKUP($A457,tropes!$A$4:$O$2428,9,FALSE)</f>
        <v>#N/A</v>
      </c>
      <c r="J457" s="5" t="e">
        <f>VLOOKUP($A457,tropes!$A$4:$O$2428,10,FALSE)</f>
        <v>#N/A</v>
      </c>
      <c r="K457" s="5" t="e">
        <f>VLOOKUP($A457,tropes!$A$4:$O$2428,11,FALSE)</f>
        <v>#N/A</v>
      </c>
      <c r="L457" s="5" t="e">
        <f>VLOOKUP($A457,tropes!$A$4:$O$2428,12,FALSE)</f>
        <v>#N/A</v>
      </c>
      <c r="M457" s="5" t="e">
        <f>VLOOKUP($A457,tropes!$A$4:$O$2428,13,FALSE)</f>
        <v>#N/A</v>
      </c>
      <c r="N457" s="5"/>
    </row>
    <row r="458" spans="1:14" x14ac:dyDescent="0.3">
      <c r="A458" s="14"/>
      <c r="B458" s="5" t="e">
        <f>VLOOKUP($A458,tropes!$A$4:$O$2428,2,FALSE)</f>
        <v>#N/A</v>
      </c>
      <c r="C458" s="5" t="e">
        <f>VLOOKUP($A458,tropes!$A$4:$O$2428,3,FALSE)</f>
        <v>#N/A</v>
      </c>
      <c r="D458" s="5" t="e">
        <f>VLOOKUP($A458,tropes!$A$4:$O$2428,4,FALSE)</f>
        <v>#N/A</v>
      </c>
      <c r="E458" s="5" t="e">
        <f>VLOOKUP($A458,tropes!$A$4:$O$2428,5,FALSE)</f>
        <v>#N/A</v>
      </c>
      <c r="F458" s="5" t="e">
        <f>VLOOKUP($A458,tropes!$A$4:$O$2428,6,FALSE)</f>
        <v>#N/A</v>
      </c>
      <c r="G458" s="5" t="e">
        <f>VLOOKUP($A458,tropes!$A$4:$O$2428,7,FALSE)</f>
        <v>#N/A</v>
      </c>
      <c r="H458" s="5" t="e">
        <f>VLOOKUP($A458,tropes!$A$4:$O$2428,8,FALSE)</f>
        <v>#N/A</v>
      </c>
      <c r="I458" s="5" t="e">
        <f>VLOOKUP($A458,tropes!$A$4:$O$2428,9,FALSE)</f>
        <v>#N/A</v>
      </c>
      <c r="J458" s="5" t="e">
        <f>VLOOKUP($A458,tropes!$A$4:$O$2428,10,FALSE)</f>
        <v>#N/A</v>
      </c>
      <c r="K458" s="5" t="e">
        <f>VLOOKUP($A458,tropes!$A$4:$O$2428,11,FALSE)</f>
        <v>#N/A</v>
      </c>
      <c r="L458" s="5" t="e">
        <f>VLOOKUP($A458,tropes!$A$4:$O$2428,12,FALSE)</f>
        <v>#N/A</v>
      </c>
      <c r="M458" s="5" t="e">
        <f>VLOOKUP($A458,tropes!$A$4:$O$2428,13,FALSE)</f>
        <v>#N/A</v>
      </c>
      <c r="N458" s="5"/>
    </row>
    <row r="459" spans="1:14" x14ac:dyDescent="0.3">
      <c r="A459" s="14"/>
      <c r="B459" s="5" t="e">
        <f>VLOOKUP($A459,tropes!$A$4:$O$2428,2,FALSE)</f>
        <v>#N/A</v>
      </c>
      <c r="C459" s="5" t="e">
        <f>VLOOKUP($A459,tropes!$A$4:$O$2428,3,FALSE)</f>
        <v>#N/A</v>
      </c>
      <c r="D459" s="5" t="e">
        <f>VLOOKUP($A459,tropes!$A$4:$O$2428,4,FALSE)</f>
        <v>#N/A</v>
      </c>
      <c r="E459" s="5" t="e">
        <f>VLOOKUP($A459,tropes!$A$4:$O$2428,5,FALSE)</f>
        <v>#N/A</v>
      </c>
      <c r="F459" s="5" t="e">
        <f>VLOOKUP($A459,tropes!$A$4:$O$2428,6,FALSE)</f>
        <v>#N/A</v>
      </c>
      <c r="G459" s="5" t="e">
        <f>VLOOKUP($A459,tropes!$A$4:$O$2428,7,FALSE)</f>
        <v>#N/A</v>
      </c>
      <c r="H459" s="5" t="e">
        <f>VLOOKUP($A459,tropes!$A$4:$O$2428,8,FALSE)</f>
        <v>#N/A</v>
      </c>
      <c r="I459" s="5" t="e">
        <f>VLOOKUP($A459,tropes!$A$4:$O$2428,9,FALSE)</f>
        <v>#N/A</v>
      </c>
      <c r="J459" s="5" t="e">
        <f>VLOOKUP($A459,tropes!$A$4:$O$2428,10,FALSE)</f>
        <v>#N/A</v>
      </c>
      <c r="K459" s="5" t="e">
        <f>VLOOKUP($A459,tropes!$A$4:$O$2428,11,FALSE)</f>
        <v>#N/A</v>
      </c>
      <c r="L459" s="5" t="e">
        <f>VLOOKUP($A459,tropes!$A$4:$O$2428,12,FALSE)</f>
        <v>#N/A</v>
      </c>
      <c r="M459" s="5" t="e">
        <f>VLOOKUP($A459,tropes!$A$4:$O$2428,13,FALSE)</f>
        <v>#N/A</v>
      </c>
      <c r="N459" s="5"/>
    </row>
    <row r="460" spans="1:14" x14ac:dyDescent="0.3">
      <c r="A460" s="14"/>
      <c r="B460" s="5" t="e">
        <f>VLOOKUP($A460,tropes!$A$4:$O$2428,2,FALSE)</f>
        <v>#N/A</v>
      </c>
      <c r="C460" s="5" t="e">
        <f>VLOOKUP($A460,tropes!$A$4:$O$2428,3,FALSE)</f>
        <v>#N/A</v>
      </c>
      <c r="D460" s="5" t="e">
        <f>VLOOKUP($A460,tropes!$A$4:$O$2428,4,FALSE)</f>
        <v>#N/A</v>
      </c>
      <c r="E460" s="5" t="e">
        <f>VLOOKUP($A460,tropes!$A$4:$O$2428,5,FALSE)</f>
        <v>#N/A</v>
      </c>
      <c r="F460" s="5" t="e">
        <f>VLOOKUP($A460,tropes!$A$4:$O$2428,6,FALSE)</f>
        <v>#N/A</v>
      </c>
      <c r="G460" s="5" t="e">
        <f>VLOOKUP($A460,tropes!$A$4:$O$2428,7,FALSE)</f>
        <v>#N/A</v>
      </c>
      <c r="H460" s="5" t="e">
        <f>VLOOKUP($A460,tropes!$A$4:$O$2428,8,FALSE)</f>
        <v>#N/A</v>
      </c>
      <c r="I460" s="5" t="e">
        <f>VLOOKUP($A460,tropes!$A$4:$O$2428,9,FALSE)</f>
        <v>#N/A</v>
      </c>
      <c r="J460" s="5" t="e">
        <f>VLOOKUP($A460,tropes!$A$4:$O$2428,10,FALSE)</f>
        <v>#N/A</v>
      </c>
      <c r="K460" s="5" t="e">
        <f>VLOOKUP($A460,tropes!$A$4:$O$2428,11,FALSE)</f>
        <v>#N/A</v>
      </c>
      <c r="L460" s="5" t="e">
        <f>VLOOKUP($A460,tropes!$A$4:$O$2428,12,FALSE)</f>
        <v>#N/A</v>
      </c>
      <c r="M460" s="5" t="e">
        <f>VLOOKUP($A460,tropes!$A$4:$O$2428,13,FALSE)</f>
        <v>#N/A</v>
      </c>
      <c r="N460" s="5"/>
    </row>
    <row r="461" spans="1:14" x14ac:dyDescent="0.3">
      <c r="A461" s="14"/>
      <c r="B461" s="5" t="e">
        <f>VLOOKUP($A461,tropes!$A$4:$O$2428,2,FALSE)</f>
        <v>#N/A</v>
      </c>
      <c r="C461" s="5" t="e">
        <f>VLOOKUP($A461,tropes!$A$4:$O$2428,3,FALSE)</f>
        <v>#N/A</v>
      </c>
      <c r="D461" s="5" t="e">
        <f>VLOOKUP($A461,tropes!$A$4:$O$2428,4,FALSE)</f>
        <v>#N/A</v>
      </c>
      <c r="E461" s="5" t="e">
        <f>VLOOKUP($A461,tropes!$A$4:$O$2428,5,FALSE)</f>
        <v>#N/A</v>
      </c>
      <c r="F461" s="5" t="e">
        <f>VLOOKUP($A461,tropes!$A$4:$O$2428,6,FALSE)</f>
        <v>#N/A</v>
      </c>
      <c r="G461" s="5" t="e">
        <f>VLOOKUP($A461,tropes!$A$4:$O$2428,7,FALSE)</f>
        <v>#N/A</v>
      </c>
      <c r="H461" s="5" t="e">
        <f>VLOOKUP($A461,tropes!$A$4:$O$2428,8,FALSE)</f>
        <v>#N/A</v>
      </c>
      <c r="I461" s="5" t="e">
        <f>VLOOKUP($A461,tropes!$A$4:$O$2428,9,FALSE)</f>
        <v>#N/A</v>
      </c>
      <c r="J461" s="5" t="e">
        <f>VLOOKUP($A461,tropes!$A$4:$O$2428,10,FALSE)</f>
        <v>#N/A</v>
      </c>
      <c r="K461" s="5" t="e">
        <f>VLOOKUP($A461,tropes!$A$4:$O$2428,11,FALSE)</f>
        <v>#N/A</v>
      </c>
      <c r="L461" s="5" t="e">
        <f>VLOOKUP($A461,tropes!$A$4:$O$2428,12,FALSE)</f>
        <v>#N/A</v>
      </c>
      <c r="M461" s="5" t="e">
        <f>VLOOKUP($A461,tropes!$A$4:$O$2428,13,FALSE)</f>
        <v>#N/A</v>
      </c>
      <c r="N461" s="5"/>
    </row>
    <row r="462" spans="1:14" x14ac:dyDescent="0.3">
      <c r="A462" s="14"/>
      <c r="B462" s="5" t="e">
        <f>VLOOKUP($A462,tropes!$A$4:$O$2428,2,FALSE)</f>
        <v>#N/A</v>
      </c>
      <c r="C462" s="5" t="e">
        <f>VLOOKUP($A462,tropes!$A$4:$O$2428,3,FALSE)</f>
        <v>#N/A</v>
      </c>
      <c r="D462" s="5" t="e">
        <f>VLOOKUP($A462,tropes!$A$4:$O$2428,4,FALSE)</f>
        <v>#N/A</v>
      </c>
      <c r="E462" s="5" t="e">
        <f>VLOOKUP($A462,tropes!$A$4:$O$2428,5,FALSE)</f>
        <v>#N/A</v>
      </c>
      <c r="F462" s="5" t="e">
        <f>VLOOKUP($A462,tropes!$A$4:$O$2428,6,FALSE)</f>
        <v>#N/A</v>
      </c>
      <c r="G462" s="5" t="e">
        <f>VLOOKUP($A462,tropes!$A$4:$O$2428,7,FALSE)</f>
        <v>#N/A</v>
      </c>
      <c r="H462" s="5" t="e">
        <f>VLOOKUP($A462,tropes!$A$4:$O$2428,8,FALSE)</f>
        <v>#N/A</v>
      </c>
      <c r="I462" s="5" t="e">
        <f>VLOOKUP($A462,tropes!$A$4:$O$2428,9,FALSE)</f>
        <v>#N/A</v>
      </c>
      <c r="J462" s="5" t="e">
        <f>VLOOKUP($A462,tropes!$A$4:$O$2428,10,FALSE)</f>
        <v>#N/A</v>
      </c>
      <c r="K462" s="5" t="e">
        <f>VLOOKUP($A462,tropes!$A$4:$O$2428,11,FALSE)</f>
        <v>#N/A</v>
      </c>
      <c r="L462" s="5" t="e">
        <f>VLOOKUP($A462,tropes!$A$4:$O$2428,12,FALSE)</f>
        <v>#N/A</v>
      </c>
      <c r="M462" s="5" t="e">
        <f>VLOOKUP($A462,tropes!$A$4:$O$2428,13,FALSE)</f>
        <v>#N/A</v>
      </c>
      <c r="N462" s="5"/>
    </row>
    <row r="463" spans="1:14" x14ac:dyDescent="0.3">
      <c r="A463" s="14"/>
      <c r="B463" s="5" t="e">
        <f>VLOOKUP($A463,tropes!$A$4:$O$2428,2,FALSE)</f>
        <v>#N/A</v>
      </c>
      <c r="C463" s="5" t="e">
        <f>VLOOKUP($A463,tropes!$A$4:$O$2428,3,FALSE)</f>
        <v>#N/A</v>
      </c>
      <c r="D463" s="5" t="e">
        <f>VLOOKUP($A463,tropes!$A$4:$O$2428,4,FALSE)</f>
        <v>#N/A</v>
      </c>
      <c r="E463" s="5" t="e">
        <f>VLOOKUP($A463,tropes!$A$4:$O$2428,5,FALSE)</f>
        <v>#N/A</v>
      </c>
      <c r="F463" s="5" t="e">
        <f>VLOOKUP($A463,tropes!$A$4:$O$2428,6,FALSE)</f>
        <v>#N/A</v>
      </c>
      <c r="G463" s="5" t="e">
        <f>VLOOKUP($A463,tropes!$A$4:$O$2428,7,FALSE)</f>
        <v>#N/A</v>
      </c>
      <c r="H463" s="5" t="e">
        <f>VLOOKUP($A463,tropes!$A$4:$O$2428,8,FALSE)</f>
        <v>#N/A</v>
      </c>
      <c r="I463" s="5" t="e">
        <f>VLOOKUP($A463,tropes!$A$4:$O$2428,9,FALSE)</f>
        <v>#N/A</v>
      </c>
      <c r="J463" s="5" t="e">
        <f>VLOOKUP($A463,tropes!$A$4:$O$2428,10,FALSE)</f>
        <v>#N/A</v>
      </c>
      <c r="K463" s="5" t="e">
        <f>VLOOKUP($A463,tropes!$A$4:$O$2428,11,FALSE)</f>
        <v>#N/A</v>
      </c>
      <c r="L463" s="5" t="e">
        <f>VLOOKUP($A463,tropes!$A$4:$O$2428,12,FALSE)</f>
        <v>#N/A</v>
      </c>
      <c r="M463" s="5" t="e">
        <f>VLOOKUP($A463,tropes!$A$4:$O$2428,13,FALSE)</f>
        <v>#N/A</v>
      </c>
      <c r="N463" s="5"/>
    </row>
    <row r="464" spans="1:14" x14ac:dyDescent="0.3">
      <c r="A464" s="14"/>
      <c r="B464" s="5" t="e">
        <f>VLOOKUP($A464,tropes!$A$4:$O$2428,2,FALSE)</f>
        <v>#N/A</v>
      </c>
      <c r="C464" s="5" t="e">
        <f>VLOOKUP($A464,tropes!$A$4:$O$2428,3,FALSE)</f>
        <v>#N/A</v>
      </c>
      <c r="D464" s="5" t="e">
        <f>VLOOKUP($A464,tropes!$A$4:$O$2428,4,FALSE)</f>
        <v>#N/A</v>
      </c>
      <c r="E464" s="5" t="e">
        <f>VLOOKUP($A464,tropes!$A$4:$O$2428,5,FALSE)</f>
        <v>#N/A</v>
      </c>
      <c r="F464" s="5" t="e">
        <f>VLOOKUP($A464,tropes!$A$4:$O$2428,6,FALSE)</f>
        <v>#N/A</v>
      </c>
      <c r="G464" s="5" t="e">
        <f>VLOOKUP($A464,tropes!$A$4:$O$2428,7,FALSE)</f>
        <v>#N/A</v>
      </c>
      <c r="H464" s="5" t="e">
        <f>VLOOKUP($A464,tropes!$A$4:$O$2428,8,FALSE)</f>
        <v>#N/A</v>
      </c>
      <c r="I464" s="5" t="e">
        <f>VLOOKUP($A464,tropes!$A$4:$O$2428,9,FALSE)</f>
        <v>#N/A</v>
      </c>
      <c r="J464" s="5" t="e">
        <f>VLOOKUP($A464,tropes!$A$4:$O$2428,10,FALSE)</f>
        <v>#N/A</v>
      </c>
      <c r="K464" s="5" t="e">
        <f>VLOOKUP($A464,tropes!$A$4:$O$2428,11,FALSE)</f>
        <v>#N/A</v>
      </c>
      <c r="L464" s="5" t="e">
        <f>VLOOKUP($A464,tropes!$A$4:$O$2428,12,FALSE)</f>
        <v>#N/A</v>
      </c>
      <c r="M464" s="5" t="e">
        <f>VLOOKUP($A464,tropes!$A$4:$O$2428,13,FALSE)</f>
        <v>#N/A</v>
      </c>
      <c r="N464" s="5"/>
    </row>
    <row r="465" spans="1:14" x14ac:dyDescent="0.3">
      <c r="A465" s="14"/>
      <c r="B465" s="5" t="e">
        <f>VLOOKUP($A465,tropes!$A$4:$O$2428,2,FALSE)</f>
        <v>#N/A</v>
      </c>
      <c r="C465" s="5" t="e">
        <f>VLOOKUP($A465,tropes!$A$4:$O$2428,3,FALSE)</f>
        <v>#N/A</v>
      </c>
      <c r="D465" s="5" t="e">
        <f>VLOOKUP($A465,tropes!$A$4:$O$2428,4,FALSE)</f>
        <v>#N/A</v>
      </c>
      <c r="E465" s="5" t="e">
        <f>VLOOKUP($A465,tropes!$A$4:$O$2428,5,FALSE)</f>
        <v>#N/A</v>
      </c>
      <c r="F465" s="5" t="e">
        <f>VLOOKUP($A465,tropes!$A$4:$O$2428,6,FALSE)</f>
        <v>#N/A</v>
      </c>
      <c r="G465" s="5" t="e">
        <f>VLOOKUP($A465,tropes!$A$4:$O$2428,7,FALSE)</f>
        <v>#N/A</v>
      </c>
      <c r="H465" s="5" t="e">
        <f>VLOOKUP($A465,tropes!$A$4:$O$2428,8,FALSE)</f>
        <v>#N/A</v>
      </c>
      <c r="I465" s="5" t="e">
        <f>VLOOKUP($A465,tropes!$A$4:$O$2428,9,FALSE)</f>
        <v>#N/A</v>
      </c>
      <c r="J465" s="5" t="e">
        <f>VLOOKUP($A465,tropes!$A$4:$O$2428,10,FALSE)</f>
        <v>#N/A</v>
      </c>
      <c r="K465" s="5" t="e">
        <f>VLOOKUP($A465,tropes!$A$4:$O$2428,11,FALSE)</f>
        <v>#N/A</v>
      </c>
      <c r="L465" s="5" t="e">
        <f>VLOOKUP($A465,tropes!$A$4:$O$2428,12,FALSE)</f>
        <v>#N/A</v>
      </c>
      <c r="M465" s="5" t="e">
        <f>VLOOKUP($A465,tropes!$A$4:$O$2428,13,FALSE)</f>
        <v>#N/A</v>
      </c>
      <c r="N465" s="5"/>
    </row>
    <row r="466" spans="1:14" x14ac:dyDescent="0.3">
      <c r="A466" s="14"/>
      <c r="B466" s="5" t="e">
        <f>VLOOKUP($A466,tropes!$A$4:$O$2428,2,FALSE)</f>
        <v>#N/A</v>
      </c>
      <c r="C466" s="5" t="e">
        <f>VLOOKUP($A466,tropes!$A$4:$O$2428,3,FALSE)</f>
        <v>#N/A</v>
      </c>
      <c r="D466" s="5" t="e">
        <f>VLOOKUP($A466,tropes!$A$4:$O$2428,4,FALSE)</f>
        <v>#N/A</v>
      </c>
      <c r="E466" s="5" t="e">
        <f>VLOOKUP($A466,tropes!$A$4:$O$2428,5,FALSE)</f>
        <v>#N/A</v>
      </c>
      <c r="F466" s="5" t="e">
        <f>VLOOKUP($A466,tropes!$A$4:$O$2428,6,FALSE)</f>
        <v>#N/A</v>
      </c>
      <c r="G466" s="5" t="e">
        <f>VLOOKUP($A466,tropes!$A$4:$O$2428,7,FALSE)</f>
        <v>#N/A</v>
      </c>
      <c r="H466" s="5" t="e">
        <f>VLOOKUP($A466,tropes!$A$4:$O$2428,8,FALSE)</f>
        <v>#N/A</v>
      </c>
      <c r="I466" s="5" t="e">
        <f>VLOOKUP($A466,tropes!$A$4:$O$2428,9,FALSE)</f>
        <v>#N/A</v>
      </c>
      <c r="J466" s="5" t="e">
        <f>VLOOKUP($A466,tropes!$A$4:$O$2428,10,FALSE)</f>
        <v>#N/A</v>
      </c>
      <c r="K466" s="5" t="e">
        <f>VLOOKUP($A466,tropes!$A$4:$O$2428,11,FALSE)</f>
        <v>#N/A</v>
      </c>
      <c r="L466" s="5" t="e">
        <f>VLOOKUP($A466,tropes!$A$4:$O$2428,12,FALSE)</f>
        <v>#N/A</v>
      </c>
      <c r="M466" s="5" t="e">
        <f>VLOOKUP($A466,tropes!$A$4:$O$2428,13,FALSE)</f>
        <v>#N/A</v>
      </c>
      <c r="N466" s="5"/>
    </row>
    <row r="467" spans="1:14" x14ac:dyDescent="0.3">
      <c r="A467" s="14"/>
      <c r="B467" s="5" t="e">
        <f>VLOOKUP($A467,tropes!$A$4:$O$2428,2,FALSE)</f>
        <v>#N/A</v>
      </c>
      <c r="C467" s="5" t="e">
        <f>VLOOKUP($A467,tropes!$A$4:$O$2428,3,FALSE)</f>
        <v>#N/A</v>
      </c>
      <c r="D467" s="5" t="e">
        <f>VLOOKUP($A467,tropes!$A$4:$O$2428,4,FALSE)</f>
        <v>#N/A</v>
      </c>
      <c r="E467" s="5" t="e">
        <f>VLOOKUP($A467,tropes!$A$4:$O$2428,5,FALSE)</f>
        <v>#N/A</v>
      </c>
      <c r="F467" s="5" t="e">
        <f>VLOOKUP($A467,tropes!$A$4:$O$2428,6,FALSE)</f>
        <v>#N/A</v>
      </c>
      <c r="G467" s="5" t="e">
        <f>VLOOKUP($A467,tropes!$A$4:$O$2428,7,FALSE)</f>
        <v>#N/A</v>
      </c>
      <c r="H467" s="5" t="e">
        <f>VLOOKUP($A467,tropes!$A$4:$O$2428,8,FALSE)</f>
        <v>#N/A</v>
      </c>
      <c r="I467" s="5" t="e">
        <f>VLOOKUP($A467,tropes!$A$4:$O$2428,9,FALSE)</f>
        <v>#N/A</v>
      </c>
      <c r="J467" s="5" t="e">
        <f>VLOOKUP($A467,tropes!$A$4:$O$2428,10,FALSE)</f>
        <v>#N/A</v>
      </c>
      <c r="K467" s="5" t="e">
        <f>VLOOKUP($A467,tropes!$A$4:$O$2428,11,FALSE)</f>
        <v>#N/A</v>
      </c>
      <c r="L467" s="5" t="e">
        <f>VLOOKUP($A467,tropes!$A$4:$O$2428,12,FALSE)</f>
        <v>#N/A</v>
      </c>
      <c r="M467" s="5" t="e">
        <f>VLOOKUP($A467,tropes!$A$4:$O$2428,13,FALSE)</f>
        <v>#N/A</v>
      </c>
      <c r="N467" s="5"/>
    </row>
    <row r="468" spans="1:14" x14ac:dyDescent="0.3">
      <c r="A468" s="14"/>
      <c r="B468" s="5" t="e">
        <f>VLOOKUP($A468,tropes!$A$4:$O$2428,2,FALSE)</f>
        <v>#N/A</v>
      </c>
      <c r="C468" s="5" t="e">
        <f>VLOOKUP($A468,tropes!$A$4:$O$2428,3,FALSE)</f>
        <v>#N/A</v>
      </c>
      <c r="D468" s="5" t="e">
        <f>VLOOKUP($A468,tropes!$A$4:$O$2428,4,FALSE)</f>
        <v>#N/A</v>
      </c>
      <c r="E468" s="5" t="e">
        <f>VLOOKUP($A468,tropes!$A$4:$O$2428,5,FALSE)</f>
        <v>#N/A</v>
      </c>
      <c r="F468" s="5" t="e">
        <f>VLOOKUP($A468,tropes!$A$4:$O$2428,6,FALSE)</f>
        <v>#N/A</v>
      </c>
      <c r="G468" s="5" t="e">
        <f>VLOOKUP($A468,tropes!$A$4:$O$2428,7,FALSE)</f>
        <v>#N/A</v>
      </c>
      <c r="H468" s="5" t="e">
        <f>VLOOKUP($A468,tropes!$A$4:$O$2428,8,FALSE)</f>
        <v>#N/A</v>
      </c>
      <c r="I468" s="5" t="e">
        <f>VLOOKUP($A468,tropes!$A$4:$O$2428,9,FALSE)</f>
        <v>#N/A</v>
      </c>
      <c r="J468" s="5" t="e">
        <f>VLOOKUP($A468,tropes!$A$4:$O$2428,10,FALSE)</f>
        <v>#N/A</v>
      </c>
      <c r="K468" s="5" t="e">
        <f>VLOOKUP($A468,tropes!$A$4:$O$2428,11,FALSE)</f>
        <v>#N/A</v>
      </c>
      <c r="L468" s="5" t="e">
        <f>VLOOKUP($A468,tropes!$A$4:$O$2428,12,FALSE)</f>
        <v>#N/A</v>
      </c>
      <c r="M468" s="5" t="e">
        <f>VLOOKUP($A468,tropes!$A$4:$O$2428,13,FALSE)</f>
        <v>#N/A</v>
      </c>
      <c r="N468" s="5"/>
    </row>
    <row r="469" spans="1:14" x14ac:dyDescent="0.3">
      <c r="A469" s="14"/>
      <c r="B469" s="5" t="e">
        <f>VLOOKUP($A469,tropes!$A$4:$O$2428,2,FALSE)</f>
        <v>#N/A</v>
      </c>
      <c r="C469" s="5" t="e">
        <f>VLOOKUP($A469,tropes!$A$4:$O$2428,3,FALSE)</f>
        <v>#N/A</v>
      </c>
      <c r="D469" s="5" t="e">
        <f>VLOOKUP($A469,tropes!$A$4:$O$2428,4,FALSE)</f>
        <v>#N/A</v>
      </c>
      <c r="E469" s="5" t="e">
        <f>VLOOKUP($A469,tropes!$A$4:$O$2428,5,FALSE)</f>
        <v>#N/A</v>
      </c>
      <c r="F469" s="5" t="e">
        <f>VLOOKUP($A469,tropes!$A$4:$O$2428,6,FALSE)</f>
        <v>#N/A</v>
      </c>
      <c r="G469" s="5" t="e">
        <f>VLOOKUP($A469,tropes!$A$4:$O$2428,7,FALSE)</f>
        <v>#N/A</v>
      </c>
      <c r="H469" s="5" t="e">
        <f>VLOOKUP($A469,tropes!$A$4:$O$2428,8,FALSE)</f>
        <v>#N/A</v>
      </c>
      <c r="I469" s="5" t="e">
        <f>VLOOKUP($A469,tropes!$A$4:$O$2428,9,FALSE)</f>
        <v>#N/A</v>
      </c>
      <c r="J469" s="5" t="e">
        <f>VLOOKUP($A469,tropes!$A$4:$O$2428,10,FALSE)</f>
        <v>#N/A</v>
      </c>
      <c r="K469" s="5" t="e">
        <f>VLOOKUP($A469,tropes!$A$4:$O$2428,11,FALSE)</f>
        <v>#N/A</v>
      </c>
      <c r="L469" s="5" t="e">
        <f>VLOOKUP($A469,tropes!$A$4:$O$2428,12,FALSE)</f>
        <v>#N/A</v>
      </c>
      <c r="M469" s="5" t="e">
        <f>VLOOKUP($A469,tropes!$A$4:$O$2428,13,FALSE)</f>
        <v>#N/A</v>
      </c>
      <c r="N469" s="5"/>
    </row>
    <row r="470" spans="1:14" x14ac:dyDescent="0.3">
      <c r="A470" s="14"/>
      <c r="B470" s="5" t="e">
        <f>VLOOKUP($A470,tropes!$A$4:$O$2428,2,FALSE)</f>
        <v>#N/A</v>
      </c>
      <c r="C470" s="5" t="e">
        <f>VLOOKUP($A470,tropes!$A$4:$O$2428,3,FALSE)</f>
        <v>#N/A</v>
      </c>
      <c r="D470" s="5" t="e">
        <f>VLOOKUP($A470,tropes!$A$4:$O$2428,4,FALSE)</f>
        <v>#N/A</v>
      </c>
      <c r="E470" s="5" t="e">
        <f>VLOOKUP($A470,tropes!$A$4:$O$2428,5,FALSE)</f>
        <v>#N/A</v>
      </c>
      <c r="F470" s="5" t="e">
        <f>VLOOKUP($A470,tropes!$A$4:$O$2428,6,FALSE)</f>
        <v>#N/A</v>
      </c>
      <c r="G470" s="5" t="e">
        <f>VLOOKUP($A470,tropes!$A$4:$O$2428,7,FALSE)</f>
        <v>#N/A</v>
      </c>
      <c r="H470" s="5" t="e">
        <f>VLOOKUP($A470,tropes!$A$4:$O$2428,8,FALSE)</f>
        <v>#N/A</v>
      </c>
      <c r="I470" s="5" t="e">
        <f>VLOOKUP($A470,tropes!$A$4:$O$2428,9,FALSE)</f>
        <v>#N/A</v>
      </c>
      <c r="J470" s="5" t="e">
        <f>VLOOKUP($A470,tropes!$A$4:$O$2428,10,FALSE)</f>
        <v>#N/A</v>
      </c>
      <c r="K470" s="5" t="e">
        <f>VLOOKUP($A470,tropes!$A$4:$O$2428,11,FALSE)</f>
        <v>#N/A</v>
      </c>
      <c r="L470" s="5" t="e">
        <f>VLOOKUP($A470,tropes!$A$4:$O$2428,12,FALSE)</f>
        <v>#N/A</v>
      </c>
      <c r="M470" s="5" t="e">
        <f>VLOOKUP($A470,tropes!$A$4:$O$2428,13,FALSE)</f>
        <v>#N/A</v>
      </c>
      <c r="N470" s="5"/>
    </row>
    <row r="471" spans="1:14" x14ac:dyDescent="0.3">
      <c r="A471" s="14"/>
      <c r="B471" s="5" t="e">
        <f>VLOOKUP($A471,tropes!$A$4:$O$2428,2,FALSE)</f>
        <v>#N/A</v>
      </c>
      <c r="C471" s="5" t="e">
        <f>VLOOKUP($A471,tropes!$A$4:$O$2428,3,FALSE)</f>
        <v>#N/A</v>
      </c>
      <c r="D471" s="5" t="e">
        <f>VLOOKUP($A471,tropes!$A$4:$O$2428,4,FALSE)</f>
        <v>#N/A</v>
      </c>
      <c r="E471" s="5" t="e">
        <f>VLOOKUP($A471,tropes!$A$4:$O$2428,5,FALSE)</f>
        <v>#N/A</v>
      </c>
      <c r="F471" s="5" t="e">
        <f>VLOOKUP($A471,tropes!$A$4:$O$2428,6,FALSE)</f>
        <v>#N/A</v>
      </c>
      <c r="G471" s="5" t="e">
        <f>VLOOKUP($A471,tropes!$A$4:$O$2428,7,FALSE)</f>
        <v>#N/A</v>
      </c>
      <c r="H471" s="5" t="e">
        <f>VLOOKUP($A471,tropes!$A$4:$O$2428,8,FALSE)</f>
        <v>#N/A</v>
      </c>
      <c r="I471" s="5" t="e">
        <f>VLOOKUP($A471,tropes!$A$4:$O$2428,9,FALSE)</f>
        <v>#N/A</v>
      </c>
      <c r="J471" s="5" t="e">
        <f>VLOOKUP($A471,tropes!$A$4:$O$2428,10,FALSE)</f>
        <v>#N/A</v>
      </c>
      <c r="K471" s="5" t="e">
        <f>VLOOKUP($A471,tropes!$A$4:$O$2428,11,FALSE)</f>
        <v>#N/A</v>
      </c>
      <c r="L471" s="5" t="e">
        <f>VLOOKUP($A471,tropes!$A$4:$O$2428,12,FALSE)</f>
        <v>#N/A</v>
      </c>
      <c r="M471" s="5" t="e">
        <f>VLOOKUP($A471,tropes!$A$4:$O$2428,13,FALSE)</f>
        <v>#N/A</v>
      </c>
      <c r="N471" s="5"/>
    </row>
    <row r="472" spans="1:14" x14ac:dyDescent="0.3">
      <c r="A472" s="14"/>
      <c r="B472" s="5" t="e">
        <f>VLOOKUP($A472,tropes!$A$4:$O$2428,2,FALSE)</f>
        <v>#N/A</v>
      </c>
      <c r="C472" s="5" t="e">
        <f>VLOOKUP($A472,tropes!$A$4:$O$2428,3,FALSE)</f>
        <v>#N/A</v>
      </c>
      <c r="D472" s="5" t="e">
        <f>VLOOKUP($A472,tropes!$A$4:$O$2428,4,FALSE)</f>
        <v>#N/A</v>
      </c>
      <c r="E472" s="5" t="e">
        <f>VLOOKUP($A472,tropes!$A$4:$O$2428,5,FALSE)</f>
        <v>#N/A</v>
      </c>
      <c r="F472" s="5" t="e">
        <f>VLOOKUP($A472,tropes!$A$4:$O$2428,6,FALSE)</f>
        <v>#N/A</v>
      </c>
      <c r="G472" s="5" t="e">
        <f>VLOOKUP($A472,tropes!$A$4:$O$2428,7,FALSE)</f>
        <v>#N/A</v>
      </c>
      <c r="H472" s="5" t="e">
        <f>VLOOKUP($A472,tropes!$A$4:$O$2428,8,FALSE)</f>
        <v>#N/A</v>
      </c>
      <c r="I472" s="5" t="e">
        <f>VLOOKUP($A472,tropes!$A$4:$O$2428,9,FALSE)</f>
        <v>#N/A</v>
      </c>
      <c r="J472" s="5" t="e">
        <f>VLOOKUP($A472,tropes!$A$4:$O$2428,10,FALSE)</f>
        <v>#N/A</v>
      </c>
      <c r="K472" s="5" t="e">
        <f>VLOOKUP($A472,tropes!$A$4:$O$2428,11,FALSE)</f>
        <v>#N/A</v>
      </c>
      <c r="L472" s="5" t="e">
        <f>VLOOKUP($A472,tropes!$A$4:$O$2428,12,FALSE)</f>
        <v>#N/A</v>
      </c>
      <c r="M472" s="5" t="e">
        <f>VLOOKUP($A472,tropes!$A$4:$O$2428,13,FALSE)</f>
        <v>#N/A</v>
      </c>
      <c r="N472" s="5"/>
    </row>
    <row r="473" spans="1:14" x14ac:dyDescent="0.3">
      <c r="A473" s="14"/>
      <c r="B473" s="5" t="e">
        <f>VLOOKUP($A473,tropes!$A$4:$O$2428,2,FALSE)</f>
        <v>#N/A</v>
      </c>
      <c r="C473" s="5" t="e">
        <f>VLOOKUP($A473,tropes!$A$4:$O$2428,3,FALSE)</f>
        <v>#N/A</v>
      </c>
      <c r="D473" s="5" t="e">
        <f>VLOOKUP($A473,tropes!$A$4:$O$2428,4,FALSE)</f>
        <v>#N/A</v>
      </c>
      <c r="E473" s="5" t="e">
        <f>VLOOKUP($A473,tropes!$A$4:$O$2428,5,FALSE)</f>
        <v>#N/A</v>
      </c>
      <c r="F473" s="5" t="e">
        <f>VLOOKUP($A473,tropes!$A$4:$O$2428,6,FALSE)</f>
        <v>#N/A</v>
      </c>
      <c r="G473" s="5" t="e">
        <f>VLOOKUP($A473,tropes!$A$4:$O$2428,7,FALSE)</f>
        <v>#N/A</v>
      </c>
      <c r="H473" s="5" t="e">
        <f>VLOOKUP($A473,tropes!$A$4:$O$2428,8,FALSE)</f>
        <v>#N/A</v>
      </c>
      <c r="I473" s="5" t="e">
        <f>VLOOKUP($A473,tropes!$A$4:$O$2428,9,FALSE)</f>
        <v>#N/A</v>
      </c>
      <c r="J473" s="5" t="e">
        <f>VLOOKUP($A473,tropes!$A$4:$O$2428,10,FALSE)</f>
        <v>#N/A</v>
      </c>
      <c r="K473" s="5" t="e">
        <f>VLOOKUP($A473,tropes!$A$4:$O$2428,11,FALSE)</f>
        <v>#N/A</v>
      </c>
      <c r="L473" s="5" t="e">
        <f>VLOOKUP($A473,tropes!$A$4:$O$2428,12,FALSE)</f>
        <v>#N/A</v>
      </c>
      <c r="M473" s="5" t="e">
        <f>VLOOKUP($A473,tropes!$A$4:$O$2428,13,FALSE)</f>
        <v>#N/A</v>
      </c>
      <c r="N473" s="5"/>
    </row>
    <row r="474" spans="1:14" x14ac:dyDescent="0.3">
      <c r="A474" s="14"/>
      <c r="B474" s="5" t="e">
        <f>VLOOKUP($A474,tropes!$A$4:$O$2428,2,FALSE)</f>
        <v>#N/A</v>
      </c>
      <c r="C474" s="5" t="e">
        <f>VLOOKUP($A474,tropes!$A$4:$O$2428,3,FALSE)</f>
        <v>#N/A</v>
      </c>
      <c r="D474" s="5" t="e">
        <f>VLOOKUP($A474,tropes!$A$4:$O$2428,4,FALSE)</f>
        <v>#N/A</v>
      </c>
      <c r="E474" s="5" t="e">
        <f>VLOOKUP($A474,tropes!$A$4:$O$2428,5,FALSE)</f>
        <v>#N/A</v>
      </c>
      <c r="F474" s="5" t="e">
        <f>VLOOKUP($A474,tropes!$A$4:$O$2428,6,FALSE)</f>
        <v>#N/A</v>
      </c>
      <c r="G474" s="5" t="e">
        <f>VLOOKUP($A474,tropes!$A$4:$O$2428,7,FALSE)</f>
        <v>#N/A</v>
      </c>
      <c r="H474" s="5" t="e">
        <f>VLOOKUP($A474,tropes!$A$4:$O$2428,8,FALSE)</f>
        <v>#N/A</v>
      </c>
      <c r="I474" s="5" t="e">
        <f>VLOOKUP($A474,tropes!$A$4:$O$2428,9,FALSE)</f>
        <v>#N/A</v>
      </c>
      <c r="J474" s="5" t="e">
        <f>VLOOKUP($A474,tropes!$A$4:$O$2428,10,FALSE)</f>
        <v>#N/A</v>
      </c>
      <c r="K474" s="5" t="e">
        <f>VLOOKUP($A474,tropes!$A$4:$O$2428,11,FALSE)</f>
        <v>#N/A</v>
      </c>
      <c r="L474" s="5" t="e">
        <f>VLOOKUP($A474,tropes!$A$4:$O$2428,12,FALSE)</f>
        <v>#N/A</v>
      </c>
      <c r="M474" s="5" t="e">
        <f>VLOOKUP($A474,tropes!$A$4:$O$2428,13,FALSE)</f>
        <v>#N/A</v>
      </c>
      <c r="N474" s="5"/>
    </row>
    <row r="475" spans="1:14" x14ac:dyDescent="0.3">
      <c r="A475" s="14"/>
      <c r="B475" s="5" t="e">
        <f>VLOOKUP($A475,tropes!$A$4:$O$2428,2,FALSE)</f>
        <v>#N/A</v>
      </c>
      <c r="C475" s="5" t="e">
        <f>VLOOKUP($A475,tropes!$A$4:$O$2428,3,FALSE)</f>
        <v>#N/A</v>
      </c>
      <c r="D475" s="5" t="e">
        <f>VLOOKUP($A475,tropes!$A$4:$O$2428,4,FALSE)</f>
        <v>#N/A</v>
      </c>
      <c r="E475" s="5" t="e">
        <f>VLOOKUP($A475,tropes!$A$4:$O$2428,5,FALSE)</f>
        <v>#N/A</v>
      </c>
      <c r="F475" s="5" t="e">
        <f>VLOOKUP($A475,tropes!$A$4:$O$2428,6,FALSE)</f>
        <v>#N/A</v>
      </c>
      <c r="G475" s="5" t="e">
        <f>VLOOKUP($A475,tropes!$A$4:$O$2428,7,FALSE)</f>
        <v>#N/A</v>
      </c>
      <c r="H475" s="5" t="e">
        <f>VLOOKUP($A475,tropes!$A$4:$O$2428,8,FALSE)</f>
        <v>#N/A</v>
      </c>
      <c r="I475" s="5" t="e">
        <f>VLOOKUP($A475,tropes!$A$4:$O$2428,9,FALSE)</f>
        <v>#N/A</v>
      </c>
      <c r="J475" s="5" t="e">
        <f>VLOOKUP($A475,tropes!$A$4:$O$2428,10,FALSE)</f>
        <v>#N/A</v>
      </c>
      <c r="K475" s="5" t="e">
        <f>VLOOKUP($A475,tropes!$A$4:$O$2428,11,FALSE)</f>
        <v>#N/A</v>
      </c>
      <c r="L475" s="5" t="e">
        <f>VLOOKUP($A475,tropes!$A$4:$O$2428,12,FALSE)</f>
        <v>#N/A</v>
      </c>
      <c r="M475" s="5" t="e">
        <f>VLOOKUP($A475,tropes!$A$4:$O$2428,13,FALSE)</f>
        <v>#N/A</v>
      </c>
      <c r="N475" s="5"/>
    </row>
    <row r="476" spans="1:14" x14ac:dyDescent="0.3">
      <c r="A476" s="14"/>
      <c r="B476" s="5" t="e">
        <f>VLOOKUP($A476,tropes!$A$4:$O$2428,2,FALSE)</f>
        <v>#N/A</v>
      </c>
      <c r="C476" s="5" t="e">
        <f>VLOOKUP($A476,tropes!$A$4:$O$2428,3,FALSE)</f>
        <v>#N/A</v>
      </c>
      <c r="D476" s="5" t="e">
        <f>VLOOKUP($A476,tropes!$A$4:$O$2428,4,FALSE)</f>
        <v>#N/A</v>
      </c>
      <c r="E476" s="5" t="e">
        <f>VLOOKUP($A476,tropes!$A$4:$O$2428,5,FALSE)</f>
        <v>#N/A</v>
      </c>
      <c r="F476" s="5" t="e">
        <f>VLOOKUP($A476,tropes!$A$4:$O$2428,6,FALSE)</f>
        <v>#N/A</v>
      </c>
      <c r="G476" s="5" t="e">
        <f>VLOOKUP($A476,tropes!$A$4:$O$2428,7,FALSE)</f>
        <v>#N/A</v>
      </c>
      <c r="H476" s="5" t="e">
        <f>VLOOKUP($A476,tropes!$A$4:$O$2428,8,FALSE)</f>
        <v>#N/A</v>
      </c>
      <c r="I476" s="5" t="e">
        <f>VLOOKUP($A476,tropes!$A$4:$O$2428,9,FALSE)</f>
        <v>#N/A</v>
      </c>
      <c r="J476" s="5" t="e">
        <f>VLOOKUP($A476,tropes!$A$4:$O$2428,10,FALSE)</f>
        <v>#N/A</v>
      </c>
      <c r="K476" s="5" t="e">
        <f>VLOOKUP($A476,tropes!$A$4:$O$2428,11,FALSE)</f>
        <v>#N/A</v>
      </c>
      <c r="L476" s="5" t="e">
        <f>VLOOKUP($A476,tropes!$A$4:$O$2428,12,FALSE)</f>
        <v>#N/A</v>
      </c>
      <c r="M476" s="5" t="e">
        <f>VLOOKUP($A476,tropes!$A$4:$O$2428,13,FALSE)</f>
        <v>#N/A</v>
      </c>
      <c r="N476" s="5"/>
    </row>
    <row r="477" spans="1:14" x14ac:dyDescent="0.3">
      <c r="A477" s="14"/>
      <c r="B477" s="5" t="e">
        <f>VLOOKUP($A477,tropes!$A$4:$O$2428,2,FALSE)</f>
        <v>#N/A</v>
      </c>
      <c r="C477" s="5" t="e">
        <f>VLOOKUP($A477,tropes!$A$4:$O$2428,3,FALSE)</f>
        <v>#N/A</v>
      </c>
      <c r="D477" s="5" t="e">
        <f>VLOOKUP($A477,tropes!$A$4:$O$2428,4,FALSE)</f>
        <v>#N/A</v>
      </c>
      <c r="E477" s="5" t="e">
        <f>VLOOKUP($A477,tropes!$A$4:$O$2428,5,FALSE)</f>
        <v>#N/A</v>
      </c>
      <c r="F477" s="5" t="e">
        <f>VLOOKUP($A477,tropes!$A$4:$O$2428,6,FALSE)</f>
        <v>#N/A</v>
      </c>
      <c r="G477" s="5" t="e">
        <f>VLOOKUP($A477,tropes!$A$4:$O$2428,7,FALSE)</f>
        <v>#N/A</v>
      </c>
      <c r="H477" s="5" t="e">
        <f>VLOOKUP($A477,tropes!$A$4:$O$2428,8,FALSE)</f>
        <v>#N/A</v>
      </c>
      <c r="I477" s="5" t="e">
        <f>VLOOKUP($A477,tropes!$A$4:$O$2428,9,FALSE)</f>
        <v>#N/A</v>
      </c>
      <c r="J477" s="5" t="e">
        <f>VLOOKUP($A477,tropes!$A$4:$O$2428,10,FALSE)</f>
        <v>#N/A</v>
      </c>
      <c r="K477" s="5" t="e">
        <f>VLOOKUP($A477,tropes!$A$4:$O$2428,11,FALSE)</f>
        <v>#N/A</v>
      </c>
      <c r="L477" s="5" t="e">
        <f>VLOOKUP($A477,tropes!$A$4:$O$2428,12,FALSE)</f>
        <v>#N/A</v>
      </c>
      <c r="M477" s="5" t="e">
        <f>VLOOKUP($A477,tropes!$A$4:$O$2428,13,FALSE)</f>
        <v>#N/A</v>
      </c>
      <c r="N477" s="5"/>
    </row>
    <row r="478" spans="1:14" x14ac:dyDescent="0.3">
      <c r="A478" s="14"/>
      <c r="B478" s="5" t="e">
        <f>VLOOKUP($A478,tropes!$A$4:$O$2428,2,FALSE)</f>
        <v>#N/A</v>
      </c>
      <c r="C478" s="5" t="e">
        <f>VLOOKUP($A478,tropes!$A$4:$O$2428,3,FALSE)</f>
        <v>#N/A</v>
      </c>
      <c r="D478" s="5" t="e">
        <f>VLOOKUP($A478,tropes!$A$4:$O$2428,4,FALSE)</f>
        <v>#N/A</v>
      </c>
      <c r="E478" s="5" t="e">
        <f>VLOOKUP($A478,tropes!$A$4:$O$2428,5,FALSE)</f>
        <v>#N/A</v>
      </c>
      <c r="F478" s="5" t="e">
        <f>VLOOKUP($A478,tropes!$A$4:$O$2428,6,FALSE)</f>
        <v>#N/A</v>
      </c>
      <c r="G478" s="5" t="e">
        <f>VLOOKUP($A478,tropes!$A$4:$O$2428,7,FALSE)</f>
        <v>#N/A</v>
      </c>
      <c r="H478" s="5" t="e">
        <f>VLOOKUP($A478,tropes!$A$4:$O$2428,8,FALSE)</f>
        <v>#N/A</v>
      </c>
      <c r="I478" s="5" t="e">
        <f>VLOOKUP($A478,tropes!$A$4:$O$2428,9,FALSE)</f>
        <v>#N/A</v>
      </c>
      <c r="J478" s="5" t="e">
        <f>VLOOKUP($A478,tropes!$A$4:$O$2428,10,FALSE)</f>
        <v>#N/A</v>
      </c>
      <c r="K478" s="5" t="e">
        <f>VLOOKUP($A478,tropes!$A$4:$O$2428,11,FALSE)</f>
        <v>#N/A</v>
      </c>
      <c r="L478" s="5" t="e">
        <f>VLOOKUP($A478,tropes!$A$4:$O$2428,12,FALSE)</f>
        <v>#N/A</v>
      </c>
      <c r="M478" s="5" t="e">
        <f>VLOOKUP($A478,tropes!$A$4:$O$2428,13,FALSE)</f>
        <v>#N/A</v>
      </c>
      <c r="N478" s="5"/>
    </row>
    <row r="479" spans="1:14" x14ac:dyDescent="0.3">
      <c r="A479" s="14"/>
      <c r="B479" s="5" t="e">
        <f>VLOOKUP($A479,tropes!$A$4:$O$2428,2,FALSE)</f>
        <v>#N/A</v>
      </c>
      <c r="C479" s="5" t="e">
        <f>VLOOKUP($A479,tropes!$A$4:$O$2428,3,FALSE)</f>
        <v>#N/A</v>
      </c>
      <c r="D479" s="5" t="e">
        <f>VLOOKUP($A479,tropes!$A$4:$O$2428,4,FALSE)</f>
        <v>#N/A</v>
      </c>
      <c r="E479" s="5" t="e">
        <f>VLOOKUP($A479,tropes!$A$4:$O$2428,5,FALSE)</f>
        <v>#N/A</v>
      </c>
      <c r="F479" s="5" t="e">
        <f>VLOOKUP($A479,tropes!$A$4:$O$2428,6,FALSE)</f>
        <v>#N/A</v>
      </c>
      <c r="G479" s="5" t="e">
        <f>VLOOKUP($A479,tropes!$A$4:$O$2428,7,FALSE)</f>
        <v>#N/A</v>
      </c>
      <c r="H479" s="5" t="e">
        <f>VLOOKUP($A479,tropes!$A$4:$O$2428,8,FALSE)</f>
        <v>#N/A</v>
      </c>
      <c r="I479" s="5" t="e">
        <f>VLOOKUP($A479,tropes!$A$4:$O$2428,9,FALSE)</f>
        <v>#N/A</v>
      </c>
      <c r="J479" s="5" t="e">
        <f>VLOOKUP($A479,tropes!$A$4:$O$2428,10,FALSE)</f>
        <v>#N/A</v>
      </c>
      <c r="K479" s="5" t="e">
        <f>VLOOKUP($A479,tropes!$A$4:$O$2428,11,FALSE)</f>
        <v>#N/A</v>
      </c>
      <c r="L479" s="5" t="e">
        <f>VLOOKUP($A479,tropes!$A$4:$O$2428,12,FALSE)</f>
        <v>#N/A</v>
      </c>
      <c r="M479" s="5" t="e">
        <f>VLOOKUP($A479,tropes!$A$4:$O$2428,13,FALSE)</f>
        <v>#N/A</v>
      </c>
      <c r="N479" s="5"/>
    </row>
    <row r="480" spans="1:14" x14ac:dyDescent="0.3">
      <c r="A480" s="14"/>
      <c r="B480" s="5" t="e">
        <f>VLOOKUP($A480,tropes!$A$4:$O$2428,2,FALSE)</f>
        <v>#N/A</v>
      </c>
      <c r="C480" s="5" t="e">
        <f>VLOOKUP($A480,tropes!$A$4:$O$2428,3,FALSE)</f>
        <v>#N/A</v>
      </c>
      <c r="D480" s="5" t="e">
        <f>VLOOKUP($A480,tropes!$A$4:$O$2428,4,FALSE)</f>
        <v>#N/A</v>
      </c>
      <c r="E480" s="5" t="e">
        <f>VLOOKUP($A480,tropes!$A$4:$O$2428,5,FALSE)</f>
        <v>#N/A</v>
      </c>
      <c r="F480" s="5" t="e">
        <f>VLOOKUP($A480,tropes!$A$4:$O$2428,6,FALSE)</f>
        <v>#N/A</v>
      </c>
      <c r="G480" s="5" t="e">
        <f>VLOOKUP($A480,tropes!$A$4:$O$2428,7,FALSE)</f>
        <v>#N/A</v>
      </c>
      <c r="H480" s="5" t="e">
        <f>VLOOKUP($A480,tropes!$A$4:$O$2428,8,FALSE)</f>
        <v>#N/A</v>
      </c>
      <c r="I480" s="5" t="e">
        <f>VLOOKUP($A480,tropes!$A$4:$O$2428,9,FALSE)</f>
        <v>#N/A</v>
      </c>
      <c r="J480" s="5" t="e">
        <f>VLOOKUP($A480,tropes!$A$4:$O$2428,10,FALSE)</f>
        <v>#N/A</v>
      </c>
      <c r="K480" s="5" t="e">
        <f>VLOOKUP($A480,tropes!$A$4:$O$2428,11,FALSE)</f>
        <v>#N/A</v>
      </c>
      <c r="L480" s="5" t="e">
        <f>VLOOKUP($A480,tropes!$A$4:$O$2428,12,FALSE)</f>
        <v>#N/A</v>
      </c>
      <c r="M480" s="5" t="e">
        <f>VLOOKUP($A480,tropes!$A$4:$O$2428,13,FALSE)</f>
        <v>#N/A</v>
      </c>
      <c r="N480" s="5"/>
    </row>
    <row r="481" spans="1:14" x14ac:dyDescent="0.3">
      <c r="A481" s="14"/>
      <c r="B481" s="5" t="e">
        <f>VLOOKUP($A481,tropes!$A$4:$O$2428,2,FALSE)</f>
        <v>#N/A</v>
      </c>
      <c r="C481" s="5" t="e">
        <f>VLOOKUP($A481,tropes!$A$4:$O$2428,3,FALSE)</f>
        <v>#N/A</v>
      </c>
      <c r="D481" s="5" t="e">
        <f>VLOOKUP($A481,tropes!$A$4:$O$2428,4,FALSE)</f>
        <v>#N/A</v>
      </c>
      <c r="E481" s="5" t="e">
        <f>VLOOKUP($A481,tropes!$A$4:$O$2428,5,FALSE)</f>
        <v>#N/A</v>
      </c>
      <c r="F481" s="5" t="e">
        <f>VLOOKUP($A481,tropes!$A$4:$O$2428,6,FALSE)</f>
        <v>#N/A</v>
      </c>
      <c r="G481" s="5" t="e">
        <f>VLOOKUP($A481,tropes!$A$4:$O$2428,7,FALSE)</f>
        <v>#N/A</v>
      </c>
      <c r="H481" s="5" t="e">
        <f>VLOOKUP($A481,tropes!$A$4:$O$2428,8,FALSE)</f>
        <v>#N/A</v>
      </c>
      <c r="I481" s="5" t="e">
        <f>VLOOKUP($A481,tropes!$A$4:$O$2428,9,FALSE)</f>
        <v>#N/A</v>
      </c>
      <c r="J481" s="5" t="e">
        <f>VLOOKUP($A481,tropes!$A$4:$O$2428,10,FALSE)</f>
        <v>#N/A</v>
      </c>
      <c r="K481" s="5" t="e">
        <f>VLOOKUP($A481,tropes!$A$4:$O$2428,11,FALSE)</f>
        <v>#N/A</v>
      </c>
      <c r="L481" s="5" t="e">
        <f>VLOOKUP($A481,tropes!$A$4:$O$2428,12,FALSE)</f>
        <v>#N/A</v>
      </c>
      <c r="M481" s="5" t="e">
        <f>VLOOKUP($A481,tropes!$A$4:$O$2428,13,FALSE)</f>
        <v>#N/A</v>
      </c>
      <c r="N481" s="5"/>
    </row>
    <row r="482" spans="1:14" x14ac:dyDescent="0.3">
      <c r="A482" s="14"/>
      <c r="B482" s="5" t="e">
        <f>VLOOKUP($A482,tropes!$A$4:$O$2428,2,FALSE)</f>
        <v>#N/A</v>
      </c>
      <c r="C482" s="5" t="e">
        <f>VLOOKUP($A482,tropes!$A$4:$O$2428,3,FALSE)</f>
        <v>#N/A</v>
      </c>
      <c r="D482" s="5" t="e">
        <f>VLOOKUP($A482,tropes!$A$4:$O$2428,4,FALSE)</f>
        <v>#N/A</v>
      </c>
      <c r="E482" s="5" t="e">
        <f>VLOOKUP($A482,tropes!$A$4:$O$2428,5,FALSE)</f>
        <v>#N/A</v>
      </c>
      <c r="F482" s="5" t="e">
        <f>VLOOKUP($A482,tropes!$A$4:$O$2428,6,FALSE)</f>
        <v>#N/A</v>
      </c>
      <c r="G482" s="5" t="e">
        <f>VLOOKUP($A482,tropes!$A$4:$O$2428,7,FALSE)</f>
        <v>#N/A</v>
      </c>
      <c r="H482" s="5" t="e">
        <f>VLOOKUP($A482,tropes!$A$4:$O$2428,8,FALSE)</f>
        <v>#N/A</v>
      </c>
      <c r="I482" s="5" t="e">
        <f>VLOOKUP($A482,tropes!$A$4:$O$2428,9,FALSE)</f>
        <v>#N/A</v>
      </c>
      <c r="J482" s="5" t="e">
        <f>VLOOKUP($A482,tropes!$A$4:$O$2428,10,FALSE)</f>
        <v>#N/A</v>
      </c>
      <c r="K482" s="5" t="e">
        <f>VLOOKUP($A482,tropes!$A$4:$O$2428,11,FALSE)</f>
        <v>#N/A</v>
      </c>
      <c r="L482" s="5" t="e">
        <f>VLOOKUP($A482,tropes!$A$4:$O$2428,12,FALSE)</f>
        <v>#N/A</v>
      </c>
      <c r="M482" s="5" t="e">
        <f>VLOOKUP($A482,tropes!$A$4:$O$2428,13,FALSE)</f>
        <v>#N/A</v>
      </c>
      <c r="N482" s="5"/>
    </row>
    <row r="483" spans="1:14" x14ac:dyDescent="0.3">
      <c r="A483" s="14"/>
      <c r="B483" s="5" t="e">
        <f>VLOOKUP($A483,tropes!$A$4:$O$2428,2,FALSE)</f>
        <v>#N/A</v>
      </c>
      <c r="C483" s="5" t="e">
        <f>VLOOKUP($A483,tropes!$A$4:$O$2428,3,FALSE)</f>
        <v>#N/A</v>
      </c>
      <c r="D483" s="5" t="e">
        <f>VLOOKUP($A483,tropes!$A$4:$O$2428,4,FALSE)</f>
        <v>#N/A</v>
      </c>
      <c r="E483" s="5" t="e">
        <f>VLOOKUP($A483,tropes!$A$4:$O$2428,5,FALSE)</f>
        <v>#N/A</v>
      </c>
      <c r="F483" s="5" t="e">
        <f>VLOOKUP($A483,tropes!$A$4:$O$2428,6,FALSE)</f>
        <v>#N/A</v>
      </c>
      <c r="G483" s="5" t="e">
        <f>VLOOKUP($A483,tropes!$A$4:$O$2428,7,FALSE)</f>
        <v>#N/A</v>
      </c>
      <c r="H483" s="5" t="e">
        <f>VLOOKUP($A483,tropes!$A$4:$O$2428,8,FALSE)</f>
        <v>#N/A</v>
      </c>
      <c r="I483" s="5" t="e">
        <f>VLOOKUP($A483,tropes!$A$4:$O$2428,9,FALSE)</f>
        <v>#N/A</v>
      </c>
      <c r="J483" s="5" t="e">
        <f>VLOOKUP($A483,tropes!$A$4:$O$2428,10,FALSE)</f>
        <v>#N/A</v>
      </c>
      <c r="K483" s="5" t="e">
        <f>VLOOKUP($A483,tropes!$A$4:$O$2428,11,FALSE)</f>
        <v>#N/A</v>
      </c>
      <c r="L483" s="5" t="e">
        <f>VLOOKUP($A483,tropes!$A$4:$O$2428,12,FALSE)</f>
        <v>#N/A</v>
      </c>
      <c r="M483" s="5" t="e">
        <f>VLOOKUP($A483,tropes!$A$4:$O$2428,13,FALSE)</f>
        <v>#N/A</v>
      </c>
      <c r="N483" s="5"/>
    </row>
    <row r="484" spans="1:14" x14ac:dyDescent="0.3">
      <c r="A484" s="14"/>
      <c r="B484" s="5" t="e">
        <f>VLOOKUP($A484,tropes!$A$4:$O$2428,2,FALSE)</f>
        <v>#N/A</v>
      </c>
      <c r="C484" s="5" t="e">
        <f>VLOOKUP($A484,tropes!$A$4:$O$2428,3,FALSE)</f>
        <v>#N/A</v>
      </c>
      <c r="D484" s="5" t="e">
        <f>VLOOKUP($A484,tropes!$A$4:$O$2428,4,FALSE)</f>
        <v>#N/A</v>
      </c>
      <c r="E484" s="5" t="e">
        <f>VLOOKUP($A484,tropes!$A$4:$O$2428,5,FALSE)</f>
        <v>#N/A</v>
      </c>
      <c r="F484" s="5" t="e">
        <f>VLOOKUP($A484,tropes!$A$4:$O$2428,6,FALSE)</f>
        <v>#N/A</v>
      </c>
      <c r="G484" s="5" t="e">
        <f>VLOOKUP($A484,tropes!$A$4:$O$2428,7,FALSE)</f>
        <v>#N/A</v>
      </c>
      <c r="H484" s="5" t="e">
        <f>VLOOKUP($A484,tropes!$A$4:$O$2428,8,FALSE)</f>
        <v>#N/A</v>
      </c>
      <c r="I484" s="5" t="e">
        <f>VLOOKUP($A484,tropes!$A$4:$O$2428,9,FALSE)</f>
        <v>#N/A</v>
      </c>
      <c r="J484" s="5" t="e">
        <f>VLOOKUP($A484,tropes!$A$4:$O$2428,10,FALSE)</f>
        <v>#N/A</v>
      </c>
      <c r="K484" s="5" t="e">
        <f>VLOOKUP($A484,tropes!$A$4:$O$2428,11,FALSE)</f>
        <v>#N/A</v>
      </c>
      <c r="L484" s="5" t="e">
        <f>VLOOKUP($A484,tropes!$A$4:$O$2428,12,FALSE)</f>
        <v>#N/A</v>
      </c>
      <c r="M484" s="5" t="e">
        <f>VLOOKUP($A484,tropes!$A$4:$O$2428,13,FALSE)</f>
        <v>#N/A</v>
      </c>
      <c r="N484" s="5"/>
    </row>
    <row r="485" spans="1:14" x14ac:dyDescent="0.3">
      <c r="A485" s="14"/>
      <c r="B485" s="5" t="e">
        <f>VLOOKUP($A485,tropes!$A$4:$O$2428,2,FALSE)</f>
        <v>#N/A</v>
      </c>
      <c r="C485" s="5" t="e">
        <f>VLOOKUP($A485,tropes!$A$4:$O$2428,3,FALSE)</f>
        <v>#N/A</v>
      </c>
      <c r="D485" s="5" t="e">
        <f>VLOOKUP($A485,tropes!$A$4:$O$2428,4,FALSE)</f>
        <v>#N/A</v>
      </c>
      <c r="E485" s="5" t="e">
        <f>VLOOKUP($A485,tropes!$A$4:$O$2428,5,FALSE)</f>
        <v>#N/A</v>
      </c>
      <c r="F485" s="5" t="e">
        <f>VLOOKUP($A485,tropes!$A$4:$O$2428,6,FALSE)</f>
        <v>#N/A</v>
      </c>
      <c r="G485" s="5" t="e">
        <f>VLOOKUP($A485,tropes!$A$4:$O$2428,7,FALSE)</f>
        <v>#N/A</v>
      </c>
      <c r="H485" s="5" t="e">
        <f>VLOOKUP($A485,tropes!$A$4:$O$2428,8,FALSE)</f>
        <v>#N/A</v>
      </c>
      <c r="I485" s="5" t="e">
        <f>VLOOKUP($A485,tropes!$A$4:$O$2428,9,FALSE)</f>
        <v>#N/A</v>
      </c>
      <c r="J485" s="5" t="e">
        <f>VLOOKUP($A485,tropes!$A$4:$O$2428,10,FALSE)</f>
        <v>#N/A</v>
      </c>
      <c r="K485" s="5" t="e">
        <f>VLOOKUP($A485,tropes!$A$4:$O$2428,11,FALSE)</f>
        <v>#N/A</v>
      </c>
      <c r="L485" s="5" t="e">
        <f>VLOOKUP($A485,tropes!$A$4:$O$2428,12,FALSE)</f>
        <v>#N/A</v>
      </c>
      <c r="M485" s="5" t="e">
        <f>VLOOKUP($A485,tropes!$A$4:$O$2428,13,FALSE)</f>
        <v>#N/A</v>
      </c>
      <c r="N485" s="5"/>
    </row>
    <row r="486" spans="1:14" x14ac:dyDescent="0.3">
      <c r="A486" s="14"/>
      <c r="B486" s="5" t="e">
        <f>VLOOKUP($A486,tropes!$A$4:$O$2428,2,FALSE)</f>
        <v>#N/A</v>
      </c>
      <c r="C486" s="5" t="e">
        <f>VLOOKUP($A486,tropes!$A$4:$O$2428,3,FALSE)</f>
        <v>#N/A</v>
      </c>
      <c r="D486" s="5" t="e">
        <f>VLOOKUP($A486,tropes!$A$4:$O$2428,4,FALSE)</f>
        <v>#N/A</v>
      </c>
      <c r="E486" s="5" t="e">
        <f>VLOOKUP($A486,tropes!$A$4:$O$2428,5,FALSE)</f>
        <v>#N/A</v>
      </c>
      <c r="F486" s="5" t="e">
        <f>VLOOKUP($A486,tropes!$A$4:$O$2428,6,FALSE)</f>
        <v>#N/A</v>
      </c>
      <c r="G486" s="5" t="e">
        <f>VLOOKUP($A486,tropes!$A$4:$O$2428,7,FALSE)</f>
        <v>#N/A</v>
      </c>
      <c r="H486" s="5" t="e">
        <f>VLOOKUP($A486,tropes!$A$4:$O$2428,8,FALSE)</f>
        <v>#N/A</v>
      </c>
      <c r="I486" s="5" t="e">
        <f>VLOOKUP($A486,tropes!$A$4:$O$2428,9,FALSE)</f>
        <v>#N/A</v>
      </c>
      <c r="J486" s="5" t="e">
        <f>VLOOKUP($A486,tropes!$A$4:$O$2428,10,FALSE)</f>
        <v>#N/A</v>
      </c>
      <c r="K486" s="5" t="e">
        <f>VLOOKUP($A486,tropes!$A$4:$O$2428,11,FALSE)</f>
        <v>#N/A</v>
      </c>
      <c r="L486" s="5" t="e">
        <f>VLOOKUP($A486,tropes!$A$4:$O$2428,12,FALSE)</f>
        <v>#N/A</v>
      </c>
      <c r="M486" s="5" t="e">
        <f>VLOOKUP($A486,tropes!$A$4:$O$2428,13,FALSE)</f>
        <v>#N/A</v>
      </c>
      <c r="N486" s="5"/>
    </row>
    <row r="487" spans="1:14" x14ac:dyDescent="0.3">
      <c r="A487" s="14"/>
      <c r="B487" s="5" t="e">
        <f>VLOOKUP($A487,tropes!$A$4:$O$2428,2,FALSE)</f>
        <v>#N/A</v>
      </c>
      <c r="C487" s="5" t="e">
        <f>VLOOKUP($A487,tropes!$A$4:$O$2428,3,FALSE)</f>
        <v>#N/A</v>
      </c>
      <c r="D487" s="5" t="e">
        <f>VLOOKUP($A487,tropes!$A$4:$O$2428,4,FALSE)</f>
        <v>#N/A</v>
      </c>
      <c r="E487" s="5" t="e">
        <f>VLOOKUP($A487,tropes!$A$4:$O$2428,5,FALSE)</f>
        <v>#N/A</v>
      </c>
      <c r="F487" s="5" t="e">
        <f>VLOOKUP($A487,tropes!$A$4:$O$2428,6,FALSE)</f>
        <v>#N/A</v>
      </c>
      <c r="G487" s="5" t="e">
        <f>VLOOKUP($A487,tropes!$A$4:$O$2428,7,FALSE)</f>
        <v>#N/A</v>
      </c>
      <c r="H487" s="5" t="e">
        <f>VLOOKUP($A487,tropes!$A$4:$O$2428,8,FALSE)</f>
        <v>#N/A</v>
      </c>
      <c r="I487" s="5" t="e">
        <f>VLOOKUP($A487,tropes!$A$4:$O$2428,9,FALSE)</f>
        <v>#N/A</v>
      </c>
      <c r="J487" s="5" t="e">
        <f>VLOOKUP($A487,tropes!$A$4:$O$2428,10,FALSE)</f>
        <v>#N/A</v>
      </c>
      <c r="K487" s="5" t="e">
        <f>VLOOKUP($A487,tropes!$A$4:$O$2428,11,FALSE)</f>
        <v>#N/A</v>
      </c>
      <c r="L487" s="5" t="e">
        <f>VLOOKUP($A487,tropes!$A$4:$O$2428,12,FALSE)</f>
        <v>#N/A</v>
      </c>
      <c r="M487" s="5" t="e">
        <f>VLOOKUP($A487,tropes!$A$4:$O$2428,13,FALSE)</f>
        <v>#N/A</v>
      </c>
      <c r="N487" s="5"/>
    </row>
    <row r="488" spans="1:14" x14ac:dyDescent="0.3">
      <c r="A488" s="14"/>
      <c r="B488" s="5" t="e">
        <f>VLOOKUP($A488,tropes!$A$4:$O$2428,2,FALSE)</f>
        <v>#N/A</v>
      </c>
      <c r="C488" s="5" t="e">
        <f>VLOOKUP($A488,tropes!$A$4:$O$2428,3,FALSE)</f>
        <v>#N/A</v>
      </c>
      <c r="D488" s="5" t="e">
        <f>VLOOKUP($A488,tropes!$A$4:$O$2428,4,FALSE)</f>
        <v>#N/A</v>
      </c>
      <c r="E488" s="5" t="e">
        <f>VLOOKUP($A488,tropes!$A$4:$O$2428,5,FALSE)</f>
        <v>#N/A</v>
      </c>
      <c r="F488" s="5" t="e">
        <f>VLOOKUP($A488,tropes!$A$4:$O$2428,6,FALSE)</f>
        <v>#N/A</v>
      </c>
      <c r="G488" s="5" t="e">
        <f>VLOOKUP($A488,tropes!$A$4:$O$2428,7,FALSE)</f>
        <v>#N/A</v>
      </c>
      <c r="H488" s="5" t="e">
        <f>VLOOKUP($A488,tropes!$A$4:$O$2428,8,FALSE)</f>
        <v>#N/A</v>
      </c>
      <c r="I488" s="5" t="e">
        <f>VLOOKUP($A488,tropes!$A$4:$O$2428,9,FALSE)</f>
        <v>#N/A</v>
      </c>
      <c r="J488" s="5" t="e">
        <f>VLOOKUP($A488,tropes!$A$4:$O$2428,10,FALSE)</f>
        <v>#N/A</v>
      </c>
      <c r="K488" s="5" t="e">
        <f>VLOOKUP($A488,tropes!$A$4:$O$2428,11,FALSE)</f>
        <v>#N/A</v>
      </c>
      <c r="L488" s="5" t="e">
        <f>VLOOKUP($A488,tropes!$A$4:$O$2428,12,FALSE)</f>
        <v>#N/A</v>
      </c>
      <c r="M488" s="5" t="e">
        <f>VLOOKUP($A488,tropes!$A$4:$O$2428,13,FALSE)</f>
        <v>#N/A</v>
      </c>
      <c r="N488" s="5"/>
    </row>
    <row r="489" spans="1:14" x14ac:dyDescent="0.3">
      <c r="A489" s="14"/>
      <c r="B489" s="5" t="e">
        <f>VLOOKUP($A489,tropes!$A$4:$O$2428,2,FALSE)</f>
        <v>#N/A</v>
      </c>
      <c r="C489" s="5" t="e">
        <f>VLOOKUP($A489,tropes!$A$4:$O$2428,3,FALSE)</f>
        <v>#N/A</v>
      </c>
      <c r="D489" s="5" t="e">
        <f>VLOOKUP($A489,tropes!$A$4:$O$2428,4,FALSE)</f>
        <v>#N/A</v>
      </c>
      <c r="E489" s="5" t="e">
        <f>VLOOKUP($A489,tropes!$A$4:$O$2428,5,FALSE)</f>
        <v>#N/A</v>
      </c>
      <c r="F489" s="5" t="e">
        <f>VLOOKUP($A489,tropes!$A$4:$O$2428,6,FALSE)</f>
        <v>#N/A</v>
      </c>
      <c r="G489" s="5" t="e">
        <f>VLOOKUP($A489,tropes!$A$4:$O$2428,7,FALSE)</f>
        <v>#N/A</v>
      </c>
      <c r="H489" s="5" t="e">
        <f>VLOOKUP($A489,tropes!$A$4:$O$2428,8,FALSE)</f>
        <v>#N/A</v>
      </c>
      <c r="I489" s="5" t="e">
        <f>VLOOKUP($A489,tropes!$A$4:$O$2428,9,FALSE)</f>
        <v>#N/A</v>
      </c>
      <c r="J489" s="5" t="e">
        <f>VLOOKUP($A489,tropes!$A$4:$O$2428,10,FALSE)</f>
        <v>#N/A</v>
      </c>
      <c r="K489" s="5" t="e">
        <f>VLOOKUP($A489,tropes!$A$4:$O$2428,11,FALSE)</f>
        <v>#N/A</v>
      </c>
      <c r="L489" s="5" t="e">
        <f>VLOOKUP($A489,tropes!$A$4:$O$2428,12,FALSE)</f>
        <v>#N/A</v>
      </c>
      <c r="M489" s="5" t="e">
        <f>VLOOKUP($A489,tropes!$A$4:$O$2428,13,FALSE)</f>
        <v>#N/A</v>
      </c>
      <c r="N489" s="5"/>
    </row>
    <row r="490" spans="1:14" x14ac:dyDescent="0.3">
      <c r="A490" s="14"/>
      <c r="B490" s="5" t="e">
        <f>VLOOKUP($A490,tropes!$A$4:$O$2428,2,FALSE)</f>
        <v>#N/A</v>
      </c>
      <c r="C490" s="5" t="e">
        <f>VLOOKUP($A490,tropes!$A$4:$O$2428,3,FALSE)</f>
        <v>#N/A</v>
      </c>
      <c r="D490" s="5" t="e">
        <f>VLOOKUP($A490,tropes!$A$4:$O$2428,4,FALSE)</f>
        <v>#N/A</v>
      </c>
      <c r="E490" s="5" t="e">
        <f>VLOOKUP($A490,tropes!$A$4:$O$2428,5,FALSE)</f>
        <v>#N/A</v>
      </c>
      <c r="F490" s="5" t="e">
        <f>VLOOKUP($A490,tropes!$A$4:$O$2428,6,FALSE)</f>
        <v>#N/A</v>
      </c>
      <c r="G490" s="5" t="e">
        <f>VLOOKUP($A490,tropes!$A$4:$O$2428,7,FALSE)</f>
        <v>#N/A</v>
      </c>
      <c r="H490" s="5" t="e">
        <f>VLOOKUP($A490,tropes!$A$4:$O$2428,8,FALSE)</f>
        <v>#N/A</v>
      </c>
      <c r="I490" s="5" t="e">
        <f>VLOOKUP($A490,tropes!$A$4:$O$2428,9,FALSE)</f>
        <v>#N/A</v>
      </c>
      <c r="J490" s="5" t="e">
        <f>VLOOKUP($A490,tropes!$A$4:$O$2428,10,FALSE)</f>
        <v>#N/A</v>
      </c>
      <c r="K490" s="5" t="e">
        <f>VLOOKUP($A490,tropes!$A$4:$O$2428,11,FALSE)</f>
        <v>#N/A</v>
      </c>
      <c r="L490" s="5" t="e">
        <f>VLOOKUP($A490,tropes!$A$4:$O$2428,12,FALSE)</f>
        <v>#N/A</v>
      </c>
      <c r="M490" s="5" t="e">
        <f>VLOOKUP($A490,tropes!$A$4:$O$2428,13,FALSE)</f>
        <v>#N/A</v>
      </c>
      <c r="N490" s="5"/>
    </row>
    <row r="491" spans="1:14" x14ac:dyDescent="0.3">
      <c r="A491" s="14"/>
      <c r="B491" s="5" t="e">
        <f>VLOOKUP($A491,tropes!$A$4:$O$2428,2,FALSE)</f>
        <v>#N/A</v>
      </c>
      <c r="C491" s="5" t="e">
        <f>VLOOKUP($A491,tropes!$A$4:$O$2428,3,FALSE)</f>
        <v>#N/A</v>
      </c>
      <c r="D491" s="5" t="e">
        <f>VLOOKUP($A491,tropes!$A$4:$O$2428,4,FALSE)</f>
        <v>#N/A</v>
      </c>
      <c r="E491" s="5" t="e">
        <f>VLOOKUP($A491,tropes!$A$4:$O$2428,5,FALSE)</f>
        <v>#N/A</v>
      </c>
      <c r="F491" s="5" t="e">
        <f>VLOOKUP($A491,tropes!$A$4:$O$2428,6,FALSE)</f>
        <v>#N/A</v>
      </c>
      <c r="G491" s="5" t="e">
        <f>VLOOKUP($A491,tropes!$A$4:$O$2428,7,FALSE)</f>
        <v>#N/A</v>
      </c>
      <c r="H491" s="5" t="e">
        <f>VLOOKUP($A491,tropes!$A$4:$O$2428,8,FALSE)</f>
        <v>#N/A</v>
      </c>
      <c r="I491" s="5" t="e">
        <f>VLOOKUP($A491,tropes!$A$4:$O$2428,9,FALSE)</f>
        <v>#N/A</v>
      </c>
      <c r="J491" s="5" t="e">
        <f>VLOOKUP($A491,tropes!$A$4:$O$2428,10,FALSE)</f>
        <v>#N/A</v>
      </c>
      <c r="K491" s="5" t="e">
        <f>VLOOKUP($A491,tropes!$A$4:$O$2428,11,FALSE)</f>
        <v>#N/A</v>
      </c>
      <c r="L491" s="5" t="e">
        <f>VLOOKUP($A491,tropes!$A$4:$O$2428,12,FALSE)</f>
        <v>#N/A</v>
      </c>
      <c r="M491" s="5" t="e">
        <f>VLOOKUP($A491,tropes!$A$4:$O$2428,13,FALSE)</f>
        <v>#N/A</v>
      </c>
      <c r="N491" s="5"/>
    </row>
    <row r="492" spans="1:14" x14ac:dyDescent="0.3">
      <c r="A492" s="14"/>
      <c r="B492" s="5" t="e">
        <f>VLOOKUP($A492,tropes!$A$4:$O$2428,2,FALSE)</f>
        <v>#N/A</v>
      </c>
      <c r="C492" s="5" t="e">
        <f>VLOOKUP($A492,tropes!$A$4:$O$2428,3,FALSE)</f>
        <v>#N/A</v>
      </c>
      <c r="D492" s="5" t="e">
        <f>VLOOKUP($A492,tropes!$A$4:$O$2428,4,FALSE)</f>
        <v>#N/A</v>
      </c>
      <c r="E492" s="5" t="e">
        <f>VLOOKUP($A492,tropes!$A$4:$O$2428,5,FALSE)</f>
        <v>#N/A</v>
      </c>
      <c r="F492" s="5" t="e">
        <f>VLOOKUP($A492,tropes!$A$4:$O$2428,6,FALSE)</f>
        <v>#N/A</v>
      </c>
      <c r="G492" s="5" t="e">
        <f>VLOOKUP($A492,tropes!$A$4:$O$2428,7,FALSE)</f>
        <v>#N/A</v>
      </c>
      <c r="H492" s="5" t="e">
        <f>VLOOKUP($A492,tropes!$A$4:$O$2428,8,FALSE)</f>
        <v>#N/A</v>
      </c>
      <c r="I492" s="5" t="e">
        <f>VLOOKUP($A492,tropes!$A$4:$O$2428,9,FALSE)</f>
        <v>#N/A</v>
      </c>
      <c r="J492" s="5" t="e">
        <f>VLOOKUP($A492,tropes!$A$4:$O$2428,10,FALSE)</f>
        <v>#N/A</v>
      </c>
      <c r="K492" s="5" t="e">
        <f>VLOOKUP($A492,tropes!$A$4:$O$2428,11,FALSE)</f>
        <v>#N/A</v>
      </c>
      <c r="L492" s="5" t="e">
        <f>VLOOKUP($A492,tropes!$A$4:$O$2428,12,FALSE)</f>
        <v>#N/A</v>
      </c>
      <c r="M492" s="5" t="e">
        <f>VLOOKUP($A492,tropes!$A$4:$O$2428,13,FALSE)</f>
        <v>#N/A</v>
      </c>
      <c r="N492" s="5"/>
    </row>
    <row r="493" spans="1:14" x14ac:dyDescent="0.3">
      <c r="A493" s="14"/>
      <c r="B493" s="5" t="e">
        <f>VLOOKUP($A493,tropes!$A$4:$O$2428,2,FALSE)</f>
        <v>#N/A</v>
      </c>
      <c r="C493" s="5" t="e">
        <f>VLOOKUP($A493,tropes!$A$4:$O$2428,3,FALSE)</f>
        <v>#N/A</v>
      </c>
      <c r="D493" s="5" t="e">
        <f>VLOOKUP($A493,tropes!$A$4:$O$2428,4,FALSE)</f>
        <v>#N/A</v>
      </c>
      <c r="E493" s="5" t="e">
        <f>VLOOKUP($A493,tropes!$A$4:$O$2428,5,FALSE)</f>
        <v>#N/A</v>
      </c>
      <c r="F493" s="5" t="e">
        <f>VLOOKUP($A493,tropes!$A$4:$O$2428,6,FALSE)</f>
        <v>#N/A</v>
      </c>
      <c r="G493" s="5" t="e">
        <f>VLOOKUP($A493,tropes!$A$4:$O$2428,7,FALSE)</f>
        <v>#N/A</v>
      </c>
      <c r="H493" s="5" t="e">
        <f>VLOOKUP($A493,tropes!$A$4:$O$2428,8,FALSE)</f>
        <v>#N/A</v>
      </c>
      <c r="I493" s="5" t="e">
        <f>VLOOKUP($A493,tropes!$A$4:$O$2428,9,FALSE)</f>
        <v>#N/A</v>
      </c>
      <c r="J493" s="5" t="e">
        <f>VLOOKUP($A493,tropes!$A$4:$O$2428,10,FALSE)</f>
        <v>#N/A</v>
      </c>
      <c r="K493" s="5" t="e">
        <f>VLOOKUP($A493,tropes!$A$4:$O$2428,11,FALSE)</f>
        <v>#N/A</v>
      </c>
      <c r="L493" s="5" t="e">
        <f>VLOOKUP($A493,tropes!$A$4:$O$2428,12,FALSE)</f>
        <v>#N/A</v>
      </c>
      <c r="M493" s="5" t="e">
        <f>VLOOKUP($A493,tropes!$A$4:$O$2428,13,FALSE)</f>
        <v>#N/A</v>
      </c>
      <c r="N493" s="5"/>
    </row>
    <row r="494" spans="1:14" x14ac:dyDescent="0.3">
      <c r="A494" s="14"/>
      <c r="B494" s="5" t="e">
        <f>VLOOKUP($A494,tropes!$A$4:$O$2428,2,FALSE)</f>
        <v>#N/A</v>
      </c>
      <c r="C494" s="5" t="e">
        <f>VLOOKUP($A494,tropes!$A$4:$O$2428,3,FALSE)</f>
        <v>#N/A</v>
      </c>
      <c r="D494" s="5" t="e">
        <f>VLOOKUP($A494,tropes!$A$4:$O$2428,4,FALSE)</f>
        <v>#N/A</v>
      </c>
      <c r="E494" s="5" t="e">
        <f>VLOOKUP($A494,tropes!$A$4:$O$2428,5,FALSE)</f>
        <v>#N/A</v>
      </c>
      <c r="F494" s="5" t="e">
        <f>VLOOKUP($A494,tropes!$A$4:$O$2428,6,FALSE)</f>
        <v>#N/A</v>
      </c>
      <c r="G494" s="5" t="e">
        <f>VLOOKUP($A494,tropes!$A$4:$O$2428,7,FALSE)</f>
        <v>#N/A</v>
      </c>
      <c r="H494" s="5" t="e">
        <f>VLOOKUP($A494,tropes!$A$4:$O$2428,8,FALSE)</f>
        <v>#N/A</v>
      </c>
      <c r="I494" s="5" t="e">
        <f>VLOOKUP($A494,tropes!$A$4:$O$2428,9,FALSE)</f>
        <v>#N/A</v>
      </c>
      <c r="J494" s="5" t="e">
        <f>VLOOKUP($A494,tropes!$A$4:$O$2428,10,FALSE)</f>
        <v>#N/A</v>
      </c>
      <c r="K494" s="5" t="e">
        <f>VLOOKUP($A494,tropes!$A$4:$O$2428,11,FALSE)</f>
        <v>#N/A</v>
      </c>
      <c r="L494" s="5" t="e">
        <f>VLOOKUP($A494,tropes!$A$4:$O$2428,12,FALSE)</f>
        <v>#N/A</v>
      </c>
      <c r="M494" s="5" t="e">
        <f>VLOOKUP($A494,tropes!$A$4:$O$2428,13,FALSE)</f>
        <v>#N/A</v>
      </c>
      <c r="N494" s="5"/>
    </row>
    <row r="495" spans="1:14" x14ac:dyDescent="0.3">
      <c r="A495" s="14"/>
      <c r="B495" s="5" t="e">
        <f>VLOOKUP($A495,tropes!$A$4:$O$2428,2,FALSE)</f>
        <v>#N/A</v>
      </c>
      <c r="C495" s="5" t="e">
        <f>VLOOKUP($A495,tropes!$A$4:$O$2428,3,FALSE)</f>
        <v>#N/A</v>
      </c>
      <c r="D495" s="5" t="e">
        <f>VLOOKUP($A495,tropes!$A$4:$O$2428,4,FALSE)</f>
        <v>#N/A</v>
      </c>
      <c r="E495" s="5" t="e">
        <f>VLOOKUP($A495,tropes!$A$4:$O$2428,5,FALSE)</f>
        <v>#N/A</v>
      </c>
      <c r="F495" s="5" t="e">
        <f>VLOOKUP($A495,tropes!$A$4:$O$2428,6,FALSE)</f>
        <v>#N/A</v>
      </c>
      <c r="G495" s="5" t="e">
        <f>VLOOKUP($A495,tropes!$A$4:$O$2428,7,FALSE)</f>
        <v>#N/A</v>
      </c>
      <c r="H495" s="5" t="e">
        <f>VLOOKUP($A495,tropes!$A$4:$O$2428,8,FALSE)</f>
        <v>#N/A</v>
      </c>
      <c r="I495" s="5" t="e">
        <f>VLOOKUP($A495,tropes!$A$4:$O$2428,9,FALSE)</f>
        <v>#N/A</v>
      </c>
      <c r="J495" s="5" t="e">
        <f>VLOOKUP($A495,tropes!$A$4:$O$2428,10,FALSE)</f>
        <v>#N/A</v>
      </c>
      <c r="K495" s="5" t="e">
        <f>VLOOKUP($A495,tropes!$A$4:$O$2428,11,FALSE)</f>
        <v>#N/A</v>
      </c>
      <c r="L495" s="5" t="e">
        <f>VLOOKUP($A495,tropes!$A$4:$O$2428,12,FALSE)</f>
        <v>#N/A</v>
      </c>
      <c r="M495" s="5" t="e">
        <f>VLOOKUP($A495,tropes!$A$4:$O$2428,13,FALSE)</f>
        <v>#N/A</v>
      </c>
      <c r="N495" s="5"/>
    </row>
    <row r="496" spans="1:14" x14ac:dyDescent="0.3">
      <c r="A496" s="14"/>
      <c r="B496" s="5" t="e">
        <f>VLOOKUP($A496,tropes!$A$4:$O$2428,2,FALSE)</f>
        <v>#N/A</v>
      </c>
      <c r="C496" s="5" t="e">
        <f>VLOOKUP($A496,tropes!$A$4:$O$2428,3,FALSE)</f>
        <v>#N/A</v>
      </c>
      <c r="D496" s="5" t="e">
        <f>VLOOKUP($A496,tropes!$A$4:$O$2428,4,FALSE)</f>
        <v>#N/A</v>
      </c>
      <c r="E496" s="5" t="e">
        <f>VLOOKUP($A496,tropes!$A$4:$O$2428,5,FALSE)</f>
        <v>#N/A</v>
      </c>
      <c r="F496" s="5" t="e">
        <f>VLOOKUP($A496,tropes!$A$4:$O$2428,6,FALSE)</f>
        <v>#N/A</v>
      </c>
      <c r="G496" s="5" t="e">
        <f>VLOOKUP($A496,tropes!$A$4:$O$2428,7,FALSE)</f>
        <v>#N/A</v>
      </c>
      <c r="H496" s="5" t="e">
        <f>VLOOKUP($A496,tropes!$A$4:$O$2428,8,FALSE)</f>
        <v>#N/A</v>
      </c>
      <c r="I496" s="5" t="e">
        <f>VLOOKUP($A496,tropes!$A$4:$O$2428,9,FALSE)</f>
        <v>#N/A</v>
      </c>
      <c r="J496" s="5" t="e">
        <f>VLOOKUP($A496,tropes!$A$4:$O$2428,10,FALSE)</f>
        <v>#N/A</v>
      </c>
      <c r="K496" s="5" t="e">
        <f>VLOOKUP($A496,tropes!$A$4:$O$2428,11,FALSE)</f>
        <v>#N/A</v>
      </c>
      <c r="L496" s="5" t="e">
        <f>VLOOKUP($A496,tropes!$A$4:$O$2428,12,FALSE)</f>
        <v>#N/A</v>
      </c>
      <c r="M496" s="5" t="e">
        <f>VLOOKUP($A496,tropes!$A$4:$O$2428,13,FALSE)</f>
        <v>#N/A</v>
      </c>
      <c r="N496" s="5"/>
    </row>
    <row r="497" spans="1:14" x14ac:dyDescent="0.3">
      <c r="A497" s="14"/>
      <c r="B497" s="5" t="e">
        <f>VLOOKUP($A497,tropes!$A$4:$O$2428,2,FALSE)</f>
        <v>#N/A</v>
      </c>
      <c r="C497" s="5" t="e">
        <f>VLOOKUP($A497,tropes!$A$4:$O$2428,3,FALSE)</f>
        <v>#N/A</v>
      </c>
      <c r="D497" s="5" t="e">
        <f>VLOOKUP($A497,tropes!$A$4:$O$2428,4,FALSE)</f>
        <v>#N/A</v>
      </c>
      <c r="E497" s="5" t="e">
        <f>VLOOKUP($A497,tropes!$A$4:$O$2428,5,FALSE)</f>
        <v>#N/A</v>
      </c>
      <c r="F497" s="5" t="e">
        <f>VLOOKUP($A497,tropes!$A$4:$O$2428,6,FALSE)</f>
        <v>#N/A</v>
      </c>
      <c r="G497" s="5" t="e">
        <f>VLOOKUP($A497,tropes!$A$4:$O$2428,7,FALSE)</f>
        <v>#N/A</v>
      </c>
      <c r="H497" s="5" t="e">
        <f>VLOOKUP($A497,tropes!$A$4:$O$2428,8,FALSE)</f>
        <v>#N/A</v>
      </c>
      <c r="I497" s="5" t="e">
        <f>VLOOKUP($A497,tropes!$A$4:$O$2428,9,FALSE)</f>
        <v>#N/A</v>
      </c>
      <c r="J497" s="5" t="e">
        <f>VLOOKUP($A497,tropes!$A$4:$O$2428,10,FALSE)</f>
        <v>#N/A</v>
      </c>
      <c r="K497" s="5" t="e">
        <f>VLOOKUP($A497,tropes!$A$4:$O$2428,11,FALSE)</f>
        <v>#N/A</v>
      </c>
      <c r="L497" s="5" t="e">
        <f>VLOOKUP($A497,tropes!$A$4:$O$2428,12,FALSE)</f>
        <v>#N/A</v>
      </c>
      <c r="M497" s="5" t="e">
        <f>VLOOKUP($A497,tropes!$A$4:$O$2428,13,FALSE)</f>
        <v>#N/A</v>
      </c>
      <c r="N497" s="5"/>
    </row>
    <row r="498" spans="1:14" x14ac:dyDescent="0.3">
      <c r="A498" s="14"/>
      <c r="B498" s="5" t="e">
        <f>VLOOKUP($A498,tropes!$A$4:$O$2428,2,FALSE)</f>
        <v>#N/A</v>
      </c>
      <c r="C498" s="5" t="e">
        <f>VLOOKUP($A498,tropes!$A$4:$O$2428,3,FALSE)</f>
        <v>#N/A</v>
      </c>
      <c r="D498" s="5" t="e">
        <f>VLOOKUP($A498,tropes!$A$4:$O$2428,4,FALSE)</f>
        <v>#N/A</v>
      </c>
      <c r="E498" s="5" t="e">
        <f>VLOOKUP($A498,tropes!$A$4:$O$2428,5,FALSE)</f>
        <v>#N/A</v>
      </c>
      <c r="F498" s="5" t="e">
        <f>VLOOKUP($A498,tropes!$A$4:$O$2428,6,FALSE)</f>
        <v>#N/A</v>
      </c>
      <c r="G498" s="5" t="e">
        <f>VLOOKUP($A498,tropes!$A$4:$O$2428,7,FALSE)</f>
        <v>#N/A</v>
      </c>
      <c r="H498" s="5" t="e">
        <f>VLOOKUP($A498,tropes!$A$4:$O$2428,8,FALSE)</f>
        <v>#N/A</v>
      </c>
      <c r="I498" s="5" t="e">
        <f>VLOOKUP($A498,tropes!$A$4:$O$2428,9,FALSE)</f>
        <v>#N/A</v>
      </c>
      <c r="J498" s="5" t="e">
        <f>VLOOKUP($A498,tropes!$A$4:$O$2428,10,FALSE)</f>
        <v>#N/A</v>
      </c>
      <c r="K498" s="5" t="e">
        <f>VLOOKUP($A498,tropes!$A$4:$O$2428,11,FALSE)</f>
        <v>#N/A</v>
      </c>
      <c r="L498" s="5" t="e">
        <f>VLOOKUP($A498,tropes!$A$4:$O$2428,12,FALSE)</f>
        <v>#N/A</v>
      </c>
      <c r="M498" s="5" t="e">
        <f>VLOOKUP($A498,tropes!$A$4:$O$2428,13,FALSE)</f>
        <v>#N/A</v>
      </c>
      <c r="N498" s="5"/>
    </row>
    <row r="499" spans="1:14" x14ac:dyDescent="0.3">
      <c r="A499" s="14"/>
      <c r="B499" s="5" t="e">
        <f>VLOOKUP($A499,tropes!$A$4:$O$2428,2,FALSE)</f>
        <v>#N/A</v>
      </c>
      <c r="C499" s="5" t="e">
        <f>VLOOKUP($A499,tropes!$A$4:$O$2428,3,FALSE)</f>
        <v>#N/A</v>
      </c>
      <c r="D499" s="5" t="e">
        <f>VLOOKUP($A499,tropes!$A$4:$O$2428,4,FALSE)</f>
        <v>#N/A</v>
      </c>
      <c r="E499" s="5" t="e">
        <f>VLOOKUP($A499,tropes!$A$4:$O$2428,5,FALSE)</f>
        <v>#N/A</v>
      </c>
      <c r="F499" s="5" t="e">
        <f>VLOOKUP($A499,tropes!$A$4:$O$2428,6,FALSE)</f>
        <v>#N/A</v>
      </c>
      <c r="G499" s="5" t="e">
        <f>VLOOKUP($A499,tropes!$A$4:$O$2428,7,FALSE)</f>
        <v>#N/A</v>
      </c>
      <c r="H499" s="5" t="e">
        <f>VLOOKUP($A499,tropes!$A$4:$O$2428,8,FALSE)</f>
        <v>#N/A</v>
      </c>
      <c r="I499" s="5" t="e">
        <f>VLOOKUP($A499,tropes!$A$4:$O$2428,9,FALSE)</f>
        <v>#N/A</v>
      </c>
      <c r="J499" s="5" t="e">
        <f>VLOOKUP($A499,tropes!$A$4:$O$2428,10,FALSE)</f>
        <v>#N/A</v>
      </c>
      <c r="K499" s="5" t="e">
        <f>VLOOKUP($A499,tropes!$A$4:$O$2428,11,FALSE)</f>
        <v>#N/A</v>
      </c>
      <c r="L499" s="5" t="e">
        <f>VLOOKUP($A499,tropes!$A$4:$O$2428,12,FALSE)</f>
        <v>#N/A</v>
      </c>
      <c r="M499" s="5" t="e">
        <f>VLOOKUP($A499,tropes!$A$4:$O$2428,13,FALSE)</f>
        <v>#N/A</v>
      </c>
      <c r="N499" s="5"/>
    </row>
    <row r="500" spans="1:14" x14ac:dyDescent="0.3">
      <c r="A500" s="14"/>
      <c r="B500" s="5" t="e">
        <f>VLOOKUP($A500,tropes!$A$4:$O$2428,2,FALSE)</f>
        <v>#N/A</v>
      </c>
      <c r="C500" s="5" t="e">
        <f>VLOOKUP($A500,tropes!$A$4:$O$2428,3,FALSE)</f>
        <v>#N/A</v>
      </c>
      <c r="D500" s="5" t="e">
        <f>VLOOKUP($A500,tropes!$A$4:$O$2428,4,FALSE)</f>
        <v>#N/A</v>
      </c>
      <c r="E500" s="5" t="e">
        <f>VLOOKUP($A500,tropes!$A$4:$O$2428,5,FALSE)</f>
        <v>#N/A</v>
      </c>
      <c r="F500" s="5" t="e">
        <f>VLOOKUP($A500,tropes!$A$4:$O$2428,6,FALSE)</f>
        <v>#N/A</v>
      </c>
      <c r="G500" s="5" t="e">
        <f>VLOOKUP($A500,tropes!$A$4:$O$2428,7,FALSE)</f>
        <v>#N/A</v>
      </c>
      <c r="H500" s="5" t="e">
        <f>VLOOKUP($A500,tropes!$A$4:$O$2428,8,FALSE)</f>
        <v>#N/A</v>
      </c>
      <c r="I500" s="5" t="e">
        <f>VLOOKUP($A500,tropes!$A$4:$O$2428,9,FALSE)</f>
        <v>#N/A</v>
      </c>
      <c r="J500" s="5" t="e">
        <f>VLOOKUP($A500,tropes!$A$4:$O$2428,10,FALSE)</f>
        <v>#N/A</v>
      </c>
      <c r="K500" s="5" t="e">
        <f>VLOOKUP($A500,tropes!$A$4:$O$2428,11,FALSE)</f>
        <v>#N/A</v>
      </c>
      <c r="L500" s="5" t="e">
        <f>VLOOKUP($A500,tropes!$A$4:$O$2428,12,FALSE)</f>
        <v>#N/A</v>
      </c>
      <c r="M500" s="5" t="e">
        <f>VLOOKUP($A500,tropes!$A$4:$O$2428,13,FALSE)</f>
        <v>#N/A</v>
      </c>
      <c r="N500" s="5"/>
    </row>
    <row r="501" spans="1:14" x14ac:dyDescent="0.3">
      <c r="A501" s="14"/>
      <c r="B501" s="5" t="e">
        <f>VLOOKUP($A501,tropes!$A$4:$O$2428,2,FALSE)</f>
        <v>#N/A</v>
      </c>
      <c r="C501" s="5" t="e">
        <f>VLOOKUP($A501,tropes!$A$4:$O$2428,3,FALSE)</f>
        <v>#N/A</v>
      </c>
      <c r="D501" s="5" t="e">
        <f>VLOOKUP($A501,tropes!$A$4:$O$2428,4,FALSE)</f>
        <v>#N/A</v>
      </c>
      <c r="E501" s="5" t="e">
        <f>VLOOKUP($A501,tropes!$A$4:$O$2428,5,FALSE)</f>
        <v>#N/A</v>
      </c>
      <c r="F501" s="5" t="e">
        <f>VLOOKUP($A501,tropes!$A$4:$O$2428,6,FALSE)</f>
        <v>#N/A</v>
      </c>
      <c r="G501" s="5" t="e">
        <f>VLOOKUP($A501,tropes!$A$4:$O$2428,7,FALSE)</f>
        <v>#N/A</v>
      </c>
      <c r="H501" s="5" t="e">
        <f>VLOOKUP($A501,tropes!$A$4:$O$2428,8,FALSE)</f>
        <v>#N/A</v>
      </c>
      <c r="I501" s="5" t="e">
        <f>VLOOKUP($A501,tropes!$A$4:$O$2428,9,FALSE)</f>
        <v>#N/A</v>
      </c>
      <c r="J501" s="5" t="e">
        <f>VLOOKUP($A501,tropes!$A$4:$O$2428,10,FALSE)</f>
        <v>#N/A</v>
      </c>
      <c r="K501" s="5" t="e">
        <f>VLOOKUP($A501,tropes!$A$4:$O$2428,11,FALSE)</f>
        <v>#N/A</v>
      </c>
      <c r="L501" s="5" t="e">
        <f>VLOOKUP($A501,tropes!$A$4:$O$2428,12,FALSE)</f>
        <v>#N/A</v>
      </c>
      <c r="M501" s="5" t="e">
        <f>VLOOKUP($A501,tropes!$A$4:$O$2428,13,FALSE)</f>
        <v>#N/A</v>
      </c>
      <c r="N501" s="5"/>
    </row>
    <row r="502" spans="1:14" x14ac:dyDescent="0.3">
      <c r="A502" s="14"/>
      <c r="B502" s="5" t="e">
        <f>VLOOKUP($A502,tropes!$A$4:$O$2428,2,FALSE)</f>
        <v>#N/A</v>
      </c>
      <c r="C502" s="5" t="e">
        <f>VLOOKUP($A502,tropes!$A$4:$O$2428,3,FALSE)</f>
        <v>#N/A</v>
      </c>
      <c r="D502" s="5" t="e">
        <f>VLOOKUP($A502,tropes!$A$4:$O$2428,4,FALSE)</f>
        <v>#N/A</v>
      </c>
      <c r="E502" s="5" t="e">
        <f>VLOOKUP($A502,tropes!$A$4:$O$2428,5,FALSE)</f>
        <v>#N/A</v>
      </c>
      <c r="F502" s="5" t="e">
        <f>VLOOKUP($A502,tropes!$A$4:$O$2428,6,FALSE)</f>
        <v>#N/A</v>
      </c>
      <c r="G502" s="5" t="e">
        <f>VLOOKUP($A502,tropes!$A$4:$O$2428,7,FALSE)</f>
        <v>#N/A</v>
      </c>
      <c r="H502" s="5" t="e">
        <f>VLOOKUP($A502,tropes!$A$4:$O$2428,8,FALSE)</f>
        <v>#N/A</v>
      </c>
      <c r="I502" s="5" t="e">
        <f>VLOOKUP($A502,tropes!$A$4:$O$2428,9,FALSE)</f>
        <v>#N/A</v>
      </c>
      <c r="J502" s="5" t="e">
        <f>VLOOKUP($A502,tropes!$A$4:$O$2428,10,FALSE)</f>
        <v>#N/A</v>
      </c>
      <c r="K502" s="5" t="e">
        <f>VLOOKUP($A502,tropes!$A$4:$O$2428,11,FALSE)</f>
        <v>#N/A</v>
      </c>
      <c r="L502" s="5" t="e">
        <f>VLOOKUP($A502,tropes!$A$4:$O$2428,12,FALSE)</f>
        <v>#N/A</v>
      </c>
      <c r="M502" s="5" t="e">
        <f>VLOOKUP($A502,tropes!$A$4:$O$2428,13,FALSE)</f>
        <v>#N/A</v>
      </c>
      <c r="N502" s="5"/>
    </row>
    <row r="503" spans="1:14" x14ac:dyDescent="0.3">
      <c r="A503" s="14"/>
      <c r="B503" s="5" t="e">
        <f>VLOOKUP($A503,tropes!$A$4:$O$2428,2,FALSE)</f>
        <v>#N/A</v>
      </c>
      <c r="C503" s="5" t="e">
        <f>VLOOKUP($A503,tropes!$A$4:$O$2428,3,FALSE)</f>
        <v>#N/A</v>
      </c>
      <c r="D503" s="5" t="e">
        <f>VLOOKUP($A503,tropes!$A$4:$O$2428,4,FALSE)</f>
        <v>#N/A</v>
      </c>
      <c r="E503" s="5" t="e">
        <f>VLOOKUP($A503,tropes!$A$4:$O$2428,5,FALSE)</f>
        <v>#N/A</v>
      </c>
      <c r="F503" s="5" t="e">
        <f>VLOOKUP($A503,tropes!$A$4:$O$2428,6,FALSE)</f>
        <v>#N/A</v>
      </c>
      <c r="G503" s="5" t="e">
        <f>VLOOKUP($A503,tropes!$A$4:$O$2428,7,FALSE)</f>
        <v>#N/A</v>
      </c>
      <c r="H503" s="5" t="e">
        <f>VLOOKUP($A503,tropes!$A$4:$O$2428,8,FALSE)</f>
        <v>#N/A</v>
      </c>
      <c r="I503" s="5" t="e">
        <f>VLOOKUP($A503,tropes!$A$4:$O$2428,9,FALSE)</f>
        <v>#N/A</v>
      </c>
      <c r="J503" s="5" t="e">
        <f>VLOOKUP($A503,tropes!$A$4:$O$2428,10,FALSE)</f>
        <v>#N/A</v>
      </c>
      <c r="K503" s="5" t="e">
        <f>VLOOKUP($A503,tropes!$A$4:$O$2428,11,FALSE)</f>
        <v>#N/A</v>
      </c>
      <c r="L503" s="5" t="e">
        <f>VLOOKUP($A503,tropes!$A$4:$O$2428,12,FALSE)</f>
        <v>#N/A</v>
      </c>
      <c r="M503" s="5" t="e">
        <f>VLOOKUP($A503,tropes!$A$4:$O$2428,13,FALSE)</f>
        <v>#N/A</v>
      </c>
      <c r="N503" s="5"/>
    </row>
    <row r="504" spans="1:14" x14ac:dyDescent="0.3">
      <c r="A504" s="14"/>
      <c r="B504" s="5" t="e">
        <f>VLOOKUP($A504,tropes!$A$4:$O$2428,2,FALSE)</f>
        <v>#N/A</v>
      </c>
      <c r="C504" s="5" t="e">
        <f>VLOOKUP($A504,tropes!$A$4:$O$2428,3,FALSE)</f>
        <v>#N/A</v>
      </c>
      <c r="D504" s="5" t="e">
        <f>VLOOKUP($A504,tropes!$A$4:$O$2428,4,FALSE)</f>
        <v>#N/A</v>
      </c>
      <c r="E504" s="5" t="e">
        <f>VLOOKUP($A504,tropes!$A$4:$O$2428,5,FALSE)</f>
        <v>#N/A</v>
      </c>
      <c r="F504" s="5" t="e">
        <f>VLOOKUP($A504,tropes!$A$4:$O$2428,6,FALSE)</f>
        <v>#N/A</v>
      </c>
      <c r="G504" s="5" t="e">
        <f>VLOOKUP($A504,tropes!$A$4:$O$2428,7,FALSE)</f>
        <v>#N/A</v>
      </c>
      <c r="H504" s="5" t="e">
        <f>VLOOKUP($A504,tropes!$A$4:$O$2428,8,FALSE)</f>
        <v>#N/A</v>
      </c>
      <c r="I504" s="5" t="e">
        <f>VLOOKUP($A504,tropes!$A$4:$O$2428,9,FALSE)</f>
        <v>#N/A</v>
      </c>
      <c r="J504" s="5" t="e">
        <f>VLOOKUP($A504,tropes!$A$4:$O$2428,10,FALSE)</f>
        <v>#N/A</v>
      </c>
      <c r="K504" s="5" t="e">
        <f>VLOOKUP($A504,tropes!$A$4:$O$2428,11,FALSE)</f>
        <v>#N/A</v>
      </c>
      <c r="L504" s="5" t="e">
        <f>VLOOKUP($A504,tropes!$A$4:$O$2428,12,FALSE)</f>
        <v>#N/A</v>
      </c>
      <c r="M504" s="5" t="e">
        <f>VLOOKUP($A504,tropes!$A$4:$O$2428,13,FALSE)</f>
        <v>#N/A</v>
      </c>
      <c r="N504" s="5"/>
    </row>
    <row r="505" spans="1:14" x14ac:dyDescent="0.3">
      <c r="A505" s="14"/>
      <c r="B505" s="5" t="e">
        <f>VLOOKUP($A505,tropes!$A$4:$O$2428,2,FALSE)</f>
        <v>#N/A</v>
      </c>
      <c r="C505" s="5" t="e">
        <f>VLOOKUP($A505,tropes!$A$4:$O$2428,3,FALSE)</f>
        <v>#N/A</v>
      </c>
      <c r="D505" s="5" t="e">
        <f>VLOOKUP($A505,tropes!$A$4:$O$2428,4,FALSE)</f>
        <v>#N/A</v>
      </c>
      <c r="E505" s="5" t="e">
        <f>VLOOKUP($A505,tropes!$A$4:$O$2428,5,FALSE)</f>
        <v>#N/A</v>
      </c>
      <c r="F505" s="5" t="e">
        <f>VLOOKUP($A505,tropes!$A$4:$O$2428,6,FALSE)</f>
        <v>#N/A</v>
      </c>
      <c r="G505" s="5" t="e">
        <f>VLOOKUP($A505,tropes!$A$4:$O$2428,7,FALSE)</f>
        <v>#N/A</v>
      </c>
      <c r="H505" s="5" t="e">
        <f>VLOOKUP($A505,tropes!$A$4:$O$2428,8,FALSE)</f>
        <v>#N/A</v>
      </c>
      <c r="I505" s="5" t="e">
        <f>VLOOKUP($A505,tropes!$A$4:$O$2428,9,FALSE)</f>
        <v>#N/A</v>
      </c>
      <c r="J505" s="5" t="e">
        <f>VLOOKUP($A505,tropes!$A$4:$O$2428,10,FALSE)</f>
        <v>#N/A</v>
      </c>
      <c r="K505" s="5" t="e">
        <f>VLOOKUP($A505,tropes!$A$4:$O$2428,11,FALSE)</f>
        <v>#N/A</v>
      </c>
      <c r="L505" s="5" t="e">
        <f>VLOOKUP($A505,tropes!$A$4:$O$2428,12,FALSE)</f>
        <v>#N/A</v>
      </c>
      <c r="M505" s="5" t="e">
        <f>VLOOKUP($A505,tropes!$A$4:$O$2428,13,FALSE)</f>
        <v>#N/A</v>
      </c>
      <c r="N505" s="5"/>
    </row>
    <row r="506" spans="1:14" x14ac:dyDescent="0.3">
      <c r="A506" s="14"/>
      <c r="B506" s="5" t="e">
        <f>VLOOKUP($A506,tropes!$A$4:$O$2428,2,FALSE)</f>
        <v>#N/A</v>
      </c>
      <c r="C506" s="5" t="e">
        <f>VLOOKUP($A506,tropes!$A$4:$O$2428,3,FALSE)</f>
        <v>#N/A</v>
      </c>
      <c r="D506" s="5" t="e">
        <f>VLOOKUP($A506,tropes!$A$4:$O$2428,4,FALSE)</f>
        <v>#N/A</v>
      </c>
      <c r="E506" s="5" t="e">
        <f>VLOOKUP($A506,tropes!$A$4:$O$2428,5,FALSE)</f>
        <v>#N/A</v>
      </c>
      <c r="F506" s="5" t="e">
        <f>VLOOKUP($A506,tropes!$A$4:$O$2428,6,FALSE)</f>
        <v>#N/A</v>
      </c>
      <c r="G506" s="5" t="e">
        <f>VLOOKUP($A506,tropes!$A$4:$O$2428,7,FALSE)</f>
        <v>#N/A</v>
      </c>
      <c r="H506" s="5" t="e">
        <f>VLOOKUP($A506,tropes!$A$4:$O$2428,8,FALSE)</f>
        <v>#N/A</v>
      </c>
      <c r="I506" s="5" t="e">
        <f>VLOOKUP($A506,tropes!$A$4:$O$2428,9,FALSE)</f>
        <v>#N/A</v>
      </c>
      <c r="J506" s="5" t="e">
        <f>VLOOKUP($A506,tropes!$A$4:$O$2428,10,FALSE)</f>
        <v>#N/A</v>
      </c>
      <c r="K506" s="5" t="e">
        <f>VLOOKUP($A506,tropes!$A$4:$O$2428,11,FALSE)</f>
        <v>#N/A</v>
      </c>
      <c r="L506" s="5" t="e">
        <f>VLOOKUP($A506,tropes!$A$4:$O$2428,12,FALSE)</f>
        <v>#N/A</v>
      </c>
      <c r="M506" s="5" t="e">
        <f>VLOOKUP($A506,tropes!$A$4:$O$2428,13,FALSE)</f>
        <v>#N/A</v>
      </c>
      <c r="N506" s="5"/>
    </row>
    <row r="507" spans="1:14" x14ac:dyDescent="0.3">
      <c r="A507" s="14"/>
      <c r="B507" s="5" t="e">
        <f>VLOOKUP($A507,tropes!$A$4:$O$2428,2,FALSE)</f>
        <v>#N/A</v>
      </c>
      <c r="C507" s="5" t="e">
        <f>VLOOKUP($A507,tropes!$A$4:$O$2428,3,FALSE)</f>
        <v>#N/A</v>
      </c>
      <c r="D507" s="5" t="e">
        <f>VLOOKUP($A507,tropes!$A$4:$O$2428,4,FALSE)</f>
        <v>#N/A</v>
      </c>
      <c r="E507" s="5" t="e">
        <f>VLOOKUP($A507,tropes!$A$4:$O$2428,5,FALSE)</f>
        <v>#N/A</v>
      </c>
      <c r="F507" s="5" t="e">
        <f>VLOOKUP($A507,tropes!$A$4:$O$2428,6,FALSE)</f>
        <v>#N/A</v>
      </c>
      <c r="G507" s="5" t="e">
        <f>VLOOKUP($A507,tropes!$A$4:$O$2428,7,FALSE)</f>
        <v>#N/A</v>
      </c>
      <c r="H507" s="5" t="e">
        <f>VLOOKUP($A507,tropes!$A$4:$O$2428,8,FALSE)</f>
        <v>#N/A</v>
      </c>
      <c r="I507" s="5" t="e">
        <f>VLOOKUP($A507,tropes!$A$4:$O$2428,9,FALSE)</f>
        <v>#N/A</v>
      </c>
      <c r="J507" s="5" t="e">
        <f>VLOOKUP($A507,tropes!$A$4:$O$2428,10,FALSE)</f>
        <v>#N/A</v>
      </c>
      <c r="K507" s="5" t="e">
        <f>VLOOKUP($A507,tropes!$A$4:$O$2428,11,FALSE)</f>
        <v>#N/A</v>
      </c>
      <c r="L507" s="5" t="e">
        <f>VLOOKUP($A507,tropes!$A$4:$O$2428,12,FALSE)</f>
        <v>#N/A</v>
      </c>
      <c r="M507" s="5" t="e">
        <f>VLOOKUP($A507,tropes!$A$4:$O$2428,13,FALSE)</f>
        <v>#N/A</v>
      </c>
      <c r="N507" s="5"/>
    </row>
    <row r="508" spans="1:14" x14ac:dyDescent="0.3">
      <c r="A508" s="14"/>
      <c r="B508" s="5" t="e">
        <f>VLOOKUP($A508,tropes!$A$4:$O$2428,2,FALSE)</f>
        <v>#N/A</v>
      </c>
      <c r="C508" s="5" t="e">
        <f>VLOOKUP($A508,tropes!$A$4:$O$2428,3,FALSE)</f>
        <v>#N/A</v>
      </c>
      <c r="D508" s="5" t="e">
        <f>VLOOKUP($A508,tropes!$A$4:$O$2428,4,FALSE)</f>
        <v>#N/A</v>
      </c>
      <c r="E508" s="5" t="e">
        <f>VLOOKUP($A508,tropes!$A$4:$O$2428,5,FALSE)</f>
        <v>#N/A</v>
      </c>
      <c r="F508" s="5" t="e">
        <f>VLOOKUP($A508,tropes!$A$4:$O$2428,6,FALSE)</f>
        <v>#N/A</v>
      </c>
      <c r="G508" s="5" t="e">
        <f>VLOOKUP($A508,tropes!$A$4:$O$2428,7,FALSE)</f>
        <v>#N/A</v>
      </c>
      <c r="H508" s="5" t="e">
        <f>VLOOKUP($A508,tropes!$A$4:$O$2428,8,FALSE)</f>
        <v>#N/A</v>
      </c>
      <c r="I508" s="5" t="e">
        <f>VLOOKUP($A508,tropes!$A$4:$O$2428,9,FALSE)</f>
        <v>#N/A</v>
      </c>
      <c r="J508" s="5" t="e">
        <f>VLOOKUP($A508,tropes!$A$4:$O$2428,10,FALSE)</f>
        <v>#N/A</v>
      </c>
      <c r="K508" s="5" t="e">
        <f>VLOOKUP($A508,tropes!$A$4:$O$2428,11,FALSE)</f>
        <v>#N/A</v>
      </c>
      <c r="L508" s="5" t="e">
        <f>VLOOKUP($A508,tropes!$A$4:$O$2428,12,FALSE)</f>
        <v>#N/A</v>
      </c>
      <c r="M508" s="5" t="e">
        <f>VLOOKUP($A508,tropes!$A$4:$O$2428,13,FALSE)</f>
        <v>#N/A</v>
      </c>
      <c r="N508" s="5"/>
    </row>
    <row r="509" spans="1:14" x14ac:dyDescent="0.3">
      <c r="A509" s="14"/>
      <c r="B509" s="5" t="e">
        <f>VLOOKUP($A509,tropes!$A$4:$O$2428,2,FALSE)</f>
        <v>#N/A</v>
      </c>
      <c r="C509" s="5" t="e">
        <f>VLOOKUP($A509,tropes!$A$4:$O$2428,3,FALSE)</f>
        <v>#N/A</v>
      </c>
      <c r="D509" s="5" t="e">
        <f>VLOOKUP($A509,tropes!$A$4:$O$2428,4,FALSE)</f>
        <v>#N/A</v>
      </c>
      <c r="E509" s="5" t="e">
        <f>VLOOKUP($A509,tropes!$A$4:$O$2428,5,FALSE)</f>
        <v>#N/A</v>
      </c>
      <c r="F509" s="5" t="e">
        <f>VLOOKUP($A509,tropes!$A$4:$O$2428,6,FALSE)</f>
        <v>#N/A</v>
      </c>
      <c r="G509" s="5" t="e">
        <f>VLOOKUP($A509,tropes!$A$4:$O$2428,7,FALSE)</f>
        <v>#N/A</v>
      </c>
      <c r="H509" s="5" t="e">
        <f>VLOOKUP($A509,tropes!$A$4:$O$2428,8,FALSE)</f>
        <v>#N/A</v>
      </c>
      <c r="I509" s="5" t="e">
        <f>VLOOKUP($A509,tropes!$A$4:$O$2428,9,FALSE)</f>
        <v>#N/A</v>
      </c>
      <c r="J509" s="5" t="e">
        <f>VLOOKUP($A509,tropes!$A$4:$O$2428,10,FALSE)</f>
        <v>#N/A</v>
      </c>
      <c r="K509" s="5" t="e">
        <f>VLOOKUP($A509,tropes!$A$4:$O$2428,11,FALSE)</f>
        <v>#N/A</v>
      </c>
      <c r="L509" s="5" t="e">
        <f>VLOOKUP($A509,tropes!$A$4:$O$2428,12,FALSE)</f>
        <v>#N/A</v>
      </c>
      <c r="M509" s="5" t="e">
        <f>VLOOKUP($A509,tropes!$A$4:$O$2428,13,FALSE)</f>
        <v>#N/A</v>
      </c>
      <c r="N509" s="5"/>
    </row>
    <row r="510" spans="1:14" x14ac:dyDescent="0.3">
      <c r="A510" s="14"/>
      <c r="B510" s="5" t="e">
        <f>VLOOKUP($A510,tropes!$A$4:$O$2428,2,FALSE)</f>
        <v>#N/A</v>
      </c>
      <c r="C510" s="5" t="e">
        <f>VLOOKUP($A510,tropes!$A$4:$O$2428,3,FALSE)</f>
        <v>#N/A</v>
      </c>
      <c r="D510" s="5" t="e">
        <f>VLOOKUP($A510,tropes!$A$4:$O$2428,4,FALSE)</f>
        <v>#N/A</v>
      </c>
      <c r="E510" s="5" t="e">
        <f>VLOOKUP($A510,tropes!$A$4:$O$2428,5,FALSE)</f>
        <v>#N/A</v>
      </c>
      <c r="F510" s="5" t="e">
        <f>VLOOKUP($A510,tropes!$A$4:$O$2428,6,FALSE)</f>
        <v>#N/A</v>
      </c>
      <c r="G510" s="5" t="e">
        <f>VLOOKUP($A510,tropes!$A$4:$O$2428,7,FALSE)</f>
        <v>#N/A</v>
      </c>
      <c r="H510" s="5" t="e">
        <f>VLOOKUP($A510,tropes!$A$4:$O$2428,8,FALSE)</f>
        <v>#N/A</v>
      </c>
      <c r="I510" s="5" t="e">
        <f>VLOOKUP($A510,tropes!$A$4:$O$2428,9,FALSE)</f>
        <v>#N/A</v>
      </c>
      <c r="J510" s="5" t="e">
        <f>VLOOKUP($A510,tropes!$A$4:$O$2428,10,FALSE)</f>
        <v>#N/A</v>
      </c>
      <c r="K510" s="5" t="e">
        <f>VLOOKUP($A510,tropes!$A$4:$O$2428,11,FALSE)</f>
        <v>#N/A</v>
      </c>
      <c r="L510" s="5" t="e">
        <f>VLOOKUP($A510,tropes!$A$4:$O$2428,12,FALSE)</f>
        <v>#N/A</v>
      </c>
      <c r="M510" s="5" t="e">
        <f>VLOOKUP($A510,tropes!$A$4:$O$2428,13,FALSE)</f>
        <v>#N/A</v>
      </c>
      <c r="N510" s="5"/>
    </row>
    <row r="511" spans="1:14" x14ac:dyDescent="0.3">
      <c r="A511" s="14"/>
      <c r="B511" s="5" t="e">
        <f>VLOOKUP($A511,tropes!$A$4:$O$2428,2,FALSE)</f>
        <v>#N/A</v>
      </c>
      <c r="C511" s="5" t="e">
        <f>VLOOKUP($A511,tropes!$A$4:$O$2428,3,FALSE)</f>
        <v>#N/A</v>
      </c>
      <c r="D511" s="5" t="e">
        <f>VLOOKUP($A511,tropes!$A$4:$O$2428,4,FALSE)</f>
        <v>#N/A</v>
      </c>
      <c r="E511" s="5" t="e">
        <f>VLOOKUP($A511,tropes!$A$4:$O$2428,5,FALSE)</f>
        <v>#N/A</v>
      </c>
      <c r="F511" s="5" t="e">
        <f>VLOOKUP($A511,tropes!$A$4:$O$2428,6,FALSE)</f>
        <v>#N/A</v>
      </c>
      <c r="G511" s="5" t="e">
        <f>VLOOKUP($A511,tropes!$A$4:$O$2428,7,FALSE)</f>
        <v>#N/A</v>
      </c>
      <c r="H511" s="5" t="e">
        <f>VLOOKUP($A511,tropes!$A$4:$O$2428,8,FALSE)</f>
        <v>#N/A</v>
      </c>
      <c r="I511" s="5" t="e">
        <f>VLOOKUP($A511,tropes!$A$4:$O$2428,9,FALSE)</f>
        <v>#N/A</v>
      </c>
      <c r="J511" s="5" t="e">
        <f>VLOOKUP($A511,tropes!$A$4:$O$2428,10,FALSE)</f>
        <v>#N/A</v>
      </c>
      <c r="K511" s="5" t="e">
        <f>VLOOKUP($A511,tropes!$A$4:$O$2428,11,FALSE)</f>
        <v>#N/A</v>
      </c>
      <c r="L511" s="5" t="e">
        <f>VLOOKUP($A511,tropes!$A$4:$O$2428,12,FALSE)</f>
        <v>#N/A</v>
      </c>
      <c r="M511" s="5" t="e">
        <f>VLOOKUP($A511,tropes!$A$4:$O$2428,13,FALSE)</f>
        <v>#N/A</v>
      </c>
      <c r="N511" s="5"/>
    </row>
    <row r="512" spans="1:14" x14ac:dyDescent="0.3">
      <c r="A512" s="14"/>
      <c r="B512" s="5" t="e">
        <f>VLOOKUP($A512,tropes!$A$4:$O$2428,2,FALSE)</f>
        <v>#N/A</v>
      </c>
      <c r="C512" s="5" t="e">
        <f>VLOOKUP($A512,tropes!$A$4:$O$2428,3,FALSE)</f>
        <v>#N/A</v>
      </c>
      <c r="D512" s="5" t="e">
        <f>VLOOKUP($A512,tropes!$A$4:$O$2428,4,FALSE)</f>
        <v>#N/A</v>
      </c>
      <c r="E512" s="5" t="e">
        <f>VLOOKUP($A512,tropes!$A$4:$O$2428,5,FALSE)</f>
        <v>#N/A</v>
      </c>
      <c r="F512" s="5" t="e">
        <f>VLOOKUP($A512,tropes!$A$4:$O$2428,6,FALSE)</f>
        <v>#N/A</v>
      </c>
      <c r="G512" s="5" t="e">
        <f>VLOOKUP($A512,tropes!$A$4:$O$2428,7,FALSE)</f>
        <v>#N/A</v>
      </c>
      <c r="H512" s="5" t="e">
        <f>VLOOKUP($A512,tropes!$A$4:$O$2428,8,FALSE)</f>
        <v>#N/A</v>
      </c>
      <c r="I512" s="5" t="e">
        <f>VLOOKUP($A512,tropes!$A$4:$O$2428,9,FALSE)</f>
        <v>#N/A</v>
      </c>
      <c r="J512" s="5" t="e">
        <f>VLOOKUP($A512,tropes!$A$4:$O$2428,10,FALSE)</f>
        <v>#N/A</v>
      </c>
      <c r="K512" s="5" t="e">
        <f>VLOOKUP($A512,tropes!$A$4:$O$2428,11,FALSE)</f>
        <v>#N/A</v>
      </c>
      <c r="L512" s="5" t="e">
        <f>VLOOKUP($A512,tropes!$A$4:$O$2428,12,FALSE)</f>
        <v>#N/A</v>
      </c>
      <c r="M512" s="5" t="e">
        <f>VLOOKUP($A512,tropes!$A$4:$O$2428,13,FALSE)</f>
        <v>#N/A</v>
      </c>
      <c r="N512" s="5"/>
    </row>
    <row r="513" spans="1:14" x14ac:dyDescent="0.3">
      <c r="A513" s="14"/>
      <c r="B513" s="5" t="e">
        <f>VLOOKUP($A513,tropes!$A$4:$O$2428,2,FALSE)</f>
        <v>#N/A</v>
      </c>
      <c r="C513" s="5" t="e">
        <f>VLOOKUP($A513,tropes!$A$4:$O$2428,3,FALSE)</f>
        <v>#N/A</v>
      </c>
      <c r="D513" s="5" t="e">
        <f>VLOOKUP($A513,tropes!$A$4:$O$2428,4,FALSE)</f>
        <v>#N/A</v>
      </c>
      <c r="E513" s="5" t="e">
        <f>VLOOKUP($A513,tropes!$A$4:$O$2428,5,FALSE)</f>
        <v>#N/A</v>
      </c>
      <c r="F513" s="5" t="e">
        <f>VLOOKUP($A513,tropes!$A$4:$O$2428,6,FALSE)</f>
        <v>#N/A</v>
      </c>
      <c r="G513" s="5" t="e">
        <f>VLOOKUP($A513,tropes!$A$4:$O$2428,7,FALSE)</f>
        <v>#N/A</v>
      </c>
      <c r="H513" s="5" t="e">
        <f>VLOOKUP($A513,tropes!$A$4:$O$2428,8,FALSE)</f>
        <v>#N/A</v>
      </c>
      <c r="I513" s="5" t="e">
        <f>VLOOKUP($A513,tropes!$A$4:$O$2428,9,FALSE)</f>
        <v>#N/A</v>
      </c>
      <c r="J513" s="5" t="e">
        <f>VLOOKUP($A513,tropes!$A$4:$O$2428,10,FALSE)</f>
        <v>#N/A</v>
      </c>
      <c r="K513" s="5" t="e">
        <f>VLOOKUP($A513,tropes!$A$4:$O$2428,11,FALSE)</f>
        <v>#N/A</v>
      </c>
      <c r="L513" s="5" t="e">
        <f>VLOOKUP($A513,tropes!$A$4:$O$2428,12,FALSE)</f>
        <v>#N/A</v>
      </c>
      <c r="M513" s="5" t="e">
        <f>VLOOKUP($A513,tropes!$A$4:$O$2428,13,FALSE)</f>
        <v>#N/A</v>
      </c>
      <c r="N513" s="5"/>
    </row>
    <row r="514" spans="1:14" x14ac:dyDescent="0.3">
      <c r="A514" s="14"/>
      <c r="B514" s="5" t="e">
        <f>VLOOKUP($A514,tropes!$A$4:$O$2428,2,FALSE)</f>
        <v>#N/A</v>
      </c>
      <c r="C514" s="5" t="e">
        <f>VLOOKUP($A514,tropes!$A$4:$O$2428,3,FALSE)</f>
        <v>#N/A</v>
      </c>
      <c r="D514" s="5" t="e">
        <f>VLOOKUP($A514,tropes!$A$4:$O$2428,4,FALSE)</f>
        <v>#N/A</v>
      </c>
      <c r="E514" s="5" t="e">
        <f>VLOOKUP($A514,tropes!$A$4:$O$2428,5,FALSE)</f>
        <v>#N/A</v>
      </c>
      <c r="F514" s="5" t="e">
        <f>VLOOKUP($A514,tropes!$A$4:$O$2428,6,FALSE)</f>
        <v>#N/A</v>
      </c>
      <c r="G514" s="5" t="e">
        <f>VLOOKUP($A514,tropes!$A$4:$O$2428,7,FALSE)</f>
        <v>#N/A</v>
      </c>
      <c r="H514" s="5" t="e">
        <f>VLOOKUP($A514,tropes!$A$4:$O$2428,8,FALSE)</f>
        <v>#N/A</v>
      </c>
      <c r="I514" s="5" t="e">
        <f>VLOOKUP($A514,tropes!$A$4:$O$2428,9,FALSE)</f>
        <v>#N/A</v>
      </c>
      <c r="J514" s="5" t="e">
        <f>VLOOKUP($A514,tropes!$A$4:$O$2428,10,FALSE)</f>
        <v>#N/A</v>
      </c>
      <c r="K514" s="5" t="e">
        <f>VLOOKUP($A514,tropes!$A$4:$O$2428,11,FALSE)</f>
        <v>#N/A</v>
      </c>
      <c r="L514" s="5" t="e">
        <f>VLOOKUP($A514,tropes!$A$4:$O$2428,12,FALSE)</f>
        <v>#N/A</v>
      </c>
      <c r="M514" s="5" t="e">
        <f>VLOOKUP($A514,tropes!$A$4:$O$2428,13,FALSE)</f>
        <v>#N/A</v>
      </c>
      <c r="N514" s="5"/>
    </row>
    <row r="515" spans="1:14" x14ac:dyDescent="0.3">
      <c r="A515" s="14"/>
      <c r="B515" s="5" t="e">
        <f>VLOOKUP($A515,tropes!$A$4:$O$2428,2,FALSE)</f>
        <v>#N/A</v>
      </c>
      <c r="C515" s="5" t="e">
        <f>VLOOKUP($A515,tropes!$A$4:$O$2428,3,FALSE)</f>
        <v>#N/A</v>
      </c>
      <c r="D515" s="5" t="e">
        <f>VLOOKUP($A515,tropes!$A$4:$O$2428,4,FALSE)</f>
        <v>#N/A</v>
      </c>
      <c r="E515" s="5" t="e">
        <f>VLOOKUP($A515,tropes!$A$4:$O$2428,5,FALSE)</f>
        <v>#N/A</v>
      </c>
      <c r="F515" s="5" t="e">
        <f>VLOOKUP($A515,tropes!$A$4:$O$2428,6,FALSE)</f>
        <v>#N/A</v>
      </c>
      <c r="G515" s="5" t="e">
        <f>VLOOKUP($A515,tropes!$A$4:$O$2428,7,FALSE)</f>
        <v>#N/A</v>
      </c>
      <c r="H515" s="5" t="e">
        <f>VLOOKUP($A515,tropes!$A$4:$O$2428,8,FALSE)</f>
        <v>#N/A</v>
      </c>
      <c r="I515" s="5" t="e">
        <f>VLOOKUP($A515,tropes!$A$4:$O$2428,9,FALSE)</f>
        <v>#N/A</v>
      </c>
      <c r="J515" s="5" t="e">
        <f>VLOOKUP($A515,tropes!$A$4:$O$2428,10,FALSE)</f>
        <v>#N/A</v>
      </c>
      <c r="K515" s="5" t="e">
        <f>VLOOKUP($A515,tropes!$A$4:$O$2428,11,FALSE)</f>
        <v>#N/A</v>
      </c>
      <c r="L515" s="5" t="e">
        <f>VLOOKUP($A515,tropes!$A$4:$O$2428,12,FALSE)</f>
        <v>#N/A</v>
      </c>
      <c r="M515" s="5" t="e">
        <f>VLOOKUP($A515,tropes!$A$4:$O$2428,13,FALSE)</f>
        <v>#N/A</v>
      </c>
      <c r="N515" s="5"/>
    </row>
    <row r="516" spans="1:14" x14ac:dyDescent="0.3">
      <c r="A516" s="14"/>
      <c r="B516" s="5" t="e">
        <f>VLOOKUP($A516,tropes!$A$4:$O$2428,2,FALSE)</f>
        <v>#N/A</v>
      </c>
      <c r="C516" s="5" t="e">
        <f>VLOOKUP($A516,tropes!$A$4:$O$2428,3,FALSE)</f>
        <v>#N/A</v>
      </c>
      <c r="D516" s="5" t="e">
        <f>VLOOKUP($A516,tropes!$A$4:$O$2428,4,FALSE)</f>
        <v>#N/A</v>
      </c>
      <c r="E516" s="5" t="e">
        <f>VLOOKUP($A516,tropes!$A$4:$O$2428,5,FALSE)</f>
        <v>#N/A</v>
      </c>
      <c r="F516" s="5" t="e">
        <f>VLOOKUP($A516,tropes!$A$4:$O$2428,6,FALSE)</f>
        <v>#N/A</v>
      </c>
      <c r="G516" s="5" t="e">
        <f>VLOOKUP($A516,tropes!$A$4:$O$2428,7,FALSE)</f>
        <v>#N/A</v>
      </c>
      <c r="H516" s="5" t="e">
        <f>VLOOKUP($A516,tropes!$A$4:$O$2428,8,FALSE)</f>
        <v>#N/A</v>
      </c>
      <c r="I516" s="5" t="e">
        <f>VLOOKUP($A516,tropes!$A$4:$O$2428,9,FALSE)</f>
        <v>#N/A</v>
      </c>
      <c r="J516" s="5" t="e">
        <f>VLOOKUP($A516,tropes!$A$4:$O$2428,10,FALSE)</f>
        <v>#N/A</v>
      </c>
      <c r="K516" s="5" t="e">
        <f>VLOOKUP($A516,tropes!$A$4:$O$2428,11,FALSE)</f>
        <v>#N/A</v>
      </c>
      <c r="L516" s="5" t="e">
        <f>VLOOKUP($A516,tropes!$A$4:$O$2428,12,FALSE)</f>
        <v>#N/A</v>
      </c>
      <c r="M516" s="5" t="e">
        <f>VLOOKUP($A516,tropes!$A$4:$O$2428,13,FALSE)</f>
        <v>#N/A</v>
      </c>
      <c r="N516" s="5"/>
    </row>
    <row r="517" spans="1:14" x14ac:dyDescent="0.3">
      <c r="A517" s="14"/>
      <c r="B517" s="5" t="e">
        <f>VLOOKUP($A517,tropes!$A$4:$O$2428,2,FALSE)</f>
        <v>#N/A</v>
      </c>
      <c r="C517" s="5" t="e">
        <f>VLOOKUP($A517,tropes!$A$4:$O$2428,3,FALSE)</f>
        <v>#N/A</v>
      </c>
      <c r="D517" s="5" t="e">
        <f>VLOOKUP($A517,tropes!$A$4:$O$2428,4,FALSE)</f>
        <v>#N/A</v>
      </c>
      <c r="E517" s="5" t="e">
        <f>VLOOKUP($A517,tropes!$A$4:$O$2428,5,FALSE)</f>
        <v>#N/A</v>
      </c>
      <c r="F517" s="5" t="e">
        <f>VLOOKUP($A517,tropes!$A$4:$O$2428,6,FALSE)</f>
        <v>#N/A</v>
      </c>
      <c r="G517" s="5" t="e">
        <f>VLOOKUP($A517,tropes!$A$4:$O$2428,7,FALSE)</f>
        <v>#N/A</v>
      </c>
      <c r="H517" s="5" t="e">
        <f>VLOOKUP($A517,tropes!$A$4:$O$2428,8,FALSE)</f>
        <v>#N/A</v>
      </c>
      <c r="I517" s="5" t="e">
        <f>VLOOKUP($A517,tropes!$A$4:$O$2428,9,FALSE)</f>
        <v>#N/A</v>
      </c>
      <c r="J517" s="5" t="e">
        <f>VLOOKUP($A517,tropes!$A$4:$O$2428,10,FALSE)</f>
        <v>#N/A</v>
      </c>
      <c r="K517" s="5" t="e">
        <f>VLOOKUP($A517,tropes!$A$4:$O$2428,11,FALSE)</f>
        <v>#N/A</v>
      </c>
      <c r="L517" s="5" t="e">
        <f>VLOOKUP($A517,tropes!$A$4:$O$2428,12,FALSE)</f>
        <v>#N/A</v>
      </c>
      <c r="M517" s="5" t="e">
        <f>VLOOKUP($A517,tropes!$A$4:$O$2428,13,FALSE)</f>
        <v>#N/A</v>
      </c>
      <c r="N517" s="5"/>
    </row>
    <row r="518" spans="1:14" x14ac:dyDescent="0.3">
      <c r="A518" s="14"/>
      <c r="B518" s="5" t="e">
        <f>VLOOKUP($A518,tropes!$A$4:$O$2428,2,FALSE)</f>
        <v>#N/A</v>
      </c>
      <c r="C518" s="5" t="e">
        <f>VLOOKUP($A518,tropes!$A$4:$O$2428,3,FALSE)</f>
        <v>#N/A</v>
      </c>
      <c r="D518" s="5" t="e">
        <f>VLOOKUP($A518,tropes!$A$4:$O$2428,4,FALSE)</f>
        <v>#N/A</v>
      </c>
      <c r="E518" s="5" t="e">
        <f>VLOOKUP($A518,tropes!$A$4:$O$2428,5,FALSE)</f>
        <v>#N/A</v>
      </c>
      <c r="F518" s="5" t="e">
        <f>VLOOKUP($A518,tropes!$A$4:$O$2428,6,FALSE)</f>
        <v>#N/A</v>
      </c>
      <c r="G518" s="5" t="e">
        <f>VLOOKUP($A518,tropes!$A$4:$O$2428,7,FALSE)</f>
        <v>#N/A</v>
      </c>
      <c r="H518" s="5" t="e">
        <f>VLOOKUP($A518,tropes!$A$4:$O$2428,8,FALSE)</f>
        <v>#N/A</v>
      </c>
      <c r="I518" s="5" t="e">
        <f>VLOOKUP($A518,tropes!$A$4:$O$2428,9,FALSE)</f>
        <v>#N/A</v>
      </c>
      <c r="J518" s="5" t="e">
        <f>VLOOKUP($A518,tropes!$A$4:$O$2428,10,FALSE)</f>
        <v>#N/A</v>
      </c>
      <c r="K518" s="5" t="e">
        <f>VLOOKUP($A518,tropes!$A$4:$O$2428,11,FALSE)</f>
        <v>#N/A</v>
      </c>
      <c r="L518" s="5" t="e">
        <f>VLOOKUP($A518,tropes!$A$4:$O$2428,12,FALSE)</f>
        <v>#N/A</v>
      </c>
      <c r="M518" s="5" t="e">
        <f>VLOOKUP($A518,tropes!$A$4:$O$2428,13,FALSE)</f>
        <v>#N/A</v>
      </c>
      <c r="N518" s="5"/>
    </row>
    <row r="519" spans="1:14" x14ac:dyDescent="0.3">
      <c r="A519" s="14"/>
      <c r="B519" s="5" t="e">
        <f>VLOOKUP($A519,tropes!$A$4:$O$2428,2,FALSE)</f>
        <v>#N/A</v>
      </c>
      <c r="C519" s="5" t="e">
        <f>VLOOKUP($A519,tropes!$A$4:$O$2428,3,FALSE)</f>
        <v>#N/A</v>
      </c>
      <c r="D519" s="5" t="e">
        <f>VLOOKUP($A519,tropes!$A$4:$O$2428,4,FALSE)</f>
        <v>#N/A</v>
      </c>
      <c r="E519" s="5" t="e">
        <f>VLOOKUP($A519,tropes!$A$4:$O$2428,5,FALSE)</f>
        <v>#N/A</v>
      </c>
      <c r="F519" s="5" t="e">
        <f>VLOOKUP($A519,tropes!$A$4:$O$2428,6,FALSE)</f>
        <v>#N/A</v>
      </c>
      <c r="G519" s="5" t="e">
        <f>VLOOKUP($A519,tropes!$A$4:$O$2428,7,FALSE)</f>
        <v>#N/A</v>
      </c>
      <c r="H519" s="5" t="e">
        <f>VLOOKUP($A519,tropes!$A$4:$O$2428,8,FALSE)</f>
        <v>#N/A</v>
      </c>
      <c r="I519" s="5" t="e">
        <f>VLOOKUP($A519,tropes!$A$4:$O$2428,9,FALSE)</f>
        <v>#N/A</v>
      </c>
      <c r="J519" s="5" t="e">
        <f>VLOOKUP($A519,tropes!$A$4:$O$2428,10,FALSE)</f>
        <v>#N/A</v>
      </c>
      <c r="K519" s="5" t="e">
        <f>VLOOKUP($A519,tropes!$A$4:$O$2428,11,FALSE)</f>
        <v>#N/A</v>
      </c>
      <c r="L519" s="5" t="e">
        <f>VLOOKUP($A519,tropes!$A$4:$O$2428,12,FALSE)</f>
        <v>#N/A</v>
      </c>
      <c r="M519" s="5" t="e">
        <f>VLOOKUP($A519,tropes!$A$4:$O$2428,13,FALSE)</f>
        <v>#N/A</v>
      </c>
      <c r="N519" s="5"/>
    </row>
    <row r="520" spans="1:14" x14ac:dyDescent="0.3">
      <c r="A520" s="14"/>
      <c r="B520" s="5" t="e">
        <f>VLOOKUP($A520,tropes!$A$4:$O$2428,2,FALSE)</f>
        <v>#N/A</v>
      </c>
      <c r="C520" s="5" t="e">
        <f>VLOOKUP($A520,tropes!$A$4:$O$2428,3,FALSE)</f>
        <v>#N/A</v>
      </c>
      <c r="D520" s="5" t="e">
        <f>VLOOKUP($A520,tropes!$A$4:$O$2428,4,FALSE)</f>
        <v>#N/A</v>
      </c>
      <c r="E520" s="5" t="e">
        <f>VLOOKUP($A520,tropes!$A$4:$O$2428,5,FALSE)</f>
        <v>#N/A</v>
      </c>
      <c r="F520" s="5" t="e">
        <f>VLOOKUP($A520,tropes!$A$4:$O$2428,6,FALSE)</f>
        <v>#N/A</v>
      </c>
      <c r="G520" s="5" t="e">
        <f>VLOOKUP($A520,tropes!$A$4:$O$2428,7,FALSE)</f>
        <v>#N/A</v>
      </c>
      <c r="H520" s="5" t="e">
        <f>VLOOKUP($A520,tropes!$A$4:$O$2428,8,FALSE)</f>
        <v>#N/A</v>
      </c>
      <c r="I520" s="5" t="e">
        <f>VLOOKUP($A520,tropes!$A$4:$O$2428,9,FALSE)</f>
        <v>#N/A</v>
      </c>
      <c r="J520" s="5" t="e">
        <f>VLOOKUP($A520,tropes!$A$4:$O$2428,10,FALSE)</f>
        <v>#N/A</v>
      </c>
      <c r="K520" s="5" t="e">
        <f>VLOOKUP($A520,tropes!$A$4:$O$2428,11,FALSE)</f>
        <v>#N/A</v>
      </c>
      <c r="L520" s="5" t="e">
        <f>VLOOKUP($A520,tropes!$A$4:$O$2428,12,FALSE)</f>
        <v>#N/A</v>
      </c>
      <c r="M520" s="5" t="e">
        <f>VLOOKUP($A520,tropes!$A$4:$O$2428,13,FALSE)</f>
        <v>#N/A</v>
      </c>
      <c r="N520" s="5"/>
    </row>
    <row r="521" spans="1:14" x14ac:dyDescent="0.3">
      <c r="A521" s="14"/>
      <c r="B521" s="5" t="e">
        <f>VLOOKUP($A521,tropes!$A$4:$O$2428,2,FALSE)</f>
        <v>#N/A</v>
      </c>
      <c r="C521" s="5" t="e">
        <f>VLOOKUP($A521,tropes!$A$4:$O$2428,3,FALSE)</f>
        <v>#N/A</v>
      </c>
      <c r="D521" s="5" t="e">
        <f>VLOOKUP($A521,tropes!$A$4:$O$2428,4,FALSE)</f>
        <v>#N/A</v>
      </c>
      <c r="E521" s="5" t="e">
        <f>VLOOKUP($A521,tropes!$A$4:$O$2428,5,FALSE)</f>
        <v>#N/A</v>
      </c>
      <c r="F521" s="5" t="e">
        <f>VLOOKUP($A521,tropes!$A$4:$O$2428,6,FALSE)</f>
        <v>#N/A</v>
      </c>
      <c r="G521" s="5" t="e">
        <f>VLOOKUP($A521,tropes!$A$4:$O$2428,7,FALSE)</f>
        <v>#N/A</v>
      </c>
      <c r="H521" s="5" t="e">
        <f>VLOOKUP($A521,tropes!$A$4:$O$2428,8,FALSE)</f>
        <v>#N/A</v>
      </c>
      <c r="I521" s="5" t="e">
        <f>VLOOKUP($A521,tropes!$A$4:$O$2428,9,FALSE)</f>
        <v>#N/A</v>
      </c>
      <c r="J521" s="5" t="e">
        <f>VLOOKUP($A521,tropes!$A$4:$O$2428,10,FALSE)</f>
        <v>#N/A</v>
      </c>
      <c r="K521" s="5" t="e">
        <f>VLOOKUP($A521,tropes!$A$4:$O$2428,11,FALSE)</f>
        <v>#N/A</v>
      </c>
      <c r="L521" s="5" t="e">
        <f>VLOOKUP($A521,tropes!$A$4:$O$2428,12,FALSE)</f>
        <v>#N/A</v>
      </c>
      <c r="M521" s="5" t="e">
        <f>VLOOKUP($A521,tropes!$A$4:$O$2428,13,FALSE)</f>
        <v>#N/A</v>
      </c>
      <c r="N521" s="5"/>
    </row>
    <row r="522" spans="1:14" x14ac:dyDescent="0.3">
      <c r="A522" s="14"/>
      <c r="B522" s="5" t="e">
        <f>VLOOKUP($A522,tropes!$A$4:$O$2428,2,FALSE)</f>
        <v>#N/A</v>
      </c>
      <c r="C522" s="5" t="e">
        <f>VLOOKUP($A522,tropes!$A$4:$O$2428,3,FALSE)</f>
        <v>#N/A</v>
      </c>
      <c r="D522" s="5" t="e">
        <f>VLOOKUP($A522,tropes!$A$4:$O$2428,4,FALSE)</f>
        <v>#N/A</v>
      </c>
      <c r="E522" s="5" t="e">
        <f>VLOOKUP($A522,tropes!$A$4:$O$2428,5,FALSE)</f>
        <v>#N/A</v>
      </c>
      <c r="F522" s="5" t="e">
        <f>VLOOKUP($A522,tropes!$A$4:$O$2428,6,FALSE)</f>
        <v>#N/A</v>
      </c>
      <c r="G522" s="5" t="e">
        <f>VLOOKUP($A522,tropes!$A$4:$O$2428,7,FALSE)</f>
        <v>#N/A</v>
      </c>
      <c r="H522" s="5" t="e">
        <f>VLOOKUP($A522,tropes!$A$4:$O$2428,8,FALSE)</f>
        <v>#N/A</v>
      </c>
      <c r="I522" s="5" t="e">
        <f>VLOOKUP($A522,tropes!$A$4:$O$2428,9,FALSE)</f>
        <v>#N/A</v>
      </c>
      <c r="J522" s="5" t="e">
        <f>VLOOKUP($A522,tropes!$A$4:$O$2428,10,FALSE)</f>
        <v>#N/A</v>
      </c>
      <c r="K522" s="5" t="e">
        <f>VLOOKUP($A522,tropes!$A$4:$O$2428,11,FALSE)</f>
        <v>#N/A</v>
      </c>
      <c r="L522" s="5" t="e">
        <f>VLOOKUP($A522,tropes!$A$4:$O$2428,12,FALSE)</f>
        <v>#N/A</v>
      </c>
      <c r="M522" s="5" t="e">
        <f>VLOOKUP($A522,tropes!$A$4:$O$2428,13,FALSE)</f>
        <v>#N/A</v>
      </c>
      <c r="N522" s="5"/>
    </row>
    <row r="523" spans="1:14" x14ac:dyDescent="0.3">
      <c r="A523" s="14"/>
      <c r="B523" s="5" t="e">
        <f>VLOOKUP($A523,tropes!$A$4:$O$2428,2,FALSE)</f>
        <v>#N/A</v>
      </c>
      <c r="C523" s="5" t="e">
        <f>VLOOKUP($A523,tropes!$A$4:$O$2428,3,FALSE)</f>
        <v>#N/A</v>
      </c>
      <c r="D523" s="5" t="e">
        <f>VLOOKUP($A523,tropes!$A$4:$O$2428,4,FALSE)</f>
        <v>#N/A</v>
      </c>
      <c r="E523" s="5" t="e">
        <f>VLOOKUP($A523,tropes!$A$4:$O$2428,5,FALSE)</f>
        <v>#N/A</v>
      </c>
      <c r="F523" s="5" t="e">
        <f>VLOOKUP($A523,tropes!$A$4:$O$2428,6,FALSE)</f>
        <v>#N/A</v>
      </c>
      <c r="G523" s="5" t="e">
        <f>VLOOKUP($A523,tropes!$A$4:$O$2428,7,FALSE)</f>
        <v>#N/A</v>
      </c>
      <c r="H523" s="5" t="e">
        <f>VLOOKUP($A523,tropes!$A$4:$O$2428,8,FALSE)</f>
        <v>#N/A</v>
      </c>
      <c r="I523" s="5" t="e">
        <f>VLOOKUP($A523,tropes!$A$4:$O$2428,9,FALSE)</f>
        <v>#N/A</v>
      </c>
      <c r="J523" s="5" t="e">
        <f>VLOOKUP($A523,tropes!$A$4:$O$2428,10,FALSE)</f>
        <v>#N/A</v>
      </c>
      <c r="K523" s="5" t="e">
        <f>VLOOKUP($A523,tropes!$A$4:$O$2428,11,FALSE)</f>
        <v>#N/A</v>
      </c>
      <c r="L523" s="5" t="e">
        <f>VLOOKUP($A523,tropes!$A$4:$O$2428,12,FALSE)</f>
        <v>#N/A</v>
      </c>
      <c r="M523" s="5" t="e">
        <f>VLOOKUP($A523,tropes!$A$4:$O$2428,13,FALSE)</f>
        <v>#N/A</v>
      </c>
      <c r="N523" s="5"/>
    </row>
    <row r="524" spans="1:14" x14ac:dyDescent="0.3">
      <c r="A524" s="14"/>
      <c r="B524" s="5" t="e">
        <f>VLOOKUP($A524,tropes!$A$4:$O$2428,2,FALSE)</f>
        <v>#N/A</v>
      </c>
      <c r="C524" s="5" t="e">
        <f>VLOOKUP($A524,tropes!$A$4:$O$2428,3,FALSE)</f>
        <v>#N/A</v>
      </c>
      <c r="D524" s="5" t="e">
        <f>VLOOKUP($A524,tropes!$A$4:$O$2428,4,FALSE)</f>
        <v>#N/A</v>
      </c>
      <c r="E524" s="5" t="e">
        <f>VLOOKUP($A524,tropes!$A$4:$O$2428,5,FALSE)</f>
        <v>#N/A</v>
      </c>
      <c r="F524" s="5" t="e">
        <f>VLOOKUP($A524,tropes!$A$4:$O$2428,6,FALSE)</f>
        <v>#N/A</v>
      </c>
      <c r="G524" s="5" t="e">
        <f>VLOOKUP($A524,tropes!$A$4:$O$2428,7,FALSE)</f>
        <v>#N/A</v>
      </c>
      <c r="H524" s="5" t="e">
        <f>VLOOKUP($A524,tropes!$A$4:$O$2428,8,FALSE)</f>
        <v>#N/A</v>
      </c>
      <c r="I524" s="5" t="e">
        <f>VLOOKUP($A524,tropes!$A$4:$O$2428,9,FALSE)</f>
        <v>#N/A</v>
      </c>
      <c r="J524" s="5" t="e">
        <f>VLOOKUP($A524,tropes!$A$4:$O$2428,10,FALSE)</f>
        <v>#N/A</v>
      </c>
      <c r="K524" s="5" t="e">
        <f>VLOOKUP($A524,tropes!$A$4:$O$2428,11,FALSE)</f>
        <v>#N/A</v>
      </c>
      <c r="L524" s="5" t="e">
        <f>VLOOKUP($A524,tropes!$A$4:$O$2428,12,FALSE)</f>
        <v>#N/A</v>
      </c>
      <c r="M524" s="5" t="e">
        <f>VLOOKUP($A524,tropes!$A$4:$O$2428,13,FALSE)</f>
        <v>#N/A</v>
      </c>
      <c r="N524" s="5"/>
    </row>
    <row r="525" spans="1:14" x14ac:dyDescent="0.3">
      <c r="A525" s="14"/>
      <c r="B525" s="5" t="e">
        <f>VLOOKUP($A525,tropes!$A$4:$O$2428,2,FALSE)</f>
        <v>#N/A</v>
      </c>
      <c r="C525" s="5" t="e">
        <f>VLOOKUP($A525,tropes!$A$4:$O$2428,3,FALSE)</f>
        <v>#N/A</v>
      </c>
      <c r="D525" s="5" t="e">
        <f>VLOOKUP($A525,tropes!$A$4:$O$2428,4,FALSE)</f>
        <v>#N/A</v>
      </c>
      <c r="E525" s="5" t="e">
        <f>VLOOKUP($A525,tropes!$A$4:$O$2428,5,FALSE)</f>
        <v>#N/A</v>
      </c>
      <c r="F525" s="5" t="e">
        <f>VLOOKUP($A525,tropes!$A$4:$O$2428,6,FALSE)</f>
        <v>#N/A</v>
      </c>
      <c r="G525" s="5" t="e">
        <f>VLOOKUP($A525,tropes!$A$4:$O$2428,7,FALSE)</f>
        <v>#N/A</v>
      </c>
      <c r="H525" s="5" t="e">
        <f>VLOOKUP($A525,tropes!$A$4:$O$2428,8,FALSE)</f>
        <v>#N/A</v>
      </c>
      <c r="I525" s="5" t="e">
        <f>VLOOKUP($A525,tropes!$A$4:$O$2428,9,FALSE)</f>
        <v>#N/A</v>
      </c>
      <c r="J525" s="5" t="e">
        <f>VLOOKUP($A525,tropes!$A$4:$O$2428,10,FALSE)</f>
        <v>#N/A</v>
      </c>
      <c r="K525" s="5" t="e">
        <f>VLOOKUP($A525,tropes!$A$4:$O$2428,11,FALSE)</f>
        <v>#N/A</v>
      </c>
      <c r="L525" s="5" t="e">
        <f>VLOOKUP($A525,tropes!$A$4:$O$2428,12,FALSE)</f>
        <v>#N/A</v>
      </c>
      <c r="M525" s="5" t="e">
        <f>VLOOKUP($A525,tropes!$A$4:$O$2428,13,FALSE)</f>
        <v>#N/A</v>
      </c>
      <c r="N525" s="5"/>
    </row>
    <row r="526" spans="1:14" x14ac:dyDescent="0.3">
      <c r="A526" s="14"/>
      <c r="B526" s="5" t="e">
        <f>VLOOKUP($A526,tropes!$A$4:$O$2428,2,FALSE)</f>
        <v>#N/A</v>
      </c>
      <c r="C526" s="5" t="e">
        <f>VLOOKUP($A526,tropes!$A$4:$O$2428,3,FALSE)</f>
        <v>#N/A</v>
      </c>
      <c r="D526" s="5" t="e">
        <f>VLOOKUP($A526,tropes!$A$4:$O$2428,4,FALSE)</f>
        <v>#N/A</v>
      </c>
      <c r="E526" s="5" t="e">
        <f>VLOOKUP($A526,tropes!$A$4:$O$2428,5,FALSE)</f>
        <v>#N/A</v>
      </c>
      <c r="F526" s="5" t="e">
        <f>VLOOKUP($A526,tropes!$A$4:$O$2428,6,FALSE)</f>
        <v>#N/A</v>
      </c>
      <c r="G526" s="5" t="e">
        <f>VLOOKUP($A526,tropes!$A$4:$O$2428,7,FALSE)</f>
        <v>#N/A</v>
      </c>
      <c r="H526" s="5" t="e">
        <f>VLOOKUP($A526,tropes!$A$4:$O$2428,8,FALSE)</f>
        <v>#N/A</v>
      </c>
      <c r="I526" s="5" t="e">
        <f>VLOOKUP($A526,tropes!$A$4:$O$2428,9,FALSE)</f>
        <v>#N/A</v>
      </c>
      <c r="J526" s="5" t="e">
        <f>VLOOKUP($A526,tropes!$A$4:$O$2428,10,FALSE)</f>
        <v>#N/A</v>
      </c>
      <c r="K526" s="5" t="e">
        <f>VLOOKUP($A526,tropes!$A$4:$O$2428,11,FALSE)</f>
        <v>#N/A</v>
      </c>
      <c r="L526" s="5" t="e">
        <f>VLOOKUP($A526,tropes!$A$4:$O$2428,12,FALSE)</f>
        <v>#N/A</v>
      </c>
      <c r="M526" s="5" t="e">
        <f>VLOOKUP($A526,tropes!$A$4:$O$2428,13,FALSE)</f>
        <v>#N/A</v>
      </c>
      <c r="N526" s="5"/>
    </row>
    <row r="527" spans="1:14" x14ac:dyDescent="0.3">
      <c r="A527" s="14"/>
      <c r="B527" s="5" t="e">
        <f>VLOOKUP($A527,tropes!$A$4:$O$2428,2,FALSE)</f>
        <v>#N/A</v>
      </c>
      <c r="C527" s="5" t="e">
        <f>VLOOKUP($A527,tropes!$A$4:$O$2428,3,FALSE)</f>
        <v>#N/A</v>
      </c>
      <c r="D527" s="5" t="e">
        <f>VLOOKUP($A527,tropes!$A$4:$O$2428,4,FALSE)</f>
        <v>#N/A</v>
      </c>
      <c r="E527" s="5" t="e">
        <f>VLOOKUP($A527,tropes!$A$4:$O$2428,5,FALSE)</f>
        <v>#N/A</v>
      </c>
      <c r="F527" s="5" t="e">
        <f>VLOOKUP($A527,tropes!$A$4:$O$2428,6,FALSE)</f>
        <v>#N/A</v>
      </c>
      <c r="G527" s="5" t="e">
        <f>VLOOKUP($A527,tropes!$A$4:$O$2428,7,FALSE)</f>
        <v>#N/A</v>
      </c>
      <c r="H527" s="5" t="e">
        <f>VLOOKUP($A527,tropes!$A$4:$O$2428,8,FALSE)</f>
        <v>#N/A</v>
      </c>
      <c r="I527" s="5" t="e">
        <f>VLOOKUP($A527,tropes!$A$4:$O$2428,9,FALSE)</f>
        <v>#N/A</v>
      </c>
      <c r="J527" s="5" t="e">
        <f>VLOOKUP($A527,tropes!$A$4:$O$2428,10,FALSE)</f>
        <v>#N/A</v>
      </c>
      <c r="K527" s="5" t="e">
        <f>VLOOKUP($A527,tropes!$A$4:$O$2428,11,FALSE)</f>
        <v>#N/A</v>
      </c>
      <c r="L527" s="5" t="e">
        <f>VLOOKUP($A527,tropes!$A$4:$O$2428,12,FALSE)</f>
        <v>#N/A</v>
      </c>
      <c r="M527" s="5" t="e">
        <f>VLOOKUP($A527,tropes!$A$4:$O$2428,13,FALSE)</f>
        <v>#N/A</v>
      </c>
      <c r="N527" s="5"/>
    </row>
    <row r="528" spans="1:14" x14ac:dyDescent="0.3">
      <c r="A528" s="14"/>
      <c r="B528" s="5" t="e">
        <f>VLOOKUP($A528,tropes!$A$4:$O$2428,2,FALSE)</f>
        <v>#N/A</v>
      </c>
      <c r="C528" s="5" t="e">
        <f>VLOOKUP($A528,tropes!$A$4:$O$2428,3,FALSE)</f>
        <v>#N/A</v>
      </c>
      <c r="D528" s="5" t="e">
        <f>VLOOKUP($A528,tropes!$A$4:$O$2428,4,FALSE)</f>
        <v>#N/A</v>
      </c>
      <c r="E528" s="5" t="e">
        <f>VLOOKUP($A528,tropes!$A$4:$O$2428,5,FALSE)</f>
        <v>#N/A</v>
      </c>
      <c r="F528" s="5" t="e">
        <f>VLOOKUP($A528,tropes!$A$4:$O$2428,6,FALSE)</f>
        <v>#N/A</v>
      </c>
      <c r="G528" s="5" t="e">
        <f>VLOOKUP($A528,tropes!$A$4:$O$2428,7,FALSE)</f>
        <v>#N/A</v>
      </c>
      <c r="H528" s="5" t="e">
        <f>VLOOKUP($A528,tropes!$A$4:$O$2428,8,FALSE)</f>
        <v>#N/A</v>
      </c>
      <c r="I528" s="5" t="e">
        <f>VLOOKUP($A528,tropes!$A$4:$O$2428,9,FALSE)</f>
        <v>#N/A</v>
      </c>
      <c r="J528" s="5" t="e">
        <f>VLOOKUP($A528,tropes!$A$4:$O$2428,10,FALSE)</f>
        <v>#N/A</v>
      </c>
      <c r="K528" s="5" t="e">
        <f>VLOOKUP($A528,tropes!$A$4:$O$2428,11,FALSE)</f>
        <v>#N/A</v>
      </c>
      <c r="L528" s="5" t="e">
        <f>VLOOKUP($A528,tropes!$A$4:$O$2428,12,FALSE)</f>
        <v>#N/A</v>
      </c>
      <c r="M528" s="5" t="e">
        <f>VLOOKUP($A528,tropes!$A$4:$O$2428,13,FALSE)</f>
        <v>#N/A</v>
      </c>
      <c r="N528" s="5"/>
    </row>
    <row r="529" spans="1:14" x14ac:dyDescent="0.3">
      <c r="A529" s="14"/>
      <c r="B529" s="5" t="e">
        <f>VLOOKUP($A529,tropes!$A$4:$O$2428,2,FALSE)</f>
        <v>#N/A</v>
      </c>
      <c r="C529" s="5" t="e">
        <f>VLOOKUP($A529,tropes!$A$4:$O$2428,3,FALSE)</f>
        <v>#N/A</v>
      </c>
      <c r="D529" s="5" t="e">
        <f>VLOOKUP($A529,tropes!$A$4:$O$2428,4,FALSE)</f>
        <v>#N/A</v>
      </c>
      <c r="E529" s="5" t="e">
        <f>VLOOKUP($A529,tropes!$A$4:$O$2428,5,FALSE)</f>
        <v>#N/A</v>
      </c>
      <c r="F529" s="5" t="e">
        <f>VLOOKUP($A529,tropes!$A$4:$O$2428,6,FALSE)</f>
        <v>#N/A</v>
      </c>
      <c r="G529" s="5" t="e">
        <f>VLOOKUP($A529,tropes!$A$4:$O$2428,7,FALSE)</f>
        <v>#N/A</v>
      </c>
      <c r="H529" s="5" t="e">
        <f>VLOOKUP($A529,tropes!$A$4:$O$2428,8,FALSE)</f>
        <v>#N/A</v>
      </c>
      <c r="I529" s="5" t="e">
        <f>VLOOKUP($A529,tropes!$A$4:$O$2428,9,FALSE)</f>
        <v>#N/A</v>
      </c>
      <c r="J529" s="5" t="e">
        <f>VLOOKUP($A529,tropes!$A$4:$O$2428,10,FALSE)</f>
        <v>#N/A</v>
      </c>
      <c r="K529" s="5" t="e">
        <f>VLOOKUP($A529,tropes!$A$4:$O$2428,11,FALSE)</f>
        <v>#N/A</v>
      </c>
      <c r="L529" s="5" t="e">
        <f>VLOOKUP($A529,tropes!$A$4:$O$2428,12,FALSE)</f>
        <v>#N/A</v>
      </c>
      <c r="M529" s="5" t="e">
        <f>VLOOKUP($A529,tropes!$A$4:$O$2428,13,FALSE)</f>
        <v>#N/A</v>
      </c>
      <c r="N529" s="5"/>
    </row>
    <row r="530" spans="1:14" x14ac:dyDescent="0.3">
      <c r="A530" s="14"/>
      <c r="B530" s="5" t="e">
        <f>VLOOKUP($A530,tropes!$A$4:$O$2428,2,FALSE)</f>
        <v>#N/A</v>
      </c>
      <c r="C530" s="5" t="e">
        <f>VLOOKUP($A530,tropes!$A$4:$O$2428,3,FALSE)</f>
        <v>#N/A</v>
      </c>
      <c r="D530" s="5" t="e">
        <f>VLOOKUP($A530,tropes!$A$4:$O$2428,4,FALSE)</f>
        <v>#N/A</v>
      </c>
      <c r="E530" s="5" t="e">
        <f>VLOOKUP($A530,tropes!$A$4:$O$2428,5,FALSE)</f>
        <v>#N/A</v>
      </c>
      <c r="F530" s="5" t="e">
        <f>VLOOKUP($A530,tropes!$A$4:$O$2428,6,FALSE)</f>
        <v>#N/A</v>
      </c>
      <c r="G530" s="5" t="e">
        <f>VLOOKUP($A530,tropes!$A$4:$O$2428,7,FALSE)</f>
        <v>#N/A</v>
      </c>
      <c r="H530" s="5" t="e">
        <f>VLOOKUP($A530,tropes!$A$4:$O$2428,8,FALSE)</f>
        <v>#N/A</v>
      </c>
      <c r="I530" s="5" t="e">
        <f>VLOOKUP($A530,tropes!$A$4:$O$2428,9,FALSE)</f>
        <v>#N/A</v>
      </c>
      <c r="J530" s="5" t="e">
        <f>VLOOKUP($A530,tropes!$A$4:$O$2428,10,FALSE)</f>
        <v>#N/A</v>
      </c>
      <c r="K530" s="5" t="e">
        <f>VLOOKUP($A530,tropes!$A$4:$O$2428,11,FALSE)</f>
        <v>#N/A</v>
      </c>
      <c r="L530" s="5" t="e">
        <f>VLOOKUP($A530,tropes!$A$4:$O$2428,12,FALSE)</f>
        <v>#N/A</v>
      </c>
      <c r="M530" s="5" t="e">
        <f>VLOOKUP($A530,tropes!$A$4:$O$2428,13,FALSE)</f>
        <v>#N/A</v>
      </c>
      <c r="N530" s="5"/>
    </row>
    <row r="531" spans="1:14" x14ac:dyDescent="0.3">
      <c r="A531" s="14"/>
      <c r="B531" s="5" t="e">
        <f>VLOOKUP($A531,tropes!$A$4:$O$2428,2,FALSE)</f>
        <v>#N/A</v>
      </c>
      <c r="C531" s="5" t="e">
        <f>VLOOKUP($A531,tropes!$A$4:$O$2428,3,FALSE)</f>
        <v>#N/A</v>
      </c>
      <c r="D531" s="5" t="e">
        <f>VLOOKUP($A531,tropes!$A$4:$O$2428,4,FALSE)</f>
        <v>#N/A</v>
      </c>
      <c r="E531" s="5" t="e">
        <f>VLOOKUP($A531,tropes!$A$4:$O$2428,5,FALSE)</f>
        <v>#N/A</v>
      </c>
      <c r="F531" s="5" t="e">
        <f>VLOOKUP($A531,tropes!$A$4:$O$2428,6,FALSE)</f>
        <v>#N/A</v>
      </c>
      <c r="G531" s="5" t="e">
        <f>VLOOKUP($A531,tropes!$A$4:$O$2428,7,FALSE)</f>
        <v>#N/A</v>
      </c>
      <c r="H531" s="5" t="e">
        <f>VLOOKUP($A531,tropes!$A$4:$O$2428,8,FALSE)</f>
        <v>#N/A</v>
      </c>
      <c r="I531" s="5" t="e">
        <f>VLOOKUP($A531,tropes!$A$4:$O$2428,9,FALSE)</f>
        <v>#N/A</v>
      </c>
      <c r="J531" s="5" t="e">
        <f>VLOOKUP($A531,tropes!$A$4:$O$2428,10,FALSE)</f>
        <v>#N/A</v>
      </c>
      <c r="K531" s="5" t="e">
        <f>VLOOKUP($A531,tropes!$A$4:$O$2428,11,FALSE)</f>
        <v>#N/A</v>
      </c>
      <c r="L531" s="5" t="e">
        <f>VLOOKUP($A531,tropes!$A$4:$O$2428,12,FALSE)</f>
        <v>#N/A</v>
      </c>
      <c r="M531" s="5" t="e">
        <f>VLOOKUP($A531,tropes!$A$4:$O$2428,13,FALSE)</f>
        <v>#N/A</v>
      </c>
      <c r="N531" s="5"/>
    </row>
    <row r="532" spans="1:14" x14ac:dyDescent="0.3">
      <c r="A532" s="14"/>
      <c r="B532" s="5" t="e">
        <f>VLOOKUP($A532,tropes!$A$4:$O$2428,2,FALSE)</f>
        <v>#N/A</v>
      </c>
      <c r="C532" s="5" t="e">
        <f>VLOOKUP($A532,tropes!$A$4:$O$2428,3,FALSE)</f>
        <v>#N/A</v>
      </c>
      <c r="D532" s="5" t="e">
        <f>VLOOKUP($A532,tropes!$A$4:$O$2428,4,FALSE)</f>
        <v>#N/A</v>
      </c>
      <c r="E532" s="5" t="e">
        <f>VLOOKUP($A532,tropes!$A$4:$O$2428,5,FALSE)</f>
        <v>#N/A</v>
      </c>
      <c r="F532" s="5" t="e">
        <f>VLOOKUP($A532,tropes!$A$4:$O$2428,6,FALSE)</f>
        <v>#N/A</v>
      </c>
      <c r="G532" s="5" t="e">
        <f>VLOOKUP($A532,tropes!$A$4:$O$2428,7,FALSE)</f>
        <v>#N/A</v>
      </c>
      <c r="H532" s="5" t="e">
        <f>VLOOKUP($A532,tropes!$A$4:$O$2428,8,FALSE)</f>
        <v>#N/A</v>
      </c>
      <c r="I532" s="5" t="e">
        <f>VLOOKUP($A532,tropes!$A$4:$O$2428,9,FALSE)</f>
        <v>#N/A</v>
      </c>
      <c r="J532" s="5" t="e">
        <f>VLOOKUP($A532,tropes!$A$4:$O$2428,10,FALSE)</f>
        <v>#N/A</v>
      </c>
      <c r="K532" s="5" t="e">
        <f>VLOOKUP($A532,tropes!$A$4:$O$2428,11,FALSE)</f>
        <v>#N/A</v>
      </c>
      <c r="L532" s="5" t="e">
        <f>VLOOKUP($A532,tropes!$A$4:$O$2428,12,FALSE)</f>
        <v>#N/A</v>
      </c>
      <c r="M532" s="5" t="e">
        <f>VLOOKUP($A532,tropes!$A$4:$O$2428,13,FALSE)</f>
        <v>#N/A</v>
      </c>
      <c r="N532" s="5"/>
    </row>
    <row r="533" spans="1:14" x14ac:dyDescent="0.3">
      <c r="A533" s="14"/>
      <c r="B533" s="5" t="e">
        <f>VLOOKUP($A533,tropes!$A$4:$O$2428,2,FALSE)</f>
        <v>#N/A</v>
      </c>
      <c r="C533" s="5" t="e">
        <f>VLOOKUP($A533,tropes!$A$4:$O$2428,3,FALSE)</f>
        <v>#N/A</v>
      </c>
      <c r="D533" s="5" t="e">
        <f>VLOOKUP($A533,tropes!$A$4:$O$2428,4,FALSE)</f>
        <v>#N/A</v>
      </c>
      <c r="E533" s="5" t="e">
        <f>VLOOKUP($A533,tropes!$A$4:$O$2428,5,FALSE)</f>
        <v>#N/A</v>
      </c>
      <c r="F533" s="5" t="e">
        <f>VLOOKUP($A533,tropes!$A$4:$O$2428,6,FALSE)</f>
        <v>#N/A</v>
      </c>
      <c r="G533" s="5" t="e">
        <f>VLOOKUP($A533,tropes!$A$4:$O$2428,7,FALSE)</f>
        <v>#N/A</v>
      </c>
      <c r="H533" s="5" t="e">
        <f>VLOOKUP($A533,tropes!$A$4:$O$2428,8,FALSE)</f>
        <v>#N/A</v>
      </c>
      <c r="I533" s="5" t="e">
        <f>VLOOKUP($A533,tropes!$A$4:$O$2428,9,FALSE)</f>
        <v>#N/A</v>
      </c>
      <c r="J533" s="5" t="e">
        <f>VLOOKUP($A533,tropes!$A$4:$O$2428,10,FALSE)</f>
        <v>#N/A</v>
      </c>
      <c r="K533" s="5" t="e">
        <f>VLOOKUP($A533,tropes!$A$4:$O$2428,11,FALSE)</f>
        <v>#N/A</v>
      </c>
      <c r="L533" s="5" t="e">
        <f>VLOOKUP($A533,tropes!$A$4:$O$2428,12,FALSE)</f>
        <v>#N/A</v>
      </c>
      <c r="M533" s="5" t="e">
        <f>VLOOKUP($A533,tropes!$A$4:$O$2428,13,FALSE)</f>
        <v>#N/A</v>
      </c>
      <c r="N533" s="5"/>
    </row>
    <row r="534" spans="1:14" x14ac:dyDescent="0.3">
      <c r="A534" s="14"/>
      <c r="B534" s="5" t="e">
        <f>VLOOKUP($A534,tropes!$A$4:$O$2428,2,FALSE)</f>
        <v>#N/A</v>
      </c>
      <c r="C534" s="5" t="e">
        <f>VLOOKUP($A534,tropes!$A$4:$O$2428,3,FALSE)</f>
        <v>#N/A</v>
      </c>
      <c r="D534" s="5" t="e">
        <f>VLOOKUP($A534,tropes!$A$4:$O$2428,4,FALSE)</f>
        <v>#N/A</v>
      </c>
      <c r="E534" s="5" t="e">
        <f>VLOOKUP($A534,tropes!$A$4:$O$2428,5,FALSE)</f>
        <v>#N/A</v>
      </c>
      <c r="F534" s="5" t="e">
        <f>VLOOKUP($A534,tropes!$A$4:$O$2428,6,FALSE)</f>
        <v>#N/A</v>
      </c>
      <c r="G534" s="5" t="e">
        <f>VLOOKUP($A534,tropes!$A$4:$O$2428,7,FALSE)</f>
        <v>#N/A</v>
      </c>
      <c r="H534" s="5" t="e">
        <f>VLOOKUP($A534,tropes!$A$4:$O$2428,8,FALSE)</f>
        <v>#N/A</v>
      </c>
      <c r="I534" s="5" t="e">
        <f>VLOOKUP($A534,tropes!$A$4:$O$2428,9,FALSE)</f>
        <v>#N/A</v>
      </c>
      <c r="J534" s="5" t="e">
        <f>VLOOKUP($A534,tropes!$A$4:$O$2428,10,FALSE)</f>
        <v>#N/A</v>
      </c>
      <c r="K534" s="5" t="e">
        <f>VLOOKUP($A534,tropes!$A$4:$O$2428,11,FALSE)</f>
        <v>#N/A</v>
      </c>
      <c r="L534" s="5" t="e">
        <f>VLOOKUP($A534,tropes!$A$4:$O$2428,12,FALSE)</f>
        <v>#N/A</v>
      </c>
      <c r="M534" s="5" t="e">
        <f>VLOOKUP($A534,tropes!$A$4:$O$2428,13,FALSE)</f>
        <v>#N/A</v>
      </c>
      <c r="N534" s="5"/>
    </row>
    <row r="535" spans="1:14" x14ac:dyDescent="0.3">
      <c r="A535" s="14"/>
      <c r="B535" s="5" t="e">
        <f>VLOOKUP($A535,tropes!$A$4:$O$2428,2,FALSE)</f>
        <v>#N/A</v>
      </c>
      <c r="C535" s="5" t="e">
        <f>VLOOKUP($A535,tropes!$A$4:$O$2428,3,FALSE)</f>
        <v>#N/A</v>
      </c>
      <c r="D535" s="5" t="e">
        <f>VLOOKUP($A535,tropes!$A$4:$O$2428,4,FALSE)</f>
        <v>#N/A</v>
      </c>
      <c r="E535" s="5" t="e">
        <f>VLOOKUP($A535,tropes!$A$4:$O$2428,5,FALSE)</f>
        <v>#N/A</v>
      </c>
      <c r="F535" s="5" t="e">
        <f>VLOOKUP($A535,tropes!$A$4:$O$2428,6,FALSE)</f>
        <v>#N/A</v>
      </c>
      <c r="G535" s="5" t="e">
        <f>VLOOKUP($A535,tropes!$A$4:$O$2428,7,FALSE)</f>
        <v>#N/A</v>
      </c>
      <c r="H535" s="5" t="e">
        <f>VLOOKUP($A535,tropes!$A$4:$O$2428,8,FALSE)</f>
        <v>#N/A</v>
      </c>
      <c r="I535" s="5" t="e">
        <f>VLOOKUP($A535,tropes!$A$4:$O$2428,9,FALSE)</f>
        <v>#N/A</v>
      </c>
      <c r="J535" s="5" t="e">
        <f>VLOOKUP($A535,tropes!$A$4:$O$2428,10,FALSE)</f>
        <v>#N/A</v>
      </c>
      <c r="K535" s="5" t="e">
        <f>VLOOKUP($A535,tropes!$A$4:$O$2428,11,FALSE)</f>
        <v>#N/A</v>
      </c>
      <c r="L535" s="5" t="e">
        <f>VLOOKUP($A535,tropes!$A$4:$O$2428,12,FALSE)</f>
        <v>#N/A</v>
      </c>
      <c r="M535" s="5" t="e">
        <f>VLOOKUP($A535,tropes!$A$4:$O$2428,13,FALSE)</f>
        <v>#N/A</v>
      </c>
      <c r="N535" s="5"/>
    </row>
    <row r="536" spans="1:14" x14ac:dyDescent="0.3">
      <c r="A536" s="14"/>
      <c r="B536" s="5" t="e">
        <f>VLOOKUP($A536,tropes!$A$4:$O$2428,2,FALSE)</f>
        <v>#N/A</v>
      </c>
      <c r="C536" s="5" t="e">
        <f>VLOOKUP($A536,tropes!$A$4:$O$2428,3,FALSE)</f>
        <v>#N/A</v>
      </c>
      <c r="D536" s="5" t="e">
        <f>VLOOKUP($A536,tropes!$A$4:$O$2428,4,FALSE)</f>
        <v>#N/A</v>
      </c>
      <c r="E536" s="5" t="e">
        <f>VLOOKUP($A536,tropes!$A$4:$O$2428,5,FALSE)</f>
        <v>#N/A</v>
      </c>
      <c r="F536" s="5" t="e">
        <f>VLOOKUP($A536,tropes!$A$4:$O$2428,6,FALSE)</f>
        <v>#N/A</v>
      </c>
      <c r="G536" s="5" t="e">
        <f>VLOOKUP($A536,tropes!$A$4:$O$2428,7,FALSE)</f>
        <v>#N/A</v>
      </c>
      <c r="H536" s="5" t="e">
        <f>VLOOKUP($A536,tropes!$A$4:$O$2428,8,FALSE)</f>
        <v>#N/A</v>
      </c>
      <c r="I536" s="5" t="e">
        <f>VLOOKUP($A536,tropes!$A$4:$O$2428,9,FALSE)</f>
        <v>#N/A</v>
      </c>
      <c r="J536" s="5" t="e">
        <f>VLOOKUP($A536,tropes!$A$4:$O$2428,10,FALSE)</f>
        <v>#N/A</v>
      </c>
      <c r="K536" s="5" t="e">
        <f>VLOOKUP($A536,tropes!$A$4:$O$2428,11,FALSE)</f>
        <v>#N/A</v>
      </c>
      <c r="L536" s="5" t="e">
        <f>VLOOKUP($A536,tropes!$A$4:$O$2428,12,FALSE)</f>
        <v>#N/A</v>
      </c>
      <c r="M536" s="5" t="e">
        <f>VLOOKUP($A536,tropes!$A$4:$O$2428,13,FALSE)</f>
        <v>#N/A</v>
      </c>
      <c r="N536" s="5"/>
    </row>
    <row r="537" spans="1:14" x14ac:dyDescent="0.3">
      <c r="A537" s="14"/>
      <c r="B537" s="5" t="e">
        <f>VLOOKUP($A537,tropes!$A$4:$O$2428,2,FALSE)</f>
        <v>#N/A</v>
      </c>
      <c r="C537" s="5" t="e">
        <f>VLOOKUP($A537,tropes!$A$4:$O$2428,3,FALSE)</f>
        <v>#N/A</v>
      </c>
      <c r="D537" s="5" t="e">
        <f>VLOOKUP($A537,tropes!$A$4:$O$2428,4,FALSE)</f>
        <v>#N/A</v>
      </c>
      <c r="E537" s="5" t="e">
        <f>VLOOKUP($A537,tropes!$A$4:$O$2428,5,FALSE)</f>
        <v>#N/A</v>
      </c>
      <c r="F537" s="5" t="e">
        <f>VLOOKUP($A537,tropes!$A$4:$O$2428,6,FALSE)</f>
        <v>#N/A</v>
      </c>
      <c r="G537" s="5" t="e">
        <f>VLOOKUP($A537,tropes!$A$4:$O$2428,7,FALSE)</f>
        <v>#N/A</v>
      </c>
      <c r="H537" s="5" t="e">
        <f>VLOOKUP($A537,tropes!$A$4:$O$2428,8,FALSE)</f>
        <v>#N/A</v>
      </c>
      <c r="I537" s="5" t="e">
        <f>VLOOKUP($A537,tropes!$A$4:$O$2428,9,FALSE)</f>
        <v>#N/A</v>
      </c>
      <c r="J537" s="5" t="e">
        <f>VLOOKUP($A537,tropes!$A$4:$O$2428,10,FALSE)</f>
        <v>#N/A</v>
      </c>
      <c r="K537" s="5" t="e">
        <f>VLOOKUP($A537,tropes!$A$4:$O$2428,11,FALSE)</f>
        <v>#N/A</v>
      </c>
      <c r="L537" s="5" t="e">
        <f>VLOOKUP($A537,tropes!$A$4:$O$2428,12,FALSE)</f>
        <v>#N/A</v>
      </c>
      <c r="M537" s="5" t="e">
        <f>VLOOKUP($A537,tropes!$A$4:$O$2428,13,FALSE)</f>
        <v>#N/A</v>
      </c>
      <c r="N537" s="5"/>
    </row>
    <row r="538" spans="1:14" x14ac:dyDescent="0.3">
      <c r="A538" s="14"/>
      <c r="B538" s="5" t="e">
        <f>VLOOKUP($A538,tropes!$A$4:$O$2428,2,FALSE)</f>
        <v>#N/A</v>
      </c>
      <c r="C538" s="5" t="e">
        <f>VLOOKUP($A538,tropes!$A$4:$O$2428,3,FALSE)</f>
        <v>#N/A</v>
      </c>
      <c r="D538" s="5" t="e">
        <f>VLOOKUP($A538,tropes!$A$4:$O$2428,4,FALSE)</f>
        <v>#N/A</v>
      </c>
      <c r="E538" s="5" t="e">
        <f>VLOOKUP($A538,tropes!$A$4:$O$2428,5,FALSE)</f>
        <v>#N/A</v>
      </c>
      <c r="F538" s="5" t="e">
        <f>VLOOKUP($A538,tropes!$A$4:$O$2428,6,FALSE)</f>
        <v>#N/A</v>
      </c>
      <c r="G538" s="5" t="e">
        <f>VLOOKUP($A538,tropes!$A$4:$O$2428,7,FALSE)</f>
        <v>#N/A</v>
      </c>
      <c r="H538" s="5" t="e">
        <f>VLOOKUP($A538,tropes!$A$4:$O$2428,8,FALSE)</f>
        <v>#N/A</v>
      </c>
      <c r="I538" s="5" t="e">
        <f>VLOOKUP($A538,tropes!$A$4:$O$2428,9,FALSE)</f>
        <v>#N/A</v>
      </c>
      <c r="J538" s="5" t="e">
        <f>VLOOKUP($A538,tropes!$A$4:$O$2428,10,FALSE)</f>
        <v>#N/A</v>
      </c>
      <c r="K538" s="5" t="e">
        <f>VLOOKUP($A538,tropes!$A$4:$O$2428,11,FALSE)</f>
        <v>#N/A</v>
      </c>
      <c r="L538" s="5" t="e">
        <f>VLOOKUP($A538,tropes!$A$4:$O$2428,12,FALSE)</f>
        <v>#N/A</v>
      </c>
      <c r="M538" s="5" t="e">
        <f>VLOOKUP($A538,tropes!$A$4:$O$2428,13,FALSE)</f>
        <v>#N/A</v>
      </c>
      <c r="N538" s="5"/>
    </row>
    <row r="539" spans="1:14" x14ac:dyDescent="0.3">
      <c r="A539" s="14"/>
      <c r="B539" s="5" t="e">
        <f>VLOOKUP($A539,tropes!$A$4:$O$2428,2,FALSE)</f>
        <v>#N/A</v>
      </c>
      <c r="C539" s="5" t="e">
        <f>VLOOKUP($A539,tropes!$A$4:$O$2428,3,FALSE)</f>
        <v>#N/A</v>
      </c>
      <c r="D539" s="5" t="e">
        <f>VLOOKUP($A539,tropes!$A$4:$O$2428,4,FALSE)</f>
        <v>#N/A</v>
      </c>
      <c r="E539" s="5" t="e">
        <f>VLOOKUP($A539,tropes!$A$4:$O$2428,5,FALSE)</f>
        <v>#N/A</v>
      </c>
      <c r="F539" s="5" t="e">
        <f>VLOOKUP($A539,tropes!$A$4:$O$2428,6,FALSE)</f>
        <v>#N/A</v>
      </c>
      <c r="G539" s="5" t="e">
        <f>VLOOKUP($A539,tropes!$A$4:$O$2428,7,FALSE)</f>
        <v>#N/A</v>
      </c>
      <c r="H539" s="5" t="e">
        <f>VLOOKUP($A539,tropes!$A$4:$O$2428,8,FALSE)</f>
        <v>#N/A</v>
      </c>
      <c r="I539" s="5" t="e">
        <f>VLOOKUP($A539,tropes!$A$4:$O$2428,9,FALSE)</f>
        <v>#N/A</v>
      </c>
      <c r="J539" s="5" t="e">
        <f>VLOOKUP($A539,tropes!$A$4:$O$2428,10,FALSE)</f>
        <v>#N/A</v>
      </c>
      <c r="K539" s="5" t="e">
        <f>VLOOKUP($A539,tropes!$A$4:$O$2428,11,FALSE)</f>
        <v>#N/A</v>
      </c>
      <c r="L539" s="5" t="e">
        <f>VLOOKUP($A539,tropes!$A$4:$O$2428,12,FALSE)</f>
        <v>#N/A</v>
      </c>
      <c r="M539" s="5" t="e">
        <f>VLOOKUP($A539,tropes!$A$4:$O$2428,13,FALSE)</f>
        <v>#N/A</v>
      </c>
      <c r="N539" s="5"/>
    </row>
    <row r="540" spans="1:14" x14ac:dyDescent="0.3">
      <c r="A540" s="14"/>
      <c r="B540" s="5" t="e">
        <f>VLOOKUP($A540,tropes!$A$4:$O$2428,2,FALSE)</f>
        <v>#N/A</v>
      </c>
      <c r="C540" s="5" t="e">
        <f>VLOOKUP($A540,tropes!$A$4:$O$2428,3,FALSE)</f>
        <v>#N/A</v>
      </c>
      <c r="D540" s="5" t="e">
        <f>VLOOKUP($A540,tropes!$A$4:$O$2428,4,FALSE)</f>
        <v>#N/A</v>
      </c>
      <c r="E540" s="5" t="e">
        <f>VLOOKUP($A540,tropes!$A$4:$O$2428,5,FALSE)</f>
        <v>#N/A</v>
      </c>
      <c r="F540" s="5" t="e">
        <f>VLOOKUP($A540,tropes!$A$4:$O$2428,6,FALSE)</f>
        <v>#N/A</v>
      </c>
      <c r="G540" s="5" t="e">
        <f>VLOOKUP($A540,tropes!$A$4:$O$2428,7,FALSE)</f>
        <v>#N/A</v>
      </c>
      <c r="H540" s="5" t="e">
        <f>VLOOKUP($A540,tropes!$A$4:$O$2428,8,FALSE)</f>
        <v>#N/A</v>
      </c>
      <c r="I540" s="5" t="e">
        <f>VLOOKUP($A540,tropes!$A$4:$O$2428,9,FALSE)</f>
        <v>#N/A</v>
      </c>
      <c r="J540" s="5" t="e">
        <f>VLOOKUP($A540,tropes!$A$4:$O$2428,10,FALSE)</f>
        <v>#N/A</v>
      </c>
      <c r="K540" s="5" t="e">
        <f>VLOOKUP($A540,tropes!$A$4:$O$2428,11,FALSE)</f>
        <v>#N/A</v>
      </c>
      <c r="L540" s="5" t="e">
        <f>VLOOKUP($A540,tropes!$A$4:$O$2428,12,FALSE)</f>
        <v>#N/A</v>
      </c>
      <c r="M540" s="5" t="e">
        <f>VLOOKUP($A540,tropes!$A$4:$O$2428,13,FALSE)</f>
        <v>#N/A</v>
      </c>
      <c r="N540" s="5"/>
    </row>
    <row r="541" spans="1:14" x14ac:dyDescent="0.3">
      <c r="A541" s="14"/>
      <c r="B541" s="5" t="e">
        <f>VLOOKUP($A541,tropes!$A$4:$O$2428,2,FALSE)</f>
        <v>#N/A</v>
      </c>
      <c r="C541" s="5" t="e">
        <f>VLOOKUP($A541,tropes!$A$4:$O$2428,3,FALSE)</f>
        <v>#N/A</v>
      </c>
      <c r="D541" s="5" t="e">
        <f>VLOOKUP($A541,tropes!$A$4:$O$2428,4,FALSE)</f>
        <v>#N/A</v>
      </c>
      <c r="E541" s="5" t="e">
        <f>VLOOKUP($A541,tropes!$A$4:$O$2428,5,FALSE)</f>
        <v>#N/A</v>
      </c>
      <c r="F541" s="5" t="e">
        <f>VLOOKUP($A541,tropes!$A$4:$O$2428,6,FALSE)</f>
        <v>#N/A</v>
      </c>
      <c r="G541" s="5" t="e">
        <f>VLOOKUP($A541,tropes!$A$4:$O$2428,7,FALSE)</f>
        <v>#N/A</v>
      </c>
      <c r="H541" s="5" t="e">
        <f>VLOOKUP($A541,tropes!$A$4:$O$2428,8,FALSE)</f>
        <v>#N/A</v>
      </c>
      <c r="I541" s="5" t="e">
        <f>VLOOKUP($A541,tropes!$A$4:$O$2428,9,FALSE)</f>
        <v>#N/A</v>
      </c>
      <c r="J541" s="5" t="e">
        <f>VLOOKUP($A541,tropes!$A$4:$O$2428,10,FALSE)</f>
        <v>#N/A</v>
      </c>
      <c r="K541" s="5" t="e">
        <f>VLOOKUP($A541,tropes!$A$4:$O$2428,11,FALSE)</f>
        <v>#N/A</v>
      </c>
      <c r="L541" s="5" t="e">
        <f>VLOOKUP($A541,tropes!$A$4:$O$2428,12,FALSE)</f>
        <v>#N/A</v>
      </c>
      <c r="M541" s="5" t="e">
        <f>VLOOKUP($A541,tropes!$A$4:$O$2428,13,FALSE)</f>
        <v>#N/A</v>
      </c>
      <c r="N541" s="5"/>
    </row>
    <row r="542" spans="1:14" x14ac:dyDescent="0.3">
      <c r="A542" s="14"/>
      <c r="B542" s="5" t="e">
        <f>VLOOKUP($A542,tropes!$A$4:$O$2428,2,FALSE)</f>
        <v>#N/A</v>
      </c>
      <c r="C542" s="5" t="e">
        <f>VLOOKUP($A542,tropes!$A$4:$O$2428,3,FALSE)</f>
        <v>#N/A</v>
      </c>
      <c r="D542" s="5" t="e">
        <f>VLOOKUP($A542,tropes!$A$4:$O$2428,4,FALSE)</f>
        <v>#N/A</v>
      </c>
      <c r="E542" s="5" t="e">
        <f>VLOOKUP($A542,tropes!$A$4:$O$2428,5,FALSE)</f>
        <v>#N/A</v>
      </c>
      <c r="F542" s="5" t="e">
        <f>VLOOKUP($A542,tropes!$A$4:$O$2428,6,FALSE)</f>
        <v>#N/A</v>
      </c>
      <c r="G542" s="5" t="e">
        <f>VLOOKUP($A542,tropes!$A$4:$O$2428,7,FALSE)</f>
        <v>#N/A</v>
      </c>
      <c r="H542" s="5" t="e">
        <f>VLOOKUP($A542,tropes!$A$4:$O$2428,8,FALSE)</f>
        <v>#N/A</v>
      </c>
      <c r="I542" s="5" t="e">
        <f>VLOOKUP($A542,tropes!$A$4:$O$2428,9,FALSE)</f>
        <v>#N/A</v>
      </c>
      <c r="J542" s="5" t="e">
        <f>VLOOKUP($A542,tropes!$A$4:$O$2428,10,FALSE)</f>
        <v>#N/A</v>
      </c>
      <c r="K542" s="5" t="e">
        <f>VLOOKUP($A542,tropes!$A$4:$O$2428,11,FALSE)</f>
        <v>#N/A</v>
      </c>
      <c r="L542" s="5" t="e">
        <f>VLOOKUP($A542,tropes!$A$4:$O$2428,12,FALSE)</f>
        <v>#N/A</v>
      </c>
      <c r="M542" s="5" t="e">
        <f>VLOOKUP($A542,tropes!$A$4:$O$2428,13,FALSE)</f>
        <v>#N/A</v>
      </c>
      <c r="N542" s="5"/>
    </row>
    <row r="543" spans="1:14" x14ac:dyDescent="0.3">
      <c r="A543" s="14"/>
      <c r="B543" s="5" t="e">
        <f>VLOOKUP($A543,tropes!$A$4:$O$2428,2,FALSE)</f>
        <v>#N/A</v>
      </c>
      <c r="C543" s="5" t="e">
        <f>VLOOKUP($A543,tropes!$A$4:$O$2428,3,FALSE)</f>
        <v>#N/A</v>
      </c>
      <c r="D543" s="5" t="e">
        <f>VLOOKUP($A543,tropes!$A$4:$O$2428,4,FALSE)</f>
        <v>#N/A</v>
      </c>
      <c r="E543" s="5" t="e">
        <f>VLOOKUP($A543,tropes!$A$4:$O$2428,5,FALSE)</f>
        <v>#N/A</v>
      </c>
      <c r="F543" s="5" t="e">
        <f>VLOOKUP($A543,tropes!$A$4:$O$2428,6,FALSE)</f>
        <v>#N/A</v>
      </c>
      <c r="G543" s="5" t="e">
        <f>VLOOKUP($A543,tropes!$A$4:$O$2428,7,FALSE)</f>
        <v>#N/A</v>
      </c>
      <c r="H543" s="5" t="e">
        <f>VLOOKUP($A543,tropes!$A$4:$O$2428,8,FALSE)</f>
        <v>#N/A</v>
      </c>
      <c r="I543" s="5" t="e">
        <f>VLOOKUP($A543,tropes!$A$4:$O$2428,9,FALSE)</f>
        <v>#N/A</v>
      </c>
      <c r="J543" s="5" t="e">
        <f>VLOOKUP($A543,tropes!$A$4:$O$2428,10,FALSE)</f>
        <v>#N/A</v>
      </c>
      <c r="K543" s="5" t="e">
        <f>VLOOKUP($A543,tropes!$A$4:$O$2428,11,FALSE)</f>
        <v>#N/A</v>
      </c>
      <c r="L543" s="5" t="e">
        <f>VLOOKUP($A543,tropes!$A$4:$O$2428,12,FALSE)</f>
        <v>#N/A</v>
      </c>
      <c r="M543" s="5" t="e">
        <f>VLOOKUP($A543,tropes!$A$4:$O$2428,13,FALSE)</f>
        <v>#N/A</v>
      </c>
      <c r="N543" s="5"/>
    </row>
    <row r="544" spans="1:14" x14ac:dyDescent="0.3">
      <c r="A544" s="14"/>
      <c r="B544" s="5" t="e">
        <f>VLOOKUP($A544,tropes!$A$4:$O$2428,2,FALSE)</f>
        <v>#N/A</v>
      </c>
      <c r="C544" s="5" t="e">
        <f>VLOOKUP($A544,tropes!$A$4:$O$2428,3,FALSE)</f>
        <v>#N/A</v>
      </c>
      <c r="D544" s="5" t="e">
        <f>VLOOKUP($A544,tropes!$A$4:$O$2428,4,FALSE)</f>
        <v>#N/A</v>
      </c>
      <c r="E544" s="5" t="e">
        <f>VLOOKUP($A544,tropes!$A$4:$O$2428,5,FALSE)</f>
        <v>#N/A</v>
      </c>
      <c r="F544" s="5" t="e">
        <f>VLOOKUP($A544,tropes!$A$4:$O$2428,6,FALSE)</f>
        <v>#N/A</v>
      </c>
      <c r="G544" s="5" t="e">
        <f>VLOOKUP($A544,tropes!$A$4:$O$2428,7,FALSE)</f>
        <v>#N/A</v>
      </c>
      <c r="H544" s="5" t="e">
        <f>VLOOKUP($A544,tropes!$A$4:$O$2428,8,FALSE)</f>
        <v>#N/A</v>
      </c>
      <c r="I544" s="5" t="e">
        <f>VLOOKUP($A544,tropes!$A$4:$O$2428,9,FALSE)</f>
        <v>#N/A</v>
      </c>
      <c r="J544" s="5" t="e">
        <f>VLOOKUP($A544,tropes!$A$4:$O$2428,10,FALSE)</f>
        <v>#N/A</v>
      </c>
      <c r="K544" s="5" t="e">
        <f>VLOOKUP($A544,tropes!$A$4:$O$2428,11,FALSE)</f>
        <v>#N/A</v>
      </c>
      <c r="L544" s="5" t="e">
        <f>VLOOKUP($A544,tropes!$A$4:$O$2428,12,FALSE)</f>
        <v>#N/A</v>
      </c>
      <c r="M544" s="5" t="e">
        <f>VLOOKUP($A544,tropes!$A$4:$O$2428,13,FALSE)</f>
        <v>#N/A</v>
      </c>
      <c r="N544" s="5"/>
    </row>
    <row r="545" spans="1:14" x14ac:dyDescent="0.3">
      <c r="A545" s="14"/>
      <c r="B545" s="5" t="e">
        <f>VLOOKUP($A545,tropes!$A$4:$O$2428,2,FALSE)</f>
        <v>#N/A</v>
      </c>
      <c r="C545" s="5" t="e">
        <f>VLOOKUP($A545,tropes!$A$4:$O$2428,3,FALSE)</f>
        <v>#N/A</v>
      </c>
      <c r="D545" s="5" t="e">
        <f>VLOOKUP($A545,tropes!$A$4:$O$2428,4,FALSE)</f>
        <v>#N/A</v>
      </c>
      <c r="E545" s="5" t="e">
        <f>VLOOKUP($A545,tropes!$A$4:$O$2428,5,FALSE)</f>
        <v>#N/A</v>
      </c>
      <c r="F545" s="5" t="e">
        <f>VLOOKUP($A545,tropes!$A$4:$O$2428,6,FALSE)</f>
        <v>#N/A</v>
      </c>
      <c r="G545" s="5" t="e">
        <f>VLOOKUP($A545,tropes!$A$4:$O$2428,7,FALSE)</f>
        <v>#N/A</v>
      </c>
      <c r="H545" s="5" t="e">
        <f>VLOOKUP($A545,tropes!$A$4:$O$2428,8,FALSE)</f>
        <v>#N/A</v>
      </c>
      <c r="I545" s="5" t="e">
        <f>VLOOKUP($A545,tropes!$A$4:$O$2428,9,FALSE)</f>
        <v>#N/A</v>
      </c>
      <c r="J545" s="5" t="e">
        <f>VLOOKUP($A545,tropes!$A$4:$O$2428,10,FALSE)</f>
        <v>#N/A</v>
      </c>
      <c r="K545" s="5" t="e">
        <f>VLOOKUP($A545,tropes!$A$4:$O$2428,11,FALSE)</f>
        <v>#N/A</v>
      </c>
      <c r="L545" s="5" t="e">
        <f>VLOOKUP($A545,tropes!$A$4:$O$2428,12,FALSE)</f>
        <v>#N/A</v>
      </c>
      <c r="M545" s="5" t="e">
        <f>VLOOKUP($A545,tropes!$A$4:$O$2428,13,FALSE)</f>
        <v>#N/A</v>
      </c>
      <c r="N545" s="5"/>
    </row>
    <row r="546" spans="1:14" x14ac:dyDescent="0.3">
      <c r="A546" s="14"/>
      <c r="B546" s="5" t="e">
        <f>VLOOKUP($A546,tropes!$A$4:$O$2428,2,FALSE)</f>
        <v>#N/A</v>
      </c>
      <c r="C546" s="5" t="e">
        <f>VLOOKUP($A546,tropes!$A$4:$O$2428,3,FALSE)</f>
        <v>#N/A</v>
      </c>
      <c r="D546" s="5" t="e">
        <f>VLOOKUP($A546,tropes!$A$4:$O$2428,4,FALSE)</f>
        <v>#N/A</v>
      </c>
      <c r="E546" s="5" t="e">
        <f>VLOOKUP($A546,tropes!$A$4:$O$2428,5,FALSE)</f>
        <v>#N/A</v>
      </c>
      <c r="F546" s="5" t="e">
        <f>VLOOKUP($A546,tropes!$A$4:$O$2428,6,FALSE)</f>
        <v>#N/A</v>
      </c>
      <c r="G546" s="5" t="e">
        <f>VLOOKUP($A546,tropes!$A$4:$O$2428,7,FALSE)</f>
        <v>#N/A</v>
      </c>
      <c r="H546" s="5" t="e">
        <f>VLOOKUP($A546,tropes!$A$4:$O$2428,8,FALSE)</f>
        <v>#N/A</v>
      </c>
      <c r="I546" s="5" t="e">
        <f>VLOOKUP($A546,tropes!$A$4:$O$2428,9,FALSE)</f>
        <v>#N/A</v>
      </c>
      <c r="J546" s="5" t="e">
        <f>VLOOKUP($A546,tropes!$A$4:$O$2428,10,FALSE)</f>
        <v>#N/A</v>
      </c>
      <c r="K546" s="5" t="e">
        <f>VLOOKUP($A546,tropes!$A$4:$O$2428,11,FALSE)</f>
        <v>#N/A</v>
      </c>
      <c r="L546" s="5" t="e">
        <f>VLOOKUP($A546,tropes!$A$4:$O$2428,12,FALSE)</f>
        <v>#N/A</v>
      </c>
      <c r="M546" s="5" t="e">
        <f>VLOOKUP($A546,tropes!$A$4:$O$2428,13,FALSE)</f>
        <v>#N/A</v>
      </c>
      <c r="N546" s="5"/>
    </row>
    <row r="547" spans="1:14" x14ac:dyDescent="0.3">
      <c r="A547" s="14"/>
      <c r="B547" s="5" t="e">
        <f>VLOOKUP($A547,tropes!$A$4:$O$2428,2,FALSE)</f>
        <v>#N/A</v>
      </c>
      <c r="C547" s="5" t="e">
        <f>VLOOKUP($A547,tropes!$A$4:$O$2428,3,FALSE)</f>
        <v>#N/A</v>
      </c>
      <c r="D547" s="5" t="e">
        <f>VLOOKUP($A547,tropes!$A$4:$O$2428,4,FALSE)</f>
        <v>#N/A</v>
      </c>
      <c r="E547" s="5" t="e">
        <f>VLOOKUP($A547,tropes!$A$4:$O$2428,5,FALSE)</f>
        <v>#N/A</v>
      </c>
      <c r="F547" s="5" t="e">
        <f>VLOOKUP($A547,tropes!$A$4:$O$2428,6,FALSE)</f>
        <v>#N/A</v>
      </c>
      <c r="G547" s="5" t="e">
        <f>VLOOKUP($A547,tropes!$A$4:$O$2428,7,FALSE)</f>
        <v>#N/A</v>
      </c>
      <c r="H547" s="5" t="e">
        <f>VLOOKUP($A547,tropes!$A$4:$O$2428,8,FALSE)</f>
        <v>#N/A</v>
      </c>
      <c r="I547" s="5" t="e">
        <f>VLOOKUP($A547,tropes!$A$4:$O$2428,9,FALSE)</f>
        <v>#N/A</v>
      </c>
      <c r="J547" s="5" t="e">
        <f>VLOOKUP($A547,tropes!$A$4:$O$2428,10,FALSE)</f>
        <v>#N/A</v>
      </c>
      <c r="K547" s="5" t="e">
        <f>VLOOKUP($A547,tropes!$A$4:$O$2428,11,FALSE)</f>
        <v>#N/A</v>
      </c>
      <c r="L547" s="5" t="e">
        <f>VLOOKUP($A547,tropes!$A$4:$O$2428,12,FALSE)</f>
        <v>#N/A</v>
      </c>
      <c r="M547" s="5" t="e">
        <f>VLOOKUP($A547,tropes!$A$4:$O$2428,13,FALSE)</f>
        <v>#N/A</v>
      </c>
      <c r="N547" s="5"/>
    </row>
    <row r="548" spans="1:14" x14ac:dyDescent="0.3">
      <c r="A548" s="14"/>
      <c r="B548" s="5" t="e">
        <f>VLOOKUP($A548,tropes!$A$4:$O$2428,2,FALSE)</f>
        <v>#N/A</v>
      </c>
      <c r="C548" s="5" t="e">
        <f>VLOOKUP($A548,tropes!$A$4:$O$2428,3,FALSE)</f>
        <v>#N/A</v>
      </c>
      <c r="D548" s="5" t="e">
        <f>VLOOKUP($A548,tropes!$A$4:$O$2428,4,FALSE)</f>
        <v>#N/A</v>
      </c>
      <c r="E548" s="5" t="e">
        <f>VLOOKUP($A548,tropes!$A$4:$O$2428,5,FALSE)</f>
        <v>#N/A</v>
      </c>
      <c r="F548" s="5" t="e">
        <f>VLOOKUP($A548,tropes!$A$4:$O$2428,6,FALSE)</f>
        <v>#N/A</v>
      </c>
      <c r="G548" s="5" t="e">
        <f>VLOOKUP($A548,tropes!$A$4:$O$2428,7,FALSE)</f>
        <v>#N/A</v>
      </c>
      <c r="H548" s="5" t="e">
        <f>VLOOKUP($A548,tropes!$A$4:$O$2428,8,FALSE)</f>
        <v>#N/A</v>
      </c>
      <c r="I548" s="5" t="e">
        <f>VLOOKUP($A548,tropes!$A$4:$O$2428,9,FALSE)</f>
        <v>#N/A</v>
      </c>
      <c r="J548" s="5" t="e">
        <f>VLOOKUP($A548,tropes!$A$4:$O$2428,10,FALSE)</f>
        <v>#N/A</v>
      </c>
      <c r="K548" s="5" t="e">
        <f>VLOOKUP($A548,tropes!$A$4:$O$2428,11,FALSE)</f>
        <v>#N/A</v>
      </c>
      <c r="L548" s="5" t="e">
        <f>VLOOKUP($A548,tropes!$A$4:$O$2428,12,FALSE)</f>
        <v>#N/A</v>
      </c>
      <c r="M548" s="5" t="e">
        <f>VLOOKUP($A548,tropes!$A$4:$O$2428,13,FALSE)</f>
        <v>#N/A</v>
      </c>
      <c r="N548" s="5"/>
    </row>
    <row r="549" spans="1:14" x14ac:dyDescent="0.3">
      <c r="A549" s="14"/>
      <c r="B549" s="5" t="e">
        <f>VLOOKUP($A549,tropes!$A$4:$O$2428,2,FALSE)</f>
        <v>#N/A</v>
      </c>
      <c r="C549" s="5" t="e">
        <f>VLOOKUP($A549,tropes!$A$4:$O$2428,3,FALSE)</f>
        <v>#N/A</v>
      </c>
      <c r="D549" s="5" t="e">
        <f>VLOOKUP($A549,tropes!$A$4:$O$2428,4,FALSE)</f>
        <v>#N/A</v>
      </c>
      <c r="E549" s="5" t="e">
        <f>VLOOKUP($A549,tropes!$A$4:$O$2428,5,FALSE)</f>
        <v>#N/A</v>
      </c>
      <c r="F549" s="5" t="e">
        <f>VLOOKUP($A549,tropes!$A$4:$O$2428,6,FALSE)</f>
        <v>#N/A</v>
      </c>
      <c r="G549" s="5" t="e">
        <f>VLOOKUP($A549,tropes!$A$4:$O$2428,7,FALSE)</f>
        <v>#N/A</v>
      </c>
      <c r="H549" s="5" t="e">
        <f>VLOOKUP($A549,tropes!$A$4:$O$2428,8,FALSE)</f>
        <v>#N/A</v>
      </c>
      <c r="I549" s="5" t="e">
        <f>VLOOKUP($A549,tropes!$A$4:$O$2428,9,FALSE)</f>
        <v>#N/A</v>
      </c>
      <c r="J549" s="5" t="e">
        <f>VLOOKUP($A549,tropes!$A$4:$O$2428,10,FALSE)</f>
        <v>#N/A</v>
      </c>
      <c r="K549" s="5" t="e">
        <f>VLOOKUP($A549,tropes!$A$4:$O$2428,11,FALSE)</f>
        <v>#N/A</v>
      </c>
      <c r="L549" s="5" t="e">
        <f>VLOOKUP($A549,tropes!$A$4:$O$2428,12,FALSE)</f>
        <v>#N/A</v>
      </c>
      <c r="M549" s="5" t="e">
        <f>VLOOKUP($A549,tropes!$A$4:$O$2428,13,FALSE)</f>
        <v>#N/A</v>
      </c>
      <c r="N549" s="5"/>
    </row>
    <row r="550" spans="1:14" x14ac:dyDescent="0.3">
      <c r="A550" s="14"/>
      <c r="B550" s="5" t="e">
        <f>VLOOKUP($A550,tropes!$A$4:$O$2428,2,FALSE)</f>
        <v>#N/A</v>
      </c>
      <c r="C550" s="5" t="e">
        <f>VLOOKUP($A550,tropes!$A$4:$O$2428,3,FALSE)</f>
        <v>#N/A</v>
      </c>
      <c r="D550" s="5" t="e">
        <f>VLOOKUP($A550,tropes!$A$4:$O$2428,4,FALSE)</f>
        <v>#N/A</v>
      </c>
      <c r="E550" s="5" t="e">
        <f>VLOOKUP($A550,tropes!$A$4:$O$2428,5,FALSE)</f>
        <v>#N/A</v>
      </c>
      <c r="F550" s="5" t="e">
        <f>VLOOKUP($A550,tropes!$A$4:$O$2428,6,FALSE)</f>
        <v>#N/A</v>
      </c>
      <c r="G550" s="5" t="e">
        <f>VLOOKUP($A550,tropes!$A$4:$O$2428,7,FALSE)</f>
        <v>#N/A</v>
      </c>
      <c r="H550" s="5" t="e">
        <f>VLOOKUP($A550,tropes!$A$4:$O$2428,8,FALSE)</f>
        <v>#N/A</v>
      </c>
      <c r="I550" s="5" t="e">
        <f>VLOOKUP($A550,tropes!$A$4:$O$2428,9,FALSE)</f>
        <v>#N/A</v>
      </c>
      <c r="J550" s="5" t="e">
        <f>VLOOKUP($A550,tropes!$A$4:$O$2428,10,FALSE)</f>
        <v>#N/A</v>
      </c>
      <c r="K550" s="5" t="e">
        <f>VLOOKUP($A550,tropes!$A$4:$O$2428,11,FALSE)</f>
        <v>#N/A</v>
      </c>
      <c r="L550" s="5" t="e">
        <f>VLOOKUP($A550,tropes!$A$4:$O$2428,12,FALSE)</f>
        <v>#N/A</v>
      </c>
      <c r="M550" s="5" t="e">
        <f>VLOOKUP($A550,tropes!$A$4:$O$2428,13,FALSE)</f>
        <v>#N/A</v>
      </c>
      <c r="N550" s="5"/>
    </row>
    <row r="551" spans="1:14" x14ac:dyDescent="0.3">
      <c r="A551" s="14"/>
      <c r="B551" s="5" t="e">
        <f>VLOOKUP($A551,tropes!$A$4:$O$2428,2,FALSE)</f>
        <v>#N/A</v>
      </c>
      <c r="C551" s="5" t="e">
        <f>VLOOKUP($A551,tropes!$A$4:$O$2428,3,FALSE)</f>
        <v>#N/A</v>
      </c>
      <c r="D551" s="5" t="e">
        <f>VLOOKUP($A551,tropes!$A$4:$O$2428,4,FALSE)</f>
        <v>#N/A</v>
      </c>
      <c r="E551" s="5" t="e">
        <f>VLOOKUP($A551,tropes!$A$4:$O$2428,5,FALSE)</f>
        <v>#N/A</v>
      </c>
      <c r="F551" s="5" t="e">
        <f>VLOOKUP($A551,tropes!$A$4:$O$2428,6,FALSE)</f>
        <v>#N/A</v>
      </c>
      <c r="G551" s="5" t="e">
        <f>VLOOKUP($A551,tropes!$A$4:$O$2428,7,FALSE)</f>
        <v>#N/A</v>
      </c>
      <c r="H551" s="5" t="e">
        <f>VLOOKUP($A551,tropes!$A$4:$O$2428,8,FALSE)</f>
        <v>#N/A</v>
      </c>
      <c r="I551" s="5" t="e">
        <f>VLOOKUP($A551,tropes!$A$4:$O$2428,9,FALSE)</f>
        <v>#N/A</v>
      </c>
      <c r="J551" s="5" t="e">
        <f>VLOOKUP($A551,tropes!$A$4:$O$2428,10,FALSE)</f>
        <v>#N/A</v>
      </c>
      <c r="K551" s="5" t="e">
        <f>VLOOKUP($A551,tropes!$A$4:$O$2428,11,FALSE)</f>
        <v>#N/A</v>
      </c>
      <c r="L551" s="5" t="e">
        <f>VLOOKUP($A551,tropes!$A$4:$O$2428,12,FALSE)</f>
        <v>#N/A</v>
      </c>
      <c r="M551" s="5" t="e">
        <f>VLOOKUP($A551,tropes!$A$4:$O$2428,13,FALSE)</f>
        <v>#N/A</v>
      </c>
      <c r="N551" s="5"/>
    </row>
    <row r="552" spans="1:14" x14ac:dyDescent="0.3">
      <c r="A552" s="14"/>
      <c r="B552" s="5" t="e">
        <f>VLOOKUP($A552,tropes!$A$4:$O$2428,2,FALSE)</f>
        <v>#N/A</v>
      </c>
      <c r="C552" s="5" t="e">
        <f>VLOOKUP($A552,tropes!$A$4:$O$2428,3,FALSE)</f>
        <v>#N/A</v>
      </c>
      <c r="D552" s="5" t="e">
        <f>VLOOKUP($A552,tropes!$A$4:$O$2428,4,FALSE)</f>
        <v>#N/A</v>
      </c>
      <c r="E552" s="5" t="e">
        <f>VLOOKUP($A552,tropes!$A$4:$O$2428,5,FALSE)</f>
        <v>#N/A</v>
      </c>
      <c r="F552" s="5" t="e">
        <f>VLOOKUP($A552,tropes!$A$4:$O$2428,6,FALSE)</f>
        <v>#N/A</v>
      </c>
      <c r="G552" s="5" t="e">
        <f>VLOOKUP($A552,tropes!$A$4:$O$2428,7,FALSE)</f>
        <v>#N/A</v>
      </c>
      <c r="H552" s="5" t="e">
        <f>VLOOKUP($A552,tropes!$A$4:$O$2428,8,FALSE)</f>
        <v>#N/A</v>
      </c>
      <c r="I552" s="5" t="e">
        <f>VLOOKUP($A552,tropes!$A$4:$O$2428,9,FALSE)</f>
        <v>#N/A</v>
      </c>
      <c r="J552" s="5" t="e">
        <f>VLOOKUP($A552,tropes!$A$4:$O$2428,10,FALSE)</f>
        <v>#N/A</v>
      </c>
      <c r="K552" s="5" t="e">
        <f>VLOOKUP($A552,tropes!$A$4:$O$2428,11,FALSE)</f>
        <v>#N/A</v>
      </c>
      <c r="L552" s="5" t="e">
        <f>VLOOKUP($A552,tropes!$A$4:$O$2428,12,FALSE)</f>
        <v>#N/A</v>
      </c>
      <c r="M552" s="5" t="e">
        <f>VLOOKUP($A552,tropes!$A$4:$O$2428,13,FALSE)</f>
        <v>#N/A</v>
      </c>
      <c r="N552" s="5"/>
    </row>
    <row r="553" spans="1:14" x14ac:dyDescent="0.3">
      <c r="A553" s="14"/>
      <c r="B553" s="5" t="e">
        <f>VLOOKUP($A553,tropes!$A$4:$O$2428,2,FALSE)</f>
        <v>#N/A</v>
      </c>
      <c r="C553" s="5" t="e">
        <f>VLOOKUP($A553,tropes!$A$4:$O$2428,3,FALSE)</f>
        <v>#N/A</v>
      </c>
      <c r="D553" s="5" t="e">
        <f>VLOOKUP($A553,tropes!$A$4:$O$2428,4,FALSE)</f>
        <v>#N/A</v>
      </c>
      <c r="E553" s="5" t="e">
        <f>VLOOKUP($A553,tropes!$A$4:$O$2428,5,FALSE)</f>
        <v>#N/A</v>
      </c>
      <c r="F553" s="5" t="e">
        <f>VLOOKUP($A553,tropes!$A$4:$O$2428,6,FALSE)</f>
        <v>#N/A</v>
      </c>
      <c r="G553" s="5" t="e">
        <f>VLOOKUP($A553,tropes!$A$4:$O$2428,7,FALSE)</f>
        <v>#N/A</v>
      </c>
      <c r="H553" s="5" t="e">
        <f>VLOOKUP($A553,tropes!$A$4:$O$2428,8,FALSE)</f>
        <v>#N/A</v>
      </c>
      <c r="I553" s="5" t="e">
        <f>VLOOKUP($A553,tropes!$A$4:$O$2428,9,FALSE)</f>
        <v>#N/A</v>
      </c>
      <c r="J553" s="5" t="e">
        <f>VLOOKUP($A553,tropes!$A$4:$O$2428,10,FALSE)</f>
        <v>#N/A</v>
      </c>
      <c r="K553" s="5" t="e">
        <f>VLOOKUP($A553,tropes!$A$4:$O$2428,11,FALSE)</f>
        <v>#N/A</v>
      </c>
      <c r="L553" s="5" t="e">
        <f>VLOOKUP($A553,tropes!$A$4:$O$2428,12,FALSE)</f>
        <v>#N/A</v>
      </c>
      <c r="M553" s="5" t="e">
        <f>VLOOKUP($A553,tropes!$A$4:$O$2428,13,FALSE)</f>
        <v>#N/A</v>
      </c>
      <c r="N553" s="5"/>
    </row>
    <row r="554" spans="1:14" x14ac:dyDescent="0.3">
      <c r="A554" s="14"/>
      <c r="B554" s="5" t="e">
        <f>VLOOKUP($A554,tropes!$A$4:$O$2428,2,FALSE)</f>
        <v>#N/A</v>
      </c>
      <c r="C554" s="5" t="e">
        <f>VLOOKUP($A554,tropes!$A$4:$O$2428,3,FALSE)</f>
        <v>#N/A</v>
      </c>
      <c r="D554" s="5" t="e">
        <f>VLOOKUP($A554,tropes!$A$4:$O$2428,4,FALSE)</f>
        <v>#N/A</v>
      </c>
      <c r="E554" s="5" t="e">
        <f>VLOOKUP($A554,tropes!$A$4:$O$2428,5,FALSE)</f>
        <v>#N/A</v>
      </c>
      <c r="F554" s="5" t="e">
        <f>VLOOKUP($A554,tropes!$A$4:$O$2428,6,FALSE)</f>
        <v>#N/A</v>
      </c>
      <c r="G554" s="5" t="e">
        <f>VLOOKUP($A554,tropes!$A$4:$O$2428,7,FALSE)</f>
        <v>#N/A</v>
      </c>
      <c r="H554" s="5" t="e">
        <f>VLOOKUP($A554,tropes!$A$4:$O$2428,8,FALSE)</f>
        <v>#N/A</v>
      </c>
      <c r="I554" s="5" t="e">
        <f>VLOOKUP($A554,tropes!$A$4:$O$2428,9,FALSE)</f>
        <v>#N/A</v>
      </c>
      <c r="J554" s="5" t="e">
        <f>VLOOKUP($A554,tropes!$A$4:$O$2428,10,FALSE)</f>
        <v>#N/A</v>
      </c>
      <c r="K554" s="5" t="e">
        <f>VLOOKUP($A554,tropes!$A$4:$O$2428,11,FALSE)</f>
        <v>#N/A</v>
      </c>
      <c r="L554" s="5" t="e">
        <f>VLOOKUP($A554,tropes!$A$4:$O$2428,12,FALSE)</f>
        <v>#N/A</v>
      </c>
      <c r="M554" s="5" t="e">
        <f>VLOOKUP($A554,tropes!$A$4:$O$2428,13,FALSE)</f>
        <v>#N/A</v>
      </c>
      <c r="N554" s="5"/>
    </row>
    <row r="555" spans="1:14" x14ac:dyDescent="0.3">
      <c r="A555" s="14"/>
      <c r="B555" s="5" t="e">
        <f>VLOOKUP($A555,tropes!$A$4:$O$2428,2,FALSE)</f>
        <v>#N/A</v>
      </c>
      <c r="C555" s="5" t="e">
        <f>VLOOKUP($A555,tropes!$A$4:$O$2428,3,FALSE)</f>
        <v>#N/A</v>
      </c>
      <c r="D555" s="5" t="e">
        <f>VLOOKUP($A555,tropes!$A$4:$O$2428,4,FALSE)</f>
        <v>#N/A</v>
      </c>
      <c r="E555" s="5" t="e">
        <f>VLOOKUP($A555,tropes!$A$4:$O$2428,5,FALSE)</f>
        <v>#N/A</v>
      </c>
      <c r="F555" s="5" t="e">
        <f>VLOOKUP($A555,tropes!$A$4:$O$2428,6,FALSE)</f>
        <v>#N/A</v>
      </c>
      <c r="G555" s="5" t="e">
        <f>VLOOKUP($A555,tropes!$A$4:$O$2428,7,FALSE)</f>
        <v>#N/A</v>
      </c>
      <c r="H555" s="5" t="e">
        <f>VLOOKUP($A555,tropes!$A$4:$O$2428,8,FALSE)</f>
        <v>#N/A</v>
      </c>
      <c r="I555" s="5" t="e">
        <f>VLOOKUP($A555,tropes!$A$4:$O$2428,9,FALSE)</f>
        <v>#N/A</v>
      </c>
      <c r="J555" s="5" t="e">
        <f>VLOOKUP($A555,tropes!$A$4:$O$2428,10,FALSE)</f>
        <v>#N/A</v>
      </c>
      <c r="K555" s="5" t="e">
        <f>VLOOKUP($A555,tropes!$A$4:$O$2428,11,FALSE)</f>
        <v>#N/A</v>
      </c>
      <c r="L555" s="5" t="e">
        <f>VLOOKUP($A555,tropes!$A$4:$O$2428,12,FALSE)</f>
        <v>#N/A</v>
      </c>
      <c r="M555" s="5" t="e">
        <f>VLOOKUP($A555,tropes!$A$4:$O$2428,13,FALSE)</f>
        <v>#N/A</v>
      </c>
      <c r="N555" s="5"/>
    </row>
    <row r="556" spans="1:14" x14ac:dyDescent="0.3">
      <c r="A556" s="14"/>
      <c r="B556" s="5" t="e">
        <f>VLOOKUP($A556,tropes!$A$4:$O$2428,2,FALSE)</f>
        <v>#N/A</v>
      </c>
      <c r="C556" s="5" t="e">
        <f>VLOOKUP($A556,tropes!$A$4:$O$2428,3,FALSE)</f>
        <v>#N/A</v>
      </c>
      <c r="D556" s="5" t="e">
        <f>VLOOKUP($A556,tropes!$A$4:$O$2428,4,FALSE)</f>
        <v>#N/A</v>
      </c>
      <c r="E556" s="5" t="e">
        <f>VLOOKUP($A556,tropes!$A$4:$O$2428,5,FALSE)</f>
        <v>#N/A</v>
      </c>
      <c r="F556" s="5" t="e">
        <f>VLOOKUP($A556,tropes!$A$4:$O$2428,6,FALSE)</f>
        <v>#N/A</v>
      </c>
      <c r="G556" s="5" t="e">
        <f>VLOOKUP($A556,tropes!$A$4:$O$2428,7,FALSE)</f>
        <v>#N/A</v>
      </c>
      <c r="H556" s="5" t="e">
        <f>VLOOKUP($A556,tropes!$A$4:$O$2428,8,FALSE)</f>
        <v>#N/A</v>
      </c>
      <c r="I556" s="5" t="e">
        <f>VLOOKUP($A556,tropes!$A$4:$O$2428,9,FALSE)</f>
        <v>#N/A</v>
      </c>
      <c r="J556" s="5" t="e">
        <f>VLOOKUP($A556,tropes!$A$4:$O$2428,10,FALSE)</f>
        <v>#N/A</v>
      </c>
      <c r="K556" s="5" t="e">
        <f>VLOOKUP($A556,tropes!$A$4:$O$2428,11,FALSE)</f>
        <v>#N/A</v>
      </c>
      <c r="L556" s="5" t="e">
        <f>VLOOKUP($A556,tropes!$A$4:$O$2428,12,FALSE)</f>
        <v>#N/A</v>
      </c>
      <c r="M556" s="5" t="e">
        <f>VLOOKUP($A556,tropes!$A$4:$O$2428,13,FALSE)</f>
        <v>#N/A</v>
      </c>
      <c r="N556" s="5"/>
    </row>
    <row r="557" spans="1:14" x14ac:dyDescent="0.3">
      <c r="A557" s="14"/>
      <c r="B557" s="5" t="e">
        <f>VLOOKUP($A557,tropes!$A$4:$O$2428,2,FALSE)</f>
        <v>#N/A</v>
      </c>
      <c r="C557" s="5" t="e">
        <f>VLOOKUP($A557,tropes!$A$4:$O$2428,3,FALSE)</f>
        <v>#N/A</v>
      </c>
      <c r="D557" s="5" t="e">
        <f>VLOOKUP($A557,tropes!$A$4:$O$2428,4,FALSE)</f>
        <v>#N/A</v>
      </c>
      <c r="E557" s="5" t="e">
        <f>VLOOKUP($A557,tropes!$A$4:$O$2428,5,FALSE)</f>
        <v>#N/A</v>
      </c>
      <c r="F557" s="5" t="e">
        <f>VLOOKUP($A557,tropes!$A$4:$O$2428,6,FALSE)</f>
        <v>#N/A</v>
      </c>
      <c r="G557" s="5" t="e">
        <f>VLOOKUP($A557,tropes!$A$4:$O$2428,7,FALSE)</f>
        <v>#N/A</v>
      </c>
      <c r="H557" s="5" t="e">
        <f>VLOOKUP($A557,tropes!$A$4:$O$2428,8,FALSE)</f>
        <v>#N/A</v>
      </c>
      <c r="I557" s="5" t="e">
        <f>VLOOKUP($A557,tropes!$A$4:$O$2428,9,FALSE)</f>
        <v>#N/A</v>
      </c>
      <c r="J557" s="5" t="e">
        <f>VLOOKUP($A557,tropes!$A$4:$O$2428,10,FALSE)</f>
        <v>#N/A</v>
      </c>
      <c r="K557" s="5" t="e">
        <f>VLOOKUP($A557,tropes!$A$4:$O$2428,11,FALSE)</f>
        <v>#N/A</v>
      </c>
      <c r="L557" s="5" t="e">
        <f>VLOOKUP($A557,tropes!$A$4:$O$2428,12,FALSE)</f>
        <v>#N/A</v>
      </c>
      <c r="M557" s="5" t="e">
        <f>VLOOKUP($A557,tropes!$A$4:$O$2428,13,FALSE)</f>
        <v>#N/A</v>
      </c>
      <c r="N557" s="5"/>
    </row>
    <row r="558" spans="1:14" x14ac:dyDescent="0.3">
      <c r="A558" s="14"/>
      <c r="B558" s="5" t="e">
        <f>VLOOKUP($A558,tropes!$A$4:$O$2428,2,FALSE)</f>
        <v>#N/A</v>
      </c>
      <c r="C558" s="5" t="e">
        <f>VLOOKUP($A558,tropes!$A$4:$O$2428,3,FALSE)</f>
        <v>#N/A</v>
      </c>
      <c r="D558" s="5" t="e">
        <f>VLOOKUP($A558,tropes!$A$4:$O$2428,4,FALSE)</f>
        <v>#N/A</v>
      </c>
      <c r="E558" s="5" t="e">
        <f>VLOOKUP($A558,tropes!$A$4:$O$2428,5,FALSE)</f>
        <v>#N/A</v>
      </c>
      <c r="F558" s="5" t="e">
        <f>VLOOKUP($A558,tropes!$A$4:$O$2428,6,FALSE)</f>
        <v>#N/A</v>
      </c>
      <c r="G558" s="5" t="e">
        <f>VLOOKUP($A558,tropes!$A$4:$O$2428,7,FALSE)</f>
        <v>#N/A</v>
      </c>
      <c r="H558" s="5" t="e">
        <f>VLOOKUP($A558,tropes!$A$4:$O$2428,8,FALSE)</f>
        <v>#N/A</v>
      </c>
      <c r="I558" s="5" t="e">
        <f>VLOOKUP($A558,tropes!$A$4:$O$2428,9,FALSE)</f>
        <v>#N/A</v>
      </c>
      <c r="J558" s="5" t="e">
        <f>VLOOKUP($A558,tropes!$A$4:$O$2428,10,FALSE)</f>
        <v>#N/A</v>
      </c>
      <c r="K558" s="5" t="e">
        <f>VLOOKUP($A558,tropes!$A$4:$O$2428,11,FALSE)</f>
        <v>#N/A</v>
      </c>
      <c r="L558" s="5" t="e">
        <f>VLOOKUP($A558,tropes!$A$4:$O$2428,12,FALSE)</f>
        <v>#N/A</v>
      </c>
      <c r="M558" s="5" t="e">
        <f>VLOOKUP($A558,tropes!$A$4:$O$2428,13,FALSE)</f>
        <v>#N/A</v>
      </c>
      <c r="N558" s="5"/>
    </row>
    <row r="559" spans="1:14" x14ac:dyDescent="0.3">
      <c r="A559" s="14"/>
      <c r="B559" s="5" t="e">
        <f>VLOOKUP($A559,tropes!$A$4:$O$2428,2,FALSE)</f>
        <v>#N/A</v>
      </c>
      <c r="C559" s="5" t="e">
        <f>VLOOKUP($A559,tropes!$A$4:$O$2428,3,FALSE)</f>
        <v>#N/A</v>
      </c>
      <c r="D559" s="5" t="e">
        <f>VLOOKUP($A559,tropes!$A$4:$O$2428,4,FALSE)</f>
        <v>#N/A</v>
      </c>
      <c r="E559" s="5" t="e">
        <f>VLOOKUP($A559,tropes!$A$4:$O$2428,5,FALSE)</f>
        <v>#N/A</v>
      </c>
      <c r="F559" s="5" t="e">
        <f>VLOOKUP($A559,tropes!$A$4:$O$2428,6,FALSE)</f>
        <v>#N/A</v>
      </c>
      <c r="G559" s="5" t="e">
        <f>VLOOKUP($A559,tropes!$A$4:$O$2428,7,FALSE)</f>
        <v>#N/A</v>
      </c>
      <c r="H559" s="5" t="e">
        <f>VLOOKUP($A559,tropes!$A$4:$O$2428,8,FALSE)</f>
        <v>#N/A</v>
      </c>
      <c r="I559" s="5" t="e">
        <f>VLOOKUP($A559,tropes!$A$4:$O$2428,9,FALSE)</f>
        <v>#N/A</v>
      </c>
      <c r="J559" s="5" t="e">
        <f>VLOOKUP($A559,tropes!$A$4:$O$2428,10,FALSE)</f>
        <v>#N/A</v>
      </c>
      <c r="K559" s="5" t="e">
        <f>VLOOKUP($A559,tropes!$A$4:$O$2428,11,FALSE)</f>
        <v>#N/A</v>
      </c>
      <c r="L559" s="5" t="e">
        <f>VLOOKUP($A559,tropes!$A$4:$O$2428,12,FALSE)</f>
        <v>#N/A</v>
      </c>
      <c r="M559" s="5" t="e">
        <f>VLOOKUP($A559,tropes!$A$4:$O$2428,13,FALSE)</f>
        <v>#N/A</v>
      </c>
      <c r="N559" s="5"/>
    </row>
    <row r="560" spans="1:14" x14ac:dyDescent="0.3">
      <c r="A560" s="14"/>
      <c r="B560" s="5" t="e">
        <f>VLOOKUP($A560,tropes!$A$4:$O$2428,2,FALSE)</f>
        <v>#N/A</v>
      </c>
      <c r="C560" s="5" t="e">
        <f>VLOOKUP($A560,tropes!$A$4:$O$2428,3,FALSE)</f>
        <v>#N/A</v>
      </c>
      <c r="D560" s="5" t="e">
        <f>VLOOKUP($A560,tropes!$A$4:$O$2428,4,FALSE)</f>
        <v>#N/A</v>
      </c>
      <c r="E560" s="5" t="e">
        <f>VLOOKUP($A560,tropes!$A$4:$O$2428,5,FALSE)</f>
        <v>#N/A</v>
      </c>
      <c r="F560" s="5" t="e">
        <f>VLOOKUP($A560,tropes!$A$4:$O$2428,6,FALSE)</f>
        <v>#N/A</v>
      </c>
      <c r="G560" s="5" t="e">
        <f>VLOOKUP($A560,tropes!$A$4:$O$2428,7,FALSE)</f>
        <v>#N/A</v>
      </c>
      <c r="H560" s="5" t="e">
        <f>VLOOKUP($A560,tropes!$A$4:$O$2428,8,FALSE)</f>
        <v>#N/A</v>
      </c>
      <c r="I560" s="5" t="e">
        <f>VLOOKUP($A560,tropes!$A$4:$O$2428,9,FALSE)</f>
        <v>#N/A</v>
      </c>
      <c r="J560" s="5" t="e">
        <f>VLOOKUP($A560,tropes!$A$4:$O$2428,10,FALSE)</f>
        <v>#N/A</v>
      </c>
      <c r="K560" s="5" t="e">
        <f>VLOOKUP($A560,tropes!$A$4:$O$2428,11,FALSE)</f>
        <v>#N/A</v>
      </c>
      <c r="L560" s="5" t="e">
        <f>VLOOKUP($A560,tropes!$A$4:$O$2428,12,FALSE)</f>
        <v>#N/A</v>
      </c>
      <c r="M560" s="5" t="e">
        <f>VLOOKUP($A560,tropes!$A$4:$O$2428,13,FALSE)</f>
        <v>#N/A</v>
      </c>
      <c r="N560" s="5"/>
    </row>
    <row r="561" spans="1:14" x14ac:dyDescent="0.3">
      <c r="A561" s="14"/>
      <c r="B561" s="5" t="e">
        <f>VLOOKUP($A561,tropes!$A$4:$O$2428,2,FALSE)</f>
        <v>#N/A</v>
      </c>
      <c r="C561" s="5" t="e">
        <f>VLOOKUP($A561,tropes!$A$4:$O$2428,3,FALSE)</f>
        <v>#N/A</v>
      </c>
      <c r="D561" s="5" t="e">
        <f>VLOOKUP($A561,tropes!$A$4:$O$2428,4,FALSE)</f>
        <v>#N/A</v>
      </c>
      <c r="E561" s="5" t="e">
        <f>VLOOKUP($A561,tropes!$A$4:$O$2428,5,FALSE)</f>
        <v>#N/A</v>
      </c>
      <c r="F561" s="5" t="e">
        <f>VLOOKUP($A561,tropes!$A$4:$O$2428,6,FALSE)</f>
        <v>#N/A</v>
      </c>
      <c r="G561" s="5" t="e">
        <f>VLOOKUP($A561,tropes!$A$4:$O$2428,7,FALSE)</f>
        <v>#N/A</v>
      </c>
      <c r="H561" s="5" t="e">
        <f>VLOOKUP($A561,tropes!$A$4:$O$2428,8,FALSE)</f>
        <v>#N/A</v>
      </c>
      <c r="I561" s="5" t="e">
        <f>VLOOKUP($A561,tropes!$A$4:$O$2428,9,FALSE)</f>
        <v>#N/A</v>
      </c>
      <c r="J561" s="5" t="e">
        <f>VLOOKUP($A561,tropes!$A$4:$O$2428,10,FALSE)</f>
        <v>#N/A</v>
      </c>
      <c r="K561" s="5" t="e">
        <f>VLOOKUP($A561,tropes!$A$4:$O$2428,11,FALSE)</f>
        <v>#N/A</v>
      </c>
      <c r="L561" s="5" t="e">
        <f>VLOOKUP($A561,tropes!$A$4:$O$2428,12,FALSE)</f>
        <v>#N/A</v>
      </c>
      <c r="M561" s="5" t="e">
        <f>VLOOKUP($A561,tropes!$A$4:$O$2428,13,FALSE)</f>
        <v>#N/A</v>
      </c>
      <c r="N561" s="5"/>
    </row>
    <row r="562" spans="1:14" x14ac:dyDescent="0.3">
      <c r="A562" s="14"/>
      <c r="B562" s="5" t="e">
        <f>VLOOKUP($A562,tropes!$A$4:$O$2428,2,FALSE)</f>
        <v>#N/A</v>
      </c>
      <c r="C562" s="5" t="e">
        <f>VLOOKUP($A562,tropes!$A$4:$O$2428,3,FALSE)</f>
        <v>#N/A</v>
      </c>
      <c r="D562" s="5" t="e">
        <f>VLOOKUP($A562,tropes!$A$4:$O$2428,4,FALSE)</f>
        <v>#N/A</v>
      </c>
      <c r="E562" s="5" t="e">
        <f>VLOOKUP($A562,tropes!$A$4:$O$2428,5,FALSE)</f>
        <v>#N/A</v>
      </c>
      <c r="F562" s="5" t="e">
        <f>VLOOKUP($A562,tropes!$A$4:$O$2428,6,FALSE)</f>
        <v>#N/A</v>
      </c>
      <c r="G562" s="5" t="e">
        <f>VLOOKUP($A562,tropes!$A$4:$O$2428,7,FALSE)</f>
        <v>#N/A</v>
      </c>
      <c r="H562" s="5" t="e">
        <f>VLOOKUP($A562,tropes!$A$4:$O$2428,8,FALSE)</f>
        <v>#N/A</v>
      </c>
      <c r="I562" s="5" t="e">
        <f>VLOOKUP($A562,tropes!$A$4:$O$2428,9,FALSE)</f>
        <v>#N/A</v>
      </c>
      <c r="J562" s="5" t="e">
        <f>VLOOKUP($A562,tropes!$A$4:$O$2428,10,FALSE)</f>
        <v>#N/A</v>
      </c>
      <c r="K562" s="5" t="e">
        <f>VLOOKUP($A562,tropes!$A$4:$O$2428,11,FALSE)</f>
        <v>#N/A</v>
      </c>
      <c r="L562" s="5" t="e">
        <f>VLOOKUP($A562,tropes!$A$4:$O$2428,12,FALSE)</f>
        <v>#N/A</v>
      </c>
      <c r="M562" s="5" t="e">
        <f>VLOOKUP($A562,tropes!$A$4:$O$2428,13,FALSE)</f>
        <v>#N/A</v>
      </c>
      <c r="N562" s="5"/>
    </row>
    <row r="563" spans="1:14" x14ac:dyDescent="0.3">
      <c r="A563" s="14"/>
      <c r="B563" s="5" t="e">
        <f>VLOOKUP($A563,tropes!$A$4:$O$2428,2,FALSE)</f>
        <v>#N/A</v>
      </c>
      <c r="C563" s="5" t="e">
        <f>VLOOKUP($A563,tropes!$A$4:$O$2428,3,FALSE)</f>
        <v>#N/A</v>
      </c>
      <c r="D563" s="5" t="e">
        <f>VLOOKUP($A563,tropes!$A$4:$O$2428,4,FALSE)</f>
        <v>#N/A</v>
      </c>
      <c r="E563" s="5" t="e">
        <f>VLOOKUP($A563,tropes!$A$4:$O$2428,5,FALSE)</f>
        <v>#N/A</v>
      </c>
      <c r="F563" s="5" t="e">
        <f>VLOOKUP($A563,tropes!$A$4:$O$2428,6,FALSE)</f>
        <v>#N/A</v>
      </c>
      <c r="G563" s="5" t="e">
        <f>VLOOKUP($A563,tropes!$A$4:$O$2428,7,FALSE)</f>
        <v>#N/A</v>
      </c>
      <c r="H563" s="5" t="e">
        <f>VLOOKUP($A563,tropes!$A$4:$O$2428,8,FALSE)</f>
        <v>#N/A</v>
      </c>
      <c r="I563" s="5" t="e">
        <f>VLOOKUP($A563,tropes!$A$4:$O$2428,9,FALSE)</f>
        <v>#N/A</v>
      </c>
      <c r="J563" s="5" t="e">
        <f>VLOOKUP($A563,tropes!$A$4:$O$2428,10,FALSE)</f>
        <v>#N/A</v>
      </c>
      <c r="K563" s="5" t="e">
        <f>VLOOKUP($A563,tropes!$A$4:$O$2428,11,FALSE)</f>
        <v>#N/A</v>
      </c>
      <c r="L563" s="5" t="e">
        <f>VLOOKUP($A563,tropes!$A$4:$O$2428,12,FALSE)</f>
        <v>#N/A</v>
      </c>
      <c r="M563" s="5" t="e">
        <f>VLOOKUP($A563,tropes!$A$4:$O$2428,13,FALSE)</f>
        <v>#N/A</v>
      </c>
      <c r="N563" s="5"/>
    </row>
    <row r="564" spans="1:14" x14ac:dyDescent="0.3">
      <c r="A564" s="14"/>
      <c r="B564" s="5" t="e">
        <f>VLOOKUP($A564,tropes!$A$4:$O$2428,2,FALSE)</f>
        <v>#N/A</v>
      </c>
      <c r="C564" s="5" t="e">
        <f>VLOOKUP($A564,tropes!$A$4:$O$2428,3,FALSE)</f>
        <v>#N/A</v>
      </c>
      <c r="D564" s="5" t="e">
        <f>VLOOKUP($A564,tropes!$A$4:$O$2428,4,FALSE)</f>
        <v>#N/A</v>
      </c>
      <c r="E564" s="5" t="e">
        <f>VLOOKUP($A564,tropes!$A$4:$O$2428,5,FALSE)</f>
        <v>#N/A</v>
      </c>
      <c r="F564" s="5" t="e">
        <f>VLOOKUP($A564,tropes!$A$4:$O$2428,6,FALSE)</f>
        <v>#N/A</v>
      </c>
      <c r="G564" s="5" t="e">
        <f>VLOOKUP($A564,tropes!$A$4:$O$2428,7,FALSE)</f>
        <v>#N/A</v>
      </c>
      <c r="H564" s="5" t="e">
        <f>VLOOKUP($A564,tropes!$A$4:$O$2428,8,FALSE)</f>
        <v>#N/A</v>
      </c>
      <c r="I564" s="5" t="e">
        <f>VLOOKUP($A564,tropes!$A$4:$O$2428,9,FALSE)</f>
        <v>#N/A</v>
      </c>
      <c r="J564" s="5" t="e">
        <f>VLOOKUP($A564,tropes!$A$4:$O$2428,10,FALSE)</f>
        <v>#N/A</v>
      </c>
      <c r="K564" s="5" t="e">
        <f>VLOOKUP($A564,tropes!$A$4:$O$2428,11,FALSE)</f>
        <v>#N/A</v>
      </c>
      <c r="L564" s="5" t="e">
        <f>VLOOKUP($A564,tropes!$A$4:$O$2428,12,FALSE)</f>
        <v>#N/A</v>
      </c>
      <c r="M564" s="5" t="e">
        <f>VLOOKUP($A564,tropes!$A$4:$O$2428,13,FALSE)</f>
        <v>#N/A</v>
      </c>
      <c r="N564" s="5"/>
    </row>
    <row r="565" spans="1:14" x14ac:dyDescent="0.3">
      <c r="A565" s="14"/>
      <c r="B565" s="5" t="e">
        <f>VLOOKUP($A565,tropes!$A$4:$O$2428,2,FALSE)</f>
        <v>#N/A</v>
      </c>
      <c r="C565" s="5" t="e">
        <f>VLOOKUP($A565,tropes!$A$4:$O$2428,3,FALSE)</f>
        <v>#N/A</v>
      </c>
      <c r="D565" s="5" t="e">
        <f>VLOOKUP($A565,tropes!$A$4:$O$2428,4,FALSE)</f>
        <v>#N/A</v>
      </c>
      <c r="E565" s="5" t="e">
        <f>VLOOKUP($A565,tropes!$A$4:$O$2428,5,FALSE)</f>
        <v>#N/A</v>
      </c>
      <c r="F565" s="5" t="e">
        <f>VLOOKUP($A565,tropes!$A$4:$O$2428,6,FALSE)</f>
        <v>#N/A</v>
      </c>
      <c r="G565" s="5" t="e">
        <f>VLOOKUP($A565,tropes!$A$4:$O$2428,7,FALSE)</f>
        <v>#N/A</v>
      </c>
      <c r="H565" s="5" t="e">
        <f>VLOOKUP($A565,tropes!$A$4:$O$2428,8,FALSE)</f>
        <v>#N/A</v>
      </c>
      <c r="I565" s="5" t="e">
        <f>VLOOKUP($A565,tropes!$A$4:$O$2428,9,FALSE)</f>
        <v>#N/A</v>
      </c>
      <c r="J565" s="5" t="e">
        <f>VLOOKUP($A565,tropes!$A$4:$O$2428,10,FALSE)</f>
        <v>#N/A</v>
      </c>
      <c r="K565" s="5" t="e">
        <f>VLOOKUP($A565,tropes!$A$4:$O$2428,11,FALSE)</f>
        <v>#N/A</v>
      </c>
      <c r="L565" s="5" t="e">
        <f>VLOOKUP($A565,tropes!$A$4:$O$2428,12,FALSE)</f>
        <v>#N/A</v>
      </c>
      <c r="M565" s="5" t="e">
        <f>VLOOKUP($A565,tropes!$A$4:$O$2428,13,FALSE)</f>
        <v>#N/A</v>
      </c>
      <c r="N565" s="5"/>
    </row>
    <row r="566" spans="1:14" x14ac:dyDescent="0.3">
      <c r="A566" s="14"/>
      <c r="B566" s="5" t="e">
        <f>VLOOKUP($A566,tropes!$A$4:$O$2428,2,FALSE)</f>
        <v>#N/A</v>
      </c>
      <c r="C566" s="5" t="e">
        <f>VLOOKUP($A566,tropes!$A$4:$O$2428,3,FALSE)</f>
        <v>#N/A</v>
      </c>
      <c r="D566" s="5" t="e">
        <f>VLOOKUP($A566,tropes!$A$4:$O$2428,4,FALSE)</f>
        <v>#N/A</v>
      </c>
      <c r="E566" s="5" t="e">
        <f>VLOOKUP($A566,tropes!$A$4:$O$2428,5,FALSE)</f>
        <v>#N/A</v>
      </c>
      <c r="F566" s="5" t="e">
        <f>VLOOKUP($A566,tropes!$A$4:$O$2428,6,FALSE)</f>
        <v>#N/A</v>
      </c>
      <c r="G566" s="5" t="e">
        <f>VLOOKUP($A566,tropes!$A$4:$O$2428,7,FALSE)</f>
        <v>#N/A</v>
      </c>
      <c r="H566" s="5" t="e">
        <f>VLOOKUP($A566,tropes!$A$4:$O$2428,8,FALSE)</f>
        <v>#N/A</v>
      </c>
      <c r="I566" s="5" t="e">
        <f>VLOOKUP($A566,tropes!$A$4:$O$2428,9,FALSE)</f>
        <v>#N/A</v>
      </c>
      <c r="J566" s="5" t="e">
        <f>VLOOKUP($A566,tropes!$A$4:$O$2428,10,FALSE)</f>
        <v>#N/A</v>
      </c>
      <c r="K566" s="5" t="e">
        <f>VLOOKUP($A566,tropes!$A$4:$O$2428,11,FALSE)</f>
        <v>#N/A</v>
      </c>
      <c r="L566" s="5" t="e">
        <f>VLOOKUP($A566,tropes!$A$4:$O$2428,12,FALSE)</f>
        <v>#N/A</v>
      </c>
      <c r="M566" s="5" t="e">
        <f>VLOOKUP($A566,tropes!$A$4:$O$2428,13,FALSE)</f>
        <v>#N/A</v>
      </c>
      <c r="N566" s="5"/>
    </row>
    <row r="567" spans="1:14" x14ac:dyDescent="0.3">
      <c r="A567" s="14"/>
      <c r="B567" s="5" t="e">
        <f>VLOOKUP($A567,tropes!$A$4:$O$2428,2,FALSE)</f>
        <v>#N/A</v>
      </c>
      <c r="C567" s="5" t="e">
        <f>VLOOKUP($A567,tropes!$A$4:$O$2428,3,FALSE)</f>
        <v>#N/A</v>
      </c>
      <c r="D567" s="5" t="e">
        <f>VLOOKUP($A567,tropes!$A$4:$O$2428,4,FALSE)</f>
        <v>#N/A</v>
      </c>
      <c r="E567" s="5" t="e">
        <f>VLOOKUP($A567,tropes!$A$4:$O$2428,5,FALSE)</f>
        <v>#N/A</v>
      </c>
      <c r="F567" s="5" t="e">
        <f>VLOOKUP($A567,tropes!$A$4:$O$2428,6,FALSE)</f>
        <v>#N/A</v>
      </c>
      <c r="G567" s="5" t="e">
        <f>VLOOKUP($A567,tropes!$A$4:$O$2428,7,FALSE)</f>
        <v>#N/A</v>
      </c>
      <c r="H567" s="5" t="e">
        <f>VLOOKUP($A567,tropes!$A$4:$O$2428,8,FALSE)</f>
        <v>#N/A</v>
      </c>
      <c r="I567" s="5" t="e">
        <f>VLOOKUP($A567,tropes!$A$4:$O$2428,9,FALSE)</f>
        <v>#N/A</v>
      </c>
      <c r="J567" s="5" t="e">
        <f>VLOOKUP($A567,tropes!$A$4:$O$2428,10,FALSE)</f>
        <v>#N/A</v>
      </c>
      <c r="K567" s="5" t="e">
        <f>VLOOKUP($A567,tropes!$A$4:$O$2428,11,FALSE)</f>
        <v>#N/A</v>
      </c>
      <c r="L567" s="5" t="e">
        <f>VLOOKUP($A567,tropes!$A$4:$O$2428,12,FALSE)</f>
        <v>#N/A</v>
      </c>
      <c r="M567" s="5" t="e">
        <f>VLOOKUP($A567,tropes!$A$4:$O$2428,13,FALSE)</f>
        <v>#N/A</v>
      </c>
      <c r="N567" s="5"/>
    </row>
    <row r="568" spans="1:14" x14ac:dyDescent="0.3">
      <c r="A568" s="14"/>
      <c r="B568" s="5" t="e">
        <f>VLOOKUP($A568,tropes!$A$4:$O$2428,2,FALSE)</f>
        <v>#N/A</v>
      </c>
      <c r="C568" s="5" t="e">
        <f>VLOOKUP($A568,tropes!$A$4:$O$2428,3,FALSE)</f>
        <v>#N/A</v>
      </c>
      <c r="D568" s="5" t="e">
        <f>VLOOKUP($A568,tropes!$A$4:$O$2428,4,FALSE)</f>
        <v>#N/A</v>
      </c>
      <c r="E568" s="5" t="e">
        <f>VLOOKUP($A568,tropes!$A$4:$O$2428,5,FALSE)</f>
        <v>#N/A</v>
      </c>
      <c r="F568" s="5" t="e">
        <f>VLOOKUP($A568,tropes!$A$4:$O$2428,6,FALSE)</f>
        <v>#N/A</v>
      </c>
      <c r="G568" s="5" t="e">
        <f>VLOOKUP($A568,tropes!$A$4:$O$2428,7,FALSE)</f>
        <v>#N/A</v>
      </c>
      <c r="H568" s="5" t="e">
        <f>VLOOKUP($A568,tropes!$A$4:$O$2428,8,FALSE)</f>
        <v>#N/A</v>
      </c>
      <c r="I568" s="5" t="e">
        <f>VLOOKUP($A568,tropes!$A$4:$O$2428,9,FALSE)</f>
        <v>#N/A</v>
      </c>
      <c r="J568" s="5" t="e">
        <f>VLOOKUP($A568,tropes!$A$4:$O$2428,10,FALSE)</f>
        <v>#N/A</v>
      </c>
      <c r="K568" s="5" t="e">
        <f>VLOOKUP($A568,tropes!$A$4:$O$2428,11,FALSE)</f>
        <v>#N/A</v>
      </c>
      <c r="L568" s="5" t="e">
        <f>VLOOKUP($A568,tropes!$A$4:$O$2428,12,FALSE)</f>
        <v>#N/A</v>
      </c>
      <c r="M568" s="5" t="e">
        <f>VLOOKUP($A568,tropes!$A$4:$O$2428,13,FALSE)</f>
        <v>#N/A</v>
      </c>
      <c r="N568" s="5"/>
    </row>
    <row r="569" spans="1:14" x14ac:dyDescent="0.3">
      <c r="A569" s="14"/>
      <c r="B569" s="5" t="e">
        <f>VLOOKUP($A569,tropes!$A$4:$O$2428,2,FALSE)</f>
        <v>#N/A</v>
      </c>
      <c r="C569" s="5" t="e">
        <f>VLOOKUP($A569,tropes!$A$4:$O$2428,3,FALSE)</f>
        <v>#N/A</v>
      </c>
      <c r="D569" s="5" t="e">
        <f>VLOOKUP($A569,tropes!$A$4:$O$2428,4,FALSE)</f>
        <v>#N/A</v>
      </c>
      <c r="E569" s="5" t="e">
        <f>VLOOKUP($A569,tropes!$A$4:$O$2428,5,FALSE)</f>
        <v>#N/A</v>
      </c>
      <c r="F569" s="5" t="e">
        <f>VLOOKUP($A569,tropes!$A$4:$O$2428,6,FALSE)</f>
        <v>#N/A</v>
      </c>
      <c r="G569" s="5" t="e">
        <f>VLOOKUP($A569,tropes!$A$4:$O$2428,7,FALSE)</f>
        <v>#N/A</v>
      </c>
      <c r="H569" s="5" t="e">
        <f>VLOOKUP($A569,tropes!$A$4:$O$2428,8,FALSE)</f>
        <v>#N/A</v>
      </c>
      <c r="I569" s="5" t="e">
        <f>VLOOKUP($A569,tropes!$A$4:$O$2428,9,FALSE)</f>
        <v>#N/A</v>
      </c>
      <c r="J569" s="5" t="e">
        <f>VLOOKUP($A569,tropes!$A$4:$O$2428,10,FALSE)</f>
        <v>#N/A</v>
      </c>
      <c r="K569" s="5" t="e">
        <f>VLOOKUP($A569,tropes!$A$4:$O$2428,11,FALSE)</f>
        <v>#N/A</v>
      </c>
      <c r="L569" s="5" t="e">
        <f>VLOOKUP($A569,tropes!$A$4:$O$2428,12,FALSE)</f>
        <v>#N/A</v>
      </c>
      <c r="M569" s="5" t="e">
        <f>VLOOKUP($A569,tropes!$A$4:$O$2428,13,FALSE)</f>
        <v>#N/A</v>
      </c>
      <c r="N569" s="5"/>
    </row>
    <row r="570" spans="1:14" x14ac:dyDescent="0.3">
      <c r="A570" s="14"/>
      <c r="B570" s="5" t="e">
        <f>VLOOKUP($A570,tropes!$A$4:$O$2428,2,FALSE)</f>
        <v>#N/A</v>
      </c>
      <c r="C570" s="5" t="e">
        <f>VLOOKUP($A570,tropes!$A$4:$O$2428,3,FALSE)</f>
        <v>#N/A</v>
      </c>
      <c r="D570" s="5" t="e">
        <f>VLOOKUP($A570,tropes!$A$4:$O$2428,4,FALSE)</f>
        <v>#N/A</v>
      </c>
      <c r="E570" s="5" t="e">
        <f>VLOOKUP($A570,tropes!$A$4:$O$2428,5,FALSE)</f>
        <v>#N/A</v>
      </c>
      <c r="F570" s="5" t="e">
        <f>VLOOKUP($A570,tropes!$A$4:$O$2428,6,FALSE)</f>
        <v>#N/A</v>
      </c>
      <c r="G570" s="5" t="e">
        <f>VLOOKUP($A570,tropes!$A$4:$O$2428,7,FALSE)</f>
        <v>#N/A</v>
      </c>
      <c r="H570" s="5" t="e">
        <f>VLOOKUP($A570,tropes!$A$4:$O$2428,8,FALSE)</f>
        <v>#N/A</v>
      </c>
      <c r="I570" s="5" t="e">
        <f>VLOOKUP($A570,tropes!$A$4:$O$2428,9,FALSE)</f>
        <v>#N/A</v>
      </c>
      <c r="J570" s="5" t="e">
        <f>VLOOKUP($A570,tropes!$A$4:$O$2428,10,FALSE)</f>
        <v>#N/A</v>
      </c>
      <c r="K570" s="5" t="e">
        <f>VLOOKUP($A570,tropes!$A$4:$O$2428,11,FALSE)</f>
        <v>#N/A</v>
      </c>
      <c r="L570" s="5" t="e">
        <f>VLOOKUP($A570,tropes!$A$4:$O$2428,12,FALSE)</f>
        <v>#N/A</v>
      </c>
      <c r="M570" s="5" t="e">
        <f>VLOOKUP($A570,tropes!$A$4:$O$2428,13,FALSE)</f>
        <v>#N/A</v>
      </c>
      <c r="N570" s="5"/>
    </row>
    <row r="571" spans="1:14" x14ac:dyDescent="0.3">
      <c r="A571" s="14"/>
      <c r="B571" s="5" t="e">
        <f>VLOOKUP($A571,tropes!$A$4:$O$2428,2,FALSE)</f>
        <v>#N/A</v>
      </c>
      <c r="C571" s="5" t="e">
        <f>VLOOKUP($A571,tropes!$A$4:$O$2428,3,FALSE)</f>
        <v>#N/A</v>
      </c>
      <c r="D571" s="5" t="e">
        <f>VLOOKUP($A571,tropes!$A$4:$O$2428,4,FALSE)</f>
        <v>#N/A</v>
      </c>
      <c r="E571" s="5" t="e">
        <f>VLOOKUP($A571,tropes!$A$4:$O$2428,5,FALSE)</f>
        <v>#N/A</v>
      </c>
      <c r="F571" s="5" t="e">
        <f>VLOOKUP($A571,tropes!$A$4:$O$2428,6,FALSE)</f>
        <v>#N/A</v>
      </c>
      <c r="G571" s="5" t="e">
        <f>VLOOKUP($A571,tropes!$A$4:$O$2428,7,FALSE)</f>
        <v>#N/A</v>
      </c>
      <c r="H571" s="5" t="e">
        <f>VLOOKUP($A571,tropes!$A$4:$O$2428,8,FALSE)</f>
        <v>#N/A</v>
      </c>
      <c r="I571" s="5" t="e">
        <f>VLOOKUP($A571,tropes!$A$4:$O$2428,9,FALSE)</f>
        <v>#N/A</v>
      </c>
      <c r="J571" s="5" t="e">
        <f>VLOOKUP($A571,tropes!$A$4:$O$2428,10,FALSE)</f>
        <v>#N/A</v>
      </c>
      <c r="K571" s="5" t="e">
        <f>VLOOKUP($A571,tropes!$A$4:$O$2428,11,FALSE)</f>
        <v>#N/A</v>
      </c>
      <c r="L571" s="5" t="e">
        <f>VLOOKUP($A571,tropes!$A$4:$O$2428,12,FALSE)</f>
        <v>#N/A</v>
      </c>
      <c r="M571" s="5" t="e">
        <f>VLOOKUP($A571,tropes!$A$4:$O$2428,13,FALSE)</f>
        <v>#N/A</v>
      </c>
      <c r="N571" s="5"/>
    </row>
    <row r="572" spans="1:14" x14ac:dyDescent="0.3">
      <c r="A572" s="14"/>
      <c r="B572" s="5" t="e">
        <f>VLOOKUP($A572,tropes!$A$4:$O$2428,2,FALSE)</f>
        <v>#N/A</v>
      </c>
      <c r="C572" s="5" t="e">
        <f>VLOOKUP($A572,tropes!$A$4:$O$2428,3,FALSE)</f>
        <v>#N/A</v>
      </c>
      <c r="D572" s="5" t="e">
        <f>VLOOKUP($A572,tropes!$A$4:$O$2428,4,FALSE)</f>
        <v>#N/A</v>
      </c>
      <c r="E572" s="5" t="e">
        <f>VLOOKUP($A572,tropes!$A$4:$O$2428,5,FALSE)</f>
        <v>#N/A</v>
      </c>
      <c r="F572" s="5" t="e">
        <f>VLOOKUP($A572,tropes!$A$4:$O$2428,6,FALSE)</f>
        <v>#N/A</v>
      </c>
      <c r="G572" s="5" t="e">
        <f>VLOOKUP($A572,tropes!$A$4:$O$2428,7,FALSE)</f>
        <v>#N/A</v>
      </c>
      <c r="H572" s="5" t="e">
        <f>VLOOKUP($A572,tropes!$A$4:$O$2428,8,FALSE)</f>
        <v>#N/A</v>
      </c>
      <c r="I572" s="5" t="e">
        <f>VLOOKUP($A572,tropes!$A$4:$O$2428,9,FALSE)</f>
        <v>#N/A</v>
      </c>
      <c r="J572" s="5" t="e">
        <f>VLOOKUP($A572,tropes!$A$4:$O$2428,10,FALSE)</f>
        <v>#N/A</v>
      </c>
      <c r="K572" s="5" t="e">
        <f>VLOOKUP($A572,tropes!$A$4:$O$2428,11,FALSE)</f>
        <v>#N/A</v>
      </c>
      <c r="L572" s="5" t="e">
        <f>VLOOKUP($A572,tropes!$A$4:$O$2428,12,FALSE)</f>
        <v>#N/A</v>
      </c>
      <c r="M572" s="5" t="e">
        <f>VLOOKUP($A572,tropes!$A$4:$O$2428,13,FALSE)</f>
        <v>#N/A</v>
      </c>
      <c r="N572" s="5"/>
    </row>
    <row r="573" spans="1:14" x14ac:dyDescent="0.3">
      <c r="A573" s="14"/>
      <c r="B573" s="5" t="e">
        <f>VLOOKUP($A573,tropes!$A$4:$O$2428,2,FALSE)</f>
        <v>#N/A</v>
      </c>
      <c r="C573" s="5" t="e">
        <f>VLOOKUP($A573,tropes!$A$4:$O$2428,3,FALSE)</f>
        <v>#N/A</v>
      </c>
      <c r="D573" s="5" t="e">
        <f>VLOOKUP($A573,tropes!$A$4:$O$2428,4,FALSE)</f>
        <v>#N/A</v>
      </c>
      <c r="E573" s="5" t="e">
        <f>VLOOKUP($A573,tropes!$A$4:$O$2428,5,FALSE)</f>
        <v>#N/A</v>
      </c>
      <c r="F573" s="5" t="e">
        <f>VLOOKUP($A573,tropes!$A$4:$O$2428,6,FALSE)</f>
        <v>#N/A</v>
      </c>
      <c r="G573" s="5" t="e">
        <f>VLOOKUP($A573,tropes!$A$4:$O$2428,7,FALSE)</f>
        <v>#N/A</v>
      </c>
      <c r="H573" s="5" t="e">
        <f>VLOOKUP($A573,tropes!$A$4:$O$2428,8,FALSE)</f>
        <v>#N/A</v>
      </c>
      <c r="I573" s="5" t="e">
        <f>VLOOKUP($A573,tropes!$A$4:$O$2428,9,FALSE)</f>
        <v>#N/A</v>
      </c>
      <c r="J573" s="5" t="e">
        <f>VLOOKUP($A573,tropes!$A$4:$O$2428,10,FALSE)</f>
        <v>#N/A</v>
      </c>
      <c r="K573" s="5" t="e">
        <f>VLOOKUP($A573,tropes!$A$4:$O$2428,11,FALSE)</f>
        <v>#N/A</v>
      </c>
      <c r="L573" s="5" t="e">
        <f>VLOOKUP($A573,tropes!$A$4:$O$2428,12,FALSE)</f>
        <v>#N/A</v>
      </c>
      <c r="M573" s="5" t="e">
        <f>VLOOKUP($A573,tropes!$A$4:$O$2428,13,FALSE)</f>
        <v>#N/A</v>
      </c>
      <c r="N573" s="5"/>
    </row>
    <row r="574" spans="1:14" x14ac:dyDescent="0.3">
      <c r="A574" s="14"/>
      <c r="B574" s="5" t="e">
        <f>VLOOKUP($A574,tropes!$A$4:$O$2428,2,FALSE)</f>
        <v>#N/A</v>
      </c>
      <c r="C574" s="5" t="e">
        <f>VLOOKUP($A574,tropes!$A$4:$O$2428,3,FALSE)</f>
        <v>#N/A</v>
      </c>
      <c r="D574" s="5" t="e">
        <f>VLOOKUP($A574,tropes!$A$4:$O$2428,4,FALSE)</f>
        <v>#N/A</v>
      </c>
      <c r="E574" s="5" t="e">
        <f>VLOOKUP($A574,tropes!$A$4:$O$2428,5,FALSE)</f>
        <v>#N/A</v>
      </c>
      <c r="F574" s="5" t="e">
        <f>VLOOKUP($A574,tropes!$A$4:$O$2428,6,FALSE)</f>
        <v>#N/A</v>
      </c>
      <c r="G574" s="5" t="e">
        <f>VLOOKUP($A574,tropes!$A$4:$O$2428,7,FALSE)</f>
        <v>#N/A</v>
      </c>
      <c r="H574" s="5" t="e">
        <f>VLOOKUP($A574,tropes!$A$4:$O$2428,8,FALSE)</f>
        <v>#N/A</v>
      </c>
      <c r="I574" s="5" t="e">
        <f>VLOOKUP($A574,tropes!$A$4:$O$2428,9,FALSE)</f>
        <v>#N/A</v>
      </c>
      <c r="J574" s="5" t="e">
        <f>VLOOKUP($A574,tropes!$A$4:$O$2428,10,FALSE)</f>
        <v>#N/A</v>
      </c>
      <c r="K574" s="5" t="e">
        <f>VLOOKUP($A574,tropes!$A$4:$O$2428,11,FALSE)</f>
        <v>#N/A</v>
      </c>
      <c r="L574" s="5" t="e">
        <f>VLOOKUP($A574,tropes!$A$4:$O$2428,12,FALSE)</f>
        <v>#N/A</v>
      </c>
      <c r="M574" s="5" t="e">
        <f>VLOOKUP($A574,tropes!$A$4:$O$2428,13,FALSE)</f>
        <v>#N/A</v>
      </c>
      <c r="N574" s="5"/>
    </row>
    <row r="575" spans="1:14" x14ac:dyDescent="0.3">
      <c r="A575" s="14"/>
      <c r="B575" s="5" t="e">
        <f>VLOOKUP($A575,tropes!$A$4:$O$2428,2,FALSE)</f>
        <v>#N/A</v>
      </c>
      <c r="C575" s="5" t="e">
        <f>VLOOKUP($A575,tropes!$A$4:$O$2428,3,FALSE)</f>
        <v>#N/A</v>
      </c>
      <c r="D575" s="5" t="e">
        <f>VLOOKUP($A575,tropes!$A$4:$O$2428,4,FALSE)</f>
        <v>#N/A</v>
      </c>
      <c r="E575" s="5" t="e">
        <f>VLOOKUP($A575,tropes!$A$4:$O$2428,5,FALSE)</f>
        <v>#N/A</v>
      </c>
      <c r="F575" s="5" t="e">
        <f>VLOOKUP($A575,tropes!$A$4:$O$2428,6,FALSE)</f>
        <v>#N/A</v>
      </c>
      <c r="G575" s="5" t="e">
        <f>VLOOKUP($A575,tropes!$A$4:$O$2428,7,FALSE)</f>
        <v>#N/A</v>
      </c>
      <c r="H575" s="5" t="e">
        <f>VLOOKUP($A575,tropes!$A$4:$O$2428,8,FALSE)</f>
        <v>#N/A</v>
      </c>
      <c r="I575" s="5" t="e">
        <f>VLOOKUP($A575,tropes!$A$4:$O$2428,9,FALSE)</f>
        <v>#N/A</v>
      </c>
      <c r="J575" s="5" t="e">
        <f>VLOOKUP($A575,tropes!$A$4:$O$2428,10,FALSE)</f>
        <v>#N/A</v>
      </c>
      <c r="K575" s="5" t="e">
        <f>VLOOKUP($A575,tropes!$A$4:$O$2428,11,FALSE)</f>
        <v>#N/A</v>
      </c>
      <c r="L575" s="5" t="e">
        <f>VLOOKUP($A575,tropes!$A$4:$O$2428,12,FALSE)</f>
        <v>#N/A</v>
      </c>
      <c r="M575" s="5" t="e">
        <f>VLOOKUP($A575,tropes!$A$4:$O$2428,13,FALSE)</f>
        <v>#N/A</v>
      </c>
      <c r="N575" s="5"/>
    </row>
    <row r="576" spans="1:14" x14ac:dyDescent="0.3">
      <c r="A576" s="14"/>
      <c r="B576" s="5" t="e">
        <f>VLOOKUP($A576,tropes!$A$4:$O$2428,2,FALSE)</f>
        <v>#N/A</v>
      </c>
      <c r="C576" s="5" t="e">
        <f>VLOOKUP($A576,tropes!$A$4:$O$2428,3,FALSE)</f>
        <v>#N/A</v>
      </c>
      <c r="D576" s="5" t="e">
        <f>VLOOKUP($A576,tropes!$A$4:$O$2428,4,FALSE)</f>
        <v>#N/A</v>
      </c>
      <c r="E576" s="5" t="e">
        <f>VLOOKUP($A576,tropes!$A$4:$O$2428,5,FALSE)</f>
        <v>#N/A</v>
      </c>
      <c r="F576" s="5" t="e">
        <f>VLOOKUP($A576,tropes!$A$4:$O$2428,6,FALSE)</f>
        <v>#N/A</v>
      </c>
      <c r="G576" s="5" t="e">
        <f>VLOOKUP($A576,tropes!$A$4:$O$2428,7,FALSE)</f>
        <v>#N/A</v>
      </c>
      <c r="H576" s="5" t="e">
        <f>VLOOKUP($A576,tropes!$A$4:$O$2428,8,FALSE)</f>
        <v>#N/A</v>
      </c>
      <c r="I576" s="5" t="e">
        <f>VLOOKUP($A576,tropes!$A$4:$O$2428,9,FALSE)</f>
        <v>#N/A</v>
      </c>
      <c r="J576" s="5" t="e">
        <f>VLOOKUP($A576,tropes!$A$4:$O$2428,10,FALSE)</f>
        <v>#N/A</v>
      </c>
      <c r="K576" s="5" t="e">
        <f>VLOOKUP($A576,tropes!$A$4:$O$2428,11,FALSE)</f>
        <v>#N/A</v>
      </c>
      <c r="L576" s="5" t="e">
        <f>VLOOKUP($A576,tropes!$A$4:$O$2428,12,FALSE)</f>
        <v>#N/A</v>
      </c>
      <c r="M576" s="5" t="e">
        <f>VLOOKUP($A576,tropes!$A$4:$O$2428,13,FALSE)</f>
        <v>#N/A</v>
      </c>
      <c r="N576" s="5"/>
    </row>
    <row r="577" spans="1:14" x14ac:dyDescent="0.3">
      <c r="A577" s="14"/>
      <c r="B577" s="5" t="e">
        <f>VLOOKUP($A577,tropes!$A$4:$O$2428,2,FALSE)</f>
        <v>#N/A</v>
      </c>
      <c r="C577" s="5" t="e">
        <f>VLOOKUP($A577,tropes!$A$4:$O$2428,3,FALSE)</f>
        <v>#N/A</v>
      </c>
      <c r="D577" s="5" t="e">
        <f>VLOOKUP($A577,tropes!$A$4:$O$2428,4,FALSE)</f>
        <v>#N/A</v>
      </c>
      <c r="E577" s="5" t="e">
        <f>VLOOKUP($A577,tropes!$A$4:$O$2428,5,FALSE)</f>
        <v>#N/A</v>
      </c>
      <c r="F577" s="5" t="e">
        <f>VLOOKUP($A577,tropes!$A$4:$O$2428,6,FALSE)</f>
        <v>#N/A</v>
      </c>
      <c r="G577" s="5" t="e">
        <f>VLOOKUP($A577,tropes!$A$4:$O$2428,7,FALSE)</f>
        <v>#N/A</v>
      </c>
      <c r="H577" s="5" t="e">
        <f>VLOOKUP($A577,tropes!$A$4:$O$2428,8,FALSE)</f>
        <v>#N/A</v>
      </c>
      <c r="I577" s="5" t="e">
        <f>VLOOKUP($A577,tropes!$A$4:$O$2428,9,FALSE)</f>
        <v>#N/A</v>
      </c>
      <c r="J577" s="5" t="e">
        <f>VLOOKUP($A577,tropes!$A$4:$O$2428,10,FALSE)</f>
        <v>#N/A</v>
      </c>
      <c r="K577" s="5" t="e">
        <f>VLOOKUP($A577,tropes!$A$4:$O$2428,11,FALSE)</f>
        <v>#N/A</v>
      </c>
      <c r="L577" s="5" t="e">
        <f>VLOOKUP($A577,tropes!$A$4:$O$2428,12,FALSE)</f>
        <v>#N/A</v>
      </c>
      <c r="M577" s="5" t="e">
        <f>VLOOKUP($A577,tropes!$A$4:$O$2428,13,FALSE)</f>
        <v>#N/A</v>
      </c>
      <c r="N577" s="5"/>
    </row>
    <row r="578" spans="1:14" x14ac:dyDescent="0.3">
      <c r="A578" s="14"/>
      <c r="B578" s="5" t="e">
        <f>VLOOKUP($A578,tropes!$A$4:$O$2428,2,FALSE)</f>
        <v>#N/A</v>
      </c>
      <c r="C578" s="5" t="e">
        <f>VLOOKUP($A578,tropes!$A$4:$O$2428,3,FALSE)</f>
        <v>#N/A</v>
      </c>
      <c r="D578" s="5" t="e">
        <f>VLOOKUP($A578,tropes!$A$4:$O$2428,4,FALSE)</f>
        <v>#N/A</v>
      </c>
      <c r="E578" s="5" t="e">
        <f>VLOOKUP($A578,tropes!$A$4:$O$2428,5,FALSE)</f>
        <v>#N/A</v>
      </c>
      <c r="F578" s="5" t="e">
        <f>VLOOKUP($A578,tropes!$A$4:$O$2428,6,FALSE)</f>
        <v>#N/A</v>
      </c>
      <c r="G578" s="5" t="e">
        <f>VLOOKUP($A578,tropes!$A$4:$O$2428,7,FALSE)</f>
        <v>#N/A</v>
      </c>
      <c r="H578" s="5" t="e">
        <f>VLOOKUP($A578,tropes!$A$4:$O$2428,8,FALSE)</f>
        <v>#N/A</v>
      </c>
      <c r="I578" s="5" t="e">
        <f>VLOOKUP($A578,tropes!$A$4:$O$2428,9,FALSE)</f>
        <v>#N/A</v>
      </c>
      <c r="J578" s="5" t="e">
        <f>VLOOKUP($A578,tropes!$A$4:$O$2428,10,FALSE)</f>
        <v>#N/A</v>
      </c>
      <c r="K578" s="5" t="e">
        <f>VLOOKUP($A578,tropes!$A$4:$O$2428,11,FALSE)</f>
        <v>#N/A</v>
      </c>
      <c r="L578" s="5" t="e">
        <f>VLOOKUP($A578,tropes!$A$4:$O$2428,12,FALSE)</f>
        <v>#N/A</v>
      </c>
      <c r="M578" s="5" t="e">
        <f>VLOOKUP($A578,tropes!$A$4:$O$2428,13,FALSE)</f>
        <v>#N/A</v>
      </c>
      <c r="N578" s="5"/>
    </row>
    <row r="579" spans="1:14" x14ac:dyDescent="0.3">
      <c r="A579" s="14"/>
      <c r="B579" s="5" t="e">
        <f>VLOOKUP($A579,tropes!$A$4:$O$2428,2,FALSE)</f>
        <v>#N/A</v>
      </c>
      <c r="C579" s="5" t="e">
        <f>VLOOKUP($A579,tropes!$A$4:$O$2428,3,FALSE)</f>
        <v>#N/A</v>
      </c>
      <c r="D579" s="5" t="e">
        <f>VLOOKUP($A579,tropes!$A$4:$O$2428,4,FALSE)</f>
        <v>#N/A</v>
      </c>
      <c r="E579" s="5" t="e">
        <f>VLOOKUP($A579,tropes!$A$4:$O$2428,5,FALSE)</f>
        <v>#N/A</v>
      </c>
      <c r="F579" s="5" t="e">
        <f>VLOOKUP($A579,tropes!$A$4:$O$2428,6,FALSE)</f>
        <v>#N/A</v>
      </c>
      <c r="G579" s="5" t="e">
        <f>VLOOKUP($A579,tropes!$A$4:$O$2428,7,FALSE)</f>
        <v>#N/A</v>
      </c>
      <c r="H579" s="5" t="e">
        <f>VLOOKUP($A579,tropes!$A$4:$O$2428,8,FALSE)</f>
        <v>#N/A</v>
      </c>
      <c r="I579" s="5" t="e">
        <f>VLOOKUP($A579,tropes!$A$4:$O$2428,9,FALSE)</f>
        <v>#N/A</v>
      </c>
      <c r="J579" s="5" t="e">
        <f>VLOOKUP($A579,tropes!$A$4:$O$2428,10,FALSE)</f>
        <v>#N/A</v>
      </c>
      <c r="K579" s="5" t="e">
        <f>VLOOKUP($A579,tropes!$A$4:$O$2428,11,FALSE)</f>
        <v>#N/A</v>
      </c>
      <c r="L579" s="5" t="e">
        <f>VLOOKUP($A579,tropes!$A$4:$O$2428,12,FALSE)</f>
        <v>#N/A</v>
      </c>
      <c r="M579" s="5" t="e">
        <f>VLOOKUP($A579,tropes!$A$4:$O$2428,13,FALSE)</f>
        <v>#N/A</v>
      </c>
      <c r="N579" s="5"/>
    </row>
    <row r="580" spans="1:14" x14ac:dyDescent="0.3">
      <c r="A580" s="14"/>
      <c r="B580" s="5" t="e">
        <f>VLOOKUP($A580,tropes!$A$4:$O$2428,2,FALSE)</f>
        <v>#N/A</v>
      </c>
      <c r="C580" s="5" t="e">
        <f>VLOOKUP($A580,tropes!$A$4:$O$2428,3,FALSE)</f>
        <v>#N/A</v>
      </c>
      <c r="D580" s="5" t="e">
        <f>VLOOKUP($A580,tropes!$A$4:$O$2428,4,FALSE)</f>
        <v>#N/A</v>
      </c>
      <c r="E580" s="5" t="e">
        <f>VLOOKUP($A580,tropes!$A$4:$O$2428,5,FALSE)</f>
        <v>#N/A</v>
      </c>
      <c r="F580" s="5" t="e">
        <f>VLOOKUP($A580,tropes!$A$4:$O$2428,6,FALSE)</f>
        <v>#N/A</v>
      </c>
      <c r="G580" s="5" t="e">
        <f>VLOOKUP($A580,tropes!$A$4:$O$2428,7,FALSE)</f>
        <v>#N/A</v>
      </c>
      <c r="H580" s="5" t="e">
        <f>VLOOKUP($A580,tropes!$A$4:$O$2428,8,FALSE)</f>
        <v>#N/A</v>
      </c>
      <c r="I580" s="5" t="e">
        <f>VLOOKUP($A580,tropes!$A$4:$O$2428,9,FALSE)</f>
        <v>#N/A</v>
      </c>
      <c r="J580" s="5" t="e">
        <f>VLOOKUP($A580,tropes!$A$4:$O$2428,10,FALSE)</f>
        <v>#N/A</v>
      </c>
      <c r="K580" s="5" t="e">
        <f>VLOOKUP($A580,tropes!$A$4:$O$2428,11,FALSE)</f>
        <v>#N/A</v>
      </c>
      <c r="L580" s="5" t="e">
        <f>VLOOKUP($A580,tropes!$A$4:$O$2428,12,FALSE)</f>
        <v>#N/A</v>
      </c>
      <c r="M580" s="5" t="e">
        <f>VLOOKUP($A580,tropes!$A$4:$O$2428,13,FALSE)</f>
        <v>#N/A</v>
      </c>
      <c r="N580" s="5"/>
    </row>
    <row r="581" spans="1:14" x14ac:dyDescent="0.3">
      <c r="A581" s="14"/>
      <c r="B581" s="5" t="e">
        <f>VLOOKUP($A581,tropes!$A$4:$O$2428,2,FALSE)</f>
        <v>#N/A</v>
      </c>
      <c r="C581" s="5" t="e">
        <f>VLOOKUP($A581,tropes!$A$4:$O$2428,3,FALSE)</f>
        <v>#N/A</v>
      </c>
      <c r="D581" s="5" t="e">
        <f>VLOOKUP($A581,tropes!$A$4:$O$2428,4,FALSE)</f>
        <v>#N/A</v>
      </c>
      <c r="E581" s="5" t="e">
        <f>VLOOKUP($A581,tropes!$A$4:$O$2428,5,FALSE)</f>
        <v>#N/A</v>
      </c>
      <c r="F581" s="5" t="e">
        <f>VLOOKUP($A581,tropes!$A$4:$O$2428,6,FALSE)</f>
        <v>#N/A</v>
      </c>
      <c r="G581" s="5" t="e">
        <f>VLOOKUP($A581,tropes!$A$4:$O$2428,7,FALSE)</f>
        <v>#N/A</v>
      </c>
      <c r="H581" s="5" t="e">
        <f>VLOOKUP($A581,tropes!$A$4:$O$2428,8,FALSE)</f>
        <v>#N/A</v>
      </c>
      <c r="I581" s="5" t="e">
        <f>VLOOKUP($A581,tropes!$A$4:$O$2428,9,FALSE)</f>
        <v>#N/A</v>
      </c>
      <c r="J581" s="5" t="e">
        <f>VLOOKUP($A581,tropes!$A$4:$O$2428,10,FALSE)</f>
        <v>#N/A</v>
      </c>
      <c r="K581" s="5" t="e">
        <f>VLOOKUP($A581,tropes!$A$4:$O$2428,11,FALSE)</f>
        <v>#N/A</v>
      </c>
      <c r="L581" s="5" t="e">
        <f>VLOOKUP($A581,tropes!$A$4:$O$2428,12,FALSE)</f>
        <v>#N/A</v>
      </c>
      <c r="M581" s="5" t="e">
        <f>VLOOKUP($A581,tropes!$A$4:$O$2428,13,FALSE)</f>
        <v>#N/A</v>
      </c>
      <c r="N581" s="5"/>
    </row>
    <row r="582" spans="1:14" x14ac:dyDescent="0.3">
      <c r="A582" s="14"/>
      <c r="B582" s="5" t="e">
        <f>VLOOKUP($A582,tropes!$A$4:$O$2428,2,FALSE)</f>
        <v>#N/A</v>
      </c>
      <c r="C582" s="5" t="e">
        <f>VLOOKUP($A582,tropes!$A$4:$O$2428,3,FALSE)</f>
        <v>#N/A</v>
      </c>
      <c r="D582" s="5" t="e">
        <f>VLOOKUP($A582,tropes!$A$4:$O$2428,4,FALSE)</f>
        <v>#N/A</v>
      </c>
      <c r="E582" s="5" t="e">
        <f>VLOOKUP($A582,tropes!$A$4:$O$2428,5,FALSE)</f>
        <v>#N/A</v>
      </c>
      <c r="F582" s="5" t="e">
        <f>VLOOKUP($A582,tropes!$A$4:$O$2428,6,FALSE)</f>
        <v>#N/A</v>
      </c>
      <c r="G582" s="5" t="e">
        <f>VLOOKUP($A582,tropes!$A$4:$O$2428,7,FALSE)</f>
        <v>#N/A</v>
      </c>
      <c r="H582" s="5" t="e">
        <f>VLOOKUP($A582,tropes!$A$4:$O$2428,8,FALSE)</f>
        <v>#N/A</v>
      </c>
      <c r="I582" s="5" t="e">
        <f>VLOOKUP($A582,tropes!$A$4:$O$2428,9,FALSE)</f>
        <v>#N/A</v>
      </c>
      <c r="J582" s="5" t="e">
        <f>VLOOKUP($A582,tropes!$A$4:$O$2428,10,FALSE)</f>
        <v>#N/A</v>
      </c>
      <c r="K582" s="5" t="e">
        <f>VLOOKUP($A582,tropes!$A$4:$O$2428,11,FALSE)</f>
        <v>#N/A</v>
      </c>
      <c r="L582" s="5" t="e">
        <f>VLOOKUP($A582,tropes!$A$4:$O$2428,12,FALSE)</f>
        <v>#N/A</v>
      </c>
      <c r="M582" s="5" t="e">
        <f>VLOOKUP($A582,tropes!$A$4:$O$2428,13,FALSE)</f>
        <v>#N/A</v>
      </c>
      <c r="N582" s="5"/>
    </row>
    <row r="583" spans="1:14" x14ac:dyDescent="0.3">
      <c r="A583" s="14"/>
      <c r="B583" s="5" t="e">
        <f>VLOOKUP($A583,tropes!$A$4:$O$2428,2,FALSE)</f>
        <v>#N/A</v>
      </c>
      <c r="C583" s="5" t="e">
        <f>VLOOKUP($A583,tropes!$A$4:$O$2428,3,FALSE)</f>
        <v>#N/A</v>
      </c>
      <c r="D583" s="5" t="e">
        <f>VLOOKUP($A583,tropes!$A$4:$O$2428,4,FALSE)</f>
        <v>#N/A</v>
      </c>
      <c r="E583" s="5" t="e">
        <f>VLOOKUP($A583,tropes!$A$4:$O$2428,5,FALSE)</f>
        <v>#N/A</v>
      </c>
      <c r="F583" s="5" t="e">
        <f>VLOOKUP($A583,tropes!$A$4:$O$2428,6,FALSE)</f>
        <v>#N/A</v>
      </c>
      <c r="G583" s="5" t="e">
        <f>VLOOKUP($A583,tropes!$A$4:$O$2428,7,FALSE)</f>
        <v>#N/A</v>
      </c>
      <c r="H583" s="5" t="e">
        <f>VLOOKUP($A583,tropes!$A$4:$O$2428,8,FALSE)</f>
        <v>#N/A</v>
      </c>
      <c r="I583" s="5" t="e">
        <f>VLOOKUP($A583,tropes!$A$4:$O$2428,9,FALSE)</f>
        <v>#N/A</v>
      </c>
      <c r="J583" s="5" t="e">
        <f>VLOOKUP($A583,tropes!$A$4:$O$2428,10,FALSE)</f>
        <v>#N/A</v>
      </c>
      <c r="K583" s="5" t="e">
        <f>VLOOKUP($A583,tropes!$A$4:$O$2428,11,FALSE)</f>
        <v>#N/A</v>
      </c>
      <c r="L583" s="5" t="e">
        <f>VLOOKUP($A583,tropes!$A$4:$O$2428,12,FALSE)</f>
        <v>#N/A</v>
      </c>
      <c r="M583" s="5" t="e">
        <f>VLOOKUP($A583,tropes!$A$4:$O$2428,13,FALSE)</f>
        <v>#N/A</v>
      </c>
      <c r="N583" s="5"/>
    </row>
    <row r="584" spans="1:14" x14ac:dyDescent="0.3">
      <c r="A584" s="14"/>
      <c r="B584" s="5" t="e">
        <f>VLOOKUP($A584,tropes!$A$4:$O$2428,2,FALSE)</f>
        <v>#N/A</v>
      </c>
      <c r="C584" s="5" t="e">
        <f>VLOOKUP($A584,tropes!$A$4:$O$2428,3,FALSE)</f>
        <v>#N/A</v>
      </c>
      <c r="D584" s="5" t="e">
        <f>VLOOKUP($A584,tropes!$A$4:$O$2428,4,FALSE)</f>
        <v>#N/A</v>
      </c>
      <c r="E584" s="5" t="e">
        <f>VLOOKUP($A584,tropes!$A$4:$O$2428,5,FALSE)</f>
        <v>#N/A</v>
      </c>
      <c r="F584" s="5" t="e">
        <f>VLOOKUP($A584,tropes!$A$4:$O$2428,6,FALSE)</f>
        <v>#N/A</v>
      </c>
      <c r="G584" s="5" t="e">
        <f>VLOOKUP($A584,tropes!$A$4:$O$2428,7,FALSE)</f>
        <v>#N/A</v>
      </c>
      <c r="H584" s="5" t="e">
        <f>VLOOKUP($A584,tropes!$A$4:$O$2428,8,FALSE)</f>
        <v>#N/A</v>
      </c>
      <c r="I584" s="5" t="e">
        <f>VLOOKUP($A584,tropes!$A$4:$O$2428,9,FALSE)</f>
        <v>#N/A</v>
      </c>
      <c r="J584" s="5" t="e">
        <f>VLOOKUP($A584,tropes!$A$4:$O$2428,10,FALSE)</f>
        <v>#N/A</v>
      </c>
      <c r="K584" s="5" t="e">
        <f>VLOOKUP($A584,tropes!$A$4:$O$2428,11,FALSE)</f>
        <v>#N/A</v>
      </c>
      <c r="L584" s="5" t="e">
        <f>VLOOKUP($A584,tropes!$A$4:$O$2428,12,FALSE)</f>
        <v>#N/A</v>
      </c>
      <c r="M584" s="5" t="e">
        <f>VLOOKUP($A584,tropes!$A$4:$O$2428,13,FALSE)</f>
        <v>#N/A</v>
      </c>
      <c r="N584" s="5"/>
    </row>
    <row r="585" spans="1:14" x14ac:dyDescent="0.3">
      <c r="A585" s="14"/>
      <c r="B585" s="5" t="e">
        <f>VLOOKUP($A585,tropes!$A$4:$O$2428,2,FALSE)</f>
        <v>#N/A</v>
      </c>
      <c r="C585" s="5" t="e">
        <f>VLOOKUP($A585,tropes!$A$4:$O$2428,3,FALSE)</f>
        <v>#N/A</v>
      </c>
      <c r="D585" s="5" t="e">
        <f>VLOOKUP($A585,tropes!$A$4:$O$2428,4,FALSE)</f>
        <v>#N/A</v>
      </c>
      <c r="E585" s="5" t="e">
        <f>VLOOKUP($A585,tropes!$A$4:$O$2428,5,FALSE)</f>
        <v>#N/A</v>
      </c>
      <c r="F585" s="5" t="e">
        <f>VLOOKUP($A585,tropes!$A$4:$O$2428,6,FALSE)</f>
        <v>#N/A</v>
      </c>
      <c r="G585" s="5" t="e">
        <f>VLOOKUP($A585,tropes!$A$4:$O$2428,7,FALSE)</f>
        <v>#N/A</v>
      </c>
      <c r="H585" s="5" t="e">
        <f>VLOOKUP($A585,tropes!$A$4:$O$2428,8,FALSE)</f>
        <v>#N/A</v>
      </c>
      <c r="I585" s="5" t="e">
        <f>VLOOKUP($A585,tropes!$A$4:$O$2428,9,FALSE)</f>
        <v>#N/A</v>
      </c>
      <c r="J585" s="5" t="e">
        <f>VLOOKUP($A585,tropes!$A$4:$O$2428,10,FALSE)</f>
        <v>#N/A</v>
      </c>
      <c r="K585" s="5" t="e">
        <f>VLOOKUP($A585,tropes!$A$4:$O$2428,11,FALSE)</f>
        <v>#N/A</v>
      </c>
      <c r="L585" s="5" t="e">
        <f>VLOOKUP($A585,tropes!$A$4:$O$2428,12,FALSE)</f>
        <v>#N/A</v>
      </c>
      <c r="M585" s="5" t="e">
        <f>VLOOKUP($A585,tropes!$A$4:$O$2428,13,FALSE)</f>
        <v>#N/A</v>
      </c>
      <c r="N585" s="5"/>
    </row>
    <row r="586" spans="1:14" x14ac:dyDescent="0.3">
      <c r="A586" s="14"/>
      <c r="B586" s="5" t="e">
        <f>VLOOKUP($A586,tropes!$A$4:$O$2428,2,FALSE)</f>
        <v>#N/A</v>
      </c>
      <c r="C586" s="5" t="e">
        <f>VLOOKUP($A586,tropes!$A$4:$O$2428,3,FALSE)</f>
        <v>#N/A</v>
      </c>
      <c r="D586" s="5" t="e">
        <f>VLOOKUP($A586,tropes!$A$4:$O$2428,4,FALSE)</f>
        <v>#N/A</v>
      </c>
      <c r="E586" s="5" t="e">
        <f>VLOOKUP($A586,tropes!$A$4:$O$2428,5,FALSE)</f>
        <v>#N/A</v>
      </c>
      <c r="F586" s="5" t="e">
        <f>VLOOKUP($A586,tropes!$A$4:$O$2428,6,FALSE)</f>
        <v>#N/A</v>
      </c>
      <c r="G586" s="5" t="e">
        <f>VLOOKUP($A586,tropes!$A$4:$O$2428,7,FALSE)</f>
        <v>#N/A</v>
      </c>
      <c r="H586" s="5" t="e">
        <f>VLOOKUP($A586,tropes!$A$4:$O$2428,8,FALSE)</f>
        <v>#N/A</v>
      </c>
      <c r="I586" s="5" t="e">
        <f>VLOOKUP($A586,tropes!$A$4:$O$2428,9,FALSE)</f>
        <v>#N/A</v>
      </c>
      <c r="J586" s="5" t="e">
        <f>VLOOKUP($A586,tropes!$A$4:$O$2428,10,FALSE)</f>
        <v>#N/A</v>
      </c>
      <c r="K586" s="5" t="e">
        <f>VLOOKUP($A586,tropes!$A$4:$O$2428,11,FALSE)</f>
        <v>#N/A</v>
      </c>
      <c r="L586" s="5" t="e">
        <f>VLOOKUP($A586,tropes!$A$4:$O$2428,12,FALSE)</f>
        <v>#N/A</v>
      </c>
      <c r="M586" s="5" t="e">
        <f>VLOOKUP($A586,tropes!$A$4:$O$2428,13,FALSE)</f>
        <v>#N/A</v>
      </c>
      <c r="N586" s="5"/>
    </row>
    <row r="587" spans="1:14" x14ac:dyDescent="0.3">
      <c r="A587" s="14"/>
      <c r="B587" s="5" t="e">
        <f>VLOOKUP($A587,tropes!$A$4:$O$2428,2,FALSE)</f>
        <v>#N/A</v>
      </c>
      <c r="C587" s="5" t="e">
        <f>VLOOKUP($A587,tropes!$A$4:$O$2428,3,FALSE)</f>
        <v>#N/A</v>
      </c>
      <c r="D587" s="5" t="e">
        <f>VLOOKUP($A587,tropes!$A$4:$O$2428,4,FALSE)</f>
        <v>#N/A</v>
      </c>
      <c r="E587" s="5" t="e">
        <f>VLOOKUP($A587,tropes!$A$4:$O$2428,5,FALSE)</f>
        <v>#N/A</v>
      </c>
      <c r="F587" s="5" t="e">
        <f>VLOOKUP($A587,tropes!$A$4:$O$2428,6,FALSE)</f>
        <v>#N/A</v>
      </c>
      <c r="G587" s="5" t="e">
        <f>VLOOKUP($A587,tropes!$A$4:$O$2428,7,FALSE)</f>
        <v>#N/A</v>
      </c>
      <c r="H587" s="5" t="e">
        <f>VLOOKUP($A587,tropes!$A$4:$O$2428,8,FALSE)</f>
        <v>#N/A</v>
      </c>
      <c r="I587" s="5" t="e">
        <f>VLOOKUP($A587,tropes!$A$4:$O$2428,9,FALSE)</f>
        <v>#N/A</v>
      </c>
      <c r="J587" s="5" t="e">
        <f>VLOOKUP($A587,tropes!$A$4:$O$2428,10,FALSE)</f>
        <v>#N/A</v>
      </c>
      <c r="K587" s="5" t="e">
        <f>VLOOKUP($A587,tropes!$A$4:$O$2428,11,FALSE)</f>
        <v>#N/A</v>
      </c>
      <c r="L587" s="5" t="e">
        <f>VLOOKUP($A587,tropes!$A$4:$O$2428,12,FALSE)</f>
        <v>#N/A</v>
      </c>
      <c r="M587" s="5" t="e">
        <f>VLOOKUP($A587,tropes!$A$4:$O$2428,13,FALSE)</f>
        <v>#N/A</v>
      </c>
      <c r="N587" s="5"/>
    </row>
    <row r="588" spans="1:14" x14ac:dyDescent="0.3">
      <c r="A588" s="14"/>
      <c r="B588" s="5" t="e">
        <f>VLOOKUP($A588,tropes!$A$4:$O$2428,2,FALSE)</f>
        <v>#N/A</v>
      </c>
      <c r="C588" s="5" t="e">
        <f>VLOOKUP($A588,tropes!$A$4:$O$2428,3,FALSE)</f>
        <v>#N/A</v>
      </c>
      <c r="D588" s="5" t="e">
        <f>VLOOKUP($A588,tropes!$A$4:$O$2428,4,FALSE)</f>
        <v>#N/A</v>
      </c>
      <c r="E588" s="5" t="e">
        <f>VLOOKUP($A588,tropes!$A$4:$O$2428,5,FALSE)</f>
        <v>#N/A</v>
      </c>
      <c r="F588" s="5" t="e">
        <f>VLOOKUP($A588,tropes!$A$4:$O$2428,6,FALSE)</f>
        <v>#N/A</v>
      </c>
      <c r="G588" s="5" t="e">
        <f>VLOOKUP($A588,tropes!$A$4:$O$2428,7,FALSE)</f>
        <v>#N/A</v>
      </c>
      <c r="H588" s="5" t="e">
        <f>VLOOKUP($A588,tropes!$A$4:$O$2428,8,FALSE)</f>
        <v>#N/A</v>
      </c>
      <c r="I588" s="5" t="e">
        <f>VLOOKUP($A588,tropes!$A$4:$O$2428,9,FALSE)</f>
        <v>#N/A</v>
      </c>
      <c r="J588" s="5" t="e">
        <f>VLOOKUP($A588,tropes!$A$4:$O$2428,10,FALSE)</f>
        <v>#N/A</v>
      </c>
      <c r="K588" s="5" t="e">
        <f>VLOOKUP($A588,tropes!$A$4:$O$2428,11,FALSE)</f>
        <v>#N/A</v>
      </c>
      <c r="L588" s="5" t="e">
        <f>VLOOKUP($A588,tropes!$A$4:$O$2428,12,FALSE)</f>
        <v>#N/A</v>
      </c>
      <c r="M588" s="5" t="e">
        <f>VLOOKUP($A588,tropes!$A$4:$O$2428,13,FALSE)</f>
        <v>#N/A</v>
      </c>
      <c r="N588" s="5"/>
    </row>
    <row r="589" spans="1:14" x14ac:dyDescent="0.3">
      <c r="A589" s="14"/>
      <c r="B589" s="5" t="e">
        <f>VLOOKUP($A589,tropes!$A$4:$O$2428,2,FALSE)</f>
        <v>#N/A</v>
      </c>
      <c r="C589" s="5" t="e">
        <f>VLOOKUP($A589,tropes!$A$4:$O$2428,3,FALSE)</f>
        <v>#N/A</v>
      </c>
      <c r="D589" s="5" t="e">
        <f>VLOOKUP($A589,tropes!$A$4:$O$2428,4,FALSE)</f>
        <v>#N/A</v>
      </c>
      <c r="E589" s="5" t="e">
        <f>VLOOKUP($A589,tropes!$A$4:$O$2428,5,FALSE)</f>
        <v>#N/A</v>
      </c>
      <c r="F589" s="5" t="e">
        <f>VLOOKUP($A589,tropes!$A$4:$O$2428,6,FALSE)</f>
        <v>#N/A</v>
      </c>
      <c r="G589" s="5" t="e">
        <f>VLOOKUP($A589,tropes!$A$4:$O$2428,7,FALSE)</f>
        <v>#N/A</v>
      </c>
      <c r="H589" s="5" t="e">
        <f>VLOOKUP($A589,tropes!$A$4:$O$2428,8,FALSE)</f>
        <v>#N/A</v>
      </c>
      <c r="I589" s="5" t="e">
        <f>VLOOKUP($A589,tropes!$A$4:$O$2428,9,FALSE)</f>
        <v>#N/A</v>
      </c>
      <c r="J589" s="5" t="e">
        <f>VLOOKUP($A589,tropes!$A$4:$O$2428,10,FALSE)</f>
        <v>#N/A</v>
      </c>
      <c r="K589" s="5" t="e">
        <f>VLOOKUP($A589,tropes!$A$4:$O$2428,11,FALSE)</f>
        <v>#N/A</v>
      </c>
      <c r="L589" s="5" t="e">
        <f>VLOOKUP($A589,tropes!$A$4:$O$2428,12,FALSE)</f>
        <v>#N/A</v>
      </c>
      <c r="M589" s="5" t="e">
        <f>VLOOKUP($A589,tropes!$A$4:$O$2428,13,FALSE)</f>
        <v>#N/A</v>
      </c>
      <c r="N589" s="5"/>
    </row>
    <row r="590" spans="1:14" x14ac:dyDescent="0.3">
      <c r="A590" s="14"/>
      <c r="B590" s="5" t="e">
        <f>VLOOKUP($A590,tropes!$A$4:$O$2428,2,FALSE)</f>
        <v>#N/A</v>
      </c>
      <c r="C590" s="5" t="e">
        <f>VLOOKUP($A590,tropes!$A$4:$O$2428,3,FALSE)</f>
        <v>#N/A</v>
      </c>
      <c r="D590" s="5" t="e">
        <f>VLOOKUP($A590,tropes!$A$4:$O$2428,4,FALSE)</f>
        <v>#N/A</v>
      </c>
      <c r="E590" s="5" t="e">
        <f>VLOOKUP($A590,tropes!$A$4:$O$2428,5,FALSE)</f>
        <v>#N/A</v>
      </c>
      <c r="F590" s="5" t="e">
        <f>VLOOKUP($A590,tropes!$A$4:$O$2428,6,FALSE)</f>
        <v>#N/A</v>
      </c>
      <c r="G590" s="5" t="e">
        <f>VLOOKUP($A590,tropes!$A$4:$O$2428,7,FALSE)</f>
        <v>#N/A</v>
      </c>
      <c r="H590" s="5" t="e">
        <f>VLOOKUP($A590,tropes!$A$4:$O$2428,8,FALSE)</f>
        <v>#N/A</v>
      </c>
      <c r="I590" s="5" t="e">
        <f>VLOOKUP($A590,tropes!$A$4:$O$2428,9,FALSE)</f>
        <v>#N/A</v>
      </c>
      <c r="J590" s="5" t="e">
        <f>VLOOKUP($A590,tropes!$A$4:$O$2428,10,FALSE)</f>
        <v>#N/A</v>
      </c>
      <c r="K590" s="5" t="e">
        <f>VLOOKUP($A590,tropes!$A$4:$O$2428,11,FALSE)</f>
        <v>#N/A</v>
      </c>
      <c r="L590" s="5" t="e">
        <f>VLOOKUP($A590,tropes!$A$4:$O$2428,12,FALSE)</f>
        <v>#N/A</v>
      </c>
      <c r="M590" s="5" t="e">
        <f>VLOOKUP($A590,tropes!$A$4:$O$2428,13,FALSE)</f>
        <v>#N/A</v>
      </c>
      <c r="N590" s="5"/>
    </row>
    <row r="591" spans="1:14" x14ac:dyDescent="0.3">
      <c r="A591" s="14"/>
      <c r="B591" s="5" t="e">
        <f>VLOOKUP($A591,tropes!$A$4:$O$2428,2,FALSE)</f>
        <v>#N/A</v>
      </c>
      <c r="C591" s="5" t="e">
        <f>VLOOKUP($A591,tropes!$A$4:$O$2428,3,FALSE)</f>
        <v>#N/A</v>
      </c>
      <c r="D591" s="5" t="e">
        <f>VLOOKUP($A591,tropes!$A$4:$O$2428,4,FALSE)</f>
        <v>#N/A</v>
      </c>
      <c r="E591" s="5" t="e">
        <f>VLOOKUP($A591,tropes!$A$4:$O$2428,5,FALSE)</f>
        <v>#N/A</v>
      </c>
      <c r="F591" s="5" t="e">
        <f>VLOOKUP($A591,tropes!$A$4:$O$2428,6,FALSE)</f>
        <v>#N/A</v>
      </c>
      <c r="G591" s="5" t="e">
        <f>VLOOKUP($A591,tropes!$A$4:$O$2428,7,FALSE)</f>
        <v>#N/A</v>
      </c>
      <c r="H591" s="5" t="e">
        <f>VLOOKUP($A591,tropes!$A$4:$O$2428,8,FALSE)</f>
        <v>#N/A</v>
      </c>
      <c r="I591" s="5" t="e">
        <f>VLOOKUP($A591,tropes!$A$4:$O$2428,9,FALSE)</f>
        <v>#N/A</v>
      </c>
      <c r="J591" s="5" t="e">
        <f>VLOOKUP($A591,tropes!$A$4:$O$2428,10,FALSE)</f>
        <v>#N/A</v>
      </c>
      <c r="K591" s="5" t="e">
        <f>VLOOKUP($A591,tropes!$A$4:$O$2428,11,FALSE)</f>
        <v>#N/A</v>
      </c>
      <c r="L591" s="5" t="e">
        <f>VLOOKUP($A591,tropes!$A$4:$O$2428,12,FALSE)</f>
        <v>#N/A</v>
      </c>
      <c r="M591" s="5" t="e">
        <f>VLOOKUP($A591,tropes!$A$4:$O$2428,13,FALSE)</f>
        <v>#N/A</v>
      </c>
      <c r="N591" s="5"/>
    </row>
    <row r="592" spans="1:14" x14ac:dyDescent="0.3">
      <c r="A592" s="14"/>
      <c r="B592" s="5" t="e">
        <f>VLOOKUP($A592,tropes!$A$4:$O$2428,2,FALSE)</f>
        <v>#N/A</v>
      </c>
      <c r="C592" s="5" t="e">
        <f>VLOOKUP($A592,tropes!$A$4:$O$2428,3,FALSE)</f>
        <v>#N/A</v>
      </c>
      <c r="D592" s="5" t="e">
        <f>VLOOKUP($A592,tropes!$A$4:$O$2428,4,FALSE)</f>
        <v>#N/A</v>
      </c>
      <c r="E592" s="5" t="e">
        <f>VLOOKUP($A592,tropes!$A$4:$O$2428,5,FALSE)</f>
        <v>#N/A</v>
      </c>
      <c r="F592" s="5" t="e">
        <f>VLOOKUP($A592,tropes!$A$4:$O$2428,6,FALSE)</f>
        <v>#N/A</v>
      </c>
      <c r="G592" s="5" t="e">
        <f>VLOOKUP($A592,tropes!$A$4:$O$2428,7,FALSE)</f>
        <v>#N/A</v>
      </c>
      <c r="H592" s="5" t="e">
        <f>VLOOKUP($A592,tropes!$A$4:$O$2428,8,FALSE)</f>
        <v>#N/A</v>
      </c>
      <c r="I592" s="5" t="e">
        <f>VLOOKUP($A592,tropes!$A$4:$O$2428,9,FALSE)</f>
        <v>#N/A</v>
      </c>
      <c r="J592" s="5" t="e">
        <f>VLOOKUP($A592,tropes!$A$4:$O$2428,10,FALSE)</f>
        <v>#N/A</v>
      </c>
      <c r="K592" s="5" t="e">
        <f>VLOOKUP($A592,tropes!$A$4:$O$2428,11,FALSE)</f>
        <v>#N/A</v>
      </c>
      <c r="L592" s="5" t="e">
        <f>VLOOKUP($A592,tropes!$A$4:$O$2428,12,FALSE)</f>
        <v>#N/A</v>
      </c>
      <c r="M592" s="5" t="e">
        <f>VLOOKUP($A592,tropes!$A$4:$O$2428,13,FALSE)</f>
        <v>#N/A</v>
      </c>
      <c r="N592" s="5"/>
    </row>
    <row r="593" spans="1:14" x14ac:dyDescent="0.3">
      <c r="A593" s="14"/>
      <c r="B593" s="5" t="e">
        <f>VLOOKUP($A593,tropes!$A$4:$O$2428,2,FALSE)</f>
        <v>#N/A</v>
      </c>
      <c r="C593" s="5" t="e">
        <f>VLOOKUP($A593,tropes!$A$4:$O$2428,3,FALSE)</f>
        <v>#N/A</v>
      </c>
      <c r="D593" s="5" t="e">
        <f>VLOOKUP($A593,tropes!$A$4:$O$2428,4,FALSE)</f>
        <v>#N/A</v>
      </c>
      <c r="E593" s="5" t="e">
        <f>VLOOKUP($A593,tropes!$A$4:$O$2428,5,FALSE)</f>
        <v>#N/A</v>
      </c>
      <c r="F593" s="5" t="e">
        <f>VLOOKUP($A593,tropes!$A$4:$O$2428,6,FALSE)</f>
        <v>#N/A</v>
      </c>
      <c r="G593" s="5" t="e">
        <f>VLOOKUP($A593,tropes!$A$4:$O$2428,7,FALSE)</f>
        <v>#N/A</v>
      </c>
      <c r="H593" s="5" t="e">
        <f>VLOOKUP($A593,tropes!$A$4:$O$2428,8,FALSE)</f>
        <v>#N/A</v>
      </c>
      <c r="I593" s="5" t="e">
        <f>VLOOKUP($A593,tropes!$A$4:$O$2428,9,FALSE)</f>
        <v>#N/A</v>
      </c>
      <c r="J593" s="5" t="e">
        <f>VLOOKUP($A593,tropes!$A$4:$O$2428,10,FALSE)</f>
        <v>#N/A</v>
      </c>
      <c r="K593" s="5" t="e">
        <f>VLOOKUP($A593,tropes!$A$4:$O$2428,11,FALSE)</f>
        <v>#N/A</v>
      </c>
      <c r="L593" s="5" t="e">
        <f>VLOOKUP($A593,tropes!$A$4:$O$2428,12,FALSE)</f>
        <v>#N/A</v>
      </c>
      <c r="M593" s="5" t="e">
        <f>VLOOKUP($A593,tropes!$A$4:$O$2428,13,FALSE)</f>
        <v>#N/A</v>
      </c>
      <c r="N593" s="5"/>
    </row>
    <row r="594" spans="1:14" x14ac:dyDescent="0.3">
      <c r="A594" s="14"/>
      <c r="B594" s="5" t="e">
        <f>VLOOKUP($A594,tropes!$A$4:$O$2428,2,FALSE)</f>
        <v>#N/A</v>
      </c>
      <c r="C594" s="5" t="e">
        <f>VLOOKUP($A594,tropes!$A$4:$O$2428,3,FALSE)</f>
        <v>#N/A</v>
      </c>
      <c r="D594" s="5" t="e">
        <f>VLOOKUP($A594,tropes!$A$4:$O$2428,4,FALSE)</f>
        <v>#N/A</v>
      </c>
      <c r="E594" s="5" t="e">
        <f>VLOOKUP($A594,tropes!$A$4:$O$2428,5,FALSE)</f>
        <v>#N/A</v>
      </c>
      <c r="F594" s="5" t="e">
        <f>VLOOKUP($A594,tropes!$A$4:$O$2428,6,FALSE)</f>
        <v>#N/A</v>
      </c>
      <c r="G594" s="5" t="e">
        <f>VLOOKUP($A594,tropes!$A$4:$O$2428,7,FALSE)</f>
        <v>#N/A</v>
      </c>
      <c r="H594" s="5" t="e">
        <f>VLOOKUP($A594,tropes!$A$4:$O$2428,8,FALSE)</f>
        <v>#N/A</v>
      </c>
      <c r="I594" s="5" t="e">
        <f>VLOOKUP($A594,tropes!$A$4:$O$2428,9,FALSE)</f>
        <v>#N/A</v>
      </c>
      <c r="J594" s="5" t="e">
        <f>VLOOKUP($A594,tropes!$A$4:$O$2428,10,FALSE)</f>
        <v>#N/A</v>
      </c>
      <c r="K594" s="5" t="e">
        <f>VLOOKUP($A594,tropes!$A$4:$O$2428,11,FALSE)</f>
        <v>#N/A</v>
      </c>
      <c r="L594" s="5" t="e">
        <f>VLOOKUP($A594,tropes!$A$4:$O$2428,12,FALSE)</f>
        <v>#N/A</v>
      </c>
      <c r="M594" s="5" t="e">
        <f>VLOOKUP($A594,tropes!$A$4:$O$2428,13,FALSE)</f>
        <v>#N/A</v>
      </c>
      <c r="N594" s="5"/>
    </row>
    <row r="595" spans="1:14" x14ac:dyDescent="0.3">
      <c r="A595" s="14"/>
      <c r="B595" s="5" t="e">
        <f>VLOOKUP($A595,tropes!$A$4:$O$2428,2,FALSE)</f>
        <v>#N/A</v>
      </c>
      <c r="C595" s="5" t="e">
        <f>VLOOKUP($A595,tropes!$A$4:$O$2428,3,FALSE)</f>
        <v>#N/A</v>
      </c>
      <c r="D595" s="5" t="e">
        <f>VLOOKUP($A595,tropes!$A$4:$O$2428,4,FALSE)</f>
        <v>#N/A</v>
      </c>
      <c r="E595" s="5" t="e">
        <f>VLOOKUP($A595,tropes!$A$4:$O$2428,5,FALSE)</f>
        <v>#N/A</v>
      </c>
      <c r="F595" s="5" t="e">
        <f>VLOOKUP($A595,tropes!$A$4:$O$2428,6,FALSE)</f>
        <v>#N/A</v>
      </c>
      <c r="G595" s="5" t="e">
        <f>VLOOKUP($A595,tropes!$A$4:$O$2428,7,FALSE)</f>
        <v>#N/A</v>
      </c>
      <c r="H595" s="5" t="e">
        <f>VLOOKUP($A595,tropes!$A$4:$O$2428,8,FALSE)</f>
        <v>#N/A</v>
      </c>
      <c r="I595" s="5" t="e">
        <f>VLOOKUP($A595,tropes!$A$4:$O$2428,9,FALSE)</f>
        <v>#N/A</v>
      </c>
      <c r="J595" s="5" t="e">
        <f>VLOOKUP($A595,tropes!$A$4:$O$2428,10,FALSE)</f>
        <v>#N/A</v>
      </c>
      <c r="K595" s="5" t="e">
        <f>VLOOKUP($A595,tropes!$A$4:$O$2428,11,FALSE)</f>
        <v>#N/A</v>
      </c>
      <c r="L595" s="5" t="e">
        <f>VLOOKUP($A595,tropes!$A$4:$O$2428,12,FALSE)</f>
        <v>#N/A</v>
      </c>
      <c r="M595" s="5" t="e">
        <f>VLOOKUP($A595,tropes!$A$4:$O$2428,13,FALSE)</f>
        <v>#N/A</v>
      </c>
      <c r="N595" s="5"/>
    </row>
    <row r="596" spans="1:14" x14ac:dyDescent="0.3">
      <c r="A596" s="14"/>
      <c r="B596" s="5" t="e">
        <f>VLOOKUP($A596,tropes!$A$4:$O$2428,2,FALSE)</f>
        <v>#N/A</v>
      </c>
      <c r="C596" s="5" t="e">
        <f>VLOOKUP($A596,tropes!$A$4:$O$2428,3,FALSE)</f>
        <v>#N/A</v>
      </c>
      <c r="D596" s="5" t="e">
        <f>VLOOKUP($A596,tropes!$A$4:$O$2428,4,FALSE)</f>
        <v>#N/A</v>
      </c>
      <c r="E596" s="5" t="e">
        <f>VLOOKUP($A596,tropes!$A$4:$O$2428,5,FALSE)</f>
        <v>#N/A</v>
      </c>
      <c r="F596" s="5" t="e">
        <f>VLOOKUP($A596,tropes!$A$4:$O$2428,6,FALSE)</f>
        <v>#N/A</v>
      </c>
      <c r="G596" s="5" t="e">
        <f>VLOOKUP($A596,tropes!$A$4:$O$2428,7,FALSE)</f>
        <v>#N/A</v>
      </c>
      <c r="H596" s="5" t="e">
        <f>VLOOKUP($A596,tropes!$A$4:$O$2428,8,FALSE)</f>
        <v>#N/A</v>
      </c>
      <c r="I596" s="5" t="e">
        <f>VLOOKUP($A596,tropes!$A$4:$O$2428,9,FALSE)</f>
        <v>#N/A</v>
      </c>
      <c r="J596" s="5" t="e">
        <f>VLOOKUP($A596,tropes!$A$4:$O$2428,10,FALSE)</f>
        <v>#N/A</v>
      </c>
      <c r="K596" s="5" t="e">
        <f>VLOOKUP($A596,tropes!$A$4:$O$2428,11,FALSE)</f>
        <v>#N/A</v>
      </c>
      <c r="L596" s="5" t="e">
        <f>VLOOKUP($A596,tropes!$A$4:$O$2428,12,FALSE)</f>
        <v>#N/A</v>
      </c>
      <c r="M596" s="5" t="e">
        <f>VLOOKUP($A596,tropes!$A$4:$O$2428,13,FALSE)</f>
        <v>#N/A</v>
      </c>
      <c r="N596" s="5"/>
    </row>
    <row r="597" spans="1:14" x14ac:dyDescent="0.3">
      <c r="A597" s="14"/>
      <c r="B597" s="5" t="e">
        <f>VLOOKUP($A597,tropes!$A$4:$O$2428,2,FALSE)</f>
        <v>#N/A</v>
      </c>
      <c r="C597" s="5" t="e">
        <f>VLOOKUP($A597,tropes!$A$4:$O$2428,3,FALSE)</f>
        <v>#N/A</v>
      </c>
      <c r="D597" s="5" t="e">
        <f>VLOOKUP($A597,tropes!$A$4:$O$2428,4,FALSE)</f>
        <v>#N/A</v>
      </c>
      <c r="E597" s="5" t="e">
        <f>VLOOKUP($A597,tropes!$A$4:$O$2428,5,FALSE)</f>
        <v>#N/A</v>
      </c>
      <c r="F597" s="5" t="e">
        <f>VLOOKUP($A597,tropes!$A$4:$O$2428,6,FALSE)</f>
        <v>#N/A</v>
      </c>
      <c r="G597" s="5" t="e">
        <f>VLOOKUP($A597,tropes!$A$4:$O$2428,7,FALSE)</f>
        <v>#N/A</v>
      </c>
      <c r="H597" s="5" t="e">
        <f>VLOOKUP($A597,tropes!$A$4:$O$2428,8,FALSE)</f>
        <v>#N/A</v>
      </c>
      <c r="I597" s="5" t="e">
        <f>VLOOKUP($A597,tropes!$A$4:$O$2428,9,FALSE)</f>
        <v>#N/A</v>
      </c>
      <c r="J597" s="5" t="e">
        <f>VLOOKUP($A597,tropes!$A$4:$O$2428,10,FALSE)</f>
        <v>#N/A</v>
      </c>
      <c r="K597" s="5" t="e">
        <f>VLOOKUP($A597,tropes!$A$4:$O$2428,11,FALSE)</f>
        <v>#N/A</v>
      </c>
      <c r="L597" s="5" t="e">
        <f>VLOOKUP($A597,tropes!$A$4:$O$2428,12,FALSE)</f>
        <v>#N/A</v>
      </c>
      <c r="M597" s="5" t="e">
        <f>VLOOKUP($A597,tropes!$A$4:$O$2428,13,FALSE)</f>
        <v>#N/A</v>
      </c>
      <c r="N597" s="5"/>
    </row>
    <row r="598" spans="1:14" x14ac:dyDescent="0.3">
      <c r="A598" s="14"/>
      <c r="B598" s="5" t="e">
        <f>VLOOKUP($A598,tropes!$A$4:$O$2428,2,FALSE)</f>
        <v>#N/A</v>
      </c>
      <c r="C598" s="5" t="e">
        <f>VLOOKUP($A598,tropes!$A$4:$O$2428,3,FALSE)</f>
        <v>#N/A</v>
      </c>
      <c r="D598" s="5" t="e">
        <f>VLOOKUP($A598,tropes!$A$4:$O$2428,4,FALSE)</f>
        <v>#N/A</v>
      </c>
      <c r="E598" s="5" t="e">
        <f>VLOOKUP($A598,tropes!$A$4:$O$2428,5,FALSE)</f>
        <v>#N/A</v>
      </c>
      <c r="F598" s="5" t="e">
        <f>VLOOKUP($A598,tropes!$A$4:$O$2428,6,FALSE)</f>
        <v>#N/A</v>
      </c>
      <c r="G598" s="5" t="e">
        <f>VLOOKUP($A598,tropes!$A$4:$O$2428,7,FALSE)</f>
        <v>#N/A</v>
      </c>
      <c r="H598" s="5" t="e">
        <f>VLOOKUP($A598,tropes!$A$4:$O$2428,8,FALSE)</f>
        <v>#N/A</v>
      </c>
      <c r="I598" s="5" t="e">
        <f>VLOOKUP($A598,tropes!$A$4:$O$2428,9,FALSE)</f>
        <v>#N/A</v>
      </c>
      <c r="J598" s="5" t="e">
        <f>VLOOKUP($A598,tropes!$A$4:$O$2428,10,FALSE)</f>
        <v>#N/A</v>
      </c>
      <c r="K598" s="5" t="e">
        <f>VLOOKUP($A598,tropes!$A$4:$O$2428,11,FALSE)</f>
        <v>#N/A</v>
      </c>
      <c r="L598" s="5" t="e">
        <f>VLOOKUP($A598,tropes!$A$4:$O$2428,12,FALSE)</f>
        <v>#N/A</v>
      </c>
      <c r="M598" s="5" t="e">
        <f>VLOOKUP($A598,tropes!$A$4:$O$2428,13,FALSE)</f>
        <v>#N/A</v>
      </c>
      <c r="N598" s="5"/>
    </row>
    <row r="599" spans="1:14" x14ac:dyDescent="0.3">
      <c r="A599" s="14"/>
      <c r="B599" s="5" t="e">
        <f>VLOOKUP($A599,tropes!$A$4:$O$2428,2,FALSE)</f>
        <v>#N/A</v>
      </c>
      <c r="C599" s="5" t="e">
        <f>VLOOKUP($A599,tropes!$A$4:$O$2428,3,FALSE)</f>
        <v>#N/A</v>
      </c>
      <c r="D599" s="5" t="e">
        <f>VLOOKUP($A599,tropes!$A$4:$O$2428,4,FALSE)</f>
        <v>#N/A</v>
      </c>
      <c r="E599" s="5" t="e">
        <f>VLOOKUP($A599,tropes!$A$4:$O$2428,5,FALSE)</f>
        <v>#N/A</v>
      </c>
      <c r="F599" s="5" t="e">
        <f>VLOOKUP($A599,tropes!$A$4:$O$2428,6,FALSE)</f>
        <v>#N/A</v>
      </c>
      <c r="G599" s="5" t="e">
        <f>VLOOKUP($A599,tropes!$A$4:$O$2428,7,FALSE)</f>
        <v>#N/A</v>
      </c>
      <c r="H599" s="5" t="e">
        <f>VLOOKUP($A599,tropes!$A$4:$O$2428,8,FALSE)</f>
        <v>#N/A</v>
      </c>
      <c r="I599" s="5" t="e">
        <f>VLOOKUP($A599,tropes!$A$4:$O$2428,9,FALSE)</f>
        <v>#N/A</v>
      </c>
      <c r="J599" s="5" t="e">
        <f>VLOOKUP($A599,tropes!$A$4:$O$2428,10,FALSE)</f>
        <v>#N/A</v>
      </c>
      <c r="K599" s="5" t="e">
        <f>VLOOKUP($A599,tropes!$A$4:$O$2428,11,FALSE)</f>
        <v>#N/A</v>
      </c>
      <c r="L599" s="5" t="e">
        <f>VLOOKUP($A599,tropes!$A$4:$O$2428,12,FALSE)</f>
        <v>#N/A</v>
      </c>
      <c r="M599" s="5" t="e">
        <f>VLOOKUP($A599,tropes!$A$4:$O$2428,13,FALSE)</f>
        <v>#N/A</v>
      </c>
      <c r="N599" s="5"/>
    </row>
    <row r="600" spans="1:14" x14ac:dyDescent="0.3">
      <c r="A600" s="14"/>
      <c r="B600" s="5" t="e">
        <f>VLOOKUP($A600,tropes!$A$4:$O$2428,2,FALSE)</f>
        <v>#N/A</v>
      </c>
      <c r="C600" s="5" t="e">
        <f>VLOOKUP($A600,tropes!$A$4:$O$2428,3,FALSE)</f>
        <v>#N/A</v>
      </c>
      <c r="D600" s="5" t="e">
        <f>VLOOKUP($A600,tropes!$A$4:$O$2428,4,FALSE)</f>
        <v>#N/A</v>
      </c>
      <c r="E600" s="5" t="e">
        <f>VLOOKUP($A600,tropes!$A$4:$O$2428,5,FALSE)</f>
        <v>#N/A</v>
      </c>
      <c r="F600" s="5" t="e">
        <f>VLOOKUP($A600,tropes!$A$4:$O$2428,6,FALSE)</f>
        <v>#N/A</v>
      </c>
      <c r="G600" s="5" t="e">
        <f>VLOOKUP($A600,tropes!$A$4:$O$2428,7,FALSE)</f>
        <v>#N/A</v>
      </c>
      <c r="H600" s="5" t="e">
        <f>VLOOKUP($A600,tropes!$A$4:$O$2428,8,FALSE)</f>
        <v>#N/A</v>
      </c>
      <c r="I600" s="5" t="e">
        <f>VLOOKUP($A600,tropes!$A$4:$O$2428,9,FALSE)</f>
        <v>#N/A</v>
      </c>
      <c r="J600" s="5" t="e">
        <f>VLOOKUP($A600,tropes!$A$4:$O$2428,10,FALSE)</f>
        <v>#N/A</v>
      </c>
      <c r="K600" s="5" t="e">
        <f>VLOOKUP($A600,tropes!$A$4:$O$2428,11,FALSE)</f>
        <v>#N/A</v>
      </c>
      <c r="L600" s="5" t="e">
        <f>VLOOKUP($A600,tropes!$A$4:$O$2428,12,FALSE)</f>
        <v>#N/A</v>
      </c>
      <c r="M600" s="5" t="e">
        <f>VLOOKUP($A600,tropes!$A$4:$O$2428,13,FALSE)</f>
        <v>#N/A</v>
      </c>
      <c r="N600" s="5"/>
    </row>
    <row r="601" spans="1:14" x14ac:dyDescent="0.3">
      <c r="A601" s="14"/>
      <c r="B601" s="5" t="e">
        <f>VLOOKUP($A601,tropes!$A$4:$O$2428,2,FALSE)</f>
        <v>#N/A</v>
      </c>
      <c r="C601" s="5" t="e">
        <f>VLOOKUP($A601,tropes!$A$4:$O$2428,3,FALSE)</f>
        <v>#N/A</v>
      </c>
      <c r="D601" s="5" t="e">
        <f>VLOOKUP($A601,tropes!$A$4:$O$2428,4,FALSE)</f>
        <v>#N/A</v>
      </c>
      <c r="E601" s="5" t="e">
        <f>VLOOKUP($A601,tropes!$A$4:$O$2428,5,FALSE)</f>
        <v>#N/A</v>
      </c>
      <c r="F601" s="5" t="e">
        <f>VLOOKUP($A601,tropes!$A$4:$O$2428,6,FALSE)</f>
        <v>#N/A</v>
      </c>
      <c r="G601" s="5" t="e">
        <f>VLOOKUP($A601,tropes!$A$4:$O$2428,7,FALSE)</f>
        <v>#N/A</v>
      </c>
      <c r="H601" s="5" t="e">
        <f>VLOOKUP($A601,tropes!$A$4:$O$2428,8,FALSE)</f>
        <v>#N/A</v>
      </c>
      <c r="I601" s="5" t="e">
        <f>VLOOKUP($A601,tropes!$A$4:$O$2428,9,FALSE)</f>
        <v>#N/A</v>
      </c>
      <c r="J601" s="5" t="e">
        <f>VLOOKUP($A601,tropes!$A$4:$O$2428,10,FALSE)</f>
        <v>#N/A</v>
      </c>
      <c r="K601" s="5" t="e">
        <f>VLOOKUP($A601,tropes!$A$4:$O$2428,11,FALSE)</f>
        <v>#N/A</v>
      </c>
      <c r="L601" s="5" t="e">
        <f>VLOOKUP($A601,tropes!$A$4:$O$2428,12,FALSE)</f>
        <v>#N/A</v>
      </c>
      <c r="M601" s="5" t="e">
        <f>VLOOKUP($A601,tropes!$A$4:$O$2428,13,FALSE)</f>
        <v>#N/A</v>
      </c>
      <c r="N601" s="5"/>
    </row>
    <row r="602" spans="1:14" x14ac:dyDescent="0.3">
      <c r="A602" s="14"/>
      <c r="B602" s="5" t="e">
        <f>VLOOKUP($A602,tropes!$A$4:$O$2428,2,FALSE)</f>
        <v>#N/A</v>
      </c>
      <c r="C602" s="5" t="e">
        <f>VLOOKUP($A602,tropes!$A$4:$O$2428,3,FALSE)</f>
        <v>#N/A</v>
      </c>
      <c r="D602" s="5" t="e">
        <f>VLOOKUP($A602,tropes!$A$4:$O$2428,4,FALSE)</f>
        <v>#N/A</v>
      </c>
      <c r="E602" s="5" t="e">
        <f>VLOOKUP($A602,tropes!$A$4:$O$2428,5,FALSE)</f>
        <v>#N/A</v>
      </c>
      <c r="F602" s="5" t="e">
        <f>VLOOKUP($A602,tropes!$A$4:$O$2428,6,FALSE)</f>
        <v>#N/A</v>
      </c>
      <c r="G602" s="5" t="e">
        <f>VLOOKUP($A602,tropes!$A$4:$O$2428,7,FALSE)</f>
        <v>#N/A</v>
      </c>
      <c r="H602" s="5" t="e">
        <f>VLOOKUP($A602,tropes!$A$4:$O$2428,8,FALSE)</f>
        <v>#N/A</v>
      </c>
      <c r="I602" s="5" t="e">
        <f>VLOOKUP($A602,tropes!$A$4:$O$2428,9,FALSE)</f>
        <v>#N/A</v>
      </c>
      <c r="J602" s="5" t="e">
        <f>VLOOKUP($A602,tropes!$A$4:$O$2428,10,FALSE)</f>
        <v>#N/A</v>
      </c>
      <c r="K602" s="5" t="e">
        <f>VLOOKUP($A602,tropes!$A$4:$O$2428,11,FALSE)</f>
        <v>#N/A</v>
      </c>
      <c r="L602" s="5" t="e">
        <f>VLOOKUP($A602,tropes!$A$4:$O$2428,12,FALSE)</f>
        <v>#N/A</v>
      </c>
      <c r="M602" s="5" t="e">
        <f>VLOOKUP($A602,tropes!$A$4:$O$2428,13,FALSE)</f>
        <v>#N/A</v>
      </c>
      <c r="N602" s="5"/>
    </row>
    <row r="603" spans="1:14" x14ac:dyDescent="0.3">
      <c r="A603" s="14"/>
      <c r="B603" s="5" t="e">
        <f>VLOOKUP($A603,tropes!$A$4:$O$2428,2,FALSE)</f>
        <v>#N/A</v>
      </c>
      <c r="C603" s="5" t="e">
        <f>VLOOKUP($A603,tropes!$A$4:$O$2428,3,FALSE)</f>
        <v>#N/A</v>
      </c>
      <c r="D603" s="5" t="e">
        <f>VLOOKUP($A603,tropes!$A$4:$O$2428,4,FALSE)</f>
        <v>#N/A</v>
      </c>
      <c r="E603" s="5" t="e">
        <f>VLOOKUP($A603,tropes!$A$4:$O$2428,5,FALSE)</f>
        <v>#N/A</v>
      </c>
      <c r="F603" s="5" t="e">
        <f>VLOOKUP($A603,tropes!$A$4:$O$2428,6,FALSE)</f>
        <v>#N/A</v>
      </c>
      <c r="G603" s="5" t="e">
        <f>VLOOKUP($A603,tropes!$A$4:$O$2428,7,FALSE)</f>
        <v>#N/A</v>
      </c>
      <c r="H603" s="5" t="e">
        <f>VLOOKUP($A603,tropes!$A$4:$O$2428,8,FALSE)</f>
        <v>#N/A</v>
      </c>
      <c r="I603" s="5" t="e">
        <f>VLOOKUP($A603,tropes!$A$4:$O$2428,9,FALSE)</f>
        <v>#N/A</v>
      </c>
      <c r="J603" s="5" t="e">
        <f>VLOOKUP($A603,tropes!$A$4:$O$2428,10,FALSE)</f>
        <v>#N/A</v>
      </c>
      <c r="K603" s="5" t="e">
        <f>VLOOKUP($A603,tropes!$A$4:$O$2428,11,FALSE)</f>
        <v>#N/A</v>
      </c>
      <c r="L603" s="5" t="e">
        <f>VLOOKUP($A603,tropes!$A$4:$O$2428,12,FALSE)</f>
        <v>#N/A</v>
      </c>
      <c r="M603" s="5" t="e">
        <f>VLOOKUP($A603,tropes!$A$4:$O$2428,13,FALSE)</f>
        <v>#N/A</v>
      </c>
      <c r="N603" s="5"/>
    </row>
    <row r="604" spans="1:14" x14ac:dyDescent="0.3">
      <c r="A604" s="14"/>
      <c r="B604" s="5" t="e">
        <f>VLOOKUP($A604,tropes!$A$4:$O$2428,2,FALSE)</f>
        <v>#N/A</v>
      </c>
      <c r="C604" s="5" t="e">
        <f>VLOOKUP($A604,tropes!$A$4:$O$2428,3,FALSE)</f>
        <v>#N/A</v>
      </c>
      <c r="D604" s="5" t="e">
        <f>VLOOKUP($A604,tropes!$A$4:$O$2428,4,FALSE)</f>
        <v>#N/A</v>
      </c>
      <c r="E604" s="5" t="e">
        <f>VLOOKUP($A604,tropes!$A$4:$O$2428,5,FALSE)</f>
        <v>#N/A</v>
      </c>
      <c r="F604" s="5" t="e">
        <f>VLOOKUP($A604,tropes!$A$4:$O$2428,6,FALSE)</f>
        <v>#N/A</v>
      </c>
      <c r="G604" s="5" t="e">
        <f>VLOOKUP($A604,tropes!$A$4:$O$2428,7,FALSE)</f>
        <v>#N/A</v>
      </c>
      <c r="H604" s="5" t="e">
        <f>VLOOKUP($A604,tropes!$A$4:$O$2428,8,FALSE)</f>
        <v>#N/A</v>
      </c>
      <c r="I604" s="5" t="e">
        <f>VLOOKUP($A604,tropes!$A$4:$O$2428,9,FALSE)</f>
        <v>#N/A</v>
      </c>
      <c r="J604" s="5" t="e">
        <f>VLOOKUP($A604,tropes!$A$4:$O$2428,10,FALSE)</f>
        <v>#N/A</v>
      </c>
      <c r="K604" s="5" t="e">
        <f>VLOOKUP($A604,tropes!$A$4:$O$2428,11,FALSE)</f>
        <v>#N/A</v>
      </c>
      <c r="L604" s="5" t="e">
        <f>VLOOKUP($A604,tropes!$A$4:$O$2428,12,FALSE)</f>
        <v>#N/A</v>
      </c>
      <c r="M604" s="5" t="e">
        <f>VLOOKUP($A604,tropes!$A$4:$O$2428,13,FALSE)</f>
        <v>#N/A</v>
      </c>
      <c r="N604" s="5"/>
    </row>
    <row r="605" spans="1:14" x14ac:dyDescent="0.3">
      <c r="A605" s="14"/>
      <c r="B605" s="5" t="e">
        <f>VLOOKUP($A605,tropes!$A$4:$O$2428,2,FALSE)</f>
        <v>#N/A</v>
      </c>
      <c r="C605" s="5" t="e">
        <f>VLOOKUP($A605,tropes!$A$4:$O$2428,3,FALSE)</f>
        <v>#N/A</v>
      </c>
      <c r="D605" s="5" t="e">
        <f>VLOOKUP($A605,tropes!$A$4:$O$2428,4,FALSE)</f>
        <v>#N/A</v>
      </c>
      <c r="E605" s="5" t="e">
        <f>VLOOKUP($A605,tropes!$A$4:$O$2428,5,FALSE)</f>
        <v>#N/A</v>
      </c>
      <c r="F605" s="5" t="e">
        <f>VLOOKUP($A605,tropes!$A$4:$O$2428,6,FALSE)</f>
        <v>#N/A</v>
      </c>
      <c r="G605" s="5" t="e">
        <f>VLOOKUP($A605,tropes!$A$4:$O$2428,7,FALSE)</f>
        <v>#N/A</v>
      </c>
      <c r="H605" s="5" t="e">
        <f>VLOOKUP($A605,tropes!$A$4:$O$2428,8,FALSE)</f>
        <v>#N/A</v>
      </c>
      <c r="I605" s="5" t="e">
        <f>VLOOKUP($A605,tropes!$A$4:$O$2428,9,FALSE)</f>
        <v>#N/A</v>
      </c>
      <c r="J605" s="5" t="e">
        <f>VLOOKUP($A605,tropes!$A$4:$O$2428,10,FALSE)</f>
        <v>#N/A</v>
      </c>
      <c r="K605" s="5" t="e">
        <f>VLOOKUP($A605,tropes!$A$4:$O$2428,11,FALSE)</f>
        <v>#N/A</v>
      </c>
      <c r="L605" s="5" t="e">
        <f>VLOOKUP($A605,tropes!$A$4:$O$2428,12,FALSE)</f>
        <v>#N/A</v>
      </c>
      <c r="M605" s="5" t="e">
        <f>VLOOKUP($A605,tropes!$A$4:$O$2428,13,FALSE)</f>
        <v>#N/A</v>
      </c>
      <c r="N605" s="5"/>
    </row>
    <row r="606" spans="1:14" x14ac:dyDescent="0.3">
      <c r="A606" s="14"/>
      <c r="B606" s="5" t="e">
        <f>VLOOKUP($A606,tropes!$A$4:$O$2428,2,FALSE)</f>
        <v>#N/A</v>
      </c>
      <c r="C606" s="5" t="e">
        <f>VLOOKUP($A606,tropes!$A$4:$O$2428,3,FALSE)</f>
        <v>#N/A</v>
      </c>
      <c r="D606" s="5" t="e">
        <f>VLOOKUP($A606,tropes!$A$4:$O$2428,4,FALSE)</f>
        <v>#N/A</v>
      </c>
      <c r="E606" s="5" t="e">
        <f>VLOOKUP($A606,tropes!$A$4:$O$2428,5,FALSE)</f>
        <v>#N/A</v>
      </c>
      <c r="F606" s="5" t="e">
        <f>VLOOKUP($A606,tropes!$A$4:$O$2428,6,FALSE)</f>
        <v>#N/A</v>
      </c>
      <c r="G606" s="5" t="e">
        <f>VLOOKUP($A606,tropes!$A$4:$O$2428,7,FALSE)</f>
        <v>#N/A</v>
      </c>
      <c r="H606" s="5" t="e">
        <f>VLOOKUP($A606,tropes!$A$4:$O$2428,8,FALSE)</f>
        <v>#N/A</v>
      </c>
      <c r="I606" s="5" t="e">
        <f>VLOOKUP($A606,tropes!$A$4:$O$2428,9,FALSE)</f>
        <v>#N/A</v>
      </c>
      <c r="J606" s="5" t="e">
        <f>VLOOKUP($A606,tropes!$A$4:$O$2428,10,FALSE)</f>
        <v>#N/A</v>
      </c>
      <c r="K606" s="5" t="e">
        <f>VLOOKUP($A606,tropes!$A$4:$O$2428,11,FALSE)</f>
        <v>#N/A</v>
      </c>
      <c r="L606" s="5" t="e">
        <f>VLOOKUP($A606,tropes!$A$4:$O$2428,12,FALSE)</f>
        <v>#N/A</v>
      </c>
      <c r="M606" s="5" t="e">
        <f>VLOOKUP($A606,tropes!$A$4:$O$2428,13,FALSE)</f>
        <v>#N/A</v>
      </c>
      <c r="N606" s="5"/>
    </row>
    <row r="607" spans="1:14" x14ac:dyDescent="0.3">
      <c r="A607" s="14"/>
      <c r="B607" s="5" t="e">
        <f>VLOOKUP($A607,tropes!$A$4:$O$2428,2,FALSE)</f>
        <v>#N/A</v>
      </c>
      <c r="C607" s="5" t="e">
        <f>VLOOKUP($A607,tropes!$A$4:$O$2428,3,FALSE)</f>
        <v>#N/A</v>
      </c>
      <c r="D607" s="5" t="e">
        <f>VLOOKUP($A607,tropes!$A$4:$O$2428,4,FALSE)</f>
        <v>#N/A</v>
      </c>
      <c r="E607" s="5" t="e">
        <f>VLOOKUP($A607,tropes!$A$4:$O$2428,5,FALSE)</f>
        <v>#N/A</v>
      </c>
      <c r="F607" s="5" t="e">
        <f>VLOOKUP($A607,tropes!$A$4:$O$2428,6,FALSE)</f>
        <v>#N/A</v>
      </c>
      <c r="G607" s="5" t="e">
        <f>VLOOKUP($A607,tropes!$A$4:$O$2428,7,FALSE)</f>
        <v>#N/A</v>
      </c>
      <c r="H607" s="5" t="e">
        <f>VLOOKUP($A607,tropes!$A$4:$O$2428,8,FALSE)</f>
        <v>#N/A</v>
      </c>
      <c r="I607" s="5" t="e">
        <f>VLOOKUP($A607,tropes!$A$4:$O$2428,9,FALSE)</f>
        <v>#N/A</v>
      </c>
      <c r="J607" s="5" t="e">
        <f>VLOOKUP($A607,tropes!$A$4:$O$2428,10,FALSE)</f>
        <v>#N/A</v>
      </c>
      <c r="K607" s="5" t="e">
        <f>VLOOKUP($A607,tropes!$A$4:$O$2428,11,FALSE)</f>
        <v>#N/A</v>
      </c>
      <c r="L607" s="5" t="e">
        <f>VLOOKUP($A607,tropes!$A$4:$O$2428,12,FALSE)</f>
        <v>#N/A</v>
      </c>
      <c r="M607" s="5" t="e">
        <f>VLOOKUP($A607,tropes!$A$4:$O$2428,13,FALSE)</f>
        <v>#N/A</v>
      </c>
      <c r="N607" s="5"/>
    </row>
    <row r="608" spans="1:14" x14ac:dyDescent="0.3">
      <c r="A608" s="14"/>
      <c r="B608" s="5" t="e">
        <f>VLOOKUP($A608,tropes!$A$4:$O$2428,2,FALSE)</f>
        <v>#N/A</v>
      </c>
      <c r="C608" s="5" t="e">
        <f>VLOOKUP($A608,tropes!$A$4:$O$2428,3,FALSE)</f>
        <v>#N/A</v>
      </c>
      <c r="D608" s="5" t="e">
        <f>VLOOKUP($A608,tropes!$A$4:$O$2428,4,FALSE)</f>
        <v>#N/A</v>
      </c>
      <c r="E608" s="5" t="e">
        <f>VLOOKUP($A608,tropes!$A$4:$O$2428,5,FALSE)</f>
        <v>#N/A</v>
      </c>
      <c r="F608" s="5" t="e">
        <f>VLOOKUP($A608,tropes!$A$4:$O$2428,6,FALSE)</f>
        <v>#N/A</v>
      </c>
      <c r="G608" s="5" t="e">
        <f>VLOOKUP($A608,tropes!$A$4:$O$2428,7,FALSE)</f>
        <v>#N/A</v>
      </c>
      <c r="H608" s="5" t="e">
        <f>VLOOKUP($A608,tropes!$A$4:$O$2428,8,FALSE)</f>
        <v>#N/A</v>
      </c>
      <c r="I608" s="5" t="e">
        <f>VLOOKUP($A608,tropes!$A$4:$O$2428,9,FALSE)</f>
        <v>#N/A</v>
      </c>
      <c r="J608" s="5" t="e">
        <f>VLOOKUP($A608,tropes!$A$4:$O$2428,10,FALSE)</f>
        <v>#N/A</v>
      </c>
      <c r="K608" s="5" t="e">
        <f>VLOOKUP($A608,tropes!$A$4:$O$2428,11,FALSE)</f>
        <v>#N/A</v>
      </c>
      <c r="L608" s="5" t="e">
        <f>VLOOKUP($A608,tropes!$A$4:$O$2428,12,FALSE)</f>
        <v>#N/A</v>
      </c>
      <c r="M608" s="5" t="e">
        <f>VLOOKUP($A608,tropes!$A$4:$O$2428,13,FALSE)</f>
        <v>#N/A</v>
      </c>
      <c r="N608" s="5"/>
    </row>
    <row r="609" spans="1:14" x14ac:dyDescent="0.3">
      <c r="A609" s="14"/>
      <c r="B609" s="5" t="e">
        <f>VLOOKUP($A609,tropes!$A$4:$O$2428,2,FALSE)</f>
        <v>#N/A</v>
      </c>
      <c r="C609" s="5" t="e">
        <f>VLOOKUP($A609,tropes!$A$4:$O$2428,3,FALSE)</f>
        <v>#N/A</v>
      </c>
      <c r="D609" s="5" t="e">
        <f>VLOOKUP($A609,tropes!$A$4:$O$2428,4,FALSE)</f>
        <v>#N/A</v>
      </c>
      <c r="E609" s="5" t="e">
        <f>VLOOKUP($A609,tropes!$A$4:$O$2428,5,FALSE)</f>
        <v>#N/A</v>
      </c>
      <c r="F609" s="5" t="e">
        <f>VLOOKUP($A609,tropes!$A$4:$O$2428,6,FALSE)</f>
        <v>#N/A</v>
      </c>
      <c r="G609" s="5" t="e">
        <f>VLOOKUP($A609,tropes!$A$4:$O$2428,7,FALSE)</f>
        <v>#N/A</v>
      </c>
      <c r="H609" s="5" t="e">
        <f>VLOOKUP($A609,tropes!$A$4:$O$2428,8,FALSE)</f>
        <v>#N/A</v>
      </c>
      <c r="I609" s="5" t="e">
        <f>VLOOKUP($A609,tropes!$A$4:$O$2428,9,FALSE)</f>
        <v>#N/A</v>
      </c>
      <c r="J609" s="5" t="e">
        <f>VLOOKUP($A609,tropes!$A$4:$O$2428,10,FALSE)</f>
        <v>#N/A</v>
      </c>
      <c r="K609" s="5" t="e">
        <f>VLOOKUP($A609,tropes!$A$4:$O$2428,11,FALSE)</f>
        <v>#N/A</v>
      </c>
      <c r="L609" s="5" t="e">
        <f>VLOOKUP($A609,tropes!$A$4:$O$2428,12,FALSE)</f>
        <v>#N/A</v>
      </c>
      <c r="M609" s="5" t="e">
        <f>VLOOKUP($A609,tropes!$A$4:$O$2428,13,FALSE)</f>
        <v>#N/A</v>
      </c>
      <c r="N609" s="5"/>
    </row>
    <row r="610" spans="1:14" x14ac:dyDescent="0.3">
      <c r="A610" s="14"/>
      <c r="B610" s="5" t="e">
        <f>VLOOKUP($A610,tropes!$A$4:$O$2428,2,FALSE)</f>
        <v>#N/A</v>
      </c>
      <c r="C610" s="5" t="e">
        <f>VLOOKUP($A610,tropes!$A$4:$O$2428,3,FALSE)</f>
        <v>#N/A</v>
      </c>
      <c r="D610" s="5" t="e">
        <f>VLOOKUP($A610,tropes!$A$4:$O$2428,4,FALSE)</f>
        <v>#N/A</v>
      </c>
      <c r="E610" s="5" t="e">
        <f>VLOOKUP($A610,tropes!$A$4:$O$2428,5,FALSE)</f>
        <v>#N/A</v>
      </c>
      <c r="F610" s="5" t="e">
        <f>VLOOKUP($A610,tropes!$A$4:$O$2428,6,FALSE)</f>
        <v>#N/A</v>
      </c>
      <c r="G610" s="5" t="e">
        <f>VLOOKUP($A610,tropes!$A$4:$O$2428,7,FALSE)</f>
        <v>#N/A</v>
      </c>
      <c r="H610" s="5" t="e">
        <f>VLOOKUP($A610,tropes!$A$4:$O$2428,8,FALSE)</f>
        <v>#N/A</v>
      </c>
      <c r="I610" s="5" t="e">
        <f>VLOOKUP($A610,tropes!$A$4:$O$2428,9,FALSE)</f>
        <v>#N/A</v>
      </c>
      <c r="J610" s="5" t="e">
        <f>VLOOKUP($A610,tropes!$A$4:$O$2428,10,FALSE)</f>
        <v>#N/A</v>
      </c>
      <c r="K610" s="5" t="e">
        <f>VLOOKUP($A610,tropes!$A$4:$O$2428,11,FALSE)</f>
        <v>#N/A</v>
      </c>
      <c r="L610" s="5" t="e">
        <f>VLOOKUP($A610,tropes!$A$4:$O$2428,12,FALSE)</f>
        <v>#N/A</v>
      </c>
      <c r="M610" s="5" t="e">
        <f>VLOOKUP($A610,tropes!$A$4:$O$2428,13,FALSE)</f>
        <v>#N/A</v>
      </c>
      <c r="N610" s="5"/>
    </row>
    <row r="611" spans="1:14" x14ac:dyDescent="0.3">
      <c r="A611" s="14"/>
      <c r="B611" s="5" t="e">
        <f>VLOOKUP($A611,tropes!$A$4:$O$2428,2,FALSE)</f>
        <v>#N/A</v>
      </c>
      <c r="C611" s="5" t="e">
        <f>VLOOKUP($A611,tropes!$A$4:$O$2428,3,FALSE)</f>
        <v>#N/A</v>
      </c>
      <c r="D611" s="5" t="e">
        <f>VLOOKUP($A611,tropes!$A$4:$O$2428,4,FALSE)</f>
        <v>#N/A</v>
      </c>
      <c r="E611" s="5" t="e">
        <f>VLOOKUP($A611,tropes!$A$4:$O$2428,5,FALSE)</f>
        <v>#N/A</v>
      </c>
      <c r="F611" s="5" t="e">
        <f>VLOOKUP($A611,tropes!$A$4:$O$2428,6,FALSE)</f>
        <v>#N/A</v>
      </c>
      <c r="G611" s="5" t="e">
        <f>VLOOKUP($A611,tropes!$A$4:$O$2428,7,FALSE)</f>
        <v>#N/A</v>
      </c>
      <c r="H611" s="5" t="e">
        <f>VLOOKUP($A611,tropes!$A$4:$O$2428,8,FALSE)</f>
        <v>#N/A</v>
      </c>
      <c r="I611" s="5" t="e">
        <f>VLOOKUP($A611,tropes!$A$4:$O$2428,9,FALSE)</f>
        <v>#N/A</v>
      </c>
      <c r="J611" s="5" t="e">
        <f>VLOOKUP($A611,tropes!$A$4:$O$2428,10,FALSE)</f>
        <v>#N/A</v>
      </c>
      <c r="K611" s="5" t="e">
        <f>VLOOKUP($A611,tropes!$A$4:$O$2428,11,FALSE)</f>
        <v>#N/A</v>
      </c>
      <c r="L611" s="5" t="e">
        <f>VLOOKUP($A611,tropes!$A$4:$O$2428,12,FALSE)</f>
        <v>#N/A</v>
      </c>
      <c r="M611" s="5" t="e">
        <f>VLOOKUP($A611,tropes!$A$4:$O$2428,13,FALSE)</f>
        <v>#N/A</v>
      </c>
      <c r="N611" s="5"/>
    </row>
    <row r="612" spans="1:14" x14ac:dyDescent="0.3">
      <c r="A612" s="14"/>
      <c r="B612" s="5" t="e">
        <f>VLOOKUP($A612,tropes!$A$4:$O$2428,2,FALSE)</f>
        <v>#N/A</v>
      </c>
      <c r="C612" s="5" t="e">
        <f>VLOOKUP($A612,tropes!$A$4:$O$2428,3,FALSE)</f>
        <v>#N/A</v>
      </c>
      <c r="D612" s="5" t="e">
        <f>VLOOKUP($A612,tropes!$A$4:$O$2428,4,FALSE)</f>
        <v>#N/A</v>
      </c>
      <c r="E612" s="5" t="e">
        <f>VLOOKUP($A612,tropes!$A$4:$O$2428,5,FALSE)</f>
        <v>#N/A</v>
      </c>
      <c r="F612" s="5" t="e">
        <f>VLOOKUP($A612,tropes!$A$4:$O$2428,6,FALSE)</f>
        <v>#N/A</v>
      </c>
      <c r="G612" s="5" t="e">
        <f>VLOOKUP($A612,tropes!$A$4:$O$2428,7,FALSE)</f>
        <v>#N/A</v>
      </c>
      <c r="H612" s="5" t="e">
        <f>VLOOKUP($A612,tropes!$A$4:$O$2428,8,FALSE)</f>
        <v>#N/A</v>
      </c>
      <c r="I612" s="5" t="e">
        <f>VLOOKUP($A612,tropes!$A$4:$O$2428,9,FALSE)</f>
        <v>#N/A</v>
      </c>
      <c r="J612" s="5" t="e">
        <f>VLOOKUP($A612,tropes!$A$4:$O$2428,10,FALSE)</f>
        <v>#N/A</v>
      </c>
      <c r="K612" s="5" t="e">
        <f>VLOOKUP($A612,tropes!$A$4:$O$2428,11,FALSE)</f>
        <v>#N/A</v>
      </c>
      <c r="L612" s="5" t="e">
        <f>VLOOKUP($A612,tropes!$A$4:$O$2428,12,FALSE)</f>
        <v>#N/A</v>
      </c>
      <c r="M612" s="5" t="e">
        <f>VLOOKUP($A612,tropes!$A$4:$O$2428,13,FALSE)</f>
        <v>#N/A</v>
      </c>
      <c r="N612" s="5"/>
    </row>
    <row r="613" spans="1:14" x14ac:dyDescent="0.3">
      <c r="A613" s="14"/>
      <c r="B613" s="5" t="e">
        <f>VLOOKUP($A613,tropes!$A$4:$O$2428,2,FALSE)</f>
        <v>#N/A</v>
      </c>
      <c r="C613" s="5" t="e">
        <f>VLOOKUP($A613,tropes!$A$4:$O$2428,3,FALSE)</f>
        <v>#N/A</v>
      </c>
      <c r="D613" s="5" t="e">
        <f>VLOOKUP($A613,tropes!$A$4:$O$2428,4,FALSE)</f>
        <v>#N/A</v>
      </c>
      <c r="E613" s="5" t="e">
        <f>VLOOKUP($A613,tropes!$A$4:$O$2428,5,FALSE)</f>
        <v>#N/A</v>
      </c>
      <c r="F613" s="5" t="e">
        <f>VLOOKUP($A613,tropes!$A$4:$O$2428,6,FALSE)</f>
        <v>#N/A</v>
      </c>
      <c r="G613" s="5" t="e">
        <f>VLOOKUP($A613,tropes!$A$4:$O$2428,7,FALSE)</f>
        <v>#N/A</v>
      </c>
      <c r="H613" s="5" t="e">
        <f>VLOOKUP($A613,tropes!$A$4:$O$2428,8,FALSE)</f>
        <v>#N/A</v>
      </c>
      <c r="I613" s="5" t="e">
        <f>VLOOKUP($A613,tropes!$A$4:$O$2428,9,FALSE)</f>
        <v>#N/A</v>
      </c>
      <c r="J613" s="5" t="e">
        <f>VLOOKUP($A613,tropes!$A$4:$O$2428,10,FALSE)</f>
        <v>#N/A</v>
      </c>
      <c r="K613" s="5" t="e">
        <f>VLOOKUP($A613,tropes!$A$4:$O$2428,11,FALSE)</f>
        <v>#N/A</v>
      </c>
      <c r="L613" s="5" t="e">
        <f>VLOOKUP($A613,tropes!$A$4:$O$2428,12,FALSE)</f>
        <v>#N/A</v>
      </c>
      <c r="M613" s="5" t="e">
        <f>VLOOKUP($A613,tropes!$A$4:$O$2428,13,FALSE)</f>
        <v>#N/A</v>
      </c>
      <c r="N613" s="5"/>
    </row>
    <row r="614" spans="1:14" x14ac:dyDescent="0.3">
      <c r="A614" s="14"/>
      <c r="B614" s="5" t="e">
        <f>VLOOKUP($A614,tropes!$A$4:$O$2428,2,FALSE)</f>
        <v>#N/A</v>
      </c>
      <c r="C614" s="5" t="e">
        <f>VLOOKUP($A614,tropes!$A$4:$O$2428,3,FALSE)</f>
        <v>#N/A</v>
      </c>
      <c r="D614" s="5" t="e">
        <f>VLOOKUP($A614,tropes!$A$4:$O$2428,4,FALSE)</f>
        <v>#N/A</v>
      </c>
      <c r="E614" s="5" t="e">
        <f>VLOOKUP($A614,tropes!$A$4:$O$2428,5,FALSE)</f>
        <v>#N/A</v>
      </c>
      <c r="F614" s="5" t="e">
        <f>VLOOKUP($A614,tropes!$A$4:$O$2428,6,FALSE)</f>
        <v>#N/A</v>
      </c>
      <c r="G614" s="5" t="e">
        <f>VLOOKUP($A614,tropes!$A$4:$O$2428,7,FALSE)</f>
        <v>#N/A</v>
      </c>
      <c r="H614" s="5" t="e">
        <f>VLOOKUP($A614,tropes!$A$4:$O$2428,8,FALSE)</f>
        <v>#N/A</v>
      </c>
      <c r="I614" s="5" t="e">
        <f>VLOOKUP($A614,tropes!$A$4:$O$2428,9,FALSE)</f>
        <v>#N/A</v>
      </c>
      <c r="J614" s="5" t="e">
        <f>VLOOKUP($A614,tropes!$A$4:$O$2428,10,FALSE)</f>
        <v>#N/A</v>
      </c>
      <c r="K614" s="5" t="e">
        <f>VLOOKUP($A614,tropes!$A$4:$O$2428,11,FALSE)</f>
        <v>#N/A</v>
      </c>
      <c r="L614" s="5" t="e">
        <f>VLOOKUP($A614,tropes!$A$4:$O$2428,12,FALSE)</f>
        <v>#N/A</v>
      </c>
      <c r="M614" s="5" t="e">
        <f>VLOOKUP($A614,tropes!$A$4:$O$2428,13,FALSE)</f>
        <v>#N/A</v>
      </c>
      <c r="N614" s="5"/>
    </row>
    <row r="615" spans="1:14" x14ac:dyDescent="0.3">
      <c r="A615" s="14"/>
      <c r="B615" s="5" t="e">
        <f>VLOOKUP($A615,tropes!$A$4:$O$2428,2,FALSE)</f>
        <v>#N/A</v>
      </c>
      <c r="C615" s="5" t="e">
        <f>VLOOKUP($A615,tropes!$A$4:$O$2428,3,FALSE)</f>
        <v>#N/A</v>
      </c>
      <c r="D615" s="5" t="e">
        <f>VLOOKUP($A615,tropes!$A$4:$O$2428,4,FALSE)</f>
        <v>#N/A</v>
      </c>
      <c r="E615" s="5" t="e">
        <f>VLOOKUP($A615,tropes!$A$4:$O$2428,5,FALSE)</f>
        <v>#N/A</v>
      </c>
      <c r="F615" s="5" t="e">
        <f>VLOOKUP($A615,tropes!$A$4:$O$2428,6,FALSE)</f>
        <v>#N/A</v>
      </c>
      <c r="G615" s="5" t="e">
        <f>VLOOKUP($A615,tropes!$A$4:$O$2428,7,FALSE)</f>
        <v>#N/A</v>
      </c>
      <c r="H615" s="5" t="e">
        <f>VLOOKUP($A615,tropes!$A$4:$O$2428,8,FALSE)</f>
        <v>#N/A</v>
      </c>
      <c r="I615" s="5" t="e">
        <f>VLOOKUP($A615,tropes!$A$4:$O$2428,9,FALSE)</f>
        <v>#N/A</v>
      </c>
      <c r="J615" s="5" t="e">
        <f>VLOOKUP($A615,tropes!$A$4:$O$2428,10,FALSE)</f>
        <v>#N/A</v>
      </c>
      <c r="K615" s="5" t="e">
        <f>VLOOKUP($A615,tropes!$A$4:$O$2428,11,FALSE)</f>
        <v>#N/A</v>
      </c>
      <c r="L615" s="5" t="e">
        <f>VLOOKUP($A615,tropes!$A$4:$O$2428,12,FALSE)</f>
        <v>#N/A</v>
      </c>
      <c r="M615" s="5" t="e">
        <f>VLOOKUP($A615,tropes!$A$4:$O$2428,13,FALSE)</f>
        <v>#N/A</v>
      </c>
      <c r="N615" s="5"/>
    </row>
    <row r="616" spans="1:14" x14ac:dyDescent="0.3">
      <c r="A616" s="14"/>
      <c r="B616" s="5" t="e">
        <f>VLOOKUP($A616,tropes!$A$4:$O$2428,2,FALSE)</f>
        <v>#N/A</v>
      </c>
      <c r="C616" s="5" t="e">
        <f>VLOOKUP($A616,tropes!$A$4:$O$2428,3,FALSE)</f>
        <v>#N/A</v>
      </c>
      <c r="D616" s="5" t="e">
        <f>VLOOKUP($A616,tropes!$A$4:$O$2428,4,FALSE)</f>
        <v>#N/A</v>
      </c>
      <c r="E616" s="5" t="e">
        <f>VLOOKUP($A616,tropes!$A$4:$O$2428,5,FALSE)</f>
        <v>#N/A</v>
      </c>
      <c r="F616" s="5" t="e">
        <f>VLOOKUP($A616,tropes!$A$4:$O$2428,6,FALSE)</f>
        <v>#N/A</v>
      </c>
      <c r="G616" s="5" t="e">
        <f>VLOOKUP($A616,tropes!$A$4:$O$2428,7,FALSE)</f>
        <v>#N/A</v>
      </c>
      <c r="H616" s="5" t="e">
        <f>VLOOKUP($A616,tropes!$A$4:$O$2428,8,FALSE)</f>
        <v>#N/A</v>
      </c>
      <c r="I616" s="5" t="e">
        <f>VLOOKUP($A616,tropes!$A$4:$O$2428,9,FALSE)</f>
        <v>#N/A</v>
      </c>
      <c r="J616" s="5" t="e">
        <f>VLOOKUP($A616,tropes!$A$4:$O$2428,10,FALSE)</f>
        <v>#N/A</v>
      </c>
      <c r="K616" s="5" t="e">
        <f>VLOOKUP($A616,tropes!$A$4:$O$2428,11,FALSE)</f>
        <v>#N/A</v>
      </c>
      <c r="L616" s="5" t="e">
        <f>VLOOKUP($A616,tropes!$A$4:$O$2428,12,FALSE)</f>
        <v>#N/A</v>
      </c>
      <c r="M616" s="5" t="e">
        <f>VLOOKUP($A616,tropes!$A$4:$O$2428,13,FALSE)</f>
        <v>#N/A</v>
      </c>
      <c r="N616" s="5"/>
    </row>
    <row r="617" spans="1:14" x14ac:dyDescent="0.3">
      <c r="A617" s="14"/>
      <c r="B617" s="5" t="e">
        <f>VLOOKUP($A617,tropes!$A$4:$O$2428,2,FALSE)</f>
        <v>#N/A</v>
      </c>
      <c r="C617" s="5" t="e">
        <f>VLOOKUP($A617,tropes!$A$4:$O$2428,3,FALSE)</f>
        <v>#N/A</v>
      </c>
      <c r="D617" s="5" t="e">
        <f>VLOOKUP($A617,tropes!$A$4:$O$2428,4,FALSE)</f>
        <v>#N/A</v>
      </c>
      <c r="E617" s="5" t="e">
        <f>VLOOKUP($A617,tropes!$A$4:$O$2428,5,FALSE)</f>
        <v>#N/A</v>
      </c>
      <c r="F617" s="5" t="e">
        <f>VLOOKUP($A617,tropes!$A$4:$O$2428,6,FALSE)</f>
        <v>#N/A</v>
      </c>
      <c r="G617" s="5" t="e">
        <f>VLOOKUP($A617,tropes!$A$4:$O$2428,7,FALSE)</f>
        <v>#N/A</v>
      </c>
      <c r="H617" s="5" t="e">
        <f>VLOOKUP($A617,tropes!$A$4:$O$2428,8,FALSE)</f>
        <v>#N/A</v>
      </c>
      <c r="I617" s="5" t="e">
        <f>VLOOKUP($A617,tropes!$A$4:$O$2428,9,FALSE)</f>
        <v>#N/A</v>
      </c>
      <c r="J617" s="5" t="e">
        <f>VLOOKUP($A617,tropes!$A$4:$O$2428,10,FALSE)</f>
        <v>#N/A</v>
      </c>
      <c r="K617" s="5" t="e">
        <f>VLOOKUP($A617,tropes!$A$4:$O$2428,11,FALSE)</f>
        <v>#N/A</v>
      </c>
      <c r="L617" s="5" t="e">
        <f>VLOOKUP($A617,tropes!$A$4:$O$2428,12,FALSE)</f>
        <v>#N/A</v>
      </c>
      <c r="M617" s="5" t="e">
        <f>VLOOKUP($A617,tropes!$A$4:$O$2428,13,FALSE)</f>
        <v>#N/A</v>
      </c>
      <c r="N617" s="5"/>
    </row>
    <row r="618" spans="1:14" x14ac:dyDescent="0.3">
      <c r="A618" s="14"/>
      <c r="B618" s="5" t="e">
        <f>VLOOKUP($A618,tropes!$A$4:$O$2428,2,FALSE)</f>
        <v>#N/A</v>
      </c>
      <c r="C618" s="5" t="e">
        <f>VLOOKUP($A618,tropes!$A$4:$O$2428,3,FALSE)</f>
        <v>#N/A</v>
      </c>
      <c r="D618" s="5" t="e">
        <f>VLOOKUP($A618,tropes!$A$4:$O$2428,4,FALSE)</f>
        <v>#N/A</v>
      </c>
      <c r="E618" s="5" t="e">
        <f>VLOOKUP($A618,tropes!$A$4:$O$2428,5,FALSE)</f>
        <v>#N/A</v>
      </c>
      <c r="F618" s="5" t="e">
        <f>VLOOKUP($A618,tropes!$A$4:$O$2428,6,FALSE)</f>
        <v>#N/A</v>
      </c>
      <c r="G618" s="5" t="e">
        <f>VLOOKUP($A618,tropes!$A$4:$O$2428,7,FALSE)</f>
        <v>#N/A</v>
      </c>
      <c r="H618" s="5" t="e">
        <f>VLOOKUP($A618,tropes!$A$4:$O$2428,8,FALSE)</f>
        <v>#N/A</v>
      </c>
      <c r="I618" s="5" t="e">
        <f>VLOOKUP($A618,tropes!$A$4:$O$2428,9,FALSE)</f>
        <v>#N/A</v>
      </c>
      <c r="J618" s="5" t="e">
        <f>VLOOKUP($A618,tropes!$A$4:$O$2428,10,FALSE)</f>
        <v>#N/A</v>
      </c>
      <c r="K618" s="5" t="e">
        <f>VLOOKUP($A618,tropes!$A$4:$O$2428,11,FALSE)</f>
        <v>#N/A</v>
      </c>
      <c r="L618" s="5" t="e">
        <f>VLOOKUP($A618,tropes!$A$4:$O$2428,12,FALSE)</f>
        <v>#N/A</v>
      </c>
      <c r="M618" s="5" t="e">
        <f>VLOOKUP($A618,tropes!$A$4:$O$2428,13,FALSE)</f>
        <v>#N/A</v>
      </c>
      <c r="N618" s="5"/>
    </row>
    <row r="619" spans="1:14" x14ac:dyDescent="0.3">
      <c r="A619" s="14"/>
      <c r="B619" s="5" t="e">
        <f>VLOOKUP($A619,tropes!$A$4:$O$2428,2,FALSE)</f>
        <v>#N/A</v>
      </c>
      <c r="C619" s="5" t="e">
        <f>VLOOKUP($A619,tropes!$A$4:$O$2428,3,FALSE)</f>
        <v>#N/A</v>
      </c>
      <c r="D619" s="5" t="e">
        <f>VLOOKUP($A619,tropes!$A$4:$O$2428,4,FALSE)</f>
        <v>#N/A</v>
      </c>
      <c r="E619" s="5" t="e">
        <f>VLOOKUP($A619,tropes!$A$4:$O$2428,5,FALSE)</f>
        <v>#N/A</v>
      </c>
      <c r="F619" s="5" t="e">
        <f>VLOOKUP($A619,tropes!$A$4:$O$2428,6,FALSE)</f>
        <v>#N/A</v>
      </c>
      <c r="G619" s="5" t="e">
        <f>VLOOKUP($A619,tropes!$A$4:$O$2428,7,FALSE)</f>
        <v>#N/A</v>
      </c>
      <c r="H619" s="5" t="e">
        <f>VLOOKUP($A619,tropes!$A$4:$O$2428,8,FALSE)</f>
        <v>#N/A</v>
      </c>
      <c r="I619" s="5" t="e">
        <f>VLOOKUP($A619,tropes!$A$4:$O$2428,9,FALSE)</f>
        <v>#N/A</v>
      </c>
      <c r="J619" s="5" t="e">
        <f>VLOOKUP($A619,tropes!$A$4:$O$2428,10,FALSE)</f>
        <v>#N/A</v>
      </c>
      <c r="K619" s="5" t="e">
        <f>VLOOKUP($A619,tropes!$A$4:$O$2428,11,FALSE)</f>
        <v>#N/A</v>
      </c>
      <c r="L619" s="5" t="e">
        <f>VLOOKUP($A619,tropes!$A$4:$O$2428,12,FALSE)</f>
        <v>#N/A</v>
      </c>
      <c r="M619" s="5" t="e">
        <f>VLOOKUP($A619,tropes!$A$4:$O$2428,13,FALSE)</f>
        <v>#N/A</v>
      </c>
      <c r="N619" s="5"/>
    </row>
    <row r="620" spans="1:14" x14ac:dyDescent="0.3">
      <c r="A620" s="14"/>
      <c r="B620" s="5" t="e">
        <f>VLOOKUP($A620,tropes!$A$4:$O$2428,2,FALSE)</f>
        <v>#N/A</v>
      </c>
      <c r="C620" s="5" t="e">
        <f>VLOOKUP($A620,tropes!$A$4:$O$2428,3,FALSE)</f>
        <v>#N/A</v>
      </c>
      <c r="D620" s="5" t="e">
        <f>VLOOKUP($A620,tropes!$A$4:$O$2428,4,FALSE)</f>
        <v>#N/A</v>
      </c>
      <c r="E620" s="5" t="e">
        <f>VLOOKUP($A620,tropes!$A$4:$O$2428,5,FALSE)</f>
        <v>#N/A</v>
      </c>
      <c r="F620" s="5" t="e">
        <f>VLOOKUP($A620,tropes!$A$4:$O$2428,6,FALSE)</f>
        <v>#N/A</v>
      </c>
      <c r="G620" s="5" t="e">
        <f>VLOOKUP($A620,tropes!$A$4:$O$2428,7,FALSE)</f>
        <v>#N/A</v>
      </c>
      <c r="H620" s="5" t="e">
        <f>VLOOKUP($A620,tropes!$A$4:$O$2428,8,FALSE)</f>
        <v>#N/A</v>
      </c>
      <c r="I620" s="5" t="e">
        <f>VLOOKUP($A620,tropes!$A$4:$O$2428,9,FALSE)</f>
        <v>#N/A</v>
      </c>
      <c r="J620" s="5" t="e">
        <f>VLOOKUP($A620,tropes!$A$4:$O$2428,10,FALSE)</f>
        <v>#N/A</v>
      </c>
      <c r="K620" s="5" t="e">
        <f>VLOOKUP($A620,tropes!$A$4:$O$2428,11,FALSE)</f>
        <v>#N/A</v>
      </c>
      <c r="L620" s="5" t="e">
        <f>VLOOKUP($A620,tropes!$A$4:$O$2428,12,FALSE)</f>
        <v>#N/A</v>
      </c>
      <c r="M620" s="5" t="e">
        <f>VLOOKUP($A620,tropes!$A$4:$O$2428,13,FALSE)</f>
        <v>#N/A</v>
      </c>
      <c r="N620" s="5"/>
    </row>
    <row r="621" spans="1:14" x14ac:dyDescent="0.3">
      <c r="A621" s="14"/>
      <c r="B621" s="5" t="e">
        <f>VLOOKUP($A621,tropes!$A$4:$O$2428,2,FALSE)</f>
        <v>#N/A</v>
      </c>
      <c r="C621" s="5" t="e">
        <f>VLOOKUP($A621,tropes!$A$4:$O$2428,3,FALSE)</f>
        <v>#N/A</v>
      </c>
      <c r="D621" s="5" t="e">
        <f>VLOOKUP($A621,tropes!$A$4:$O$2428,4,FALSE)</f>
        <v>#N/A</v>
      </c>
      <c r="E621" s="5" t="e">
        <f>VLOOKUP($A621,tropes!$A$4:$O$2428,5,FALSE)</f>
        <v>#N/A</v>
      </c>
      <c r="F621" s="5" t="e">
        <f>VLOOKUP($A621,tropes!$A$4:$O$2428,6,FALSE)</f>
        <v>#N/A</v>
      </c>
      <c r="G621" s="5" t="e">
        <f>VLOOKUP($A621,tropes!$A$4:$O$2428,7,FALSE)</f>
        <v>#N/A</v>
      </c>
      <c r="H621" s="5" t="e">
        <f>VLOOKUP($A621,tropes!$A$4:$O$2428,8,FALSE)</f>
        <v>#N/A</v>
      </c>
      <c r="I621" s="5" t="e">
        <f>VLOOKUP($A621,tropes!$A$4:$O$2428,9,FALSE)</f>
        <v>#N/A</v>
      </c>
      <c r="J621" s="5" t="e">
        <f>VLOOKUP($A621,tropes!$A$4:$O$2428,10,FALSE)</f>
        <v>#N/A</v>
      </c>
      <c r="K621" s="5" t="e">
        <f>VLOOKUP($A621,tropes!$A$4:$O$2428,11,FALSE)</f>
        <v>#N/A</v>
      </c>
      <c r="L621" s="5" t="e">
        <f>VLOOKUP($A621,tropes!$A$4:$O$2428,12,FALSE)</f>
        <v>#N/A</v>
      </c>
      <c r="M621" s="5" t="e">
        <f>VLOOKUP($A621,tropes!$A$4:$O$2428,13,FALSE)</f>
        <v>#N/A</v>
      </c>
      <c r="N621" s="5"/>
    </row>
    <row r="622" spans="1:14" x14ac:dyDescent="0.3">
      <c r="A622" s="14"/>
      <c r="B622" s="5" t="e">
        <f>VLOOKUP($A622,tropes!$A$4:$O$2428,2,FALSE)</f>
        <v>#N/A</v>
      </c>
      <c r="C622" s="5" t="e">
        <f>VLOOKUP($A622,tropes!$A$4:$O$2428,3,FALSE)</f>
        <v>#N/A</v>
      </c>
      <c r="D622" s="5" t="e">
        <f>VLOOKUP($A622,tropes!$A$4:$O$2428,4,FALSE)</f>
        <v>#N/A</v>
      </c>
      <c r="E622" s="5" t="e">
        <f>VLOOKUP($A622,tropes!$A$4:$O$2428,5,FALSE)</f>
        <v>#N/A</v>
      </c>
      <c r="F622" s="5" t="e">
        <f>VLOOKUP($A622,tropes!$A$4:$O$2428,6,FALSE)</f>
        <v>#N/A</v>
      </c>
      <c r="G622" s="5" t="e">
        <f>VLOOKUP($A622,tropes!$A$4:$O$2428,7,FALSE)</f>
        <v>#N/A</v>
      </c>
      <c r="H622" s="5" t="e">
        <f>VLOOKUP($A622,tropes!$A$4:$O$2428,8,FALSE)</f>
        <v>#N/A</v>
      </c>
      <c r="I622" s="5" t="e">
        <f>VLOOKUP($A622,tropes!$A$4:$O$2428,9,FALSE)</f>
        <v>#N/A</v>
      </c>
      <c r="J622" s="5" t="e">
        <f>VLOOKUP($A622,tropes!$A$4:$O$2428,10,FALSE)</f>
        <v>#N/A</v>
      </c>
      <c r="K622" s="5" t="e">
        <f>VLOOKUP($A622,tropes!$A$4:$O$2428,11,FALSE)</f>
        <v>#N/A</v>
      </c>
      <c r="L622" s="5" t="e">
        <f>VLOOKUP($A622,tropes!$A$4:$O$2428,12,FALSE)</f>
        <v>#N/A</v>
      </c>
      <c r="M622" s="5" t="e">
        <f>VLOOKUP($A622,tropes!$A$4:$O$2428,13,FALSE)</f>
        <v>#N/A</v>
      </c>
      <c r="N622" s="5"/>
    </row>
    <row r="623" spans="1:14" x14ac:dyDescent="0.3">
      <c r="A623" s="14"/>
      <c r="B623" s="5" t="e">
        <f>VLOOKUP($A623,tropes!$A$4:$O$2428,2,FALSE)</f>
        <v>#N/A</v>
      </c>
      <c r="C623" s="5" t="e">
        <f>VLOOKUP($A623,tropes!$A$4:$O$2428,3,FALSE)</f>
        <v>#N/A</v>
      </c>
      <c r="D623" s="5" t="e">
        <f>VLOOKUP($A623,tropes!$A$4:$O$2428,4,FALSE)</f>
        <v>#N/A</v>
      </c>
      <c r="E623" s="5" t="e">
        <f>VLOOKUP($A623,tropes!$A$4:$O$2428,5,FALSE)</f>
        <v>#N/A</v>
      </c>
      <c r="F623" s="5" t="e">
        <f>VLOOKUP($A623,tropes!$A$4:$O$2428,6,FALSE)</f>
        <v>#N/A</v>
      </c>
      <c r="G623" s="5" t="e">
        <f>VLOOKUP($A623,tropes!$A$4:$O$2428,7,FALSE)</f>
        <v>#N/A</v>
      </c>
      <c r="H623" s="5" t="e">
        <f>VLOOKUP($A623,tropes!$A$4:$O$2428,8,FALSE)</f>
        <v>#N/A</v>
      </c>
      <c r="I623" s="5" t="e">
        <f>VLOOKUP($A623,tropes!$A$4:$O$2428,9,FALSE)</f>
        <v>#N/A</v>
      </c>
      <c r="J623" s="5" t="e">
        <f>VLOOKUP($A623,tropes!$A$4:$O$2428,10,FALSE)</f>
        <v>#N/A</v>
      </c>
      <c r="K623" s="5" t="e">
        <f>VLOOKUP($A623,tropes!$A$4:$O$2428,11,FALSE)</f>
        <v>#N/A</v>
      </c>
      <c r="L623" s="5" t="e">
        <f>VLOOKUP($A623,tropes!$A$4:$O$2428,12,FALSE)</f>
        <v>#N/A</v>
      </c>
      <c r="M623" s="5" t="e">
        <f>VLOOKUP($A623,tropes!$A$4:$O$2428,13,FALSE)</f>
        <v>#N/A</v>
      </c>
      <c r="N623" s="5"/>
    </row>
    <row r="624" spans="1:14" x14ac:dyDescent="0.3">
      <c r="A624" s="14"/>
      <c r="B624" s="5" t="e">
        <f>VLOOKUP($A624,tropes!$A$4:$O$2428,2,FALSE)</f>
        <v>#N/A</v>
      </c>
      <c r="C624" s="5" t="e">
        <f>VLOOKUP($A624,tropes!$A$4:$O$2428,3,FALSE)</f>
        <v>#N/A</v>
      </c>
      <c r="D624" s="5" t="e">
        <f>VLOOKUP($A624,tropes!$A$4:$O$2428,4,FALSE)</f>
        <v>#N/A</v>
      </c>
      <c r="E624" s="5" t="e">
        <f>VLOOKUP($A624,tropes!$A$4:$O$2428,5,FALSE)</f>
        <v>#N/A</v>
      </c>
      <c r="F624" s="5" t="e">
        <f>VLOOKUP($A624,tropes!$A$4:$O$2428,6,FALSE)</f>
        <v>#N/A</v>
      </c>
      <c r="G624" s="5" t="e">
        <f>VLOOKUP($A624,tropes!$A$4:$O$2428,7,FALSE)</f>
        <v>#N/A</v>
      </c>
      <c r="H624" s="5" t="e">
        <f>VLOOKUP($A624,tropes!$A$4:$O$2428,8,FALSE)</f>
        <v>#N/A</v>
      </c>
      <c r="I624" s="5" t="e">
        <f>VLOOKUP($A624,tropes!$A$4:$O$2428,9,FALSE)</f>
        <v>#N/A</v>
      </c>
      <c r="J624" s="5" t="e">
        <f>VLOOKUP($A624,tropes!$A$4:$O$2428,10,FALSE)</f>
        <v>#N/A</v>
      </c>
      <c r="K624" s="5" t="e">
        <f>VLOOKUP($A624,tropes!$A$4:$O$2428,11,FALSE)</f>
        <v>#N/A</v>
      </c>
      <c r="L624" s="5" t="e">
        <f>VLOOKUP($A624,tropes!$A$4:$O$2428,12,FALSE)</f>
        <v>#N/A</v>
      </c>
      <c r="M624" s="5" t="e">
        <f>VLOOKUP($A624,tropes!$A$4:$O$2428,13,FALSE)</f>
        <v>#N/A</v>
      </c>
      <c r="N624" s="5"/>
    </row>
    <row r="625" spans="1:14" x14ac:dyDescent="0.3">
      <c r="A625" s="14"/>
      <c r="B625" s="5" t="e">
        <f>VLOOKUP($A625,tropes!$A$4:$O$2428,2,FALSE)</f>
        <v>#N/A</v>
      </c>
      <c r="C625" s="5" t="e">
        <f>VLOOKUP($A625,tropes!$A$4:$O$2428,3,FALSE)</f>
        <v>#N/A</v>
      </c>
      <c r="D625" s="5" t="e">
        <f>VLOOKUP($A625,tropes!$A$4:$O$2428,4,FALSE)</f>
        <v>#N/A</v>
      </c>
      <c r="E625" s="5" t="e">
        <f>VLOOKUP($A625,tropes!$A$4:$O$2428,5,FALSE)</f>
        <v>#N/A</v>
      </c>
      <c r="F625" s="5" t="e">
        <f>VLOOKUP($A625,tropes!$A$4:$O$2428,6,FALSE)</f>
        <v>#N/A</v>
      </c>
      <c r="G625" s="5" t="e">
        <f>VLOOKUP($A625,tropes!$A$4:$O$2428,7,FALSE)</f>
        <v>#N/A</v>
      </c>
      <c r="H625" s="5" t="e">
        <f>VLOOKUP($A625,tropes!$A$4:$O$2428,8,FALSE)</f>
        <v>#N/A</v>
      </c>
      <c r="I625" s="5" t="e">
        <f>VLOOKUP($A625,tropes!$A$4:$O$2428,9,FALSE)</f>
        <v>#N/A</v>
      </c>
      <c r="J625" s="5" t="e">
        <f>VLOOKUP($A625,tropes!$A$4:$O$2428,10,FALSE)</f>
        <v>#N/A</v>
      </c>
      <c r="K625" s="5" t="e">
        <f>VLOOKUP($A625,tropes!$A$4:$O$2428,11,FALSE)</f>
        <v>#N/A</v>
      </c>
      <c r="L625" s="5" t="e">
        <f>VLOOKUP($A625,tropes!$A$4:$O$2428,12,FALSE)</f>
        <v>#N/A</v>
      </c>
      <c r="M625" s="5" t="e">
        <f>VLOOKUP($A625,tropes!$A$4:$O$2428,13,FALSE)</f>
        <v>#N/A</v>
      </c>
      <c r="N625" s="5"/>
    </row>
    <row r="626" spans="1:14" x14ac:dyDescent="0.3">
      <c r="A626" s="14"/>
      <c r="B626" s="5" t="e">
        <f>VLOOKUP($A626,tropes!$A$4:$O$2428,2,FALSE)</f>
        <v>#N/A</v>
      </c>
      <c r="C626" s="5" t="e">
        <f>VLOOKUP($A626,tropes!$A$4:$O$2428,3,FALSE)</f>
        <v>#N/A</v>
      </c>
      <c r="D626" s="5" t="e">
        <f>VLOOKUP($A626,tropes!$A$4:$O$2428,4,FALSE)</f>
        <v>#N/A</v>
      </c>
      <c r="E626" s="5" t="e">
        <f>VLOOKUP($A626,tropes!$A$4:$O$2428,5,FALSE)</f>
        <v>#N/A</v>
      </c>
      <c r="F626" s="5" t="e">
        <f>VLOOKUP($A626,tropes!$A$4:$O$2428,6,FALSE)</f>
        <v>#N/A</v>
      </c>
      <c r="G626" s="5" t="e">
        <f>VLOOKUP($A626,tropes!$A$4:$O$2428,7,FALSE)</f>
        <v>#N/A</v>
      </c>
      <c r="H626" s="5" t="e">
        <f>VLOOKUP($A626,tropes!$A$4:$O$2428,8,FALSE)</f>
        <v>#N/A</v>
      </c>
      <c r="I626" s="5" t="e">
        <f>VLOOKUP($A626,tropes!$A$4:$O$2428,9,FALSE)</f>
        <v>#N/A</v>
      </c>
      <c r="J626" s="5" t="e">
        <f>VLOOKUP($A626,tropes!$A$4:$O$2428,10,FALSE)</f>
        <v>#N/A</v>
      </c>
      <c r="K626" s="5" t="e">
        <f>VLOOKUP($A626,tropes!$A$4:$O$2428,11,FALSE)</f>
        <v>#N/A</v>
      </c>
      <c r="L626" s="5" t="e">
        <f>VLOOKUP($A626,tropes!$A$4:$O$2428,12,FALSE)</f>
        <v>#N/A</v>
      </c>
      <c r="M626" s="5" t="e">
        <f>VLOOKUP($A626,tropes!$A$4:$O$2428,13,FALSE)</f>
        <v>#N/A</v>
      </c>
      <c r="N626" s="5"/>
    </row>
    <row r="627" spans="1:14" x14ac:dyDescent="0.3">
      <c r="A627" s="14"/>
      <c r="B627" s="5" t="e">
        <f>VLOOKUP($A627,tropes!$A$4:$O$2428,2,FALSE)</f>
        <v>#N/A</v>
      </c>
      <c r="C627" s="5" t="e">
        <f>VLOOKUP($A627,tropes!$A$4:$O$2428,3,FALSE)</f>
        <v>#N/A</v>
      </c>
      <c r="D627" s="5" t="e">
        <f>VLOOKUP($A627,tropes!$A$4:$O$2428,4,FALSE)</f>
        <v>#N/A</v>
      </c>
      <c r="E627" s="5" t="e">
        <f>VLOOKUP($A627,tropes!$A$4:$O$2428,5,FALSE)</f>
        <v>#N/A</v>
      </c>
      <c r="F627" s="5" t="e">
        <f>VLOOKUP($A627,tropes!$A$4:$O$2428,6,FALSE)</f>
        <v>#N/A</v>
      </c>
      <c r="G627" s="5" t="e">
        <f>VLOOKUP($A627,tropes!$A$4:$O$2428,7,FALSE)</f>
        <v>#N/A</v>
      </c>
      <c r="H627" s="5" t="e">
        <f>VLOOKUP($A627,tropes!$A$4:$O$2428,8,FALSE)</f>
        <v>#N/A</v>
      </c>
      <c r="I627" s="5" t="e">
        <f>VLOOKUP($A627,tropes!$A$4:$O$2428,9,FALSE)</f>
        <v>#N/A</v>
      </c>
      <c r="J627" s="5" t="e">
        <f>VLOOKUP($A627,tropes!$A$4:$O$2428,10,FALSE)</f>
        <v>#N/A</v>
      </c>
      <c r="K627" s="5" t="e">
        <f>VLOOKUP($A627,tropes!$A$4:$O$2428,11,FALSE)</f>
        <v>#N/A</v>
      </c>
      <c r="L627" s="5" t="e">
        <f>VLOOKUP($A627,tropes!$A$4:$O$2428,12,FALSE)</f>
        <v>#N/A</v>
      </c>
      <c r="M627" s="5" t="e">
        <f>VLOOKUP($A627,tropes!$A$4:$O$2428,13,FALSE)</f>
        <v>#N/A</v>
      </c>
      <c r="N627" s="5"/>
    </row>
    <row r="628" spans="1:14" x14ac:dyDescent="0.3">
      <c r="A628" s="14"/>
      <c r="B628" s="5" t="e">
        <f>VLOOKUP($A628,tropes!$A$4:$O$2428,2,FALSE)</f>
        <v>#N/A</v>
      </c>
      <c r="C628" s="5" t="e">
        <f>VLOOKUP($A628,tropes!$A$4:$O$2428,3,FALSE)</f>
        <v>#N/A</v>
      </c>
      <c r="D628" s="5" t="e">
        <f>VLOOKUP($A628,tropes!$A$4:$O$2428,4,FALSE)</f>
        <v>#N/A</v>
      </c>
      <c r="E628" s="5" t="e">
        <f>VLOOKUP($A628,tropes!$A$4:$O$2428,5,FALSE)</f>
        <v>#N/A</v>
      </c>
      <c r="F628" s="5" t="e">
        <f>VLOOKUP($A628,tropes!$A$4:$O$2428,6,FALSE)</f>
        <v>#N/A</v>
      </c>
      <c r="G628" s="5" t="e">
        <f>VLOOKUP($A628,tropes!$A$4:$O$2428,7,FALSE)</f>
        <v>#N/A</v>
      </c>
      <c r="H628" s="5" t="e">
        <f>VLOOKUP($A628,tropes!$A$4:$O$2428,8,FALSE)</f>
        <v>#N/A</v>
      </c>
      <c r="I628" s="5" t="e">
        <f>VLOOKUP($A628,tropes!$A$4:$O$2428,9,FALSE)</f>
        <v>#N/A</v>
      </c>
      <c r="J628" s="5" t="e">
        <f>VLOOKUP($A628,tropes!$A$4:$O$2428,10,FALSE)</f>
        <v>#N/A</v>
      </c>
      <c r="K628" s="5" t="e">
        <f>VLOOKUP($A628,tropes!$A$4:$O$2428,11,FALSE)</f>
        <v>#N/A</v>
      </c>
      <c r="L628" s="5" t="e">
        <f>VLOOKUP($A628,tropes!$A$4:$O$2428,12,FALSE)</f>
        <v>#N/A</v>
      </c>
      <c r="M628" s="5" t="e">
        <f>VLOOKUP($A628,tropes!$A$4:$O$2428,13,FALSE)</f>
        <v>#N/A</v>
      </c>
      <c r="N628" s="5"/>
    </row>
    <row r="629" spans="1:14" x14ac:dyDescent="0.3">
      <c r="A629" s="14"/>
      <c r="B629" s="5" t="e">
        <f>VLOOKUP($A629,tropes!$A$4:$O$2428,2,FALSE)</f>
        <v>#N/A</v>
      </c>
      <c r="C629" s="5" t="e">
        <f>VLOOKUP($A629,tropes!$A$4:$O$2428,3,FALSE)</f>
        <v>#N/A</v>
      </c>
      <c r="D629" s="5" t="e">
        <f>VLOOKUP($A629,tropes!$A$4:$O$2428,4,FALSE)</f>
        <v>#N/A</v>
      </c>
      <c r="E629" s="5" t="e">
        <f>VLOOKUP($A629,tropes!$A$4:$O$2428,5,FALSE)</f>
        <v>#N/A</v>
      </c>
      <c r="F629" s="5" t="e">
        <f>VLOOKUP($A629,tropes!$A$4:$O$2428,6,FALSE)</f>
        <v>#N/A</v>
      </c>
      <c r="G629" s="5" t="e">
        <f>VLOOKUP($A629,tropes!$A$4:$O$2428,7,FALSE)</f>
        <v>#N/A</v>
      </c>
      <c r="H629" s="5" t="e">
        <f>VLOOKUP($A629,tropes!$A$4:$O$2428,8,FALSE)</f>
        <v>#N/A</v>
      </c>
      <c r="I629" s="5" t="e">
        <f>VLOOKUP($A629,tropes!$A$4:$O$2428,9,FALSE)</f>
        <v>#N/A</v>
      </c>
      <c r="J629" s="5" t="e">
        <f>VLOOKUP($A629,tropes!$A$4:$O$2428,10,FALSE)</f>
        <v>#N/A</v>
      </c>
      <c r="K629" s="5" t="e">
        <f>VLOOKUP($A629,tropes!$A$4:$O$2428,11,FALSE)</f>
        <v>#N/A</v>
      </c>
      <c r="L629" s="5" t="e">
        <f>VLOOKUP($A629,tropes!$A$4:$O$2428,12,FALSE)</f>
        <v>#N/A</v>
      </c>
      <c r="M629" s="5" t="e">
        <f>VLOOKUP($A629,tropes!$A$4:$O$2428,13,FALSE)</f>
        <v>#N/A</v>
      </c>
      <c r="N629" s="5"/>
    </row>
    <row r="630" spans="1:14" x14ac:dyDescent="0.3">
      <c r="A630" s="14"/>
      <c r="B630" s="5" t="e">
        <f>VLOOKUP($A630,tropes!$A$4:$O$2428,2,FALSE)</f>
        <v>#N/A</v>
      </c>
      <c r="C630" s="5" t="e">
        <f>VLOOKUP($A630,tropes!$A$4:$O$2428,3,FALSE)</f>
        <v>#N/A</v>
      </c>
      <c r="D630" s="5" t="e">
        <f>VLOOKUP($A630,tropes!$A$4:$O$2428,4,FALSE)</f>
        <v>#N/A</v>
      </c>
      <c r="E630" s="5" t="e">
        <f>VLOOKUP($A630,tropes!$A$4:$O$2428,5,FALSE)</f>
        <v>#N/A</v>
      </c>
      <c r="F630" s="5" t="e">
        <f>VLOOKUP($A630,tropes!$A$4:$O$2428,6,FALSE)</f>
        <v>#N/A</v>
      </c>
      <c r="G630" s="5" t="e">
        <f>VLOOKUP($A630,tropes!$A$4:$O$2428,7,FALSE)</f>
        <v>#N/A</v>
      </c>
      <c r="H630" s="5" t="e">
        <f>VLOOKUP($A630,tropes!$A$4:$O$2428,8,FALSE)</f>
        <v>#N/A</v>
      </c>
      <c r="I630" s="5" t="e">
        <f>VLOOKUP($A630,tropes!$A$4:$O$2428,9,FALSE)</f>
        <v>#N/A</v>
      </c>
      <c r="J630" s="5" t="e">
        <f>VLOOKUP($A630,tropes!$A$4:$O$2428,10,FALSE)</f>
        <v>#N/A</v>
      </c>
      <c r="K630" s="5" t="e">
        <f>VLOOKUP($A630,tropes!$A$4:$O$2428,11,FALSE)</f>
        <v>#N/A</v>
      </c>
      <c r="L630" s="5" t="e">
        <f>VLOOKUP($A630,tropes!$A$4:$O$2428,12,FALSE)</f>
        <v>#N/A</v>
      </c>
      <c r="M630" s="5" t="e">
        <f>VLOOKUP($A630,tropes!$A$4:$O$2428,13,FALSE)</f>
        <v>#N/A</v>
      </c>
      <c r="N630" s="5"/>
    </row>
    <row r="631" spans="1:14" x14ac:dyDescent="0.3">
      <c r="A631" s="14"/>
      <c r="B631" s="5" t="e">
        <f>VLOOKUP($A631,tropes!$A$4:$O$2428,2,FALSE)</f>
        <v>#N/A</v>
      </c>
      <c r="C631" s="5" t="e">
        <f>VLOOKUP($A631,tropes!$A$4:$O$2428,3,FALSE)</f>
        <v>#N/A</v>
      </c>
      <c r="D631" s="5" t="e">
        <f>VLOOKUP($A631,tropes!$A$4:$O$2428,4,FALSE)</f>
        <v>#N/A</v>
      </c>
      <c r="E631" s="5" t="e">
        <f>VLOOKUP($A631,tropes!$A$4:$O$2428,5,FALSE)</f>
        <v>#N/A</v>
      </c>
      <c r="F631" s="5" t="e">
        <f>VLOOKUP($A631,tropes!$A$4:$O$2428,6,FALSE)</f>
        <v>#N/A</v>
      </c>
      <c r="G631" s="5" t="e">
        <f>VLOOKUP($A631,tropes!$A$4:$O$2428,7,FALSE)</f>
        <v>#N/A</v>
      </c>
      <c r="H631" s="5" t="e">
        <f>VLOOKUP($A631,tropes!$A$4:$O$2428,8,FALSE)</f>
        <v>#N/A</v>
      </c>
      <c r="I631" s="5" t="e">
        <f>VLOOKUP($A631,tropes!$A$4:$O$2428,9,FALSE)</f>
        <v>#N/A</v>
      </c>
      <c r="J631" s="5" t="e">
        <f>VLOOKUP($A631,tropes!$A$4:$O$2428,10,FALSE)</f>
        <v>#N/A</v>
      </c>
      <c r="K631" s="5" t="e">
        <f>VLOOKUP($A631,tropes!$A$4:$O$2428,11,FALSE)</f>
        <v>#N/A</v>
      </c>
      <c r="L631" s="5" t="e">
        <f>VLOOKUP($A631,tropes!$A$4:$O$2428,12,FALSE)</f>
        <v>#N/A</v>
      </c>
      <c r="M631" s="5" t="e">
        <f>VLOOKUP($A631,tropes!$A$4:$O$2428,13,FALSE)</f>
        <v>#N/A</v>
      </c>
      <c r="N631" s="5"/>
    </row>
    <row r="632" spans="1:14" x14ac:dyDescent="0.3">
      <c r="A632" s="14"/>
      <c r="B632" s="5" t="e">
        <f>VLOOKUP($A632,tropes!$A$4:$O$2428,2,FALSE)</f>
        <v>#N/A</v>
      </c>
      <c r="C632" s="5" t="e">
        <f>VLOOKUP($A632,tropes!$A$4:$O$2428,3,FALSE)</f>
        <v>#N/A</v>
      </c>
      <c r="D632" s="5" t="e">
        <f>VLOOKUP($A632,tropes!$A$4:$O$2428,4,FALSE)</f>
        <v>#N/A</v>
      </c>
      <c r="E632" s="5" t="e">
        <f>VLOOKUP($A632,tropes!$A$4:$O$2428,5,FALSE)</f>
        <v>#N/A</v>
      </c>
      <c r="F632" s="5" t="e">
        <f>VLOOKUP($A632,tropes!$A$4:$O$2428,6,FALSE)</f>
        <v>#N/A</v>
      </c>
      <c r="G632" s="5" t="e">
        <f>VLOOKUP($A632,tropes!$A$4:$O$2428,7,FALSE)</f>
        <v>#N/A</v>
      </c>
      <c r="H632" s="5" t="e">
        <f>VLOOKUP($A632,tropes!$A$4:$O$2428,8,FALSE)</f>
        <v>#N/A</v>
      </c>
      <c r="I632" s="5" t="e">
        <f>VLOOKUP($A632,tropes!$A$4:$O$2428,9,FALSE)</f>
        <v>#N/A</v>
      </c>
      <c r="J632" s="5" t="e">
        <f>VLOOKUP($A632,tropes!$A$4:$O$2428,10,FALSE)</f>
        <v>#N/A</v>
      </c>
      <c r="K632" s="5" t="e">
        <f>VLOOKUP($A632,tropes!$A$4:$O$2428,11,FALSE)</f>
        <v>#N/A</v>
      </c>
      <c r="L632" s="5" t="e">
        <f>VLOOKUP($A632,tropes!$A$4:$O$2428,12,FALSE)</f>
        <v>#N/A</v>
      </c>
      <c r="M632" s="5" t="e">
        <f>VLOOKUP($A632,tropes!$A$4:$O$2428,13,FALSE)</f>
        <v>#N/A</v>
      </c>
      <c r="N632" s="5"/>
    </row>
    <row r="633" spans="1:14" x14ac:dyDescent="0.3">
      <c r="A633" s="14"/>
      <c r="B633" s="5" t="e">
        <f>VLOOKUP($A633,tropes!$A$4:$O$2428,2,FALSE)</f>
        <v>#N/A</v>
      </c>
      <c r="C633" s="5" t="e">
        <f>VLOOKUP($A633,tropes!$A$4:$O$2428,3,FALSE)</f>
        <v>#N/A</v>
      </c>
      <c r="D633" s="5" t="e">
        <f>VLOOKUP($A633,tropes!$A$4:$O$2428,4,FALSE)</f>
        <v>#N/A</v>
      </c>
      <c r="E633" s="5" t="e">
        <f>VLOOKUP($A633,tropes!$A$4:$O$2428,5,FALSE)</f>
        <v>#N/A</v>
      </c>
      <c r="F633" s="5" t="e">
        <f>VLOOKUP($A633,tropes!$A$4:$O$2428,6,FALSE)</f>
        <v>#N/A</v>
      </c>
      <c r="G633" s="5" t="e">
        <f>VLOOKUP($A633,tropes!$A$4:$O$2428,7,FALSE)</f>
        <v>#N/A</v>
      </c>
      <c r="H633" s="5" t="e">
        <f>VLOOKUP($A633,tropes!$A$4:$O$2428,8,FALSE)</f>
        <v>#N/A</v>
      </c>
      <c r="I633" s="5" t="e">
        <f>VLOOKUP($A633,tropes!$A$4:$O$2428,9,FALSE)</f>
        <v>#N/A</v>
      </c>
      <c r="J633" s="5" t="e">
        <f>VLOOKUP($A633,tropes!$A$4:$O$2428,10,FALSE)</f>
        <v>#N/A</v>
      </c>
      <c r="K633" s="5" t="e">
        <f>VLOOKUP($A633,tropes!$A$4:$O$2428,11,FALSE)</f>
        <v>#N/A</v>
      </c>
      <c r="L633" s="5" t="e">
        <f>VLOOKUP($A633,tropes!$A$4:$O$2428,12,FALSE)</f>
        <v>#N/A</v>
      </c>
      <c r="M633" s="5" t="e">
        <f>VLOOKUP($A633,tropes!$A$4:$O$2428,13,FALSE)</f>
        <v>#N/A</v>
      </c>
      <c r="N633" s="5"/>
    </row>
    <row r="634" spans="1:14" x14ac:dyDescent="0.3">
      <c r="A634" s="14"/>
      <c r="B634" s="5" t="e">
        <f>VLOOKUP($A634,tropes!$A$4:$O$2428,2,FALSE)</f>
        <v>#N/A</v>
      </c>
      <c r="C634" s="5" t="e">
        <f>VLOOKUP($A634,tropes!$A$4:$O$2428,3,FALSE)</f>
        <v>#N/A</v>
      </c>
      <c r="D634" s="5" t="e">
        <f>VLOOKUP($A634,tropes!$A$4:$O$2428,4,FALSE)</f>
        <v>#N/A</v>
      </c>
      <c r="E634" s="5" t="e">
        <f>VLOOKUP($A634,tropes!$A$4:$O$2428,5,FALSE)</f>
        <v>#N/A</v>
      </c>
      <c r="F634" s="5" t="e">
        <f>VLOOKUP($A634,tropes!$A$4:$O$2428,6,FALSE)</f>
        <v>#N/A</v>
      </c>
      <c r="G634" s="5" t="e">
        <f>VLOOKUP($A634,tropes!$A$4:$O$2428,7,FALSE)</f>
        <v>#N/A</v>
      </c>
      <c r="H634" s="5" t="e">
        <f>VLOOKUP($A634,tropes!$A$4:$O$2428,8,FALSE)</f>
        <v>#N/A</v>
      </c>
      <c r="I634" s="5" t="e">
        <f>VLOOKUP($A634,tropes!$A$4:$O$2428,9,FALSE)</f>
        <v>#N/A</v>
      </c>
      <c r="J634" s="5" t="e">
        <f>VLOOKUP($A634,tropes!$A$4:$O$2428,10,FALSE)</f>
        <v>#N/A</v>
      </c>
      <c r="K634" s="5" t="e">
        <f>VLOOKUP($A634,tropes!$A$4:$O$2428,11,FALSE)</f>
        <v>#N/A</v>
      </c>
      <c r="L634" s="5" t="e">
        <f>VLOOKUP($A634,tropes!$A$4:$O$2428,12,FALSE)</f>
        <v>#N/A</v>
      </c>
      <c r="M634" s="5" t="e">
        <f>VLOOKUP($A634,tropes!$A$4:$O$2428,13,FALSE)</f>
        <v>#N/A</v>
      </c>
      <c r="N634" s="5"/>
    </row>
    <row r="635" spans="1:14" x14ac:dyDescent="0.3">
      <c r="A635" s="14"/>
      <c r="B635" s="5" t="e">
        <f>VLOOKUP($A635,tropes!$A$4:$O$2428,2,FALSE)</f>
        <v>#N/A</v>
      </c>
      <c r="C635" s="5" t="e">
        <f>VLOOKUP($A635,tropes!$A$4:$O$2428,3,FALSE)</f>
        <v>#N/A</v>
      </c>
      <c r="D635" s="5" t="e">
        <f>VLOOKUP($A635,tropes!$A$4:$O$2428,4,FALSE)</f>
        <v>#N/A</v>
      </c>
      <c r="E635" s="5" t="e">
        <f>VLOOKUP($A635,tropes!$A$4:$O$2428,5,FALSE)</f>
        <v>#N/A</v>
      </c>
      <c r="F635" s="5" t="e">
        <f>VLOOKUP($A635,tropes!$A$4:$O$2428,6,FALSE)</f>
        <v>#N/A</v>
      </c>
      <c r="G635" s="5" t="e">
        <f>VLOOKUP($A635,tropes!$A$4:$O$2428,7,FALSE)</f>
        <v>#N/A</v>
      </c>
      <c r="H635" s="5" t="e">
        <f>VLOOKUP($A635,tropes!$A$4:$O$2428,8,FALSE)</f>
        <v>#N/A</v>
      </c>
      <c r="I635" s="5" t="e">
        <f>VLOOKUP($A635,tropes!$A$4:$O$2428,9,FALSE)</f>
        <v>#N/A</v>
      </c>
      <c r="J635" s="5" t="e">
        <f>VLOOKUP($A635,tropes!$A$4:$O$2428,10,FALSE)</f>
        <v>#N/A</v>
      </c>
      <c r="K635" s="5" t="e">
        <f>VLOOKUP($A635,tropes!$A$4:$O$2428,11,FALSE)</f>
        <v>#N/A</v>
      </c>
      <c r="L635" s="5" t="e">
        <f>VLOOKUP($A635,tropes!$A$4:$O$2428,12,FALSE)</f>
        <v>#N/A</v>
      </c>
      <c r="M635" s="5" t="e">
        <f>VLOOKUP($A635,tropes!$A$4:$O$2428,13,FALSE)</f>
        <v>#N/A</v>
      </c>
      <c r="N635" s="5"/>
    </row>
    <row r="636" spans="1:14" x14ac:dyDescent="0.3">
      <c r="A636" s="14"/>
      <c r="B636" s="5" t="e">
        <f>VLOOKUP($A636,tropes!$A$4:$O$2428,2,FALSE)</f>
        <v>#N/A</v>
      </c>
      <c r="C636" s="5" t="e">
        <f>VLOOKUP($A636,tropes!$A$4:$O$2428,3,FALSE)</f>
        <v>#N/A</v>
      </c>
      <c r="D636" s="5" t="e">
        <f>VLOOKUP($A636,tropes!$A$4:$O$2428,4,FALSE)</f>
        <v>#N/A</v>
      </c>
      <c r="E636" s="5" t="e">
        <f>VLOOKUP($A636,tropes!$A$4:$O$2428,5,FALSE)</f>
        <v>#N/A</v>
      </c>
      <c r="F636" s="5" t="e">
        <f>VLOOKUP($A636,tropes!$A$4:$O$2428,6,FALSE)</f>
        <v>#N/A</v>
      </c>
      <c r="G636" s="5" t="e">
        <f>VLOOKUP($A636,tropes!$A$4:$O$2428,7,FALSE)</f>
        <v>#N/A</v>
      </c>
      <c r="H636" s="5" t="e">
        <f>VLOOKUP($A636,tropes!$A$4:$O$2428,8,FALSE)</f>
        <v>#N/A</v>
      </c>
      <c r="I636" s="5" t="e">
        <f>VLOOKUP($A636,tropes!$A$4:$O$2428,9,FALSE)</f>
        <v>#N/A</v>
      </c>
      <c r="J636" s="5" t="e">
        <f>VLOOKUP($A636,tropes!$A$4:$O$2428,10,FALSE)</f>
        <v>#N/A</v>
      </c>
      <c r="K636" s="5" t="e">
        <f>VLOOKUP($A636,tropes!$A$4:$O$2428,11,FALSE)</f>
        <v>#N/A</v>
      </c>
      <c r="L636" s="5" t="e">
        <f>VLOOKUP($A636,tropes!$A$4:$O$2428,12,FALSE)</f>
        <v>#N/A</v>
      </c>
      <c r="M636" s="5" t="e">
        <f>VLOOKUP($A636,tropes!$A$4:$O$2428,13,FALSE)</f>
        <v>#N/A</v>
      </c>
      <c r="N636" s="5"/>
    </row>
    <row r="637" spans="1:14" x14ac:dyDescent="0.3">
      <c r="A637" s="14"/>
      <c r="B637" s="5" t="e">
        <f>VLOOKUP($A637,tropes!$A$4:$O$2428,2,FALSE)</f>
        <v>#N/A</v>
      </c>
      <c r="C637" s="5" t="e">
        <f>VLOOKUP($A637,tropes!$A$4:$O$2428,3,FALSE)</f>
        <v>#N/A</v>
      </c>
      <c r="D637" s="5" t="e">
        <f>VLOOKUP($A637,tropes!$A$4:$O$2428,4,FALSE)</f>
        <v>#N/A</v>
      </c>
      <c r="E637" s="5" t="e">
        <f>VLOOKUP($A637,tropes!$A$4:$O$2428,5,FALSE)</f>
        <v>#N/A</v>
      </c>
      <c r="F637" s="5" t="e">
        <f>VLOOKUP($A637,tropes!$A$4:$O$2428,6,FALSE)</f>
        <v>#N/A</v>
      </c>
      <c r="G637" s="5" t="e">
        <f>VLOOKUP($A637,tropes!$A$4:$O$2428,7,FALSE)</f>
        <v>#N/A</v>
      </c>
      <c r="H637" s="5" t="e">
        <f>VLOOKUP($A637,tropes!$A$4:$O$2428,8,FALSE)</f>
        <v>#N/A</v>
      </c>
      <c r="I637" s="5" t="e">
        <f>VLOOKUP($A637,tropes!$A$4:$O$2428,9,FALSE)</f>
        <v>#N/A</v>
      </c>
      <c r="J637" s="5" t="e">
        <f>VLOOKUP($A637,tropes!$A$4:$O$2428,10,FALSE)</f>
        <v>#N/A</v>
      </c>
      <c r="K637" s="5" t="e">
        <f>VLOOKUP($A637,tropes!$A$4:$O$2428,11,FALSE)</f>
        <v>#N/A</v>
      </c>
      <c r="L637" s="5" t="e">
        <f>VLOOKUP($A637,tropes!$A$4:$O$2428,12,FALSE)</f>
        <v>#N/A</v>
      </c>
      <c r="M637" s="5" t="e">
        <f>VLOOKUP($A637,tropes!$A$4:$O$2428,13,FALSE)</f>
        <v>#N/A</v>
      </c>
      <c r="N637" s="5"/>
    </row>
    <row r="638" spans="1:14" x14ac:dyDescent="0.3">
      <c r="A638" s="14"/>
      <c r="B638" s="5" t="e">
        <f>VLOOKUP($A638,tropes!$A$4:$O$2428,2,FALSE)</f>
        <v>#N/A</v>
      </c>
      <c r="C638" s="5" t="e">
        <f>VLOOKUP($A638,tropes!$A$4:$O$2428,3,FALSE)</f>
        <v>#N/A</v>
      </c>
      <c r="D638" s="5" t="e">
        <f>VLOOKUP($A638,tropes!$A$4:$O$2428,4,FALSE)</f>
        <v>#N/A</v>
      </c>
      <c r="E638" s="5" t="e">
        <f>VLOOKUP($A638,tropes!$A$4:$O$2428,5,FALSE)</f>
        <v>#N/A</v>
      </c>
      <c r="F638" s="5" t="e">
        <f>VLOOKUP($A638,tropes!$A$4:$O$2428,6,FALSE)</f>
        <v>#N/A</v>
      </c>
      <c r="G638" s="5" t="e">
        <f>VLOOKUP($A638,tropes!$A$4:$O$2428,7,FALSE)</f>
        <v>#N/A</v>
      </c>
      <c r="H638" s="5" t="e">
        <f>VLOOKUP($A638,tropes!$A$4:$O$2428,8,FALSE)</f>
        <v>#N/A</v>
      </c>
      <c r="I638" s="5" t="e">
        <f>VLOOKUP($A638,tropes!$A$4:$O$2428,9,FALSE)</f>
        <v>#N/A</v>
      </c>
      <c r="J638" s="5" t="e">
        <f>VLOOKUP($A638,tropes!$A$4:$O$2428,10,FALSE)</f>
        <v>#N/A</v>
      </c>
      <c r="K638" s="5" t="e">
        <f>VLOOKUP($A638,tropes!$A$4:$O$2428,11,FALSE)</f>
        <v>#N/A</v>
      </c>
      <c r="L638" s="5" t="e">
        <f>VLOOKUP($A638,tropes!$A$4:$O$2428,12,FALSE)</f>
        <v>#N/A</v>
      </c>
      <c r="M638" s="5" t="e">
        <f>VLOOKUP($A638,tropes!$A$4:$O$2428,13,FALSE)</f>
        <v>#N/A</v>
      </c>
      <c r="N638" s="5"/>
    </row>
    <row r="639" spans="1:14" x14ac:dyDescent="0.3">
      <c r="A639" s="14"/>
      <c r="B639" s="5" t="e">
        <f>VLOOKUP($A639,tropes!$A$4:$O$2428,2,FALSE)</f>
        <v>#N/A</v>
      </c>
      <c r="C639" s="5" t="e">
        <f>VLOOKUP($A639,tropes!$A$4:$O$2428,3,FALSE)</f>
        <v>#N/A</v>
      </c>
      <c r="D639" s="5" t="e">
        <f>VLOOKUP($A639,tropes!$A$4:$O$2428,4,FALSE)</f>
        <v>#N/A</v>
      </c>
      <c r="E639" s="5" t="e">
        <f>VLOOKUP($A639,tropes!$A$4:$O$2428,5,FALSE)</f>
        <v>#N/A</v>
      </c>
      <c r="F639" s="5" t="e">
        <f>VLOOKUP($A639,tropes!$A$4:$O$2428,6,FALSE)</f>
        <v>#N/A</v>
      </c>
      <c r="G639" s="5" t="e">
        <f>VLOOKUP($A639,tropes!$A$4:$O$2428,7,FALSE)</f>
        <v>#N/A</v>
      </c>
      <c r="H639" s="5" t="e">
        <f>VLOOKUP($A639,tropes!$A$4:$O$2428,8,FALSE)</f>
        <v>#N/A</v>
      </c>
      <c r="I639" s="5" t="e">
        <f>VLOOKUP($A639,tropes!$A$4:$O$2428,9,FALSE)</f>
        <v>#N/A</v>
      </c>
      <c r="J639" s="5" t="e">
        <f>VLOOKUP($A639,tropes!$A$4:$O$2428,10,FALSE)</f>
        <v>#N/A</v>
      </c>
      <c r="K639" s="5" t="e">
        <f>VLOOKUP($A639,tropes!$A$4:$O$2428,11,FALSE)</f>
        <v>#N/A</v>
      </c>
      <c r="L639" s="5" t="e">
        <f>VLOOKUP($A639,tropes!$A$4:$O$2428,12,FALSE)</f>
        <v>#N/A</v>
      </c>
      <c r="M639" s="5" t="e">
        <f>VLOOKUP($A639,tropes!$A$4:$O$2428,13,FALSE)</f>
        <v>#N/A</v>
      </c>
      <c r="N639" s="5"/>
    </row>
    <row r="640" spans="1:14" x14ac:dyDescent="0.3">
      <c r="A640" s="14"/>
      <c r="B640" s="5" t="e">
        <f>VLOOKUP($A640,tropes!$A$4:$O$2428,2,FALSE)</f>
        <v>#N/A</v>
      </c>
      <c r="C640" s="5" t="e">
        <f>VLOOKUP($A640,tropes!$A$4:$O$2428,3,FALSE)</f>
        <v>#N/A</v>
      </c>
      <c r="D640" s="5" t="e">
        <f>VLOOKUP($A640,tropes!$A$4:$O$2428,4,FALSE)</f>
        <v>#N/A</v>
      </c>
      <c r="E640" s="5" t="e">
        <f>VLOOKUP($A640,tropes!$A$4:$O$2428,5,FALSE)</f>
        <v>#N/A</v>
      </c>
      <c r="F640" s="5" t="e">
        <f>VLOOKUP($A640,tropes!$A$4:$O$2428,6,FALSE)</f>
        <v>#N/A</v>
      </c>
      <c r="G640" s="5" t="e">
        <f>VLOOKUP($A640,tropes!$A$4:$O$2428,7,FALSE)</f>
        <v>#N/A</v>
      </c>
      <c r="H640" s="5" t="e">
        <f>VLOOKUP($A640,tropes!$A$4:$O$2428,8,FALSE)</f>
        <v>#N/A</v>
      </c>
      <c r="I640" s="5" t="e">
        <f>VLOOKUP($A640,tropes!$A$4:$O$2428,9,FALSE)</f>
        <v>#N/A</v>
      </c>
      <c r="J640" s="5" t="e">
        <f>VLOOKUP($A640,tropes!$A$4:$O$2428,10,FALSE)</f>
        <v>#N/A</v>
      </c>
      <c r="K640" s="5" t="e">
        <f>VLOOKUP($A640,tropes!$A$4:$O$2428,11,FALSE)</f>
        <v>#N/A</v>
      </c>
      <c r="L640" s="5" t="e">
        <f>VLOOKUP($A640,tropes!$A$4:$O$2428,12,FALSE)</f>
        <v>#N/A</v>
      </c>
      <c r="M640" s="5" t="e">
        <f>VLOOKUP($A640,tropes!$A$4:$O$2428,13,FALSE)</f>
        <v>#N/A</v>
      </c>
      <c r="N640" s="5"/>
    </row>
    <row r="641" spans="1:14" x14ac:dyDescent="0.3">
      <c r="A641" s="14"/>
      <c r="B641" s="5" t="e">
        <f>VLOOKUP($A641,tropes!$A$4:$O$2428,2,FALSE)</f>
        <v>#N/A</v>
      </c>
      <c r="C641" s="5" t="e">
        <f>VLOOKUP($A641,tropes!$A$4:$O$2428,3,FALSE)</f>
        <v>#N/A</v>
      </c>
      <c r="D641" s="5" t="e">
        <f>VLOOKUP($A641,tropes!$A$4:$O$2428,4,FALSE)</f>
        <v>#N/A</v>
      </c>
      <c r="E641" s="5" t="e">
        <f>VLOOKUP($A641,tropes!$A$4:$O$2428,5,FALSE)</f>
        <v>#N/A</v>
      </c>
      <c r="F641" s="5" t="e">
        <f>VLOOKUP($A641,tropes!$A$4:$O$2428,6,FALSE)</f>
        <v>#N/A</v>
      </c>
      <c r="G641" s="5" t="e">
        <f>VLOOKUP($A641,tropes!$A$4:$O$2428,7,FALSE)</f>
        <v>#N/A</v>
      </c>
      <c r="H641" s="5" t="e">
        <f>VLOOKUP($A641,tropes!$A$4:$O$2428,8,FALSE)</f>
        <v>#N/A</v>
      </c>
      <c r="I641" s="5" t="e">
        <f>VLOOKUP($A641,tropes!$A$4:$O$2428,9,FALSE)</f>
        <v>#N/A</v>
      </c>
      <c r="J641" s="5" t="e">
        <f>VLOOKUP($A641,tropes!$A$4:$O$2428,10,FALSE)</f>
        <v>#N/A</v>
      </c>
      <c r="K641" s="5" t="e">
        <f>VLOOKUP($A641,tropes!$A$4:$O$2428,11,FALSE)</f>
        <v>#N/A</v>
      </c>
      <c r="L641" s="5" t="e">
        <f>VLOOKUP($A641,tropes!$A$4:$O$2428,12,FALSE)</f>
        <v>#N/A</v>
      </c>
      <c r="M641" s="5" t="e">
        <f>VLOOKUP($A641,tropes!$A$4:$O$2428,13,FALSE)</f>
        <v>#N/A</v>
      </c>
      <c r="N641" s="5"/>
    </row>
    <row r="642" spans="1:14" x14ac:dyDescent="0.3">
      <c r="A642" s="14"/>
      <c r="B642" s="5" t="e">
        <f>VLOOKUP($A642,tropes!$A$4:$O$2428,2,FALSE)</f>
        <v>#N/A</v>
      </c>
      <c r="C642" s="5" t="e">
        <f>VLOOKUP($A642,tropes!$A$4:$O$2428,3,FALSE)</f>
        <v>#N/A</v>
      </c>
      <c r="D642" s="5" t="e">
        <f>VLOOKUP($A642,tropes!$A$4:$O$2428,4,FALSE)</f>
        <v>#N/A</v>
      </c>
      <c r="E642" s="5" t="e">
        <f>VLOOKUP($A642,tropes!$A$4:$O$2428,5,FALSE)</f>
        <v>#N/A</v>
      </c>
      <c r="F642" s="5" t="e">
        <f>VLOOKUP($A642,tropes!$A$4:$O$2428,6,FALSE)</f>
        <v>#N/A</v>
      </c>
      <c r="G642" s="5" t="e">
        <f>VLOOKUP($A642,tropes!$A$4:$O$2428,7,FALSE)</f>
        <v>#N/A</v>
      </c>
      <c r="H642" s="5" t="e">
        <f>VLOOKUP($A642,tropes!$A$4:$O$2428,8,FALSE)</f>
        <v>#N/A</v>
      </c>
      <c r="I642" s="5" t="e">
        <f>VLOOKUP($A642,tropes!$A$4:$O$2428,9,FALSE)</f>
        <v>#N/A</v>
      </c>
      <c r="J642" s="5" t="e">
        <f>VLOOKUP($A642,tropes!$A$4:$O$2428,10,FALSE)</f>
        <v>#N/A</v>
      </c>
      <c r="K642" s="5" t="e">
        <f>VLOOKUP($A642,tropes!$A$4:$O$2428,11,FALSE)</f>
        <v>#N/A</v>
      </c>
      <c r="L642" s="5" t="e">
        <f>VLOOKUP($A642,tropes!$A$4:$O$2428,12,FALSE)</f>
        <v>#N/A</v>
      </c>
      <c r="M642" s="5" t="e">
        <f>VLOOKUP($A642,tropes!$A$4:$O$2428,13,FALSE)</f>
        <v>#N/A</v>
      </c>
      <c r="N642" s="5"/>
    </row>
    <row r="643" spans="1:14" x14ac:dyDescent="0.3">
      <c r="A643" s="14"/>
      <c r="B643" s="5" t="e">
        <f>VLOOKUP($A643,tropes!$A$4:$O$2428,2,FALSE)</f>
        <v>#N/A</v>
      </c>
      <c r="C643" s="5" t="e">
        <f>VLOOKUP($A643,tropes!$A$4:$O$2428,3,FALSE)</f>
        <v>#N/A</v>
      </c>
      <c r="D643" s="5" t="e">
        <f>VLOOKUP($A643,tropes!$A$4:$O$2428,4,FALSE)</f>
        <v>#N/A</v>
      </c>
      <c r="E643" s="5" t="e">
        <f>VLOOKUP($A643,tropes!$A$4:$O$2428,5,FALSE)</f>
        <v>#N/A</v>
      </c>
      <c r="F643" s="5" t="e">
        <f>VLOOKUP($A643,tropes!$A$4:$O$2428,6,FALSE)</f>
        <v>#N/A</v>
      </c>
      <c r="G643" s="5" t="e">
        <f>VLOOKUP($A643,tropes!$A$4:$O$2428,7,FALSE)</f>
        <v>#N/A</v>
      </c>
      <c r="H643" s="5" t="e">
        <f>VLOOKUP($A643,tropes!$A$4:$O$2428,8,FALSE)</f>
        <v>#N/A</v>
      </c>
      <c r="I643" s="5" t="e">
        <f>VLOOKUP($A643,tropes!$A$4:$O$2428,9,FALSE)</f>
        <v>#N/A</v>
      </c>
      <c r="J643" s="5" t="e">
        <f>VLOOKUP($A643,tropes!$A$4:$O$2428,10,FALSE)</f>
        <v>#N/A</v>
      </c>
      <c r="K643" s="5" t="e">
        <f>VLOOKUP($A643,tropes!$A$4:$O$2428,11,FALSE)</f>
        <v>#N/A</v>
      </c>
      <c r="L643" s="5" t="e">
        <f>VLOOKUP($A643,tropes!$A$4:$O$2428,12,FALSE)</f>
        <v>#N/A</v>
      </c>
      <c r="M643" s="5" t="e">
        <f>VLOOKUP($A643,tropes!$A$4:$O$2428,13,FALSE)</f>
        <v>#N/A</v>
      </c>
      <c r="N643" s="5"/>
    </row>
    <row r="644" spans="1:14" x14ac:dyDescent="0.3">
      <c r="A644" s="14"/>
      <c r="B644" s="5" t="e">
        <f>VLOOKUP($A644,tropes!$A$4:$O$2428,2,FALSE)</f>
        <v>#N/A</v>
      </c>
      <c r="C644" s="5" t="e">
        <f>VLOOKUP($A644,tropes!$A$4:$O$2428,3,FALSE)</f>
        <v>#N/A</v>
      </c>
      <c r="D644" s="5" t="e">
        <f>VLOOKUP($A644,tropes!$A$4:$O$2428,4,FALSE)</f>
        <v>#N/A</v>
      </c>
      <c r="E644" s="5" t="e">
        <f>VLOOKUP($A644,tropes!$A$4:$O$2428,5,FALSE)</f>
        <v>#N/A</v>
      </c>
      <c r="F644" s="5" t="e">
        <f>VLOOKUP($A644,tropes!$A$4:$O$2428,6,FALSE)</f>
        <v>#N/A</v>
      </c>
      <c r="G644" s="5" t="e">
        <f>VLOOKUP($A644,tropes!$A$4:$O$2428,7,FALSE)</f>
        <v>#N/A</v>
      </c>
      <c r="H644" s="5" t="e">
        <f>VLOOKUP($A644,tropes!$A$4:$O$2428,8,FALSE)</f>
        <v>#N/A</v>
      </c>
      <c r="I644" s="5" t="e">
        <f>VLOOKUP($A644,tropes!$A$4:$O$2428,9,FALSE)</f>
        <v>#N/A</v>
      </c>
      <c r="J644" s="5" t="e">
        <f>VLOOKUP($A644,tropes!$A$4:$O$2428,10,FALSE)</f>
        <v>#N/A</v>
      </c>
      <c r="K644" s="5" t="e">
        <f>VLOOKUP($A644,tropes!$A$4:$O$2428,11,FALSE)</f>
        <v>#N/A</v>
      </c>
      <c r="L644" s="5" t="e">
        <f>VLOOKUP($A644,tropes!$A$4:$O$2428,12,FALSE)</f>
        <v>#N/A</v>
      </c>
      <c r="M644" s="5" t="e">
        <f>VLOOKUP($A644,tropes!$A$4:$O$2428,13,FALSE)</f>
        <v>#N/A</v>
      </c>
      <c r="N644" s="5"/>
    </row>
    <row r="645" spans="1:14" x14ac:dyDescent="0.3">
      <c r="A645" s="14"/>
      <c r="B645" s="5" t="e">
        <f>VLOOKUP($A645,tropes!$A$4:$O$2428,2,FALSE)</f>
        <v>#N/A</v>
      </c>
      <c r="C645" s="5" t="e">
        <f>VLOOKUP($A645,tropes!$A$4:$O$2428,3,FALSE)</f>
        <v>#N/A</v>
      </c>
      <c r="D645" s="5" t="e">
        <f>VLOOKUP($A645,tropes!$A$4:$O$2428,4,FALSE)</f>
        <v>#N/A</v>
      </c>
      <c r="E645" s="5" t="e">
        <f>VLOOKUP($A645,tropes!$A$4:$O$2428,5,FALSE)</f>
        <v>#N/A</v>
      </c>
      <c r="F645" s="5" t="e">
        <f>VLOOKUP($A645,tropes!$A$4:$O$2428,6,FALSE)</f>
        <v>#N/A</v>
      </c>
      <c r="G645" s="5" t="e">
        <f>VLOOKUP($A645,tropes!$A$4:$O$2428,7,FALSE)</f>
        <v>#N/A</v>
      </c>
      <c r="H645" s="5" t="e">
        <f>VLOOKUP($A645,tropes!$A$4:$O$2428,8,FALSE)</f>
        <v>#N/A</v>
      </c>
      <c r="I645" s="5" t="e">
        <f>VLOOKUP($A645,tropes!$A$4:$O$2428,9,FALSE)</f>
        <v>#N/A</v>
      </c>
      <c r="J645" s="5" t="e">
        <f>VLOOKUP($A645,tropes!$A$4:$O$2428,10,FALSE)</f>
        <v>#N/A</v>
      </c>
      <c r="K645" s="5" t="e">
        <f>VLOOKUP($A645,tropes!$A$4:$O$2428,11,FALSE)</f>
        <v>#N/A</v>
      </c>
      <c r="L645" s="5" t="e">
        <f>VLOOKUP($A645,tropes!$A$4:$O$2428,12,FALSE)</f>
        <v>#N/A</v>
      </c>
      <c r="M645" s="5" t="e">
        <f>VLOOKUP($A645,tropes!$A$4:$O$2428,13,FALSE)</f>
        <v>#N/A</v>
      </c>
      <c r="N645" s="5"/>
    </row>
    <row r="646" spans="1:14" x14ac:dyDescent="0.3">
      <c r="A646" s="14"/>
      <c r="B646" s="5" t="e">
        <f>VLOOKUP($A646,tropes!$A$4:$O$2428,2,FALSE)</f>
        <v>#N/A</v>
      </c>
      <c r="C646" s="5" t="e">
        <f>VLOOKUP($A646,tropes!$A$4:$O$2428,3,FALSE)</f>
        <v>#N/A</v>
      </c>
      <c r="D646" s="5" t="e">
        <f>VLOOKUP($A646,tropes!$A$4:$O$2428,4,FALSE)</f>
        <v>#N/A</v>
      </c>
      <c r="E646" s="5" t="e">
        <f>VLOOKUP($A646,tropes!$A$4:$O$2428,5,FALSE)</f>
        <v>#N/A</v>
      </c>
      <c r="F646" s="5" t="e">
        <f>VLOOKUP($A646,tropes!$A$4:$O$2428,6,FALSE)</f>
        <v>#N/A</v>
      </c>
      <c r="G646" s="5" t="e">
        <f>VLOOKUP($A646,tropes!$A$4:$O$2428,7,FALSE)</f>
        <v>#N/A</v>
      </c>
      <c r="H646" s="5" t="e">
        <f>VLOOKUP($A646,tropes!$A$4:$O$2428,8,FALSE)</f>
        <v>#N/A</v>
      </c>
      <c r="I646" s="5" t="e">
        <f>VLOOKUP($A646,tropes!$A$4:$O$2428,9,FALSE)</f>
        <v>#N/A</v>
      </c>
      <c r="J646" s="5" t="e">
        <f>VLOOKUP($A646,tropes!$A$4:$O$2428,10,FALSE)</f>
        <v>#N/A</v>
      </c>
      <c r="K646" s="5" t="e">
        <f>VLOOKUP($A646,tropes!$A$4:$O$2428,11,FALSE)</f>
        <v>#N/A</v>
      </c>
      <c r="L646" s="5" t="e">
        <f>VLOOKUP($A646,tropes!$A$4:$O$2428,12,FALSE)</f>
        <v>#N/A</v>
      </c>
      <c r="M646" s="5" t="e">
        <f>VLOOKUP($A646,tropes!$A$4:$O$2428,13,FALSE)</f>
        <v>#N/A</v>
      </c>
      <c r="N646" s="5"/>
    </row>
    <row r="647" spans="1:14" x14ac:dyDescent="0.3">
      <c r="A647" s="14"/>
      <c r="B647" s="5" t="e">
        <f>VLOOKUP($A647,tropes!$A$4:$O$2428,2,FALSE)</f>
        <v>#N/A</v>
      </c>
      <c r="C647" s="5" t="e">
        <f>VLOOKUP($A647,tropes!$A$4:$O$2428,3,FALSE)</f>
        <v>#N/A</v>
      </c>
      <c r="D647" s="5" t="e">
        <f>VLOOKUP($A647,tropes!$A$4:$O$2428,4,FALSE)</f>
        <v>#N/A</v>
      </c>
      <c r="E647" s="5" t="e">
        <f>VLOOKUP($A647,tropes!$A$4:$O$2428,5,FALSE)</f>
        <v>#N/A</v>
      </c>
      <c r="F647" s="5" t="e">
        <f>VLOOKUP($A647,tropes!$A$4:$O$2428,6,FALSE)</f>
        <v>#N/A</v>
      </c>
      <c r="G647" s="5" t="e">
        <f>VLOOKUP($A647,tropes!$A$4:$O$2428,7,FALSE)</f>
        <v>#N/A</v>
      </c>
      <c r="H647" s="5" t="e">
        <f>VLOOKUP($A647,tropes!$A$4:$O$2428,8,FALSE)</f>
        <v>#N/A</v>
      </c>
      <c r="I647" s="5" t="e">
        <f>VLOOKUP($A647,tropes!$A$4:$O$2428,9,FALSE)</f>
        <v>#N/A</v>
      </c>
      <c r="J647" s="5" t="e">
        <f>VLOOKUP($A647,tropes!$A$4:$O$2428,10,FALSE)</f>
        <v>#N/A</v>
      </c>
      <c r="K647" s="5" t="e">
        <f>VLOOKUP($A647,tropes!$A$4:$O$2428,11,FALSE)</f>
        <v>#N/A</v>
      </c>
      <c r="L647" s="5" t="e">
        <f>VLOOKUP($A647,tropes!$A$4:$O$2428,12,FALSE)</f>
        <v>#N/A</v>
      </c>
      <c r="M647" s="5" t="e">
        <f>VLOOKUP($A647,tropes!$A$4:$O$2428,13,FALSE)</f>
        <v>#N/A</v>
      </c>
      <c r="N647" s="5"/>
    </row>
    <row r="648" spans="1:14" x14ac:dyDescent="0.3">
      <c r="A648" s="14"/>
      <c r="B648" s="5" t="e">
        <f>VLOOKUP($A648,tropes!$A$4:$O$2428,2,FALSE)</f>
        <v>#N/A</v>
      </c>
      <c r="C648" s="5" t="e">
        <f>VLOOKUP($A648,tropes!$A$4:$O$2428,3,FALSE)</f>
        <v>#N/A</v>
      </c>
      <c r="D648" s="5" t="e">
        <f>VLOOKUP($A648,tropes!$A$4:$O$2428,4,FALSE)</f>
        <v>#N/A</v>
      </c>
      <c r="E648" s="5" t="e">
        <f>VLOOKUP($A648,tropes!$A$4:$O$2428,5,FALSE)</f>
        <v>#N/A</v>
      </c>
      <c r="F648" s="5" t="e">
        <f>VLOOKUP($A648,tropes!$A$4:$O$2428,6,FALSE)</f>
        <v>#N/A</v>
      </c>
      <c r="G648" s="5" t="e">
        <f>VLOOKUP($A648,tropes!$A$4:$O$2428,7,FALSE)</f>
        <v>#N/A</v>
      </c>
      <c r="H648" s="5" t="e">
        <f>VLOOKUP($A648,tropes!$A$4:$O$2428,8,FALSE)</f>
        <v>#N/A</v>
      </c>
      <c r="I648" s="5" t="e">
        <f>VLOOKUP($A648,tropes!$A$4:$O$2428,9,FALSE)</f>
        <v>#N/A</v>
      </c>
      <c r="J648" s="5" t="e">
        <f>VLOOKUP($A648,tropes!$A$4:$O$2428,10,FALSE)</f>
        <v>#N/A</v>
      </c>
      <c r="K648" s="5" t="e">
        <f>VLOOKUP($A648,tropes!$A$4:$O$2428,11,FALSE)</f>
        <v>#N/A</v>
      </c>
      <c r="L648" s="5" t="e">
        <f>VLOOKUP($A648,tropes!$A$4:$O$2428,12,FALSE)</f>
        <v>#N/A</v>
      </c>
      <c r="M648" s="5" t="e">
        <f>VLOOKUP($A648,tropes!$A$4:$O$2428,13,FALSE)</f>
        <v>#N/A</v>
      </c>
      <c r="N648" s="5"/>
    </row>
    <row r="649" spans="1:14" x14ac:dyDescent="0.3">
      <c r="A649" s="14"/>
      <c r="B649" s="5" t="e">
        <f>VLOOKUP($A649,tropes!$A$4:$O$2428,2,FALSE)</f>
        <v>#N/A</v>
      </c>
      <c r="C649" s="5" t="e">
        <f>VLOOKUP($A649,tropes!$A$4:$O$2428,3,FALSE)</f>
        <v>#N/A</v>
      </c>
      <c r="D649" s="5" t="e">
        <f>VLOOKUP($A649,tropes!$A$4:$O$2428,4,FALSE)</f>
        <v>#N/A</v>
      </c>
      <c r="E649" s="5" t="e">
        <f>VLOOKUP($A649,tropes!$A$4:$O$2428,5,FALSE)</f>
        <v>#N/A</v>
      </c>
      <c r="F649" s="5" t="e">
        <f>VLOOKUP($A649,tropes!$A$4:$O$2428,6,FALSE)</f>
        <v>#N/A</v>
      </c>
      <c r="G649" s="5" t="e">
        <f>VLOOKUP($A649,tropes!$A$4:$O$2428,7,FALSE)</f>
        <v>#N/A</v>
      </c>
      <c r="H649" s="5" t="e">
        <f>VLOOKUP($A649,tropes!$A$4:$O$2428,8,FALSE)</f>
        <v>#N/A</v>
      </c>
      <c r="I649" s="5" t="e">
        <f>VLOOKUP($A649,tropes!$A$4:$O$2428,9,FALSE)</f>
        <v>#N/A</v>
      </c>
      <c r="J649" s="5" t="e">
        <f>VLOOKUP($A649,tropes!$A$4:$O$2428,10,FALSE)</f>
        <v>#N/A</v>
      </c>
      <c r="K649" s="5" t="e">
        <f>VLOOKUP($A649,tropes!$A$4:$O$2428,11,FALSE)</f>
        <v>#N/A</v>
      </c>
      <c r="L649" s="5" t="e">
        <f>VLOOKUP($A649,tropes!$A$4:$O$2428,12,FALSE)</f>
        <v>#N/A</v>
      </c>
      <c r="M649" s="5" t="e">
        <f>VLOOKUP($A649,tropes!$A$4:$O$2428,13,FALSE)</f>
        <v>#N/A</v>
      </c>
      <c r="N649" s="5"/>
    </row>
    <row r="650" spans="1:14" x14ac:dyDescent="0.3">
      <c r="A650" s="14"/>
      <c r="B650" s="5" t="e">
        <f>VLOOKUP($A650,tropes!$A$4:$O$2428,2,FALSE)</f>
        <v>#N/A</v>
      </c>
      <c r="C650" s="5" t="e">
        <f>VLOOKUP($A650,tropes!$A$4:$O$2428,3,FALSE)</f>
        <v>#N/A</v>
      </c>
      <c r="D650" s="5" t="e">
        <f>VLOOKUP($A650,tropes!$A$4:$O$2428,4,FALSE)</f>
        <v>#N/A</v>
      </c>
      <c r="E650" s="5" t="e">
        <f>VLOOKUP($A650,tropes!$A$4:$O$2428,5,FALSE)</f>
        <v>#N/A</v>
      </c>
      <c r="F650" s="5" t="e">
        <f>VLOOKUP($A650,tropes!$A$4:$O$2428,6,FALSE)</f>
        <v>#N/A</v>
      </c>
      <c r="G650" s="5" t="e">
        <f>VLOOKUP($A650,tropes!$A$4:$O$2428,7,FALSE)</f>
        <v>#N/A</v>
      </c>
      <c r="H650" s="5" t="e">
        <f>VLOOKUP($A650,tropes!$A$4:$O$2428,8,FALSE)</f>
        <v>#N/A</v>
      </c>
      <c r="I650" s="5" t="e">
        <f>VLOOKUP($A650,tropes!$A$4:$O$2428,9,FALSE)</f>
        <v>#N/A</v>
      </c>
      <c r="J650" s="5" t="e">
        <f>VLOOKUP($A650,tropes!$A$4:$O$2428,10,FALSE)</f>
        <v>#N/A</v>
      </c>
      <c r="K650" s="5" t="e">
        <f>VLOOKUP($A650,tropes!$A$4:$O$2428,11,FALSE)</f>
        <v>#N/A</v>
      </c>
      <c r="L650" s="5" t="e">
        <f>VLOOKUP($A650,tropes!$A$4:$O$2428,12,FALSE)</f>
        <v>#N/A</v>
      </c>
      <c r="M650" s="5" t="e">
        <f>VLOOKUP($A650,tropes!$A$4:$O$2428,13,FALSE)</f>
        <v>#N/A</v>
      </c>
      <c r="N650" s="5"/>
    </row>
    <row r="651" spans="1:14" x14ac:dyDescent="0.3">
      <c r="A651" s="14"/>
      <c r="B651" s="5" t="e">
        <f>VLOOKUP($A651,tropes!$A$4:$O$2428,2,FALSE)</f>
        <v>#N/A</v>
      </c>
      <c r="C651" s="5" t="e">
        <f>VLOOKUP($A651,tropes!$A$4:$O$2428,3,FALSE)</f>
        <v>#N/A</v>
      </c>
      <c r="D651" s="5" t="e">
        <f>VLOOKUP($A651,tropes!$A$4:$O$2428,4,FALSE)</f>
        <v>#N/A</v>
      </c>
      <c r="E651" s="5" t="e">
        <f>VLOOKUP($A651,tropes!$A$4:$O$2428,5,FALSE)</f>
        <v>#N/A</v>
      </c>
      <c r="F651" s="5" t="e">
        <f>VLOOKUP($A651,tropes!$A$4:$O$2428,6,FALSE)</f>
        <v>#N/A</v>
      </c>
      <c r="G651" s="5" t="e">
        <f>VLOOKUP($A651,tropes!$A$4:$O$2428,7,FALSE)</f>
        <v>#N/A</v>
      </c>
      <c r="H651" s="5" t="e">
        <f>VLOOKUP($A651,tropes!$A$4:$O$2428,8,FALSE)</f>
        <v>#N/A</v>
      </c>
      <c r="I651" s="5" t="e">
        <f>VLOOKUP($A651,tropes!$A$4:$O$2428,9,FALSE)</f>
        <v>#N/A</v>
      </c>
      <c r="J651" s="5" t="e">
        <f>VLOOKUP($A651,tropes!$A$4:$O$2428,10,FALSE)</f>
        <v>#N/A</v>
      </c>
      <c r="K651" s="5" t="e">
        <f>VLOOKUP($A651,tropes!$A$4:$O$2428,11,FALSE)</f>
        <v>#N/A</v>
      </c>
      <c r="L651" s="5" t="e">
        <f>VLOOKUP($A651,tropes!$A$4:$O$2428,12,FALSE)</f>
        <v>#N/A</v>
      </c>
      <c r="M651" s="5" t="e">
        <f>VLOOKUP($A651,tropes!$A$4:$O$2428,13,FALSE)</f>
        <v>#N/A</v>
      </c>
      <c r="N651" s="5"/>
    </row>
    <row r="652" spans="1:14" x14ac:dyDescent="0.3">
      <c r="A652" s="14"/>
      <c r="B652" s="5" t="e">
        <f>VLOOKUP($A652,tropes!$A$4:$O$2428,2,FALSE)</f>
        <v>#N/A</v>
      </c>
      <c r="C652" s="5" t="e">
        <f>VLOOKUP($A652,tropes!$A$4:$O$2428,3,FALSE)</f>
        <v>#N/A</v>
      </c>
      <c r="D652" s="5" t="e">
        <f>VLOOKUP($A652,tropes!$A$4:$O$2428,4,FALSE)</f>
        <v>#N/A</v>
      </c>
      <c r="E652" s="5" t="e">
        <f>VLOOKUP($A652,tropes!$A$4:$O$2428,5,FALSE)</f>
        <v>#N/A</v>
      </c>
      <c r="F652" s="5" t="e">
        <f>VLOOKUP($A652,tropes!$A$4:$O$2428,6,FALSE)</f>
        <v>#N/A</v>
      </c>
      <c r="G652" s="5" t="e">
        <f>VLOOKUP($A652,tropes!$A$4:$O$2428,7,FALSE)</f>
        <v>#N/A</v>
      </c>
      <c r="H652" s="5" t="e">
        <f>VLOOKUP($A652,tropes!$A$4:$O$2428,8,FALSE)</f>
        <v>#N/A</v>
      </c>
      <c r="I652" s="5" t="e">
        <f>VLOOKUP($A652,tropes!$A$4:$O$2428,9,FALSE)</f>
        <v>#N/A</v>
      </c>
      <c r="J652" s="5" t="e">
        <f>VLOOKUP($A652,tropes!$A$4:$O$2428,10,FALSE)</f>
        <v>#N/A</v>
      </c>
      <c r="K652" s="5" t="e">
        <f>VLOOKUP($A652,tropes!$A$4:$O$2428,11,FALSE)</f>
        <v>#N/A</v>
      </c>
      <c r="L652" s="5" t="e">
        <f>VLOOKUP($A652,tropes!$A$4:$O$2428,12,FALSE)</f>
        <v>#N/A</v>
      </c>
      <c r="M652" s="5" t="e">
        <f>VLOOKUP($A652,tropes!$A$4:$O$2428,13,FALSE)</f>
        <v>#N/A</v>
      </c>
      <c r="N652" s="5"/>
    </row>
    <row r="653" spans="1:14" x14ac:dyDescent="0.3">
      <c r="A653" s="14"/>
      <c r="B653" s="5" t="e">
        <f>VLOOKUP($A653,tropes!$A$4:$O$2428,2,FALSE)</f>
        <v>#N/A</v>
      </c>
      <c r="C653" s="5" t="e">
        <f>VLOOKUP($A653,tropes!$A$4:$O$2428,3,FALSE)</f>
        <v>#N/A</v>
      </c>
      <c r="D653" s="5" t="e">
        <f>VLOOKUP($A653,tropes!$A$4:$O$2428,4,FALSE)</f>
        <v>#N/A</v>
      </c>
      <c r="E653" s="5" t="e">
        <f>VLOOKUP($A653,tropes!$A$4:$O$2428,5,FALSE)</f>
        <v>#N/A</v>
      </c>
      <c r="F653" s="5" t="e">
        <f>VLOOKUP($A653,tropes!$A$4:$O$2428,6,FALSE)</f>
        <v>#N/A</v>
      </c>
      <c r="G653" s="5" t="e">
        <f>VLOOKUP($A653,tropes!$A$4:$O$2428,7,FALSE)</f>
        <v>#N/A</v>
      </c>
      <c r="H653" s="5" t="e">
        <f>VLOOKUP($A653,tropes!$A$4:$O$2428,8,FALSE)</f>
        <v>#N/A</v>
      </c>
      <c r="I653" s="5" t="e">
        <f>VLOOKUP($A653,tropes!$A$4:$O$2428,9,FALSE)</f>
        <v>#N/A</v>
      </c>
      <c r="J653" s="5" t="e">
        <f>VLOOKUP($A653,tropes!$A$4:$O$2428,10,FALSE)</f>
        <v>#N/A</v>
      </c>
      <c r="K653" s="5" t="e">
        <f>VLOOKUP($A653,tropes!$A$4:$O$2428,11,FALSE)</f>
        <v>#N/A</v>
      </c>
      <c r="L653" s="5" t="e">
        <f>VLOOKUP($A653,tropes!$A$4:$O$2428,12,FALSE)</f>
        <v>#N/A</v>
      </c>
      <c r="M653" s="5" t="e">
        <f>VLOOKUP($A653,tropes!$A$4:$O$2428,13,FALSE)</f>
        <v>#N/A</v>
      </c>
      <c r="N653" s="5"/>
    </row>
    <row r="654" spans="1:14" x14ac:dyDescent="0.3">
      <c r="A654" s="14"/>
      <c r="B654" s="5" t="e">
        <f>VLOOKUP($A654,tropes!$A$4:$O$2428,2,FALSE)</f>
        <v>#N/A</v>
      </c>
      <c r="C654" s="5" t="e">
        <f>VLOOKUP($A654,tropes!$A$4:$O$2428,3,FALSE)</f>
        <v>#N/A</v>
      </c>
      <c r="D654" s="5" t="e">
        <f>VLOOKUP($A654,tropes!$A$4:$O$2428,4,FALSE)</f>
        <v>#N/A</v>
      </c>
      <c r="E654" s="5" t="e">
        <f>VLOOKUP($A654,tropes!$A$4:$O$2428,5,FALSE)</f>
        <v>#N/A</v>
      </c>
      <c r="F654" s="5" t="e">
        <f>VLOOKUP($A654,tropes!$A$4:$O$2428,6,FALSE)</f>
        <v>#N/A</v>
      </c>
      <c r="G654" s="5" t="e">
        <f>VLOOKUP($A654,tropes!$A$4:$O$2428,7,FALSE)</f>
        <v>#N/A</v>
      </c>
      <c r="H654" s="5" t="e">
        <f>VLOOKUP($A654,tropes!$A$4:$O$2428,8,FALSE)</f>
        <v>#N/A</v>
      </c>
      <c r="I654" s="5" t="e">
        <f>VLOOKUP($A654,tropes!$A$4:$O$2428,9,FALSE)</f>
        <v>#N/A</v>
      </c>
      <c r="J654" s="5" t="e">
        <f>VLOOKUP($A654,tropes!$A$4:$O$2428,10,FALSE)</f>
        <v>#N/A</v>
      </c>
      <c r="K654" s="5" t="e">
        <f>VLOOKUP($A654,tropes!$A$4:$O$2428,11,FALSE)</f>
        <v>#N/A</v>
      </c>
      <c r="L654" s="5" t="e">
        <f>VLOOKUP($A654,tropes!$A$4:$O$2428,12,FALSE)</f>
        <v>#N/A</v>
      </c>
      <c r="M654" s="5" t="e">
        <f>VLOOKUP($A654,tropes!$A$4:$O$2428,13,FALSE)</f>
        <v>#N/A</v>
      </c>
      <c r="N654" s="5"/>
    </row>
    <row r="655" spans="1:14" x14ac:dyDescent="0.3">
      <c r="A655" s="14"/>
      <c r="B655" s="5" t="e">
        <f>VLOOKUP($A655,tropes!$A$4:$O$2428,2,FALSE)</f>
        <v>#N/A</v>
      </c>
      <c r="C655" s="5" t="e">
        <f>VLOOKUP($A655,tropes!$A$4:$O$2428,3,FALSE)</f>
        <v>#N/A</v>
      </c>
      <c r="D655" s="5" t="e">
        <f>VLOOKUP($A655,tropes!$A$4:$O$2428,4,FALSE)</f>
        <v>#N/A</v>
      </c>
      <c r="E655" s="5" t="e">
        <f>VLOOKUP($A655,tropes!$A$4:$O$2428,5,FALSE)</f>
        <v>#N/A</v>
      </c>
      <c r="F655" s="5" t="e">
        <f>VLOOKUP($A655,tropes!$A$4:$O$2428,6,FALSE)</f>
        <v>#N/A</v>
      </c>
      <c r="G655" s="5" t="e">
        <f>VLOOKUP($A655,tropes!$A$4:$O$2428,7,FALSE)</f>
        <v>#N/A</v>
      </c>
      <c r="H655" s="5" t="e">
        <f>VLOOKUP($A655,tropes!$A$4:$O$2428,8,FALSE)</f>
        <v>#N/A</v>
      </c>
      <c r="I655" s="5" t="e">
        <f>VLOOKUP($A655,tropes!$A$4:$O$2428,9,FALSE)</f>
        <v>#N/A</v>
      </c>
      <c r="J655" s="5" t="e">
        <f>VLOOKUP($A655,tropes!$A$4:$O$2428,10,FALSE)</f>
        <v>#N/A</v>
      </c>
      <c r="K655" s="5" t="e">
        <f>VLOOKUP($A655,tropes!$A$4:$O$2428,11,FALSE)</f>
        <v>#N/A</v>
      </c>
      <c r="L655" s="5" t="e">
        <f>VLOOKUP($A655,tropes!$A$4:$O$2428,12,FALSE)</f>
        <v>#N/A</v>
      </c>
      <c r="M655" s="5" t="e">
        <f>VLOOKUP($A655,tropes!$A$4:$O$2428,13,FALSE)</f>
        <v>#N/A</v>
      </c>
      <c r="N655" s="5"/>
    </row>
    <row r="656" spans="1:14" x14ac:dyDescent="0.3">
      <c r="A656" s="14"/>
      <c r="B656" s="5" t="e">
        <f>VLOOKUP($A656,tropes!$A$4:$O$2428,2,FALSE)</f>
        <v>#N/A</v>
      </c>
      <c r="C656" s="5" t="e">
        <f>VLOOKUP($A656,tropes!$A$4:$O$2428,3,FALSE)</f>
        <v>#N/A</v>
      </c>
      <c r="D656" s="5" t="e">
        <f>VLOOKUP($A656,tropes!$A$4:$O$2428,4,FALSE)</f>
        <v>#N/A</v>
      </c>
      <c r="E656" s="5" t="e">
        <f>VLOOKUP($A656,tropes!$A$4:$O$2428,5,FALSE)</f>
        <v>#N/A</v>
      </c>
      <c r="F656" s="5" t="e">
        <f>VLOOKUP($A656,tropes!$A$4:$O$2428,6,FALSE)</f>
        <v>#N/A</v>
      </c>
      <c r="G656" s="5" t="e">
        <f>VLOOKUP($A656,tropes!$A$4:$O$2428,7,FALSE)</f>
        <v>#N/A</v>
      </c>
      <c r="H656" s="5" t="e">
        <f>VLOOKUP($A656,tropes!$A$4:$O$2428,8,FALSE)</f>
        <v>#N/A</v>
      </c>
      <c r="I656" s="5" t="e">
        <f>VLOOKUP($A656,tropes!$A$4:$O$2428,9,FALSE)</f>
        <v>#N/A</v>
      </c>
      <c r="J656" s="5" t="e">
        <f>VLOOKUP($A656,tropes!$A$4:$O$2428,10,FALSE)</f>
        <v>#N/A</v>
      </c>
      <c r="K656" s="5" t="e">
        <f>VLOOKUP($A656,tropes!$A$4:$O$2428,11,FALSE)</f>
        <v>#N/A</v>
      </c>
      <c r="L656" s="5" t="e">
        <f>VLOOKUP($A656,tropes!$A$4:$O$2428,12,FALSE)</f>
        <v>#N/A</v>
      </c>
      <c r="M656" s="5" t="e">
        <f>VLOOKUP($A656,tropes!$A$4:$O$2428,13,FALSE)</f>
        <v>#N/A</v>
      </c>
      <c r="N656" s="5"/>
    </row>
    <row r="657" spans="1:14" x14ac:dyDescent="0.3">
      <c r="A657" s="14"/>
      <c r="B657" s="5" t="e">
        <f>VLOOKUP($A657,tropes!$A$4:$O$2428,2,FALSE)</f>
        <v>#N/A</v>
      </c>
      <c r="C657" s="5" t="e">
        <f>VLOOKUP($A657,tropes!$A$4:$O$2428,3,FALSE)</f>
        <v>#N/A</v>
      </c>
      <c r="D657" s="5" t="e">
        <f>VLOOKUP($A657,tropes!$A$4:$O$2428,4,FALSE)</f>
        <v>#N/A</v>
      </c>
      <c r="E657" s="5" t="e">
        <f>VLOOKUP($A657,tropes!$A$4:$O$2428,5,FALSE)</f>
        <v>#N/A</v>
      </c>
      <c r="F657" s="5" t="e">
        <f>VLOOKUP($A657,tropes!$A$4:$O$2428,6,FALSE)</f>
        <v>#N/A</v>
      </c>
      <c r="G657" s="5" t="e">
        <f>VLOOKUP($A657,tropes!$A$4:$O$2428,7,FALSE)</f>
        <v>#N/A</v>
      </c>
      <c r="H657" s="5" t="e">
        <f>VLOOKUP($A657,tropes!$A$4:$O$2428,8,FALSE)</f>
        <v>#N/A</v>
      </c>
      <c r="I657" s="5" t="e">
        <f>VLOOKUP($A657,tropes!$A$4:$O$2428,9,FALSE)</f>
        <v>#N/A</v>
      </c>
      <c r="J657" s="5" t="e">
        <f>VLOOKUP($A657,tropes!$A$4:$O$2428,10,FALSE)</f>
        <v>#N/A</v>
      </c>
      <c r="K657" s="5" t="e">
        <f>VLOOKUP($A657,tropes!$A$4:$O$2428,11,FALSE)</f>
        <v>#N/A</v>
      </c>
      <c r="L657" s="5" t="e">
        <f>VLOOKUP($A657,tropes!$A$4:$O$2428,12,FALSE)</f>
        <v>#N/A</v>
      </c>
      <c r="M657" s="5" t="e">
        <f>VLOOKUP($A657,tropes!$A$4:$O$2428,13,FALSE)</f>
        <v>#N/A</v>
      </c>
      <c r="N657" s="5"/>
    </row>
    <row r="658" spans="1:14" x14ac:dyDescent="0.3">
      <c r="A658" s="14"/>
      <c r="B658" s="5" t="e">
        <f>VLOOKUP($A658,tropes!$A$4:$O$2428,2,FALSE)</f>
        <v>#N/A</v>
      </c>
      <c r="C658" s="5" t="e">
        <f>VLOOKUP($A658,tropes!$A$4:$O$2428,3,FALSE)</f>
        <v>#N/A</v>
      </c>
      <c r="D658" s="5" t="e">
        <f>VLOOKUP($A658,tropes!$A$4:$O$2428,4,FALSE)</f>
        <v>#N/A</v>
      </c>
      <c r="E658" s="5" t="e">
        <f>VLOOKUP($A658,tropes!$A$4:$O$2428,5,FALSE)</f>
        <v>#N/A</v>
      </c>
      <c r="F658" s="5" t="e">
        <f>VLOOKUP($A658,tropes!$A$4:$O$2428,6,FALSE)</f>
        <v>#N/A</v>
      </c>
      <c r="G658" s="5" t="e">
        <f>VLOOKUP($A658,tropes!$A$4:$O$2428,7,FALSE)</f>
        <v>#N/A</v>
      </c>
      <c r="H658" s="5" t="e">
        <f>VLOOKUP($A658,tropes!$A$4:$O$2428,8,FALSE)</f>
        <v>#N/A</v>
      </c>
      <c r="I658" s="5" t="e">
        <f>VLOOKUP($A658,tropes!$A$4:$O$2428,9,FALSE)</f>
        <v>#N/A</v>
      </c>
      <c r="J658" s="5" t="e">
        <f>VLOOKUP($A658,tropes!$A$4:$O$2428,10,FALSE)</f>
        <v>#N/A</v>
      </c>
      <c r="K658" s="5" t="e">
        <f>VLOOKUP($A658,tropes!$A$4:$O$2428,11,FALSE)</f>
        <v>#N/A</v>
      </c>
      <c r="L658" s="5" t="e">
        <f>VLOOKUP($A658,tropes!$A$4:$O$2428,12,FALSE)</f>
        <v>#N/A</v>
      </c>
      <c r="M658" s="5" t="e">
        <f>VLOOKUP($A658,tropes!$A$4:$O$2428,13,FALSE)</f>
        <v>#N/A</v>
      </c>
      <c r="N658" s="5"/>
    </row>
    <row r="659" spans="1:14" x14ac:dyDescent="0.3">
      <c r="A659" s="14"/>
      <c r="B659" s="5" t="e">
        <f>VLOOKUP($A659,tropes!$A$4:$O$2428,2,FALSE)</f>
        <v>#N/A</v>
      </c>
      <c r="C659" s="5" t="e">
        <f>VLOOKUP($A659,tropes!$A$4:$O$2428,3,FALSE)</f>
        <v>#N/A</v>
      </c>
      <c r="D659" s="5" t="e">
        <f>VLOOKUP($A659,tropes!$A$4:$O$2428,4,FALSE)</f>
        <v>#N/A</v>
      </c>
      <c r="E659" s="5" t="e">
        <f>VLOOKUP($A659,tropes!$A$4:$O$2428,5,FALSE)</f>
        <v>#N/A</v>
      </c>
      <c r="F659" s="5" t="e">
        <f>VLOOKUP($A659,tropes!$A$4:$O$2428,6,FALSE)</f>
        <v>#N/A</v>
      </c>
      <c r="G659" s="5" t="e">
        <f>VLOOKUP($A659,tropes!$A$4:$O$2428,7,FALSE)</f>
        <v>#N/A</v>
      </c>
      <c r="H659" s="5" t="e">
        <f>VLOOKUP($A659,tropes!$A$4:$O$2428,8,FALSE)</f>
        <v>#N/A</v>
      </c>
      <c r="I659" s="5" t="e">
        <f>VLOOKUP($A659,tropes!$A$4:$O$2428,9,FALSE)</f>
        <v>#N/A</v>
      </c>
      <c r="J659" s="5" t="e">
        <f>VLOOKUP($A659,tropes!$A$4:$O$2428,10,FALSE)</f>
        <v>#N/A</v>
      </c>
      <c r="K659" s="5" t="e">
        <f>VLOOKUP($A659,tropes!$A$4:$O$2428,11,FALSE)</f>
        <v>#N/A</v>
      </c>
      <c r="L659" s="5" t="e">
        <f>VLOOKUP($A659,tropes!$A$4:$O$2428,12,FALSE)</f>
        <v>#N/A</v>
      </c>
      <c r="M659" s="5" t="e">
        <f>VLOOKUP($A659,tropes!$A$4:$O$2428,13,FALSE)</f>
        <v>#N/A</v>
      </c>
      <c r="N659" s="5"/>
    </row>
    <row r="660" spans="1:14" x14ac:dyDescent="0.3">
      <c r="A660" s="14"/>
      <c r="B660" s="5" t="e">
        <f>VLOOKUP($A660,tropes!$A$4:$O$2428,2,FALSE)</f>
        <v>#N/A</v>
      </c>
      <c r="C660" s="5" t="e">
        <f>VLOOKUP($A660,tropes!$A$4:$O$2428,3,FALSE)</f>
        <v>#N/A</v>
      </c>
      <c r="D660" s="5" t="e">
        <f>VLOOKUP($A660,tropes!$A$4:$O$2428,4,FALSE)</f>
        <v>#N/A</v>
      </c>
      <c r="E660" s="5" t="e">
        <f>VLOOKUP($A660,tropes!$A$4:$O$2428,5,FALSE)</f>
        <v>#N/A</v>
      </c>
      <c r="F660" s="5" t="e">
        <f>VLOOKUP($A660,tropes!$A$4:$O$2428,6,FALSE)</f>
        <v>#N/A</v>
      </c>
      <c r="G660" s="5" t="e">
        <f>VLOOKUP($A660,tropes!$A$4:$O$2428,7,FALSE)</f>
        <v>#N/A</v>
      </c>
      <c r="H660" s="5" t="e">
        <f>VLOOKUP($A660,tropes!$A$4:$O$2428,8,FALSE)</f>
        <v>#N/A</v>
      </c>
      <c r="I660" s="5" t="e">
        <f>VLOOKUP($A660,tropes!$A$4:$O$2428,9,FALSE)</f>
        <v>#N/A</v>
      </c>
      <c r="J660" s="5" t="e">
        <f>VLOOKUP($A660,tropes!$A$4:$O$2428,10,FALSE)</f>
        <v>#N/A</v>
      </c>
      <c r="K660" s="5" t="e">
        <f>VLOOKUP($A660,tropes!$A$4:$O$2428,11,FALSE)</f>
        <v>#N/A</v>
      </c>
      <c r="L660" s="5" t="e">
        <f>VLOOKUP($A660,tropes!$A$4:$O$2428,12,FALSE)</f>
        <v>#N/A</v>
      </c>
      <c r="M660" s="5" t="e">
        <f>VLOOKUP($A660,tropes!$A$4:$O$2428,13,FALSE)</f>
        <v>#N/A</v>
      </c>
      <c r="N660" s="5"/>
    </row>
    <row r="661" spans="1:14" x14ac:dyDescent="0.3">
      <c r="A661" s="14"/>
      <c r="B661" s="5" t="e">
        <f>VLOOKUP($A661,tropes!$A$4:$O$2428,2,FALSE)</f>
        <v>#N/A</v>
      </c>
      <c r="C661" s="5" t="e">
        <f>VLOOKUP($A661,tropes!$A$4:$O$2428,3,FALSE)</f>
        <v>#N/A</v>
      </c>
      <c r="D661" s="5" t="e">
        <f>VLOOKUP($A661,tropes!$A$4:$O$2428,4,FALSE)</f>
        <v>#N/A</v>
      </c>
      <c r="E661" s="5" t="e">
        <f>VLOOKUP($A661,tropes!$A$4:$O$2428,5,FALSE)</f>
        <v>#N/A</v>
      </c>
      <c r="F661" s="5" t="e">
        <f>VLOOKUP($A661,tropes!$A$4:$O$2428,6,FALSE)</f>
        <v>#N/A</v>
      </c>
      <c r="G661" s="5" t="e">
        <f>VLOOKUP($A661,tropes!$A$4:$O$2428,7,FALSE)</f>
        <v>#N/A</v>
      </c>
      <c r="H661" s="5" t="e">
        <f>VLOOKUP($A661,tropes!$A$4:$O$2428,8,FALSE)</f>
        <v>#N/A</v>
      </c>
      <c r="I661" s="5" t="e">
        <f>VLOOKUP($A661,tropes!$A$4:$O$2428,9,FALSE)</f>
        <v>#N/A</v>
      </c>
      <c r="J661" s="5" t="e">
        <f>VLOOKUP($A661,tropes!$A$4:$O$2428,10,FALSE)</f>
        <v>#N/A</v>
      </c>
      <c r="K661" s="5" t="e">
        <f>VLOOKUP($A661,tropes!$A$4:$O$2428,11,FALSE)</f>
        <v>#N/A</v>
      </c>
      <c r="L661" s="5" t="e">
        <f>VLOOKUP($A661,tropes!$A$4:$O$2428,12,FALSE)</f>
        <v>#N/A</v>
      </c>
      <c r="M661" s="5" t="e">
        <f>VLOOKUP($A661,tropes!$A$4:$O$2428,13,FALSE)</f>
        <v>#N/A</v>
      </c>
      <c r="N661" s="5"/>
    </row>
    <row r="662" spans="1:14" x14ac:dyDescent="0.3">
      <c r="A662" s="14"/>
      <c r="B662" s="5" t="e">
        <f>VLOOKUP($A662,tropes!$A$4:$O$2428,2,FALSE)</f>
        <v>#N/A</v>
      </c>
      <c r="C662" s="5" t="e">
        <f>VLOOKUP($A662,tropes!$A$4:$O$2428,3,FALSE)</f>
        <v>#N/A</v>
      </c>
      <c r="D662" s="5" t="e">
        <f>VLOOKUP($A662,tropes!$A$4:$O$2428,4,FALSE)</f>
        <v>#N/A</v>
      </c>
      <c r="E662" s="5" t="e">
        <f>VLOOKUP($A662,tropes!$A$4:$O$2428,5,FALSE)</f>
        <v>#N/A</v>
      </c>
      <c r="F662" s="5" t="e">
        <f>VLOOKUP($A662,tropes!$A$4:$O$2428,6,FALSE)</f>
        <v>#N/A</v>
      </c>
      <c r="G662" s="5" t="e">
        <f>VLOOKUP($A662,tropes!$A$4:$O$2428,7,FALSE)</f>
        <v>#N/A</v>
      </c>
      <c r="H662" s="5" t="e">
        <f>VLOOKUP($A662,tropes!$A$4:$O$2428,8,FALSE)</f>
        <v>#N/A</v>
      </c>
      <c r="I662" s="5" t="e">
        <f>VLOOKUP($A662,tropes!$A$4:$O$2428,9,FALSE)</f>
        <v>#N/A</v>
      </c>
      <c r="J662" s="5" t="e">
        <f>VLOOKUP($A662,tropes!$A$4:$O$2428,10,FALSE)</f>
        <v>#N/A</v>
      </c>
      <c r="K662" s="5" t="e">
        <f>VLOOKUP($A662,tropes!$A$4:$O$2428,11,FALSE)</f>
        <v>#N/A</v>
      </c>
      <c r="L662" s="5" t="e">
        <f>VLOOKUP($A662,tropes!$A$4:$O$2428,12,FALSE)</f>
        <v>#N/A</v>
      </c>
      <c r="M662" s="5" t="e">
        <f>VLOOKUP($A662,tropes!$A$4:$O$2428,13,FALSE)</f>
        <v>#N/A</v>
      </c>
      <c r="N662" s="5"/>
    </row>
    <row r="663" spans="1:14" x14ac:dyDescent="0.3">
      <c r="A663" s="14"/>
      <c r="B663" s="5" t="e">
        <f>VLOOKUP($A663,tropes!$A$4:$O$2428,2,FALSE)</f>
        <v>#N/A</v>
      </c>
      <c r="C663" s="5" t="e">
        <f>VLOOKUP($A663,tropes!$A$4:$O$2428,3,FALSE)</f>
        <v>#N/A</v>
      </c>
      <c r="D663" s="5" t="e">
        <f>VLOOKUP($A663,tropes!$A$4:$O$2428,4,FALSE)</f>
        <v>#N/A</v>
      </c>
      <c r="E663" s="5" t="e">
        <f>VLOOKUP($A663,tropes!$A$4:$O$2428,5,FALSE)</f>
        <v>#N/A</v>
      </c>
      <c r="F663" s="5" t="e">
        <f>VLOOKUP($A663,tropes!$A$4:$O$2428,6,FALSE)</f>
        <v>#N/A</v>
      </c>
      <c r="G663" s="5" t="e">
        <f>VLOOKUP($A663,tropes!$A$4:$O$2428,7,FALSE)</f>
        <v>#N/A</v>
      </c>
      <c r="H663" s="5" t="e">
        <f>VLOOKUP($A663,tropes!$A$4:$O$2428,8,FALSE)</f>
        <v>#N/A</v>
      </c>
      <c r="I663" s="5" t="e">
        <f>VLOOKUP($A663,tropes!$A$4:$O$2428,9,FALSE)</f>
        <v>#N/A</v>
      </c>
      <c r="J663" s="5" t="e">
        <f>VLOOKUP($A663,tropes!$A$4:$O$2428,10,FALSE)</f>
        <v>#N/A</v>
      </c>
      <c r="K663" s="5" t="e">
        <f>VLOOKUP($A663,tropes!$A$4:$O$2428,11,FALSE)</f>
        <v>#N/A</v>
      </c>
      <c r="L663" s="5" t="e">
        <f>VLOOKUP($A663,tropes!$A$4:$O$2428,12,FALSE)</f>
        <v>#N/A</v>
      </c>
      <c r="M663" s="5" t="e">
        <f>VLOOKUP($A663,tropes!$A$4:$O$2428,13,FALSE)</f>
        <v>#N/A</v>
      </c>
      <c r="N663" s="5"/>
    </row>
    <row r="664" spans="1:14" x14ac:dyDescent="0.3">
      <c r="A664" s="14"/>
      <c r="B664" s="5" t="e">
        <f>VLOOKUP($A664,tropes!$A$4:$O$2428,2,FALSE)</f>
        <v>#N/A</v>
      </c>
      <c r="C664" s="5" t="e">
        <f>VLOOKUP($A664,tropes!$A$4:$O$2428,3,FALSE)</f>
        <v>#N/A</v>
      </c>
      <c r="D664" s="5" t="e">
        <f>VLOOKUP($A664,tropes!$A$4:$O$2428,4,FALSE)</f>
        <v>#N/A</v>
      </c>
      <c r="E664" s="5" t="e">
        <f>VLOOKUP($A664,tropes!$A$4:$O$2428,5,FALSE)</f>
        <v>#N/A</v>
      </c>
      <c r="F664" s="5" t="e">
        <f>VLOOKUP($A664,tropes!$A$4:$O$2428,6,FALSE)</f>
        <v>#N/A</v>
      </c>
      <c r="G664" s="5" t="e">
        <f>VLOOKUP($A664,tropes!$A$4:$O$2428,7,FALSE)</f>
        <v>#N/A</v>
      </c>
      <c r="H664" s="5" t="e">
        <f>VLOOKUP($A664,tropes!$A$4:$O$2428,8,FALSE)</f>
        <v>#N/A</v>
      </c>
      <c r="I664" s="5" t="e">
        <f>VLOOKUP($A664,tropes!$A$4:$O$2428,9,FALSE)</f>
        <v>#N/A</v>
      </c>
      <c r="J664" s="5" t="e">
        <f>VLOOKUP($A664,tropes!$A$4:$O$2428,10,FALSE)</f>
        <v>#N/A</v>
      </c>
      <c r="K664" s="5" t="e">
        <f>VLOOKUP($A664,tropes!$A$4:$O$2428,11,FALSE)</f>
        <v>#N/A</v>
      </c>
      <c r="L664" s="5" t="e">
        <f>VLOOKUP($A664,tropes!$A$4:$O$2428,12,FALSE)</f>
        <v>#N/A</v>
      </c>
      <c r="M664" s="5" t="e">
        <f>VLOOKUP($A664,tropes!$A$4:$O$2428,13,FALSE)</f>
        <v>#N/A</v>
      </c>
      <c r="N664" s="5"/>
    </row>
    <row r="665" spans="1:14" x14ac:dyDescent="0.3">
      <c r="A665" s="14"/>
      <c r="B665" s="5" t="e">
        <f>VLOOKUP($A665,tropes!$A$4:$O$2428,2,FALSE)</f>
        <v>#N/A</v>
      </c>
      <c r="C665" s="5" t="e">
        <f>VLOOKUP($A665,tropes!$A$4:$O$2428,3,FALSE)</f>
        <v>#N/A</v>
      </c>
      <c r="D665" s="5" t="e">
        <f>VLOOKUP($A665,tropes!$A$4:$O$2428,4,FALSE)</f>
        <v>#N/A</v>
      </c>
      <c r="E665" s="5" t="e">
        <f>VLOOKUP($A665,tropes!$A$4:$O$2428,5,FALSE)</f>
        <v>#N/A</v>
      </c>
      <c r="F665" s="5" t="e">
        <f>VLOOKUP($A665,tropes!$A$4:$O$2428,6,FALSE)</f>
        <v>#N/A</v>
      </c>
      <c r="G665" s="5" t="e">
        <f>VLOOKUP($A665,tropes!$A$4:$O$2428,7,FALSE)</f>
        <v>#N/A</v>
      </c>
      <c r="H665" s="5" t="e">
        <f>VLOOKUP($A665,tropes!$A$4:$O$2428,8,FALSE)</f>
        <v>#N/A</v>
      </c>
      <c r="I665" s="5" t="e">
        <f>VLOOKUP($A665,tropes!$A$4:$O$2428,9,FALSE)</f>
        <v>#N/A</v>
      </c>
      <c r="J665" s="5" t="e">
        <f>VLOOKUP($A665,tropes!$A$4:$O$2428,10,FALSE)</f>
        <v>#N/A</v>
      </c>
      <c r="K665" s="5" t="e">
        <f>VLOOKUP($A665,tropes!$A$4:$O$2428,11,FALSE)</f>
        <v>#N/A</v>
      </c>
      <c r="L665" s="5" t="e">
        <f>VLOOKUP($A665,tropes!$A$4:$O$2428,12,FALSE)</f>
        <v>#N/A</v>
      </c>
      <c r="M665" s="5" t="e">
        <f>VLOOKUP($A665,tropes!$A$4:$O$2428,13,FALSE)</f>
        <v>#N/A</v>
      </c>
      <c r="N665" s="5"/>
    </row>
    <row r="666" spans="1:14" x14ac:dyDescent="0.3">
      <c r="A666" s="14"/>
      <c r="B666" s="5" t="e">
        <f>VLOOKUP($A666,tropes!$A$4:$O$2428,2,FALSE)</f>
        <v>#N/A</v>
      </c>
      <c r="C666" s="5" t="e">
        <f>VLOOKUP($A666,tropes!$A$4:$O$2428,3,FALSE)</f>
        <v>#N/A</v>
      </c>
      <c r="D666" s="5" t="e">
        <f>VLOOKUP($A666,tropes!$A$4:$O$2428,4,FALSE)</f>
        <v>#N/A</v>
      </c>
      <c r="E666" s="5" t="e">
        <f>VLOOKUP($A666,tropes!$A$4:$O$2428,5,FALSE)</f>
        <v>#N/A</v>
      </c>
      <c r="F666" s="5" t="e">
        <f>VLOOKUP($A666,tropes!$A$4:$O$2428,6,FALSE)</f>
        <v>#N/A</v>
      </c>
      <c r="G666" s="5" t="e">
        <f>VLOOKUP($A666,tropes!$A$4:$O$2428,7,FALSE)</f>
        <v>#N/A</v>
      </c>
      <c r="H666" s="5" t="e">
        <f>VLOOKUP($A666,tropes!$A$4:$O$2428,8,FALSE)</f>
        <v>#N/A</v>
      </c>
      <c r="I666" s="5" t="e">
        <f>VLOOKUP($A666,tropes!$A$4:$O$2428,9,FALSE)</f>
        <v>#N/A</v>
      </c>
      <c r="J666" s="5" t="e">
        <f>VLOOKUP($A666,tropes!$A$4:$O$2428,10,FALSE)</f>
        <v>#N/A</v>
      </c>
      <c r="K666" s="5" t="e">
        <f>VLOOKUP($A666,tropes!$A$4:$O$2428,11,FALSE)</f>
        <v>#N/A</v>
      </c>
      <c r="L666" s="5" t="e">
        <f>VLOOKUP($A666,tropes!$A$4:$O$2428,12,FALSE)</f>
        <v>#N/A</v>
      </c>
      <c r="M666" s="5" t="e">
        <f>VLOOKUP($A666,tropes!$A$4:$O$2428,13,FALSE)</f>
        <v>#N/A</v>
      </c>
      <c r="N666" s="5"/>
    </row>
    <row r="667" spans="1:14" x14ac:dyDescent="0.3">
      <c r="A667" s="14"/>
      <c r="B667" s="5" t="e">
        <f>VLOOKUP($A667,tropes!$A$4:$O$2428,2,FALSE)</f>
        <v>#N/A</v>
      </c>
      <c r="C667" s="5" t="e">
        <f>VLOOKUP($A667,tropes!$A$4:$O$2428,3,FALSE)</f>
        <v>#N/A</v>
      </c>
      <c r="D667" s="5" t="e">
        <f>VLOOKUP($A667,tropes!$A$4:$O$2428,4,FALSE)</f>
        <v>#N/A</v>
      </c>
      <c r="E667" s="5" t="e">
        <f>VLOOKUP($A667,tropes!$A$4:$O$2428,5,FALSE)</f>
        <v>#N/A</v>
      </c>
      <c r="F667" s="5" t="e">
        <f>VLOOKUP($A667,tropes!$A$4:$O$2428,6,FALSE)</f>
        <v>#N/A</v>
      </c>
      <c r="G667" s="5" t="e">
        <f>VLOOKUP($A667,tropes!$A$4:$O$2428,7,FALSE)</f>
        <v>#N/A</v>
      </c>
      <c r="H667" s="5" t="e">
        <f>VLOOKUP($A667,tropes!$A$4:$O$2428,8,FALSE)</f>
        <v>#N/A</v>
      </c>
      <c r="I667" s="5" t="e">
        <f>VLOOKUP($A667,tropes!$A$4:$O$2428,9,FALSE)</f>
        <v>#N/A</v>
      </c>
      <c r="J667" s="5" t="e">
        <f>VLOOKUP($A667,tropes!$A$4:$O$2428,10,FALSE)</f>
        <v>#N/A</v>
      </c>
      <c r="K667" s="5" t="e">
        <f>VLOOKUP($A667,tropes!$A$4:$O$2428,11,FALSE)</f>
        <v>#N/A</v>
      </c>
      <c r="L667" s="5" t="e">
        <f>VLOOKUP($A667,tropes!$A$4:$O$2428,12,FALSE)</f>
        <v>#N/A</v>
      </c>
      <c r="M667" s="5" t="e">
        <f>VLOOKUP($A667,tropes!$A$4:$O$2428,13,FALSE)</f>
        <v>#N/A</v>
      </c>
      <c r="N667" s="5"/>
    </row>
    <row r="668" spans="1:14" x14ac:dyDescent="0.3">
      <c r="A668" s="14"/>
      <c r="B668" s="5" t="e">
        <f>VLOOKUP($A668,tropes!$A$4:$O$2428,2,FALSE)</f>
        <v>#N/A</v>
      </c>
      <c r="C668" s="5" t="e">
        <f>VLOOKUP($A668,tropes!$A$4:$O$2428,3,FALSE)</f>
        <v>#N/A</v>
      </c>
      <c r="D668" s="5" t="e">
        <f>VLOOKUP($A668,tropes!$A$4:$O$2428,4,FALSE)</f>
        <v>#N/A</v>
      </c>
      <c r="E668" s="5" t="e">
        <f>VLOOKUP($A668,tropes!$A$4:$O$2428,5,FALSE)</f>
        <v>#N/A</v>
      </c>
      <c r="F668" s="5" t="e">
        <f>VLOOKUP($A668,tropes!$A$4:$O$2428,6,FALSE)</f>
        <v>#N/A</v>
      </c>
      <c r="G668" s="5" t="e">
        <f>VLOOKUP($A668,tropes!$A$4:$O$2428,7,FALSE)</f>
        <v>#N/A</v>
      </c>
      <c r="H668" s="5" t="e">
        <f>VLOOKUP($A668,tropes!$A$4:$O$2428,8,FALSE)</f>
        <v>#N/A</v>
      </c>
      <c r="I668" s="5" t="e">
        <f>VLOOKUP($A668,tropes!$A$4:$O$2428,9,FALSE)</f>
        <v>#N/A</v>
      </c>
      <c r="J668" s="5" t="e">
        <f>VLOOKUP($A668,tropes!$A$4:$O$2428,10,FALSE)</f>
        <v>#N/A</v>
      </c>
      <c r="K668" s="5" t="e">
        <f>VLOOKUP($A668,tropes!$A$4:$O$2428,11,FALSE)</f>
        <v>#N/A</v>
      </c>
      <c r="L668" s="5" t="e">
        <f>VLOOKUP($A668,tropes!$A$4:$O$2428,12,FALSE)</f>
        <v>#N/A</v>
      </c>
      <c r="M668" s="5" t="e">
        <f>VLOOKUP($A668,tropes!$A$4:$O$2428,13,FALSE)</f>
        <v>#N/A</v>
      </c>
      <c r="N668" s="5"/>
    </row>
    <row r="669" spans="1:14" x14ac:dyDescent="0.3">
      <c r="A669" s="14"/>
      <c r="B669" s="5" t="e">
        <f>VLOOKUP($A669,tropes!$A$4:$O$2428,2,FALSE)</f>
        <v>#N/A</v>
      </c>
      <c r="C669" s="5" t="e">
        <f>VLOOKUP($A669,tropes!$A$4:$O$2428,3,FALSE)</f>
        <v>#N/A</v>
      </c>
      <c r="D669" s="5" t="e">
        <f>VLOOKUP($A669,tropes!$A$4:$O$2428,4,FALSE)</f>
        <v>#N/A</v>
      </c>
      <c r="E669" s="5" t="e">
        <f>VLOOKUP($A669,tropes!$A$4:$O$2428,5,FALSE)</f>
        <v>#N/A</v>
      </c>
      <c r="F669" s="5" t="e">
        <f>VLOOKUP($A669,tropes!$A$4:$O$2428,6,FALSE)</f>
        <v>#N/A</v>
      </c>
      <c r="G669" s="5" t="e">
        <f>VLOOKUP($A669,tropes!$A$4:$O$2428,7,FALSE)</f>
        <v>#N/A</v>
      </c>
      <c r="H669" s="5" t="e">
        <f>VLOOKUP($A669,tropes!$A$4:$O$2428,8,FALSE)</f>
        <v>#N/A</v>
      </c>
      <c r="I669" s="5" t="e">
        <f>VLOOKUP($A669,tropes!$A$4:$O$2428,9,FALSE)</f>
        <v>#N/A</v>
      </c>
      <c r="J669" s="5" t="e">
        <f>VLOOKUP($A669,tropes!$A$4:$O$2428,10,FALSE)</f>
        <v>#N/A</v>
      </c>
      <c r="K669" s="5" t="e">
        <f>VLOOKUP($A669,tropes!$A$4:$O$2428,11,FALSE)</f>
        <v>#N/A</v>
      </c>
      <c r="L669" s="5" t="e">
        <f>VLOOKUP($A669,tropes!$A$4:$O$2428,12,FALSE)</f>
        <v>#N/A</v>
      </c>
      <c r="M669" s="5" t="e">
        <f>VLOOKUP($A669,tropes!$A$4:$O$2428,13,FALSE)</f>
        <v>#N/A</v>
      </c>
      <c r="N669" s="5"/>
    </row>
    <row r="670" spans="1:14" x14ac:dyDescent="0.3">
      <c r="A670" s="14"/>
      <c r="B670" s="5" t="e">
        <f>VLOOKUP($A670,tropes!$A$4:$O$2428,2,FALSE)</f>
        <v>#N/A</v>
      </c>
      <c r="C670" s="5" t="e">
        <f>VLOOKUP($A670,tropes!$A$4:$O$2428,3,FALSE)</f>
        <v>#N/A</v>
      </c>
      <c r="D670" s="5" t="e">
        <f>VLOOKUP($A670,tropes!$A$4:$O$2428,4,FALSE)</f>
        <v>#N/A</v>
      </c>
      <c r="E670" s="5" t="e">
        <f>VLOOKUP($A670,tropes!$A$4:$O$2428,5,FALSE)</f>
        <v>#N/A</v>
      </c>
      <c r="F670" s="5" t="e">
        <f>VLOOKUP($A670,tropes!$A$4:$O$2428,6,FALSE)</f>
        <v>#N/A</v>
      </c>
      <c r="G670" s="5" t="e">
        <f>VLOOKUP($A670,tropes!$A$4:$O$2428,7,FALSE)</f>
        <v>#N/A</v>
      </c>
      <c r="H670" s="5" t="e">
        <f>VLOOKUP($A670,tropes!$A$4:$O$2428,8,FALSE)</f>
        <v>#N/A</v>
      </c>
      <c r="I670" s="5" t="e">
        <f>VLOOKUP($A670,tropes!$A$4:$O$2428,9,FALSE)</f>
        <v>#N/A</v>
      </c>
      <c r="J670" s="5" t="e">
        <f>VLOOKUP($A670,tropes!$A$4:$O$2428,10,FALSE)</f>
        <v>#N/A</v>
      </c>
      <c r="K670" s="5" t="e">
        <f>VLOOKUP($A670,tropes!$A$4:$O$2428,11,FALSE)</f>
        <v>#N/A</v>
      </c>
      <c r="L670" s="5" t="e">
        <f>VLOOKUP($A670,tropes!$A$4:$O$2428,12,FALSE)</f>
        <v>#N/A</v>
      </c>
      <c r="M670" s="5" t="e">
        <f>VLOOKUP($A670,tropes!$A$4:$O$2428,13,FALSE)</f>
        <v>#N/A</v>
      </c>
      <c r="N670" s="5"/>
    </row>
    <row r="671" spans="1:14" x14ac:dyDescent="0.3">
      <c r="A671" s="14"/>
      <c r="B671" s="5" t="e">
        <f>VLOOKUP($A671,tropes!$A$4:$O$2428,2,FALSE)</f>
        <v>#N/A</v>
      </c>
      <c r="C671" s="5" t="e">
        <f>VLOOKUP($A671,tropes!$A$4:$O$2428,3,FALSE)</f>
        <v>#N/A</v>
      </c>
      <c r="D671" s="5" t="e">
        <f>VLOOKUP($A671,tropes!$A$4:$O$2428,4,FALSE)</f>
        <v>#N/A</v>
      </c>
      <c r="E671" s="5" t="e">
        <f>VLOOKUP($A671,tropes!$A$4:$O$2428,5,FALSE)</f>
        <v>#N/A</v>
      </c>
      <c r="F671" s="5" t="e">
        <f>VLOOKUP($A671,tropes!$A$4:$O$2428,6,FALSE)</f>
        <v>#N/A</v>
      </c>
      <c r="G671" s="5" t="e">
        <f>VLOOKUP($A671,tropes!$A$4:$O$2428,7,FALSE)</f>
        <v>#N/A</v>
      </c>
      <c r="H671" s="5" t="e">
        <f>VLOOKUP($A671,tropes!$A$4:$O$2428,8,FALSE)</f>
        <v>#N/A</v>
      </c>
      <c r="I671" s="5" t="e">
        <f>VLOOKUP($A671,tropes!$A$4:$O$2428,9,FALSE)</f>
        <v>#N/A</v>
      </c>
      <c r="J671" s="5" t="e">
        <f>VLOOKUP($A671,tropes!$A$4:$O$2428,10,FALSE)</f>
        <v>#N/A</v>
      </c>
      <c r="K671" s="5" t="e">
        <f>VLOOKUP($A671,tropes!$A$4:$O$2428,11,FALSE)</f>
        <v>#N/A</v>
      </c>
      <c r="L671" s="5" t="e">
        <f>VLOOKUP($A671,tropes!$A$4:$O$2428,12,FALSE)</f>
        <v>#N/A</v>
      </c>
      <c r="M671" s="5" t="e">
        <f>VLOOKUP($A671,tropes!$A$4:$O$2428,13,FALSE)</f>
        <v>#N/A</v>
      </c>
      <c r="N671" s="5"/>
    </row>
    <row r="672" spans="1:14" x14ac:dyDescent="0.3">
      <c r="A672" s="14"/>
      <c r="B672" s="5" t="e">
        <f>VLOOKUP($A672,tropes!$A$4:$O$2428,2,FALSE)</f>
        <v>#N/A</v>
      </c>
      <c r="C672" s="5" t="e">
        <f>VLOOKUP($A672,tropes!$A$4:$O$2428,3,FALSE)</f>
        <v>#N/A</v>
      </c>
      <c r="D672" s="5" t="e">
        <f>VLOOKUP($A672,tropes!$A$4:$O$2428,4,FALSE)</f>
        <v>#N/A</v>
      </c>
      <c r="E672" s="5" t="e">
        <f>VLOOKUP($A672,tropes!$A$4:$O$2428,5,FALSE)</f>
        <v>#N/A</v>
      </c>
      <c r="F672" s="5" t="e">
        <f>VLOOKUP($A672,tropes!$A$4:$O$2428,6,FALSE)</f>
        <v>#N/A</v>
      </c>
      <c r="G672" s="5" t="e">
        <f>VLOOKUP($A672,tropes!$A$4:$O$2428,7,FALSE)</f>
        <v>#N/A</v>
      </c>
      <c r="H672" s="5" t="e">
        <f>VLOOKUP($A672,tropes!$A$4:$O$2428,8,FALSE)</f>
        <v>#N/A</v>
      </c>
      <c r="I672" s="5" t="e">
        <f>VLOOKUP($A672,tropes!$A$4:$O$2428,9,FALSE)</f>
        <v>#N/A</v>
      </c>
      <c r="J672" s="5" t="e">
        <f>VLOOKUP($A672,tropes!$A$4:$O$2428,10,FALSE)</f>
        <v>#N/A</v>
      </c>
      <c r="K672" s="5" t="e">
        <f>VLOOKUP($A672,tropes!$A$4:$O$2428,11,FALSE)</f>
        <v>#N/A</v>
      </c>
      <c r="L672" s="5" t="e">
        <f>VLOOKUP($A672,tropes!$A$4:$O$2428,12,FALSE)</f>
        <v>#N/A</v>
      </c>
      <c r="M672" s="5" t="e">
        <f>VLOOKUP($A672,tropes!$A$4:$O$2428,13,FALSE)</f>
        <v>#N/A</v>
      </c>
      <c r="N672" s="5"/>
    </row>
    <row r="673" spans="1:14" x14ac:dyDescent="0.3">
      <c r="A673" s="14"/>
      <c r="B673" s="5" t="e">
        <f>VLOOKUP($A673,tropes!$A$4:$O$2428,2,FALSE)</f>
        <v>#N/A</v>
      </c>
      <c r="C673" s="5" t="e">
        <f>VLOOKUP($A673,tropes!$A$4:$O$2428,3,FALSE)</f>
        <v>#N/A</v>
      </c>
      <c r="D673" s="5" t="e">
        <f>VLOOKUP($A673,tropes!$A$4:$O$2428,4,FALSE)</f>
        <v>#N/A</v>
      </c>
      <c r="E673" s="5" t="e">
        <f>VLOOKUP($A673,tropes!$A$4:$O$2428,5,FALSE)</f>
        <v>#N/A</v>
      </c>
      <c r="F673" s="5" t="e">
        <f>VLOOKUP($A673,tropes!$A$4:$O$2428,6,FALSE)</f>
        <v>#N/A</v>
      </c>
      <c r="G673" s="5" t="e">
        <f>VLOOKUP($A673,tropes!$A$4:$O$2428,7,FALSE)</f>
        <v>#N/A</v>
      </c>
      <c r="H673" s="5" t="e">
        <f>VLOOKUP($A673,tropes!$A$4:$O$2428,8,FALSE)</f>
        <v>#N/A</v>
      </c>
      <c r="I673" s="5" t="e">
        <f>VLOOKUP($A673,tropes!$A$4:$O$2428,9,FALSE)</f>
        <v>#N/A</v>
      </c>
      <c r="J673" s="5" t="e">
        <f>VLOOKUP($A673,tropes!$A$4:$O$2428,10,FALSE)</f>
        <v>#N/A</v>
      </c>
      <c r="K673" s="5" t="e">
        <f>VLOOKUP($A673,tropes!$A$4:$O$2428,11,FALSE)</f>
        <v>#N/A</v>
      </c>
      <c r="L673" s="5" t="e">
        <f>VLOOKUP($A673,tropes!$A$4:$O$2428,12,FALSE)</f>
        <v>#N/A</v>
      </c>
      <c r="M673" s="5" t="e">
        <f>VLOOKUP($A673,tropes!$A$4:$O$2428,13,FALSE)</f>
        <v>#N/A</v>
      </c>
      <c r="N673" s="5"/>
    </row>
    <row r="674" spans="1:14" x14ac:dyDescent="0.3">
      <c r="A674" s="14"/>
      <c r="B674" s="5" t="e">
        <f>VLOOKUP($A674,tropes!$A$4:$O$2428,2,FALSE)</f>
        <v>#N/A</v>
      </c>
      <c r="C674" s="5" t="e">
        <f>VLOOKUP($A674,tropes!$A$4:$O$2428,3,FALSE)</f>
        <v>#N/A</v>
      </c>
      <c r="D674" s="5" t="e">
        <f>VLOOKUP($A674,tropes!$A$4:$O$2428,4,FALSE)</f>
        <v>#N/A</v>
      </c>
      <c r="E674" s="5" t="e">
        <f>VLOOKUP($A674,tropes!$A$4:$O$2428,5,FALSE)</f>
        <v>#N/A</v>
      </c>
      <c r="F674" s="5" t="e">
        <f>VLOOKUP($A674,tropes!$A$4:$O$2428,6,FALSE)</f>
        <v>#N/A</v>
      </c>
      <c r="G674" s="5" t="e">
        <f>VLOOKUP($A674,tropes!$A$4:$O$2428,7,FALSE)</f>
        <v>#N/A</v>
      </c>
      <c r="H674" s="5" t="e">
        <f>VLOOKUP($A674,tropes!$A$4:$O$2428,8,FALSE)</f>
        <v>#N/A</v>
      </c>
      <c r="I674" s="5" t="e">
        <f>VLOOKUP($A674,tropes!$A$4:$O$2428,9,FALSE)</f>
        <v>#N/A</v>
      </c>
      <c r="J674" s="5" t="e">
        <f>VLOOKUP($A674,tropes!$A$4:$O$2428,10,FALSE)</f>
        <v>#N/A</v>
      </c>
      <c r="K674" s="5" t="e">
        <f>VLOOKUP($A674,tropes!$A$4:$O$2428,11,FALSE)</f>
        <v>#N/A</v>
      </c>
      <c r="L674" s="5" t="e">
        <f>VLOOKUP($A674,tropes!$A$4:$O$2428,12,FALSE)</f>
        <v>#N/A</v>
      </c>
      <c r="M674" s="5" t="e">
        <f>VLOOKUP($A674,tropes!$A$4:$O$2428,13,FALSE)</f>
        <v>#N/A</v>
      </c>
      <c r="N674" s="5"/>
    </row>
    <row r="675" spans="1:14" x14ac:dyDescent="0.3">
      <c r="A675" s="14"/>
      <c r="B675" s="5" t="e">
        <f>VLOOKUP($A675,tropes!$A$4:$O$2428,2,FALSE)</f>
        <v>#N/A</v>
      </c>
      <c r="C675" s="5" t="e">
        <f>VLOOKUP($A675,tropes!$A$4:$O$2428,3,FALSE)</f>
        <v>#N/A</v>
      </c>
      <c r="D675" s="5" t="e">
        <f>VLOOKUP($A675,tropes!$A$4:$O$2428,4,FALSE)</f>
        <v>#N/A</v>
      </c>
      <c r="E675" s="5" t="e">
        <f>VLOOKUP($A675,tropes!$A$4:$O$2428,5,FALSE)</f>
        <v>#N/A</v>
      </c>
      <c r="F675" s="5" t="e">
        <f>VLOOKUP($A675,tropes!$A$4:$O$2428,6,FALSE)</f>
        <v>#N/A</v>
      </c>
      <c r="G675" s="5" t="e">
        <f>VLOOKUP($A675,tropes!$A$4:$O$2428,7,FALSE)</f>
        <v>#N/A</v>
      </c>
      <c r="H675" s="5" t="e">
        <f>VLOOKUP($A675,tropes!$A$4:$O$2428,8,FALSE)</f>
        <v>#N/A</v>
      </c>
      <c r="I675" s="5" t="e">
        <f>VLOOKUP($A675,tropes!$A$4:$O$2428,9,FALSE)</f>
        <v>#N/A</v>
      </c>
      <c r="J675" s="5" t="e">
        <f>VLOOKUP($A675,tropes!$A$4:$O$2428,10,FALSE)</f>
        <v>#N/A</v>
      </c>
      <c r="K675" s="5" t="e">
        <f>VLOOKUP($A675,tropes!$A$4:$O$2428,11,FALSE)</f>
        <v>#N/A</v>
      </c>
      <c r="L675" s="5" t="e">
        <f>VLOOKUP($A675,tropes!$A$4:$O$2428,12,FALSE)</f>
        <v>#N/A</v>
      </c>
      <c r="M675" s="5" t="e">
        <f>VLOOKUP($A675,tropes!$A$4:$O$2428,13,FALSE)</f>
        <v>#N/A</v>
      </c>
      <c r="N675" s="5"/>
    </row>
    <row r="676" spans="1:14" x14ac:dyDescent="0.3">
      <c r="A676" s="14"/>
      <c r="B676" s="5" t="e">
        <f>VLOOKUP($A676,tropes!$A$4:$O$2428,2,FALSE)</f>
        <v>#N/A</v>
      </c>
      <c r="C676" s="5" t="e">
        <f>VLOOKUP($A676,tropes!$A$4:$O$2428,3,FALSE)</f>
        <v>#N/A</v>
      </c>
      <c r="D676" s="5" t="e">
        <f>VLOOKUP($A676,tropes!$A$4:$O$2428,4,FALSE)</f>
        <v>#N/A</v>
      </c>
      <c r="E676" s="5" t="e">
        <f>VLOOKUP($A676,tropes!$A$4:$O$2428,5,FALSE)</f>
        <v>#N/A</v>
      </c>
      <c r="F676" s="5" t="e">
        <f>VLOOKUP($A676,tropes!$A$4:$O$2428,6,FALSE)</f>
        <v>#N/A</v>
      </c>
      <c r="G676" s="5" t="e">
        <f>VLOOKUP($A676,tropes!$A$4:$O$2428,7,FALSE)</f>
        <v>#N/A</v>
      </c>
      <c r="H676" s="5" t="e">
        <f>VLOOKUP($A676,tropes!$A$4:$O$2428,8,FALSE)</f>
        <v>#N/A</v>
      </c>
      <c r="I676" s="5" t="e">
        <f>VLOOKUP($A676,tropes!$A$4:$O$2428,9,FALSE)</f>
        <v>#N/A</v>
      </c>
      <c r="J676" s="5" t="e">
        <f>VLOOKUP($A676,tropes!$A$4:$O$2428,10,FALSE)</f>
        <v>#N/A</v>
      </c>
      <c r="K676" s="5" t="e">
        <f>VLOOKUP($A676,tropes!$A$4:$O$2428,11,FALSE)</f>
        <v>#N/A</v>
      </c>
      <c r="L676" s="5" t="e">
        <f>VLOOKUP($A676,tropes!$A$4:$O$2428,12,FALSE)</f>
        <v>#N/A</v>
      </c>
      <c r="M676" s="5" t="e">
        <f>VLOOKUP($A676,tropes!$A$4:$O$2428,13,FALSE)</f>
        <v>#N/A</v>
      </c>
      <c r="N676" s="5"/>
    </row>
    <row r="677" spans="1:14" x14ac:dyDescent="0.3">
      <c r="A677" s="14"/>
      <c r="B677" s="5" t="e">
        <f>VLOOKUP($A677,tropes!$A$4:$O$2428,2,FALSE)</f>
        <v>#N/A</v>
      </c>
      <c r="C677" s="5" t="e">
        <f>VLOOKUP($A677,tropes!$A$4:$O$2428,3,FALSE)</f>
        <v>#N/A</v>
      </c>
      <c r="D677" s="5" t="e">
        <f>VLOOKUP($A677,tropes!$A$4:$O$2428,4,FALSE)</f>
        <v>#N/A</v>
      </c>
      <c r="E677" s="5" t="e">
        <f>VLOOKUP($A677,tropes!$A$4:$O$2428,5,FALSE)</f>
        <v>#N/A</v>
      </c>
      <c r="F677" s="5" t="e">
        <f>VLOOKUP($A677,tropes!$A$4:$O$2428,6,FALSE)</f>
        <v>#N/A</v>
      </c>
      <c r="G677" s="5" t="e">
        <f>VLOOKUP($A677,tropes!$A$4:$O$2428,7,FALSE)</f>
        <v>#N/A</v>
      </c>
      <c r="H677" s="5" t="e">
        <f>VLOOKUP($A677,tropes!$A$4:$O$2428,8,FALSE)</f>
        <v>#N/A</v>
      </c>
      <c r="I677" s="5" t="e">
        <f>VLOOKUP($A677,tropes!$A$4:$O$2428,9,FALSE)</f>
        <v>#N/A</v>
      </c>
      <c r="J677" s="5" t="e">
        <f>VLOOKUP($A677,tropes!$A$4:$O$2428,10,FALSE)</f>
        <v>#N/A</v>
      </c>
      <c r="K677" s="5" t="e">
        <f>VLOOKUP($A677,tropes!$A$4:$O$2428,11,FALSE)</f>
        <v>#N/A</v>
      </c>
      <c r="L677" s="5" t="e">
        <f>VLOOKUP($A677,tropes!$A$4:$O$2428,12,FALSE)</f>
        <v>#N/A</v>
      </c>
      <c r="M677" s="5" t="e">
        <f>VLOOKUP($A677,tropes!$A$4:$O$2428,13,FALSE)</f>
        <v>#N/A</v>
      </c>
      <c r="N677" s="5"/>
    </row>
    <row r="678" spans="1:14" x14ac:dyDescent="0.3">
      <c r="A678" s="14"/>
      <c r="B678" s="5" t="e">
        <f>VLOOKUP($A678,tropes!$A$4:$O$2428,2,FALSE)</f>
        <v>#N/A</v>
      </c>
      <c r="C678" s="5" t="e">
        <f>VLOOKUP($A678,tropes!$A$4:$O$2428,3,FALSE)</f>
        <v>#N/A</v>
      </c>
      <c r="D678" s="5" t="e">
        <f>VLOOKUP($A678,tropes!$A$4:$O$2428,4,FALSE)</f>
        <v>#N/A</v>
      </c>
      <c r="E678" s="5" t="e">
        <f>VLOOKUP($A678,tropes!$A$4:$O$2428,5,FALSE)</f>
        <v>#N/A</v>
      </c>
      <c r="F678" s="5" t="e">
        <f>VLOOKUP($A678,tropes!$A$4:$O$2428,6,FALSE)</f>
        <v>#N/A</v>
      </c>
      <c r="G678" s="5" t="e">
        <f>VLOOKUP($A678,tropes!$A$4:$O$2428,7,FALSE)</f>
        <v>#N/A</v>
      </c>
      <c r="H678" s="5" t="e">
        <f>VLOOKUP($A678,tropes!$A$4:$O$2428,8,FALSE)</f>
        <v>#N/A</v>
      </c>
      <c r="I678" s="5" t="e">
        <f>VLOOKUP($A678,tropes!$A$4:$O$2428,9,FALSE)</f>
        <v>#N/A</v>
      </c>
      <c r="J678" s="5" t="e">
        <f>VLOOKUP($A678,tropes!$A$4:$O$2428,10,FALSE)</f>
        <v>#N/A</v>
      </c>
      <c r="K678" s="5" t="e">
        <f>VLOOKUP($A678,tropes!$A$4:$O$2428,11,FALSE)</f>
        <v>#N/A</v>
      </c>
      <c r="L678" s="5" t="e">
        <f>VLOOKUP($A678,tropes!$A$4:$O$2428,12,FALSE)</f>
        <v>#N/A</v>
      </c>
      <c r="M678" s="5" t="e">
        <f>VLOOKUP($A678,tropes!$A$4:$O$2428,13,FALSE)</f>
        <v>#N/A</v>
      </c>
      <c r="N678" s="5"/>
    </row>
    <row r="679" spans="1:14" x14ac:dyDescent="0.3">
      <c r="A679" s="14"/>
      <c r="B679" s="5" t="e">
        <f>VLOOKUP($A679,tropes!$A$4:$O$2428,2,FALSE)</f>
        <v>#N/A</v>
      </c>
      <c r="C679" s="5" t="e">
        <f>VLOOKUP($A679,tropes!$A$4:$O$2428,3,FALSE)</f>
        <v>#N/A</v>
      </c>
      <c r="D679" s="5" t="e">
        <f>VLOOKUP($A679,tropes!$A$4:$O$2428,4,FALSE)</f>
        <v>#N/A</v>
      </c>
      <c r="E679" s="5" t="e">
        <f>VLOOKUP($A679,tropes!$A$4:$O$2428,5,FALSE)</f>
        <v>#N/A</v>
      </c>
      <c r="F679" s="5" t="e">
        <f>VLOOKUP($A679,tropes!$A$4:$O$2428,6,FALSE)</f>
        <v>#N/A</v>
      </c>
      <c r="G679" s="5" t="e">
        <f>VLOOKUP($A679,tropes!$A$4:$O$2428,7,FALSE)</f>
        <v>#N/A</v>
      </c>
      <c r="H679" s="5" t="e">
        <f>VLOOKUP($A679,tropes!$A$4:$O$2428,8,FALSE)</f>
        <v>#N/A</v>
      </c>
      <c r="I679" s="5" t="e">
        <f>VLOOKUP($A679,tropes!$A$4:$O$2428,9,FALSE)</f>
        <v>#N/A</v>
      </c>
      <c r="J679" s="5" t="e">
        <f>VLOOKUP($A679,tropes!$A$4:$O$2428,10,FALSE)</f>
        <v>#N/A</v>
      </c>
      <c r="K679" s="5" t="e">
        <f>VLOOKUP($A679,tropes!$A$4:$O$2428,11,FALSE)</f>
        <v>#N/A</v>
      </c>
      <c r="L679" s="5" t="e">
        <f>VLOOKUP($A679,tropes!$A$4:$O$2428,12,FALSE)</f>
        <v>#N/A</v>
      </c>
      <c r="M679" s="5" t="e">
        <f>VLOOKUP($A679,tropes!$A$4:$O$2428,13,FALSE)</f>
        <v>#N/A</v>
      </c>
      <c r="N679" s="5"/>
    </row>
    <row r="680" spans="1:14" x14ac:dyDescent="0.3">
      <c r="A680" s="14"/>
      <c r="B680" s="5" t="e">
        <f>VLOOKUP($A680,tropes!$A$4:$O$2428,2,FALSE)</f>
        <v>#N/A</v>
      </c>
      <c r="C680" s="5" t="e">
        <f>VLOOKUP($A680,tropes!$A$4:$O$2428,3,FALSE)</f>
        <v>#N/A</v>
      </c>
      <c r="D680" s="5" t="e">
        <f>VLOOKUP($A680,tropes!$A$4:$O$2428,4,FALSE)</f>
        <v>#N/A</v>
      </c>
      <c r="E680" s="5" t="e">
        <f>VLOOKUP($A680,tropes!$A$4:$O$2428,5,FALSE)</f>
        <v>#N/A</v>
      </c>
      <c r="F680" s="5" t="e">
        <f>VLOOKUP($A680,tropes!$A$4:$O$2428,6,FALSE)</f>
        <v>#N/A</v>
      </c>
      <c r="G680" s="5" t="e">
        <f>VLOOKUP($A680,tropes!$A$4:$O$2428,7,FALSE)</f>
        <v>#N/A</v>
      </c>
      <c r="H680" s="5" t="e">
        <f>VLOOKUP($A680,tropes!$A$4:$O$2428,8,FALSE)</f>
        <v>#N/A</v>
      </c>
      <c r="I680" s="5" t="e">
        <f>VLOOKUP($A680,tropes!$A$4:$O$2428,9,FALSE)</f>
        <v>#N/A</v>
      </c>
      <c r="J680" s="5" t="e">
        <f>VLOOKUP($A680,tropes!$A$4:$O$2428,10,FALSE)</f>
        <v>#N/A</v>
      </c>
      <c r="K680" s="5" t="e">
        <f>VLOOKUP($A680,tropes!$A$4:$O$2428,11,FALSE)</f>
        <v>#N/A</v>
      </c>
      <c r="L680" s="5" t="e">
        <f>VLOOKUP($A680,tropes!$A$4:$O$2428,12,FALSE)</f>
        <v>#N/A</v>
      </c>
      <c r="M680" s="5" t="e">
        <f>VLOOKUP($A680,tropes!$A$4:$O$2428,13,FALSE)</f>
        <v>#N/A</v>
      </c>
      <c r="N680" s="5"/>
    </row>
    <row r="681" spans="1:14" x14ac:dyDescent="0.3">
      <c r="A681" s="14"/>
      <c r="B681" s="5" t="e">
        <f>VLOOKUP($A681,tropes!$A$4:$O$2428,2,FALSE)</f>
        <v>#N/A</v>
      </c>
      <c r="C681" s="5" t="e">
        <f>VLOOKUP($A681,tropes!$A$4:$O$2428,3,FALSE)</f>
        <v>#N/A</v>
      </c>
      <c r="D681" s="5" t="e">
        <f>VLOOKUP($A681,tropes!$A$4:$O$2428,4,FALSE)</f>
        <v>#N/A</v>
      </c>
      <c r="E681" s="5" t="e">
        <f>VLOOKUP($A681,tropes!$A$4:$O$2428,5,FALSE)</f>
        <v>#N/A</v>
      </c>
      <c r="F681" s="5" t="e">
        <f>VLOOKUP($A681,tropes!$A$4:$O$2428,6,FALSE)</f>
        <v>#N/A</v>
      </c>
      <c r="G681" s="5" t="e">
        <f>VLOOKUP($A681,tropes!$A$4:$O$2428,7,FALSE)</f>
        <v>#N/A</v>
      </c>
      <c r="H681" s="5" t="e">
        <f>VLOOKUP($A681,tropes!$A$4:$O$2428,8,FALSE)</f>
        <v>#N/A</v>
      </c>
      <c r="I681" s="5" t="e">
        <f>VLOOKUP($A681,tropes!$A$4:$O$2428,9,FALSE)</f>
        <v>#N/A</v>
      </c>
      <c r="J681" s="5" t="e">
        <f>VLOOKUP($A681,tropes!$A$4:$O$2428,10,FALSE)</f>
        <v>#N/A</v>
      </c>
      <c r="K681" s="5" t="e">
        <f>VLOOKUP($A681,tropes!$A$4:$O$2428,11,FALSE)</f>
        <v>#N/A</v>
      </c>
      <c r="L681" s="5" t="e">
        <f>VLOOKUP($A681,tropes!$A$4:$O$2428,12,FALSE)</f>
        <v>#N/A</v>
      </c>
      <c r="M681" s="5" t="e">
        <f>VLOOKUP($A681,tropes!$A$4:$O$2428,13,FALSE)</f>
        <v>#N/A</v>
      </c>
      <c r="N681" s="5"/>
    </row>
    <row r="682" spans="1:14" x14ac:dyDescent="0.3">
      <c r="A682" s="14"/>
      <c r="B682" s="5" t="e">
        <f>VLOOKUP($A682,tropes!$A$4:$O$2428,2,FALSE)</f>
        <v>#N/A</v>
      </c>
      <c r="C682" s="5" t="e">
        <f>VLOOKUP($A682,tropes!$A$4:$O$2428,3,FALSE)</f>
        <v>#N/A</v>
      </c>
      <c r="D682" s="5" t="e">
        <f>VLOOKUP($A682,tropes!$A$4:$O$2428,4,FALSE)</f>
        <v>#N/A</v>
      </c>
      <c r="E682" s="5" t="e">
        <f>VLOOKUP($A682,tropes!$A$4:$O$2428,5,FALSE)</f>
        <v>#N/A</v>
      </c>
      <c r="F682" s="5" t="e">
        <f>VLOOKUP($A682,tropes!$A$4:$O$2428,6,FALSE)</f>
        <v>#N/A</v>
      </c>
      <c r="G682" s="5" t="e">
        <f>VLOOKUP($A682,tropes!$A$4:$O$2428,7,FALSE)</f>
        <v>#N/A</v>
      </c>
      <c r="H682" s="5" t="e">
        <f>VLOOKUP($A682,tropes!$A$4:$O$2428,8,FALSE)</f>
        <v>#N/A</v>
      </c>
      <c r="I682" s="5" t="e">
        <f>VLOOKUP($A682,tropes!$A$4:$O$2428,9,FALSE)</f>
        <v>#N/A</v>
      </c>
      <c r="J682" s="5" t="e">
        <f>VLOOKUP($A682,tropes!$A$4:$O$2428,10,FALSE)</f>
        <v>#N/A</v>
      </c>
      <c r="K682" s="5" t="e">
        <f>VLOOKUP($A682,tropes!$A$4:$O$2428,11,FALSE)</f>
        <v>#N/A</v>
      </c>
      <c r="L682" s="5" t="e">
        <f>VLOOKUP($A682,tropes!$A$4:$O$2428,12,FALSE)</f>
        <v>#N/A</v>
      </c>
      <c r="M682" s="5" t="e">
        <f>VLOOKUP($A682,tropes!$A$4:$O$2428,13,FALSE)</f>
        <v>#N/A</v>
      </c>
      <c r="N682" s="5"/>
    </row>
    <row r="683" spans="1:14" x14ac:dyDescent="0.3">
      <c r="A683" s="14"/>
      <c r="B683" s="5" t="e">
        <f>VLOOKUP($A683,tropes!$A$4:$O$2428,2,FALSE)</f>
        <v>#N/A</v>
      </c>
      <c r="C683" s="5" t="e">
        <f>VLOOKUP($A683,tropes!$A$4:$O$2428,3,FALSE)</f>
        <v>#N/A</v>
      </c>
      <c r="D683" s="5" t="e">
        <f>VLOOKUP($A683,tropes!$A$4:$O$2428,4,FALSE)</f>
        <v>#N/A</v>
      </c>
      <c r="E683" s="5" t="e">
        <f>VLOOKUP($A683,tropes!$A$4:$O$2428,5,FALSE)</f>
        <v>#N/A</v>
      </c>
      <c r="F683" s="5" t="e">
        <f>VLOOKUP($A683,tropes!$A$4:$O$2428,6,FALSE)</f>
        <v>#N/A</v>
      </c>
      <c r="G683" s="5" t="e">
        <f>VLOOKUP($A683,tropes!$A$4:$O$2428,7,FALSE)</f>
        <v>#N/A</v>
      </c>
      <c r="H683" s="5" t="e">
        <f>VLOOKUP($A683,tropes!$A$4:$O$2428,8,FALSE)</f>
        <v>#N/A</v>
      </c>
      <c r="I683" s="5" t="e">
        <f>VLOOKUP($A683,tropes!$A$4:$O$2428,9,FALSE)</f>
        <v>#N/A</v>
      </c>
      <c r="J683" s="5" t="e">
        <f>VLOOKUP($A683,tropes!$A$4:$O$2428,10,FALSE)</f>
        <v>#N/A</v>
      </c>
      <c r="K683" s="5" t="e">
        <f>VLOOKUP($A683,tropes!$A$4:$O$2428,11,FALSE)</f>
        <v>#N/A</v>
      </c>
      <c r="L683" s="5" t="e">
        <f>VLOOKUP($A683,tropes!$A$4:$O$2428,12,FALSE)</f>
        <v>#N/A</v>
      </c>
      <c r="M683" s="5" t="e">
        <f>VLOOKUP($A683,tropes!$A$4:$O$2428,13,FALSE)</f>
        <v>#N/A</v>
      </c>
      <c r="N683" s="5"/>
    </row>
    <row r="684" spans="1:14" x14ac:dyDescent="0.3">
      <c r="A684" s="14"/>
      <c r="B684" s="5" t="e">
        <f>VLOOKUP($A684,tropes!$A$4:$O$2428,2,FALSE)</f>
        <v>#N/A</v>
      </c>
      <c r="C684" s="5" t="e">
        <f>VLOOKUP($A684,tropes!$A$4:$O$2428,3,FALSE)</f>
        <v>#N/A</v>
      </c>
      <c r="D684" s="5" t="e">
        <f>VLOOKUP($A684,tropes!$A$4:$O$2428,4,FALSE)</f>
        <v>#N/A</v>
      </c>
      <c r="E684" s="5" t="e">
        <f>VLOOKUP($A684,tropes!$A$4:$O$2428,5,FALSE)</f>
        <v>#N/A</v>
      </c>
      <c r="F684" s="5" t="e">
        <f>VLOOKUP($A684,tropes!$A$4:$O$2428,6,FALSE)</f>
        <v>#N/A</v>
      </c>
      <c r="G684" s="5" t="e">
        <f>VLOOKUP($A684,tropes!$A$4:$O$2428,7,FALSE)</f>
        <v>#N/A</v>
      </c>
      <c r="H684" s="5" t="e">
        <f>VLOOKUP($A684,tropes!$A$4:$O$2428,8,FALSE)</f>
        <v>#N/A</v>
      </c>
      <c r="I684" s="5" t="e">
        <f>VLOOKUP($A684,tropes!$A$4:$O$2428,9,FALSE)</f>
        <v>#N/A</v>
      </c>
      <c r="J684" s="5" t="e">
        <f>VLOOKUP($A684,tropes!$A$4:$O$2428,10,FALSE)</f>
        <v>#N/A</v>
      </c>
      <c r="K684" s="5" t="e">
        <f>VLOOKUP($A684,tropes!$A$4:$O$2428,11,FALSE)</f>
        <v>#N/A</v>
      </c>
      <c r="L684" s="5" t="e">
        <f>VLOOKUP($A684,tropes!$A$4:$O$2428,12,FALSE)</f>
        <v>#N/A</v>
      </c>
      <c r="M684" s="5" t="e">
        <f>VLOOKUP($A684,tropes!$A$4:$O$2428,13,FALSE)</f>
        <v>#N/A</v>
      </c>
      <c r="N684" s="5"/>
    </row>
    <row r="685" spans="1:14" x14ac:dyDescent="0.3">
      <c r="A685" s="14"/>
      <c r="B685" s="5" t="e">
        <f>VLOOKUP($A685,tropes!$A$4:$O$2428,2,FALSE)</f>
        <v>#N/A</v>
      </c>
      <c r="C685" s="5" t="e">
        <f>VLOOKUP($A685,tropes!$A$4:$O$2428,3,FALSE)</f>
        <v>#N/A</v>
      </c>
      <c r="D685" s="5" t="e">
        <f>VLOOKUP($A685,tropes!$A$4:$O$2428,4,FALSE)</f>
        <v>#N/A</v>
      </c>
      <c r="E685" s="5" t="e">
        <f>VLOOKUP($A685,tropes!$A$4:$O$2428,5,FALSE)</f>
        <v>#N/A</v>
      </c>
      <c r="F685" s="5" t="e">
        <f>VLOOKUP($A685,tropes!$A$4:$O$2428,6,FALSE)</f>
        <v>#N/A</v>
      </c>
      <c r="G685" s="5" t="e">
        <f>VLOOKUP($A685,tropes!$A$4:$O$2428,7,FALSE)</f>
        <v>#N/A</v>
      </c>
      <c r="H685" s="5" t="e">
        <f>VLOOKUP($A685,tropes!$A$4:$O$2428,8,FALSE)</f>
        <v>#N/A</v>
      </c>
      <c r="I685" s="5" t="e">
        <f>VLOOKUP($A685,tropes!$A$4:$O$2428,9,FALSE)</f>
        <v>#N/A</v>
      </c>
      <c r="J685" s="5" t="e">
        <f>VLOOKUP($A685,tropes!$A$4:$O$2428,10,FALSE)</f>
        <v>#N/A</v>
      </c>
      <c r="K685" s="5" t="e">
        <f>VLOOKUP($A685,tropes!$A$4:$O$2428,11,FALSE)</f>
        <v>#N/A</v>
      </c>
      <c r="L685" s="5" t="e">
        <f>VLOOKUP($A685,tropes!$A$4:$O$2428,12,FALSE)</f>
        <v>#N/A</v>
      </c>
      <c r="M685" s="5" t="e">
        <f>VLOOKUP($A685,tropes!$A$4:$O$2428,13,FALSE)</f>
        <v>#N/A</v>
      </c>
      <c r="N685" s="5"/>
    </row>
    <row r="686" spans="1:14" x14ac:dyDescent="0.3">
      <c r="A686" s="14"/>
      <c r="B686" s="5" t="e">
        <f>VLOOKUP($A686,tropes!$A$4:$O$2428,2,FALSE)</f>
        <v>#N/A</v>
      </c>
      <c r="C686" s="5" t="e">
        <f>VLOOKUP($A686,tropes!$A$4:$O$2428,3,FALSE)</f>
        <v>#N/A</v>
      </c>
      <c r="D686" s="5" t="e">
        <f>VLOOKUP($A686,tropes!$A$4:$O$2428,4,FALSE)</f>
        <v>#N/A</v>
      </c>
      <c r="E686" s="5" t="e">
        <f>VLOOKUP($A686,tropes!$A$4:$O$2428,5,FALSE)</f>
        <v>#N/A</v>
      </c>
      <c r="F686" s="5" t="e">
        <f>VLOOKUP($A686,tropes!$A$4:$O$2428,6,FALSE)</f>
        <v>#N/A</v>
      </c>
      <c r="G686" s="5" t="e">
        <f>VLOOKUP($A686,tropes!$A$4:$O$2428,7,FALSE)</f>
        <v>#N/A</v>
      </c>
      <c r="H686" s="5" t="e">
        <f>VLOOKUP($A686,tropes!$A$4:$O$2428,8,FALSE)</f>
        <v>#N/A</v>
      </c>
      <c r="I686" s="5" t="e">
        <f>VLOOKUP($A686,tropes!$A$4:$O$2428,9,FALSE)</f>
        <v>#N/A</v>
      </c>
      <c r="J686" s="5" t="e">
        <f>VLOOKUP($A686,tropes!$A$4:$O$2428,10,FALSE)</f>
        <v>#N/A</v>
      </c>
      <c r="K686" s="5" t="e">
        <f>VLOOKUP($A686,tropes!$A$4:$O$2428,11,FALSE)</f>
        <v>#N/A</v>
      </c>
      <c r="L686" s="5" t="e">
        <f>VLOOKUP($A686,tropes!$A$4:$O$2428,12,FALSE)</f>
        <v>#N/A</v>
      </c>
      <c r="M686" s="5" t="e">
        <f>VLOOKUP($A686,tropes!$A$4:$O$2428,13,FALSE)</f>
        <v>#N/A</v>
      </c>
      <c r="N686" s="5"/>
    </row>
    <row r="687" spans="1:14" x14ac:dyDescent="0.3">
      <c r="A687" s="14"/>
      <c r="B687" s="5" t="e">
        <f>VLOOKUP($A687,tropes!$A$4:$O$2428,2,FALSE)</f>
        <v>#N/A</v>
      </c>
      <c r="C687" s="5" t="e">
        <f>VLOOKUP($A687,tropes!$A$4:$O$2428,3,FALSE)</f>
        <v>#N/A</v>
      </c>
      <c r="D687" s="5" t="e">
        <f>VLOOKUP($A687,tropes!$A$4:$O$2428,4,FALSE)</f>
        <v>#N/A</v>
      </c>
      <c r="E687" s="5" t="e">
        <f>VLOOKUP($A687,tropes!$A$4:$O$2428,5,FALSE)</f>
        <v>#N/A</v>
      </c>
      <c r="F687" s="5" t="e">
        <f>VLOOKUP($A687,tropes!$A$4:$O$2428,6,FALSE)</f>
        <v>#N/A</v>
      </c>
      <c r="G687" s="5" t="e">
        <f>VLOOKUP($A687,tropes!$A$4:$O$2428,7,FALSE)</f>
        <v>#N/A</v>
      </c>
      <c r="H687" s="5" t="e">
        <f>VLOOKUP($A687,tropes!$A$4:$O$2428,8,FALSE)</f>
        <v>#N/A</v>
      </c>
      <c r="I687" s="5" t="e">
        <f>VLOOKUP($A687,tropes!$A$4:$O$2428,9,FALSE)</f>
        <v>#N/A</v>
      </c>
      <c r="J687" s="5" t="e">
        <f>VLOOKUP($A687,tropes!$A$4:$O$2428,10,FALSE)</f>
        <v>#N/A</v>
      </c>
      <c r="K687" s="5" t="e">
        <f>VLOOKUP($A687,tropes!$A$4:$O$2428,11,FALSE)</f>
        <v>#N/A</v>
      </c>
      <c r="L687" s="5" t="e">
        <f>VLOOKUP($A687,tropes!$A$4:$O$2428,12,FALSE)</f>
        <v>#N/A</v>
      </c>
      <c r="M687" s="5" t="e">
        <f>VLOOKUP($A687,tropes!$A$4:$O$2428,13,FALSE)</f>
        <v>#N/A</v>
      </c>
      <c r="N687" s="5"/>
    </row>
    <row r="688" spans="1:14" x14ac:dyDescent="0.3">
      <c r="A688" s="14"/>
      <c r="B688" s="5" t="e">
        <f>VLOOKUP($A688,tropes!$A$4:$O$2428,2,FALSE)</f>
        <v>#N/A</v>
      </c>
      <c r="C688" s="5" t="e">
        <f>VLOOKUP($A688,tropes!$A$4:$O$2428,3,FALSE)</f>
        <v>#N/A</v>
      </c>
      <c r="D688" s="5" t="e">
        <f>VLOOKUP($A688,tropes!$A$4:$O$2428,4,FALSE)</f>
        <v>#N/A</v>
      </c>
      <c r="E688" s="5" t="e">
        <f>VLOOKUP($A688,tropes!$A$4:$O$2428,5,FALSE)</f>
        <v>#N/A</v>
      </c>
      <c r="F688" s="5" t="e">
        <f>VLOOKUP($A688,tropes!$A$4:$O$2428,6,FALSE)</f>
        <v>#N/A</v>
      </c>
      <c r="G688" s="5" t="e">
        <f>VLOOKUP($A688,tropes!$A$4:$O$2428,7,FALSE)</f>
        <v>#N/A</v>
      </c>
      <c r="H688" s="5" t="e">
        <f>VLOOKUP($A688,tropes!$A$4:$O$2428,8,FALSE)</f>
        <v>#N/A</v>
      </c>
      <c r="I688" s="5" t="e">
        <f>VLOOKUP($A688,tropes!$A$4:$O$2428,9,FALSE)</f>
        <v>#N/A</v>
      </c>
      <c r="J688" s="5" t="e">
        <f>VLOOKUP($A688,tropes!$A$4:$O$2428,10,FALSE)</f>
        <v>#N/A</v>
      </c>
      <c r="K688" s="5" t="e">
        <f>VLOOKUP($A688,tropes!$A$4:$O$2428,11,FALSE)</f>
        <v>#N/A</v>
      </c>
      <c r="L688" s="5" t="e">
        <f>VLOOKUP($A688,tropes!$A$4:$O$2428,12,FALSE)</f>
        <v>#N/A</v>
      </c>
      <c r="M688" s="5" t="e">
        <f>VLOOKUP($A688,tropes!$A$4:$O$2428,13,FALSE)</f>
        <v>#N/A</v>
      </c>
      <c r="N688" s="5"/>
    </row>
    <row r="689" spans="1:14" x14ac:dyDescent="0.3">
      <c r="A689" s="14"/>
      <c r="B689" s="5" t="e">
        <f>VLOOKUP($A689,tropes!$A$4:$O$2428,2,FALSE)</f>
        <v>#N/A</v>
      </c>
      <c r="C689" s="5" t="e">
        <f>VLOOKUP($A689,tropes!$A$4:$O$2428,3,FALSE)</f>
        <v>#N/A</v>
      </c>
      <c r="D689" s="5" t="e">
        <f>VLOOKUP($A689,tropes!$A$4:$O$2428,4,FALSE)</f>
        <v>#N/A</v>
      </c>
      <c r="E689" s="5" t="e">
        <f>VLOOKUP($A689,tropes!$A$4:$O$2428,5,FALSE)</f>
        <v>#N/A</v>
      </c>
      <c r="F689" s="5" t="e">
        <f>VLOOKUP($A689,tropes!$A$4:$O$2428,6,FALSE)</f>
        <v>#N/A</v>
      </c>
      <c r="G689" s="5" t="e">
        <f>VLOOKUP($A689,tropes!$A$4:$O$2428,7,FALSE)</f>
        <v>#N/A</v>
      </c>
      <c r="H689" s="5" t="e">
        <f>VLOOKUP($A689,tropes!$A$4:$O$2428,8,FALSE)</f>
        <v>#N/A</v>
      </c>
      <c r="I689" s="5" t="e">
        <f>VLOOKUP($A689,tropes!$A$4:$O$2428,9,FALSE)</f>
        <v>#N/A</v>
      </c>
      <c r="J689" s="5" t="e">
        <f>VLOOKUP($A689,tropes!$A$4:$O$2428,10,FALSE)</f>
        <v>#N/A</v>
      </c>
      <c r="K689" s="5" t="e">
        <f>VLOOKUP($A689,tropes!$A$4:$O$2428,11,FALSE)</f>
        <v>#N/A</v>
      </c>
      <c r="L689" s="5" t="e">
        <f>VLOOKUP($A689,tropes!$A$4:$O$2428,12,FALSE)</f>
        <v>#N/A</v>
      </c>
      <c r="M689" s="5" t="e">
        <f>VLOOKUP($A689,tropes!$A$4:$O$2428,13,FALSE)</f>
        <v>#N/A</v>
      </c>
      <c r="N689" s="5"/>
    </row>
    <row r="690" spans="1:14" x14ac:dyDescent="0.3">
      <c r="A690" s="14"/>
      <c r="B690" s="5" t="e">
        <f>VLOOKUP($A690,tropes!$A$4:$O$2428,2,FALSE)</f>
        <v>#N/A</v>
      </c>
      <c r="C690" s="5" t="e">
        <f>VLOOKUP($A690,tropes!$A$4:$O$2428,3,FALSE)</f>
        <v>#N/A</v>
      </c>
      <c r="D690" s="5" t="e">
        <f>VLOOKUP($A690,tropes!$A$4:$O$2428,4,FALSE)</f>
        <v>#N/A</v>
      </c>
      <c r="E690" s="5" t="e">
        <f>VLOOKUP($A690,tropes!$A$4:$O$2428,5,FALSE)</f>
        <v>#N/A</v>
      </c>
      <c r="F690" s="5" t="e">
        <f>VLOOKUP($A690,tropes!$A$4:$O$2428,6,FALSE)</f>
        <v>#N/A</v>
      </c>
      <c r="G690" s="5" t="e">
        <f>VLOOKUP($A690,tropes!$A$4:$O$2428,7,FALSE)</f>
        <v>#N/A</v>
      </c>
      <c r="H690" s="5" t="e">
        <f>VLOOKUP($A690,tropes!$A$4:$O$2428,8,FALSE)</f>
        <v>#N/A</v>
      </c>
      <c r="I690" s="5" t="e">
        <f>VLOOKUP($A690,tropes!$A$4:$O$2428,9,FALSE)</f>
        <v>#N/A</v>
      </c>
      <c r="J690" s="5" t="e">
        <f>VLOOKUP($A690,tropes!$A$4:$O$2428,10,FALSE)</f>
        <v>#N/A</v>
      </c>
      <c r="K690" s="5" t="e">
        <f>VLOOKUP($A690,tropes!$A$4:$O$2428,11,FALSE)</f>
        <v>#N/A</v>
      </c>
      <c r="L690" s="5" t="e">
        <f>VLOOKUP($A690,tropes!$A$4:$O$2428,12,FALSE)</f>
        <v>#N/A</v>
      </c>
      <c r="M690" s="5" t="e">
        <f>VLOOKUP($A690,tropes!$A$4:$O$2428,13,FALSE)</f>
        <v>#N/A</v>
      </c>
      <c r="N690" s="5"/>
    </row>
    <row r="691" spans="1:14" x14ac:dyDescent="0.3">
      <c r="A691" s="14"/>
      <c r="B691" s="5" t="e">
        <f>VLOOKUP($A691,tropes!$A$4:$O$2428,2,FALSE)</f>
        <v>#N/A</v>
      </c>
      <c r="C691" s="5" t="e">
        <f>VLOOKUP($A691,tropes!$A$4:$O$2428,3,FALSE)</f>
        <v>#N/A</v>
      </c>
      <c r="D691" s="5" t="e">
        <f>VLOOKUP($A691,tropes!$A$4:$O$2428,4,FALSE)</f>
        <v>#N/A</v>
      </c>
      <c r="E691" s="5" t="e">
        <f>VLOOKUP($A691,tropes!$A$4:$O$2428,5,FALSE)</f>
        <v>#N/A</v>
      </c>
      <c r="F691" s="5" t="e">
        <f>VLOOKUP($A691,tropes!$A$4:$O$2428,6,FALSE)</f>
        <v>#N/A</v>
      </c>
      <c r="G691" s="5" t="e">
        <f>VLOOKUP($A691,tropes!$A$4:$O$2428,7,FALSE)</f>
        <v>#N/A</v>
      </c>
      <c r="H691" s="5" t="e">
        <f>VLOOKUP($A691,tropes!$A$4:$O$2428,8,FALSE)</f>
        <v>#N/A</v>
      </c>
      <c r="I691" s="5" t="e">
        <f>VLOOKUP($A691,tropes!$A$4:$O$2428,9,FALSE)</f>
        <v>#N/A</v>
      </c>
      <c r="J691" s="5" t="e">
        <f>VLOOKUP($A691,tropes!$A$4:$O$2428,10,FALSE)</f>
        <v>#N/A</v>
      </c>
      <c r="K691" s="5" t="e">
        <f>VLOOKUP($A691,tropes!$A$4:$O$2428,11,FALSE)</f>
        <v>#N/A</v>
      </c>
      <c r="L691" s="5" t="e">
        <f>VLOOKUP($A691,tropes!$A$4:$O$2428,12,FALSE)</f>
        <v>#N/A</v>
      </c>
      <c r="M691" s="5" t="e">
        <f>VLOOKUP($A691,tropes!$A$4:$O$2428,13,FALSE)</f>
        <v>#N/A</v>
      </c>
      <c r="N691" s="5"/>
    </row>
    <row r="692" spans="1:14" x14ac:dyDescent="0.3">
      <c r="A692" s="14"/>
      <c r="B692" s="5" t="e">
        <f>VLOOKUP($A692,tropes!$A$4:$O$2428,2,FALSE)</f>
        <v>#N/A</v>
      </c>
      <c r="C692" s="5" t="e">
        <f>VLOOKUP($A692,tropes!$A$4:$O$2428,3,FALSE)</f>
        <v>#N/A</v>
      </c>
      <c r="D692" s="5" t="e">
        <f>VLOOKUP($A692,tropes!$A$4:$O$2428,4,FALSE)</f>
        <v>#N/A</v>
      </c>
      <c r="E692" s="5" t="e">
        <f>VLOOKUP($A692,tropes!$A$4:$O$2428,5,FALSE)</f>
        <v>#N/A</v>
      </c>
      <c r="F692" s="5" t="e">
        <f>VLOOKUP($A692,tropes!$A$4:$O$2428,6,FALSE)</f>
        <v>#N/A</v>
      </c>
      <c r="G692" s="5" t="e">
        <f>VLOOKUP($A692,tropes!$A$4:$O$2428,7,FALSE)</f>
        <v>#N/A</v>
      </c>
      <c r="H692" s="5" t="e">
        <f>VLOOKUP($A692,tropes!$A$4:$O$2428,8,FALSE)</f>
        <v>#N/A</v>
      </c>
      <c r="I692" s="5" t="e">
        <f>VLOOKUP($A692,tropes!$A$4:$O$2428,9,FALSE)</f>
        <v>#N/A</v>
      </c>
      <c r="J692" s="5" t="e">
        <f>VLOOKUP($A692,tropes!$A$4:$O$2428,10,FALSE)</f>
        <v>#N/A</v>
      </c>
      <c r="K692" s="5" t="e">
        <f>VLOOKUP($A692,tropes!$A$4:$O$2428,11,FALSE)</f>
        <v>#N/A</v>
      </c>
      <c r="L692" s="5" t="e">
        <f>VLOOKUP($A692,tropes!$A$4:$O$2428,12,FALSE)</f>
        <v>#N/A</v>
      </c>
      <c r="M692" s="5" t="e">
        <f>VLOOKUP($A692,tropes!$A$4:$O$2428,13,FALSE)</f>
        <v>#N/A</v>
      </c>
      <c r="N692" s="5"/>
    </row>
    <row r="693" spans="1:14" x14ac:dyDescent="0.3">
      <c r="A693" s="14"/>
      <c r="B693" s="5" t="e">
        <f>VLOOKUP($A693,tropes!$A$4:$O$2428,2,FALSE)</f>
        <v>#N/A</v>
      </c>
      <c r="C693" s="5" t="e">
        <f>VLOOKUP($A693,tropes!$A$4:$O$2428,3,FALSE)</f>
        <v>#N/A</v>
      </c>
      <c r="D693" s="5" t="e">
        <f>VLOOKUP($A693,tropes!$A$4:$O$2428,4,FALSE)</f>
        <v>#N/A</v>
      </c>
      <c r="E693" s="5" t="e">
        <f>VLOOKUP($A693,tropes!$A$4:$O$2428,5,FALSE)</f>
        <v>#N/A</v>
      </c>
      <c r="F693" s="5" t="e">
        <f>VLOOKUP($A693,tropes!$A$4:$O$2428,6,FALSE)</f>
        <v>#N/A</v>
      </c>
      <c r="G693" s="5" t="e">
        <f>VLOOKUP($A693,tropes!$A$4:$O$2428,7,FALSE)</f>
        <v>#N/A</v>
      </c>
      <c r="H693" s="5" t="e">
        <f>VLOOKUP($A693,tropes!$A$4:$O$2428,8,FALSE)</f>
        <v>#N/A</v>
      </c>
      <c r="I693" s="5" t="e">
        <f>VLOOKUP($A693,tropes!$A$4:$O$2428,9,FALSE)</f>
        <v>#N/A</v>
      </c>
      <c r="J693" s="5" t="e">
        <f>VLOOKUP($A693,tropes!$A$4:$O$2428,10,FALSE)</f>
        <v>#N/A</v>
      </c>
      <c r="K693" s="5" t="e">
        <f>VLOOKUP($A693,tropes!$A$4:$O$2428,11,FALSE)</f>
        <v>#N/A</v>
      </c>
      <c r="L693" s="5" t="e">
        <f>VLOOKUP($A693,tropes!$A$4:$O$2428,12,FALSE)</f>
        <v>#N/A</v>
      </c>
      <c r="M693" s="5" t="e">
        <f>VLOOKUP($A693,tropes!$A$4:$O$2428,13,FALSE)</f>
        <v>#N/A</v>
      </c>
      <c r="N693" s="5"/>
    </row>
    <row r="694" spans="1:14" x14ac:dyDescent="0.3">
      <c r="A694" s="14"/>
      <c r="B694" s="5" t="e">
        <f>VLOOKUP($A694,tropes!$A$4:$O$2428,2,FALSE)</f>
        <v>#N/A</v>
      </c>
      <c r="C694" s="5" t="e">
        <f>VLOOKUP($A694,tropes!$A$4:$O$2428,3,FALSE)</f>
        <v>#N/A</v>
      </c>
      <c r="D694" s="5" t="e">
        <f>VLOOKUP($A694,tropes!$A$4:$O$2428,4,FALSE)</f>
        <v>#N/A</v>
      </c>
      <c r="E694" s="5" t="e">
        <f>VLOOKUP($A694,tropes!$A$4:$O$2428,5,FALSE)</f>
        <v>#N/A</v>
      </c>
      <c r="F694" s="5" t="e">
        <f>VLOOKUP($A694,tropes!$A$4:$O$2428,6,FALSE)</f>
        <v>#N/A</v>
      </c>
      <c r="G694" s="5" t="e">
        <f>VLOOKUP($A694,tropes!$A$4:$O$2428,7,FALSE)</f>
        <v>#N/A</v>
      </c>
      <c r="H694" s="5" t="e">
        <f>VLOOKUP($A694,tropes!$A$4:$O$2428,8,FALSE)</f>
        <v>#N/A</v>
      </c>
      <c r="I694" s="5" t="e">
        <f>VLOOKUP($A694,tropes!$A$4:$O$2428,9,FALSE)</f>
        <v>#N/A</v>
      </c>
      <c r="J694" s="5" t="e">
        <f>VLOOKUP($A694,tropes!$A$4:$O$2428,10,FALSE)</f>
        <v>#N/A</v>
      </c>
      <c r="K694" s="5" t="e">
        <f>VLOOKUP($A694,tropes!$A$4:$O$2428,11,FALSE)</f>
        <v>#N/A</v>
      </c>
      <c r="L694" s="5" t="e">
        <f>VLOOKUP($A694,tropes!$A$4:$O$2428,12,FALSE)</f>
        <v>#N/A</v>
      </c>
      <c r="M694" s="5" t="e">
        <f>VLOOKUP($A694,tropes!$A$4:$O$2428,13,FALSE)</f>
        <v>#N/A</v>
      </c>
      <c r="N694" s="5"/>
    </row>
    <row r="695" spans="1:14" x14ac:dyDescent="0.3">
      <c r="A695" s="14"/>
      <c r="B695" s="5" t="e">
        <f>VLOOKUP($A695,tropes!$A$4:$O$2428,2,FALSE)</f>
        <v>#N/A</v>
      </c>
      <c r="C695" s="5" t="e">
        <f>VLOOKUP($A695,tropes!$A$4:$O$2428,3,FALSE)</f>
        <v>#N/A</v>
      </c>
      <c r="D695" s="5" t="e">
        <f>VLOOKUP($A695,tropes!$A$4:$O$2428,4,FALSE)</f>
        <v>#N/A</v>
      </c>
      <c r="E695" s="5" t="e">
        <f>VLOOKUP($A695,tropes!$A$4:$O$2428,5,FALSE)</f>
        <v>#N/A</v>
      </c>
      <c r="F695" s="5" t="e">
        <f>VLOOKUP($A695,tropes!$A$4:$O$2428,6,FALSE)</f>
        <v>#N/A</v>
      </c>
      <c r="G695" s="5" t="e">
        <f>VLOOKUP($A695,tropes!$A$4:$O$2428,7,FALSE)</f>
        <v>#N/A</v>
      </c>
      <c r="H695" s="5" t="e">
        <f>VLOOKUP($A695,tropes!$A$4:$O$2428,8,FALSE)</f>
        <v>#N/A</v>
      </c>
      <c r="I695" s="5" t="e">
        <f>VLOOKUP($A695,tropes!$A$4:$O$2428,9,FALSE)</f>
        <v>#N/A</v>
      </c>
      <c r="J695" s="5" t="e">
        <f>VLOOKUP($A695,tropes!$A$4:$O$2428,10,FALSE)</f>
        <v>#N/A</v>
      </c>
      <c r="K695" s="5" t="e">
        <f>VLOOKUP($A695,tropes!$A$4:$O$2428,11,FALSE)</f>
        <v>#N/A</v>
      </c>
      <c r="L695" s="5" t="e">
        <f>VLOOKUP($A695,tropes!$A$4:$O$2428,12,FALSE)</f>
        <v>#N/A</v>
      </c>
      <c r="M695" s="5" t="e">
        <f>VLOOKUP($A695,tropes!$A$4:$O$2428,13,FALSE)</f>
        <v>#N/A</v>
      </c>
      <c r="N695" s="5"/>
    </row>
    <row r="696" spans="1:14" x14ac:dyDescent="0.3">
      <c r="A696" s="14"/>
      <c r="B696" s="5" t="e">
        <f>VLOOKUP($A696,tropes!$A$4:$O$2428,2,FALSE)</f>
        <v>#N/A</v>
      </c>
      <c r="C696" s="5" t="e">
        <f>VLOOKUP($A696,tropes!$A$4:$O$2428,3,FALSE)</f>
        <v>#N/A</v>
      </c>
      <c r="D696" s="5" t="e">
        <f>VLOOKUP($A696,tropes!$A$4:$O$2428,4,FALSE)</f>
        <v>#N/A</v>
      </c>
      <c r="E696" s="5" t="e">
        <f>VLOOKUP($A696,tropes!$A$4:$O$2428,5,FALSE)</f>
        <v>#N/A</v>
      </c>
      <c r="F696" s="5" t="e">
        <f>VLOOKUP($A696,tropes!$A$4:$O$2428,6,FALSE)</f>
        <v>#N/A</v>
      </c>
      <c r="G696" s="5" t="e">
        <f>VLOOKUP($A696,tropes!$A$4:$O$2428,7,FALSE)</f>
        <v>#N/A</v>
      </c>
      <c r="H696" s="5" t="e">
        <f>VLOOKUP($A696,tropes!$A$4:$O$2428,8,FALSE)</f>
        <v>#N/A</v>
      </c>
      <c r="I696" s="5" t="e">
        <f>VLOOKUP($A696,tropes!$A$4:$O$2428,9,FALSE)</f>
        <v>#N/A</v>
      </c>
      <c r="J696" s="5" t="e">
        <f>VLOOKUP($A696,tropes!$A$4:$O$2428,10,FALSE)</f>
        <v>#N/A</v>
      </c>
      <c r="K696" s="5" t="e">
        <f>VLOOKUP($A696,tropes!$A$4:$O$2428,11,FALSE)</f>
        <v>#N/A</v>
      </c>
      <c r="L696" s="5" t="e">
        <f>VLOOKUP($A696,tropes!$A$4:$O$2428,12,FALSE)</f>
        <v>#N/A</v>
      </c>
      <c r="M696" s="5" t="e">
        <f>VLOOKUP($A696,tropes!$A$4:$O$2428,13,FALSE)</f>
        <v>#N/A</v>
      </c>
      <c r="N696" s="5"/>
    </row>
    <row r="697" spans="1:14" x14ac:dyDescent="0.3">
      <c r="A697" s="14"/>
      <c r="B697" s="5" t="e">
        <f>VLOOKUP($A697,tropes!$A$4:$O$2428,2,FALSE)</f>
        <v>#N/A</v>
      </c>
      <c r="C697" s="5" t="e">
        <f>VLOOKUP($A697,tropes!$A$4:$O$2428,3,FALSE)</f>
        <v>#N/A</v>
      </c>
      <c r="D697" s="5" t="e">
        <f>VLOOKUP($A697,tropes!$A$4:$O$2428,4,FALSE)</f>
        <v>#N/A</v>
      </c>
      <c r="E697" s="5" t="e">
        <f>VLOOKUP($A697,tropes!$A$4:$O$2428,5,FALSE)</f>
        <v>#N/A</v>
      </c>
      <c r="F697" s="5" t="e">
        <f>VLOOKUP($A697,tropes!$A$4:$O$2428,6,FALSE)</f>
        <v>#N/A</v>
      </c>
      <c r="G697" s="5" t="e">
        <f>VLOOKUP($A697,tropes!$A$4:$O$2428,7,FALSE)</f>
        <v>#N/A</v>
      </c>
      <c r="H697" s="5" t="e">
        <f>VLOOKUP($A697,tropes!$A$4:$O$2428,8,FALSE)</f>
        <v>#N/A</v>
      </c>
      <c r="I697" s="5" t="e">
        <f>VLOOKUP($A697,tropes!$A$4:$O$2428,9,FALSE)</f>
        <v>#N/A</v>
      </c>
      <c r="J697" s="5" t="e">
        <f>VLOOKUP($A697,tropes!$A$4:$O$2428,10,FALSE)</f>
        <v>#N/A</v>
      </c>
      <c r="K697" s="5" t="e">
        <f>VLOOKUP($A697,tropes!$A$4:$O$2428,11,FALSE)</f>
        <v>#N/A</v>
      </c>
      <c r="L697" s="5" t="e">
        <f>VLOOKUP($A697,tropes!$A$4:$O$2428,12,FALSE)</f>
        <v>#N/A</v>
      </c>
      <c r="M697" s="5" t="e">
        <f>VLOOKUP($A697,tropes!$A$4:$O$2428,13,FALSE)</f>
        <v>#N/A</v>
      </c>
      <c r="N697" s="5"/>
    </row>
    <row r="698" spans="1:14" x14ac:dyDescent="0.3">
      <c r="A698" s="14"/>
      <c r="B698" s="5" t="e">
        <f>VLOOKUP($A698,tropes!$A$4:$O$2428,2,FALSE)</f>
        <v>#N/A</v>
      </c>
      <c r="C698" s="5" t="e">
        <f>VLOOKUP($A698,tropes!$A$4:$O$2428,3,FALSE)</f>
        <v>#N/A</v>
      </c>
      <c r="D698" s="5" t="e">
        <f>VLOOKUP($A698,tropes!$A$4:$O$2428,4,FALSE)</f>
        <v>#N/A</v>
      </c>
      <c r="E698" s="5" t="e">
        <f>VLOOKUP($A698,tropes!$A$4:$O$2428,5,FALSE)</f>
        <v>#N/A</v>
      </c>
      <c r="F698" s="5" t="e">
        <f>VLOOKUP($A698,tropes!$A$4:$O$2428,6,FALSE)</f>
        <v>#N/A</v>
      </c>
      <c r="G698" s="5" t="e">
        <f>VLOOKUP($A698,tropes!$A$4:$O$2428,7,FALSE)</f>
        <v>#N/A</v>
      </c>
      <c r="H698" s="5" t="e">
        <f>VLOOKUP($A698,tropes!$A$4:$O$2428,8,FALSE)</f>
        <v>#N/A</v>
      </c>
      <c r="I698" s="5" t="e">
        <f>VLOOKUP($A698,tropes!$A$4:$O$2428,9,FALSE)</f>
        <v>#N/A</v>
      </c>
      <c r="J698" s="5" t="e">
        <f>VLOOKUP($A698,tropes!$A$4:$O$2428,10,FALSE)</f>
        <v>#N/A</v>
      </c>
      <c r="K698" s="5" t="e">
        <f>VLOOKUP($A698,tropes!$A$4:$O$2428,11,FALSE)</f>
        <v>#N/A</v>
      </c>
      <c r="L698" s="5" t="e">
        <f>VLOOKUP($A698,tropes!$A$4:$O$2428,12,FALSE)</f>
        <v>#N/A</v>
      </c>
      <c r="M698" s="5" t="e">
        <f>VLOOKUP($A698,tropes!$A$4:$O$2428,13,FALSE)</f>
        <v>#N/A</v>
      </c>
      <c r="N698" s="5"/>
    </row>
    <row r="699" spans="1:14" x14ac:dyDescent="0.3">
      <c r="A699" s="14"/>
      <c r="B699" s="5" t="e">
        <f>VLOOKUP($A699,tropes!$A$4:$O$2428,2,FALSE)</f>
        <v>#N/A</v>
      </c>
      <c r="C699" s="5" t="e">
        <f>VLOOKUP($A699,tropes!$A$4:$O$2428,3,FALSE)</f>
        <v>#N/A</v>
      </c>
      <c r="D699" s="5" t="e">
        <f>VLOOKUP($A699,tropes!$A$4:$O$2428,4,FALSE)</f>
        <v>#N/A</v>
      </c>
      <c r="E699" s="5" t="e">
        <f>VLOOKUP($A699,tropes!$A$4:$O$2428,5,FALSE)</f>
        <v>#N/A</v>
      </c>
      <c r="F699" s="5" t="e">
        <f>VLOOKUP($A699,tropes!$A$4:$O$2428,6,FALSE)</f>
        <v>#N/A</v>
      </c>
      <c r="G699" s="5" t="e">
        <f>VLOOKUP($A699,tropes!$A$4:$O$2428,7,FALSE)</f>
        <v>#N/A</v>
      </c>
      <c r="H699" s="5" t="e">
        <f>VLOOKUP($A699,tropes!$A$4:$O$2428,8,FALSE)</f>
        <v>#N/A</v>
      </c>
      <c r="I699" s="5" t="e">
        <f>VLOOKUP($A699,tropes!$A$4:$O$2428,9,FALSE)</f>
        <v>#N/A</v>
      </c>
      <c r="J699" s="5" t="e">
        <f>VLOOKUP($A699,tropes!$A$4:$O$2428,10,FALSE)</f>
        <v>#N/A</v>
      </c>
      <c r="K699" s="5" t="e">
        <f>VLOOKUP($A699,tropes!$A$4:$O$2428,11,FALSE)</f>
        <v>#N/A</v>
      </c>
      <c r="L699" s="5" t="e">
        <f>VLOOKUP($A699,tropes!$A$4:$O$2428,12,FALSE)</f>
        <v>#N/A</v>
      </c>
      <c r="M699" s="5" t="e">
        <f>VLOOKUP($A699,tropes!$A$4:$O$2428,13,FALSE)</f>
        <v>#N/A</v>
      </c>
      <c r="N699" s="5"/>
    </row>
    <row r="700" spans="1:14" x14ac:dyDescent="0.3">
      <c r="A700" s="14"/>
      <c r="B700" s="5" t="e">
        <f>VLOOKUP($A700,tropes!$A$4:$O$2428,2,FALSE)</f>
        <v>#N/A</v>
      </c>
      <c r="C700" s="5" t="e">
        <f>VLOOKUP($A700,tropes!$A$4:$O$2428,3,FALSE)</f>
        <v>#N/A</v>
      </c>
      <c r="D700" s="5" t="e">
        <f>VLOOKUP($A700,tropes!$A$4:$O$2428,4,FALSE)</f>
        <v>#N/A</v>
      </c>
      <c r="E700" s="5" t="e">
        <f>VLOOKUP($A700,tropes!$A$4:$O$2428,5,FALSE)</f>
        <v>#N/A</v>
      </c>
      <c r="F700" s="5" t="e">
        <f>VLOOKUP($A700,tropes!$A$4:$O$2428,6,FALSE)</f>
        <v>#N/A</v>
      </c>
      <c r="G700" s="5" t="e">
        <f>VLOOKUP($A700,tropes!$A$4:$O$2428,7,FALSE)</f>
        <v>#N/A</v>
      </c>
      <c r="H700" s="5" t="e">
        <f>VLOOKUP($A700,tropes!$A$4:$O$2428,8,FALSE)</f>
        <v>#N/A</v>
      </c>
      <c r="I700" s="5" t="e">
        <f>VLOOKUP($A700,tropes!$A$4:$O$2428,9,FALSE)</f>
        <v>#N/A</v>
      </c>
      <c r="J700" s="5" t="e">
        <f>VLOOKUP($A700,tropes!$A$4:$O$2428,10,FALSE)</f>
        <v>#N/A</v>
      </c>
      <c r="K700" s="5" t="e">
        <f>VLOOKUP($A700,tropes!$A$4:$O$2428,11,FALSE)</f>
        <v>#N/A</v>
      </c>
      <c r="L700" s="5" t="e">
        <f>VLOOKUP($A700,tropes!$A$4:$O$2428,12,FALSE)</f>
        <v>#N/A</v>
      </c>
      <c r="M700" s="5" t="e">
        <f>VLOOKUP($A700,tropes!$A$4:$O$2428,13,FALSE)</f>
        <v>#N/A</v>
      </c>
      <c r="N700" s="5"/>
    </row>
    <row r="701" spans="1:14" x14ac:dyDescent="0.3">
      <c r="A701" s="14"/>
      <c r="B701" s="5" t="e">
        <f>VLOOKUP($A701,tropes!$A$4:$O$2428,2,FALSE)</f>
        <v>#N/A</v>
      </c>
      <c r="C701" s="5" t="e">
        <f>VLOOKUP($A701,tropes!$A$4:$O$2428,3,FALSE)</f>
        <v>#N/A</v>
      </c>
      <c r="D701" s="5" t="e">
        <f>VLOOKUP($A701,tropes!$A$4:$O$2428,4,FALSE)</f>
        <v>#N/A</v>
      </c>
      <c r="E701" s="5" t="e">
        <f>VLOOKUP($A701,tropes!$A$4:$O$2428,5,FALSE)</f>
        <v>#N/A</v>
      </c>
      <c r="F701" s="5" t="e">
        <f>VLOOKUP($A701,tropes!$A$4:$O$2428,6,FALSE)</f>
        <v>#N/A</v>
      </c>
      <c r="G701" s="5" t="e">
        <f>VLOOKUP($A701,tropes!$A$4:$O$2428,7,FALSE)</f>
        <v>#N/A</v>
      </c>
      <c r="H701" s="5" t="e">
        <f>VLOOKUP($A701,tropes!$A$4:$O$2428,8,FALSE)</f>
        <v>#N/A</v>
      </c>
      <c r="I701" s="5" t="e">
        <f>VLOOKUP($A701,tropes!$A$4:$O$2428,9,FALSE)</f>
        <v>#N/A</v>
      </c>
      <c r="J701" s="5" t="e">
        <f>VLOOKUP($A701,tropes!$A$4:$O$2428,10,FALSE)</f>
        <v>#N/A</v>
      </c>
      <c r="K701" s="5" t="e">
        <f>VLOOKUP($A701,tropes!$A$4:$O$2428,11,FALSE)</f>
        <v>#N/A</v>
      </c>
      <c r="L701" s="5" t="e">
        <f>VLOOKUP($A701,tropes!$A$4:$O$2428,12,FALSE)</f>
        <v>#N/A</v>
      </c>
      <c r="M701" s="5" t="e">
        <f>VLOOKUP($A701,tropes!$A$4:$O$2428,13,FALSE)</f>
        <v>#N/A</v>
      </c>
      <c r="N701" s="5"/>
    </row>
    <row r="702" spans="1:14" x14ac:dyDescent="0.3">
      <c r="A702" s="14"/>
      <c r="B702" s="5" t="e">
        <f>VLOOKUP($A702,tropes!$A$4:$O$2428,2,FALSE)</f>
        <v>#N/A</v>
      </c>
      <c r="C702" s="5" t="e">
        <f>VLOOKUP($A702,tropes!$A$4:$O$2428,3,FALSE)</f>
        <v>#N/A</v>
      </c>
      <c r="D702" s="5" t="e">
        <f>VLOOKUP($A702,tropes!$A$4:$O$2428,4,FALSE)</f>
        <v>#N/A</v>
      </c>
      <c r="E702" s="5" t="e">
        <f>VLOOKUP($A702,tropes!$A$4:$O$2428,5,FALSE)</f>
        <v>#N/A</v>
      </c>
      <c r="F702" s="5" t="e">
        <f>VLOOKUP($A702,tropes!$A$4:$O$2428,6,FALSE)</f>
        <v>#N/A</v>
      </c>
      <c r="G702" s="5" t="e">
        <f>VLOOKUP($A702,tropes!$A$4:$O$2428,7,FALSE)</f>
        <v>#N/A</v>
      </c>
      <c r="H702" s="5" t="e">
        <f>VLOOKUP($A702,tropes!$A$4:$O$2428,8,FALSE)</f>
        <v>#N/A</v>
      </c>
      <c r="I702" s="5" t="e">
        <f>VLOOKUP($A702,tropes!$A$4:$O$2428,9,FALSE)</f>
        <v>#N/A</v>
      </c>
      <c r="J702" s="5" t="e">
        <f>VLOOKUP($A702,tropes!$A$4:$O$2428,10,FALSE)</f>
        <v>#N/A</v>
      </c>
      <c r="K702" s="5" t="e">
        <f>VLOOKUP($A702,tropes!$A$4:$O$2428,11,FALSE)</f>
        <v>#N/A</v>
      </c>
      <c r="L702" s="5" t="e">
        <f>VLOOKUP($A702,tropes!$A$4:$O$2428,12,FALSE)</f>
        <v>#N/A</v>
      </c>
      <c r="M702" s="5" t="e">
        <f>VLOOKUP($A702,tropes!$A$4:$O$2428,13,FALSE)</f>
        <v>#N/A</v>
      </c>
      <c r="N702" s="5"/>
    </row>
    <row r="703" spans="1:14" x14ac:dyDescent="0.3">
      <c r="A703" s="14"/>
      <c r="B703" s="5" t="e">
        <f>VLOOKUP($A703,tropes!$A$4:$O$2428,2,FALSE)</f>
        <v>#N/A</v>
      </c>
      <c r="C703" s="5" t="e">
        <f>VLOOKUP($A703,tropes!$A$4:$O$2428,3,FALSE)</f>
        <v>#N/A</v>
      </c>
      <c r="D703" s="5" t="e">
        <f>VLOOKUP($A703,tropes!$A$4:$O$2428,4,FALSE)</f>
        <v>#N/A</v>
      </c>
      <c r="E703" s="5" t="e">
        <f>VLOOKUP($A703,tropes!$A$4:$O$2428,5,FALSE)</f>
        <v>#N/A</v>
      </c>
      <c r="F703" s="5" t="e">
        <f>VLOOKUP($A703,tropes!$A$4:$O$2428,6,FALSE)</f>
        <v>#N/A</v>
      </c>
      <c r="G703" s="5" t="e">
        <f>VLOOKUP($A703,tropes!$A$4:$O$2428,7,FALSE)</f>
        <v>#N/A</v>
      </c>
      <c r="H703" s="5" t="e">
        <f>VLOOKUP($A703,tropes!$A$4:$O$2428,8,FALSE)</f>
        <v>#N/A</v>
      </c>
      <c r="I703" s="5" t="e">
        <f>VLOOKUP($A703,tropes!$A$4:$O$2428,9,FALSE)</f>
        <v>#N/A</v>
      </c>
      <c r="J703" s="5" t="e">
        <f>VLOOKUP($A703,tropes!$A$4:$O$2428,10,FALSE)</f>
        <v>#N/A</v>
      </c>
      <c r="K703" s="5" t="e">
        <f>VLOOKUP($A703,tropes!$A$4:$O$2428,11,FALSE)</f>
        <v>#N/A</v>
      </c>
      <c r="L703" s="5" t="e">
        <f>VLOOKUP($A703,tropes!$A$4:$O$2428,12,FALSE)</f>
        <v>#N/A</v>
      </c>
      <c r="M703" s="5" t="e">
        <f>VLOOKUP($A703,tropes!$A$4:$O$2428,13,FALSE)</f>
        <v>#N/A</v>
      </c>
      <c r="N703" s="5"/>
    </row>
    <row r="704" spans="1:14" x14ac:dyDescent="0.3">
      <c r="A704" s="14"/>
      <c r="B704" s="5" t="e">
        <f>VLOOKUP($A704,tropes!$A$4:$O$2428,2,FALSE)</f>
        <v>#N/A</v>
      </c>
      <c r="C704" s="5" t="e">
        <f>VLOOKUP($A704,tropes!$A$4:$O$2428,3,FALSE)</f>
        <v>#N/A</v>
      </c>
      <c r="D704" s="5" t="e">
        <f>VLOOKUP($A704,tropes!$A$4:$O$2428,4,FALSE)</f>
        <v>#N/A</v>
      </c>
      <c r="E704" s="5" t="e">
        <f>VLOOKUP($A704,tropes!$A$4:$O$2428,5,FALSE)</f>
        <v>#N/A</v>
      </c>
      <c r="F704" s="5" t="e">
        <f>VLOOKUP($A704,tropes!$A$4:$O$2428,6,FALSE)</f>
        <v>#N/A</v>
      </c>
      <c r="G704" s="5" t="e">
        <f>VLOOKUP($A704,tropes!$A$4:$O$2428,7,FALSE)</f>
        <v>#N/A</v>
      </c>
      <c r="H704" s="5" t="e">
        <f>VLOOKUP($A704,tropes!$A$4:$O$2428,8,FALSE)</f>
        <v>#N/A</v>
      </c>
      <c r="I704" s="5" t="e">
        <f>VLOOKUP($A704,tropes!$A$4:$O$2428,9,FALSE)</f>
        <v>#N/A</v>
      </c>
      <c r="J704" s="5" t="e">
        <f>VLOOKUP($A704,tropes!$A$4:$O$2428,10,FALSE)</f>
        <v>#N/A</v>
      </c>
      <c r="K704" s="5" t="e">
        <f>VLOOKUP($A704,tropes!$A$4:$O$2428,11,FALSE)</f>
        <v>#N/A</v>
      </c>
      <c r="L704" s="5" t="e">
        <f>VLOOKUP($A704,tropes!$A$4:$O$2428,12,FALSE)</f>
        <v>#N/A</v>
      </c>
      <c r="M704" s="5" t="e">
        <f>VLOOKUP($A704,tropes!$A$4:$O$2428,13,FALSE)</f>
        <v>#N/A</v>
      </c>
      <c r="N704" s="5"/>
    </row>
    <row r="705" spans="1:14" x14ac:dyDescent="0.3">
      <c r="A705" s="14"/>
      <c r="B705" s="5" t="e">
        <f>VLOOKUP($A705,tropes!$A$4:$O$2428,2,FALSE)</f>
        <v>#N/A</v>
      </c>
      <c r="C705" s="5" t="e">
        <f>VLOOKUP($A705,tropes!$A$4:$O$2428,3,FALSE)</f>
        <v>#N/A</v>
      </c>
      <c r="D705" s="5" t="e">
        <f>VLOOKUP($A705,tropes!$A$4:$O$2428,4,FALSE)</f>
        <v>#N/A</v>
      </c>
      <c r="E705" s="5" t="e">
        <f>VLOOKUP($A705,tropes!$A$4:$O$2428,5,FALSE)</f>
        <v>#N/A</v>
      </c>
      <c r="F705" s="5" t="e">
        <f>VLOOKUP($A705,tropes!$A$4:$O$2428,6,FALSE)</f>
        <v>#N/A</v>
      </c>
      <c r="G705" s="5" t="e">
        <f>VLOOKUP($A705,tropes!$A$4:$O$2428,7,FALSE)</f>
        <v>#N/A</v>
      </c>
      <c r="H705" s="5" t="e">
        <f>VLOOKUP($A705,tropes!$A$4:$O$2428,8,FALSE)</f>
        <v>#N/A</v>
      </c>
      <c r="I705" s="5" t="e">
        <f>VLOOKUP($A705,tropes!$A$4:$O$2428,9,FALSE)</f>
        <v>#N/A</v>
      </c>
      <c r="J705" s="5" t="e">
        <f>VLOOKUP($A705,tropes!$A$4:$O$2428,10,FALSE)</f>
        <v>#N/A</v>
      </c>
      <c r="K705" s="5" t="e">
        <f>VLOOKUP($A705,tropes!$A$4:$O$2428,11,FALSE)</f>
        <v>#N/A</v>
      </c>
      <c r="L705" s="5" t="e">
        <f>VLOOKUP($A705,tropes!$A$4:$O$2428,12,FALSE)</f>
        <v>#N/A</v>
      </c>
      <c r="M705" s="5" t="e">
        <f>VLOOKUP($A705,tropes!$A$4:$O$2428,13,FALSE)</f>
        <v>#N/A</v>
      </c>
      <c r="N705" s="5"/>
    </row>
    <row r="706" spans="1:14" x14ac:dyDescent="0.3">
      <c r="A706" s="14"/>
      <c r="B706" s="5" t="e">
        <f>VLOOKUP($A706,tropes!$A$4:$O$2428,2,FALSE)</f>
        <v>#N/A</v>
      </c>
      <c r="C706" s="5" t="e">
        <f>VLOOKUP($A706,tropes!$A$4:$O$2428,3,FALSE)</f>
        <v>#N/A</v>
      </c>
      <c r="D706" s="5" t="e">
        <f>VLOOKUP($A706,tropes!$A$4:$O$2428,4,FALSE)</f>
        <v>#N/A</v>
      </c>
      <c r="E706" s="5" t="e">
        <f>VLOOKUP($A706,tropes!$A$4:$O$2428,5,FALSE)</f>
        <v>#N/A</v>
      </c>
      <c r="F706" s="5" t="e">
        <f>VLOOKUP($A706,tropes!$A$4:$O$2428,6,FALSE)</f>
        <v>#N/A</v>
      </c>
      <c r="G706" s="5" t="e">
        <f>VLOOKUP($A706,tropes!$A$4:$O$2428,7,FALSE)</f>
        <v>#N/A</v>
      </c>
      <c r="H706" s="5" t="e">
        <f>VLOOKUP($A706,tropes!$A$4:$O$2428,8,FALSE)</f>
        <v>#N/A</v>
      </c>
      <c r="I706" s="5" t="e">
        <f>VLOOKUP($A706,tropes!$A$4:$O$2428,9,FALSE)</f>
        <v>#N/A</v>
      </c>
      <c r="J706" s="5" t="e">
        <f>VLOOKUP($A706,tropes!$A$4:$O$2428,10,FALSE)</f>
        <v>#N/A</v>
      </c>
      <c r="K706" s="5" t="e">
        <f>VLOOKUP($A706,tropes!$A$4:$O$2428,11,FALSE)</f>
        <v>#N/A</v>
      </c>
      <c r="L706" s="5" t="e">
        <f>VLOOKUP($A706,tropes!$A$4:$O$2428,12,FALSE)</f>
        <v>#N/A</v>
      </c>
      <c r="M706" s="5" t="e">
        <f>VLOOKUP($A706,tropes!$A$4:$O$2428,13,FALSE)</f>
        <v>#N/A</v>
      </c>
      <c r="N706" s="5"/>
    </row>
    <row r="707" spans="1:14" x14ac:dyDescent="0.3">
      <c r="A707" s="14"/>
      <c r="B707" s="5" t="e">
        <f>VLOOKUP($A707,tropes!$A$4:$O$2428,2,FALSE)</f>
        <v>#N/A</v>
      </c>
      <c r="C707" s="5" t="e">
        <f>VLOOKUP($A707,tropes!$A$4:$O$2428,3,FALSE)</f>
        <v>#N/A</v>
      </c>
      <c r="D707" s="5" t="e">
        <f>VLOOKUP($A707,tropes!$A$4:$O$2428,4,FALSE)</f>
        <v>#N/A</v>
      </c>
      <c r="E707" s="5" t="e">
        <f>VLOOKUP($A707,tropes!$A$4:$O$2428,5,FALSE)</f>
        <v>#N/A</v>
      </c>
      <c r="F707" s="5" t="e">
        <f>VLOOKUP($A707,tropes!$A$4:$O$2428,6,FALSE)</f>
        <v>#N/A</v>
      </c>
      <c r="G707" s="5" t="e">
        <f>VLOOKUP($A707,tropes!$A$4:$O$2428,7,FALSE)</f>
        <v>#N/A</v>
      </c>
      <c r="H707" s="5" t="e">
        <f>VLOOKUP($A707,tropes!$A$4:$O$2428,8,FALSE)</f>
        <v>#N/A</v>
      </c>
      <c r="I707" s="5" t="e">
        <f>VLOOKUP($A707,tropes!$A$4:$O$2428,9,FALSE)</f>
        <v>#N/A</v>
      </c>
      <c r="J707" s="5" t="e">
        <f>VLOOKUP($A707,tropes!$A$4:$O$2428,10,FALSE)</f>
        <v>#N/A</v>
      </c>
      <c r="K707" s="5" t="e">
        <f>VLOOKUP($A707,tropes!$A$4:$O$2428,11,FALSE)</f>
        <v>#N/A</v>
      </c>
      <c r="L707" s="5" t="e">
        <f>VLOOKUP($A707,tropes!$A$4:$O$2428,12,FALSE)</f>
        <v>#N/A</v>
      </c>
      <c r="M707" s="5" t="e">
        <f>VLOOKUP($A707,tropes!$A$4:$O$2428,13,FALSE)</f>
        <v>#N/A</v>
      </c>
      <c r="N707" s="5"/>
    </row>
    <row r="708" spans="1:14" x14ac:dyDescent="0.3">
      <c r="A708" s="14"/>
      <c r="B708" s="5" t="e">
        <f>VLOOKUP($A708,tropes!$A$4:$O$2428,2,FALSE)</f>
        <v>#N/A</v>
      </c>
      <c r="C708" s="5" t="e">
        <f>VLOOKUP($A708,tropes!$A$4:$O$2428,3,FALSE)</f>
        <v>#N/A</v>
      </c>
      <c r="D708" s="5" t="e">
        <f>VLOOKUP($A708,tropes!$A$4:$O$2428,4,FALSE)</f>
        <v>#N/A</v>
      </c>
      <c r="E708" s="5" t="e">
        <f>VLOOKUP($A708,tropes!$A$4:$O$2428,5,FALSE)</f>
        <v>#N/A</v>
      </c>
      <c r="F708" s="5" t="e">
        <f>VLOOKUP($A708,tropes!$A$4:$O$2428,6,FALSE)</f>
        <v>#N/A</v>
      </c>
      <c r="G708" s="5" t="e">
        <f>VLOOKUP($A708,tropes!$A$4:$O$2428,7,FALSE)</f>
        <v>#N/A</v>
      </c>
      <c r="H708" s="5" t="e">
        <f>VLOOKUP($A708,tropes!$A$4:$O$2428,8,FALSE)</f>
        <v>#N/A</v>
      </c>
      <c r="I708" s="5" t="e">
        <f>VLOOKUP($A708,tropes!$A$4:$O$2428,9,FALSE)</f>
        <v>#N/A</v>
      </c>
      <c r="J708" s="5" t="e">
        <f>VLOOKUP($A708,tropes!$A$4:$O$2428,10,FALSE)</f>
        <v>#N/A</v>
      </c>
      <c r="K708" s="5" t="e">
        <f>VLOOKUP($A708,tropes!$A$4:$O$2428,11,FALSE)</f>
        <v>#N/A</v>
      </c>
      <c r="L708" s="5" t="e">
        <f>VLOOKUP($A708,tropes!$A$4:$O$2428,12,FALSE)</f>
        <v>#N/A</v>
      </c>
      <c r="M708" s="5" t="e">
        <f>VLOOKUP($A708,tropes!$A$4:$O$2428,13,FALSE)</f>
        <v>#N/A</v>
      </c>
      <c r="N708" s="5"/>
    </row>
    <row r="709" spans="1:14" x14ac:dyDescent="0.3">
      <c r="A709" s="14"/>
      <c r="B709" s="5" t="e">
        <f>VLOOKUP($A709,tropes!$A$4:$O$2428,2,FALSE)</f>
        <v>#N/A</v>
      </c>
      <c r="C709" s="5" t="e">
        <f>VLOOKUP($A709,tropes!$A$4:$O$2428,3,FALSE)</f>
        <v>#N/A</v>
      </c>
      <c r="D709" s="5" t="e">
        <f>VLOOKUP($A709,tropes!$A$4:$O$2428,4,FALSE)</f>
        <v>#N/A</v>
      </c>
      <c r="E709" s="5" t="e">
        <f>VLOOKUP($A709,tropes!$A$4:$O$2428,5,FALSE)</f>
        <v>#N/A</v>
      </c>
      <c r="F709" s="5" t="e">
        <f>VLOOKUP($A709,tropes!$A$4:$O$2428,6,FALSE)</f>
        <v>#N/A</v>
      </c>
      <c r="G709" s="5" t="e">
        <f>VLOOKUP($A709,tropes!$A$4:$O$2428,7,FALSE)</f>
        <v>#N/A</v>
      </c>
      <c r="H709" s="5" t="e">
        <f>VLOOKUP($A709,tropes!$A$4:$O$2428,8,FALSE)</f>
        <v>#N/A</v>
      </c>
      <c r="I709" s="5" t="e">
        <f>VLOOKUP($A709,tropes!$A$4:$O$2428,9,FALSE)</f>
        <v>#N/A</v>
      </c>
      <c r="J709" s="5" t="e">
        <f>VLOOKUP($A709,tropes!$A$4:$O$2428,10,FALSE)</f>
        <v>#N/A</v>
      </c>
      <c r="K709" s="5" t="e">
        <f>VLOOKUP($A709,tropes!$A$4:$O$2428,11,FALSE)</f>
        <v>#N/A</v>
      </c>
      <c r="L709" s="5" t="e">
        <f>VLOOKUP($A709,tropes!$A$4:$O$2428,12,FALSE)</f>
        <v>#N/A</v>
      </c>
      <c r="M709" s="5" t="e">
        <f>VLOOKUP($A709,tropes!$A$4:$O$2428,13,FALSE)</f>
        <v>#N/A</v>
      </c>
      <c r="N709" s="5"/>
    </row>
    <row r="710" spans="1:14" x14ac:dyDescent="0.3">
      <c r="A710" s="14"/>
      <c r="B710" s="5" t="e">
        <f>VLOOKUP($A710,tropes!$A$4:$O$2428,2,FALSE)</f>
        <v>#N/A</v>
      </c>
      <c r="C710" s="5" t="e">
        <f>VLOOKUP($A710,tropes!$A$4:$O$2428,3,FALSE)</f>
        <v>#N/A</v>
      </c>
      <c r="D710" s="5" t="e">
        <f>VLOOKUP($A710,tropes!$A$4:$O$2428,4,FALSE)</f>
        <v>#N/A</v>
      </c>
      <c r="E710" s="5" t="e">
        <f>VLOOKUP($A710,tropes!$A$4:$O$2428,5,FALSE)</f>
        <v>#N/A</v>
      </c>
      <c r="F710" s="5" t="e">
        <f>VLOOKUP($A710,tropes!$A$4:$O$2428,6,FALSE)</f>
        <v>#N/A</v>
      </c>
      <c r="G710" s="5" t="e">
        <f>VLOOKUP($A710,tropes!$A$4:$O$2428,7,FALSE)</f>
        <v>#N/A</v>
      </c>
      <c r="H710" s="5" t="e">
        <f>VLOOKUP($A710,tropes!$A$4:$O$2428,8,FALSE)</f>
        <v>#N/A</v>
      </c>
      <c r="I710" s="5" t="e">
        <f>VLOOKUP($A710,tropes!$A$4:$O$2428,9,FALSE)</f>
        <v>#N/A</v>
      </c>
      <c r="J710" s="5" t="e">
        <f>VLOOKUP($A710,tropes!$A$4:$O$2428,10,FALSE)</f>
        <v>#N/A</v>
      </c>
      <c r="K710" s="5" t="e">
        <f>VLOOKUP($A710,tropes!$A$4:$O$2428,11,FALSE)</f>
        <v>#N/A</v>
      </c>
      <c r="L710" s="5" t="e">
        <f>VLOOKUP($A710,tropes!$A$4:$O$2428,12,FALSE)</f>
        <v>#N/A</v>
      </c>
      <c r="M710" s="5" t="e">
        <f>VLOOKUP($A710,tropes!$A$4:$O$2428,13,FALSE)</f>
        <v>#N/A</v>
      </c>
      <c r="N710" s="5"/>
    </row>
    <row r="711" spans="1:14" x14ac:dyDescent="0.3">
      <c r="A711" s="14"/>
      <c r="B711" s="5" t="e">
        <f>VLOOKUP($A711,tropes!$A$4:$O$2428,2,FALSE)</f>
        <v>#N/A</v>
      </c>
      <c r="C711" s="5" t="e">
        <f>VLOOKUP($A711,tropes!$A$4:$O$2428,3,FALSE)</f>
        <v>#N/A</v>
      </c>
      <c r="D711" s="5" t="e">
        <f>VLOOKUP($A711,tropes!$A$4:$O$2428,4,FALSE)</f>
        <v>#N/A</v>
      </c>
      <c r="E711" s="5" t="e">
        <f>VLOOKUP($A711,tropes!$A$4:$O$2428,5,FALSE)</f>
        <v>#N/A</v>
      </c>
      <c r="F711" s="5" t="e">
        <f>VLOOKUP($A711,tropes!$A$4:$O$2428,6,FALSE)</f>
        <v>#N/A</v>
      </c>
      <c r="G711" s="5" t="e">
        <f>VLOOKUP($A711,tropes!$A$4:$O$2428,7,FALSE)</f>
        <v>#N/A</v>
      </c>
      <c r="H711" s="5" t="e">
        <f>VLOOKUP($A711,tropes!$A$4:$O$2428,8,FALSE)</f>
        <v>#N/A</v>
      </c>
      <c r="I711" s="5" t="e">
        <f>VLOOKUP($A711,tropes!$A$4:$O$2428,9,FALSE)</f>
        <v>#N/A</v>
      </c>
      <c r="J711" s="5" t="e">
        <f>VLOOKUP($A711,tropes!$A$4:$O$2428,10,FALSE)</f>
        <v>#N/A</v>
      </c>
      <c r="K711" s="5" t="e">
        <f>VLOOKUP($A711,tropes!$A$4:$O$2428,11,FALSE)</f>
        <v>#N/A</v>
      </c>
      <c r="L711" s="5" t="e">
        <f>VLOOKUP($A711,tropes!$A$4:$O$2428,12,FALSE)</f>
        <v>#N/A</v>
      </c>
      <c r="M711" s="5" t="e">
        <f>VLOOKUP($A711,tropes!$A$4:$O$2428,13,FALSE)</f>
        <v>#N/A</v>
      </c>
      <c r="N711" s="5"/>
    </row>
    <row r="712" spans="1:14" x14ac:dyDescent="0.3">
      <c r="A712" s="14"/>
      <c r="B712" s="5" t="e">
        <f>VLOOKUP($A712,tropes!$A$4:$O$2428,2,FALSE)</f>
        <v>#N/A</v>
      </c>
      <c r="C712" s="5" t="e">
        <f>VLOOKUP($A712,tropes!$A$4:$O$2428,3,FALSE)</f>
        <v>#N/A</v>
      </c>
      <c r="D712" s="5" t="e">
        <f>VLOOKUP($A712,tropes!$A$4:$O$2428,4,FALSE)</f>
        <v>#N/A</v>
      </c>
      <c r="E712" s="5" t="e">
        <f>VLOOKUP($A712,tropes!$A$4:$O$2428,5,FALSE)</f>
        <v>#N/A</v>
      </c>
      <c r="F712" s="5" t="e">
        <f>VLOOKUP($A712,tropes!$A$4:$O$2428,6,FALSE)</f>
        <v>#N/A</v>
      </c>
      <c r="G712" s="5" t="e">
        <f>VLOOKUP($A712,tropes!$A$4:$O$2428,7,FALSE)</f>
        <v>#N/A</v>
      </c>
      <c r="H712" s="5" t="e">
        <f>VLOOKUP($A712,tropes!$A$4:$O$2428,8,FALSE)</f>
        <v>#N/A</v>
      </c>
      <c r="I712" s="5" t="e">
        <f>VLOOKUP($A712,tropes!$A$4:$O$2428,9,FALSE)</f>
        <v>#N/A</v>
      </c>
      <c r="J712" s="5" t="e">
        <f>VLOOKUP($A712,tropes!$A$4:$O$2428,10,FALSE)</f>
        <v>#N/A</v>
      </c>
      <c r="K712" s="5" t="e">
        <f>VLOOKUP($A712,tropes!$A$4:$O$2428,11,FALSE)</f>
        <v>#N/A</v>
      </c>
      <c r="L712" s="5" t="e">
        <f>VLOOKUP($A712,tropes!$A$4:$O$2428,12,FALSE)</f>
        <v>#N/A</v>
      </c>
      <c r="M712" s="5" t="e">
        <f>VLOOKUP($A712,tropes!$A$4:$O$2428,13,FALSE)</f>
        <v>#N/A</v>
      </c>
      <c r="N712" s="5"/>
    </row>
    <row r="713" spans="1:14" x14ac:dyDescent="0.3">
      <c r="A713" s="14"/>
      <c r="B713" s="5" t="e">
        <f>VLOOKUP($A713,tropes!$A$4:$O$2428,2,FALSE)</f>
        <v>#N/A</v>
      </c>
      <c r="C713" s="5" t="e">
        <f>VLOOKUP($A713,tropes!$A$4:$O$2428,3,FALSE)</f>
        <v>#N/A</v>
      </c>
      <c r="D713" s="5" t="e">
        <f>VLOOKUP($A713,tropes!$A$4:$O$2428,4,FALSE)</f>
        <v>#N/A</v>
      </c>
      <c r="E713" s="5" t="e">
        <f>VLOOKUP($A713,tropes!$A$4:$O$2428,5,FALSE)</f>
        <v>#N/A</v>
      </c>
      <c r="F713" s="5" t="e">
        <f>VLOOKUP($A713,tropes!$A$4:$O$2428,6,FALSE)</f>
        <v>#N/A</v>
      </c>
      <c r="G713" s="5" t="e">
        <f>VLOOKUP($A713,tropes!$A$4:$O$2428,7,FALSE)</f>
        <v>#N/A</v>
      </c>
      <c r="H713" s="5" t="e">
        <f>VLOOKUP($A713,tropes!$A$4:$O$2428,8,FALSE)</f>
        <v>#N/A</v>
      </c>
      <c r="I713" s="5" t="e">
        <f>VLOOKUP($A713,tropes!$A$4:$O$2428,9,FALSE)</f>
        <v>#N/A</v>
      </c>
      <c r="J713" s="5" t="e">
        <f>VLOOKUP($A713,tropes!$A$4:$O$2428,10,FALSE)</f>
        <v>#N/A</v>
      </c>
      <c r="K713" s="5" t="e">
        <f>VLOOKUP($A713,tropes!$A$4:$O$2428,11,FALSE)</f>
        <v>#N/A</v>
      </c>
      <c r="L713" s="5" t="e">
        <f>VLOOKUP($A713,tropes!$A$4:$O$2428,12,FALSE)</f>
        <v>#N/A</v>
      </c>
      <c r="M713" s="5" t="e">
        <f>VLOOKUP($A713,tropes!$A$4:$O$2428,13,FALSE)</f>
        <v>#N/A</v>
      </c>
      <c r="N713" s="5"/>
    </row>
    <row r="714" spans="1:14" x14ac:dyDescent="0.3">
      <c r="A714" s="14"/>
      <c r="B714" s="5" t="e">
        <f>VLOOKUP($A714,tropes!$A$4:$O$2428,2,FALSE)</f>
        <v>#N/A</v>
      </c>
      <c r="C714" s="5" t="e">
        <f>VLOOKUP($A714,tropes!$A$4:$O$2428,3,FALSE)</f>
        <v>#N/A</v>
      </c>
      <c r="D714" s="5" t="e">
        <f>VLOOKUP($A714,tropes!$A$4:$O$2428,4,FALSE)</f>
        <v>#N/A</v>
      </c>
      <c r="E714" s="5" t="e">
        <f>VLOOKUP($A714,tropes!$A$4:$O$2428,5,FALSE)</f>
        <v>#N/A</v>
      </c>
      <c r="F714" s="5" t="e">
        <f>VLOOKUP($A714,tropes!$A$4:$O$2428,6,FALSE)</f>
        <v>#N/A</v>
      </c>
      <c r="G714" s="5" t="e">
        <f>VLOOKUP($A714,tropes!$A$4:$O$2428,7,FALSE)</f>
        <v>#N/A</v>
      </c>
      <c r="H714" s="5" t="e">
        <f>VLOOKUP($A714,tropes!$A$4:$O$2428,8,FALSE)</f>
        <v>#N/A</v>
      </c>
      <c r="I714" s="5" t="e">
        <f>VLOOKUP($A714,tropes!$A$4:$O$2428,9,FALSE)</f>
        <v>#N/A</v>
      </c>
      <c r="J714" s="5" t="e">
        <f>VLOOKUP($A714,tropes!$A$4:$O$2428,10,FALSE)</f>
        <v>#N/A</v>
      </c>
      <c r="K714" s="5" t="e">
        <f>VLOOKUP($A714,tropes!$A$4:$O$2428,11,FALSE)</f>
        <v>#N/A</v>
      </c>
      <c r="L714" s="5" t="e">
        <f>VLOOKUP($A714,tropes!$A$4:$O$2428,12,FALSE)</f>
        <v>#N/A</v>
      </c>
      <c r="M714" s="5" t="e">
        <f>VLOOKUP($A714,tropes!$A$4:$O$2428,13,FALSE)</f>
        <v>#N/A</v>
      </c>
      <c r="N714" s="5"/>
    </row>
    <row r="715" spans="1:14" x14ac:dyDescent="0.3">
      <c r="A715" s="14"/>
      <c r="B715" s="5" t="e">
        <f>VLOOKUP($A715,tropes!$A$4:$O$2428,2,FALSE)</f>
        <v>#N/A</v>
      </c>
      <c r="C715" s="5" t="e">
        <f>VLOOKUP($A715,tropes!$A$4:$O$2428,3,FALSE)</f>
        <v>#N/A</v>
      </c>
      <c r="D715" s="5" t="e">
        <f>VLOOKUP($A715,tropes!$A$4:$O$2428,4,FALSE)</f>
        <v>#N/A</v>
      </c>
      <c r="E715" s="5" t="e">
        <f>VLOOKUP($A715,tropes!$A$4:$O$2428,5,FALSE)</f>
        <v>#N/A</v>
      </c>
      <c r="F715" s="5" t="e">
        <f>VLOOKUP($A715,tropes!$A$4:$O$2428,6,FALSE)</f>
        <v>#N/A</v>
      </c>
      <c r="G715" s="5" t="e">
        <f>VLOOKUP($A715,tropes!$A$4:$O$2428,7,FALSE)</f>
        <v>#N/A</v>
      </c>
      <c r="H715" s="5" t="e">
        <f>VLOOKUP($A715,tropes!$A$4:$O$2428,8,FALSE)</f>
        <v>#N/A</v>
      </c>
      <c r="I715" s="5" t="e">
        <f>VLOOKUP($A715,tropes!$A$4:$O$2428,9,FALSE)</f>
        <v>#N/A</v>
      </c>
      <c r="J715" s="5" t="e">
        <f>VLOOKUP($A715,tropes!$A$4:$O$2428,10,FALSE)</f>
        <v>#N/A</v>
      </c>
      <c r="K715" s="5" t="e">
        <f>VLOOKUP($A715,tropes!$A$4:$O$2428,11,FALSE)</f>
        <v>#N/A</v>
      </c>
      <c r="L715" s="5" t="e">
        <f>VLOOKUP($A715,tropes!$A$4:$O$2428,12,FALSE)</f>
        <v>#N/A</v>
      </c>
      <c r="M715" s="5" t="e">
        <f>VLOOKUP($A715,tropes!$A$4:$O$2428,13,FALSE)</f>
        <v>#N/A</v>
      </c>
      <c r="N715" s="5"/>
    </row>
    <row r="716" spans="1:14" x14ac:dyDescent="0.3">
      <c r="A716" s="14"/>
      <c r="B716" s="5" t="e">
        <f>VLOOKUP($A716,tropes!$A$4:$O$2428,2,FALSE)</f>
        <v>#N/A</v>
      </c>
      <c r="C716" s="5" t="e">
        <f>VLOOKUP($A716,tropes!$A$4:$O$2428,3,FALSE)</f>
        <v>#N/A</v>
      </c>
      <c r="D716" s="5" t="e">
        <f>VLOOKUP($A716,tropes!$A$4:$O$2428,4,FALSE)</f>
        <v>#N/A</v>
      </c>
      <c r="E716" s="5" t="e">
        <f>VLOOKUP($A716,tropes!$A$4:$O$2428,5,FALSE)</f>
        <v>#N/A</v>
      </c>
      <c r="F716" s="5" t="e">
        <f>VLOOKUP($A716,tropes!$A$4:$O$2428,6,FALSE)</f>
        <v>#N/A</v>
      </c>
      <c r="G716" s="5" t="e">
        <f>VLOOKUP($A716,tropes!$A$4:$O$2428,7,FALSE)</f>
        <v>#N/A</v>
      </c>
      <c r="H716" s="5" t="e">
        <f>VLOOKUP($A716,tropes!$A$4:$O$2428,8,FALSE)</f>
        <v>#N/A</v>
      </c>
      <c r="I716" s="5" t="e">
        <f>VLOOKUP($A716,tropes!$A$4:$O$2428,9,FALSE)</f>
        <v>#N/A</v>
      </c>
      <c r="J716" s="5" t="e">
        <f>VLOOKUP($A716,tropes!$A$4:$O$2428,10,FALSE)</f>
        <v>#N/A</v>
      </c>
      <c r="K716" s="5" t="e">
        <f>VLOOKUP($A716,tropes!$A$4:$O$2428,11,FALSE)</f>
        <v>#N/A</v>
      </c>
      <c r="L716" s="5" t="e">
        <f>VLOOKUP($A716,tropes!$A$4:$O$2428,12,FALSE)</f>
        <v>#N/A</v>
      </c>
      <c r="M716" s="5" t="e">
        <f>VLOOKUP($A716,tropes!$A$4:$O$2428,13,FALSE)</f>
        <v>#N/A</v>
      </c>
      <c r="N716" s="5"/>
    </row>
    <row r="717" spans="1:14" x14ac:dyDescent="0.3">
      <c r="A717" s="14"/>
      <c r="B717" s="5" t="e">
        <f>VLOOKUP($A717,tropes!$A$4:$O$2428,2,FALSE)</f>
        <v>#N/A</v>
      </c>
      <c r="C717" s="5" t="e">
        <f>VLOOKUP($A717,tropes!$A$4:$O$2428,3,FALSE)</f>
        <v>#N/A</v>
      </c>
      <c r="D717" s="5" t="e">
        <f>VLOOKUP($A717,tropes!$A$4:$O$2428,4,FALSE)</f>
        <v>#N/A</v>
      </c>
      <c r="E717" s="5" t="e">
        <f>VLOOKUP($A717,tropes!$A$4:$O$2428,5,FALSE)</f>
        <v>#N/A</v>
      </c>
      <c r="F717" s="5" t="e">
        <f>VLOOKUP($A717,tropes!$A$4:$O$2428,6,FALSE)</f>
        <v>#N/A</v>
      </c>
      <c r="G717" s="5" t="e">
        <f>VLOOKUP($A717,tropes!$A$4:$O$2428,7,FALSE)</f>
        <v>#N/A</v>
      </c>
      <c r="H717" s="5" t="e">
        <f>VLOOKUP($A717,tropes!$A$4:$O$2428,8,FALSE)</f>
        <v>#N/A</v>
      </c>
      <c r="I717" s="5" t="e">
        <f>VLOOKUP($A717,tropes!$A$4:$O$2428,9,FALSE)</f>
        <v>#N/A</v>
      </c>
      <c r="J717" s="5" t="e">
        <f>VLOOKUP($A717,tropes!$A$4:$O$2428,10,FALSE)</f>
        <v>#N/A</v>
      </c>
      <c r="K717" s="5" t="e">
        <f>VLOOKUP($A717,tropes!$A$4:$O$2428,11,FALSE)</f>
        <v>#N/A</v>
      </c>
      <c r="L717" s="5" t="e">
        <f>VLOOKUP($A717,tropes!$A$4:$O$2428,12,FALSE)</f>
        <v>#N/A</v>
      </c>
      <c r="M717" s="5" t="e">
        <f>VLOOKUP($A717,tropes!$A$4:$O$2428,13,FALSE)</f>
        <v>#N/A</v>
      </c>
      <c r="N717" s="5"/>
    </row>
    <row r="718" spans="1:14" x14ac:dyDescent="0.3">
      <c r="A718" s="14"/>
      <c r="B718" s="5" t="e">
        <f>VLOOKUP($A718,tropes!$A$4:$O$2428,2,FALSE)</f>
        <v>#N/A</v>
      </c>
      <c r="C718" s="5" t="e">
        <f>VLOOKUP($A718,tropes!$A$4:$O$2428,3,FALSE)</f>
        <v>#N/A</v>
      </c>
      <c r="D718" s="5" t="e">
        <f>VLOOKUP($A718,tropes!$A$4:$O$2428,4,FALSE)</f>
        <v>#N/A</v>
      </c>
      <c r="E718" s="5" t="e">
        <f>VLOOKUP($A718,tropes!$A$4:$O$2428,5,FALSE)</f>
        <v>#N/A</v>
      </c>
      <c r="F718" s="5" t="e">
        <f>VLOOKUP($A718,tropes!$A$4:$O$2428,6,FALSE)</f>
        <v>#N/A</v>
      </c>
      <c r="G718" s="5" t="e">
        <f>VLOOKUP($A718,tropes!$A$4:$O$2428,7,FALSE)</f>
        <v>#N/A</v>
      </c>
      <c r="H718" s="5" t="e">
        <f>VLOOKUP($A718,tropes!$A$4:$O$2428,8,FALSE)</f>
        <v>#N/A</v>
      </c>
      <c r="I718" s="5" t="e">
        <f>VLOOKUP($A718,tropes!$A$4:$O$2428,9,FALSE)</f>
        <v>#N/A</v>
      </c>
      <c r="J718" s="5" t="e">
        <f>VLOOKUP($A718,tropes!$A$4:$O$2428,10,FALSE)</f>
        <v>#N/A</v>
      </c>
      <c r="K718" s="5" t="e">
        <f>VLOOKUP($A718,tropes!$A$4:$O$2428,11,FALSE)</f>
        <v>#N/A</v>
      </c>
      <c r="L718" s="5" t="e">
        <f>VLOOKUP($A718,tropes!$A$4:$O$2428,12,FALSE)</f>
        <v>#N/A</v>
      </c>
      <c r="M718" s="5" t="e">
        <f>VLOOKUP($A718,tropes!$A$4:$O$2428,13,FALSE)</f>
        <v>#N/A</v>
      </c>
      <c r="N718" s="5"/>
    </row>
    <row r="719" spans="1:14" x14ac:dyDescent="0.3">
      <c r="A719" s="14"/>
      <c r="B719" s="5" t="e">
        <f>VLOOKUP($A719,tropes!$A$4:$O$2428,2,FALSE)</f>
        <v>#N/A</v>
      </c>
      <c r="C719" s="5" t="e">
        <f>VLOOKUP($A719,tropes!$A$4:$O$2428,3,FALSE)</f>
        <v>#N/A</v>
      </c>
      <c r="D719" s="5" t="e">
        <f>VLOOKUP($A719,tropes!$A$4:$O$2428,4,FALSE)</f>
        <v>#N/A</v>
      </c>
      <c r="E719" s="5" t="e">
        <f>VLOOKUP($A719,tropes!$A$4:$O$2428,5,FALSE)</f>
        <v>#N/A</v>
      </c>
      <c r="F719" s="5" t="e">
        <f>VLOOKUP($A719,tropes!$A$4:$O$2428,6,FALSE)</f>
        <v>#N/A</v>
      </c>
      <c r="G719" s="5" t="e">
        <f>VLOOKUP($A719,tropes!$A$4:$O$2428,7,FALSE)</f>
        <v>#N/A</v>
      </c>
      <c r="H719" s="5" t="e">
        <f>VLOOKUP($A719,tropes!$A$4:$O$2428,8,FALSE)</f>
        <v>#N/A</v>
      </c>
      <c r="I719" s="5" t="e">
        <f>VLOOKUP($A719,tropes!$A$4:$O$2428,9,FALSE)</f>
        <v>#N/A</v>
      </c>
      <c r="J719" s="5" t="e">
        <f>VLOOKUP($A719,tropes!$A$4:$O$2428,10,FALSE)</f>
        <v>#N/A</v>
      </c>
      <c r="K719" s="5" t="e">
        <f>VLOOKUP($A719,tropes!$A$4:$O$2428,11,FALSE)</f>
        <v>#N/A</v>
      </c>
      <c r="L719" s="5" t="e">
        <f>VLOOKUP($A719,tropes!$A$4:$O$2428,12,FALSE)</f>
        <v>#N/A</v>
      </c>
      <c r="M719" s="5" t="e">
        <f>VLOOKUP($A719,tropes!$A$4:$O$2428,13,FALSE)</f>
        <v>#N/A</v>
      </c>
      <c r="N719" s="5"/>
    </row>
    <row r="720" spans="1:14" x14ac:dyDescent="0.3">
      <c r="A720" s="14"/>
      <c r="B720" s="5" t="e">
        <f>VLOOKUP($A720,tropes!$A$4:$O$2428,2,FALSE)</f>
        <v>#N/A</v>
      </c>
      <c r="C720" s="5" t="e">
        <f>VLOOKUP($A720,tropes!$A$4:$O$2428,3,FALSE)</f>
        <v>#N/A</v>
      </c>
      <c r="D720" s="5" t="e">
        <f>VLOOKUP($A720,tropes!$A$4:$O$2428,4,FALSE)</f>
        <v>#N/A</v>
      </c>
      <c r="E720" s="5" t="e">
        <f>VLOOKUP($A720,tropes!$A$4:$O$2428,5,FALSE)</f>
        <v>#N/A</v>
      </c>
      <c r="F720" s="5" t="e">
        <f>VLOOKUP($A720,tropes!$A$4:$O$2428,6,FALSE)</f>
        <v>#N/A</v>
      </c>
      <c r="G720" s="5" t="e">
        <f>VLOOKUP($A720,tropes!$A$4:$O$2428,7,FALSE)</f>
        <v>#N/A</v>
      </c>
      <c r="H720" s="5" t="e">
        <f>VLOOKUP($A720,tropes!$A$4:$O$2428,8,FALSE)</f>
        <v>#N/A</v>
      </c>
      <c r="I720" s="5" t="e">
        <f>VLOOKUP($A720,tropes!$A$4:$O$2428,9,FALSE)</f>
        <v>#N/A</v>
      </c>
      <c r="J720" s="5" t="e">
        <f>VLOOKUP($A720,tropes!$A$4:$O$2428,10,FALSE)</f>
        <v>#N/A</v>
      </c>
      <c r="K720" s="5" t="e">
        <f>VLOOKUP($A720,tropes!$A$4:$O$2428,11,FALSE)</f>
        <v>#N/A</v>
      </c>
      <c r="L720" s="5" t="e">
        <f>VLOOKUP($A720,tropes!$A$4:$O$2428,12,FALSE)</f>
        <v>#N/A</v>
      </c>
      <c r="M720" s="5" t="e">
        <f>VLOOKUP($A720,tropes!$A$4:$O$2428,13,FALSE)</f>
        <v>#N/A</v>
      </c>
      <c r="N720" s="5"/>
    </row>
    <row r="721" spans="1:14" x14ac:dyDescent="0.3">
      <c r="A721" s="14"/>
      <c r="B721" s="5" t="e">
        <f>VLOOKUP($A721,tropes!$A$4:$O$2428,2,FALSE)</f>
        <v>#N/A</v>
      </c>
      <c r="C721" s="5" t="e">
        <f>VLOOKUP($A721,tropes!$A$4:$O$2428,3,FALSE)</f>
        <v>#N/A</v>
      </c>
      <c r="D721" s="5" t="e">
        <f>VLOOKUP($A721,tropes!$A$4:$O$2428,4,FALSE)</f>
        <v>#N/A</v>
      </c>
      <c r="E721" s="5" t="e">
        <f>VLOOKUP($A721,tropes!$A$4:$O$2428,5,FALSE)</f>
        <v>#N/A</v>
      </c>
      <c r="F721" s="5" t="e">
        <f>VLOOKUP($A721,tropes!$A$4:$O$2428,6,FALSE)</f>
        <v>#N/A</v>
      </c>
      <c r="G721" s="5" t="e">
        <f>VLOOKUP($A721,tropes!$A$4:$O$2428,7,FALSE)</f>
        <v>#N/A</v>
      </c>
      <c r="H721" s="5" t="e">
        <f>VLOOKUP($A721,tropes!$A$4:$O$2428,8,FALSE)</f>
        <v>#N/A</v>
      </c>
      <c r="I721" s="5" t="e">
        <f>VLOOKUP($A721,tropes!$A$4:$O$2428,9,FALSE)</f>
        <v>#N/A</v>
      </c>
      <c r="J721" s="5" t="e">
        <f>VLOOKUP($A721,tropes!$A$4:$O$2428,10,FALSE)</f>
        <v>#N/A</v>
      </c>
      <c r="K721" s="5" t="e">
        <f>VLOOKUP($A721,tropes!$A$4:$O$2428,11,FALSE)</f>
        <v>#N/A</v>
      </c>
      <c r="L721" s="5" t="e">
        <f>VLOOKUP($A721,tropes!$A$4:$O$2428,12,FALSE)</f>
        <v>#N/A</v>
      </c>
      <c r="M721" s="5" t="e">
        <f>VLOOKUP($A721,tropes!$A$4:$O$2428,13,FALSE)</f>
        <v>#N/A</v>
      </c>
      <c r="N721" s="5"/>
    </row>
    <row r="722" spans="1:14" x14ac:dyDescent="0.3">
      <c r="A722" s="14"/>
      <c r="B722" s="5" t="e">
        <f>VLOOKUP($A722,tropes!$A$4:$O$2428,2,FALSE)</f>
        <v>#N/A</v>
      </c>
      <c r="C722" s="5" t="e">
        <f>VLOOKUP($A722,tropes!$A$4:$O$2428,3,FALSE)</f>
        <v>#N/A</v>
      </c>
      <c r="D722" s="5" t="e">
        <f>VLOOKUP($A722,tropes!$A$4:$O$2428,4,FALSE)</f>
        <v>#N/A</v>
      </c>
      <c r="E722" s="5" t="e">
        <f>VLOOKUP($A722,tropes!$A$4:$O$2428,5,FALSE)</f>
        <v>#N/A</v>
      </c>
      <c r="F722" s="5" t="e">
        <f>VLOOKUP($A722,tropes!$A$4:$O$2428,6,FALSE)</f>
        <v>#N/A</v>
      </c>
      <c r="G722" s="5" t="e">
        <f>VLOOKUP($A722,tropes!$A$4:$O$2428,7,FALSE)</f>
        <v>#N/A</v>
      </c>
      <c r="H722" s="5" t="e">
        <f>VLOOKUP($A722,tropes!$A$4:$O$2428,8,FALSE)</f>
        <v>#N/A</v>
      </c>
      <c r="I722" s="5" t="e">
        <f>VLOOKUP($A722,tropes!$A$4:$O$2428,9,FALSE)</f>
        <v>#N/A</v>
      </c>
      <c r="J722" s="5" t="e">
        <f>VLOOKUP($A722,tropes!$A$4:$O$2428,10,FALSE)</f>
        <v>#N/A</v>
      </c>
      <c r="K722" s="5" t="e">
        <f>VLOOKUP($A722,tropes!$A$4:$O$2428,11,FALSE)</f>
        <v>#N/A</v>
      </c>
      <c r="L722" s="5" t="e">
        <f>VLOOKUP($A722,tropes!$A$4:$O$2428,12,FALSE)</f>
        <v>#N/A</v>
      </c>
      <c r="M722" s="5" t="e">
        <f>VLOOKUP($A722,tropes!$A$4:$O$2428,13,FALSE)</f>
        <v>#N/A</v>
      </c>
      <c r="N722" s="5"/>
    </row>
    <row r="723" spans="1:14" x14ac:dyDescent="0.3">
      <c r="A723" s="14"/>
      <c r="B723" s="5" t="e">
        <f>VLOOKUP($A723,tropes!$A$4:$O$2428,2,FALSE)</f>
        <v>#N/A</v>
      </c>
      <c r="C723" s="5" t="e">
        <f>VLOOKUP($A723,tropes!$A$4:$O$2428,3,FALSE)</f>
        <v>#N/A</v>
      </c>
      <c r="D723" s="5" t="e">
        <f>VLOOKUP($A723,tropes!$A$4:$O$2428,4,FALSE)</f>
        <v>#N/A</v>
      </c>
      <c r="E723" s="5" t="e">
        <f>VLOOKUP($A723,tropes!$A$4:$O$2428,5,FALSE)</f>
        <v>#N/A</v>
      </c>
      <c r="F723" s="5" t="e">
        <f>VLOOKUP($A723,tropes!$A$4:$O$2428,6,FALSE)</f>
        <v>#N/A</v>
      </c>
      <c r="G723" s="5" t="e">
        <f>VLOOKUP($A723,tropes!$A$4:$O$2428,7,FALSE)</f>
        <v>#N/A</v>
      </c>
      <c r="H723" s="5" t="e">
        <f>VLOOKUP($A723,tropes!$A$4:$O$2428,8,FALSE)</f>
        <v>#N/A</v>
      </c>
      <c r="I723" s="5" t="e">
        <f>VLOOKUP($A723,tropes!$A$4:$O$2428,9,FALSE)</f>
        <v>#N/A</v>
      </c>
      <c r="J723" s="5" t="e">
        <f>VLOOKUP($A723,tropes!$A$4:$O$2428,10,FALSE)</f>
        <v>#N/A</v>
      </c>
      <c r="K723" s="5" t="e">
        <f>VLOOKUP($A723,tropes!$A$4:$O$2428,11,FALSE)</f>
        <v>#N/A</v>
      </c>
      <c r="L723" s="5" t="e">
        <f>VLOOKUP($A723,tropes!$A$4:$O$2428,12,FALSE)</f>
        <v>#N/A</v>
      </c>
      <c r="M723" s="5" t="e">
        <f>VLOOKUP($A723,tropes!$A$4:$O$2428,13,FALSE)</f>
        <v>#N/A</v>
      </c>
      <c r="N723" s="5"/>
    </row>
    <row r="724" spans="1:14" x14ac:dyDescent="0.3">
      <c r="A724" s="14"/>
      <c r="B724" s="5" t="e">
        <f>VLOOKUP($A724,tropes!$A$4:$O$2428,2,FALSE)</f>
        <v>#N/A</v>
      </c>
      <c r="C724" s="5" t="e">
        <f>VLOOKUP($A724,tropes!$A$4:$O$2428,3,FALSE)</f>
        <v>#N/A</v>
      </c>
      <c r="D724" s="5" t="e">
        <f>VLOOKUP($A724,tropes!$A$4:$O$2428,4,FALSE)</f>
        <v>#N/A</v>
      </c>
      <c r="E724" s="5" t="e">
        <f>VLOOKUP($A724,tropes!$A$4:$O$2428,5,FALSE)</f>
        <v>#N/A</v>
      </c>
      <c r="F724" s="5" t="e">
        <f>VLOOKUP($A724,tropes!$A$4:$O$2428,6,FALSE)</f>
        <v>#N/A</v>
      </c>
      <c r="G724" s="5" t="e">
        <f>VLOOKUP($A724,tropes!$A$4:$O$2428,7,FALSE)</f>
        <v>#N/A</v>
      </c>
      <c r="H724" s="5" t="e">
        <f>VLOOKUP($A724,tropes!$A$4:$O$2428,8,FALSE)</f>
        <v>#N/A</v>
      </c>
      <c r="I724" s="5" t="e">
        <f>VLOOKUP($A724,tropes!$A$4:$O$2428,9,FALSE)</f>
        <v>#N/A</v>
      </c>
      <c r="J724" s="5" t="e">
        <f>VLOOKUP($A724,tropes!$A$4:$O$2428,10,FALSE)</f>
        <v>#N/A</v>
      </c>
      <c r="K724" s="5" t="e">
        <f>VLOOKUP($A724,tropes!$A$4:$O$2428,11,FALSE)</f>
        <v>#N/A</v>
      </c>
      <c r="L724" s="5" t="e">
        <f>VLOOKUP($A724,tropes!$A$4:$O$2428,12,FALSE)</f>
        <v>#N/A</v>
      </c>
      <c r="M724" s="5" t="e">
        <f>VLOOKUP($A724,tropes!$A$4:$O$2428,13,FALSE)</f>
        <v>#N/A</v>
      </c>
      <c r="N724" s="5"/>
    </row>
    <row r="725" spans="1:14" x14ac:dyDescent="0.3">
      <c r="A725" s="14"/>
      <c r="B725" s="5" t="e">
        <f>VLOOKUP($A725,tropes!$A$4:$O$2428,2,FALSE)</f>
        <v>#N/A</v>
      </c>
      <c r="C725" s="5" t="e">
        <f>VLOOKUP($A725,tropes!$A$4:$O$2428,3,FALSE)</f>
        <v>#N/A</v>
      </c>
      <c r="D725" s="5" t="e">
        <f>VLOOKUP($A725,tropes!$A$4:$O$2428,4,FALSE)</f>
        <v>#N/A</v>
      </c>
      <c r="E725" s="5" t="e">
        <f>VLOOKUP($A725,tropes!$A$4:$O$2428,5,FALSE)</f>
        <v>#N/A</v>
      </c>
      <c r="F725" s="5" t="e">
        <f>VLOOKUP($A725,tropes!$A$4:$O$2428,6,FALSE)</f>
        <v>#N/A</v>
      </c>
      <c r="G725" s="5" t="e">
        <f>VLOOKUP($A725,tropes!$A$4:$O$2428,7,FALSE)</f>
        <v>#N/A</v>
      </c>
      <c r="H725" s="5" t="e">
        <f>VLOOKUP($A725,tropes!$A$4:$O$2428,8,FALSE)</f>
        <v>#N/A</v>
      </c>
      <c r="I725" s="5" t="e">
        <f>VLOOKUP($A725,tropes!$A$4:$O$2428,9,FALSE)</f>
        <v>#N/A</v>
      </c>
      <c r="J725" s="5" t="e">
        <f>VLOOKUP($A725,tropes!$A$4:$O$2428,10,FALSE)</f>
        <v>#N/A</v>
      </c>
      <c r="K725" s="5" t="e">
        <f>VLOOKUP($A725,tropes!$A$4:$O$2428,11,FALSE)</f>
        <v>#N/A</v>
      </c>
      <c r="L725" s="5" t="e">
        <f>VLOOKUP($A725,tropes!$A$4:$O$2428,12,FALSE)</f>
        <v>#N/A</v>
      </c>
      <c r="M725" s="5" t="e">
        <f>VLOOKUP($A725,tropes!$A$4:$O$2428,13,FALSE)</f>
        <v>#N/A</v>
      </c>
      <c r="N725" s="5"/>
    </row>
    <row r="726" spans="1:14" x14ac:dyDescent="0.3">
      <c r="A726" s="14"/>
      <c r="B726" s="5" t="e">
        <f>VLOOKUP($A726,tropes!$A$4:$O$2428,2,FALSE)</f>
        <v>#N/A</v>
      </c>
      <c r="C726" s="5" t="e">
        <f>VLOOKUP($A726,tropes!$A$4:$O$2428,3,FALSE)</f>
        <v>#N/A</v>
      </c>
      <c r="D726" s="5" t="e">
        <f>VLOOKUP($A726,tropes!$A$4:$O$2428,4,FALSE)</f>
        <v>#N/A</v>
      </c>
      <c r="E726" s="5" t="e">
        <f>VLOOKUP($A726,tropes!$A$4:$O$2428,5,FALSE)</f>
        <v>#N/A</v>
      </c>
      <c r="F726" s="5" t="e">
        <f>VLOOKUP($A726,tropes!$A$4:$O$2428,6,FALSE)</f>
        <v>#N/A</v>
      </c>
      <c r="G726" s="5" t="e">
        <f>VLOOKUP($A726,tropes!$A$4:$O$2428,7,FALSE)</f>
        <v>#N/A</v>
      </c>
      <c r="H726" s="5" t="e">
        <f>VLOOKUP($A726,tropes!$A$4:$O$2428,8,FALSE)</f>
        <v>#N/A</v>
      </c>
      <c r="I726" s="5" t="e">
        <f>VLOOKUP($A726,tropes!$A$4:$O$2428,9,FALSE)</f>
        <v>#N/A</v>
      </c>
      <c r="J726" s="5" t="e">
        <f>VLOOKUP($A726,tropes!$A$4:$O$2428,10,FALSE)</f>
        <v>#N/A</v>
      </c>
      <c r="K726" s="5" t="e">
        <f>VLOOKUP($A726,tropes!$A$4:$O$2428,11,FALSE)</f>
        <v>#N/A</v>
      </c>
      <c r="L726" s="5" t="e">
        <f>VLOOKUP($A726,tropes!$A$4:$O$2428,12,FALSE)</f>
        <v>#N/A</v>
      </c>
      <c r="M726" s="5" t="e">
        <f>VLOOKUP($A726,tropes!$A$4:$O$2428,13,FALSE)</f>
        <v>#N/A</v>
      </c>
      <c r="N726" s="5"/>
    </row>
    <row r="727" spans="1:14" x14ac:dyDescent="0.3">
      <c r="A727" s="14"/>
      <c r="B727" s="5" t="e">
        <f>VLOOKUP($A727,tropes!$A$4:$O$2428,2,FALSE)</f>
        <v>#N/A</v>
      </c>
      <c r="C727" s="5" t="e">
        <f>VLOOKUP($A727,tropes!$A$4:$O$2428,3,FALSE)</f>
        <v>#N/A</v>
      </c>
      <c r="D727" s="5" t="e">
        <f>VLOOKUP($A727,tropes!$A$4:$O$2428,4,FALSE)</f>
        <v>#N/A</v>
      </c>
      <c r="E727" s="5" t="e">
        <f>VLOOKUP($A727,tropes!$A$4:$O$2428,5,FALSE)</f>
        <v>#N/A</v>
      </c>
      <c r="F727" s="5" t="e">
        <f>VLOOKUP($A727,tropes!$A$4:$O$2428,6,FALSE)</f>
        <v>#N/A</v>
      </c>
      <c r="G727" s="5" t="e">
        <f>VLOOKUP($A727,tropes!$A$4:$O$2428,7,FALSE)</f>
        <v>#N/A</v>
      </c>
      <c r="H727" s="5" t="e">
        <f>VLOOKUP($A727,tropes!$A$4:$O$2428,8,FALSE)</f>
        <v>#N/A</v>
      </c>
      <c r="I727" s="5" t="e">
        <f>VLOOKUP($A727,tropes!$A$4:$O$2428,9,FALSE)</f>
        <v>#N/A</v>
      </c>
      <c r="J727" s="5" t="e">
        <f>VLOOKUP($A727,tropes!$A$4:$O$2428,10,FALSE)</f>
        <v>#N/A</v>
      </c>
      <c r="K727" s="5" t="e">
        <f>VLOOKUP($A727,tropes!$A$4:$O$2428,11,FALSE)</f>
        <v>#N/A</v>
      </c>
      <c r="L727" s="5" t="e">
        <f>VLOOKUP($A727,tropes!$A$4:$O$2428,12,FALSE)</f>
        <v>#N/A</v>
      </c>
      <c r="M727" s="5" t="e">
        <f>VLOOKUP($A727,tropes!$A$4:$O$2428,13,FALSE)</f>
        <v>#N/A</v>
      </c>
      <c r="N727" s="5"/>
    </row>
    <row r="728" spans="1:14" x14ac:dyDescent="0.3">
      <c r="A728" s="14"/>
      <c r="B728" s="5" t="e">
        <f>VLOOKUP($A728,tropes!$A$4:$O$2428,2,FALSE)</f>
        <v>#N/A</v>
      </c>
      <c r="C728" s="5" t="e">
        <f>VLOOKUP($A728,tropes!$A$4:$O$2428,3,FALSE)</f>
        <v>#N/A</v>
      </c>
      <c r="D728" s="5" t="e">
        <f>VLOOKUP($A728,tropes!$A$4:$O$2428,4,FALSE)</f>
        <v>#N/A</v>
      </c>
      <c r="E728" s="5" t="e">
        <f>VLOOKUP($A728,tropes!$A$4:$O$2428,5,FALSE)</f>
        <v>#N/A</v>
      </c>
      <c r="F728" s="5" t="e">
        <f>VLOOKUP($A728,tropes!$A$4:$O$2428,6,FALSE)</f>
        <v>#N/A</v>
      </c>
      <c r="G728" s="5" t="e">
        <f>VLOOKUP($A728,tropes!$A$4:$O$2428,7,FALSE)</f>
        <v>#N/A</v>
      </c>
      <c r="H728" s="5" t="e">
        <f>VLOOKUP($A728,tropes!$A$4:$O$2428,8,FALSE)</f>
        <v>#N/A</v>
      </c>
      <c r="I728" s="5" t="e">
        <f>VLOOKUP($A728,tropes!$A$4:$O$2428,9,FALSE)</f>
        <v>#N/A</v>
      </c>
      <c r="J728" s="5" t="e">
        <f>VLOOKUP($A728,tropes!$A$4:$O$2428,10,FALSE)</f>
        <v>#N/A</v>
      </c>
      <c r="K728" s="5" t="e">
        <f>VLOOKUP($A728,tropes!$A$4:$O$2428,11,FALSE)</f>
        <v>#N/A</v>
      </c>
      <c r="L728" s="5" t="e">
        <f>VLOOKUP($A728,tropes!$A$4:$O$2428,12,FALSE)</f>
        <v>#N/A</v>
      </c>
      <c r="M728" s="5" t="e">
        <f>VLOOKUP($A728,tropes!$A$4:$O$2428,13,FALSE)</f>
        <v>#N/A</v>
      </c>
      <c r="N728" s="5"/>
    </row>
    <row r="729" spans="1:14" x14ac:dyDescent="0.3">
      <c r="A729" s="14"/>
      <c r="B729" s="5" t="e">
        <f>VLOOKUP($A729,tropes!$A$4:$O$2428,2,FALSE)</f>
        <v>#N/A</v>
      </c>
      <c r="C729" s="5" t="e">
        <f>VLOOKUP($A729,tropes!$A$4:$O$2428,3,FALSE)</f>
        <v>#N/A</v>
      </c>
      <c r="D729" s="5" t="e">
        <f>VLOOKUP($A729,tropes!$A$4:$O$2428,4,FALSE)</f>
        <v>#N/A</v>
      </c>
      <c r="E729" s="5" t="e">
        <f>VLOOKUP($A729,tropes!$A$4:$O$2428,5,FALSE)</f>
        <v>#N/A</v>
      </c>
      <c r="F729" s="5" t="e">
        <f>VLOOKUP($A729,tropes!$A$4:$O$2428,6,FALSE)</f>
        <v>#N/A</v>
      </c>
      <c r="G729" s="5" t="e">
        <f>VLOOKUP($A729,tropes!$A$4:$O$2428,7,FALSE)</f>
        <v>#N/A</v>
      </c>
      <c r="H729" s="5" t="e">
        <f>VLOOKUP($A729,tropes!$A$4:$O$2428,8,FALSE)</f>
        <v>#N/A</v>
      </c>
      <c r="I729" s="5" t="e">
        <f>VLOOKUP($A729,tropes!$A$4:$O$2428,9,FALSE)</f>
        <v>#N/A</v>
      </c>
      <c r="J729" s="5" t="e">
        <f>VLOOKUP($A729,tropes!$A$4:$O$2428,10,FALSE)</f>
        <v>#N/A</v>
      </c>
      <c r="K729" s="5" t="e">
        <f>VLOOKUP($A729,tropes!$A$4:$O$2428,11,FALSE)</f>
        <v>#N/A</v>
      </c>
      <c r="L729" s="5" t="e">
        <f>VLOOKUP($A729,tropes!$A$4:$O$2428,12,FALSE)</f>
        <v>#N/A</v>
      </c>
      <c r="M729" s="5" t="e">
        <f>VLOOKUP($A729,tropes!$A$4:$O$2428,13,FALSE)</f>
        <v>#N/A</v>
      </c>
      <c r="N729" s="5"/>
    </row>
    <row r="730" spans="1:14" x14ac:dyDescent="0.3">
      <c r="A730" s="14"/>
      <c r="B730" s="5" t="e">
        <f>VLOOKUP($A730,tropes!$A$4:$O$2428,2,FALSE)</f>
        <v>#N/A</v>
      </c>
      <c r="C730" s="5" t="e">
        <f>VLOOKUP($A730,tropes!$A$4:$O$2428,3,FALSE)</f>
        <v>#N/A</v>
      </c>
      <c r="D730" s="5" t="e">
        <f>VLOOKUP($A730,tropes!$A$4:$O$2428,4,FALSE)</f>
        <v>#N/A</v>
      </c>
      <c r="E730" s="5" t="e">
        <f>VLOOKUP($A730,tropes!$A$4:$O$2428,5,FALSE)</f>
        <v>#N/A</v>
      </c>
      <c r="F730" s="5" t="e">
        <f>VLOOKUP($A730,tropes!$A$4:$O$2428,6,FALSE)</f>
        <v>#N/A</v>
      </c>
      <c r="G730" s="5" t="e">
        <f>VLOOKUP($A730,tropes!$A$4:$O$2428,7,FALSE)</f>
        <v>#N/A</v>
      </c>
      <c r="H730" s="5" t="e">
        <f>VLOOKUP($A730,tropes!$A$4:$O$2428,8,FALSE)</f>
        <v>#N/A</v>
      </c>
      <c r="I730" s="5" t="e">
        <f>VLOOKUP($A730,tropes!$A$4:$O$2428,9,FALSE)</f>
        <v>#N/A</v>
      </c>
      <c r="J730" s="5" t="e">
        <f>VLOOKUP($A730,tropes!$A$4:$O$2428,10,FALSE)</f>
        <v>#N/A</v>
      </c>
      <c r="K730" s="5" t="e">
        <f>VLOOKUP($A730,tropes!$A$4:$O$2428,11,FALSE)</f>
        <v>#N/A</v>
      </c>
      <c r="L730" s="5" t="e">
        <f>VLOOKUP($A730,tropes!$A$4:$O$2428,12,FALSE)</f>
        <v>#N/A</v>
      </c>
      <c r="M730" s="5" t="e">
        <f>VLOOKUP($A730,tropes!$A$4:$O$2428,13,FALSE)</f>
        <v>#N/A</v>
      </c>
      <c r="N730" s="5"/>
    </row>
    <row r="731" spans="1:14" x14ac:dyDescent="0.3">
      <c r="A731" s="14"/>
      <c r="B731" s="5" t="e">
        <f>VLOOKUP($A731,tropes!$A$4:$O$2428,2,FALSE)</f>
        <v>#N/A</v>
      </c>
      <c r="C731" s="5" t="e">
        <f>VLOOKUP($A731,tropes!$A$4:$O$2428,3,FALSE)</f>
        <v>#N/A</v>
      </c>
      <c r="D731" s="5" t="e">
        <f>VLOOKUP($A731,tropes!$A$4:$O$2428,4,FALSE)</f>
        <v>#N/A</v>
      </c>
      <c r="E731" s="5" t="e">
        <f>VLOOKUP($A731,tropes!$A$4:$O$2428,5,FALSE)</f>
        <v>#N/A</v>
      </c>
      <c r="F731" s="5" t="e">
        <f>VLOOKUP($A731,tropes!$A$4:$O$2428,6,FALSE)</f>
        <v>#N/A</v>
      </c>
      <c r="G731" s="5" t="e">
        <f>VLOOKUP($A731,tropes!$A$4:$O$2428,7,FALSE)</f>
        <v>#N/A</v>
      </c>
      <c r="H731" s="5" t="e">
        <f>VLOOKUP($A731,tropes!$A$4:$O$2428,8,FALSE)</f>
        <v>#N/A</v>
      </c>
      <c r="I731" s="5" t="e">
        <f>VLOOKUP($A731,tropes!$A$4:$O$2428,9,FALSE)</f>
        <v>#N/A</v>
      </c>
      <c r="J731" s="5" t="e">
        <f>VLOOKUP($A731,tropes!$A$4:$O$2428,10,FALSE)</f>
        <v>#N/A</v>
      </c>
      <c r="K731" s="5" t="e">
        <f>VLOOKUP($A731,tropes!$A$4:$O$2428,11,FALSE)</f>
        <v>#N/A</v>
      </c>
      <c r="L731" s="5" t="e">
        <f>VLOOKUP($A731,tropes!$A$4:$O$2428,12,FALSE)</f>
        <v>#N/A</v>
      </c>
      <c r="M731" s="5" t="e">
        <f>VLOOKUP($A731,tropes!$A$4:$O$2428,13,FALSE)</f>
        <v>#N/A</v>
      </c>
      <c r="N731" s="5"/>
    </row>
    <row r="732" spans="1:14" x14ac:dyDescent="0.3">
      <c r="A732" s="14"/>
      <c r="B732" s="5" t="e">
        <f>VLOOKUP($A732,tropes!$A$4:$O$2428,2,FALSE)</f>
        <v>#N/A</v>
      </c>
      <c r="C732" s="5" t="e">
        <f>VLOOKUP($A732,tropes!$A$4:$O$2428,3,FALSE)</f>
        <v>#N/A</v>
      </c>
      <c r="D732" s="5" t="e">
        <f>VLOOKUP($A732,tropes!$A$4:$O$2428,4,FALSE)</f>
        <v>#N/A</v>
      </c>
      <c r="E732" s="5" t="e">
        <f>VLOOKUP($A732,tropes!$A$4:$O$2428,5,FALSE)</f>
        <v>#N/A</v>
      </c>
      <c r="F732" s="5" t="e">
        <f>VLOOKUP($A732,tropes!$A$4:$O$2428,6,FALSE)</f>
        <v>#N/A</v>
      </c>
      <c r="G732" s="5" t="e">
        <f>VLOOKUP($A732,tropes!$A$4:$O$2428,7,FALSE)</f>
        <v>#N/A</v>
      </c>
      <c r="H732" s="5" t="e">
        <f>VLOOKUP($A732,tropes!$A$4:$O$2428,8,FALSE)</f>
        <v>#N/A</v>
      </c>
      <c r="I732" s="5" t="e">
        <f>VLOOKUP($A732,tropes!$A$4:$O$2428,9,FALSE)</f>
        <v>#N/A</v>
      </c>
      <c r="J732" s="5" t="e">
        <f>VLOOKUP($A732,tropes!$A$4:$O$2428,10,FALSE)</f>
        <v>#N/A</v>
      </c>
      <c r="K732" s="5" t="e">
        <f>VLOOKUP($A732,tropes!$A$4:$O$2428,11,FALSE)</f>
        <v>#N/A</v>
      </c>
      <c r="L732" s="5" t="e">
        <f>VLOOKUP($A732,tropes!$A$4:$O$2428,12,FALSE)</f>
        <v>#N/A</v>
      </c>
      <c r="M732" s="5" t="e">
        <f>VLOOKUP($A732,tropes!$A$4:$O$2428,13,FALSE)</f>
        <v>#N/A</v>
      </c>
      <c r="N732" s="5"/>
    </row>
    <row r="733" spans="1:14" x14ac:dyDescent="0.3">
      <c r="A733" s="14"/>
      <c r="B733" s="5" t="e">
        <f>VLOOKUP($A733,tropes!$A$4:$O$2428,2,FALSE)</f>
        <v>#N/A</v>
      </c>
      <c r="C733" s="5" t="e">
        <f>VLOOKUP($A733,tropes!$A$4:$O$2428,3,FALSE)</f>
        <v>#N/A</v>
      </c>
      <c r="D733" s="5" t="e">
        <f>VLOOKUP($A733,tropes!$A$4:$O$2428,4,FALSE)</f>
        <v>#N/A</v>
      </c>
      <c r="E733" s="5" t="e">
        <f>VLOOKUP($A733,tropes!$A$4:$O$2428,5,FALSE)</f>
        <v>#N/A</v>
      </c>
      <c r="F733" s="5" t="e">
        <f>VLOOKUP($A733,tropes!$A$4:$O$2428,6,FALSE)</f>
        <v>#N/A</v>
      </c>
      <c r="G733" s="5" t="e">
        <f>VLOOKUP($A733,tropes!$A$4:$O$2428,7,FALSE)</f>
        <v>#N/A</v>
      </c>
      <c r="H733" s="5" t="e">
        <f>VLOOKUP($A733,tropes!$A$4:$O$2428,8,FALSE)</f>
        <v>#N/A</v>
      </c>
      <c r="I733" s="5" t="e">
        <f>VLOOKUP($A733,tropes!$A$4:$O$2428,9,FALSE)</f>
        <v>#N/A</v>
      </c>
      <c r="J733" s="5" t="e">
        <f>VLOOKUP($A733,tropes!$A$4:$O$2428,10,FALSE)</f>
        <v>#N/A</v>
      </c>
      <c r="K733" s="5" t="e">
        <f>VLOOKUP($A733,tropes!$A$4:$O$2428,11,FALSE)</f>
        <v>#N/A</v>
      </c>
      <c r="L733" s="5" t="e">
        <f>VLOOKUP($A733,tropes!$A$4:$O$2428,12,FALSE)</f>
        <v>#N/A</v>
      </c>
      <c r="M733" s="5" t="e">
        <f>VLOOKUP($A733,tropes!$A$4:$O$2428,13,FALSE)</f>
        <v>#N/A</v>
      </c>
      <c r="N733" s="5"/>
    </row>
    <row r="734" spans="1:14" x14ac:dyDescent="0.3">
      <c r="A734" s="14"/>
      <c r="B734" s="5" t="e">
        <f>VLOOKUP($A734,tropes!$A$4:$O$2428,2,FALSE)</f>
        <v>#N/A</v>
      </c>
      <c r="C734" s="5" t="e">
        <f>VLOOKUP($A734,tropes!$A$4:$O$2428,3,FALSE)</f>
        <v>#N/A</v>
      </c>
      <c r="D734" s="5" t="e">
        <f>VLOOKUP($A734,tropes!$A$4:$O$2428,4,FALSE)</f>
        <v>#N/A</v>
      </c>
      <c r="E734" s="5" t="e">
        <f>VLOOKUP($A734,tropes!$A$4:$O$2428,5,FALSE)</f>
        <v>#N/A</v>
      </c>
      <c r="F734" s="5" t="e">
        <f>VLOOKUP($A734,tropes!$A$4:$O$2428,6,FALSE)</f>
        <v>#N/A</v>
      </c>
      <c r="G734" s="5" t="e">
        <f>VLOOKUP($A734,tropes!$A$4:$O$2428,7,FALSE)</f>
        <v>#N/A</v>
      </c>
      <c r="H734" s="5" t="e">
        <f>VLOOKUP($A734,tropes!$A$4:$O$2428,8,FALSE)</f>
        <v>#N/A</v>
      </c>
      <c r="I734" s="5" t="e">
        <f>VLOOKUP($A734,tropes!$A$4:$O$2428,9,FALSE)</f>
        <v>#N/A</v>
      </c>
      <c r="J734" s="5" t="e">
        <f>VLOOKUP($A734,tropes!$A$4:$O$2428,10,FALSE)</f>
        <v>#N/A</v>
      </c>
      <c r="K734" s="5" t="e">
        <f>VLOOKUP($A734,tropes!$A$4:$O$2428,11,FALSE)</f>
        <v>#N/A</v>
      </c>
      <c r="L734" s="5" t="e">
        <f>VLOOKUP($A734,tropes!$A$4:$O$2428,12,FALSE)</f>
        <v>#N/A</v>
      </c>
      <c r="M734" s="5" t="e">
        <f>VLOOKUP($A734,tropes!$A$4:$O$2428,13,FALSE)</f>
        <v>#N/A</v>
      </c>
      <c r="N734" s="5"/>
    </row>
    <row r="735" spans="1:14" x14ac:dyDescent="0.3">
      <c r="A735" s="14"/>
      <c r="B735" s="5" t="e">
        <f>VLOOKUP($A735,tropes!$A$4:$O$2428,2,FALSE)</f>
        <v>#N/A</v>
      </c>
      <c r="C735" s="5" t="e">
        <f>VLOOKUP($A735,tropes!$A$4:$O$2428,3,FALSE)</f>
        <v>#N/A</v>
      </c>
      <c r="D735" s="5" t="e">
        <f>VLOOKUP($A735,tropes!$A$4:$O$2428,4,FALSE)</f>
        <v>#N/A</v>
      </c>
      <c r="E735" s="5" t="e">
        <f>VLOOKUP($A735,tropes!$A$4:$O$2428,5,FALSE)</f>
        <v>#N/A</v>
      </c>
      <c r="F735" s="5" t="e">
        <f>VLOOKUP($A735,tropes!$A$4:$O$2428,6,FALSE)</f>
        <v>#N/A</v>
      </c>
      <c r="G735" s="5" t="e">
        <f>VLOOKUP($A735,tropes!$A$4:$O$2428,7,FALSE)</f>
        <v>#N/A</v>
      </c>
      <c r="H735" s="5" t="e">
        <f>VLOOKUP($A735,tropes!$A$4:$O$2428,8,FALSE)</f>
        <v>#N/A</v>
      </c>
      <c r="I735" s="5" t="e">
        <f>VLOOKUP($A735,tropes!$A$4:$O$2428,9,FALSE)</f>
        <v>#N/A</v>
      </c>
      <c r="J735" s="5" t="e">
        <f>VLOOKUP($A735,tropes!$A$4:$O$2428,10,FALSE)</f>
        <v>#N/A</v>
      </c>
      <c r="K735" s="5" t="e">
        <f>VLOOKUP($A735,tropes!$A$4:$O$2428,11,FALSE)</f>
        <v>#N/A</v>
      </c>
      <c r="L735" s="5" t="e">
        <f>VLOOKUP($A735,tropes!$A$4:$O$2428,12,FALSE)</f>
        <v>#N/A</v>
      </c>
      <c r="M735" s="5" t="e">
        <f>VLOOKUP($A735,tropes!$A$4:$O$2428,13,FALSE)</f>
        <v>#N/A</v>
      </c>
      <c r="N735" s="5"/>
    </row>
    <row r="736" spans="1:14" x14ac:dyDescent="0.3">
      <c r="A736" s="14"/>
      <c r="B736" s="5" t="e">
        <f>VLOOKUP($A736,tropes!$A$4:$O$2428,2,FALSE)</f>
        <v>#N/A</v>
      </c>
      <c r="C736" s="5" t="e">
        <f>VLOOKUP($A736,tropes!$A$4:$O$2428,3,FALSE)</f>
        <v>#N/A</v>
      </c>
      <c r="D736" s="5" t="e">
        <f>VLOOKUP($A736,tropes!$A$4:$O$2428,4,FALSE)</f>
        <v>#N/A</v>
      </c>
      <c r="E736" s="5" t="e">
        <f>VLOOKUP($A736,tropes!$A$4:$O$2428,5,FALSE)</f>
        <v>#N/A</v>
      </c>
      <c r="F736" s="5" t="e">
        <f>VLOOKUP($A736,tropes!$A$4:$O$2428,6,FALSE)</f>
        <v>#N/A</v>
      </c>
      <c r="G736" s="5" t="e">
        <f>VLOOKUP($A736,tropes!$A$4:$O$2428,7,FALSE)</f>
        <v>#N/A</v>
      </c>
      <c r="H736" s="5" t="e">
        <f>VLOOKUP($A736,tropes!$A$4:$O$2428,8,FALSE)</f>
        <v>#N/A</v>
      </c>
      <c r="I736" s="5" t="e">
        <f>VLOOKUP($A736,tropes!$A$4:$O$2428,9,FALSE)</f>
        <v>#N/A</v>
      </c>
      <c r="J736" s="5" t="e">
        <f>VLOOKUP($A736,tropes!$A$4:$O$2428,10,FALSE)</f>
        <v>#N/A</v>
      </c>
      <c r="K736" s="5" t="e">
        <f>VLOOKUP($A736,tropes!$A$4:$O$2428,11,FALSE)</f>
        <v>#N/A</v>
      </c>
      <c r="L736" s="5" t="e">
        <f>VLOOKUP($A736,tropes!$A$4:$O$2428,12,FALSE)</f>
        <v>#N/A</v>
      </c>
      <c r="M736" s="5" t="e">
        <f>VLOOKUP($A736,tropes!$A$4:$O$2428,13,FALSE)</f>
        <v>#N/A</v>
      </c>
      <c r="N736" s="5"/>
    </row>
    <row r="737" spans="1:14" x14ac:dyDescent="0.3">
      <c r="A737" s="14"/>
      <c r="B737" s="5" t="e">
        <f>VLOOKUP($A737,tropes!$A$4:$O$2428,2,FALSE)</f>
        <v>#N/A</v>
      </c>
      <c r="C737" s="5" t="e">
        <f>VLOOKUP($A737,tropes!$A$4:$O$2428,3,FALSE)</f>
        <v>#N/A</v>
      </c>
      <c r="D737" s="5" t="e">
        <f>VLOOKUP($A737,tropes!$A$4:$O$2428,4,FALSE)</f>
        <v>#N/A</v>
      </c>
      <c r="E737" s="5" t="e">
        <f>VLOOKUP($A737,tropes!$A$4:$O$2428,5,FALSE)</f>
        <v>#N/A</v>
      </c>
      <c r="F737" s="5" t="e">
        <f>VLOOKUP($A737,tropes!$A$4:$O$2428,6,FALSE)</f>
        <v>#N/A</v>
      </c>
      <c r="G737" s="5" t="e">
        <f>VLOOKUP($A737,tropes!$A$4:$O$2428,7,FALSE)</f>
        <v>#N/A</v>
      </c>
      <c r="H737" s="5" t="e">
        <f>VLOOKUP($A737,tropes!$A$4:$O$2428,8,FALSE)</f>
        <v>#N/A</v>
      </c>
      <c r="I737" s="5" t="e">
        <f>VLOOKUP($A737,tropes!$A$4:$O$2428,9,FALSE)</f>
        <v>#N/A</v>
      </c>
      <c r="J737" s="5" t="e">
        <f>VLOOKUP($A737,tropes!$A$4:$O$2428,10,FALSE)</f>
        <v>#N/A</v>
      </c>
      <c r="K737" s="5" t="e">
        <f>VLOOKUP($A737,tropes!$A$4:$O$2428,11,FALSE)</f>
        <v>#N/A</v>
      </c>
      <c r="L737" s="5" t="e">
        <f>VLOOKUP($A737,tropes!$A$4:$O$2428,12,FALSE)</f>
        <v>#N/A</v>
      </c>
      <c r="M737" s="5" t="e">
        <f>VLOOKUP($A737,tropes!$A$4:$O$2428,13,FALSE)</f>
        <v>#N/A</v>
      </c>
      <c r="N737" s="5"/>
    </row>
    <row r="738" spans="1:14" x14ac:dyDescent="0.3">
      <c r="A738" s="14"/>
      <c r="B738" s="5" t="e">
        <f>VLOOKUP($A738,tropes!$A$4:$O$2428,2,FALSE)</f>
        <v>#N/A</v>
      </c>
      <c r="C738" s="5" t="e">
        <f>VLOOKUP($A738,tropes!$A$4:$O$2428,3,FALSE)</f>
        <v>#N/A</v>
      </c>
      <c r="D738" s="5" t="e">
        <f>VLOOKUP($A738,tropes!$A$4:$O$2428,4,FALSE)</f>
        <v>#N/A</v>
      </c>
      <c r="E738" s="5" t="e">
        <f>VLOOKUP($A738,tropes!$A$4:$O$2428,5,FALSE)</f>
        <v>#N/A</v>
      </c>
      <c r="F738" s="5" t="e">
        <f>VLOOKUP($A738,tropes!$A$4:$O$2428,6,FALSE)</f>
        <v>#N/A</v>
      </c>
      <c r="G738" s="5" t="e">
        <f>VLOOKUP($A738,tropes!$A$4:$O$2428,7,FALSE)</f>
        <v>#N/A</v>
      </c>
      <c r="H738" s="5" t="e">
        <f>VLOOKUP($A738,tropes!$A$4:$O$2428,8,FALSE)</f>
        <v>#N/A</v>
      </c>
      <c r="I738" s="5" t="e">
        <f>VLOOKUP($A738,tropes!$A$4:$O$2428,9,FALSE)</f>
        <v>#N/A</v>
      </c>
      <c r="J738" s="5" t="e">
        <f>VLOOKUP($A738,tropes!$A$4:$O$2428,10,FALSE)</f>
        <v>#N/A</v>
      </c>
      <c r="K738" s="5" t="e">
        <f>VLOOKUP($A738,tropes!$A$4:$O$2428,11,FALSE)</f>
        <v>#N/A</v>
      </c>
      <c r="L738" s="5" t="e">
        <f>VLOOKUP($A738,tropes!$A$4:$O$2428,12,FALSE)</f>
        <v>#N/A</v>
      </c>
      <c r="M738" s="5" t="e">
        <f>VLOOKUP($A738,tropes!$A$4:$O$2428,13,FALSE)</f>
        <v>#N/A</v>
      </c>
      <c r="N738" s="5"/>
    </row>
    <row r="739" spans="1:14" x14ac:dyDescent="0.3">
      <c r="A739" s="14"/>
      <c r="B739" s="5" t="e">
        <f>VLOOKUP($A739,tropes!$A$4:$O$2428,2,FALSE)</f>
        <v>#N/A</v>
      </c>
      <c r="C739" s="5" t="e">
        <f>VLOOKUP($A739,tropes!$A$4:$O$2428,3,FALSE)</f>
        <v>#N/A</v>
      </c>
      <c r="D739" s="5" t="e">
        <f>VLOOKUP($A739,tropes!$A$4:$O$2428,4,FALSE)</f>
        <v>#N/A</v>
      </c>
      <c r="E739" s="5" t="e">
        <f>VLOOKUP($A739,tropes!$A$4:$O$2428,5,FALSE)</f>
        <v>#N/A</v>
      </c>
      <c r="F739" s="5" t="e">
        <f>VLOOKUP($A739,tropes!$A$4:$O$2428,6,FALSE)</f>
        <v>#N/A</v>
      </c>
      <c r="G739" s="5" t="e">
        <f>VLOOKUP($A739,tropes!$A$4:$O$2428,7,FALSE)</f>
        <v>#N/A</v>
      </c>
      <c r="H739" s="5" t="e">
        <f>VLOOKUP($A739,tropes!$A$4:$O$2428,8,FALSE)</f>
        <v>#N/A</v>
      </c>
      <c r="I739" s="5" t="e">
        <f>VLOOKUP($A739,tropes!$A$4:$O$2428,9,FALSE)</f>
        <v>#N/A</v>
      </c>
      <c r="J739" s="5" t="e">
        <f>VLOOKUP($A739,tropes!$A$4:$O$2428,10,FALSE)</f>
        <v>#N/A</v>
      </c>
      <c r="K739" s="5" t="e">
        <f>VLOOKUP($A739,tropes!$A$4:$O$2428,11,FALSE)</f>
        <v>#N/A</v>
      </c>
      <c r="L739" s="5" t="e">
        <f>VLOOKUP($A739,tropes!$A$4:$O$2428,12,FALSE)</f>
        <v>#N/A</v>
      </c>
      <c r="M739" s="5" t="e">
        <f>VLOOKUP($A739,tropes!$A$4:$O$2428,13,FALSE)</f>
        <v>#N/A</v>
      </c>
      <c r="N739" s="5"/>
    </row>
    <row r="740" spans="1:14" x14ac:dyDescent="0.3">
      <c r="A740" s="14"/>
      <c r="B740" s="5" t="e">
        <f>VLOOKUP($A740,tropes!$A$4:$O$2428,2,FALSE)</f>
        <v>#N/A</v>
      </c>
      <c r="C740" s="5" t="e">
        <f>VLOOKUP($A740,tropes!$A$4:$O$2428,3,FALSE)</f>
        <v>#N/A</v>
      </c>
      <c r="D740" s="5" t="e">
        <f>VLOOKUP($A740,tropes!$A$4:$O$2428,4,FALSE)</f>
        <v>#N/A</v>
      </c>
      <c r="E740" s="5" t="e">
        <f>VLOOKUP($A740,tropes!$A$4:$O$2428,5,FALSE)</f>
        <v>#N/A</v>
      </c>
      <c r="F740" s="5" t="e">
        <f>VLOOKUP($A740,tropes!$A$4:$O$2428,6,FALSE)</f>
        <v>#N/A</v>
      </c>
      <c r="G740" s="5" t="e">
        <f>VLOOKUP($A740,tropes!$A$4:$O$2428,7,FALSE)</f>
        <v>#N/A</v>
      </c>
      <c r="H740" s="5" t="e">
        <f>VLOOKUP($A740,tropes!$A$4:$O$2428,8,FALSE)</f>
        <v>#N/A</v>
      </c>
      <c r="I740" s="5" t="e">
        <f>VLOOKUP($A740,tropes!$A$4:$O$2428,9,FALSE)</f>
        <v>#N/A</v>
      </c>
      <c r="J740" s="5" t="e">
        <f>VLOOKUP($A740,tropes!$A$4:$O$2428,10,FALSE)</f>
        <v>#N/A</v>
      </c>
      <c r="K740" s="5" t="e">
        <f>VLOOKUP($A740,tropes!$A$4:$O$2428,11,FALSE)</f>
        <v>#N/A</v>
      </c>
      <c r="L740" s="5" t="e">
        <f>VLOOKUP($A740,tropes!$A$4:$O$2428,12,FALSE)</f>
        <v>#N/A</v>
      </c>
      <c r="M740" s="5" t="e">
        <f>VLOOKUP($A740,tropes!$A$4:$O$2428,13,FALSE)</f>
        <v>#N/A</v>
      </c>
      <c r="N740" s="5"/>
    </row>
    <row r="741" spans="1:14" x14ac:dyDescent="0.3">
      <c r="A741" s="14"/>
      <c r="B741" s="5" t="e">
        <f>VLOOKUP($A741,tropes!$A$4:$O$2428,2,FALSE)</f>
        <v>#N/A</v>
      </c>
      <c r="C741" s="5" t="e">
        <f>VLOOKUP($A741,tropes!$A$4:$O$2428,3,FALSE)</f>
        <v>#N/A</v>
      </c>
      <c r="D741" s="5" t="e">
        <f>VLOOKUP($A741,tropes!$A$4:$O$2428,4,FALSE)</f>
        <v>#N/A</v>
      </c>
      <c r="E741" s="5" t="e">
        <f>VLOOKUP($A741,tropes!$A$4:$O$2428,5,FALSE)</f>
        <v>#N/A</v>
      </c>
      <c r="F741" s="5" t="e">
        <f>VLOOKUP($A741,tropes!$A$4:$O$2428,6,FALSE)</f>
        <v>#N/A</v>
      </c>
      <c r="G741" s="5" t="e">
        <f>VLOOKUP($A741,tropes!$A$4:$O$2428,7,FALSE)</f>
        <v>#N/A</v>
      </c>
      <c r="H741" s="5" t="e">
        <f>VLOOKUP($A741,tropes!$A$4:$O$2428,8,FALSE)</f>
        <v>#N/A</v>
      </c>
      <c r="I741" s="5" t="e">
        <f>VLOOKUP($A741,tropes!$A$4:$O$2428,9,FALSE)</f>
        <v>#N/A</v>
      </c>
      <c r="J741" s="5" t="e">
        <f>VLOOKUP($A741,tropes!$A$4:$O$2428,10,FALSE)</f>
        <v>#N/A</v>
      </c>
      <c r="K741" s="5" t="e">
        <f>VLOOKUP($A741,tropes!$A$4:$O$2428,11,FALSE)</f>
        <v>#N/A</v>
      </c>
      <c r="L741" s="5" t="e">
        <f>VLOOKUP($A741,tropes!$A$4:$O$2428,12,FALSE)</f>
        <v>#N/A</v>
      </c>
      <c r="M741" s="5" t="e">
        <f>VLOOKUP($A741,tropes!$A$4:$O$2428,13,FALSE)</f>
        <v>#N/A</v>
      </c>
      <c r="N741" s="5"/>
    </row>
    <row r="742" spans="1:14" x14ac:dyDescent="0.3">
      <c r="A742" s="14"/>
      <c r="B742" s="5" t="e">
        <f>VLOOKUP($A742,tropes!$A$4:$O$2428,2,FALSE)</f>
        <v>#N/A</v>
      </c>
      <c r="C742" s="5" t="e">
        <f>VLOOKUP($A742,tropes!$A$4:$O$2428,3,FALSE)</f>
        <v>#N/A</v>
      </c>
      <c r="D742" s="5" t="e">
        <f>VLOOKUP($A742,tropes!$A$4:$O$2428,4,FALSE)</f>
        <v>#N/A</v>
      </c>
      <c r="E742" s="5" t="e">
        <f>VLOOKUP($A742,tropes!$A$4:$O$2428,5,FALSE)</f>
        <v>#N/A</v>
      </c>
      <c r="F742" s="5" t="e">
        <f>VLOOKUP($A742,tropes!$A$4:$O$2428,6,FALSE)</f>
        <v>#N/A</v>
      </c>
      <c r="G742" s="5" t="e">
        <f>VLOOKUP($A742,tropes!$A$4:$O$2428,7,FALSE)</f>
        <v>#N/A</v>
      </c>
      <c r="H742" s="5" t="e">
        <f>VLOOKUP($A742,tropes!$A$4:$O$2428,8,FALSE)</f>
        <v>#N/A</v>
      </c>
      <c r="I742" s="5" t="e">
        <f>VLOOKUP($A742,tropes!$A$4:$O$2428,9,FALSE)</f>
        <v>#N/A</v>
      </c>
      <c r="J742" s="5" t="e">
        <f>VLOOKUP($A742,tropes!$A$4:$O$2428,10,FALSE)</f>
        <v>#N/A</v>
      </c>
      <c r="K742" s="5" t="e">
        <f>VLOOKUP($A742,tropes!$A$4:$O$2428,11,FALSE)</f>
        <v>#N/A</v>
      </c>
      <c r="L742" s="5" t="e">
        <f>VLOOKUP($A742,tropes!$A$4:$O$2428,12,FALSE)</f>
        <v>#N/A</v>
      </c>
      <c r="M742" s="5" t="e">
        <f>VLOOKUP($A742,tropes!$A$4:$O$2428,13,FALSE)</f>
        <v>#N/A</v>
      </c>
      <c r="N742" s="5"/>
    </row>
    <row r="743" spans="1:14" x14ac:dyDescent="0.3">
      <c r="A743" s="14"/>
      <c r="B743" s="5" t="e">
        <f>VLOOKUP($A743,tropes!$A$4:$O$2428,2,FALSE)</f>
        <v>#N/A</v>
      </c>
      <c r="C743" s="5" t="e">
        <f>VLOOKUP($A743,tropes!$A$4:$O$2428,3,FALSE)</f>
        <v>#N/A</v>
      </c>
      <c r="D743" s="5" t="e">
        <f>VLOOKUP($A743,tropes!$A$4:$O$2428,4,FALSE)</f>
        <v>#N/A</v>
      </c>
      <c r="E743" s="5" t="e">
        <f>VLOOKUP($A743,tropes!$A$4:$O$2428,5,FALSE)</f>
        <v>#N/A</v>
      </c>
      <c r="F743" s="5" t="e">
        <f>VLOOKUP($A743,tropes!$A$4:$O$2428,6,FALSE)</f>
        <v>#N/A</v>
      </c>
      <c r="G743" s="5" t="e">
        <f>VLOOKUP($A743,tropes!$A$4:$O$2428,7,FALSE)</f>
        <v>#N/A</v>
      </c>
      <c r="H743" s="5" t="e">
        <f>VLOOKUP($A743,tropes!$A$4:$O$2428,8,FALSE)</f>
        <v>#N/A</v>
      </c>
      <c r="I743" s="5" t="e">
        <f>VLOOKUP($A743,tropes!$A$4:$O$2428,9,FALSE)</f>
        <v>#N/A</v>
      </c>
      <c r="J743" s="5" t="e">
        <f>VLOOKUP($A743,tropes!$A$4:$O$2428,10,FALSE)</f>
        <v>#N/A</v>
      </c>
      <c r="K743" s="5" t="e">
        <f>VLOOKUP($A743,tropes!$A$4:$O$2428,11,FALSE)</f>
        <v>#N/A</v>
      </c>
      <c r="L743" s="5" t="e">
        <f>VLOOKUP($A743,tropes!$A$4:$O$2428,12,FALSE)</f>
        <v>#N/A</v>
      </c>
      <c r="M743" s="5" t="e">
        <f>VLOOKUP($A743,tropes!$A$4:$O$2428,13,FALSE)</f>
        <v>#N/A</v>
      </c>
      <c r="N743" s="5"/>
    </row>
    <row r="744" spans="1:14" x14ac:dyDescent="0.3">
      <c r="A744" s="14"/>
      <c r="B744" s="5" t="e">
        <f>VLOOKUP($A744,tropes!$A$4:$O$2428,2,FALSE)</f>
        <v>#N/A</v>
      </c>
      <c r="C744" s="5" t="e">
        <f>VLOOKUP($A744,tropes!$A$4:$O$2428,3,FALSE)</f>
        <v>#N/A</v>
      </c>
      <c r="D744" s="5" t="e">
        <f>VLOOKUP($A744,tropes!$A$4:$O$2428,4,FALSE)</f>
        <v>#N/A</v>
      </c>
      <c r="E744" s="5" t="e">
        <f>VLOOKUP($A744,tropes!$A$4:$O$2428,5,FALSE)</f>
        <v>#N/A</v>
      </c>
      <c r="F744" s="5" t="e">
        <f>VLOOKUP($A744,tropes!$A$4:$O$2428,6,FALSE)</f>
        <v>#N/A</v>
      </c>
      <c r="G744" s="5" t="e">
        <f>VLOOKUP($A744,tropes!$A$4:$O$2428,7,FALSE)</f>
        <v>#N/A</v>
      </c>
      <c r="H744" s="5" t="e">
        <f>VLOOKUP($A744,tropes!$A$4:$O$2428,8,FALSE)</f>
        <v>#N/A</v>
      </c>
      <c r="I744" s="5" t="e">
        <f>VLOOKUP($A744,tropes!$A$4:$O$2428,9,FALSE)</f>
        <v>#N/A</v>
      </c>
      <c r="J744" s="5" t="e">
        <f>VLOOKUP($A744,tropes!$A$4:$O$2428,10,FALSE)</f>
        <v>#N/A</v>
      </c>
      <c r="K744" s="5" t="e">
        <f>VLOOKUP($A744,tropes!$A$4:$O$2428,11,FALSE)</f>
        <v>#N/A</v>
      </c>
      <c r="L744" s="5" t="e">
        <f>VLOOKUP($A744,tropes!$A$4:$O$2428,12,FALSE)</f>
        <v>#N/A</v>
      </c>
      <c r="M744" s="5" t="e">
        <f>VLOOKUP($A744,tropes!$A$4:$O$2428,13,FALSE)</f>
        <v>#N/A</v>
      </c>
      <c r="N744" s="5"/>
    </row>
    <row r="745" spans="1:14" x14ac:dyDescent="0.3">
      <c r="A745" s="14"/>
      <c r="B745" s="5" t="e">
        <f>VLOOKUP($A745,tropes!$A$4:$O$2428,2,FALSE)</f>
        <v>#N/A</v>
      </c>
      <c r="C745" s="5" t="e">
        <f>VLOOKUP($A745,tropes!$A$4:$O$2428,3,FALSE)</f>
        <v>#N/A</v>
      </c>
      <c r="D745" s="5" t="e">
        <f>VLOOKUP($A745,tropes!$A$4:$O$2428,4,FALSE)</f>
        <v>#N/A</v>
      </c>
      <c r="E745" s="5" t="e">
        <f>VLOOKUP($A745,tropes!$A$4:$O$2428,5,FALSE)</f>
        <v>#N/A</v>
      </c>
      <c r="F745" s="5" t="e">
        <f>VLOOKUP($A745,tropes!$A$4:$O$2428,6,FALSE)</f>
        <v>#N/A</v>
      </c>
      <c r="G745" s="5" t="e">
        <f>VLOOKUP($A745,tropes!$A$4:$O$2428,7,FALSE)</f>
        <v>#N/A</v>
      </c>
      <c r="H745" s="5" t="e">
        <f>VLOOKUP($A745,tropes!$A$4:$O$2428,8,FALSE)</f>
        <v>#N/A</v>
      </c>
      <c r="I745" s="5" t="e">
        <f>VLOOKUP($A745,tropes!$A$4:$O$2428,9,FALSE)</f>
        <v>#N/A</v>
      </c>
      <c r="J745" s="5" t="e">
        <f>VLOOKUP($A745,tropes!$A$4:$O$2428,10,FALSE)</f>
        <v>#N/A</v>
      </c>
      <c r="K745" s="5" t="e">
        <f>VLOOKUP($A745,tropes!$A$4:$O$2428,11,FALSE)</f>
        <v>#N/A</v>
      </c>
      <c r="L745" s="5" t="e">
        <f>VLOOKUP($A745,tropes!$A$4:$O$2428,12,FALSE)</f>
        <v>#N/A</v>
      </c>
      <c r="M745" s="5" t="e">
        <f>VLOOKUP($A745,tropes!$A$4:$O$2428,13,FALSE)</f>
        <v>#N/A</v>
      </c>
      <c r="N745" s="5"/>
    </row>
    <row r="746" spans="1:14" x14ac:dyDescent="0.3">
      <c r="A746" s="14"/>
      <c r="B746" s="5" t="e">
        <f>VLOOKUP($A746,tropes!$A$4:$O$2428,2,FALSE)</f>
        <v>#N/A</v>
      </c>
      <c r="C746" s="5" t="e">
        <f>VLOOKUP($A746,tropes!$A$4:$O$2428,3,FALSE)</f>
        <v>#N/A</v>
      </c>
      <c r="D746" s="5" t="e">
        <f>VLOOKUP($A746,tropes!$A$4:$O$2428,4,FALSE)</f>
        <v>#N/A</v>
      </c>
      <c r="E746" s="5" t="e">
        <f>VLOOKUP($A746,tropes!$A$4:$O$2428,5,FALSE)</f>
        <v>#N/A</v>
      </c>
      <c r="F746" s="5" t="e">
        <f>VLOOKUP($A746,tropes!$A$4:$O$2428,6,FALSE)</f>
        <v>#N/A</v>
      </c>
      <c r="G746" s="5" t="e">
        <f>VLOOKUP($A746,tropes!$A$4:$O$2428,7,FALSE)</f>
        <v>#N/A</v>
      </c>
      <c r="H746" s="5" t="e">
        <f>VLOOKUP($A746,tropes!$A$4:$O$2428,8,FALSE)</f>
        <v>#N/A</v>
      </c>
      <c r="I746" s="5" t="e">
        <f>VLOOKUP($A746,tropes!$A$4:$O$2428,9,FALSE)</f>
        <v>#N/A</v>
      </c>
      <c r="J746" s="5" t="e">
        <f>VLOOKUP($A746,tropes!$A$4:$O$2428,10,FALSE)</f>
        <v>#N/A</v>
      </c>
      <c r="K746" s="5" t="e">
        <f>VLOOKUP($A746,tropes!$A$4:$O$2428,11,FALSE)</f>
        <v>#N/A</v>
      </c>
      <c r="L746" s="5" t="e">
        <f>VLOOKUP($A746,tropes!$A$4:$O$2428,12,FALSE)</f>
        <v>#N/A</v>
      </c>
      <c r="M746" s="5" t="e">
        <f>VLOOKUP($A746,tropes!$A$4:$O$2428,13,FALSE)</f>
        <v>#N/A</v>
      </c>
      <c r="N746" s="5"/>
    </row>
    <row r="747" spans="1:14" x14ac:dyDescent="0.3">
      <c r="A747" s="14"/>
      <c r="B747" s="5" t="e">
        <f>VLOOKUP($A747,tropes!$A$4:$O$2428,2,FALSE)</f>
        <v>#N/A</v>
      </c>
      <c r="C747" s="5" t="e">
        <f>VLOOKUP($A747,tropes!$A$4:$O$2428,3,FALSE)</f>
        <v>#N/A</v>
      </c>
      <c r="D747" s="5" t="e">
        <f>VLOOKUP($A747,tropes!$A$4:$O$2428,4,FALSE)</f>
        <v>#N/A</v>
      </c>
      <c r="E747" s="5" t="e">
        <f>VLOOKUP($A747,tropes!$A$4:$O$2428,5,FALSE)</f>
        <v>#N/A</v>
      </c>
      <c r="F747" s="5" t="e">
        <f>VLOOKUP($A747,tropes!$A$4:$O$2428,6,FALSE)</f>
        <v>#N/A</v>
      </c>
      <c r="G747" s="5" t="e">
        <f>VLOOKUP($A747,tropes!$A$4:$O$2428,7,FALSE)</f>
        <v>#N/A</v>
      </c>
      <c r="H747" s="5" t="e">
        <f>VLOOKUP($A747,tropes!$A$4:$O$2428,8,FALSE)</f>
        <v>#N/A</v>
      </c>
      <c r="I747" s="5" t="e">
        <f>VLOOKUP($A747,tropes!$A$4:$O$2428,9,FALSE)</f>
        <v>#N/A</v>
      </c>
      <c r="J747" s="5" t="e">
        <f>VLOOKUP($A747,tropes!$A$4:$O$2428,10,FALSE)</f>
        <v>#N/A</v>
      </c>
      <c r="K747" s="5" t="e">
        <f>VLOOKUP($A747,tropes!$A$4:$O$2428,11,FALSE)</f>
        <v>#N/A</v>
      </c>
      <c r="L747" s="5" t="e">
        <f>VLOOKUP($A747,tropes!$A$4:$O$2428,12,FALSE)</f>
        <v>#N/A</v>
      </c>
      <c r="M747" s="5" t="e">
        <f>VLOOKUP($A747,tropes!$A$4:$O$2428,13,FALSE)</f>
        <v>#N/A</v>
      </c>
      <c r="N747" s="5"/>
    </row>
    <row r="748" spans="1:14" x14ac:dyDescent="0.3">
      <c r="A748" s="14"/>
      <c r="B748" s="5" t="e">
        <f>VLOOKUP($A748,tropes!$A$4:$O$2428,2,FALSE)</f>
        <v>#N/A</v>
      </c>
      <c r="C748" s="5" t="e">
        <f>VLOOKUP($A748,tropes!$A$4:$O$2428,3,FALSE)</f>
        <v>#N/A</v>
      </c>
      <c r="D748" s="5" t="e">
        <f>VLOOKUP($A748,tropes!$A$4:$O$2428,4,FALSE)</f>
        <v>#N/A</v>
      </c>
      <c r="E748" s="5" t="e">
        <f>VLOOKUP($A748,tropes!$A$4:$O$2428,5,FALSE)</f>
        <v>#N/A</v>
      </c>
      <c r="F748" s="5" t="e">
        <f>VLOOKUP($A748,tropes!$A$4:$O$2428,6,FALSE)</f>
        <v>#N/A</v>
      </c>
      <c r="G748" s="5" t="e">
        <f>VLOOKUP($A748,tropes!$A$4:$O$2428,7,FALSE)</f>
        <v>#N/A</v>
      </c>
      <c r="H748" s="5" t="e">
        <f>VLOOKUP($A748,tropes!$A$4:$O$2428,8,FALSE)</f>
        <v>#N/A</v>
      </c>
      <c r="I748" s="5" t="e">
        <f>VLOOKUP($A748,tropes!$A$4:$O$2428,9,FALSE)</f>
        <v>#N/A</v>
      </c>
      <c r="J748" s="5" t="e">
        <f>VLOOKUP($A748,tropes!$A$4:$O$2428,10,FALSE)</f>
        <v>#N/A</v>
      </c>
      <c r="K748" s="5" t="e">
        <f>VLOOKUP($A748,tropes!$A$4:$O$2428,11,FALSE)</f>
        <v>#N/A</v>
      </c>
      <c r="L748" s="5" t="e">
        <f>VLOOKUP($A748,tropes!$A$4:$O$2428,12,FALSE)</f>
        <v>#N/A</v>
      </c>
      <c r="M748" s="5" t="e">
        <f>VLOOKUP($A748,tropes!$A$4:$O$2428,13,FALSE)</f>
        <v>#N/A</v>
      </c>
      <c r="N748" s="5"/>
    </row>
    <row r="749" spans="1:14" x14ac:dyDescent="0.3">
      <c r="A749" s="14"/>
      <c r="B749" s="5" t="e">
        <f>VLOOKUP($A749,tropes!$A$4:$O$2428,2,FALSE)</f>
        <v>#N/A</v>
      </c>
      <c r="C749" s="5" t="e">
        <f>VLOOKUP($A749,tropes!$A$4:$O$2428,3,FALSE)</f>
        <v>#N/A</v>
      </c>
      <c r="D749" s="5" t="e">
        <f>VLOOKUP($A749,tropes!$A$4:$O$2428,4,FALSE)</f>
        <v>#N/A</v>
      </c>
      <c r="E749" s="5" t="e">
        <f>VLOOKUP($A749,tropes!$A$4:$O$2428,5,FALSE)</f>
        <v>#N/A</v>
      </c>
      <c r="F749" s="5" t="e">
        <f>VLOOKUP($A749,tropes!$A$4:$O$2428,6,FALSE)</f>
        <v>#N/A</v>
      </c>
      <c r="G749" s="5" t="e">
        <f>VLOOKUP($A749,tropes!$A$4:$O$2428,7,FALSE)</f>
        <v>#N/A</v>
      </c>
      <c r="H749" s="5" t="e">
        <f>VLOOKUP($A749,tropes!$A$4:$O$2428,8,FALSE)</f>
        <v>#N/A</v>
      </c>
      <c r="I749" s="5" t="e">
        <f>VLOOKUP($A749,tropes!$A$4:$O$2428,9,FALSE)</f>
        <v>#N/A</v>
      </c>
      <c r="J749" s="5" t="e">
        <f>VLOOKUP($A749,tropes!$A$4:$O$2428,10,FALSE)</f>
        <v>#N/A</v>
      </c>
      <c r="K749" s="5" t="e">
        <f>VLOOKUP($A749,tropes!$A$4:$O$2428,11,FALSE)</f>
        <v>#N/A</v>
      </c>
      <c r="L749" s="5" t="e">
        <f>VLOOKUP($A749,tropes!$A$4:$O$2428,12,FALSE)</f>
        <v>#N/A</v>
      </c>
      <c r="M749" s="5" t="e">
        <f>VLOOKUP($A749,tropes!$A$4:$O$2428,13,FALSE)</f>
        <v>#N/A</v>
      </c>
      <c r="N749" s="5"/>
    </row>
    <row r="750" spans="1:14" x14ac:dyDescent="0.3">
      <c r="A750" s="14"/>
      <c r="B750" s="5" t="e">
        <f>VLOOKUP($A750,tropes!$A$4:$O$2428,2,FALSE)</f>
        <v>#N/A</v>
      </c>
      <c r="C750" s="5" t="e">
        <f>VLOOKUP($A750,tropes!$A$4:$O$2428,3,FALSE)</f>
        <v>#N/A</v>
      </c>
      <c r="D750" s="5" t="e">
        <f>VLOOKUP($A750,tropes!$A$4:$O$2428,4,FALSE)</f>
        <v>#N/A</v>
      </c>
      <c r="E750" s="5" t="e">
        <f>VLOOKUP($A750,tropes!$A$4:$O$2428,5,FALSE)</f>
        <v>#N/A</v>
      </c>
      <c r="F750" s="5" t="e">
        <f>VLOOKUP($A750,tropes!$A$4:$O$2428,6,FALSE)</f>
        <v>#N/A</v>
      </c>
      <c r="G750" s="5" t="e">
        <f>VLOOKUP($A750,tropes!$A$4:$O$2428,7,FALSE)</f>
        <v>#N/A</v>
      </c>
      <c r="H750" s="5" t="e">
        <f>VLOOKUP($A750,tropes!$A$4:$O$2428,8,FALSE)</f>
        <v>#N/A</v>
      </c>
      <c r="I750" s="5" t="e">
        <f>VLOOKUP($A750,tropes!$A$4:$O$2428,9,FALSE)</f>
        <v>#N/A</v>
      </c>
      <c r="J750" s="5" t="e">
        <f>VLOOKUP($A750,tropes!$A$4:$O$2428,10,FALSE)</f>
        <v>#N/A</v>
      </c>
      <c r="K750" s="5" t="e">
        <f>VLOOKUP($A750,tropes!$A$4:$O$2428,11,FALSE)</f>
        <v>#N/A</v>
      </c>
      <c r="L750" s="5" t="e">
        <f>VLOOKUP($A750,tropes!$A$4:$O$2428,12,FALSE)</f>
        <v>#N/A</v>
      </c>
      <c r="M750" s="5" t="e">
        <f>VLOOKUP($A750,tropes!$A$4:$O$2428,13,FALSE)</f>
        <v>#N/A</v>
      </c>
      <c r="N750" s="5"/>
    </row>
    <row r="751" spans="1:14" x14ac:dyDescent="0.3">
      <c r="A751" s="14"/>
      <c r="B751" s="5" t="e">
        <f>VLOOKUP($A751,tropes!$A$4:$O$2428,2,FALSE)</f>
        <v>#N/A</v>
      </c>
      <c r="C751" s="5" t="e">
        <f>VLOOKUP($A751,tropes!$A$4:$O$2428,3,FALSE)</f>
        <v>#N/A</v>
      </c>
      <c r="D751" s="5" t="e">
        <f>VLOOKUP($A751,tropes!$A$4:$O$2428,4,FALSE)</f>
        <v>#N/A</v>
      </c>
      <c r="E751" s="5" t="e">
        <f>VLOOKUP($A751,tropes!$A$4:$O$2428,5,FALSE)</f>
        <v>#N/A</v>
      </c>
      <c r="F751" s="5" t="e">
        <f>VLOOKUP($A751,tropes!$A$4:$O$2428,6,FALSE)</f>
        <v>#N/A</v>
      </c>
      <c r="G751" s="5" t="e">
        <f>VLOOKUP($A751,tropes!$A$4:$O$2428,7,FALSE)</f>
        <v>#N/A</v>
      </c>
      <c r="H751" s="5" t="e">
        <f>VLOOKUP($A751,tropes!$A$4:$O$2428,8,FALSE)</f>
        <v>#N/A</v>
      </c>
      <c r="I751" s="5" t="e">
        <f>VLOOKUP($A751,tropes!$A$4:$O$2428,9,FALSE)</f>
        <v>#N/A</v>
      </c>
      <c r="J751" s="5" t="e">
        <f>VLOOKUP($A751,tropes!$A$4:$O$2428,10,FALSE)</f>
        <v>#N/A</v>
      </c>
      <c r="K751" s="5" t="e">
        <f>VLOOKUP($A751,tropes!$A$4:$O$2428,11,FALSE)</f>
        <v>#N/A</v>
      </c>
      <c r="L751" s="5" t="e">
        <f>VLOOKUP($A751,tropes!$A$4:$O$2428,12,FALSE)</f>
        <v>#N/A</v>
      </c>
      <c r="M751" s="5" t="e">
        <f>VLOOKUP($A751,tropes!$A$4:$O$2428,13,FALSE)</f>
        <v>#N/A</v>
      </c>
      <c r="N751" s="5"/>
    </row>
    <row r="752" spans="1:14" x14ac:dyDescent="0.3">
      <c r="A752" s="14"/>
      <c r="B752" s="5" t="e">
        <f>VLOOKUP($A752,tropes!$A$4:$O$2428,2,FALSE)</f>
        <v>#N/A</v>
      </c>
      <c r="C752" s="5" t="e">
        <f>VLOOKUP($A752,tropes!$A$4:$O$2428,3,FALSE)</f>
        <v>#N/A</v>
      </c>
      <c r="D752" s="5" t="e">
        <f>VLOOKUP($A752,tropes!$A$4:$O$2428,4,FALSE)</f>
        <v>#N/A</v>
      </c>
      <c r="E752" s="5" t="e">
        <f>VLOOKUP($A752,tropes!$A$4:$O$2428,5,FALSE)</f>
        <v>#N/A</v>
      </c>
      <c r="F752" s="5" t="e">
        <f>VLOOKUP($A752,tropes!$A$4:$O$2428,6,FALSE)</f>
        <v>#N/A</v>
      </c>
      <c r="G752" s="5" t="e">
        <f>VLOOKUP($A752,tropes!$A$4:$O$2428,7,FALSE)</f>
        <v>#N/A</v>
      </c>
      <c r="H752" s="5" t="e">
        <f>VLOOKUP($A752,tropes!$A$4:$O$2428,8,FALSE)</f>
        <v>#N/A</v>
      </c>
      <c r="I752" s="5" t="e">
        <f>VLOOKUP($A752,tropes!$A$4:$O$2428,9,FALSE)</f>
        <v>#N/A</v>
      </c>
      <c r="J752" s="5" t="e">
        <f>VLOOKUP($A752,tropes!$A$4:$O$2428,10,FALSE)</f>
        <v>#N/A</v>
      </c>
      <c r="K752" s="5" t="e">
        <f>VLOOKUP($A752,tropes!$A$4:$O$2428,11,FALSE)</f>
        <v>#N/A</v>
      </c>
      <c r="L752" s="5" t="e">
        <f>VLOOKUP($A752,tropes!$A$4:$O$2428,12,FALSE)</f>
        <v>#N/A</v>
      </c>
      <c r="M752" s="5" t="e">
        <f>VLOOKUP($A752,tropes!$A$4:$O$2428,13,FALSE)</f>
        <v>#N/A</v>
      </c>
      <c r="N752" s="5"/>
    </row>
    <row r="753" spans="1:14" x14ac:dyDescent="0.3">
      <c r="A753" s="14"/>
      <c r="B753" s="5" t="e">
        <f>VLOOKUP($A753,tropes!$A$4:$O$2428,2,FALSE)</f>
        <v>#N/A</v>
      </c>
      <c r="C753" s="5" t="e">
        <f>VLOOKUP($A753,tropes!$A$4:$O$2428,3,FALSE)</f>
        <v>#N/A</v>
      </c>
      <c r="D753" s="5" t="e">
        <f>VLOOKUP($A753,tropes!$A$4:$O$2428,4,FALSE)</f>
        <v>#N/A</v>
      </c>
      <c r="E753" s="5" t="e">
        <f>VLOOKUP($A753,tropes!$A$4:$O$2428,5,FALSE)</f>
        <v>#N/A</v>
      </c>
      <c r="F753" s="5" t="e">
        <f>VLOOKUP($A753,tropes!$A$4:$O$2428,6,FALSE)</f>
        <v>#N/A</v>
      </c>
      <c r="G753" s="5" t="e">
        <f>VLOOKUP($A753,tropes!$A$4:$O$2428,7,FALSE)</f>
        <v>#N/A</v>
      </c>
      <c r="H753" s="5" t="e">
        <f>VLOOKUP($A753,tropes!$A$4:$O$2428,8,FALSE)</f>
        <v>#N/A</v>
      </c>
      <c r="I753" s="5" t="e">
        <f>VLOOKUP($A753,tropes!$A$4:$O$2428,9,FALSE)</f>
        <v>#N/A</v>
      </c>
      <c r="J753" s="5" t="e">
        <f>VLOOKUP($A753,tropes!$A$4:$O$2428,10,FALSE)</f>
        <v>#N/A</v>
      </c>
      <c r="K753" s="5" t="e">
        <f>VLOOKUP($A753,tropes!$A$4:$O$2428,11,FALSE)</f>
        <v>#N/A</v>
      </c>
      <c r="L753" s="5" t="e">
        <f>VLOOKUP($A753,tropes!$A$4:$O$2428,12,FALSE)</f>
        <v>#N/A</v>
      </c>
      <c r="M753" s="5" t="e">
        <f>VLOOKUP($A753,tropes!$A$4:$O$2428,13,FALSE)</f>
        <v>#N/A</v>
      </c>
      <c r="N753" s="5"/>
    </row>
    <row r="754" spans="1:14" x14ac:dyDescent="0.3">
      <c r="A754" s="14"/>
      <c r="B754" s="5" t="e">
        <f>VLOOKUP($A754,tropes!$A$4:$O$2428,2,FALSE)</f>
        <v>#N/A</v>
      </c>
      <c r="C754" s="5" t="e">
        <f>VLOOKUP($A754,tropes!$A$4:$O$2428,3,FALSE)</f>
        <v>#N/A</v>
      </c>
      <c r="D754" s="5" t="e">
        <f>VLOOKUP($A754,tropes!$A$4:$O$2428,4,FALSE)</f>
        <v>#N/A</v>
      </c>
      <c r="E754" s="5" t="e">
        <f>VLOOKUP($A754,tropes!$A$4:$O$2428,5,FALSE)</f>
        <v>#N/A</v>
      </c>
      <c r="F754" s="5" t="e">
        <f>VLOOKUP($A754,tropes!$A$4:$O$2428,6,FALSE)</f>
        <v>#N/A</v>
      </c>
      <c r="G754" s="5" t="e">
        <f>VLOOKUP($A754,tropes!$A$4:$O$2428,7,FALSE)</f>
        <v>#N/A</v>
      </c>
      <c r="H754" s="5" t="e">
        <f>VLOOKUP($A754,tropes!$A$4:$O$2428,8,FALSE)</f>
        <v>#N/A</v>
      </c>
      <c r="I754" s="5" t="e">
        <f>VLOOKUP($A754,tropes!$A$4:$O$2428,9,FALSE)</f>
        <v>#N/A</v>
      </c>
      <c r="J754" s="5" t="e">
        <f>VLOOKUP($A754,tropes!$A$4:$O$2428,10,FALSE)</f>
        <v>#N/A</v>
      </c>
      <c r="K754" s="5" t="e">
        <f>VLOOKUP($A754,tropes!$A$4:$O$2428,11,FALSE)</f>
        <v>#N/A</v>
      </c>
      <c r="L754" s="5" t="e">
        <f>VLOOKUP($A754,tropes!$A$4:$O$2428,12,FALSE)</f>
        <v>#N/A</v>
      </c>
      <c r="M754" s="5" t="e">
        <f>VLOOKUP($A754,tropes!$A$4:$O$2428,13,FALSE)</f>
        <v>#N/A</v>
      </c>
      <c r="N754" s="5"/>
    </row>
    <row r="755" spans="1:14" x14ac:dyDescent="0.3">
      <c r="A755" s="14"/>
      <c r="B755" s="5" t="e">
        <f>VLOOKUP($A755,tropes!$A$4:$O$2428,2,FALSE)</f>
        <v>#N/A</v>
      </c>
      <c r="C755" s="5" t="e">
        <f>VLOOKUP($A755,tropes!$A$4:$O$2428,3,FALSE)</f>
        <v>#N/A</v>
      </c>
      <c r="D755" s="5" t="e">
        <f>VLOOKUP($A755,tropes!$A$4:$O$2428,4,FALSE)</f>
        <v>#N/A</v>
      </c>
      <c r="E755" s="5" t="e">
        <f>VLOOKUP($A755,tropes!$A$4:$O$2428,5,FALSE)</f>
        <v>#N/A</v>
      </c>
      <c r="F755" s="5" t="e">
        <f>VLOOKUP($A755,tropes!$A$4:$O$2428,6,FALSE)</f>
        <v>#N/A</v>
      </c>
      <c r="G755" s="5" t="e">
        <f>VLOOKUP($A755,tropes!$A$4:$O$2428,7,FALSE)</f>
        <v>#N/A</v>
      </c>
      <c r="H755" s="5" t="e">
        <f>VLOOKUP($A755,tropes!$A$4:$O$2428,8,FALSE)</f>
        <v>#N/A</v>
      </c>
      <c r="I755" s="5" t="e">
        <f>VLOOKUP($A755,tropes!$A$4:$O$2428,9,FALSE)</f>
        <v>#N/A</v>
      </c>
      <c r="J755" s="5" t="e">
        <f>VLOOKUP($A755,tropes!$A$4:$O$2428,10,FALSE)</f>
        <v>#N/A</v>
      </c>
      <c r="K755" s="5" t="e">
        <f>VLOOKUP($A755,tropes!$A$4:$O$2428,11,FALSE)</f>
        <v>#N/A</v>
      </c>
      <c r="L755" s="5" t="e">
        <f>VLOOKUP($A755,tropes!$A$4:$O$2428,12,FALSE)</f>
        <v>#N/A</v>
      </c>
      <c r="M755" s="5" t="e">
        <f>VLOOKUP($A755,tropes!$A$4:$O$2428,13,FALSE)</f>
        <v>#N/A</v>
      </c>
      <c r="N755" s="5"/>
    </row>
  </sheetData>
  <sortState ref="A2:N755">
    <sortCondition ref="I2:I755"/>
    <sortCondition ref="B2:B755"/>
    <sortCondition ref="D2:D755"/>
    <sortCondition ref="E2:E755"/>
  </sortState>
  <conditionalFormatting sqref="B1:C1">
    <cfRule type="expression" dxfId="52" priority="43">
      <formula>O1&gt;0</formula>
    </cfRule>
  </conditionalFormatting>
  <conditionalFormatting sqref="A751:A755">
    <cfRule type="containsBlanks" dxfId="51" priority="42">
      <formula>LEN(TRIM(A751))=0</formula>
    </cfRule>
  </conditionalFormatting>
  <conditionalFormatting sqref="A417:A750">
    <cfRule type="containsBlanks" dxfId="50" priority="38">
      <formula>LEN(TRIM(A417))=0</formula>
    </cfRule>
  </conditionalFormatting>
  <conditionalFormatting sqref="A320:A416">
    <cfRule type="containsBlanks" dxfId="49" priority="37">
      <formula>LEN(TRIM(A320))=0</formula>
    </cfRule>
  </conditionalFormatting>
  <conditionalFormatting sqref="A172:A319">
    <cfRule type="containsBlanks" dxfId="48" priority="29">
      <formula>LEN(TRIM(A172))=0</formula>
    </cfRule>
  </conditionalFormatting>
  <conditionalFormatting sqref="A169:A171">
    <cfRule type="containsBlanks" dxfId="43" priority="8">
      <formula>LEN(TRIM(A169))=0</formula>
    </cfRule>
  </conditionalFormatting>
  <conditionalFormatting sqref="A165:A168">
    <cfRule type="containsBlanks" dxfId="41" priority="6">
      <formula>LEN(TRIM(A165))=0</formula>
    </cfRule>
  </conditionalFormatting>
  <conditionalFormatting sqref="A161:A164">
    <cfRule type="containsBlanks" dxfId="39" priority="4">
      <formula>LEN(TRIM(A161))=0</formula>
    </cfRule>
  </conditionalFormatting>
  <conditionalFormatting sqref="A86:A160">
    <cfRule type="containsBlanks" dxfId="5" priority="2">
      <formula>LEN(TRIM(A86))=0</formula>
    </cfRule>
  </conditionalFormatting>
  <conditionalFormatting sqref="A2:A85">
    <cfRule type="containsBlanks" dxfId="2" priority="1">
      <formula>LEN(TRIM(A2))=0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693"/>
  <sheetViews>
    <sheetView zoomScaleNormal="100" workbookViewId="0">
      <pane ySplit="1" topLeftCell="A11" activePane="bottomLeft" state="frozen"/>
      <selection activeCell="B2908" sqref="B2908"/>
      <selection pane="bottomLeft" activeCell="B2908" sqref="B2908"/>
    </sheetView>
  </sheetViews>
  <sheetFormatPr defaultColWidth="83.77734375" defaultRowHeight="10.5" x14ac:dyDescent="0.3"/>
  <cols>
    <col min="1" max="1" width="7.6640625" style="6" bestFit="1" customWidth="1"/>
    <col min="2" max="2" width="7.44140625" style="6" bestFit="1" customWidth="1"/>
    <col min="3" max="3" width="6.77734375" style="1" bestFit="1" customWidth="1"/>
    <col min="4" max="4" width="7.44140625" style="6" bestFit="1" customWidth="1"/>
    <col min="5" max="5" width="41.77734375" style="9" bestFit="1" customWidth="1"/>
    <col min="6" max="6" width="13" style="9" bestFit="1" customWidth="1"/>
    <col min="7" max="7" width="17.109375" style="6" bestFit="1" customWidth="1"/>
    <col min="8" max="8" width="14.77734375" style="6" bestFit="1" customWidth="1"/>
    <col min="9" max="9" width="12.44140625" style="12" bestFit="1" customWidth="1"/>
    <col min="10" max="15" width="83.77734375" style="6"/>
    <col min="16" max="19" width="25.77734375" style="6" customWidth="1"/>
    <col min="20" max="16384" width="83.77734375" style="6"/>
  </cols>
  <sheetData>
    <row r="1" spans="1:9" x14ac:dyDescent="0.3">
      <c r="A1" s="6" t="s">
        <v>161</v>
      </c>
      <c r="B1" s="6" t="s">
        <v>15</v>
      </c>
      <c r="C1" s="1" t="s">
        <v>69</v>
      </c>
      <c r="D1" s="6" t="s">
        <v>70</v>
      </c>
      <c r="E1" s="9" t="s">
        <v>71</v>
      </c>
      <c r="F1" s="9" t="s">
        <v>72</v>
      </c>
      <c r="G1" s="6" t="s">
        <v>73</v>
      </c>
      <c r="H1" s="6" t="s">
        <v>1699</v>
      </c>
      <c r="I1" s="12" t="s">
        <v>1700</v>
      </c>
    </row>
    <row r="2" spans="1:9" x14ac:dyDescent="0.3">
      <c r="A2" s="6">
        <v>100</v>
      </c>
      <c r="B2" s="6">
        <v>1</v>
      </c>
      <c r="C2" s="1">
        <v>1</v>
      </c>
      <c r="D2" s="6">
        <v>0</v>
      </c>
      <c r="E2" s="9" t="s">
        <v>55</v>
      </c>
      <c r="F2" s="9">
        <v>3012.4</v>
      </c>
      <c r="G2" s="6" t="s">
        <v>86</v>
      </c>
      <c r="H2" s="6">
        <f>COUNTIF(tropes!K$5:K$2430,episodes!E2)</f>
        <v>51</v>
      </c>
      <c r="I2" s="12">
        <v>7.7</v>
      </c>
    </row>
    <row r="3" spans="1:9" x14ac:dyDescent="0.3">
      <c r="A3" s="6">
        <v>101</v>
      </c>
      <c r="B3" s="6">
        <v>2</v>
      </c>
      <c r="C3" s="1">
        <v>1</v>
      </c>
      <c r="D3" s="6">
        <v>1</v>
      </c>
      <c r="E3" s="9" t="s">
        <v>14</v>
      </c>
      <c r="F3" s="9">
        <v>1513.1</v>
      </c>
      <c r="G3" s="6" t="s">
        <v>74</v>
      </c>
      <c r="H3" s="6">
        <f>COUNTIF(tropes!K$5:K$2430,episodes!E3)</f>
        <v>78</v>
      </c>
      <c r="I3" s="12">
        <v>7.3</v>
      </c>
    </row>
    <row r="4" spans="1:9" x14ac:dyDescent="0.3">
      <c r="A4" s="6">
        <v>102</v>
      </c>
      <c r="B4" s="6">
        <v>3</v>
      </c>
      <c r="C4" s="1">
        <v>1</v>
      </c>
      <c r="D4" s="6">
        <v>2</v>
      </c>
      <c r="E4" s="9" t="s">
        <v>11</v>
      </c>
      <c r="F4" s="9">
        <v>1533.6</v>
      </c>
      <c r="G4" s="6" t="s">
        <v>75</v>
      </c>
      <c r="H4" s="6">
        <f>COUNTIF(tropes!K$5:K$2430,episodes!E4)</f>
        <v>54</v>
      </c>
      <c r="I4" s="12">
        <v>7.2</v>
      </c>
    </row>
    <row r="5" spans="1:9" x14ac:dyDescent="0.3">
      <c r="A5" s="6">
        <v>103</v>
      </c>
      <c r="B5" s="6">
        <v>4</v>
      </c>
      <c r="C5" s="1">
        <v>1</v>
      </c>
      <c r="D5" s="6">
        <v>3</v>
      </c>
      <c r="E5" s="9" t="s">
        <v>9</v>
      </c>
      <c r="F5" s="9">
        <v>1312.4</v>
      </c>
      <c r="G5" s="6" t="s">
        <v>76</v>
      </c>
      <c r="H5" s="6">
        <f>COUNTIF(tropes!K$5:K$2430,episodes!E5)</f>
        <v>47</v>
      </c>
      <c r="I5" s="12">
        <v>7.9</v>
      </c>
    </row>
    <row r="6" spans="1:9" x14ac:dyDescent="0.3">
      <c r="A6" s="6">
        <v>104</v>
      </c>
      <c r="B6" s="6">
        <v>5</v>
      </c>
      <c r="C6" s="1">
        <v>1</v>
      </c>
      <c r="D6" s="6">
        <v>4</v>
      </c>
      <c r="E6" s="9" t="s">
        <v>19</v>
      </c>
      <c r="F6" s="9">
        <v>1704.2</v>
      </c>
      <c r="G6" s="6" t="s">
        <v>77</v>
      </c>
      <c r="H6" s="6">
        <f>COUNTIF(tropes!K$5:K$2430,episodes!E6)</f>
        <v>63</v>
      </c>
      <c r="I6" s="12">
        <v>8</v>
      </c>
    </row>
    <row r="7" spans="1:9" x14ac:dyDescent="0.3">
      <c r="A7" s="6">
        <v>105</v>
      </c>
      <c r="B7" s="6">
        <v>6</v>
      </c>
      <c r="C7" s="1">
        <v>1</v>
      </c>
      <c r="D7" s="6">
        <v>5</v>
      </c>
      <c r="E7" s="9" t="s">
        <v>38</v>
      </c>
      <c r="F7" s="9">
        <v>1672.1</v>
      </c>
      <c r="G7" s="6" t="s">
        <v>78</v>
      </c>
      <c r="H7" s="6">
        <f>COUNTIF(tropes!K$5:K$2430,episodes!E7)</f>
        <v>60</v>
      </c>
      <c r="I7" s="12">
        <v>7.8</v>
      </c>
    </row>
    <row r="8" spans="1:9" x14ac:dyDescent="0.3">
      <c r="A8" s="6">
        <v>106</v>
      </c>
      <c r="B8" s="6">
        <v>7</v>
      </c>
      <c r="C8" s="1">
        <v>1</v>
      </c>
      <c r="D8" s="6">
        <v>6</v>
      </c>
      <c r="E8" s="9" t="s">
        <v>20</v>
      </c>
      <c r="F8" s="9">
        <v>1329.8</v>
      </c>
      <c r="G8" s="6" t="s">
        <v>79</v>
      </c>
      <c r="H8" s="6">
        <f>COUNTIF(tropes!K$5:K$2430,episodes!E8)</f>
        <v>58</v>
      </c>
      <c r="I8" s="12">
        <v>7</v>
      </c>
    </row>
    <row r="9" spans="1:9" x14ac:dyDescent="0.3">
      <c r="A9" s="6">
        <v>107</v>
      </c>
      <c r="B9" s="6">
        <v>8</v>
      </c>
      <c r="C9" s="1">
        <v>1</v>
      </c>
      <c r="D9" s="6">
        <v>7</v>
      </c>
      <c r="E9" s="9" t="s">
        <v>17</v>
      </c>
      <c r="F9" s="9">
        <v>2712.4</v>
      </c>
      <c r="G9" s="6" t="s">
        <v>80</v>
      </c>
      <c r="H9" s="6">
        <f>COUNTIF(tropes!K$5:K$2430,episodes!E9)</f>
        <v>60</v>
      </c>
      <c r="I9" s="12">
        <v>7.7</v>
      </c>
    </row>
    <row r="10" spans="1:9" x14ac:dyDescent="0.3">
      <c r="A10" s="6">
        <v>108</v>
      </c>
      <c r="B10" s="6">
        <v>9</v>
      </c>
      <c r="C10" s="1">
        <v>1</v>
      </c>
      <c r="D10" s="6">
        <v>8</v>
      </c>
      <c r="E10" s="9" t="s">
        <v>39</v>
      </c>
      <c r="F10" s="9">
        <v>2713.5</v>
      </c>
      <c r="G10" s="6" t="s">
        <v>81</v>
      </c>
      <c r="H10" s="6">
        <f>COUNTIF(tropes!K$5:K$2430,episodes!E10)</f>
        <v>50</v>
      </c>
      <c r="I10" s="12">
        <v>7.2</v>
      </c>
    </row>
    <row r="11" spans="1:9" x14ac:dyDescent="0.3">
      <c r="A11" s="6">
        <v>109</v>
      </c>
      <c r="B11" s="6">
        <v>10</v>
      </c>
      <c r="C11" s="1">
        <v>1</v>
      </c>
      <c r="D11" s="6">
        <v>9</v>
      </c>
      <c r="E11" s="9" t="s">
        <v>82</v>
      </c>
      <c r="F11" s="9">
        <v>2715.1</v>
      </c>
      <c r="G11" s="6" t="s">
        <v>83</v>
      </c>
      <c r="H11" s="6">
        <f>COUNTIF(tropes!K$5:K$2430,episodes!E11)</f>
        <v>43</v>
      </c>
      <c r="I11" s="12">
        <v>7.5</v>
      </c>
    </row>
    <row r="12" spans="1:9" x14ac:dyDescent="0.3">
      <c r="A12" s="6">
        <v>110</v>
      </c>
      <c r="B12" s="6">
        <v>11</v>
      </c>
      <c r="C12" s="1">
        <v>1</v>
      </c>
      <c r="D12" s="6">
        <v>10</v>
      </c>
      <c r="E12" s="9" t="s">
        <v>10</v>
      </c>
      <c r="F12" s="9">
        <v>1512.2</v>
      </c>
      <c r="G12" s="6" t="s">
        <v>84</v>
      </c>
      <c r="H12" s="6">
        <f>COUNTIF(tropes!K$5:K$2430,episodes!E12)</f>
        <v>59</v>
      </c>
      <c r="I12" s="12">
        <v>8.1999999999999993</v>
      </c>
    </row>
    <row r="13" spans="1:9" x14ac:dyDescent="0.3">
      <c r="A13" s="6">
        <v>111</v>
      </c>
      <c r="B13" s="6">
        <v>12</v>
      </c>
      <c r="C13" s="1">
        <v>1</v>
      </c>
      <c r="D13" s="6">
        <v>11</v>
      </c>
      <c r="E13" s="9" t="s">
        <v>85</v>
      </c>
      <c r="F13" s="9">
        <v>3012.4</v>
      </c>
      <c r="G13" s="6" t="s">
        <v>86</v>
      </c>
      <c r="H13" s="6">
        <f>COUNTIF(tropes!K$5:K$2430,episodes!E13)</f>
        <v>27</v>
      </c>
      <c r="I13" s="12">
        <v>8.5</v>
      </c>
    </row>
    <row r="14" spans="1:9" x14ac:dyDescent="0.3">
      <c r="A14" s="6">
        <v>112</v>
      </c>
      <c r="B14" s="6">
        <v>13</v>
      </c>
      <c r="C14" s="1">
        <v>1</v>
      </c>
      <c r="D14" s="6">
        <v>12</v>
      </c>
      <c r="E14" s="9" t="s">
        <v>87</v>
      </c>
      <c r="F14" s="9">
        <v>3013.1</v>
      </c>
      <c r="G14" s="6" t="s">
        <v>88</v>
      </c>
      <c r="H14" s="6">
        <f>COUNTIF(tropes!K$5:K$2430,episodes!E14)</f>
        <v>5</v>
      </c>
      <c r="I14" s="12">
        <v>8.4</v>
      </c>
    </row>
    <row r="15" spans="1:9" x14ac:dyDescent="0.3">
      <c r="A15" s="6">
        <v>113</v>
      </c>
      <c r="B15" s="6">
        <v>14</v>
      </c>
      <c r="C15" s="1">
        <v>1</v>
      </c>
      <c r="D15" s="6">
        <v>13</v>
      </c>
      <c r="E15" s="9" t="s">
        <v>47</v>
      </c>
      <c r="F15" s="9">
        <v>2817.6</v>
      </c>
      <c r="G15" s="6" t="s">
        <v>89</v>
      </c>
      <c r="H15" s="6">
        <f>COUNTIF(tropes!K$5:K$2430,episodes!E15)</f>
        <v>41</v>
      </c>
      <c r="I15" s="12">
        <v>7.3</v>
      </c>
    </row>
    <row r="16" spans="1:9" x14ac:dyDescent="0.3">
      <c r="A16" s="6">
        <v>114</v>
      </c>
      <c r="B16" s="6">
        <v>15</v>
      </c>
      <c r="C16" s="1">
        <v>1</v>
      </c>
      <c r="D16" s="6">
        <v>14</v>
      </c>
      <c r="E16" s="9" t="s">
        <v>52</v>
      </c>
      <c r="F16" s="9">
        <v>1709.2</v>
      </c>
      <c r="G16" s="6" t="s">
        <v>90</v>
      </c>
      <c r="H16" s="6">
        <f>COUNTIF(tropes!K$5:K$2430,episodes!E16)</f>
        <v>50</v>
      </c>
      <c r="I16" s="12">
        <v>9</v>
      </c>
    </row>
    <row r="17" spans="1:9" x14ac:dyDescent="0.3">
      <c r="A17" s="6">
        <v>115</v>
      </c>
      <c r="B17" s="6">
        <v>16</v>
      </c>
      <c r="C17" s="1">
        <v>1</v>
      </c>
      <c r="D17" s="6">
        <v>15</v>
      </c>
      <c r="E17" s="9" t="s">
        <v>21</v>
      </c>
      <c r="F17" s="9">
        <v>3025.3</v>
      </c>
      <c r="G17" s="6" t="s">
        <v>91</v>
      </c>
      <c r="H17" s="6">
        <f>COUNTIF(tropes!K$5:K$2430,episodes!E17)</f>
        <v>64</v>
      </c>
      <c r="I17" s="12">
        <v>7.6</v>
      </c>
    </row>
    <row r="18" spans="1:9" x14ac:dyDescent="0.3">
      <c r="A18" s="6">
        <v>116</v>
      </c>
      <c r="B18" s="6">
        <v>17</v>
      </c>
      <c r="C18" s="1">
        <v>1</v>
      </c>
      <c r="D18" s="6">
        <v>16</v>
      </c>
      <c r="E18" s="9" t="s">
        <v>40</v>
      </c>
      <c r="F18" s="9">
        <v>2821.5</v>
      </c>
      <c r="G18" s="6" t="s">
        <v>92</v>
      </c>
      <c r="H18" s="6">
        <f>COUNTIF(tropes!K$5:K$2430,episodes!E18)</f>
        <v>58</v>
      </c>
      <c r="I18" s="12">
        <v>7.8</v>
      </c>
    </row>
    <row r="19" spans="1:9" x14ac:dyDescent="0.3">
      <c r="A19" s="6">
        <v>117</v>
      </c>
      <c r="B19" s="6">
        <v>18</v>
      </c>
      <c r="C19" s="1">
        <v>1</v>
      </c>
      <c r="D19" s="6">
        <v>17</v>
      </c>
      <c r="E19" s="9" t="s">
        <v>48</v>
      </c>
      <c r="F19" s="9">
        <v>2124.5</v>
      </c>
      <c r="G19" s="6" t="s">
        <v>93</v>
      </c>
      <c r="H19" s="6">
        <f>COUNTIF(tropes!K$5:K$2430,episodes!E19)</f>
        <v>49</v>
      </c>
      <c r="I19" s="12">
        <v>7.5</v>
      </c>
    </row>
    <row r="20" spans="1:9" x14ac:dyDescent="0.3">
      <c r="A20" s="6">
        <v>118</v>
      </c>
      <c r="B20" s="6">
        <v>19</v>
      </c>
      <c r="C20" s="1">
        <v>1</v>
      </c>
      <c r="D20" s="6">
        <v>18</v>
      </c>
      <c r="E20" s="9" t="s">
        <v>22</v>
      </c>
      <c r="F20" s="9">
        <v>3045.6</v>
      </c>
      <c r="G20" s="6" t="s">
        <v>94</v>
      </c>
      <c r="H20" s="6">
        <f>COUNTIF(tropes!K$5:K$2430,episodes!E20)</f>
        <v>42</v>
      </c>
      <c r="I20" s="12">
        <v>8.1</v>
      </c>
    </row>
    <row r="21" spans="1:9" x14ac:dyDescent="0.3">
      <c r="A21" s="6">
        <v>119</v>
      </c>
      <c r="B21" s="6">
        <v>20</v>
      </c>
      <c r="C21" s="1">
        <v>1</v>
      </c>
      <c r="D21" s="6">
        <v>19</v>
      </c>
      <c r="E21" s="9" t="s">
        <v>95</v>
      </c>
      <c r="F21" s="9">
        <v>3113.2</v>
      </c>
      <c r="G21" s="6" t="s">
        <v>96</v>
      </c>
      <c r="H21" s="6">
        <f>COUNTIF(tropes!K$5:K$2430,episodes!E21)</f>
        <v>45</v>
      </c>
      <c r="I21" s="12">
        <v>7.9</v>
      </c>
    </row>
    <row r="22" spans="1:9" x14ac:dyDescent="0.3">
      <c r="A22" s="6">
        <v>120</v>
      </c>
      <c r="B22" s="6">
        <v>21</v>
      </c>
      <c r="C22" s="1">
        <v>1</v>
      </c>
      <c r="D22" s="6">
        <v>20</v>
      </c>
      <c r="E22" s="9" t="s">
        <v>12</v>
      </c>
      <c r="F22" s="9">
        <v>2947.3</v>
      </c>
      <c r="G22" s="6" t="s">
        <v>97</v>
      </c>
      <c r="H22" s="6">
        <f>COUNTIF(tropes!K$5:K$2430,episodes!E22)</f>
        <v>32</v>
      </c>
      <c r="I22" s="12">
        <v>7.4</v>
      </c>
    </row>
    <row r="23" spans="1:9" x14ac:dyDescent="0.3">
      <c r="A23" s="6">
        <v>121</v>
      </c>
      <c r="B23" s="6">
        <v>22</v>
      </c>
      <c r="C23" s="1">
        <v>1</v>
      </c>
      <c r="D23" s="6">
        <v>21</v>
      </c>
      <c r="E23" s="9" t="s">
        <v>57</v>
      </c>
      <c r="F23" s="9">
        <v>3156.2</v>
      </c>
      <c r="G23" s="6" t="s">
        <v>98</v>
      </c>
      <c r="H23" s="6">
        <f>COUNTIF(tropes!K$5:K$2430,episodes!E23)</f>
        <v>55</v>
      </c>
      <c r="I23" s="12">
        <v>7.3</v>
      </c>
    </row>
    <row r="24" spans="1:9" x14ac:dyDescent="0.3">
      <c r="A24" s="6">
        <v>122</v>
      </c>
      <c r="B24" s="6">
        <v>23</v>
      </c>
      <c r="C24" s="1">
        <v>1</v>
      </c>
      <c r="D24" s="6">
        <v>22</v>
      </c>
      <c r="E24" s="9" t="s">
        <v>36</v>
      </c>
      <c r="F24" s="9">
        <v>3141.9</v>
      </c>
      <c r="G24" s="6" t="s">
        <v>99</v>
      </c>
      <c r="H24" s="6">
        <f>COUNTIF(tropes!K$5:K$2430,episodes!E24)</f>
        <v>57</v>
      </c>
      <c r="I24" s="12">
        <v>8.9</v>
      </c>
    </row>
    <row r="25" spans="1:9" x14ac:dyDescent="0.3">
      <c r="A25" s="6">
        <v>123</v>
      </c>
      <c r="B25" s="6">
        <v>24</v>
      </c>
      <c r="C25" s="1">
        <v>1</v>
      </c>
      <c r="D25" s="6">
        <v>23</v>
      </c>
      <c r="E25" s="9" t="s">
        <v>53</v>
      </c>
      <c r="F25" s="9">
        <v>3192.1</v>
      </c>
      <c r="G25" s="6" t="s">
        <v>100</v>
      </c>
      <c r="H25" s="6">
        <f>COUNTIF(tropes!K$5:K$2430,episodes!E25)</f>
        <v>57</v>
      </c>
      <c r="I25" s="12">
        <v>8.1</v>
      </c>
    </row>
    <row r="26" spans="1:9" x14ac:dyDescent="0.3">
      <c r="A26" s="6">
        <v>124</v>
      </c>
      <c r="B26" s="6">
        <v>25</v>
      </c>
      <c r="C26" s="1">
        <v>1</v>
      </c>
      <c r="D26" s="6">
        <v>24</v>
      </c>
      <c r="E26" s="9" t="s">
        <v>54</v>
      </c>
      <c r="F26" s="9" t="s">
        <v>101</v>
      </c>
      <c r="G26" s="6" t="s">
        <v>102</v>
      </c>
      <c r="H26" s="6">
        <f>COUNTIF(tropes!K$5:K$2430,episodes!E26)</f>
        <v>66</v>
      </c>
      <c r="I26" s="12">
        <v>8.1</v>
      </c>
    </row>
    <row r="27" spans="1:9" x14ac:dyDescent="0.3">
      <c r="A27" s="6">
        <v>125</v>
      </c>
      <c r="B27" s="6">
        <v>26</v>
      </c>
      <c r="C27" s="1">
        <v>1</v>
      </c>
      <c r="D27" s="6">
        <v>25</v>
      </c>
      <c r="E27" s="9" t="s">
        <v>59</v>
      </c>
      <c r="F27" s="9">
        <v>3196.1</v>
      </c>
      <c r="G27" s="6" t="s">
        <v>103</v>
      </c>
      <c r="H27" s="6">
        <f>COUNTIF(tropes!K$5:K$2430,episodes!E27)</f>
        <v>50</v>
      </c>
      <c r="I27" s="12">
        <v>8.5</v>
      </c>
    </row>
    <row r="28" spans="1:9" x14ac:dyDescent="0.3">
      <c r="A28" s="6">
        <v>126</v>
      </c>
      <c r="B28" s="6">
        <v>27</v>
      </c>
      <c r="C28" s="1">
        <v>1</v>
      </c>
      <c r="D28" s="6">
        <v>26</v>
      </c>
      <c r="E28" s="9" t="s">
        <v>51</v>
      </c>
      <c r="F28" s="9">
        <v>3198.4</v>
      </c>
      <c r="G28" s="6" t="s">
        <v>104</v>
      </c>
      <c r="H28" s="6">
        <f>COUNTIF(tropes!K$5:K$2430,episodes!E28)</f>
        <v>47</v>
      </c>
      <c r="I28" s="12">
        <v>8.3000000000000007</v>
      </c>
    </row>
    <row r="29" spans="1:9" x14ac:dyDescent="0.3">
      <c r="A29" s="6">
        <v>127</v>
      </c>
      <c r="B29" s="6">
        <v>28</v>
      </c>
      <c r="C29" s="1">
        <v>1</v>
      </c>
      <c r="D29" s="6">
        <v>27</v>
      </c>
      <c r="E29" s="9" t="s">
        <v>37</v>
      </c>
      <c r="F29" s="9">
        <v>3087.6</v>
      </c>
      <c r="G29" s="6" t="s">
        <v>105</v>
      </c>
      <c r="H29" s="6">
        <f>COUNTIF(tropes!K$5:K$2430,episodes!E29)</f>
        <v>58</v>
      </c>
      <c r="I29" s="12">
        <v>5.9</v>
      </c>
    </row>
    <row r="30" spans="1:9" x14ac:dyDescent="0.3">
      <c r="A30" s="6">
        <v>128</v>
      </c>
      <c r="B30" s="6">
        <v>29</v>
      </c>
      <c r="C30" s="1">
        <v>1</v>
      </c>
      <c r="D30" s="6">
        <v>28</v>
      </c>
      <c r="E30" s="9" t="s">
        <v>49</v>
      </c>
      <c r="F30" s="9">
        <v>3134</v>
      </c>
      <c r="G30" s="6" t="s">
        <v>106</v>
      </c>
      <c r="H30" s="6">
        <f>COUNTIF(tropes!K$5:K$2430,episodes!E30)</f>
        <v>72</v>
      </c>
      <c r="I30" s="12">
        <v>9.3000000000000007</v>
      </c>
    </row>
    <row r="31" spans="1:9" x14ac:dyDescent="0.3">
      <c r="A31" s="6">
        <v>129</v>
      </c>
      <c r="B31" s="6">
        <v>30</v>
      </c>
      <c r="C31" s="1">
        <v>1</v>
      </c>
      <c r="D31" s="6">
        <v>29</v>
      </c>
      <c r="E31" s="9" t="s">
        <v>107</v>
      </c>
      <c r="F31" s="9">
        <v>3287.2</v>
      </c>
      <c r="G31" s="6" t="s">
        <v>108</v>
      </c>
      <c r="H31" s="6">
        <f>COUNTIF(tropes!K$5:K$2430,episodes!E31)</f>
        <v>86</v>
      </c>
      <c r="I31" s="12">
        <v>7.6</v>
      </c>
    </row>
    <row r="32" spans="1:9" x14ac:dyDescent="0.3">
      <c r="A32" s="10">
        <v>201</v>
      </c>
      <c r="B32" s="10">
        <v>31</v>
      </c>
      <c r="C32" s="10">
        <v>2</v>
      </c>
      <c r="D32" s="10">
        <v>1</v>
      </c>
      <c r="E32" s="11" t="s">
        <v>34</v>
      </c>
      <c r="F32" s="11">
        <v>3372.7</v>
      </c>
      <c r="G32" s="10" t="s">
        <v>109</v>
      </c>
      <c r="H32" s="6">
        <f>COUNTIF(tropes!K$5:K$2430,episodes!E32)</f>
        <v>64</v>
      </c>
      <c r="I32" s="12">
        <v>8.8000000000000007</v>
      </c>
    </row>
    <row r="33" spans="1:9" x14ac:dyDescent="0.3">
      <c r="A33" s="10">
        <v>202</v>
      </c>
      <c r="B33" s="10">
        <v>32</v>
      </c>
      <c r="C33" s="10">
        <v>2</v>
      </c>
      <c r="D33" s="10">
        <v>2</v>
      </c>
      <c r="E33" s="11" t="s">
        <v>110</v>
      </c>
      <c r="F33" s="11">
        <v>3468.1</v>
      </c>
      <c r="G33" s="10" t="s">
        <v>111</v>
      </c>
      <c r="H33" s="6">
        <f>COUNTIF(tropes!K$5:K$2430,episodes!E33)</f>
        <v>72</v>
      </c>
      <c r="I33" s="12">
        <v>7</v>
      </c>
    </row>
    <row r="34" spans="1:9" x14ac:dyDescent="0.3">
      <c r="A34" s="10">
        <v>203</v>
      </c>
      <c r="B34" s="10">
        <v>33</v>
      </c>
      <c r="C34" s="10">
        <v>2</v>
      </c>
      <c r="D34" s="10">
        <v>3</v>
      </c>
      <c r="E34" s="11" t="s">
        <v>23</v>
      </c>
      <c r="F34" s="11">
        <v>3541.9</v>
      </c>
      <c r="G34" s="10" t="s">
        <v>112</v>
      </c>
      <c r="H34" s="6">
        <f>COUNTIF(tropes!K$5:K$2430,episodes!E34)</f>
        <v>57</v>
      </c>
      <c r="I34" s="12">
        <v>7.8</v>
      </c>
    </row>
    <row r="35" spans="1:9" x14ac:dyDescent="0.3">
      <c r="A35" s="10">
        <v>204</v>
      </c>
      <c r="B35" s="10">
        <v>34</v>
      </c>
      <c r="C35" s="10">
        <v>2</v>
      </c>
      <c r="D35" s="10">
        <v>4</v>
      </c>
      <c r="E35" s="11" t="s">
        <v>24</v>
      </c>
      <c r="F35" s="11" t="s">
        <v>113</v>
      </c>
      <c r="G35" s="10" t="s">
        <v>114</v>
      </c>
      <c r="H35" s="6">
        <f>COUNTIF(tropes!K$5:K$2430,episodes!E35)</f>
        <v>72</v>
      </c>
      <c r="I35" s="12">
        <v>9.1</v>
      </c>
    </row>
    <row r="36" spans="1:9" x14ac:dyDescent="0.3">
      <c r="A36" s="10">
        <v>205</v>
      </c>
      <c r="B36" s="10">
        <v>35</v>
      </c>
      <c r="C36" s="10">
        <v>2</v>
      </c>
      <c r="D36" s="10">
        <v>5</v>
      </c>
      <c r="E36" s="11" t="s">
        <v>25</v>
      </c>
      <c r="F36" s="11">
        <v>3715.3</v>
      </c>
      <c r="G36" s="10" t="s">
        <v>115</v>
      </c>
      <c r="H36" s="6">
        <f>COUNTIF(tropes!K$5:K$2430,episodes!E36)</f>
        <v>74</v>
      </c>
      <c r="I36" s="12">
        <v>6.4</v>
      </c>
    </row>
    <row r="37" spans="1:9" x14ac:dyDescent="0.3">
      <c r="A37" s="10">
        <v>206</v>
      </c>
      <c r="B37" s="10">
        <v>36</v>
      </c>
      <c r="C37" s="10">
        <v>2</v>
      </c>
      <c r="D37" s="10">
        <v>6</v>
      </c>
      <c r="E37" s="11" t="s">
        <v>32</v>
      </c>
      <c r="F37" s="11">
        <v>4202.8999999999996</v>
      </c>
      <c r="G37" s="10" t="s">
        <v>116</v>
      </c>
      <c r="H37" s="6">
        <f>COUNTIF(tropes!K$5:K$2430,episodes!E37)</f>
        <v>86</v>
      </c>
      <c r="I37" s="12">
        <v>8.8000000000000007</v>
      </c>
    </row>
    <row r="38" spans="1:9" x14ac:dyDescent="0.3">
      <c r="A38" s="10">
        <v>207</v>
      </c>
      <c r="B38" s="10">
        <v>37</v>
      </c>
      <c r="C38" s="10">
        <v>2</v>
      </c>
      <c r="D38" s="10">
        <v>7</v>
      </c>
      <c r="E38" s="11" t="s">
        <v>26</v>
      </c>
      <c r="F38" s="11">
        <v>3018.2</v>
      </c>
      <c r="G38" s="10" t="s">
        <v>117</v>
      </c>
      <c r="H38" s="6">
        <f>COUNTIF(tropes!K$5:K$2430,episodes!E38)</f>
        <v>50</v>
      </c>
      <c r="I38" s="12">
        <v>6.3</v>
      </c>
    </row>
    <row r="39" spans="1:9" x14ac:dyDescent="0.3">
      <c r="A39" s="10">
        <v>208</v>
      </c>
      <c r="B39" s="10">
        <v>38</v>
      </c>
      <c r="C39" s="10">
        <v>2</v>
      </c>
      <c r="D39" s="10">
        <v>8</v>
      </c>
      <c r="E39" s="11" t="s">
        <v>27</v>
      </c>
      <c r="F39" s="11">
        <v>4513.3</v>
      </c>
      <c r="G39" s="10" t="s">
        <v>118</v>
      </c>
      <c r="H39" s="6">
        <f>COUNTIF(tropes!K$5:K$2430,episodes!E39)</f>
        <v>46</v>
      </c>
      <c r="I39" s="12">
        <v>7.6</v>
      </c>
    </row>
    <row r="40" spans="1:9" x14ac:dyDescent="0.3">
      <c r="A40" s="10">
        <v>209</v>
      </c>
      <c r="B40" s="10">
        <v>39</v>
      </c>
      <c r="C40" s="10">
        <v>2</v>
      </c>
      <c r="D40" s="10">
        <v>9</v>
      </c>
      <c r="E40" s="11" t="s">
        <v>28</v>
      </c>
      <c r="F40" s="11">
        <v>3219.4</v>
      </c>
      <c r="G40" s="10" t="s">
        <v>119</v>
      </c>
      <c r="H40" s="6">
        <f>COUNTIF(tropes!K$5:K$2430,episodes!E40)</f>
        <v>41</v>
      </c>
      <c r="I40" s="12">
        <v>7.4</v>
      </c>
    </row>
    <row r="41" spans="1:9" x14ac:dyDescent="0.3">
      <c r="A41" s="10">
        <v>210</v>
      </c>
      <c r="B41" s="10">
        <v>40</v>
      </c>
      <c r="C41" s="10">
        <v>2</v>
      </c>
      <c r="D41" s="10">
        <v>10</v>
      </c>
      <c r="E41" s="11" t="s">
        <v>50</v>
      </c>
      <c r="F41" s="11">
        <v>3842.3</v>
      </c>
      <c r="G41" s="10" t="s">
        <v>120</v>
      </c>
      <c r="H41" s="6">
        <f>COUNTIF(tropes!K$5:K$2430,episodes!E41)</f>
        <v>83</v>
      </c>
      <c r="I41" s="12">
        <v>8.6</v>
      </c>
    </row>
    <row r="42" spans="1:9" x14ac:dyDescent="0.3">
      <c r="A42" s="10">
        <v>211</v>
      </c>
      <c r="B42" s="10">
        <v>41</v>
      </c>
      <c r="C42" s="10">
        <v>2</v>
      </c>
      <c r="D42" s="10">
        <v>11</v>
      </c>
      <c r="E42" s="11" t="s">
        <v>754</v>
      </c>
      <c r="F42" s="11">
        <v>3497.2</v>
      </c>
      <c r="G42" s="10" t="s">
        <v>121</v>
      </c>
      <c r="H42" s="6">
        <f>COUNTIF(tropes!K$5:K$2430,episodes!E42)</f>
        <v>84</v>
      </c>
      <c r="I42" s="12">
        <v>7</v>
      </c>
    </row>
    <row r="43" spans="1:9" x14ac:dyDescent="0.3">
      <c r="A43" s="10">
        <v>212</v>
      </c>
      <c r="B43" s="10">
        <v>42</v>
      </c>
      <c r="C43" s="10">
        <v>2</v>
      </c>
      <c r="D43" s="10">
        <v>12</v>
      </c>
      <c r="E43" s="11" t="s">
        <v>33</v>
      </c>
      <c r="F43" s="11">
        <v>3478.2</v>
      </c>
      <c r="G43" s="10" t="s">
        <v>122</v>
      </c>
      <c r="H43" s="6">
        <f>COUNTIF(tropes!K$5:K$2430,episodes!E43)</f>
        <v>3</v>
      </c>
      <c r="I43" s="12">
        <v>7.4</v>
      </c>
    </row>
    <row r="44" spans="1:9" x14ac:dyDescent="0.3">
      <c r="A44" s="10">
        <v>213</v>
      </c>
      <c r="B44" s="10">
        <v>43</v>
      </c>
      <c r="C44" s="10">
        <v>2</v>
      </c>
      <c r="D44" s="10">
        <v>13</v>
      </c>
      <c r="E44" s="11" t="s">
        <v>371</v>
      </c>
      <c r="F44" s="11">
        <v>3619.2</v>
      </c>
      <c r="G44" s="10" t="s">
        <v>123</v>
      </c>
      <c r="H44" s="6">
        <f>COUNTIF(tropes!K$5:K$2430,episodes!E44)</f>
        <v>1</v>
      </c>
      <c r="I44" s="12">
        <v>7.3</v>
      </c>
    </row>
    <row r="45" spans="1:9" x14ac:dyDescent="0.3">
      <c r="A45" s="10">
        <v>214</v>
      </c>
      <c r="B45" s="10">
        <v>44</v>
      </c>
      <c r="C45" s="10">
        <v>2</v>
      </c>
      <c r="D45" s="10">
        <v>14</v>
      </c>
      <c r="E45" s="11" t="s">
        <v>124</v>
      </c>
      <c r="F45" s="11">
        <v>3614.9</v>
      </c>
      <c r="G45" s="10" t="s">
        <v>125</v>
      </c>
      <c r="H45" s="6">
        <f>COUNTIF(tropes!K$5:K$2430,episodes!E45)</f>
        <v>3</v>
      </c>
      <c r="I45" s="12">
        <v>7.5</v>
      </c>
    </row>
    <row r="46" spans="1:9" x14ac:dyDescent="0.3">
      <c r="A46" s="10">
        <v>215</v>
      </c>
      <c r="B46" s="10">
        <v>45</v>
      </c>
      <c r="C46" s="10">
        <v>2</v>
      </c>
      <c r="D46" s="10">
        <v>15</v>
      </c>
      <c r="E46" s="11" t="s">
        <v>126</v>
      </c>
      <c r="F46" s="11">
        <v>4523.3</v>
      </c>
      <c r="G46" s="10" t="s">
        <v>127</v>
      </c>
      <c r="H46" s="6">
        <f>COUNTIF(tropes!K$5:K$2430,episodes!E46)</f>
        <v>0</v>
      </c>
      <c r="I46" s="12">
        <v>9</v>
      </c>
    </row>
    <row r="47" spans="1:9" x14ac:dyDescent="0.3">
      <c r="A47" s="10">
        <v>216</v>
      </c>
      <c r="B47" s="10">
        <v>46</v>
      </c>
      <c r="C47" s="10">
        <v>2</v>
      </c>
      <c r="D47" s="10">
        <v>16</v>
      </c>
      <c r="E47" s="11" t="s">
        <v>64</v>
      </c>
      <c r="F47" s="11">
        <v>3211.8</v>
      </c>
      <c r="G47" s="10" t="s">
        <v>128</v>
      </c>
      <c r="H47" s="6">
        <f>COUNTIF(tropes!K$5:K$2430,episodes!E47)</f>
        <v>9</v>
      </c>
      <c r="I47" s="12">
        <v>7</v>
      </c>
    </row>
    <row r="48" spans="1:9" x14ac:dyDescent="0.3">
      <c r="A48" s="10">
        <v>217</v>
      </c>
      <c r="B48" s="10">
        <v>47</v>
      </c>
      <c r="C48" s="10">
        <v>2</v>
      </c>
      <c r="D48" s="10">
        <v>17</v>
      </c>
      <c r="E48" s="11" t="s">
        <v>129</v>
      </c>
      <c r="F48" s="11">
        <v>4598</v>
      </c>
      <c r="G48" s="10" t="s">
        <v>130</v>
      </c>
      <c r="H48" s="6">
        <f>COUNTIF(tropes!K$5:K$2430,episodes!E48)</f>
        <v>6</v>
      </c>
      <c r="I48" s="12">
        <v>8</v>
      </c>
    </row>
    <row r="49" spans="1:9" x14ac:dyDescent="0.3">
      <c r="A49" s="10">
        <v>218</v>
      </c>
      <c r="B49" s="10">
        <v>48</v>
      </c>
      <c r="C49" s="10">
        <v>2</v>
      </c>
      <c r="D49" s="10">
        <v>18</v>
      </c>
      <c r="E49" s="11" t="s">
        <v>29</v>
      </c>
      <c r="F49" s="11">
        <v>4307.1000000000004</v>
      </c>
      <c r="G49" s="10" t="s">
        <v>131</v>
      </c>
      <c r="H49" s="6">
        <f>COUNTIF(tropes!K$5:K$2430,episodes!E49)</f>
        <v>4</v>
      </c>
      <c r="I49" s="12">
        <v>7.6</v>
      </c>
    </row>
    <row r="50" spans="1:9" x14ac:dyDescent="0.3">
      <c r="A50" s="10">
        <v>219</v>
      </c>
      <c r="B50" s="10">
        <v>49</v>
      </c>
      <c r="C50" s="10">
        <v>2</v>
      </c>
      <c r="D50" s="10">
        <v>19</v>
      </c>
      <c r="E50" s="11" t="s">
        <v>35</v>
      </c>
      <c r="F50" s="11">
        <v>4211.3999999999996</v>
      </c>
      <c r="G50" s="10" t="s">
        <v>132</v>
      </c>
      <c r="H50" s="6">
        <f>COUNTIF(tropes!K$5:K$2430,episodes!E50)</f>
        <v>3</v>
      </c>
      <c r="I50" s="12">
        <v>7</v>
      </c>
    </row>
    <row r="51" spans="1:9" x14ac:dyDescent="0.3">
      <c r="A51" s="10">
        <v>220</v>
      </c>
      <c r="B51" s="10">
        <v>50</v>
      </c>
      <c r="C51" s="10">
        <v>2</v>
      </c>
      <c r="D51" s="10">
        <v>20</v>
      </c>
      <c r="E51" s="11" t="s">
        <v>372</v>
      </c>
      <c r="F51" s="11">
        <v>4768.3</v>
      </c>
      <c r="G51" s="10" t="s">
        <v>133</v>
      </c>
      <c r="H51" s="6">
        <f>COUNTIF(tropes!K$5:K$2430,episodes!E51)</f>
        <v>4</v>
      </c>
      <c r="I51" s="12">
        <v>7.6</v>
      </c>
    </row>
    <row r="52" spans="1:9" x14ac:dyDescent="0.3">
      <c r="A52" s="10">
        <v>221</v>
      </c>
      <c r="B52" s="10">
        <v>51</v>
      </c>
      <c r="C52" s="10">
        <v>2</v>
      </c>
      <c r="D52" s="10">
        <v>21</v>
      </c>
      <c r="E52" s="11" t="s">
        <v>58</v>
      </c>
      <c r="F52" s="11">
        <v>2534</v>
      </c>
      <c r="G52" s="10" t="s">
        <v>134</v>
      </c>
      <c r="H52" s="6">
        <f>COUNTIF(tropes!K$5:K$2430,episodes!E52)</f>
        <v>3</v>
      </c>
      <c r="I52" s="12">
        <v>7.6</v>
      </c>
    </row>
    <row r="53" spans="1:9" x14ac:dyDescent="0.3">
      <c r="A53" s="10">
        <v>222</v>
      </c>
      <c r="B53" s="10">
        <v>52</v>
      </c>
      <c r="C53" s="10">
        <v>2</v>
      </c>
      <c r="D53" s="10">
        <v>22</v>
      </c>
      <c r="E53" s="11" t="s">
        <v>13</v>
      </c>
      <c r="F53" s="11">
        <v>4657.5</v>
      </c>
      <c r="G53" s="10" t="s">
        <v>135</v>
      </c>
      <c r="H53" s="6">
        <f>COUNTIF(tropes!K$5:K$2430,episodes!E53)</f>
        <v>6</v>
      </c>
      <c r="I53" s="12">
        <v>7.7</v>
      </c>
    </row>
    <row r="54" spans="1:9" x14ac:dyDescent="0.3">
      <c r="A54" s="10">
        <v>223</v>
      </c>
      <c r="B54" s="10">
        <v>53</v>
      </c>
      <c r="C54" s="10">
        <v>2</v>
      </c>
      <c r="D54" s="10">
        <v>23</v>
      </c>
      <c r="E54" s="11" t="s">
        <v>30</v>
      </c>
      <c r="F54" s="11" t="s">
        <v>113</v>
      </c>
      <c r="G54" s="10" t="s">
        <v>136</v>
      </c>
      <c r="H54" s="6">
        <f>COUNTIF(tropes!K$5:K$2430,episodes!E54)</f>
        <v>1</v>
      </c>
      <c r="I54" s="12">
        <v>6.3</v>
      </c>
    </row>
    <row r="55" spans="1:9" x14ac:dyDescent="0.3">
      <c r="A55" s="10">
        <v>224</v>
      </c>
      <c r="B55" s="10">
        <v>54</v>
      </c>
      <c r="C55" s="10">
        <v>2</v>
      </c>
      <c r="D55" s="10">
        <v>24</v>
      </c>
      <c r="E55" s="11" t="s">
        <v>18</v>
      </c>
      <c r="F55" s="11">
        <v>4729.3999999999996</v>
      </c>
      <c r="G55" s="10" t="s">
        <v>184</v>
      </c>
      <c r="H55" s="6">
        <f>COUNTIF(tropes!K$5:K$2430,episodes!E55)</f>
        <v>4</v>
      </c>
      <c r="I55" s="12">
        <v>8</v>
      </c>
    </row>
    <row r="56" spans="1:9" x14ac:dyDescent="0.3">
      <c r="A56" s="10">
        <v>225</v>
      </c>
      <c r="B56" s="10">
        <v>55</v>
      </c>
      <c r="C56" s="10">
        <v>2</v>
      </c>
      <c r="D56" s="10">
        <v>25</v>
      </c>
      <c r="E56" s="11" t="s">
        <v>185</v>
      </c>
      <c r="F56" s="11">
        <v>4040.7</v>
      </c>
      <c r="G56" s="10" t="s">
        <v>186</v>
      </c>
      <c r="H56" s="6">
        <f>COUNTIF(tropes!K$5:K$2430,episodes!E56)</f>
        <v>3</v>
      </c>
      <c r="I56" s="12">
        <v>7.3</v>
      </c>
    </row>
    <row r="57" spans="1:9" x14ac:dyDescent="0.3">
      <c r="A57" s="10">
        <v>226</v>
      </c>
      <c r="B57" s="10">
        <v>56</v>
      </c>
      <c r="C57" s="10">
        <v>2</v>
      </c>
      <c r="D57" s="10">
        <v>26</v>
      </c>
      <c r="E57" s="11" t="s">
        <v>187</v>
      </c>
      <c r="F57" s="11" t="s">
        <v>113</v>
      </c>
      <c r="G57" s="10" t="s">
        <v>188</v>
      </c>
      <c r="H57" s="6">
        <f>COUNTIF(tropes!K$5:K$2430,episodes!E57)</f>
        <v>3</v>
      </c>
      <c r="I57" s="12">
        <v>7.7</v>
      </c>
    </row>
    <row r="58" spans="1:9" x14ac:dyDescent="0.3">
      <c r="A58" s="6">
        <v>301</v>
      </c>
      <c r="B58" s="6">
        <v>57</v>
      </c>
      <c r="C58" s="6">
        <v>3</v>
      </c>
      <c r="D58" s="6">
        <v>1</v>
      </c>
      <c r="E58" s="9" t="s">
        <v>189</v>
      </c>
      <c r="F58" s="9">
        <v>5431.4</v>
      </c>
      <c r="G58" s="6" t="s">
        <v>190</v>
      </c>
      <c r="H58" s="6">
        <f>COUNTIF(tropes!K$5:K$2430,episodes!E58)</f>
        <v>4</v>
      </c>
      <c r="I58" s="12">
        <v>5.5</v>
      </c>
    </row>
    <row r="59" spans="1:9" x14ac:dyDescent="0.3">
      <c r="A59" s="6">
        <v>302</v>
      </c>
      <c r="B59" s="6">
        <v>58</v>
      </c>
      <c r="C59" s="6">
        <v>3</v>
      </c>
      <c r="D59" s="6">
        <v>2</v>
      </c>
      <c r="E59" s="9" t="s">
        <v>191</v>
      </c>
      <c r="F59" s="9">
        <v>5027.3</v>
      </c>
      <c r="G59" s="6" t="s">
        <v>192</v>
      </c>
      <c r="H59" s="6">
        <f>COUNTIF(tropes!K$5:K$2430,episodes!E59)</f>
        <v>3</v>
      </c>
      <c r="I59" s="12">
        <v>8.6</v>
      </c>
    </row>
    <row r="60" spans="1:9" x14ac:dyDescent="0.3">
      <c r="A60" s="6">
        <v>303</v>
      </c>
      <c r="B60" s="6">
        <v>59</v>
      </c>
      <c r="C60" s="6">
        <v>3</v>
      </c>
      <c r="D60" s="6">
        <v>3</v>
      </c>
      <c r="E60" s="9" t="s">
        <v>193</v>
      </c>
      <c r="F60" s="9">
        <v>4842.6000000000004</v>
      </c>
      <c r="G60" s="6" t="s">
        <v>194</v>
      </c>
      <c r="H60" s="6">
        <f>COUNTIF(tropes!K$5:K$2430,episodes!E60)</f>
        <v>3</v>
      </c>
      <c r="I60" s="12">
        <v>6.9</v>
      </c>
    </row>
    <row r="61" spans="1:9" x14ac:dyDescent="0.3">
      <c r="A61" s="6">
        <v>304</v>
      </c>
      <c r="B61" s="6">
        <v>60</v>
      </c>
      <c r="C61" s="6">
        <v>3</v>
      </c>
      <c r="D61" s="6">
        <v>4</v>
      </c>
      <c r="E61" s="9" t="s">
        <v>195</v>
      </c>
      <c r="F61" s="9">
        <v>5029.5</v>
      </c>
      <c r="G61" s="6" t="s">
        <v>196</v>
      </c>
      <c r="H61" s="6">
        <f>COUNTIF(tropes!K$5:K$2430,episodes!E61)</f>
        <v>3</v>
      </c>
      <c r="I61" s="12">
        <v>5.3</v>
      </c>
    </row>
    <row r="62" spans="1:9" x14ac:dyDescent="0.3">
      <c r="A62" s="6">
        <v>305</v>
      </c>
      <c r="B62" s="6">
        <v>61</v>
      </c>
      <c r="C62" s="6">
        <v>3</v>
      </c>
      <c r="D62" s="6">
        <v>5</v>
      </c>
      <c r="E62" s="9" t="s">
        <v>197</v>
      </c>
      <c r="F62" s="9">
        <v>5630.7</v>
      </c>
      <c r="G62" s="6" t="s">
        <v>198</v>
      </c>
      <c r="H62" s="6">
        <f>COUNTIF(tropes!K$5:K$2430,episodes!E62)</f>
        <v>0</v>
      </c>
      <c r="I62" s="12">
        <v>7.1</v>
      </c>
    </row>
    <row r="63" spans="1:9" x14ac:dyDescent="0.3">
      <c r="A63" s="6">
        <v>306</v>
      </c>
      <c r="B63" s="6">
        <v>62</v>
      </c>
      <c r="C63" s="6">
        <v>3</v>
      </c>
      <c r="D63" s="6">
        <v>6</v>
      </c>
      <c r="E63" s="9" t="s">
        <v>199</v>
      </c>
      <c r="F63" s="9">
        <v>4385.3</v>
      </c>
      <c r="G63" s="6" t="s">
        <v>200</v>
      </c>
      <c r="H63" s="6">
        <f>COUNTIF(tropes!K$5:K$2430,episodes!E63)</f>
        <v>0</v>
      </c>
      <c r="I63" s="12">
        <v>7.4</v>
      </c>
    </row>
    <row r="64" spans="1:9" x14ac:dyDescent="0.3">
      <c r="A64" s="6">
        <v>307</v>
      </c>
      <c r="B64" s="6">
        <v>63</v>
      </c>
      <c r="C64" s="6">
        <v>3</v>
      </c>
      <c r="D64" s="6">
        <v>7</v>
      </c>
      <c r="E64" s="9" t="s">
        <v>201</v>
      </c>
      <c r="F64" s="9">
        <v>5630.3</v>
      </c>
      <c r="G64" s="6" t="s">
        <v>202</v>
      </c>
      <c r="H64" s="6">
        <f>COUNTIF(tropes!K$5:K$2430,episodes!E64)</f>
        <v>2</v>
      </c>
      <c r="I64" s="12">
        <v>8</v>
      </c>
    </row>
    <row r="65" spans="1:9" x14ac:dyDescent="0.3">
      <c r="A65" s="6">
        <v>308</v>
      </c>
      <c r="B65" s="6">
        <v>64</v>
      </c>
      <c r="C65" s="6">
        <v>3</v>
      </c>
      <c r="D65" s="6">
        <v>8</v>
      </c>
      <c r="E65" s="9" t="s">
        <v>137</v>
      </c>
      <c r="F65" s="9">
        <v>5476.3</v>
      </c>
      <c r="G65" s="6" t="s">
        <v>203</v>
      </c>
      <c r="H65" s="6">
        <f>COUNTIF(tropes!K$5:K$2430,episodes!E65)</f>
        <v>3</v>
      </c>
      <c r="I65" s="12">
        <v>7.1</v>
      </c>
    </row>
    <row r="66" spans="1:9" x14ac:dyDescent="0.3">
      <c r="A66" s="6">
        <v>309</v>
      </c>
      <c r="B66" s="6">
        <v>65</v>
      </c>
      <c r="C66" s="6">
        <v>3</v>
      </c>
      <c r="D66" s="6">
        <v>9</v>
      </c>
      <c r="E66" s="9" t="s">
        <v>204</v>
      </c>
      <c r="F66" s="9">
        <v>5693.2</v>
      </c>
      <c r="G66" s="6" t="s">
        <v>205</v>
      </c>
      <c r="H66" s="6">
        <f>COUNTIF(tropes!K$5:K$2430,episodes!E66)</f>
        <v>2</v>
      </c>
      <c r="I66" s="12">
        <v>8.1</v>
      </c>
    </row>
    <row r="67" spans="1:9" x14ac:dyDescent="0.3">
      <c r="A67" s="6">
        <v>310</v>
      </c>
      <c r="B67" s="6">
        <v>66</v>
      </c>
      <c r="C67" s="6">
        <v>3</v>
      </c>
      <c r="D67" s="6">
        <v>10</v>
      </c>
      <c r="E67" s="9" t="s">
        <v>206</v>
      </c>
      <c r="F67" s="9">
        <v>5784.2</v>
      </c>
      <c r="G67" s="6" t="s">
        <v>207</v>
      </c>
      <c r="H67" s="6">
        <f>COUNTIF(tropes!K$5:K$2430,episodes!E67)</f>
        <v>4</v>
      </c>
      <c r="I67" s="12">
        <v>6.7</v>
      </c>
    </row>
    <row r="68" spans="1:9" x14ac:dyDescent="0.3">
      <c r="A68" s="6">
        <v>311</v>
      </c>
      <c r="B68" s="6">
        <v>67</v>
      </c>
      <c r="C68" s="6">
        <v>3</v>
      </c>
      <c r="D68" s="6">
        <v>11</v>
      </c>
      <c r="E68" s="9" t="s">
        <v>208</v>
      </c>
      <c r="F68" s="9">
        <v>5710.5</v>
      </c>
      <c r="G68" s="6" t="s">
        <v>209</v>
      </c>
      <c r="H68" s="6">
        <f>COUNTIF(tropes!K$5:K$2430,episodes!E68)</f>
        <v>0</v>
      </c>
      <c r="I68" s="12">
        <v>7.4</v>
      </c>
    </row>
    <row r="69" spans="1:9" x14ac:dyDescent="0.3">
      <c r="A69" s="6">
        <v>312</v>
      </c>
      <c r="B69" s="6">
        <v>68</v>
      </c>
      <c r="C69" s="6">
        <v>3</v>
      </c>
      <c r="D69" s="6">
        <v>12</v>
      </c>
      <c r="E69" s="9" t="s">
        <v>210</v>
      </c>
      <c r="F69" s="9">
        <v>5121.5</v>
      </c>
      <c r="G69" s="6" t="s">
        <v>211</v>
      </c>
      <c r="H69" s="6">
        <f>COUNTIF(tropes!K$5:K$2430,episodes!E69)</f>
        <v>1</v>
      </c>
      <c r="I69" s="12">
        <v>6.7</v>
      </c>
    </row>
    <row r="70" spans="1:9" x14ac:dyDescent="0.3">
      <c r="A70" s="6">
        <v>313</v>
      </c>
      <c r="B70" s="6">
        <v>69</v>
      </c>
      <c r="C70" s="6">
        <v>3</v>
      </c>
      <c r="D70" s="6">
        <v>13</v>
      </c>
      <c r="E70" s="9" t="s">
        <v>212</v>
      </c>
      <c r="F70" s="9">
        <v>4372.5</v>
      </c>
      <c r="G70" s="6" t="s">
        <v>213</v>
      </c>
      <c r="H70" s="6">
        <f>COUNTIF(tropes!K$5:K$2430,episodes!E70)</f>
        <v>2</v>
      </c>
      <c r="I70" s="12">
        <v>7.2</v>
      </c>
    </row>
    <row r="71" spans="1:9" x14ac:dyDescent="0.3">
      <c r="A71" s="6">
        <v>314</v>
      </c>
      <c r="B71" s="6">
        <v>70</v>
      </c>
      <c r="C71" s="6">
        <v>3</v>
      </c>
      <c r="D71" s="6">
        <v>14</v>
      </c>
      <c r="E71" s="9" t="s">
        <v>214</v>
      </c>
      <c r="F71" s="9">
        <v>5718.3</v>
      </c>
      <c r="G71" s="6" t="s">
        <v>215</v>
      </c>
      <c r="H71" s="6">
        <f>COUNTIF(tropes!K$5:K$2430,episodes!E71)</f>
        <v>5</v>
      </c>
      <c r="I71" s="12">
        <v>7</v>
      </c>
    </row>
    <row r="72" spans="1:9" x14ac:dyDescent="0.3">
      <c r="A72" s="6">
        <v>315</v>
      </c>
      <c r="B72" s="6">
        <v>71</v>
      </c>
      <c r="C72" s="6">
        <v>3</v>
      </c>
      <c r="D72" s="6">
        <v>15</v>
      </c>
      <c r="E72" s="9" t="s">
        <v>216</v>
      </c>
      <c r="F72" s="9">
        <v>5730.2</v>
      </c>
      <c r="G72" s="6" t="s">
        <v>217</v>
      </c>
      <c r="H72" s="6">
        <f>COUNTIF(tropes!K$5:K$2430,episodes!E72)</f>
        <v>4</v>
      </c>
      <c r="I72" s="12">
        <v>7.2</v>
      </c>
    </row>
    <row r="73" spans="1:9" x14ac:dyDescent="0.3">
      <c r="A73" s="6">
        <v>316</v>
      </c>
      <c r="B73" s="6">
        <v>72</v>
      </c>
      <c r="C73" s="6">
        <v>3</v>
      </c>
      <c r="D73" s="6">
        <v>16</v>
      </c>
      <c r="E73" s="9" t="s">
        <v>218</v>
      </c>
      <c r="F73" s="9">
        <v>5423.4</v>
      </c>
      <c r="G73" s="6" t="s">
        <v>219</v>
      </c>
      <c r="H73" s="6">
        <f>COUNTIF(tropes!K$5:K$2430,episodes!E73)</f>
        <v>0</v>
      </c>
      <c r="I73" s="12">
        <v>6.6</v>
      </c>
    </row>
    <row r="74" spans="1:9" x14ac:dyDescent="0.3">
      <c r="A74" s="6">
        <v>317</v>
      </c>
      <c r="B74" s="6">
        <v>73</v>
      </c>
      <c r="C74" s="6">
        <v>3</v>
      </c>
      <c r="D74" s="6">
        <v>17</v>
      </c>
      <c r="E74" s="9" t="s">
        <v>220</v>
      </c>
      <c r="F74" s="9" t="s">
        <v>113</v>
      </c>
      <c r="G74" s="6" t="s">
        <v>221</v>
      </c>
      <c r="H74" s="6">
        <f>COUNTIF(tropes!K$5:K$2430,episodes!E74)</f>
        <v>1</v>
      </c>
      <c r="I74" s="12">
        <v>6.6</v>
      </c>
    </row>
    <row r="75" spans="1:9" x14ac:dyDescent="0.3">
      <c r="A75" s="6">
        <v>318</v>
      </c>
      <c r="B75" s="6">
        <v>74</v>
      </c>
      <c r="C75" s="6">
        <v>3</v>
      </c>
      <c r="D75" s="6">
        <v>18</v>
      </c>
      <c r="E75" s="9" t="s">
        <v>222</v>
      </c>
      <c r="F75" s="9">
        <v>5725.3</v>
      </c>
      <c r="G75" s="6" t="s">
        <v>223</v>
      </c>
      <c r="H75" s="6">
        <f>COUNTIF(tropes!K$5:K$2430,episodes!E75)</f>
        <v>1</v>
      </c>
      <c r="I75" s="12">
        <v>6.1</v>
      </c>
    </row>
    <row r="76" spans="1:9" x14ac:dyDescent="0.3">
      <c r="A76" s="6">
        <v>319</v>
      </c>
      <c r="B76" s="6">
        <v>75</v>
      </c>
      <c r="C76" s="6">
        <v>3</v>
      </c>
      <c r="D76" s="6">
        <v>19</v>
      </c>
      <c r="E76" s="9" t="s">
        <v>138</v>
      </c>
      <c r="F76" s="9">
        <v>5843.7</v>
      </c>
      <c r="G76" s="6" t="s">
        <v>224</v>
      </c>
      <c r="H76" s="6">
        <f>COUNTIF(tropes!K$5:K$2430,episodes!E76)</f>
        <v>8</v>
      </c>
      <c r="I76" s="12">
        <v>7.7</v>
      </c>
    </row>
    <row r="77" spans="1:9" x14ac:dyDescent="0.3">
      <c r="A77" s="6">
        <v>320</v>
      </c>
      <c r="B77" s="6">
        <v>76</v>
      </c>
      <c r="C77" s="6">
        <v>3</v>
      </c>
      <c r="D77" s="6">
        <v>20</v>
      </c>
      <c r="E77" s="9" t="s">
        <v>225</v>
      </c>
      <c r="F77" s="9">
        <v>5832.3</v>
      </c>
      <c r="G77" s="6" t="s">
        <v>226</v>
      </c>
      <c r="H77" s="6">
        <f>COUNTIF(tropes!K$5:K$2430,episodes!E77)</f>
        <v>0</v>
      </c>
      <c r="I77" s="12">
        <v>5.4</v>
      </c>
    </row>
    <row r="78" spans="1:9" x14ac:dyDescent="0.3">
      <c r="A78" s="6">
        <v>321</v>
      </c>
      <c r="B78" s="6">
        <v>77</v>
      </c>
      <c r="C78" s="6">
        <v>3</v>
      </c>
      <c r="D78" s="6">
        <v>21</v>
      </c>
      <c r="E78" s="9" t="s">
        <v>227</v>
      </c>
      <c r="F78" s="9">
        <v>5818.4</v>
      </c>
      <c r="G78" s="6" t="s">
        <v>228</v>
      </c>
      <c r="H78" s="6">
        <f>COUNTIF(tropes!K$5:K$2430,episodes!E78)</f>
        <v>2</v>
      </c>
      <c r="I78" s="12">
        <v>7</v>
      </c>
    </row>
    <row r="79" spans="1:9" x14ac:dyDescent="0.3">
      <c r="A79" s="6">
        <v>322</v>
      </c>
      <c r="B79" s="6">
        <v>78</v>
      </c>
      <c r="C79" s="6">
        <v>3</v>
      </c>
      <c r="D79" s="6">
        <v>22</v>
      </c>
      <c r="E79" s="9" t="s">
        <v>229</v>
      </c>
      <c r="F79" s="9">
        <v>5906.4</v>
      </c>
      <c r="G79" s="6" t="s">
        <v>230</v>
      </c>
      <c r="H79" s="6">
        <f>COUNTIF(tropes!K$5:K$2430,episodes!E79)</f>
        <v>2</v>
      </c>
      <c r="I79" s="12">
        <v>6.9</v>
      </c>
    </row>
    <row r="80" spans="1:9" x14ac:dyDescent="0.3">
      <c r="A80" s="6">
        <v>323</v>
      </c>
      <c r="B80" s="6">
        <v>79</v>
      </c>
      <c r="C80" s="6">
        <v>3</v>
      </c>
      <c r="D80" s="6">
        <v>23</v>
      </c>
      <c r="E80" s="9" t="s">
        <v>31</v>
      </c>
      <c r="F80" s="9">
        <v>5943.7</v>
      </c>
      <c r="G80" s="6" t="s">
        <v>231</v>
      </c>
      <c r="H80" s="6">
        <f>COUNTIF(tropes!K$5:K$2430,episodes!E80)</f>
        <v>3</v>
      </c>
      <c r="I80" s="12">
        <v>8.3000000000000007</v>
      </c>
    </row>
    <row r="81" spans="1:9" x14ac:dyDescent="0.3">
      <c r="A81" s="6">
        <v>324</v>
      </c>
      <c r="B81" s="6">
        <v>80</v>
      </c>
      <c r="C81" s="6">
        <v>3</v>
      </c>
      <c r="D81" s="6">
        <v>24</v>
      </c>
      <c r="E81" s="9" t="s">
        <v>232</v>
      </c>
      <c r="F81" s="9">
        <v>5928.5</v>
      </c>
      <c r="G81" s="6" t="s">
        <v>233</v>
      </c>
      <c r="H81" s="6">
        <f>COUNTIF(tropes!K$5:K$2430,episodes!E81)</f>
        <v>3</v>
      </c>
      <c r="I81" s="12">
        <v>6.9</v>
      </c>
    </row>
    <row r="1785" spans="7:7" x14ac:dyDescent="0.3">
      <c r="G1785" s="6">
        <v>0</v>
      </c>
    </row>
    <row r="1909" spans="8:8" x14ac:dyDescent="0.3">
      <c r="H1909" s="6">
        <v>1</v>
      </c>
    </row>
    <row r="1910" spans="8:8" x14ac:dyDescent="0.3">
      <c r="H1910" s="6">
        <v>1</v>
      </c>
    </row>
    <row r="1911" spans="8:8" x14ac:dyDescent="0.3">
      <c r="H1911" s="6">
        <v>1</v>
      </c>
    </row>
    <row r="1912" spans="8:8" x14ac:dyDescent="0.3">
      <c r="H1912" s="6">
        <v>1</v>
      </c>
    </row>
    <row r="1913" spans="8:8" x14ac:dyDescent="0.3">
      <c r="H1913" s="6">
        <v>1</v>
      </c>
    </row>
    <row r="1914" spans="8:8" x14ac:dyDescent="0.3">
      <c r="H1914" s="6">
        <v>1</v>
      </c>
    </row>
    <row r="1915" spans="8:8" x14ac:dyDescent="0.3">
      <c r="H1915" s="6">
        <v>1</v>
      </c>
    </row>
    <row r="1916" spans="8:8" x14ac:dyDescent="0.3">
      <c r="H1916" s="6">
        <v>1</v>
      </c>
    </row>
    <row r="1917" spans="8:8" x14ac:dyDescent="0.3">
      <c r="H1917" s="6">
        <v>1</v>
      </c>
    </row>
    <row r="1918" spans="8:8" x14ac:dyDescent="0.3">
      <c r="H1918" s="6">
        <v>1</v>
      </c>
    </row>
    <row r="1919" spans="8:8" x14ac:dyDescent="0.3">
      <c r="H1919" s="6">
        <v>1</v>
      </c>
    </row>
    <row r="1920" spans="8:8" x14ac:dyDescent="0.3">
      <c r="H1920" s="6">
        <v>1</v>
      </c>
    </row>
    <row r="1921" spans="8:8" x14ac:dyDescent="0.3">
      <c r="H1921" s="6">
        <v>1</v>
      </c>
    </row>
    <row r="1922" spans="8:8" x14ac:dyDescent="0.3">
      <c r="H1922" s="6">
        <v>1</v>
      </c>
    </row>
    <row r="1923" spans="8:8" x14ac:dyDescent="0.3">
      <c r="H1923" s="6">
        <v>1</v>
      </c>
    </row>
    <row r="1924" spans="8:8" x14ac:dyDescent="0.3">
      <c r="H1924" s="6">
        <v>1</v>
      </c>
    </row>
    <row r="1925" spans="8:8" x14ac:dyDescent="0.3">
      <c r="H1925" s="6">
        <v>1</v>
      </c>
    </row>
    <row r="1926" spans="8:8" x14ac:dyDescent="0.3">
      <c r="H1926" s="6">
        <v>1</v>
      </c>
    </row>
    <row r="1927" spans="8:8" x14ac:dyDescent="0.3">
      <c r="H1927" s="6">
        <v>1</v>
      </c>
    </row>
    <row r="1928" spans="8:8" x14ac:dyDescent="0.3">
      <c r="H1928" s="6">
        <v>1</v>
      </c>
    </row>
    <row r="1929" spans="8:8" x14ac:dyDescent="0.3">
      <c r="H1929" s="6">
        <v>1</v>
      </c>
    </row>
    <row r="1930" spans="8:8" x14ac:dyDescent="0.3">
      <c r="H1930" s="6">
        <v>1</v>
      </c>
    </row>
    <row r="1931" spans="8:8" x14ac:dyDescent="0.3">
      <c r="H1931" s="6">
        <v>1</v>
      </c>
    </row>
    <row r="1932" spans="8:8" x14ac:dyDescent="0.3">
      <c r="H1932" s="6">
        <v>1</v>
      </c>
    </row>
    <row r="1933" spans="8:8" x14ac:dyDescent="0.3">
      <c r="H1933" s="6">
        <v>1</v>
      </c>
    </row>
    <row r="1934" spans="8:8" x14ac:dyDescent="0.3">
      <c r="H1934" s="6">
        <v>1</v>
      </c>
    </row>
    <row r="1935" spans="8:8" x14ac:dyDescent="0.3">
      <c r="H1935" s="6">
        <v>1</v>
      </c>
    </row>
    <row r="1936" spans="8:8" x14ac:dyDescent="0.3">
      <c r="H1936" s="6">
        <v>1</v>
      </c>
    </row>
    <row r="1937" spans="8:8" x14ac:dyDescent="0.3">
      <c r="H1937" s="6">
        <v>1</v>
      </c>
    </row>
    <row r="1938" spans="8:8" x14ac:dyDescent="0.3">
      <c r="H1938" s="6">
        <v>1</v>
      </c>
    </row>
    <row r="1939" spans="8:8" x14ac:dyDescent="0.3">
      <c r="H1939" s="6">
        <v>1</v>
      </c>
    </row>
    <row r="1940" spans="8:8" x14ac:dyDescent="0.3">
      <c r="H1940" s="6">
        <v>1</v>
      </c>
    </row>
    <row r="1941" spans="8:8" x14ac:dyDescent="0.3">
      <c r="H1941" s="6">
        <v>1</v>
      </c>
    </row>
    <row r="1942" spans="8:8" x14ac:dyDescent="0.3">
      <c r="H1942" s="6">
        <v>1</v>
      </c>
    </row>
    <row r="1943" spans="8:8" x14ac:dyDescent="0.3">
      <c r="H1943" s="6">
        <v>1</v>
      </c>
    </row>
    <row r="1944" spans="8:8" x14ac:dyDescent="0.3">
      <c r="H1944" s="6">
        <v>1</v>
      </c>
    </row>
    <row r="1945" spans="8:8" x14ac:dyDescent="0.3">
      <c r="H1945" s="6">
        <v>1</v>
      </c>
    </row>
    <row r="1946" spans="8:8" x14ac:dyDescent="0.3">
      <c r="H1946" s="6">
        <v>1</v>
      </c>
    </row>
    <row r="1947" spans="8:8" x14ac:dyDescent="0.3">
      <c r="H1947" s="6">
        <v>1</v>
      </c>
    </row>
    <row r="1948" spans="8:8" x14ac:dyDescent="0.3">
      <c r="H1948" s="6">
        <v>1</v>
      </c>
    </row>
    <row r="1949" spans="8:8" x14ac:dyDescent="0.3">
      <c r="H1949" s="6">
        <v>1</v>
      </c>
    </row>
    <row r="1950" spans="8:8" x14ac:dyDescent="0.3">
      <c r="H1950" s="6">
        <v>1</v>
      </c>
    </row>
    <row r="1951" spans="8:8" x14ac:dyDescent="0.3">
      <c r="H1951" s="6">
        <v>1</v>
      </c>
    </row>
    <row r="1952" spans="8:8" x14ac:dyDescent="0.3">
      <c r="H1952" s="6">
        <v>1</v>
      </c>
    </row>
    <row r="1953" spans="8:8" x14ac:dyDescent="0.3">
      <c r="H1953" s="6">
        <v>1</v>
      </c>
    </row>
    <row r="1954" spans="8:8" x14ac:dyDescent="0.3">
      <c r="H1954" s="6">
        <v>1</v>
      </c>
    </row>
    <row r="1955" spans="8:8" x14ac:dyDescent="0.3">
      <c r="H1955" s="6">
        <v>1</v>
      </c>
    </row>
    <row r="1956" spans="8:8" x14ac:dyDescent="0.3">
      <c r="H1956" s="6">
        <v>1</v>
      </c>
    </row>
    <row r="1957" spans="8:8" x14ac:dyDescent="0.3">
      <c r="H1957" s="6">
        <v>1</v>
      </c>
    </row>
    <row r="1958" spans="8:8" x14ac:dyDescent="0.3">
      <c r="H1958" s="6">
        <v>1</v>
      </c>
    </row>
    <row r="1959" spans="8:8" x14ac:dyDescent="0.3">
      <c r="H1959" s="6">
        <v>1</v>
      </c>
    </row>
    <row r="1960" spans="8:8" x14ac:dyDescent="0.3">
      <c r="H1960" s="6">
        <v>1</v>
      </c>
    </row>
    <row r="1961" spans="8:8" x14ac:dyDescent="0.3">
      <c r="H1961" s="6">
        <v>1</v>
      </c>
    </row>
    <row r="1962" spans="8:8" x14ac:dyDescent="0.3">
      <c r="H1962" s="6">
        <v>1</v>
      </c>
    </row>
    <row r="1963" spans="8:8" x14ac:dyDescent="0.3">
      <c r="H1963" s="6">
        <v>1</v>
      </c>
    </row>
    <row r="1964" spans="8:8" x14ac:dyDescent="0.3">
      <c r="H1964" s="6">
        <v>1</v>
      </c>
    </row>
    <row r="1965" spans="8:8" x14ac:dyDescent="0.3">
      <c r="H1965" s="6">
        <v>1</v>
      </c>
    </row>
    <row r="1966" spans="8:8" x14ac:dyDescent="0.3">
      <c r="H1966" s="6">
        <v>1</v>
      </c>
    </row>
    <row r="1967" spans="8:8" x14ac:dyDescent="0.3">
      <c r="H1967" s="6">
        <v>1</v>
      </c>
    </row>
    <row r="1968" spans="8:8" x14ac:dyDescent="0.3">
      <c r="H1968" s="6">
        <v>1</v>
      </c>
    </row>
    <row r="1969" spans="8:8" x14ac:dyDescent="0.3">
      <c r="H1969" s="6">
        <v>1</v>
      </c>
    </row>
    <row r="1970" spans="8:8" x14ac:dyDescent="0.3">
      <c r="H1970" s="6">
        <v>1</v>
      </c>
    </row>
    <row r="1971" spans="8:8" x14ac:dyDescent="0.3">
      <c r="H1971" s="6">
        <v>1</v>
      </c>
    </row>
    <row r="1972" spans="8:8" x14ac:dyDescent="0.3">
      <c r="H1972" s="6">
        <v>1</v>
      </c>
    </row>
    <row r="1973" spans="8:8" x14ac:dyDescent="0.3">
      <c r="H1973" s="6">
        <v>1</v>
      </c>
    </row>
    <row r="1974" spans="8:8" x14ac:dyDescent="0.3">
      <c r="H1974" s="6">
        <v>1</v>
      </c>
    </row>
    <row r="1975" spans="8:8" x14ac:dyDescent="0.3">
      <c r="H1975" s="6">
        <v>1</v>
      </c>
    </row>
    <row r="1976" spans="8:8" x14ac:dyDescent="0.3">
      <c r="H1976" s="6">
        <v>1</v>
      </c>
    </row>
    <row r="1977" spans="8:8" x14ac:dyDescent="0.3">
      <c r="H1977" s="6">
        <v>1</v>
      </c>
    </row>
    <row r="1978" spans="8:8" x14ac:dyDescent="0.3">
      <c r="H1978" s="6">
        <v>1</v>
      </c>
    </row>
    <row r="1979" spans="8:8" x14ac:dyDescent="0.3">
      <c r="H1979" s="6">
        <v>1</v>
      </c>
    </row>
    <row r="1980" spans="8:8" x14ac:dyDescent="0.3">
      <c r="H1980" s="6">
        <v>1</v>
      </c>
    </row>
    <row r="1990" spans="7:7" x14ac:dyDescent="0.3">
      <c r="G1990" s="6">
        <v>1</v>
      </c>
    </row>
    <row r="1991" spans="7:7" x14ac:dyDescent="0.3">
      <c r="G1991" s="6">
        <v>1</v>
      </c>
    </row>
    <row r="1992" spans="7:7" x14ac:dyDescent="0.3">
      <c r="G1992" s="6">
        <v>1</v>
      </c>
    </row>
    <row r="1993" spans="7:7" x14ac:dyDescent="0.3">
      <c r="G1993" s="6">
        <v>1</v>
      </c>
    </row>
    <row r="1994" spans="7:7" x14ac:dyDescent="0.3">
      <c r="G1994" s="6">
        <v>1</v>
      </c>
    </row>
    <row r="1995" spans="7:7" x14ac:dyDescent="0.3">
      <c r="G1995" s="6">
        <v>1</v>
      </c>
    </row>
    <row r="1996" spans="7:7" x14ac:dyDescent="0.3">
      <c r="G1996" s="6">
        <v>1</v>
      </c>
    </row>
    <row r="1997" spans="7:7" x14ac:dyDescent="0.3">
      <c r="G1997" s="6">
        <v>1</v>
      </c>
    </row>
    <row r="1998" spans="7:7" x14ac:dyDescent="0.3">
      <c r="G1998" s="6">
        <v>1</v>
      </c>
    </row>
    <row r="1999" spans="7:7" x14ac:dyDescent="0.3">
      <c r="G1999" s="6">
        <v>1</v>
      </c>
    </row>
    <row r="2000" spans="7:7" x14ac:dyDescent="0.3">
      <c r="G2000" s="6">
        <v>1</v>
      </c>
    </row>
    <row r="2001" spans="7:7" x14ac:dyDescent="0.3">
      <c r="G2001" s="6">
        <v>1</v>
      </c>
    </row>
    <row r="2002" spans="7:7" x14ac:dyDescent="0.3">
      <c r="G2002" s="6">
        <v>1</v>
      </c>
    </row>
    <row r="2003" spans="7:7" x14ac:dyDescent="0.3">
      <c r="G2003" s="6">
        <v>1</v>
      </c>
    </row>
    <row r="2004" spans="7:7" x14ac:dyDescent="0.3">
      <c r="G2004" s="6">
        <v>1</v>
      </c>
    </row>
    <row r="2005" spans="7:7" x14ac:dyDescent="0.3">
      <c r="G2005" s="6">
        <v>1</v>
      </c>
    </row>
    <row r="2006" spans="7:7" x14ac:dyDescent="0.3">
      <c r="G2006" s="6">
        <v>1</v>
      </c>
    </row>
    <row r="2007" spans="7:7" x14ac:dyDescent="0.3">
      <c r="G2007" s="6">
        <v>1</v>
      </c>
    </row>
    <row r="2008" spans="7:7" x14ac:dyDescent="0.3">
      <c r="G2008" s="6">
        <v>1</v>
      </c>
    </row>
    <row r="2009" spans="7:7" x14ac:dyDescent="0.3">
      <c r="G2009" s="6">
        <v>1</v>
      </c>
    </row>
    <row r="2010" spans="7:7" x14ac:dyDescent="0.3">
      <c r="G2010" s="6">
        <v>1</v>
      </c>
    </row>
    <row r="2011" spans="7:7" x14ac:dyDescent="0.3">
      <c r="G2011" s="6">
        <v>1</v>
      </c>
    </row>
    <row r="2012" spans="7:7" x14ac:dyDescent="0.3">
      <c r="G2012" s="6">
        <v>1</v>
      </c>
    </row>
    <row r="2013" spans="7:7" x14ac:dyDescent="0.3">
      <c r="G2013" s="6">
        <v>1</v>
      </c>
    </row>
    <row r="2014" spans="7:7" x14ac:dyDescent="0.3">
      <c r="G2014" s="6">
        <v>1</v>
      </c>
    </row>
    <row r="2015" spans="7:7" x14ac:dyDescent="0.3">
      <c r="G2015" s="6">
        <v>1</v>
      </c>
    </row>
    <row r="2016" spans="7:7" x14ac:dyDescent="0.3">
      <c r="G2016" s="6">
        <v>1</v>
      </c>
    </row>
    <row r="2017" spans="7:7" x14ac:dyDescent="0.3">
      <c r="G2017" s="6">
        <v>1</v>
      </c>
    </row>
    <row r="2018" spans="7:7" x14ac:dyDescent="0.3">
      <c r="G2018" s="6">
        <v>1</v>
      </c>
    </row>
    <row r="2019" spans="7:7" x14ac:dyDescent="0.3">
      <c r="G2019" s="6">
        <v>1</v>
      </c>
    </row>
    <row r="2020" spans="7:7" x14ac:dyDescent="0.3">
      <c r="G2020" s="6">
        <v>1</v>
      </c>
    </row>
    <row r="2021" spans="7:7" x14ac:dyDescent="0.3">
      <c r="G2021" s="6">
        <v>1</v>
      </c>
    </row>
    <row r="2022" spans="7:7" x14ac:dyDescent="0.3">
      <c r="G2022" s="6">
        <v>1</v>
      </c>
    </row>
    <row r="2023" spans="7:7" x14ac:dyDescent="0.3">
      <c r="G2023" s="6">
        <v>1</v>
      </c>
    </row>
    <row r="2024" spans="7:7" x14ac:dyDescent="0.3">
      <c r="G2024" s="6">
        <v>1</v>
      </c>
    </row>
    <row r="2025" spans="7:7" x14ac:dyDescent="0.3">
      <c r="G2025" s="6">
        <v>1</v>
      </c>
    </row>
    <row r="2026" spans="7:7" x14ac:dyDescent="0.3">
      <c r="G2026" s="6">
        <v>1</v>
      </c>
    </row>
    <row r="2027" spans="7:7" x14ac:dyDescent="0.3">
      <c r="G2027" s="6">
        <v>1</v>
      </c>
    </row>
    <row r="2028" spans="7:7" x14ac:dyDescent="0.3">
      <c r="G2028" s="6">
        <v>1</v>
      </c>
    </row>
    <row r="2029" spans="7:7" x14ac:dyDescent="0.3">
      <c r="G2029" s="6">
        <v>1</v>
      </c>
    </row>
    <row r="2030" spans="7:7" x14ac:dyDescent="0.3">
      <c r="G2030" s="6">
        <v>1</v>
      </c>
    </row>
    <row r="2031" spans="7:7" x14ac:dyDescent="0.3">
      <c r="G2031" s="6">
        <v>1</v>
      </c>
    </row>
    <row r="2032" spans="7:7" x14ac:dyDescent="0.3">
      <c r="G2032" s="6">
        <v>1</v>
      </c>
    </row>
    <row r="2033" spans="7:7" x14ac:dyDescent="0.3">
      <c r="G2033" s="6">
        <v>1</v>
      </c>
    </row>
    <row r="2034" spans="7:7" x14ac:dyDescent="0.3">
      <c r="G2034" s="6">
        <v>1</v>
      </c>
    </row>
    <row r="2035" spans="7:7" x14ac:dyDescent="0.3">
      <c r="G2035" s="6">
        <v>1</v>
      </c>
    </row>
    <row r="2036" spans="7:7" x14ac:dyDescent="0.3">
      <c r="G2036" s="6">
        <v>1</v>
      </c>
    </row>
    <row r="2037" spans="7:7" x14ac:dyDescent="0.3">
      <c r="G2037" s="6">
        <v>1</v>
      </c>
    </row>
    <row r="2038" spans="7:7" x14ac:dyDescent="0.3">
      <c r="G2038" s="6">
        <v>1</v>
      </c>
    </row>
    <row r="2039" spans="7:7" x14ac:dyDescent="0.3">
      <c r="G2039" s="6">
        <v>1</v>
      </c>
    </row>
    <row r="2040" spans="7:7" x14ac:dyDescent="0.3">
      <c r="G2040" s="6">
        <v>1</v>
      </c>
    </row>
    <row r="2041" spans="7:7" x14ac:dyDescent="0.3">
      <c r="G2041" s="6">
        <v>1</v>
      </c>
    </row>
    <row r="2042" spans="7:7" x14ac:dyDescent="0.3">
      <c r="G2042" s="6">
        <v>1</v>
      </c>
    </row>
    <row r="2043" spans="7:7" x14ac:dyDescent="0.3">
      <c r="G2043" s="6">
        <v>1</v>
      </c>
    </row>
    <row r="2044" spans="7:7" x14ac:dyDescent="0.3">
      <c r="G2044" s="6">
        <v>1</v>
      </c>
    </row>
    <row r="2045" spans="7:7" x14ac:dyDescent="0.3">
      <c r="G2045" s="6">
        <v>1</v>
      </c>
    </row>
    <row r="2046" spans="7:7" x14ac:dyDescent="0.3">
      <c r="G2046" s="6">
        <v>1</v>
      </c>
    </row>
    <row r="2047" spans="7:7" x14ac:dyDescent="0.3">
      <c r="G2047" s="6">
        <v>1</v>
      </c>
    </row>
    <row r="2048" spans="7:7" x14ac:dyDescent="0.3">
      <c r="G2048" s="6">
        <v>1</v>
      </c>
    </row>
    <row r="2049" spans="7:7" x14ac:dyDescent="0.3">
      <c r="G2049" s="6">
        <v>1</v>
      </c>
    </row>
    <row r="2050" spans="7:7" x14ac:dyDescent="0.3">
      <c r="G2050" s="6">
        <v>1</v>
      </c>
    </row>
    <row r="2051" spans="7:7" x14ac:dyDescent="0.3">
      <c r="G2051" s="6">
        <v>1</v>
      </c>
    </row>
    <row r="2052" spans="7:7" x14ac:dyDescent="0.3">
      <c r="G2052" s="6">
        <v>1</v>
      </c>
    </row>
    <row r="2053" spans="7:7" x14ac:dyDescent="0.3">
      <c r="G2053" s="6">
        <v>1</v>
      </c>
    </row>
    <row r="2054" spans="7:7" x14ac:dyDescent="0.3">
      <c r="G2054" s="6">
        <v>1</v>
      </c>
    </row>
    <row r="2055" spans="7:7" x14ac:dyDescent="0.3">
      <c r="G2055" s="6">
        <v>1</v>
      </c>
    </row>
    <row r="2056" spans="7:7" x14ac:dyDescent="0.3">
      <c r="G2056" s="6">
        <v>1</v>
      </c>
    </row>
    <row r="2057" spans="7:7" x14ac:dyDescent="0.3">
      <c r="G2057" s="6">
        <v>1</v>
      </c>
    </row>
    <row r="2058" spans="7:7" x14ac:dyDescent="0.3">
      <c r="G2058" s="6">
        <v>1</v>
      </c>
    </row>
    <row r="2059" spans="7:7" x14ac:dyDescent="0.3">
      <c r="G2059" s="6">
        <v>1</v>
      </c>
    </row>
    <row r="2060" spans="7:7" x14ac:dyDescent="0.3">
      <c r="G2060" s="6">
        <v>1</v>
      </c>
    </row>
    <row r="2061" spans="7:7" x14ac:dyDescent="0.3">
      <c r="G2061" s="6">
        <v>1</v>
      </c>
    </row>
    <row r="2062" spans="7:7" x14ac:dyDescent="0.3">
      <c r="G2062" s="6">
        <v>1</v>
      </c>
    </row>
    <row r="2063" spans="7:7" x14ac:dyDescent="0.3">
      <c r="G2063" s="6">
        <v>1</v>
      </c>
    </row>
    <row r="2064" spans="7:7" x14ac:dyDescent="0.3">
      <c r="G2064" s="6">
        <v>1</v>
      </c>
    </row>
    <row r="2065" spans="7:7" x14ac:dyDescent="0.3">
      <c r="G2065" s="6">
        <v>1</v>
      </c>
    </row>
    <row r="2066" spans="7:7" x14ac:dyDescent="0.3">
      <c r="G2066" s="6">
        <v>1</v>
      </c>
    </row>
    <row r="2067" spans="7:7" x14ac:dyDescent="0.3">
      <c r="G2067" s="6">
        <v>1</v>
      </c>
    </row>
    <row r="2068" spans="7:7" x14ac:dyDescent="0.3">
      <c r="G2068" s="6">
        <v>1</v>
      </c>
    </row>
    <row r="2069" spans="7:7" x14ac:dyDescent="0.3">
      <c r="G2069" s="6">
        <v>1</v>
      </c>
    </row>
    <row r="2070" spans="7:7" x14ac:dyDescent="0.3">
      <c r="G2070" s="6">
        <v>1</v>
      </c>
    </row>
    <row r="2071" spans="7:7" x14ac:dyDescent="0.3">
      <c r="G2071" s="6">
        <v>1</v>
      </c>
    </row>
    <row r="2072" spans="7:7" x14ac:dyDescent="0.3">
      <c r="G2072" s="6">
        <v>1</v>
      </c>
    </row>
    <row r="2073" spans="7:7" x14ac:dyDescent="0.3">
      <c r="G2073" s="6">
        <v>1</v>
      </c>
    </row>
    <row r="2074" spans="7:7" x14ac:dyDescent="0.3">
      <c r="G2074" s="6">
        <v>1</v>
      </c>
    </row>
    <row r="2075" spans="7:7" x14ac:dyDescent="0.3">
      <c r="G2075" s="6">
        <v>1</v>
      </c>
    </row>
    <row r="2076" spans="7:7" x14ac:dyDescent="0.3">
      <c r="G2076" s="6">
        <v>1</v>
      </c>
    </row>
    <row r="2077" spans="7:7" x14ac:dyDescent="0.3">
      <c r="G2077" s="6">
        <v>1</v>
      </c>
    </row>
    <row r="2078" spans="7:7" x14ac:dyDescent="0.3">
      <c r="G2078" s="6">
        <v>1</v>
      </c>
    </row>
    <row r="2079" spans="7:7" x14ac:dyDescent="0.3">
      <c r="G2079" s="6">
        <v>1</v>
      </c>
    </row>
    <row r="2080" spans="7:7" x14ac:dyDescent="0.3">
      <c r="G2080" s="6">
        <v>1</v>
      </c>
    </row>
    <row r="2081" spans="7:7" x14ac:dyDescent="0.3">
      <c r="G2081" s="6">
        <v>1</v>
      </c>
    </row>
    <row r="2082" spans="7:7" x14ac:dyDescent="0.3">
      <c r="G2082" s="6">
        <v>1</v>
      </c>
    </row>
    <row r="2083" spans="7:7" x14ac:dyDescent="0.3">
      <c r="G2083" s="6">
        <v>1</v>
      </c>
    </row>
    <row r="2084" spans="7:7" x14ac:dyDescent="0.3">
      <c r="G2084" s="6">
        <v>1</v>
      </c>
    </row>
    <row r="2085" spans="7:7" x14ac:dyDescent="0.3">
      <c r="G2085" s="6">
        <v>1</v>
      </c>
    </row>
    <row r="2086" spans="7:7" x14ac:dyDescent="0.3">
      <c r="G2086" s="6">
        <v>1</v>
      </c>
    </row>
    <row r="2087" spans="7:7" x14ac:dyDescent="0.3">
      <c r="G2087" s="6">
        <v>1</v>
      </c>
    </row>
    <row r="2088" spans="7:7" x14ac:dyDescent="0.3">
      <c r="G2088" s="6">
        <v>1</v>
      </c>
    </row>
    <row r="2089" spans="7:7" x14ac:dyDescent="0.3">
      <c r="G2089" s="6">
        <v>1</v>
      </c>
    </row>
    <row r="2090" spans="7:7" x14ac:dyDescent="0.3">
      <c r="G2090" s="6">
        <v>1</v>
      </c>
    </row>
    <row r="2091" spans="7:7" x14ac:dyDescent="0.3">
      <c r="G2091" s="6">
        <v>1</v>
      </c>
    </row>
    <row r="2092" spans="7:7" x14ac:dyDescent="0.3">
      <c r="G2092" s="6">
        <v>1</v>
      </c>
    </row>
    <row r="2093" spans="7:7" x14ac:dyDescent="0.3">
      <c r="G2093" s="6">
        <v>1</v>
      </c>
    </row>
    <row r="2094" spans="7:7" x14ac:dyDescent="0.3">
      <c r="G2094" s="6">
        <v>1</v>
      </c>
    </row>
    <row r="2095" spans="7:7" x14ac:dyDescent="0.3">
      <c r="G2095" s="6">
        <v>1</v>
      </c>
    </row>
    <row r="2096" spans="7:7" x14ac:dyDescent="0.3">
      <c r="G2096" s="6">
        <v>1</v>
      </c>
    </row>
    <row r="2097" spans="7:7" x14ac:dyDescent="0.3">
      <c r="G2097" s="6">
        <v>1</v>
      </c>
    </row>
    <row r="2098" spans="7:7" x14ac:dyDescent="0.3">
      <c r="G2098" s="6">
        <v>1</v>
      </c>
    </row>
    <row r="2099" spans="7:7" x14ac:dyDescent="0.3">
      <c r="G2099" s="6">
        <v>1</v>
      </c>
    </row>
    <row r="2100" spans="7:7" x14ac:dyDescent="0.3">
      <c r="G2100" s="6">
        <v>1</v>
      </c>
    </row>
    <row r="2101" spans="7:7" x14ac:dyDescent="0.3">
      <c r="G2101" s="6">
        <v>1</v>
      </c>
    </row>
    <row r="2102" spans="7:7" x14ac:dyDescent="0.3">
      <c r="G2102" s="6">
        <v>1</v>
      </c>
    </row>
    <row r="2103" spans="7:7" x14ac:dyDescent="0.3">
      <c r="G2103" s="6">
        <v>1</v>
      </c>
    </row>
    <row r="2104" spans="7:7" x14ac:dyDescent="0.3">
      <c r="G2104" s="6">
        <v>1</v>
      </c>
    </row>
    <row r="2105" spans="7:7" x14ac:dyDescent="0.3">
      <c r="G2105" s="6">
        <v>1</v>
      </c>
    </row>
    <row r="2106" spans="7:7" x14ac:dyDescent="0.3">
      <c r="G2106" s="6">
        <v>1</v>
      </c>
    </row>
    <row r="2107" spans="7:7" x14ac:dyDescent="0.3">
      <c r="G2107" s="6">
        <v>1</v>
      </c>
    </row>
    <row r="2108" spans="7:7" x14ac:dyDescent="0.3">
      <c r="G2108" s="6">
        <v>1</v>
      </c>
    </row>
    <row r="2109" spans="7:7" x14ac:dyDescent="0.3">
      <c r="G2109" s="6">
        <v>1</v>
      </c>
    </row>
    <row r="2110" spans="7:7" x14ac:dyDescent="0.3">
      <c r="G2110" s="6">
        <v>1</v>
      </c>
    </row>
    <row r="2111" spans="7:7" x14ac:dyDescent="0.3">
      <c r="G2111" s="6">
        <v>1</v>
      </c>
    </row>
    <row r="2112" spans="7:7" x14ac:dyDescent="0.3">
      <c r="G2112" s="6">
        <v>1</v>
      </c>
    </row>
    <row r="2113" spans="7:7" x14ac:dyDescent="0.3">
      <c r="G2113" s="6">
        <v>1</v>
      </c>
    </row>
    <row r="2114" spans="7:7" x14ac:dyDescent="0.3">
      <c r="G2114" s="6">
        <v>1</v>
      </c>
    </row>
    <row r="2115" spans="7:7" x14ac:dyDescent="0.3">
      <c r="G2115" s="6">
        <v>1</v>
      </c>
    </row>
    <row r="2116" spans="7:7" x14ac:dyDescent="0.3">
      <c r="G2116" s="6">
        <v>1</v>
      </c>
    </row>
    <row r="2117" spans="7:7" x14ac:dyDescent="0.3">
      <c r="G2117" s="6">
        <v>1</v>
      </c>
    </row>
    <row r="2118" spans="7:7" x14ac:dyDescent="0.3">
      <c r="G2118" s="6">
        <v>1</v>
      </c>
    </row>
    <row r="2119" spans="7:7" x14ac:dyDescent="0.3">
      <c r="G2119" s="6">
        <v>1</v>
      </c>
    </row>
    <row r="2120" spans="7:7" x14ac:dyDescent="0.3">
      <c r="G2120" s="6">
        <v>1</v>
      </c>
    </row>
    <row r="2121" spans="7:7" x14ac:dyDescent="0.3">
      <c r="G2121" s="6">
        <v>1</v>
      </c>
    </row>
    <row r="2122" spans="7:7" x14ac:dyDescent="0.3">
      <c r="G2122" s="6">
        <v>1</v>
      </c>
    </row>
    <row r="2123" spans="7:7" x14ac:dyDescent="0.3">
      <c r="G2123" s="6">
        <v>1</v>
      </c>
    </row>
    <row r="2124" spans="7:7" x14ac:dyDescent="0.3">
      <c r="G2124" s="6">
        <v>1</v>
      </c>
    </row>
    <row r="2125" spans="7:7" x14ac:dyDescent="0.3">
      <c r="G2125" s="6">
        <v>1</v>
      </c>
    </row>
    <row r="2126" spans="7:7" x14ac:dyDescent="0.3">
      <c r="G2126" s="6">
        <v>1</v>
      </c>
    </row>
    <row r="2127" spans="7:7" x14ac:dyDescent="0.3">
      <c r="G2127" s="6">
        <v>1</v>
      </c>
    </row>
    <row r="2128" spans="7:7" x14ac:dyDescent="0.3">
      <c r="G2128" s="6">
        <v>1</v>
      </c>
    </row>
    <row r="2129" spans="7:7" x14ac:dyDescent="0.3">
      <c r="G2129" s="6">
        <v>1</v>
      </c>
    </row>
    <row r="2130" spans="7:7" x14ac:dyDescent="0.3">
      <c r="G2130" s="6">
        <v>1</v>
      </c>
    </row>
    <row r="2131" spans="7:7" x14ac:dyDescent="0.3">
      <c r="G2131" s="6">
        <v>1</v>
      </c>
    </row>
    <row r="2132" spans="7:7" x14ac:dyDescent="0.3">
      <c r="G2132" s="6">
        <v>1</v>
      </c>
    </row>
    <row r="2133" spans="7:7" x14ac:dyDescent="0.3">
      <c r="G2133" s="6">
        <v>1</v>
      </c>
    </row>
    <row r="2134" spans="7:7" x14ac:dyDescent="0.3">
      <c r="G2134" s="6">
        <v>1</v>
      </c>
    </row>
    <row r="2135" spans="7:7" x14ac:dyDescent="0.3">
      <c r="G2135" s="6">
        <v>1</v>
      </c>
    </row>
    <row r="2136" spans="7:7" x14ac:dyDescent="0.3">
      <c r="G2136" s="6">
        <v>1</v>
      </c>
    </row>
    <row r="2137" spans="7:7" x14ac:dyDescent="0.3">
      <c r="G2137" s="6">
        <v>1</v>
      </c>
    </row>
    <row r="2138" spans="7:7" x14ac:dyDescent="0.3">
      <c r="G2138" s="6">
        <v>1</v>
      </c>
    </row>
    <row r="2139" spans="7:7" x14ac:dyDescent="0.3">
      <c r="G2139" s="6">
        <v>1</v>
      </c>
    </row>
    <row r="2140" spans="7:7" x14ac:dyDescent="0.3">
      <c r="G2140" s="6">
        <v>1</v>
      </c>
    </row>
    <row r="2141" spans="7:7" x14ac:dyDescent="0.3">
      <c r="G2141" s="6">
        <v>1</v>
      </c>
    </row>
    <row r="2142" spans="7:7" x14ac:dyDescent="0.3">
      <c r="G2142" s="6">
        <v>1</v>
      </c>
    </row>
    <row r="2143" spans="7:7" x14ac:dyDescent="0.3">
      <c r="G2143" s="6">
        <v>1</v>
      </c>
    </row>
    <row r="2144" spans="7:7" x14ac:dyDescent="0.3">
      <c r="G2144" s="6">
        <v>1</v>
      </c>
    </row>
    <row r="2145" spans="7:7" x14ac:dyDescent="0.3">
      <c r="G2145" s="6">
        <v>1</v>
      </c>
    </row>
    <row r="2146" spans="7:7" x14ac:dyDescent="0.3">
      <c r="G2146" s="6">
        <v>1</v>
      </c>
    </row>
    <row r="2147" spans="7:7" x14ac:dyDescent="0.3">
      <c r="G2147" s="6">
        <v>1</v>
      </c>
    </row>
    <row r="2148" spans="7:7" x14ac:dyDescent="0.3">
      <c r="G2148" s="6">
        <v>1</v>
      </c>
    </row>
    <row r="2149" spans="7:7" x14ac:dyDescent="0.3">
      <c r="G2149" s="6">
        <v>1</v>
      </c>
    </row>
    <row r="2150" spans="7:7" x14ac:dyDescent="0.3">
      <c r="G2150" s="6">
        <v>1</v>
      </c>
    </row>
    <row r="2151" spans="7:7" x14ac:dyDescent="0.3">
      <c r="G2151" s="6">
        <v>1</v>
      </c>
    </row>
    <row r="2152" spans="7:7" x14ac:dyDescent="0.3">
      <c r="G2152" s="6">
        <v>1</v>
      </c>
    </row>
    <row r="2153" spans="7:7" x14ac:dyDescent="0.3">
      <c r="G2153" s="6">
        <v>1</v>
      </c>
    </row>
    <row r="2154" spans="7:7" x14ac:dyDescent="0.3">
      <c r="G2154" s="6">
        <v>1</v>
      </c>
    </row>
    <row r="2155" spans="7:7" x14ac:dyDescent="0.3">
      <c r="G2155" s="6">
        <v>1</v>
      </c>
    </row>
    <row r="2156" spans="7:7" x14ac:dyDescent="0.3">
      <c r="G2156" s="6">
        <v>1</v>
      </c>
    </row>
    <row r="2157" spans="7:7" x14ac:dyDescent="0.3">
      <c r="G2157" s="6">
        <v>1</v>
      </c>
    </row>
    <row r="2158" spans="7:7" x14ac:dyDescent="0.3">
      <c r="G2158" s="6">
        <v>1</v>
      </c>
    </row>
    <row r="2159" spans="7:7" x14ac:dyDescent="0.3">
      <c r="G2159" s="6">
        <v>1</v>
      </c>
    </row>
    <row r="2160" spans="7:7" x14ac:dyDescent="0.3">
      <c r="G2160" s="6">
        <v>1</v>
      </c>
    </row>
    <row r="2161" spans="7:7" x14ac:dyDescent="0.3">
      <c r="G2161" s="6">
        <v>1</v>
      </c>
    </row>
    <row r="2162" spans="7:7" x14ac:dyDescent="0.3">
      <c r="G2162" s="6">
        <v>1</v>
      </c>
    </row>
    <row r="2163" spans="7:7" x14ac:dyDescent="0.3">
      <c r="G2163" s="6">
        <v>1</v>
      </c>
    </row>
    <row r="2164" spans="7:7" x14ac:dyDescent="0.3">
      <c r="G2164" s="6">
        <v>1</v>
      </c>
    </row>
    <row r="2165" spans="7:7" x14ac:dyDescent="0.3">
      <c r="G2165" s="6">
        <v>1</v>
      </c>
    </row>
    <row r="2166" spans="7:7" x14ac:dyDescent="0.3">
      <c r="G2166" s="6">
        <v>1</v>
      </c>
    </row>
    <row r="2167" spans="7:7" x14ac:dyDescent="0.3">
      <c r="G2167" s="6">
        <v>1</v>
      </c>
    </row>
    <row r="2168" spans="7:7" x14ac:dyDescent="0.3">
      <c r="G2168" s="6">
        <v>1</v>
      </c>
    </row>
    <row r="2169" spans="7:7" x14ac:dyDescent="0.3">
      <c r="G2169" s="6">
        <v>1</v>
      </c>
    </row>
    <row r="2170" spans="7:7" x14ac:dyDescent="0.3">
      <c r="G2170" s="6">
        <v>1</v>
      </c>
    </row>
    <row r="2171" spans="7:7" x14ac:dyDescent="0.3">
      <c r="G2171" s="6">
        <v>1</v>
      </c>
    </row>
    <row r="2172" spans="7:7" x14ac:dyDescent="0.3">
      <c r="G2172" s="6">
        <v>1</v>
      </c>
    </row>
    <row r="2173" spans="7:7" x14ac:dyDescent="0.3">
      <c r="G2173" s="6">
        <v>1</v>
      </c>
    </row>
    <row r="2174" spans="7:7" x14ac:dyDescent="0.3">
      <c r="G2174" s="6">
        <v>1</v>
      </c>
    </row>
    <row r="2175" spans="7:7" x14ac:dyDescent="0.3">
      <c r="G2175" s="6">
        <v>1</v>
      </c>
    </row>
    <row r="2176" spans="7:7" x14ac:dyDescent="0.3">
      <c r="G2176" s="6">
        <v>1</v>
      </c>
    </row>
    <row r="2177" spans="7:7" x14ac:dyDescent="0.3">
      <c r="G2177" s="6">
        <v>1</v>
      </c>
    </row>
    <row r="2178" spans="7:7" x14ac:dyDescent="0.3">
      <c r="G2178" s="6">
        <v>1</v>
      </c>
    </row>
    <row r="2179" spans="7:7" x14ac:dyDescent="0.3">
      <c r="G2179" s="6">
        <v>1</v>
      </c>
    </row>
    <row r="2180" spans="7:7" x14ac:dyDescent="0.3">
      <c r="G2180" s="6">
        <v>1</v>
      </c>
    </row>
    <row r="2181" spans="7:7" x14ac:dyDescent="0.3">
      <c r="G2181" s="6">
        <v>1</v>
      </c>
    </row>
    <row r="2182" spans="7:7" x14ac:dyDescent="0.3">
      <c r="G2182" s="6">
        <v>1</v>
      </c>
    </row>
    <row r="2183" spans="7:7" x14ac:dyDescent="0.3">
      <c r="G2183" s="6">
        <v>1</v>
      </c>
    </row>
    <row r="2184" spans="7:7" x14ac:dyDescent="0.3">
      <c r="G2184" s="6">
        <v>1</v>
      </c>
    </row>
    <row r="2185" spans="7:7" x14ac:dyDescent="0.3">
      <c r="G2185" s="6">
        <v>1</v>
      </c>
    </row>
    <row r="2186" spans="7:7" x14ac:dyDescent="0.3">
      <c r="G2186" s="6">
        <v>1</v>
      </c>
    </row>
    <row r="2187" spans="7:7" x14ac:dyDescent="0.3">
      <c r="G2187" s="6">
        <v>1</v>
      </c>
    </row>
    <row r="2188" spans="7:7" x14ac:dyDescent="0.3">
      <c r="G2188" s="6">
        <v>1</v>
      </c>
    </row>
    <row r="2189" spans="7:7" x14ac:dyDescent="0.3">
      <c r="G2189" s="6">
        <v>1</v>
      </c>
    </row>
    <row r="2190" spans="7:7" x14ac:dyDescent="0.3">
      <c r="G2190" s="6">
        <v>1</v>
      </c>
    </row>
    <row r="2191" spans="7:7" x14ac:dyDescent="0.3">
      <c r="G2191" s="6">
        <v>1</v>
      </c>
    </row>
    <row r="2192" spans="7:7" x14ac:dyDescent="0.3">
      <c r="G2192" s="6">
        <v>1</v>
      </c>
    </row>
    <row r="2193" spans="7:7" x14ac:dyDescent="0.3">
      <c r="G2193" s="6">
        <v>1</v>
      </c>
    </row>
    <row r="2194" spans="7:7" x14ac:dyDescent="0.3">
      <c r="G2194" s="6">
        <v>1</v>
      </c>
    </row>
    <row r="2195" spans="7:7" x14ac:dyDescent="0.3">
      <c r="G2195" s="6">
        <v>1</v>
      </c>
    </row>
    <row r="2196" spans="7:7" x14ac:dyDescent="0.3">
      <c r="G2196" s="6">
        <v>1</v>
      </c>
    </row>
    <row r="2197" spans="7:7" x14ac:dyDescent="0.3">
      <c r="G2197" s="6">
        <v>1</v>
      </c>
    </row>
    <row r="2198" spans="7:7" x14ac:dyDescent="0.3">
      <c r="G2198" s="6">
        <v>1</v>
      </c>
    </row>
    <row r="2199" spans="7:7" x14ac:dyDescent="0.3">
      <c r="G2199" s="6">
        <v>1</v>
      </c>
    </row>
    <row r="2200" spans="7:7" x14ac:dyDescent="0.3">
      <c r="G2200" s="6">
        <v>1</v>
      </c>
    </row>
    <row r="2201" spans="7:7" x14ac:dyDescent="0.3">
      <c r="G2201" s="6">
        <v>1</v>
      </c>
    </row>
    <row r="2202" spans="7:7" x14ac:dyDescent="0.3">
      <c r="G2202" s="6">
        <v>1</v>
      </c>
    </row>
    <row r="2203" spans="7:7" x14ac:dyDescent="0.3">
      <c r="G2203" s="6">
        <v>1</v>
      </c>
    </row>
    <row r="2204" spans="7:7" x14ac:dyDescent="0.3">
      <c r="G2204" s="6">
        <v>1</v>
      </c>
    </row>
    <row r="2205" spans="7:7" x14ac:dyDescent="0.3">
      <c r="G2205" s="6">
        <v>1</v>
      </c>
    </row>
    <row r="2206" spans="7:7" x14ac:dyDescent="0.3">
      <c r="G2206" s="6">
        <v>1</v>
      </c>
    </row>
    <row r="2207" spans="7:7" x14ac:dyDescent="0.3">
      <c r="G2207" s="6">
        <v>1</v>
      </c>
    </row>
    <row r="2208" spans="7:7" x14ac:dyDescent="0.3">
      <c r="G2208" s="6">
        <v>1</v>
      </c>
    </row>
    <row r="2209" spans="7:7" x14ac:dyDescent="0.3">
      <c r="G2209" s="6">
        <v>1</v>
      </c>
    </row>
    <row r="2210" spans="7:7" x14ac:dyDescent="0.3">
      <c r="G2210" s="6">
        <v>1</v>
      </c>
    </row>
    <row r="2211" spans="7:7" x14ac:dyDescent="0.3">
      <c r="G2211" s="6">
        <v>1</v>
      </c>
    </row>
    <row r="2212" spans="7:7" x14ac:dyDescent="0.3">
      <c r="G2212" s="6">
        <v>1</v>
      </c>
    </row>
    <row r="2213" spans="7:7" x14ac:dyDescent="0.3">
      <c r="G2213" s="6">
        <v>1</v>
      </c>
    </row>
    <row r="2214" spans="7:7" x14ac:dyDescent="0.3">
      <c r="G2214" s="6">
        <v>1</v>
      </c>
    </row>
    <row r="2215" spans="7:7" x14ac:dyDescent="0.3">
      <c r="G2215" s="6">
        <v>1</v>
      </c>
    </row>
    <row r="2216" spans="7:7" x14ac:dyDescent="0.3">
      <c r="G2216" s="6">
        <v>1</v>
      </c>
    </row>
    <row r="2217" spans="7:7" x14ac:dyDescent="0.3">
      <c r="G2217" s="6">
        <v>1</v>
      </c>
    </row>
    <row r="2218" spans="7:7" x14ac:dyDescent="0.3">
      <c r="G2218" s="6">
        <v>1</v>
      </c>
    </row>
    <row r="2219" spans="7:7" x14ac:dyDescent="0.3">
      <c r="G2219" s="6">
        <v>1</v>
      </c>
    </row>
    <row r="2220" spans="7:7" x14ac:dyDescent="0.3">
      <c r="G2220" s="6">
        <v>1</v>
      </c>
    </row>
    <row r="2221" spans="7:7" x14ac:dyDescent="0.3">
      <c r="G2221" s="6">
        <v>1</v>
      </c>
    </row>
    <row r="2222" spans="7:7" x14ac:dyDescent="0.3">
      <c r="G2222" s="6">
        <v>1</v>
      </c>
    </row>
    <row r="2223" spans="7:7" x14ac:dyDescent="0.3">
      <c r="G2223" s="6">
        <v>1</v>
      </c>
    </row>
    <row r="2224" spans="7:7" x14ac:dyDescent="0.3">
      <c r="G2224" s="6">
        <v>1</v>
      </c>
    </row>
    <row r="2225" spans="7:7" x14ac:dyDescent="0.3">
      <c r="G2225" s="6">
        <v>1</v>
      </c>
    </row>
    <row r="2226" spans="7:7" x14ac:dyDescent="0.3">
      <c r="G2226" s="6">
        <v>1</v>
      </c>
    </row>
    <row r="2227" spans="7:7" x14ac:dyDescent="0.3">
      <c r="G2227" s="6">
        <v>1</v>
      </c>
    </row>
    <row r="2228" spans="7:7" x14ac:dyDescent="0.3">
      <c r="G2228" s="6">
        <v>1</v>
      </c>
    </row>
    <row r="2229" spans="7:7" x14ac:dyDescent="0.3">
      <c r="G2229" s="6">
        <v>1</v>
      </c>
    </row>
    <row r="2230" spans="7:7" x14ac:dyDescent="0.3">
      <c r="G2230" s="6">
        <v>1</v>
      </c>
    </row>
    <row r="2231" spans="7:7" x14ac:dyDescent="0.3">
      <c r="G2231" s="6">
        <v>1</v>
      </c>
    </row>
    <row r="2232" spans="7:7" x14ac:dyDescent="0.3">
      <c r="G2232" s="6">
        <v>1</v>
      </c>
    </row>
    <row r="2233" spans="7:7" x14ac:dyDescent="0.3">
      <c r="G2233" s="6">
        <v>1</v>
      </c>
    </row>
    <row r="2234" spans="7:7" x14ac:dyDescent="0.3">
      <c r="G2234" s="6">
        <v>1</v>
      </c>
    </row>
    <row r="2235" spans="7:7" x14ac:dyDescent="0.3">
      <c r="G2235" s="6">
        <v>1</v>
      </c>
    </row>
    <row r="2236" spans="7:7" x14ac:dyDescent="0.3">
      <c r="G2236" s="6">
        <v>1</v>
      </c>
    </row>
    <row r="2237" spans="7:7" x14ac:dyDescent="0.3">
      <c r="G2237" s="6">
        <v>1</v>
      </c>
    </row>
    <row r="2238" spans="7:7" x14ac:dyDescent="0.3">
      <c r="G2238" s="6">
        <v>1</v>
      </c>
    </row>
    <row r="2239" spans="7:7" x14ac:dyDescent="0.3">
      <c r="G2239" s="6">
        <v>1</v>
      </c>
    </row>
    <row r="2240" spans="7:7" x14ac:dyDescent="0.3">
      <c r="G2240" s="6">
        <v>1</v>
      </c>
    </row>
    <row r="2241" spans="7:7" x14ac:dyDescent="0.3">
      <c r="G2241" s="6">
        <v>1</v>
      </c>
    </row>
    <row r="2242" spans="7:7" x14ac:dyDescent="0.3">
      <c r="G2242" s="6">
        <v>1</v>
      </c>
    </row>
    <row r="2243" spans="7:7" x14ac:dyDescent="0.3">
      <c r="G2243" s="6">
        <v>1</v>
      </c>
    </row>
    <row r="2244" spans="7:7" x14ac:dyDescent="0.3">
      <c r="G2244" s="6">
        <v>1</v>
      </c>
    </row>
    <row r="2245" spans="7:7" x14ac:dyDescent="0.3">
      <c r="G2245" s="6">
        <v>1</v>
      </c>
    </row>
    <row r="2246" spans="7:7" x14ac:dyDescent="0.3">
      <c r="G2246" s="6">
        <v>1</v>
      </c>
    </row>
    <row r="2247" spans="7:7" x14ac:dyDescent="0.3">
      <c r="G2247" s="6">
        <v>1</v>
      </c>
    </row>
    <row r="2248" spans="7:7" x14ac:dyDescent="0.3">
      <c r="G2248" s="6">
        <v>1</v>
      </c>
    </row>
    <row r="2249" spans="7:7" x14ac:dyDescent="0.3">
      <c r="G2249" s="6">
        <v>1</v>
      </c>
    </row>
    <row r="2250" spans="7:7" x14ac:dyDescent="0.3">
      <c r="G2250" s="6">
        <v>1</v>
      </c>
    </row>
    <row r="2251" spans="7:7" x14ac:dyDescent="0.3">
      <c r="G2251" s="6">
        <v>1</v>
      </c>
    </row>
    <row r="2252" spans="7:7" x14ac:dyDescent="0.3">
      <c r="G2252" s="6">
        <v>1</v>
      </c>
    </row>
    <row r="2253" spans="7:7" x14ac:dyDescent="0.3">
      <c r="G2253" s="6">
        <v>1</v>
      </c>
    </row>
    <row r="2254" spans="7:7" x14ac:dyDescent="0.3">
      <c r="G2254" s="6">
        <v>1</v>
      </c>
    </row>
    <row r="2255" spans="7:7" x14ac:dyDescent="0.3">
      <c r="G2255" s="6">
        <v>1</v>
      </c>
    </row>
    <row r="2256" spans="7:7" x14ac:dyDescent="0.3">
      <c r="G2256" s="6">
        <v>1</v>
      </c>
    </row>
    <row r="2257" spans="7:7" x14ac:dyDescent="0.3">
      <c r="G2257" s="6">
        <v>1</v>
      </c>
    </row>
    <row r="2258" spans="7:7" x14ac:dyDescent="0.3">
      <c r="G2258" s="6">
        <v>1</v>
      </c>
    </row>
    <row r="2259" spans="7:7" x14ac:dyDescent="0.3">
      <c r="G2259" s="6">
        <v>1</v>
      </c>
    </row>
    <row r="2260" spans="7:7" x14ac:dyDescent="0.3">
      <c r="G2260" s="6">
        <v>1</v>
      </c>
    </row>
    <row r="2261" spans="7:7" x14ac:dyDescent="0.3">
      <c r="G2261" s="6">
        <v>1</v>
      </c>
    </row>
    <row r="2262" spans="7:7" x14ac:dyDescent="0.3">
      <c r="G2262" s="6">
        <v>1</v>
      </c>
    </row>
    <row r="2263" spans="7:7" x14ac:dyDescent="0.3">
      <c r="G2263" s="6">
        <v>1</v>
      </c>
    </row>
    <row r="2264" spans="7:7" x14ac:dyDescent="0.3">
      <c r="G2264" s="6">
        <v>1</v>
      </c>
    </row>
    <row r="2265" spans="7:7" x14ac:dyDescent="0.3">
      <c r="G2265" s="6">
        <v>1</v>
      </c>
    </row>
    <row r="2266" spans="7:7" x14ac:dyDescent="0.3">
      <c r="G2266" s="6">
        <v>1</v>
      </c>
    </row>
    <row r="2267" spans="7:7" x14ac:dyDescent="0.3">
      <c r="G2267" s="6">
        <v>1</v>
      </c>
    </row>
    <row r="2268" spans="7:7" x14ac:dyDescent="0.3">
      <c r="G2268" s="6">
        <v>1</v>
      </c>
    </row>
    <row r="2269" spans="7:7" x14ac:dyDescent="0.3">
      <c r="G2269" s="6">
        <v>1</v>
      </c>
    </row>
    <row r="2270" spans="7:7" x14ac:dyDescent="0.3">
      <c r="G2270" s="6">
        <v>1</v>
      </c>
    </row>
    <row r="2271" spans="7:7" x14ac:dyDescent="0.3">
      <c r="G2271" s="6">
        <v>1</v>
      </c>
    </row>
    <row r="2272" spans="7:7" x14ac:dyDescent="0.3">
      <c r="G2272" s="6">
        <v>1</v>
      </c>
    </row>
    <row r="2273" spans="7:7" x14ac:dyDescent="0.3">
      <c r="G2273" s="6">
        <v>1</v>
      </c>
    </row>
    <row r="2274" spans="7:7" x14ac:dyDescent="0.3">
      <c r="G2274" s="6">
        <v>1</v>
      </c>
    </row>
    <row r="2275" spans="7:7" x14ac:dyDescent="0.3">
      <c r="G2275" s="6">
        <v>1</v>
      </c>
    </row>
    <row r="2276" spans="7:7" x14ac:dyDescent="0.3">
      <c r="G2276" s="6">
        <v>1</v>
      </c>
    </row>
    <row r="2277" spans="7:7" x14ac:dyDescent="0.3">
      <c r="G2277" s="6">
        <v>1</v>
      </c>
    </row>
    <row r="2278" spans="7:7" x14ac:dyDescent="0.3">
      <c r="G2278" s="6">
        <v>1</v>
      </c>
    </row>
    <row r="2279" spans="7:7" x14ac:dyDescent="0.3">
      <c r="G2279" s="6">
        <v>1</v>
      </c>
    </row>
    <row r="2280" spans="7:7" x14ac:dyDescent="0.3">
      <c r="G2280" s="6">
        <v>1</v>
      </c>
    </row>
    <row r="2281" spans="7:7" x14ac:dyDescent="0.3">
      <c r="G2281" s="6">
        <v>1</v>
      </c>
    </row>
    <row r="2282" spans="7:7" x14ac:dyDescent="0.3">
      <c r="G2282" s="6">
        <v>1</v>
      </c>
    </row>
    <row r="2283" spans="7:7" x14ac:dyDescent="0.3">
      <c r="G2283" s="6">
        <v>1</v>
      </c>
    </row>
    <row r="2284" spans="7:7" x14ac:dyDescent="0.3">
      <c r="G2284" s="6">
        <v>1</v>
      </c>
    </row>
    <row r="2285" spans="7:7" x14ac:dyDescent="0.3">
      <c r="G2285" s="6">
        <v>1</v>
      </c>
    </row>
    <row r="2286" spans="7:7" x14ac:dyDescent="0.3">
      <c r="G2286" s="6">
        <v>1</v>
      </c>
    </row>
    <row r="2287" spans="7:7" x14ac:dyDescent="0.3">
      <c r="G2287" s="6">
        <v>1</v>
      </c>
    </row>
    <row r="2288" spans="7:7" x14ac:dyDescent="0.3">
      <c r="G2288" s="6">
        <v>1</v>
      </c>
    </row>
    <row r="2289" spans="7:7" x14ac:dyDescent="0.3">
      <c r="G2289" s="6">
        <v>1</v>
      </c>
    </row>
    <row r="2290" spans="7:7" x14ac:dyDescent="0.3">
      <c r="G2290" s="6">
        <v>1</v>
      </c>
    </row>
    <row r="2291" spans="7:7" x14ac:dyDescent="0.3">
      <c r="G2291" s="6">
        <v>1</v>
      </c>
    </row>
    <row r="2292" spans="7:7" x14ac:dyDescent="0.3">
      <c r="G2292" s="6">
        <v>1</v>
      </c>
    </row>
    <row r="2293" spans="7:7" x14ac:dyDescent="0.3">
      <c r="G2293" s="6">
        <v>1</v>
      </c>
    </row>
    <row r="2294" spans="7:7" x14ac:dyDescent="0.3">
      <c r="G2294" s="6">
        <v>1</v>
      </c>
    </row>
    <row r="2295" spans="7:7" x14ac:dyDescent="0.3">
      <c r="G2295" s="6">
        <v>1</v>
      </c>
    </row>
    <row r="2296" spans="7:7" x14ac:dyDescent="0.3">
      <c r="G2296" s="6">
        <v>1</v>
      </c>
    </row>
    <row r="2297" spans="7:7" x14ac:dyDescent="0.3">
      <c r="G2297" s="6">
        <v>1</v>
      </c>
    </row>
    <row r="2298" spans="7:7" x14ac:dyDescent="0.3">
      <c r="G2298" s="6">
        <v>1</v>
      </c>
    </row>
    <row r="2299" spans="7:7" x14ac:dyDescent="0.3">
      <c r="G2299" s="6">
        <v>1</v>
      </c>
    </row>
    <row r="2300" spans="7:7" x14ac:dyDescent="0.3">
      <c r="G2300" s="6">
        <v>1</v>
      </c>
    </row>
    <row r="2301" spans="7:7" x14ac:dyDescent="0.3">
      <c r="G2301" s="6">
        <v>1</v>
      </c>
    </row>
    <row r="2302" spans="7:7" x14ac:dyDescent="0.3">
      <c r="G2302" s="6">
        <v>1</v>
      </c>
    </row>
    <row r="2303" spans="7:7" x14ac:dyDescent="0.3">
      <c r="G2303" s="6">
        <v>1</v>
      </c>
    </row>
    <row r="2304" spans="7:7" x14ac:dyDescent="0.3">
      <c r="G2304" s="6">
        <v>1</v>
      </c>
    </row>
    <row r="2305" spans="7:7" x14ac:dyDescent="0.3">
      <c r="G2305" s="6">
        <v>1</v>
      </c>
    </row>
    <row r="2306" spans="7:7" x14ac:dyDescent="0.3">
      <c r="G2306" s="6">
        <v>1</v>
      </c>
    </row>
    <row r="2307" spans="7:7" x14ac:dyDescent="0.3">
      <c r="G2307" s="6">
        <v>1</v>
      </c>
    </row>
    <row r="2308" spans="7:7" x14ac:dyDescent="0.3">
      <c r="G2308" s="6">
        <v>1</v>
      </c>
    </row>
    <row r="2309" spans="7:7" x14ac:dyDescent="0.3">
      <c r="G2309" s="6">
        <v>1</v>
      </c>
    </row>
    <row r="2310" spans="7:7" x14ac:dyDescent="0.3">
      <c r="G2310" s="6">
        <v>1</v>
      </c>
    </row>
    <row r="2311" spans="7:7" x14ac:dyDescent="0.3">
      <c r="G2311" s="6">
        <v>1</v>
      </c>
    </row>
    <row r="2312" spans="7:7" x14ac:dyDescent="0.3">
      <c r="G2312" s="6">
        <v>1</v>
      </c>
    </row>
    <row r="2313" spans="7:7" x14ac:dyDescent="0.3">
      <c r="G2313" s="6">
        <v>1</v>
      </c>
    </row>
    <row r="2314" spans="7:7" x14ac:dyDescent="0.3">
      <c r="G2314" s="6">
        <v>1</v>
      </c>
    </row>
    <row r="2315" spans="7:7" x14ac:dyDescent="0.3">
      <c r="G2315" s="6">
        <v>1</v>
      </c>
    </row>
    <row r="2316" spans="7:7" x14ac:dyDescent="0.3">
      <c r="G2316" s="6">
        <v>1</v>
      </c>
    </row>
    <row r="2317" spans="7:7" x14ac:dyDescent="0.3">
      <c r="G2317" s="6">
        <v>1</v>
      </c>
    </row>
    <row r="2318" spans="7:7" x14ac:dyDescent="0.3">
      <c r="G2318" s="6">
        <v>1</v>
      </c>
    </row>
    <row r="2319" spans="7:7" x14ac:dyDescent="0.3">
      <c r="G2319" s="6">
        <v>1</v>
      </c>
    </row>
    <row r="2320" spans="7:7" x14ac:dyDescent="0.3">
      <c r="G2320" s="6">
        <v>1</v>
      </c>
    </row>
    <row r="2321" spans="7:7" x14ac:dyDescent="0.3">
      <c r="G2321" s="6">
        <v>1</v>
      </c>
    </row>
    <row r="2322" spans="7:7" x14ac:dyDescent="0.3">
      <c r="G2322" s="6">
        <v>1</v>
      </c>
    </row>
    <row r="2323" spans="7:7" x14ac:dyDescent="0.3">
      <c r="G2323" s="6">
        <v>1</v>
      </c>
    </row>
    <row r="2324" spans="7:7" x14ac:dyDescent="0.3">
      <c r="G2324" s="6">
        <v>1</v>
      </c>
    </row>
    <row r="2325" spans="7:7" x14ac:dyDescent="0.3">
      <c r="G2325" s="6">
        <v>1</v>
      </c>
    </row>
    <row r="2326" spans="7:7" x14ac:dyDescent="0.3">
      <c r="G2326" s="6">
        <v>1</v>
      </c>
    </row>
    <row r="2327" spans="7:7" x14ac:dyDescent="0.3">
      <c r="G2327" s="6">
        <v>1</v>
      </c>
    </row>
    <row r="2328" spans="7:7" x14ac:dyDescent="0.3">
      <c r="G2328" s="6">
        <v>1</v>
      </c>
    </row>
    <row r="2329" spans="7:7" x14ac:dyDescent="0.3">
      <c r="G2329" s="6">
        <v>1</v>
      </c>
    </row>
    <row r="2330" spans="7:7" x14ac:dyDescent="0.3">
      <c r="G2330" s="6">
        <v>1</v>
      </c>
    </row>
    <row r="2331" spans="7:7" x14ac:dyDescent="0.3">
      <c r="G2331" s="6">
        <v>1</v>
      </c>
    </row>
    <row r="2332" spans="7:7" x14ac:dyDescent="0.3">
      <c r="G2332" s="6">
        <v>1</v>
      </c>
    </row>
    <row r="2333" spans="7:7" x14ac:dyDescent="0.3">
      <c r="G2333" s="6">
        <v>1</v>
      </c>
    </row>
    <row r="2334" spans="7:7" x14ac:dyDescent="0.3">
      <c r="G2334" s="6">
        <v>1</v>
      </c>
    </row>
    <row r="2335" spans="7:7" x14ac:dyDescent="0.3">
      <c r="G2335" s="6">
        <v>1</v>
      </c>
    </row>
    <row r="2336" spans="7:7" x14ac:dyDescent="0.3">
      <c r="G2336" s="6">
        <v>1</v>
      </c>
    </row>
    <row r="2337" spans="7:7" x14ac:dyDescent="0.3">
      <c r="G2337" s="6">
        <v>1</v>
      </c>
    </row>
    <row r="2338" spans="7:7" x14ac:dyDescent="0.3">
      <c r="G2338" s="6">
        <v>1</v>
      </c>
    </row>
    <row r="2339" spans="7:7" x14ac:dyDescent="0.3">
      <c r="G2339" s="6">
        <v>1</v>
      </c>
    </row>
    <row r="2340" spans="7:7" x14ac:dyDescent="0.3">
      <c r="G2340" s="6">
        <v>1</v>
      </c>
    </row>
    <row r="2341" spans="7:7" x14ac:dyDescent="0.3">
      <c r="G2341" s="6">
        <v>1</v>
      </c>
    </row>
    <row r="2342" spans="7:7" x14ac:dyDescent="0.3">
      <c r="G2342" s="6">
        <v>1</v>
      </c>
    </row>
    <row r="2343" spans="7:7" x14ac:dyDescent="0.3">
      <c r="G2343" s="6">
        <v>1</v>
      </c>
    </row>
    <row r="2344" spans="7:7" x14ac:dyDescent="0.3">
      <c r="G2344" s="6">
        <v>1</v>
      </c>
    </row>
    <row r="2345" spans="7:7" x14ac:dyDescent="0.3">
      <c r="G2345" s="6">
        <v>1</v>
      </c>
    </row>
    <row r="2346" spans="7:7" x14ac:dyDescent="0.3">
      <c r="G2346" s="6">
        <v>1</v>
      </c>
    </row>
    <row r="2347" spans="7:7" x14ac:dyDescent="0.3">
      <c r="G2347" s="6">
        <v>1</v>
      </c>
    </row>
    <row r="2348" spans="7:7" x14ac:dyDescent="0.3">
      <c r="G2348" s="6">
        <v>1</v>
      </c>
    </row>
    <row r="2349" spans="7:7" x14ac:dyDescent="0.3">
      <c r="G2349" s="6">
        <v>1</v>
      </c>
    </row>
    <row r="2350" spans="7:7" x14ac:dyDescent="0.3">
      <c r="G2350" s="6">
        <v>1</v>
      </c>
    </row>
    <row r="2351" spans="7:7" x14ac:dyDescent="0.3">
      <c r="G2351" s="6">
        <v>1</v>
      </c>
    </row>
    <row r="2352" spans="7:7" x14ac:dyDescent="0.3">
      <c r="G2352" s="6">
        <v>1</v>
      </c>
    </row>
    <row r="2353" spans="7:7" x14ac:dyDescent="0.3">
      <c r="G2353" s="6">
        <v>1</v>
      </c>
    </row>
    <row r="2354" spans="7:7" x14ac:dyDescent="0.3">
      <c r="G2354" s="6">
        <v>1</v>
      </c>
    </row>
    <row r="2355" spans="7:7" x14ac:dyDescent="0.3">
      <c r="G2355" s="6">
        <v>1</v>
      </c>
    </row>
    <row r="2356" spans="7:7" x14ac:dyDescent="0.3">
      <c r="G2356" s="6">
        <v>1</v>
      </c>
    </row>
    <row r="2357" spans="7:7" x14ac:dyDescent="0.3">
      <c r="G2357" s="6">
        <v>1</v>
      </c>
    </row>
    <row r="2358" spans="7:7" x14ac:dyDescent="0.3">
      <c r="G2358" s="6">
        <v>1</v>
      </c>
    </row>
    <row r="2359" spans="7:7" x14ac:dyDescent="0.3">
      <c r="G2359" s="6">
        <v>1</v>
      </c>
    </row>
    <row r="2360" spans="7:7" x14ac:dyDescent="0.3">
      <c r="G2360" s="6">
        <v>1</v>
      </c>
    </row>
    <row r="2361" spans="7:7" x14ac:dyDescent="0.3">
      <c r="G2361" s="6">
        <v>1</v>
      </c>
    </row>
    <row r="2362" spans="7:7" x14ac:dyDescent="0.3">
      <c r="G2362" s="6">
        <v>1</v>
      </c>
    </row>
    <row r="2363" spans="7:7" x14ac:dyDescent="0.3">
      <c r="G2363" s="6">
        <v>1</v>
      </c>
    </row>
    <row r="2364" spans="7:7" x14ac:dyDescent="0.3">
      <c r="G2364" s="6">
        <v>1</v>
      </c>
    </row>
    <row r="2365" spans="7:7" x14ac:dyDescent="0.3">
      <c r="G2365" s="6">
        <v>1</v>
      </c>
    </row>
    <row r="2366" spans="7:7" x14ac:dyDescent="0.3">
      <c r="G2366" s="6">
        <v>1</v>
      </c>
    </row>
    <row r="2367" spans="7:7" x14ac:dyDescent="0.3">
      <c r="G2367" s="6">
        <v>1</v>
      </c>
    </row>
    <row r="2368" spans="7:7" x14ac:dyDescent="0.3">
      <c r="G2368" s="6">
        <v>1</v>
      </c>
    </row>
    <row r="2369" spans="7:7" x14ac:dyDescent="0.3">
      <c r="G2369" s="6">
        <v>1</v>
      </c>
    </row>
    <row r="2370" spans="7:7" x14ac:dyDescent="0.3">
      <c r="G2370" s="6">
        <v>1</v>
      </c>
    </row>
    <row r="2371" spans="7:7" x14ac:dyDescent="0.3">
      <c r="G2371" s="6">
        <v>1</v>
      </c>
    </row>
    <row r="2372" spans="7:7" x14ac:dyDescent="0.3">
      <c r="G2372" s="6">
        <v>1</v>
      </c>
    </row>
    <row r="2373" spans="7:7" x14ac:dyDescent="0.3">
      <c r="G2373" s="6">
        <v>1</v>
      </c>
    </row>
    <row r="2374" spans="7:7" x14ac:dyDescent="0.3">
      <c r="G2374" s="6">
        <v>1</v>
      </c>
    </row>
    <row r="2375" spans="7:7" x14ac:dyDescent="0.3">
      <c r="G2375" s="6">
        <v>1</v>
      </c>
    </row>
    <row r="2376" spans="7:7" x14ac:dyDescent="0.3">
      <c r="G2376" s="6">
        <v>1</v>
      </c>
    </row>
    <row r="2377" spans="7:7" x14ac:dyDescent="0.3">
      <c r="G2377" s="6">
        <v>1</v>
      </c>
    </row>
    <row r="2378" spans="7:7" x14ac:dyDescent="0.3">
      <c r="G2378" s="6">
        <v>1</v>
      </c>
    </row>
    <row r="2379" spans="7:7" x14ac:dyDescent="0.3">
      <c r="G2379" s="6">
        <v>1</v>
      </c>
    </row>
    <row r="2380" spans="7:7" x14ac:dyDescent="0.3">
      <c r="G2380" s="6">
        <v>1</v>
      </c>
    </row>
    <row r="2381" spans="7:7" x14ac:dyDescent="0.3">
      <c r="G2381" s="6">
        <v>1</v>
      </c>
    </row>
    <row r="2382" spans="7:7" x14ac:dyDescent="0.3">
      <c r="G2382" s="6">
        <v>1</v>
      </c>
    </row>
    <row r="2383" spans="7:7" x14ac:dyDescent="0.3">
      <c r="G2383" s="6">
        <v>1</v>
      </c>
    </row>
    <row r="2384" spans="7:7" x14ac:dyDescent="0.3">
      <c r="G2384" s="6">
        <v>1</v>
      </c>
    </row>
    <row r="2385" spans="7:7" x14ac:dyDescent="0.3">
      <c r="G2385" s="6">
        <v>1</v>
      </c>
    </row>
    <row r="2386" spans="7:7" x14ac:dyDescent="0.3">
      <c r="G2386" s="6">
        <v>1</v>
      </c>
    </row>
    <row r="2387" spans="7:7" x14ac:dyDescent="0.3">
      <c r="G2387" s="6">
        <v>1</v>
      </c>
    </row>
    <row r="2388" spans="7:7" x14ac:dyDescent="0.3">
      <c r="G2388" s="6">
        <v>1</v>
      </c>
    </row>
    <row r="2389" spans="7:7" x14ac:dyDescent="0.3">
      <c r="G2389" s="6">
        <v>1</v>
      </c>
    </row>
    <row r="2390" spans="7:7" x14ac:dyDescent="0.3">
      <c r="G2390" s="6">
        <v>1</v>
      </c>
    </row>
    <row r="2391" spans="7:7" x14ac:dyDescent="0.3">
      <c r="G2391" s="6">
        <v>1</v>
      </c>
    </row>
    <row r="2392" spans="7:7" x14ac:dyDescent="0.3">
      <c r="G2392" s="6">
        <v>1</v>
      </c>
    </row>
    <row r="2393" spans="7:7" x14ac:dyDescent="0.3">
      <c r="G2393" s="6">
        <v>1</v>
      </c>
    </row>
    <row r="2394" spans="7:7" x14ac:dyDescent="0.3">
      <c r="G2394" s="6">
        <v>1</v>
      </c>
    </row>
    <row r="2395" spans="7:7" x14ac:dyDescent="0.3">
      <c r="G2395" s="6">
        <v>1</v>
      </c>
    </row>
    <row r="2396" spans="7:7" x14ac:dyDescent="0.3">
      <c r="G2396" s="6">
        <v>1</v>
      </c>
    </row>
    <row r="2397" spans="7:7" x14ac:dyDescent="0.3">
      <c r="G2397" s="6">
        <v>1</v>
      </c>
    </row>
    <row r="2398" spans="7:7" x14ac:dyDescent="0.3">
      <c r="G2398" s="6">
        <v>1</v>
      </c>
    </row>
    <row r="2399" spans="7:7" x14ac:dyDescent="0.3">
      <c r="G2399" s="6">
        <v>1</v>
      </c>
    </row>
    <row r="2400" spans="7:7" x14ac:dyDescent="0.3">
      <c r="G2400" s="6">
        <v>1</v>
      </c>
    </row>
    <row r="2401" spans="7:8" x14ac:dyDescent="0.3">
      <c r="G2401" s="6">
        <v>1</v>
      </c>
    </row>
    <row r="2402" spans="7:8" x14ac:dyDescent="0.3">
      <c r="G2402" s="6">
        <v>1</v>
      </c>
    </row>
    <row r="2403" spans="7:8" x14ac:dyDescent="0.3">
      <c r="G2403" s="6">
        <v>1</v>
      </c>
    </row>
    <row r="2404" spans="7:8" x14ac:dyDescent="0.3">
      <c r="G2404" s="6">
        <v>1</v>
      </c>
    </row>
    <row r="2405" spans="7:8" x14ac:dyDescent="0.3">
      <c r="G2405" s="6">
        <v>1</v>
      </c>
    </row>
    <row r="2406" spans="7:8" x14ac:dyDescent="0.3">
      <c r="G2406" s="6">
        <v>1</v>
      </c>
    </row>
    <row r="2407" spans="7:8" x14ac:dyDescent="0.3">
      <c r="G2407" s="6">
        <v>1</v>
      </c>
    </row>
    <row r="2408" spans="7:8" x14ac:dyDescent="0.3">
      <c r="G2408" s="6">
        <v>1</v>
      </c>
    </row>
    <row r="2409" spans="7:8" x14ac:dyDescent="0.3">
      <c r="G2409" s="6">
        <v>1</v>
      </c>
    </row>
    <row r="2410" spans="7:8" x14ac:dyDescent="0.3">
      <c r="G2410" s="6">
        <v>1</v>
      </c>
    </row>
    <row r="2411" spans="7:8" x14ac:dyDescent="0.3">
      <c r="G2411" s="6">
        <v>1</v>
      </c>
    </row>
    <row r="2412" spans="7:8" x14ac:dyDescent="0.3">
      <c r="G2412" s="6">
        <v>1</v>
      </c>
    </row>
    <row r="2413" spans="7:8" x14ac:dyDescent="0.3">
      <c r="G2413" s="6">
        <v>1</v>
      </c>
    </row>
    <row r="2414" spans="7:8" x14ac:dyDescent="0.3">
      <c r="G2414" s="6">
        <v>1</v>
      </c>
    </row>
    <row r="2416" spans="7:8" x14ac:dyDescent="0.3">
      <c r="H2416" s="6">
        <v>1</v>
      </c>
    </row>
    <row r="2417" spans="8:8" x14ac:dyDescent="0.3">
      <c r="H2417" s="6">
        <v>1</v>
      </c>
    </row>
    <row r="2418" spans="8:8" x14ac:dyDescent="0.3">
      <c r="H2418" s="6">
        <v>1</v>
      </c>
    </row>
    <row r="2419" spans="8:8" x14ac:dyDescent="0.3">
      <c r="H2419" s="6">
        <v>1</v>
      </c>
    </row>
    <row r="2420" spans="8:8" x14ac:dyDescent="0.3">
      <c r="H2420" s="6">
        <v>1</v>
      </c>
    </row>
    <row r="2421" spans="8:8" x14ac:dyDescent="0.3">
      <c r="H2421" s="6">
        <v>1</v>
      </c>
    </row>
    <row r="2422" spans="8:8" x14ac:dyDescent="0.3">
      <c r="H2422" s="6">
        <v>1</v>
      </c>
    </row>
    <row r="2423" spans="8:8" x14ac:dyDescent="0.3">
      <c r="H2423" s="6">
        <v>1</v>
      </c>
    </row>
    <row r="2424" spans="8:8" x14ac:dyDescent="0.3">
      <c r="H2424" s="6">
        <v>1</v>
      </c>
    </row>
    <row r="2425" spans="8:8" x14ac:dyDescent="0.3">
      <c r="H2425" s="6">
        <v>1</v>
      </c>
    </row>
    <row r="2426" spans="8:8" x14ac:dyDescent="0.3">
      <c r="H2426" s="6">
        <v>1</v>
      </c>
    </row>
    <row r="2427" spans="8:8" x14ac:dyDescent="0.3">
      <c r="H2427" s="6">
        <v>1</v>
      </c>
    </row>
    <row r="2428" spans="8:8" x14ac:dyDescent="0.3">
      <c r="H2428" s="6">
        <v>1</v>
      </c>
    </row>
    <row r="2429" spans="8:8" x14ac:dyDescent="0.3">
      <c r="H2429" s="6">
        <v>1</v>
      </c>
    </row>
    <row r="2430" spans="8:8" x14ac:dyDescent="0.3">
      <c r="H2430" s="6">
        <v>1</v>
      </c>
    </row>
    <row r="2431" spans="8:8" x14ac:dyDescent="0.3">
      <c r="H2431" s="6">
        <v>1</v>
      </c>
    </row>
    <row r="2432" spans="8:8" x14ac:dyDescent="0.3">
      <c r="H2432" s="6">
        <v>1</v>
      </c>
    </row>
    <row r="2433" spans="8:8" x14ac:dyDescent="0.3">
      <c r="H2433" s="6">
        <v>1</v>
      </c>
    </row>
    <row r="2434" spans="8:8" x14ac:dyDescent="0.3">
      <c r="H2434" s="6">
        <v>1</v>
      </c>
    </row>
    <row r="2435" spans="8:8" x14ac:dyDescent="0.3">
      <c r="H2435" s="6">
        <v>1</v>
      </c>
    </row>
    <row r="2436" spans="8:8" x14ac:dyDescent="0.3">
      <c r="H2436" s="6">
        <v>1</v>
      </c>
    </row>
    <row r="2437" spans="8:8" x14ac:dyDescent="0.3">
      <c r="H2437" s="6">
        <v>1</v>
      </c>
    </row>
    <row r="2438" spans="8:8" x14ac:dyDescent="0.3">
      <c r="H2438" s="6">
        <v>1</v>
      </c>
    </row>
    <row r="2439" spans="8:8" x14ac:dyDescent="0.3">
      <c r="H2439" s="6">
        <v>1</v>
      </c>
    </row>
    <row r="2440" spans="8:8" x14ac:dyDescent="0.3">
      <c r="H2440" s="6">
        <v>1</v>
      </c>
    </row>
    <row r="2441" spans="8:8" x14ac:dyDescent="0.3">
      <c r="H2441" s="6">
        <v>1</v>
      </c>
    </row>
    <row r="2442" spans="8:8" x14ac:dyDescent="0.3">
      <c r="H2442" s="6">
        <v>1</v>
      </c>
    </row>
    <row r="2443" spans="8:8" x14ac:dyDescent="0.3">
      <c r="H2443" s="6">
        <v>1</v>
      </c>
    </row>
    <row r="2444" spans="8:8" x14ac:dyDescent="0.3">
      <c r="H2444" s="6">
        <v>1</v>
      </c>
    </row>
    <row r="2445" spans="8:8" x14ac:dyDescent="0.3">
      <c r="H2445" s="6">
        <v>1</v>
      </c>
    </row>
    <row r="2446" spans="8:8" x14ac:dyDescent="0.3">
      <c r="H2446" s="6">
        <v>1</v>
      </c>
    </row>
    <row r="2447" spans="8:8" x14ac:dyDescent="0.3">
      <c r="H2447" s="6">
        <v>1</v>
      </c>
    </row>
    <row r="2448" spans="8:8" x14ac:dyDescent="0.3">
      <c r="H2448" s="6">
        <v>1</v>
      </c>
    </row>
    <row r="2449" spans="8:8" x14ac:dyDescent="0.3">
      <c r="H2449" s="6">
        <v>1</v>
      </c>
    </row>
    <row r="2450" spans="8:8" x14ac:dyDescent="0.3">
      <c r="H2450" s="6">
        <v>1</v>
      </c>
    </row>
    <row r="2451" spans="8:8" x14ac:dyDescent="0.3">
      <c r="H2451" s="6">
        <v>1</v>
      </c>
    </row>
    <row r="2452" spans="8:8" x14ac:dyDescent="0.3">
      <c r="H2452" s="6">
        <v>1</v>
      </c>
    </row>
    <row r="2453" spans="8:8" x14ac:dyDescent="0.3">
      <c r="H2453" s="6">
        <v>1</v>
      </c>
    </row>
    <row r="2454" spans="8:8" x14ac:dyDescent="0.3">
      <c r="H2454" s="6">
        <v>1</v>
      </c>
    </row>
    <row r="2455" spans="8:8" x14ac:dyDescent="0.3">
      <c r="H2455" s="6">
        <v>1</v>
      </c>
    </row>
    <row r="2456" spans="8:8" x14ac:dyDescent="0.3">
      <c r="H2456" s="6">
        <v>1</v>
      </c>
    </row>
    <row r="2457" spans="8:8" x14ac:dyDescent="0.3">
      <c r="H2457" s="6">
        <v>1</v>
      </c>
    </row>
    <row r="2458" spans="8:8" x14ac:dyDescent="0.3">
      <c r="H2458" s="6">
        <v>1</v>
      </c>
    </row>
    <row r="2459" spans="8:8" x14ac:dyDescent="0.3">
      <c r="H2459" s="6">
        <v>1</v>
      </c>
    </row>
    <row r="2460" spans="8:8" x14ac:dyDescent="0.3">
      <c r="H2460" s="6">
        <v>1</v>
      </c>
    </row>
    <row r="2461" spans="8:8" x14ac:dyDescent="0.3">
      <c r="H2461" s="6">
        <v>1</v>
      </c>
    </row>
    <row r="2462" spans="8:8" x14ac:dyDescent="0.3">
      <c r="H2462" s="6">
        <v>1</v>
      </c>
    </row>
    <row r="2463" spans="8:8" x14ac:dyDescent="0.3">
      <c r="H2463" s="6">
        <v>1</v>
      </c>
    </row>
    <row r="2501" spans="7:7" x14ac:dyDescent="0.3">
      <c r="G2501" s="6">
        <v>1</v>
      </c>
    </row>
    <row r="2502" spans="7:7" x14ac:dyDescent="0.3">
      <c r="G2502" s="6">
        <v>1</v>
      </c>
    </row>
    <row r="2503" spans="7:7" x14ac:dyDescent="0.3">
      <c r="G2503" s="6">
        <v>1</v>
      </c>
    </row>
    <row r="2504" spans="7:7" x14ac:dyDescent="0.3">
      <c r="G2504" s="6">
        <v>1</v>
      </c>
    </row>
    <row r="2505" spans="7:7" x14ac:dyDescent="0.3">
      <c r="G2505" s="6">
        <v>1</v>
      </c>
    </row>
    <row r="2506" spans="7:7" x14ac:dyDescent="0.3">
      <c r="G2506" s="6">
        <v>1</v>
      </c>
    </row>
    <row r="2507" spans="7:7" x14ac:dyDescent="0.3">
      <c r="G2507" s="6">
        <v>1</v>
      </c>
    </row>
    <row r="2508" spans="7:7" x14ac:dyDescent="0.3">
      <c r="G2508" s="6">
        <v>1</v>
      </c>
    </row>
    <row r="2509" spans="7:7" x14ac:dyDescent="0.3">
      <c r="G2509" s="6">
        <v>1</v>
      </c>
    </row>
    <row r="2510" spans="7:7" x14ac:dyDescent="0.3">
      <c r="G2510" s="6">
        <v>1</v>
      </c>
    </row>
    <row r="2511" spans="7:7" x14ac:dyDescent="0.3">
      <c r="G2511" s="6">
        <v>1</v>
      </c>
    </row>
    <row r="2512" spans="7:7" x14ac:dyDescent="0.3">
      <c r="G2512" s="6">
        <v>1</v>
      </c>
    </row>
    <row r="2513" spans="7:7" x14ac:dyDescent="0.3">
      <c r="G2513" s="6">
        <v>1</v>
      </c>
    </row>
    <row r="2514" spans="7:7" x14ac:dyDescent="0.3">
      <c r="G2514" s="6">
        <v>1</v>
      </c>
    </row>
    <row r="2515" spans="7:7" x14ac:dyDescent="0.3">
      <c r="G2515" s="6">
        <v>1</v>
      </c>
    </row>
    <row r="2516" spans="7:7" x14ac:dyDescent="0.3">
      <c r="G2516" s="6">
        <v>1</v>
      </c>
    </row>
    <row r="2517" spans="7:7" x14ac:dyDescent="0.3">
      <c r="G2517" s="6">
        <v>1</v>
      </c>
    </row>
    <row r="2518" spans="7:7" x14ac:dyDescent="0.3">
      <c r="G2518" s="6">
        <v>1</v>
      </c>
    </row>
    <row r="2519" spans="7:7" x14ac:dyDescent="0.3">
      <c r="G2519" s="6">
        <v>1</v>
      </c>
    </row>
    <row r="2520" spans="7:7" x14ac:dyDescent="0.3">
      <c r="G2520" s="6">
        <v>1</v>
      </c>
    </row>
    <row r="2521" spans="7:7" x14ac:dyDescent="0.3">
      <c r="G2521" s="6">
        <v>1</v>
      </c>
    </row>
    <row r="2522" spans="7:7" x14ac:dyDescent="0.3">
      <c r="G2522" s="6">
        <v>1</v>
      </c>
    </row>
    <row r="2523" spans="7:7" x14ac:dyDescent="0.3">
      <c r="G2523" s="6">
        <v>1</v>
      </c>
    </row>
    <row r="2524" spans="7:7" x14ac:dyDescent="0.3">
      <c r="G2524" s="6">
        <v>1</v>
      </c>
    </row>
    <row r="2525" spans="7:7" x14ac:dyDescent="0.3">
      <c r="G2525" s="6">
        <v>1</v>
      </c>
    </row>
    <row r="2526" spans="7:7" x14ac:dyDescent="0.3">
      <c r="G2526" s="6">
        <v>1</v>
      </c>
    </row>
    <row r="2527" spans="7:7" x14ac:dyDescent="0.3">
      <c r="G2527" s="6">
        <v>1</v>
      </c>
    </row>
    <row r="2528" spans="7:7" x14ac:dyDescent="0.3">
      <c r="G2528" s="6">
        <v>1</v>
      </c>
    </row>
    <row r="2529" spans="7:7" x14ac:dyDescent="0.3">
      <c r="G2529" s="6">
        <v>1</v>
      </c>
    </row>
    <row r="2530" spans="7:7" x14ac:dyDescent="0.3">
      <c r="G2530" s="6">
        <v>1</v>
      </c>
    </row>
    <row r="2531" spans="7:7" x14ac:dyDescent="0.3">
      <c r="G2531" s="6">
        <v>1</v>
      </c>
    </row>
    <row r="2532" spans="7:7" x14ac:dyDescent="0.3">
      <c r="G2532" s="6">
        <v>1</v>
      </c>
    </row>
    <row r="2533" spans="7:7" x14ac:dyDescent="0.3">
      <c r="G2533" s="6">
        <v>1</v>
      </c>
    </row>
    <row r="2534" spans="7:7" x14ac:dyDescent="0.3">
      <c r="G2534" s="6">
        <v>1</v>
      </c>
    </row>
    <row r="2535" spans="7:7" x14ac:dyDescent="0.3">
      <c r="G2535" s="6">
        <v>1</v>
      </c>
    </row>
    <row r="2536" spans="7:7" x14ac:dyDescent="0.3">
      <c r="G2536" s="6">
        <v>1</v>
      </c>
    </row>
    <row r="2537" spans="7:7" x14ac:dyDescent="0.3">
      <c r="G2537" s="6">
        <v>1</v>
      </c>
    </row>
    <row r="2538" spans="7:7" x14ac:dyDescent="0.3">
      <c r="G2538" s="6">
        <v>1</v>
      </c>
    </row>
    <row r="2539" spans="7:7" x14ac:dyDescent="0.3">
      <c r="G2539" s="6">
        <v>1</v>
      </c>
    </row>
    <row r="2540" spans="7:7" x14ac:dyDescent="0.3">
      <c r="G2540" s="6">
        <v>1</v>
      </c>
    </row>
    <row r="2541" spans="7:7" x14ac:dyDescent="0.3">
      <c r="G2541" s="6">
        <v>1</v>
      </c>
    </row>
    <row r="2542" spans="7:7" x14ac:dyDescent="0.3">
      <c r="G2542" s="6">
        <v>1</v>
      </c>
    </row>
    <row r="2543" spans="7:7" x14ac:dyDescent="0.3">
      <c r="G2543" s="6">
        <v>1</v>
      </c>
    </row>
    <row r="2544" spans="7:7" x14ac:dyDescent="0.3">
      <c r="G2544" s="6">
        <v>1</v>
      </c>
    </row>
    <row r="2545" spans="7:7" x14ac:dyDescent="0.3">
      <c r="G2545" s="6">
        <v>1</v>
      </c>
    </row>
    <row r="2546" spans="7:7" x14ac:dyDescent="0.3">
      <c r="G2546" s="6">
        <v>1</v>
      </c>
    </row>
    <row r="2547" spans="7:7" x14ac:dyDescent="0.3">
      <c r="G2547" s="6">
        <v>1</v>
      </c>
    </row>
    <row r="2548" spans="7:7" x14ac:dyDescent="0.3">
      <c r="G2548" s="6">
        <v>1</v>
      </c>
    </row>
    <row r="2549" spans="7:7" x14ac:dyDescent="0.3">
      <c r="G2549" s="6">
        <v>1</v>
      </c>
    </row>
    <row r="2550" spans="7:7" x14ac:dyDescent="0.3">
      <c r="G2550" s="6">
        <v>1</v>
      </c>
    </row>
    <row r="2551" spans="7:7" x14ac:dyDescent="0.3">
      <c r="G2551" s="6">
        <v>1</v>
      </c>
    </row>
    <row r="2552" spans="7:7" x14ac:dyDescent="0.3">
      <c r="G2552" s="6">
        <v>1</v>
      </c>
    </row>
    <row r="2553" spans="7:7" x14ac:dyDescent="0.3">
      <c r="G2553" s="6">
        <v>1</v>
      </c>
    </row>
    <row r="2554" spans="7:7" x14ac:dyDescent="0.3">
      <c r="G2554" s="6">
        <v>1</v>
      </c>
    </row>
    <row r="2555" spans="7:7" x14ac:dyDescent="0.3">
      <c r="G2555" s="6">
        <v>1</v>
      </c>
    </row>
    <row r="2556" spans="7:7" x14ac:dyDescent="0.3">
      <c r="G2556" s="6">
        <v>1</v>
      </c>
    </row>
    <row r="2557" spans="7:7" x14ac:dyDescent="0.3">
      <c r="G2557" s="6">
        <v>1</v>
      </c>
    </row>
    <row r="2558" spans="7:7" x14ac:dyDescent="0.3">
      <c r="G2558" s="6">
        <v>1</v>
      </c>
    </row>
    <row r="2559" spans="7:7" x14ac:dyDescent="0.3">
      <c r="G2559" s="6">
        <v>1</v>
      </c>
    </row>
    <row r="2560" spans="7:7" x14ac:dyDescent="0.3">
      <c r="G2560" s="6">
        <v>1</v>
      </c>
    </row>
    <row r="2561" spans="7:7" x14ac:dyDescent="0.3">
      <c r="G2561" s="6">
        <v>1</v>
      </c>
    </row>
    <row r="2562" spans="7:7" x14ac:dyDescent="0.3">
      <c r="G2562" s="6">
        <v>1</v>
      </c>
    </row>
    <row r="2563" spans="7:7" x14ac:dyDescent="0.3">
      <c r="G2563" s="6">
        <v>1</v>
      </c>
    </row>
    <row r="2564" spans="7:7" x14ac:dyDescent="0.3">
      <c r="G2564" s="6">
        <v>1</v>
      </c>
    </row>
    <row r="2565" spans="7:7" x14ac:dyDescent="0.3">
      <c r="G2565" s="6">
        <v>1</v>
      </c>
    </row>
    <row r="2566" spans="7:7" x14ac:dyDescent="0.3">
      <c r="G2566" s="6">
        <v>1</v>
      </c>
    </row>
    <row r="2567" spans="7:7" x14ac:dyDescent="0.3">
      <c r="G2567" s="6">
        <v>1</v>
      </c>
    </row>
    <row r="2568" spans="7:7" x14ac:dyDescent="0.3">
      <c r="G2568" s="6">
        <v>1</v>
      </c>
    </row>
    <row r="2569" spans="7:7" x14ac:dyDescent="0.3">
      <c r="G2569" s="6">
        <v>1</v>
      </c>
    </row>
    <row r="2570" spans="7:7" x14ac:dyDescent="0.3">
      <c r="G2570" s="6">
        <v>1</v>
      </c>
    </row>
    <row r="2571" spans="7:7" x14ac:dyDescent="0.3">
      <c r="G2571" s="6">
        <v>1</v>
      </c>
    </row>
    <row r="2572" spans="7:7" x14ac:dyDescent="0.3">
      <c r="G2572" s="6">
        <v>1</v>
      </c>
    </row>
    <row r="2573" spans="7:7" x14ac:dyDescent="0.3">
      <c r="G2573" s="6">
        <v>1</v>
      </c>
    </row>
    <row r="2574" spans="7:7" x14ac:dyDescent="0.3">
      <c r="G2574" s="6">
        <v>1</v>
      </c>
    </row>
    <row r="2575" spans="7:7" x14ac:dyDescent="0.3">
      <c r="G2575" s="6">
        <v>1</v>
      </c>
    </row>
    <row r="2576" spans="7:7" x14ac:dyDescent="0.3">
      <c r="G2576" s="6">
        <v>1</v>
      </c>
    </row>
    <row r="2577" spans="7:7" x14ac:dyDescent="0.3">
      <c r="G2577" s="6">
        <v>1</v>
      </c>
    </row>
    <row r="2578" spans="7:7" x14ac:dyDescent="0.3">
      <c r="G2578" s="6">
        <v>1</v>
      </c>
    </row>
    <row r="2579" spans="7:7" x14ac:dyDescent="0.3">
      <c r="G2579" s="6">
        <v>1</v>
      </c>
    </row>
    <row r="2580" spans="7:7" x14ac:dyDescent="0.3">
      <c r="G2580" s="6">
        <v>1</v>
      </c>
    </row>
    <row r="2581" spans="7:7" x14ac:dyDescent="0.3">
      <c r="G2581" s="6">
        <v>1</v>
      </c>
    </row>
    <row r="2582" spans="7:7" x14ac:dyDescent="0.3">
      <c r="G2582" s="6">
        <v>1</v>
      </c>
    </row>
    <row r="2583" spans="7:7" x14ac:dyDescent="0.3">
      <c r="G2583" s="6">
        <v>1</v>
      </c>
    </row>
    <row r="2584" spans="7:7" x14ac:dyDescent="0.3">
      <c r="G2584" s="6">
        <v>1</v>
      </c>
    </row>
    <row r="2585" spans="7:7" x14ac:dyDescent="0.3">
      <c r="G2585" s="6">
        <v>1</v>
      </c>
    </row>
    <row r="2586" spans="7:7" x14ac:dyDescent="0.3">
      <c r="G2586" s="6">
        <v>1</v>
      </c>
    </row>
    <row r="2587" spans="7:7" x14ac:dyDescent="0.3">
      <c r="G2587" s="6">
        <v>1</v>
      </c>
    </row>
    <row r="2588" spans="7:7" x14ac:dyDescent="0.3">
      <c r="G2588" s="6">
        <v>1</v>
      </c>
    </row>
    <row r="2589" spans="7:7" x14ac:dyDescent="0.3">
      <c r="G2589" s="6">
        <v>1</v>
      </c>
    </row>
    <row r="2590" spans="7:7" x14ac:dyDescent="0.3">
      <c r="G2590" s="6">
        <v>1</v>
      </c>
    </row>
    <row r="2591" spans="7:7" x14ac:dyDescent="0.3">
      <c r="G2591" s="6">
        <v>1</v>
      </c>
    </row>
    <row r="2592" spans="7:7" x14ac:dyDescent="0.3">
      <c r="G2592" s="6">
        <v>1</v>
      </c>
    </row>
    <row r="2593" spans="7:7" x14ac:dyDescent="0.3">
      <c r="G2593" s="6">
        <v>1</v>
      </c>
    </row>
    <row r="2594" spans="7:7" x14ac:dyDescent="0.3">
      <c r="G2594" s="6">
        <v>1</v>
      </c>
    </row>
    <row r="2595" spans="7:7" x14ac:dyDescent="0.3">
      <c r="G2595" s="6">
        <v>1</v>
      </c>
    </row>
    <row r="2596" spans="7:7" x14ac:dyDescent="0.3">
      <c r="G2596" s="6">
        <v>1</v>
      </c>
    </row>
    <row r="2597" spans="7:7" x14ac:dyDescent="0.3">
      <c r="G2597" s="6">
        <v>1</v>
      </c>
    </row>
    <row r="2598" spans="7:7" x14ac:dyDescent="0.3">
      <c r="G2598" s="6">
        <v>1</v>
      </c>
    </row>
    <row r="2599" spans="7:7" x14ac:dyDescent="0.3">
      <c r="G2599" s="6">
        <v>1</v>
      </c>
    </row>
    <row r="2600" spans="7:7" x14ac:dyDescent="0.3">
      <c r="G2600" s="6">
        <v>1</v>
      </c>
    </row>
    <row r="2601" spans="7:7" x14ac:dyDescent="0.3">
      <c r="G2601" s="6">
        <v>1</v>
      </c>
    </row>
    <row r="2602" spans="7:7" x14ac:dyDescent="0.3">
      <c r="G2602" s="6">
        <v>1</v>
      </c>
    </row>
    <row r="2603" spans="7:7" x14ac:dyDescent="0.3">
      <c r="G2603" s="6">
        <v>1</v>
      </c>
    </row>
    <row r="2604" spans="7:7" x14ac:dyDescent="0.3">
      <c r="G2604" s="6">
        <v>1</v>
      </c>
    </row>
    <row r="2605" spans="7:7" x14ac:dyDescent="0.3">
      <c r="G2605" s="6">
        <v>1</v>
      </c>
    </row>
    <row r="2606" spans="7:7" x14ac:dyDescent="0.3">
      <c r="G2606" s="6">
        <v>1</v>
      </c>
    </row>
    <row r="2607" spans="7:7" x14ac:dyDescent="0.3">
      <c r="G2607" s="6">
        <v>1</v>
      </c>
    </row>
    <row r="2608" spans="7:7" x14ac:dyDescent="0.3">
      <c r="G2608" s="6">
        <v>1</v>
      </c>
    </row>
    <row r="2609" spans="7:7" x14ac:dyDescent="0.3">
      <c r="G2609" s="6">
        <v>1</v>
      </c>
    </row>
    <row r="2610" spans="7:7" x14ac:dyDescent="0.3">
      <c r="G2610" s="6">
        <v>1</v>
      </c>
    </row>
    <row r="2611" spans="7:7" x14ac:dyDescent="0.3">
      <c r="G2611" s="6">
        <v>1</v>
      </c>
    </row>
    <row r="2612" spans="7:7" x14ac:dyDescent="0.3">
      <c r="G2612" s="6">
        <v>1</v>
      </c>
    </row>
    <row r="2613" spans="7:7" x14ac:dyDescent="0.3">
      <c r="G2613" s="6">
        <v>1</v>
      </c>
    </row>
    <row r="2614" spans="7:7" x14ac:dyDescent="0.3">
      <c r="G2614" s="6">
        <v>1</v>
      </c>
    </row>
    <row r="2615" spans="7:7" x14ac:dyDescent="0.3">
      <c r="G2615" s="6">
        <v>1</v>
      </c>
    </row>
    <row r="2616" spans="7:7" x14ac:dyDescent="0.3">
      <c r="G2616" s="6">
        <v>1</v>
      </c>
    </row>
    <row r="2617" spans="7:7" x14ac:dyDescent="0.3">
      <c r="G2617" s="6">
        <v>1</v>
      </c>
    </row>
    <row r="2618" spans="7:7" x14ac:dyDescent="0.3">
      <c r="G2618" s="6">
        <v>1</v>
      </c>
    </row>
    <row r="2619" spans="7:7" x14ac:dyDescent="0.3">
      <c r="G2619" s="6">
        <v>1</v>
      </c>
    </row>
    <row r="2620" spans="7:7" x14ac:dyDescent="0.3">
      <c r="G2620" s="6">
        <v>1</v>
      </c>
    </row>
    <row r="2621" spans="7:7" x14ac:dyDescent="0.3">
      <c r="G2621" s="6">
        <v>1</v>
      </c>
    </row>
    <row r="2622" spans="7:7" x14ac:dyDescent="0.3">
      <c r="G2622" s="6">
        <v>1</v>
      </c>
    </row>
    <row r="2623" spans="7:7" x14ac:dyDescent="0.3">
      <c r="G2623" s="6">
        <v>1</v>
      </c>
    </row>
    <row r="2624" spans="7:7" x14ac:dyDescent="0.3">
      <c r="G2624" s="6">
        <v>1</v>
      </c>
    </row>
    <row r="2625" spans="7:7" x14ac:dyDescent="0.3">
      <c r="G2625" s="6">
        <v>1</v>
      </c>
    </row>
    <row r="2626" spans="7:7" x14ac:dyDescent="0.3">
      <c r="G2626" s="6">
        <v>1</v>
      </c>
    </row>
    <row r="2627" spans="7:7" x14ac:dyDescent="0.3">
      <c r="G2627" s="6">
        <v>1</v>
      </c>
    </row>
    <row r="2628" spans="7:7" x14ac:dyDescent="0.3">
      <c r="G2628" s="6">
        <v>1</v>
      </c>
    </row>
    <row r="2629" spans="7:7" x14ac:dyDescent="0.3">
      <c r="G2629" s="6">
        <v>1</v>
      </c>
    </row>
    <row r="2630" spans="7:7" x14ac:dyDescent="0.3">
      <c r="G2630" s="6">
        <v>1</v>
      </c>
    </row>
    <row r="2631" spans="7:7" x14ac:dyDescent="0.3">
      <c r="G2631" s="6">
        <v>1</v>
      </c>
    </row>
    <row r="2632" spans="7:7" x14ac:dyDescent="0.3">
      <c r="G2632" s="6">
        <v>1</v>
      </c>
    </row>
    <row r="2633" spans="7:7" x14ac:dyDescent="0.3">
      <c r="G2633" s="6">
        <v>1</v>
      </c>
    </row>
    <row r="2634" spans="7:7" x14ac:dyDescent="0.3">
      <c r="G2634" s="6">
        <v>1</v>
      </c>
    </row>
    <row r="2635" spans="7:7" x14ac:dyDescent="0.3">
      <c r="G2635" s="6">
        <v>1</v>
      </c>
    </row>
    <row r="2636" spans="7:7" x14ac:dyDescent="0.3">
      <c r="G2636" s="6">
        <v>1</v>
      </c>
    </row>
    <row r="2637" spans="7:7" x14ac:dyDescent="0.3">
      <c r="G2637" s="6">
        <v>1</v>
      </c>
    </row>
    <row r="2638" spans="7:7" x14ac:dyDescent="0.3">
      <c r="G2638" s="6">
        <v>1</v>
      </c>
    </row>
    <row r="2639" spans="7:7" x14ac:dyDescent="0.3">
      <c r="G2639" s="6">
        <v>1</v>
      </c>
    </row>
    <row r="2640" spans="7:7" x14ac:dyDescent="0.3">
      <c r="G2640" s="6">
        <v>1</v>
      </c>
    </row>
    <row r="2641" spans="7:7" x14ac:dyDescent="0.3">
      <c r="G2641" s="6">
        <v>1</v>
      </c>
    </row>
    <row r="2642" spans="7:7" x14ac:dyDescent="0.3">
      <c r="G2642" s="6">
        <v>1</v>
      </c>
    </row>
    <row r="2643" spans="7:7" x14ac:dyDescent="0.3">
      <c r="G2643" s="6">
        <v>1</v>
      </c>
    </row>
    <row r="2644" spans="7:7" x14ac:dyDescent="0.3">
      <c r="G2644" s="6">
        <v>1</v>
      </c>
    </row>
    <row r="2645" spans="7:7" x14ac:dyDescent="0.3">
      <c r="G2645" s="6">
        <v>1</v>
      </c>
    </row>
    <row r="2646" spans="7:7" x14ac:dyDescent="0.3">
      <c r="G2646" s="6">
        <v>1</v>
      </c>
    </row>
    <row r="2647" spans="7:7" x14ac:dyDescent="0.3">
      <c r="G2647" s="6">
        <v>1</v>
      </c>
    </row>
    <row r="2648" spans="7:7" x14ac:dyDescent="0.3">
      <c r="G2648" s="6">
        <v>1</v>
      </c>
    </row>
    <row r="2649" spans="7:7" x14ac:dyDescent="0.3">
      <c r="G2649" s="6">
        <v>1</v>
      </c>
    </row>
    <row r="2650" spans="7:7" x14ac:dyDescent="0.3">
      <c r="G2650" s="6">
        <v>1</v>
      </c>
    </row>
    <row r="2651" spans="7:7" x14ac:dyDescent="0.3">
      <c r="G2651" s="6">
        <v>1</v>
      </c>
    </row>
    <row r="2652" spans="7:7" x14ac:dyDescent="0.3">
      <c r="G2652" s="6">
        <v>1</v>
      </c>
    </row>
    <row r="2653" spans="7:7" x14ac:dyDescent="0.3">
      <c r="G2653" s="6">
        <v>1</v>
      </c>
    </row>
    <row r="2654" spans="7:7" x14ac:dyDescent="0.3">
      <c r="G2654" s="6">
        <v>1</v>
      </c>
    </row>
    <row r="2655" spans="7:7" x14ac:dyDescent="0.3">
      <c r="G2655" s="6">
        <v>1</v>
      </c>
    </row>
    <row r="2656" spans="7:7" x14ac:dyDescent="0.3">
      <c r="G2656" s="6">
        <v>1</v>
      </c>
    </row>
    <row r="2657" spans="7:7" x14ac:dyDescent="0.3">
      <c r="G2657" s="6">
        <v>1</v>
      </c>
    </row>
    <row r="2658" spans="7:7" x14ac:dyDescent="0.3">
      <c r="G2658" s="6">
        <v>1</v>
      </c>
    </row>
    <row r="2659" spans="7:7" x14ac:dyDescent="0.3">
      <c r="G2659" s="6">
        <v>1</v>
      </c>
    </row>
    <row r="2660" spans="7:7" x14ac:dyDescent="0.3">
      <c r="G2660" s="6">
        <v>1</v>
      </c>
    </row>
    <row r="2661" spans="7:7" x14ac:dyDescent="0.3">
      <c r="G2661" s="6">
        <v>1</v>
      </c>
    </row>
    <row r="2662" spans="7:7" x14ac:dyDescent="0.3">
      <c r="G2662" s="6">
        <v>1</v>
      </c>
    </row>
    <row r="2663" spans="7:7" x14ac:dyDescent="0.3">
      <c r="G2663" s="6">
        <v>1</v>
      </c>
    </row>
    <row r="2664" spans="7:7" x14ac:dyDescent="0.3">
      <c r="G2664" s="6">
        <v>1</v>
      </c>
    </row>
    <row r="2665" spans="7:7" x14ac:dyDescent="0.3">
      <c r="G2665" s="6">
        <v>1</v>
      </c>
    </row>
    <row r="2666" spans="7:7" x14ac:dyDescent="0.3">
      <c r="G2666" s="6">
        <v>1</v>
      </c>
    </row>
    <row r="2667" spans="7:7" x14ac:dyDescent="0.3">
      <c r="G2667" s="6">
        <v>1</v>
      </c>
    </row>
    <row r="2668" spans="7:7" x14ac:dyDescent="0.3">
      <c r="G2668" s="6">
        <v>1</v>
      </c>
    </row>
    <row r="2669" spans="7:7" x14ac:dyDescent="0.3">
      <c r="G2669" s="6">
        <v>1</v>
      </c>
    </row>
    <row r="2670" spans="7:7" x14ac:dyDescent="0.3">
      <c r="G2670" s="6">
        <v>1</v>
      </c>
    </row>
    <row r="2671" spans="7:7" x14ac:dyDescent="0.3">
      <c r="G2671" s="6">
        <v>1</v>
      </c>
    </row>
    <row r="2672" spans="7:7" x14ac:dyDescent="0.3">
      <c r="G2672" s="6">
        <v>1</v>
      </c>
    </row>
    <row r="2673" spans="7:7" x14ac:dyDescent="0.3">
      <c r="G2673" s="6">
        <v>1</v>
      </c>
    </row>
    <row r="2674" spans="7:7" x14ac:dyDescent="0.3">
      <c r="G2674" s="6">
        <v>1</v>
      </c>
    </row>
    <row r="2675" spans="7:7" x14ac:dyDescent="0.3">
      <c r="G2675" s="6">
        <v>1</v>
      </c>
    </row>
    <row r="2676" spans="7:7" x14ac:dyDescent="0.3">
      <c r="G2676" s="6">
        <v>1</v>
      </c>
    </row>
    <row r="2677" spans="7:7" x14ac:dyDescent="0.3">
      <c r="G2677" s="6">
        <v>1</v>
      </c>
    </row>
    <row r="2678" spans="7:7" x14ac:dyDescent="0.3">
      <c r="G2678" s="6">
        <v>1</v>
      </c>
    </row>
    <row r="2679" spans="7:7" x14ac:dyDescent="0.3">
      <c r="G2679" s="6">
        <v>1</v>
      </c>
    </row>
    <row r="2680" spans="7:7" x14ac:dyDescent="0.3">
      <c r="G2680" s="6">
        <v>1</v>
      </c>
    </row>
    <row r="2681" spans="7:7" x14ac:dyDescent="0.3">
      <c r="G2681" s="6">
        <v>1</v>
      </c>
    </row>
    <row r="2682" spans="7:7" x14ac:dyDescent="0.3">
      <c r="G2682" s="6">
        <v>1</v>
      </c>
    </row>
    <row r="2683" spans="7:7" x14ac:dyDescent="0.3">
      <c r="G2683" s="6">
        <v>1</v>
      </c>
    </row>
    <row r="2684" spans="7:7" x14ac:dyDescent="0.3">
      <c r="G2684" s="6">
        <v>1</v>
      </c>
    </row>
    <row r="2685" spans="7:7" x14ac:dyDescent="0.3">
      <c r="G2685" s="6">
        <v>1</v>
      </c>
    </row>
    <row r="2686" spans="7:7" x14ac:dyDescent="0.3">
      <c r="G2686" s="6">
        <v>1</v>
      </c>
    </row>
    <row r="2687" spans="7:7" x14ac:dyDescent="0.3">
      <c r="G2687" s="6">
        <v>1</v>
      </c>
    </row>
    <row r="2688" spans="7:7" x14ac:dyDescent="0.3">
      <c r="G2688" s="6">
        <v>1</v>
      </c>
    </row>
    <row r="2689" spans="6:7" x14ac:dyDescent="0.3">
      <c r="G2689" s="6">
        <v>1</v>
      </c>
    </row>
    <row r="2690" spans="6:7" x14ac:dyDescent="0.3">
      <c r="G2690" s="6">
        <v>1</v>
      </c>
    </row>
    <row r="2691" spans="6:7" x14ac:dyDescent="0.3">
      <c r="G2691" s="6">
        <v>1</v>
      </c>
    </row>
    <row r="2692" spans="6:7" x14ac:dyDescent="0.3">
      <c r="G2692" s="6">
        <v>1</v>
      </c>
    </row>
    <row r="2693" spans="6:7" x14ac:dyDescent="0.3">
      <c r="F2693" s="9" t="s">
        <v>1863</v>
      </c>
      <c r="G2693" s="6">
        <v>1</v>
      </c>
    </row>
  </sheetData>
  <sortState ref="A2:I82">
    <sortCondition ref="A2:A82"/>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CC"/>
  </sheetPr>
  <dimension ref="A1:N44"/>
  <sheetViews>
    <sheetView topLeftCell="A2" workbookViewId="0">
      <selection activeCell="N4" sqref="N4"/>
    </sheetView>
  </sheetViews>
  <sheetFormatPr defaultRowHeight="12" x14ac:dyDescent="0.3"/>
  <cols>
    <col min="1" max="1" width="6.21875" bestFit="1" customWidth="1"/>
    <col min="2" max="2" width="21.44140625" bestFit="1" customWidth="1"/>
    <col min="3" max="3" width="7" bestFit="1" customWidth="1"/>
    <col min="4" max="4" width="12.33203125" bestFit="1" customWidth="1"/>
    <col min="5" max="5" width="156.5546875" bestFit="1" customWidth="1"/>
    <col min="6" max="6" width="4.33203125" bestFit="1" customWidth="1"/>
    <col min="7" max="7" width="6.21875" bestFit="1" customWidth="1"/>
    <col min="8" max="8" width="5.77734375" bestFit="1" customWidth="1"/>
    <col min="9" max="9" width="6.77734375" bestFit="1" customWidth="1"/>
    <col min="10" max="10" width="6.5546875" bestFit="1" customWidth="1"/>
    <col min="11" max="11" width="24.44140625" bestFit="1" customWidth="1"/>
    <col min="12" max="12" width="1.6640625" bestFit="1" customWidth="1"/>
    <col min="13" max="13" width="2.5546875" bestFit="1" customWidth="1"/>
    <col min="14" max="14" width="14" bestFit="1" customWidth="1"/>
  </cols>
  <sheetData>
    <row r="1" spans="1:14" x14ac:dyDescent="0.3">
      <c r="A1" s="5" t="s">
        <v>160</v>
      </c>
      <c r="B1" s="1" t="s">
        <v>3</v>
      </c>
      <c r="C1" s="1" t="s">
        <v>2601</v>
      </c>
      <c r="D1" s="1" t="s">
        <v>150</v>
      </c>
      <c r="E1" s="1" t="s">
        <v>164</v>
      </c>
      <c r="F1" s="1" t="s">
        <v>183</v>
      </c>
      <c r="G1" s="14" t="s">
        <v>744</v>
      </c>
      <c r="H1" s="14" t="s">
        <v>758</v>
      </c>
      <c r="I1" s="14" t="s">
        <v>161</v>
      </c>
      <c r="J1" s="15" t="s">
        <v>15</v>
      </c>
      <c r="K1" s="16" t="s">
        <v>16</v>
      </c>
      <c r="L1" s="16" t="s">
        <v>157</v>
      </c>
      <c r="M1" s="16" t="s">
        <v>158</v>
      </c>
      <c r="N1" s="14" t="s">
        <v>182</v>
      </c>
    </row>
    <row r="2" spans="1:14" x14ac:dyDescent="0.3">
      <c r="A2" s="14">
        <v>2478</v>
      </c>
      <c r="B2" s="5" t="str">
        <f>VLOOKUP($A2,tropes!$A$4:$O$2428,2,FALSE)</f>
        <v>Dying Race</v>
      </c>
      <c r="C2" s="5" t="str">
        <f>VLOOKUP($A2,tropes!$A$4:$O$2428,3,FALSE)</f>
        <v>alien</v>
      </c>
      <c r="D2" s="5" t="str">
        <f>VLOOKUP($A2,tropes!$A$4:$O$2428,4,FALSE)</f>
        <v>no_more</v>
      </c>
      <c r="E2" s="5" t="str">
        <f>VLOOKUP($A2,tropes!$A$4:$O$2428,5,FALSE)</f>
        <v>Talosians</v>
      </c>
      <c r="F2" s="5">
        <f>VLOOKUP($A2,tropes!$A$4:$O$2428,6,FALSE)</f>
        <v>0</v>
      </c>
      <c r="G2" s="5">
        <f>VLOOKUP($A2,tropes!$A$4:$O$2428,7,FALSE)</f>
        <v>0</v>
      </c>
      <c r="H2" s="5">
        <f>VLOOKUP($A2,tropes!$A$4:$O$2428,8,FALSE)</f>
        <v>0</v>
      </c>
      <c r="I2" s="5">
        <f>VLOOKUP($A2,tropes!$A$4:$O$2428,9,FALSE)</f>
        <v>100</v>
      </c>
      <c r="J2" s="5">
        <f>VLOOKUP($A2,tropes!$A$4:$O$2428,10,FALSE)</f>
        <v>1</v>
      </c>
      <c r="K2" s="5" t="str">
        <f>VLOOKUP($A2,tropes!$A$4:$O$2428,11,FALSE)</f>
        <v>The Cage</v>
      </c>
      <c r="L2" s="5">
        <f>VLOOKUP($A2,tropes!$A$4:$O$2428,12,FALSE)</f>
        <v>1</v>
      </c>
      <c r="M2" s="5">
        <f>VLOOKUP($A2,tropes!$A$4:$O$2428,13,FALSE)</f>
        <v>0</v>
      </c>
      <c r="N2" s="5">
        <v>0</v>
      </c>
    </row>
    <row r="3" spans="1:14" x14ac:dyDescent="0.3">
      <c r="A3" s="14">
        <v>2707</v>
      </c>
      <c r="B3" s="5" t="str">
        <f>VLOOKUP($A3,tropes!$A$4:$O$2428,2,FALSE)</f>
        <v>Planet of Hats</v>
      </c>
      <c r="C3" s="5" t="str">
        <f>VLOOKUP($A3,tropes!$A$4:$O$2428,3,FALSE)</f>
        <v>alien</v>
      </c>
      <c r="D3" s="5" t="str">
        <f>VLOOKUP($A3,tropes!$A$4:$O$2428,4,FALSE)</f>
        <v>culture</v>
      </c>
      <c r="E3" s="5" t="str">
        <f>VLOOKUP($A3,tropes!$A$4:$O$2428,5,FALSE)</f>
        <v>Talos IV is a single cultural world. they're all dying off together.</v>
      </c>
      <c r="F3" s="5">
        <f>VLOOKUP($A3,tropes!$A$4:$O$2428,6,FALSE)</f>
        <v>0</v>
      </c>
      <c r="G3" s="5">
        <f>VLOOKUP($A3,tropes!$A$4:$O$2428,7,FALSE)</f>
        <v>0</v>
      </c>
      <c r="H3" s="5">
        <f>VLOOKUP($A3,tropes!$A$4:$O$2428,8,FALSE)</f>
        <v>0</v>
      </c>
      <c r="I3" s="5">
        <f>VLOOKUP($A3,tropes!$A$4:$O$2428,9,FALSE)</f>
        <v>100</v>
      </c>
      <c r="J3" s="5">
        <f>VLOOKUP($A3,tropes!$A$4:$O$2428,10,FALSE)</f>
        <v>1</v>
      </c>
      <c r="K3" s="5" t="str">
        <f>VLOOKUP($A3,tropes!$A$4:$O$2428,11,FALSE)</f>
        <v>The Cage</v>
      </c>
      <c r="L3" s="5">
        <f>VLOOKUP($A3,tropes!$A$4:$O$2428,12,FALSE)</f>
        <v>1</v>
      </c>
      <c r="M3" s="5">
        <f>VLOOKUP($A3,tropes!$A$4:$O$2428,13,FALSE)</f>
        <v>0</v>
      </c>
      <c r="N3" s="5">
        <f>IF(I3&lt;&gt;I2,0,N2+1)</f>
        <v>1</v>
      </c>
    </row>
    <row r="4" spans="1:14" x14ac:dyDescent="0.3">
      <c r="A4" s="14">
        <v>2</v>
      </c>
      <c r="B4" s="5" t="str">
        <f>VLOOKUP($A4,tropes!$A$4:$O$2428,2,FALSE)</f>
        <v>Last Of His Kind</v>
      </c>
      <c r="C4" s="5" t="str">
        <f>VLOOKUP($A4,tropes!$A$4:$O$2428,3,FALSE)</f>
        <v>alien</v>
      </c>
      <c r="D4" s="5" t="str">
        <f>VLOOKUP($A4,tropes!$A$4:$O$2428,4,FALSE)</f>
        <v>non-humanoid</v>
      </c>
      <c r="E4" s="5" t="str">
        <f>VLOOKUP($A4,tropes!$A$4:$O$2428,5,FALSE)</f>
        <v>Salt Creature is last of its kind.</v>
      </c>
      <c r="F4" s="5">
        <f>VLOOKUP($A4,tropes!$A$4:$O$2428,6,FALSE)</f>
        <v>0</v>
      </c>
      <c r="G4" s="5">
        <f>VLOOKUP($A4,tropes!$A$4:$O$2428,7,FALSE)</f>
        <v>0</v>
      </c>
      <c r="H4" s="5">
        <f>VLOOKUP($A4,tropes!$A$4:$O$2428,8,FALSE)</f>
        <v>0</v>
      </c>
      <c r="I4" s="5">
        <f>VLOOKUP($A4,tropes!$A$4:$O$2428,9,FALSE)</f>
        <v>101</v>
      </c>
      <c r="J4" s="5">
        <f>VLOOKUP($A4,tropes!$A$4:$O$2428,10,FALSE)</f>
        <v>2</v>
      </c>
      <c r="K4" s="5" t="str">
        <f>VLOOKUP($A4,tropes!$A$4:$O$2428,11,FALSE)</f>
        <v>The Man Trap</v>
      </c>
      <c r="L4" s="5">
        <f>VLOOKUP($A4,tropes!$A$4:$O$2428,12,FALSE)</f>
        <v>1</v>
      </c>
      <c r="M4" s="5">
        <f>VLOOKUP($A4,tropes!$A$4:$O$2428,13,FALSE)</f>
        <v>1</v>
      </c>
      <c r="N4" s="5">
        <f t="shared" ref="N4:N44" si="0">IF(I4&lt;&gt;I3,0,N3+1)</f>
        <v>0</v>
      </c>
    </row>
    <row r="5" spans="1:14" x14ac:dyDescent="0.3">
      <c r="A5" s="14">
        <v>2712</v>
      </c>
      <c r="B5" s="5" t="str">
        <f>VLOOKUP($A5,tropes!$A$4:$O$2428,2,FALSE)</f>
        <v>Ruins For Ruins Sake</v>
      </c>
      <c r="C5" s="5" t="str">
        <f>VLOOKUP($A5,tropes!$A$4:$O$2428,3,FALSE)</f>
        <v>alien</v>
      </c>
      <c r="D5" s="5" t="str">
        <f>VLOOKUP($A5,tropes!$A$4:$O$2428,4,FALSE)</f>
        <v>no_more</v>
      </c>
      <c r="E5" s="5" t="str">
        <f>VLOOKUP($A5,tropes!$A$4:$O$2428,5,FALSE)</f>
        <v>Ancient ruins on M-113 are there for crew to wander around.</v>
      </c>
      <c r="F5" s="5">
        <f>VLOOKUP($A5,tropes!$A$4:$O$2428,6,FALSE)</f>
        <v>0</v>
      </c>
      <c r="G5" s="5">
        <f>VLOOKUP($A5,tropes!$A$4:$O$2428,7,FALSE)</f>
        <v>0</v>
      </c>
      <c r="H5" s="5">
        <f>VLOOKUP($A5,tropes!$A$4:$O$2428,8,FALSE)</f>
        <v>0</v>
      </c>
      <c r="I5" s="5">
        <f>VLOOKUP($A5,tropes!$A$4:$O$2428,9,FALSE)</f>
        <v>101</v>
      </c>
      <c r="J5" s="5">
        <f>VLOOKUP($A5,tropes!$A$4:$O$2428,10,FALSE)</f>
        <v>2</v>
      </c>
      <c r="K5" s="5" t="str">
        <f>VLOOKUP($A5,tropes!$A$4:$O$2428,11,FALSE)</f>
        <v>The Man Trap</v>
      </c>
      <c r="L5" s="5">
        <f>VLOOKUP($A5,tropes!$A$4:$O$2428,12,FALSE)</f>
        <v>1</v>
      </c>
      <c r="M5" s="5">
        <f>VLOOKUP($A5,tropes!$A$4:$O$2428,13,FALSE)</f>
        <v>1</v>
      </c>
      <c r="N5" s="5">
        <f t="shared" si="0"/>
        <v>1</v>
      </c>
    </row>
    <row r="6" spans="1:14" x14ac:dyDescent="0.3">
      <c r="A6" s="14">
        <v>2493</v>
      </c>
      <c r="B6" s="5" t="str">
        <f>VLOOKUP($A6,tropes!$A$4:$O$2428,2,FALSE)</f>
        <v>Sufficiently Advanced Aliens</v>
      </c>
      <c r="C6" s="5" t="str">
        <f>VLOOKUP($A6,tropes!$A$4:$O$2428,3,FALSE)</f>
        <v>alien</v>
      </c>
      <c r="D6" s="5" t="str">
        <f>VLOOKUP($A6,tropes!$A$4:$O$2428,4,FALSE)</f>
        <v>energy_beings</v>
      </c>
      <c r="E6" s="5" t="str">
        <f>VLOOKUP($A6,tropes!$A$4:$O$2428,5,FALSE)</f>
        <v>The Thasians advanced past the need for physical bodies.</v>
      </c>
      <c r="F6" s="5">
        <f>VLOOKUP($A6,tropes!$A$4:$O$2428,6,FALSE)</f>
        <v>0</v>
      </c>
      <c r="G6" s="5">
        <f>VLOOKUP($A6,tropes!$A$4:$O$2428,7,FALSE)</f>
        <v>0</v>
      </c>
      <c r="H6" s="5">
        <f>VLOOKUP($A6,tropes!$A$4:$O$2428,8,FALSE)</f>
        <v>0</v>
      </c>
      <c r="I6" s="5">
        <f>VLOOKUP($A6,tropes!$A$4:$O$2428,9,FALSE)</f>
        <v>102</v>
      </c>
      <c r="J6" s="5">
        <f>VLOOKUP($A6,tropes!$A$4:$O$2428,10,FALSE)</f>
        <v>3</v>
      </c>
      <c r="K6" s="5" t="str">
        <f>VLOOKUP($A6,tropes!$A$4:$O$2428,11,FALSE)</f>
        <v>Charlie X</v>
      </c>
      <c r="L6" s="5">
        <f>VLOOKUP($A6,tropes!$A$4:$O$2428,12,FALSE)</f>
        <v>1</v>
      </c>
      <c r="M6" s="5">
        <f>VLOOKUP($A6,tropes!$A$4:$O$2428,13,FALSE)</f>
        <v>2</v>
      </c>
      <c r="N6" s="5">
        <f t="shared" si="0"/>
        <v>0</v>
      </c>
    </row>
    <row r="7" spans="1:14" x14ac:dyDescent="0.3">
      <c r="A7" s="14">
        <v>7</v>
      </c>
      <c r="B7" s="5" t="str">
        <f>VLOOKUP($A7,tropes!$A$4:$O$2428,2,FALSE)</f>
        <v>Ruins For Ruins Sake</v>
      </c>
      <c r="C7" s="5" t="str">
        <f>VLOOKUP($A7,tropes!$A$4:$O$2428,3,FALSE)</f>
        <v>alien</v>
      </c>
      <c r="D7" s="5" t="str">
        <f>VLOOKUP($A7,tropes!$A$4:$O$2428,4,FALSE)</f>
        <v>no_more</v>
      </c>
      <c r="E7" s="5" t="str">
        <f>VLOOKUP($A7,tropes!$A$4:$O$2428,5,FALSE)</f>
        <v>Ancient civilization was wiped out because of their fear of the androids they created.</v>
      </c>
      <c r="F7" s="5">
        <f>VLOOKUP($A7,tropes!$A$4:$O$2428,6,FALSE)</f>
        <v>0</v>
      </c>
      <c r="G7" s="5">
        <f>VLOOKUP($A7,tropes!$A$4:$O$2428,7,FALSE)</f>
        <v>0</v>
      </c>
      <c r="H7" s="5">
        <f>VLOOKUP($A7,tropes!$A$4:$O$2428,8,FALSE)</f>
        <v>0</v>
      </c>
      <c r="I7" s="5">
        <f>VLOOKUP($A7,tropes!$A$4:$O$2428,9,FALSE)</f>
        <v>107</v>
      </c>
      <c r="J7" s="5">
        <f>VLOOKUP($A7,tropes!$A$4:$O$2428,10,FALSE)</f>
        <v>8</v>
      </c>
      <c r="K7" s="5" t="str">
        <f>VLOOKUP($A7,tropes!$A$4:$O$2428,11,FALSE)</f>
        <v>What Are Little Girls Made Of?</v>
      </c>
      <c r="L7" s="5">
        <f>VLOOKUP($A7,tropes!$A$4:$O$2428,12,FALSE)</f>
        <v>1</v>
      </c>
      <c r="M7" s="5">
        <f>VLOOKUP($A7,tropes!$A$4:$O$2428,13,FALSE)</f>
        <v>7</v>
      </c>
      <c r="N7" s="5">
        <f t="shared" si="0"/>
        <v>0</v>
      </c>
    </row>
    <row r="8" spans="1:14" x14ac:dyDescent="0.3">
      <c r="A8" s="14">
        <v>8</v>
      </c>
      <c r="B8" s="5" t="str">
        <f>VLOOKUP($A8,tropes!$A$4:$O$2428,2,FALSE)</f>
        <v>Sufficiently Advanced Aliens</v>
      </c>
      <c r="C8" s="5" t="str">
        <f>VLOOKUP($A8,tropes!$A$4:$O$2428,3,FALSE)</f>
        <v>alien</v>
      </c>
      <c r="D8" s="5" t="str">
        <f>VLOOKUP($A8,tropes!$A$4:$O$2428,4,FALSE)</f>
        <v>no_more</v>
      </c>
      <c r="E8" s="5" t="str">
        <f>VLOOKUP($A8,tropes!$A$4:$O$2428,5,FALSE)</f>
        <v>The Old Ones were the race who originally created the androids.</v>
      </c>
      <c r="F8" s="5">
        <f>VLOOKUP($A8,tropes!$A$4:$O$2428,6,FALSE)</f>
        <v>0</v>
      </c>
      <c r="G8" s="5">
        <f>VLOOKUP($A8,tropes!$A$4:$O$2428,7,FALSE)</f>
        <v>0</v>
      </c>
      <c r="H8" s="5">
        <f>VLOOKUP($A8,tropes!$A$4:$O$2428,8,FALSE)</f>
        <v>0</v>
      </c>
      <c r="I8" s="5">
        <f>VLOOKUP($A8,tropes!$A$4:$O$2428,9,FALSE)</f>
        <v>107</v>
      </c>
      <c r="J8" s="5">
        <f>VLOOKUP($A8,tropes!$A$4:$O$2428,10,FALSE)</f>
        <v>8</v>
      </c>
      <c r="K8" s="5" t="str">
        <f>VLOOKUP($A8,tropes!$A$4:$O$2428,11,FALSE)</f>
        <v>What Are Little Girls Made Of?</v>
      </c>
      <c r="L8" s="5">
        <f>VLOOKUP($A8,tropes!$A$4:$O$2428,12,FALSE)</f>
        <v>1</v>
      </c>
      <c r="M8" s="5">
        <f>VLOOKUP($A8,tropes!$A$4:$O$2428,13,FALSE)</f>
        <v>7</v>
      </c>
      <c r="N8" s="5">
        <f t="shared" si="0"/>
        <v>1</v>
      </c>
    </row>
    <row r="9" spans="1:14" x14ac:dyDescent="0.3">
      <c r="A9" s="14">
        <v>9</v>
      </c>
      <c r="B9" s="5" t="str">
        <f>VLOOKUP($A9,tropes!$A$4:$O$2428,2,FALSE)</f>
        <v>Two Of Your Earth Minutes</v>
      </c>
      <c r="C9" s="5" t="str">
        <f>VLOOKUP($A9,tropes!$A$4:$O$2428,3,FALSE)</f>
        <v>alien</v>
      </c>
      <c r="D9" s="5" t="str">
        <f>VLOOKUP($A9,tropes!$A$4:$O$2428,4,FALSE)</f>
        <v>culture</v>
      </c>
      <c r="E9" s="5" t="str">
        <f>VLOOKUP($A9,tropes!$A$4:$O$2428,5,FALSE)</f>
        <v>Balok: We therefore grant you ten Earth time periods known as minutes to make preparations.</v>
      </c>
      <c r="F9" s="5">
        <f>VLOOKUP($A9,tropes!$A$4:$O$2428,6,FALSE)</f>
        <v>0</v>
      </c>
      <c r="G9" s="5">
        <f>VLOOKUP($A9,tropes!$A$4:$O$2428,7,FALSE)</f>
        <v>0</v>
      </c>
      <c r="H9" s="5">
        <f>VLOOKUP($A9,tropes!$A$4:$O$2428,8,FALSE)</f>
        <v>0</v>
      </c>
      <c r="I9" s="5">
        <f>VLOOKUP($A9,tropes!$A$4:$O$2428,9,FALSE)</f>
        <v>110</v>
      </c>
      <c r="J9" s="5">
        <f>VLOOKUP($A9,tropes!$A$4:$O$2428,10,FALSE)</f>
        <v>11</v>
      </c>
      <c r="K9" s="5" t="str">
        <f>VLOOKUP($A9,tropes!$A$4:$O$2428,11,FALSE)</f>
        <v>The Corbomite Maneuver</v>
      </c>
      <c r="L9" s="5">
        <f>VLOOKUP($A9,tropes!$A$4:$O$2428,12,FALSE)</f>
        <v>1</v>
      </c>
      <c r="M9" s="5">
        <f>VLOOKUP($A9,tropes!$A$4:$O$2428,13,FALSE)</f>
        <v>10</v>
      </c>
      <c r="N9" s="5">
        <f t="shared" si="0"/>
        <v>0</v>
      </c>
    </row>
    <row r="10" spans="1:14" x14ac:dyDescent="0.3">
      <c r="A10" s="14">
        <v>11</v>
      </c>
      <c r="B10" s="5" t="str">
        <f>VLOOKUP($A10,tropes!$A$4:$O$2428,2,FALSE)</f>
        <v>Planet Of Hats-Romulan</v>
      </c>
      <c r="C10" s="5" t="str">
        <f>VLOOKUP($A10,tropes!$A$4:$O$2428,3,FALSE)</f>
        <v>alien</v>
      </c>
      <c r="D10" s="5" t="str">
        <f>VLOOKUP($A10,tropes!$A$4:$O$2428,4,FALSE)</f>
        <v>culture</v>
      </c>
      <c r="E10" s="5" t="str">
        <f>VLOOKUP($A10,tropes!$A$4:$O$2428,5,FALSE)</f>
        <v>A single cultural world: Romulans are all warlike.</v>
      </c>
      <c r="F10" s="5">
        <f>VLOOKUP($A10,tropes!$A$4:$O$2428,6,FALSE)</f>
        <v>0</v>
      </c>
      <c r="G10" s="5">
        <f>VLOOKUP($A10,tropes!$A$4:$O$2428,7,FALSE)</f>
        <v>0</v>
      </c>
      <c r="H10" s="5">
        <f>VLOOKUP($A10,tropes!$A$4:$O$2428,8,FALSE)</f>
        <v>0</v>
      </c>
      <c r="I10" s="5">
        <f>VLOOKUP($A10,tropes!$A$4:$O$2428,9,FALSE)</f>
        <v>114</v>
      </c>
      <c r="J10" s="5">
        <f>VLOOKUP($A10,tropes!$A$4:$O$2428,10,FALSE)</f>
        <v>15</v>
      </c>
      <c r="K10" s="5" t="str">
        <f>VLOOKUP($A10,tropes!$A$4:$O$2428,11,FALSE)</f>
        <v>Balance of Terror</v>
      </c>
      <c r="L10" s="5">
        <f>VLOOKUP($A10,tropes!$A$4:$O$2428,12,FALSE)</f>
        <v>1</v>
      </c>
      <c r="M10" s="5">
        <f>VLOOKUP($A10,tropes!$A$4:$O$2428,13,FALSE)</f>
        <v>14</v>
      </c>
      <c r="N10" s="5">
        <f t="shared" si="0"/>
        <v>0</v>
      </c>
    </row>
    <row r="11" spans="1:14" x14ac:dyDescent="0.3">
      <c r="A11" s="14">
        <v>12</v>
      </c>
      <c r="B11" s="5" t="str">
        <f>VLOOKUP($A11,tropes!$A$4:$O$2428,2,FALSE)</f>
        <v>Sufficiently Advanced Aliens</v>
      </c>
      <c r="C11" s="5" t="str">
        <f>VLOOKUP($A11,tropes!$A$4:$O$2428,3,FALSE)</f>
        <v>alien</v>
      </c>
      <c r="D11" s="5" t="str">
        <f>VLOOKUP($A11,tropes!$A$4:$O$2428,4,FALSE)</f>
        <v>no_more</v>
      </c>
      <c r="E11" s="5" t="str">
        <f>VLOOKUP($A11,tropes!$A$4:$O$2428,5,FALSE)</f>
        <v>The Park Owners are another example of an extremely advanced race never heard of again.</v>
      </c>
      <c r="F11" s="5">
        <f>VLOOKUP($A11,tropes!$A$4:$O$2428,6,FALSE)</f>
        <v>0</v>
      </c>
      <c r="G11" s="5">
        <f>VLOOKUP($A11,tropes!$A$4:$O$2428,7,FALSE)</f>
        <v>0</v>
      </c>
      <c r="H11" s="5">
        <f>VLOOKUP($A11,tropes!$A$4:$O$2428,8,FALSE)</f>
        <v>0</v>
      </c>
      <c r="I11" s="5">
        <f>VLOOKUP($A11,tropes!$A$4:$O$2428,9,FALSE)</f>
        <v>115</v>
      </c>
      <c r="J11" s="5">
        <f>VLOOKUP($A11,tropes!$A$4:$O$2428,10,FALSE)</f>
        <v>16</v>
      </c>
      <c r="K11" s="5" t="str">
        <f>VLOOKUP($A11,tropes!$A$4:$O$2428,11,FALSE)</f>
        <v>Shore Leave</v>
      </c>
      <c r="L11" s="5">
        <f>VLOOKUP($A11,tropes!$A$4:$O$2428,12,FALSE)</f>
        <v>1</v>
      </c>
      <c r="M11" s="5">
        <f>VLOOKUP($A11,tropes!$A$4:$O$2428,13,FALSE)</f>
        <v>15</v>
      </c>
      <c r="N11" s="5">
        <f t="shared" si="0"/>
        <v>0</v>
      </c>
    </row>
    <row r="12" spans="1:14" x14ac:dyDescent="0.3">
      <c r="A12" s="14">
        <v>13</v>
      </c>
      <c r="B12" s="5" t="str">
        <f>VLOOKUP($A12,tropes!$A$4:$O$2428,2,FALSE)</f>
        <v>Energy Beings</v>
      </c>
      <c r="C12" s="5" t="str">
        <f>VLOOKUP($A12,tropes!$A$4:$O$2428,3,FALSE)</f>
        <v>alien</v>
      </c>
      <c r="D12" s="5" t="str">
        <f>VLOOKUP($A12,tropes!$A$4:$O$2428,4,FALSE)</f>
        <v>energy_beings</v>
      </c>
      <c r="E12" s="5" t="str">
        <f>VLOOKUP($A12,tropes!$A$4:$O$2428,5,FALSE)</f>
        <v>Trelane's parents are advanced energy beings.</v>
      </c>
      <c r="F12" s="5">
        <f>VLOOKUP($A12,tropes!$A$4:$O$2428,6,FALSE)</f>
        <v>0</v>
      </c>
      <c r="G12" s="5">
        <f>VLOOKUP($A12,tropes!$A$4:$O$2428,7,FALSE)</f>
        <v>0</v>
      </c>
      <c r="H12" s="5">
        <f>VLOOKUP($A12,tropes!$A$4:$O$2428,8,FALSE)</f>
        <v>0</v>
      </c>
      <c r="I12" s="5">
        <f>VLOOKUP($A12,tropes!$A$4:$O$2428,9,FALSE)</f>
        <v>117</v>
      </c>
      <c r="J12" s="5">
        <f>VLOOKUP($A12,tropes!$A$4:$O$2428,10,FALSE)</f>
        <v>18</v>
      </c>
      <c r="K12" s="5" t="str">
        <f>VLOOKUP($A12,tropes!$A$4:$O$2428,11,FALSE)</f>
        <v>The Squire of Gothos</v>
      </c>
      <c r="L12" s="5">
        <f>VLOOKUP($A12,tropes!$A$4:$O$2428,12,FALSE)</f>
        <v>1</v>
      </c>
      <c r="M12" s="5">
        <f>VLOOKUP($A12,tropes!$A$4:$O$2428,13,FALSE)</f>
        <v>17</v>
      </c>
      <c r="N12" s="5">
        <f t="shared" si="0"/>
        <v>0</v>
      </c>
    </row>
    <row r="13" spans="1:14" x14ac:dyDescent="0.3">
      <c r="A13" s="14">
        <v>20</v>
      </c>
      <c r="B13" s="5" t="str">
        <f>VLOOKUP($A13,tropes!$A$4:$O$2428,2,FALSE)</f>
        <v>Sufficiently Advanced Aliens</v>
      </c>
      <c r="C13" s="5" t="str">
        <f>VLOOKUP($A13,tropes!$A$4:$O$2428,3,FALSE)</f>
        <v>alien</v>
      </c>
      <c r="D13" s="5" t="str">
        <f>VLOOKUP($A13,tropes!$A$4:$O$2428,4,FALSE)</f>
        <v>energy_beings</v>
      </c>
      <c r="E13" s="5" t="str">
        <f>VLOOKUP($A13,tropes!$A$4:$O$2428,5,FALSE)</f>
        <v>Both Trelane and his parents are advanced beings.</v>
      </c>
      <c r="F13" s="5">
        <f>VLOOKUP($A13,tropes!$A$4:$O$2428,6,FALSE)</f>
        <v>0</v>
      </c>
      <c r="G13" s="5">
        <f>VLOOKUP($A13,tropes!$A$4:$O$2428,7,FALSE)</f>
        <v>0</v>
      </c>
      <c r="H13" s="5">
        <f>VLOOKUP($A13,tropes!$A$4:$O$2428,8,FALSE)</f>
        <v>0</v>
      </c>
      <c r="I13" s="5">
        <f>VLOOKUP($A13,tropes!$A$4:$O$2428,9,FALSE)</f>
        <v>117</v>
      </c>
      <c r="J13" s="5">
        <f>VLOOKUP($A13,tropes!$A$4:$O$2428,10,FALSE)</f>
        <v>18</v>
      </c>
      <c r="K13" s="5" t="str">
        <f>VLOOKUP($A13,tropes!$A$4:$O$2428,11,FALSE)</f>
        <v>The Squire of Gothos</v>
      </c>
      <c r="L13" s="5">
        <f>VLOOKUP($A13,tropes!$A$4:$O$2428,12,FALSE)</f>
        <v>1</v>
      </c>
      <c r="M13" s="5">
        <f>VLOOKUP($A13,tropes!$A$4:$O$2428,13,FALSE)</f>
        <v>17</v>
      </c>
      <c r="N13" s="5">
        <f t="shared" si="0"/>
        <v>1</v>
      </c>
    </row>
    <row r="14" spans="1:14" x14ac:dyDescent="0.3">
      <c r="A14" s="14">
        <v>1742</v>
      </c>
      <c r="B14" s="5" t="str">
        <f>VLOOKUP($A14,tropes!$A$4:$O$2428,2,FALSE)</f>
        <v>Energy Beings</v>
      </c>
      <c r="C14" s="5" t="str">
        <f>VLOOKUP($A14,tropes!$A$4:$O$2428,3,FALSE)</f>
        <v>alien</v>
      </c>
      <c r="D14" s="5" t="str">
        <f>VLOOKUP($A14,tropes!$A$4:$O$2428,4,FALSE)</f>
        <v>energy_beings</v>
      </c>
      <c r="E14" s="5" t="str">
        <f>VLOOKUP($A14,tropes!$A$4:$O$2428,5,FALSE)</f>
        <v>Metrons arrange for Kirk and the Gorn to fight it out. Loser gets destroyed.</v>
      </c>
      <c r="F14" s="5">
        <f>VLOOKUP($A14,tropes!$A$4:$O$2428,6,FALSE)</f>
        <v>0</v>
      </c>
      <c r="G14" s="5">
        <f>VLOOKUP($A14,tropes!$A$4:$O$2428,7,FALSE)</f>
        <v>0</v>
      </c>
      <c r="H14" s="5">
        <f>VLOOKUP($A14,tropes!$A$4:$O$2428,8,FALSE)</f>
        <v>0</v>
      </c>
      <c r="I14" s="5">
        <f>VLOOKUP($A14,tropes!$A$4:$O$2428,9,FALSE)</f>
        <v>118</v>
      </c>
      <c r="J14" s="5">
        <f>VLOOKUP($A14,tropes!$A$4:$O$2428,10,FALSE)</f>
        <v>19</v>
      </c>
      <c r="K14" s="5" t="str">
        <f>VLOOKUP($A14,tropes!$A$4:$O$2428,11,FALSE)</f>
        <v>Arena</v>
      </c>
      <c r="L14" s="5">
        <f>VLOOKUP($A14,tropes!$A$4:$O$2428,12,FALSE)</f>
        <v>1</v>
      </c>
      <c r="M14" s="5">
        <f>VLOOKUP($A14,tropes!$A$4:$O$2428,13,FALSE)</f>
        <v>18</v>
      </c>
      <c r="N14" s="5">
        <f t="shared" si="0"/>
        <v>0</v>
      </c>
    </row>
    <row r="15" spans="1:14" x14ac:dyDescent="0.3">
      <c r="A15" s="14">
        <v>23</v>
      </c>
      <c r="B15" s="5" t="str">
        <f>VLOOKUP($A15,tropes!$A$4:$O$2428,2,FALSE)</f>
        <v>Sufficiently Advanced Aliens</v>
      </c>
      <c r="C15" s="5" t="str">
        <f>VLOOKUP($A15,tropes!$A$4:$O$2428,3,FALSE)</f>
        <v>alien</v>
      </c>
      <c r="D15" s="5" t="str">
        <f>VLOOKUP($A15,tropes!$A$4:$O$2428,4,FALSE)</f>
        <v>energy_beings</v>
      </c>
      <c r="E15" s="5" t="str">
        <f>VLOOKUP($A15,tropes!$A$4:$O$2428,5,FALSE)</f>
        <v>The Metrons have advanced past their petty problems.</v>
      </c>
      <c r="F15" s="5">
        <f>VLOOKUP($A15,tropes!$A$4:$O$2428,6,FALSE)</f>
        <v>0</v>
      </c>
      <c r="G15" s="5">
        <f>VLOOKUP($A15,tropes!$A$4:$O$2428,7,FALSE)</f>
        <v>0</v>
      </c>
      <c r="H15" s="5">
        <f>VLOOKUP($A15,tropes!$A$4:$O$2428,8,FALSE)</f>
        <v>0</v>
      </c>
      <c r="I15" s="5">
        <f>VLOOKUP($A15,tropes!$A$4:$O$2428,9,FALSE)</f>
        <v>118</v>
      </c>
      <c r="J15" s="5">
        <f>VLOOKUP($A15,tropes!$A$4:$O$2428,10,FALSE)</f>
        <v>19</v>
      </c>
      <c r="K15" s="5" t="str">
        <f>VLOOKUP($A15,tropes!$A$4:$O$2428,11,FALSE)</f>
        <v>Arena</v>
      </c>
      <c r="L15" s="5">
        <f>VLOOKUP($A15,tropes!$A$4:$O$2428,12,FALSE)</f>
        <v>1</v>
      </c>
      <c r="M15" s="5">
        <f>VLOOKUP($A15,tropes!$A$4:$O$2428,13,FALSE)</f>
        <v>18</v>
      </c>
      <c r="N15" s="5">
        <f t="shared" si="0"/>
        <v>1</v>
      </c>
    </row>
    <row r="16" spans="1:14" x14ac:dyDescent="0.3">
      <c r="A16" s="14">
        <v>795</v>
      </c>
      <c r="B16" s="5" t="str">
        <f>VLOOKUP($A16,tropes!$A$4:$O$2428,2,FALSE)</f>
        <v>White Man's Burden</v>
      </c>
      <c r="C16" s="5" t="str">
        <f>VLOOKUP($A16,tropes!$A$4:$O$2428,3,FALSE)</f>
        <v>alien</v>
      </c>
      <c r="D16" s="5" t="str">
        <f>VLOOKUP($A16,tropes!$A$4:$O$2428,4,FALSE)</f>
        <v>interference</v>
      </c>
      <c r="E16" s="5" t="str">
        <f>VLOOKUP($A16,tropes!$A$4:$O$2428,5,FALSE)</f>
        <v>Kirk interferes with the planet by destroying the Landru computer.</v>
      </c>
      <c r="F16" s="5">
        <f>VLOOKUP($A16,tropes!$A$4:$O$2428,6,FALSE)</f>
        <v>0</v>
      </c>
      <c r="G16" s="5">
        <f>VLOOKUP($A16,tropes!$A$4:$O$2428,7,FALSE)</f>
        <v>1</v>
      </c>
      <c r="H16" s="5">
        <f>VLOOKUP($A16,tropes!$A$4:$O$2428,8,FALSE)</f>
        <v>0</v>
      </c>
      <c r="I16" s="5">
        <f>VLOOKUP($A16,tropes!$A$4:$O$2428,9,FALSE)</f>
        <v>121</v>
      </c>
      <c r="J16" s="5">
        <f>VLOOKUP($A16,tropes!$A$4:$O$2428,10,FALSE)</f>
        <v>22</v>
      </c>
      <c r="K16" s="5" t="str">
        <f>VLOOKUP($A16,tropes!$A$4:$O$2428,11,FALSE)</f>
        <v>The Return of the Archons</v>
      </c>
      <c r="L16" s="5">
        <f>VLOOKUP($A16,tropes!$A$4:$O$2428,12,FALSE)</f>
        <v>1</v>
      </c>
      <c r="M16" s="5">
        <f>VLOOKUP($A16,tropes!$A$4:$O$2428,13,FALSE)</f>
        <v>21</v>
      </c>
      <c r="N16" s="5">
        <f t="shared" si="0"/>
        <v>0</v>
      </c>
    </row>
    <row r="17" spans="1:14" x14ac:dyDescent="0.3">
      <c r="A17" s="14">
        <v>818</v>
      </c>
      <c r="B17" s="5" t="str">
        <f>VLOOKUP($A17,tropes!$A$4:$O$2428,2,FALSE)</f>
        <v>White Man's Burden</v>
      </c>
      <c r="C17" s="5" t="str">
        <f>VLOOKUP($A17,tropes!$A$4:$O$2428,3,FALSE)</f>
        <v>alien</v>
      </c>
      <c r="D17" s="5" t="str">
        <f>VLOOKUP($A17,tropes!$A$4:$O$2428,4,FALSE)</f>
        <v>interference</v>
      </c>
      <c r="E17" s="5" t="str">
        <f>VLOOKUP($A17,tropes!$A$4:$O$2428,5,FALSE)</f>
        <v>Kirk interferes by destroying computer to set Eminiar's free of their clean war.</v>
      </c>
      <c r="F17" s="5">
        <f>VLOOKUP($A17,tropes!$A$4:$O$2428,6,FALSE)</f>
        <v>0</v>
      </c>
      <c r="G17" s="5">
        <f>VLOOKUP($A17,tropes!$A$4:$O$2428,7,FALSE)</f>
        <v>1</v>
      </c>
      <c r="H17" s="5">
        <f>VLOOKUP($A17,tropes!$A$4:$O$2428,8,FALSE)</f>
        <v>0</v>
      </c>
      <c r="I17" s="5">
        <f>VLOOKUP($A17,tropes!$A$4:$O$2428,9,FALSE)</f>
        <v>123</v>
      </c>
      <c r="J17" s="5">
        <f>VLOOKUP($A17,tropes!$A$4:$O$2428,10,FALSE)</f>
        <v>24</v>
      </c>
      <c r="K17" s="5" t="str">
        <f>VLOOKUP($A17,tropes!$A$4:$O$2428,11,FALSE)</f>
        <v>A Taste of Armageddon</v>
      </c>
      <c r="L17" s="5">
        <f>VLOOKUP($A17,tropes!$A$4:$O$2428,12,FALSE)</f>
        <v>1</v>
      </c>
      <c r="M17" s="5">
        <f>VLOOKUP($A17,tropes!$A$4:$O$2428,13,FALSE)</f>
        <v>23</v>
      </c>
      <c r="N17" s="5">
        <f t="shared" si="0"/>
        <v>0</v>
      </c>
    </row>
    <row r="18" spans="1:14" x14ac:dyDescent="0.3">
      <c r="A18" s="14">
        <v>24</v>
      </c>
      <c r="B18" s="5" t="str">
        <f>VLOOKUP($A18,tropes!$A$4:$O$2428,2,FALSE)</f>
        <v>Last Of His Kind</v>
      </c>
      <c r="C18" s="5" t="str">
        <f>VLOOKUP($A18,tropes!$A$4:$O$2428,3,FALSE)</f>
        <v>alien</v>
      </c>
      <c r="D18" s="5" t="str">
        <f>VLOOKUP($A18,tropes!$A$4:$O$2428,4,FALSE)</f>
        <v>non-humanoid</v>
      </c>
      <c r="E18" s="5" t="str">
        <f>VLOOKUP($A18,tropes!$A$4:$O$2428,5,FALSE)</f>
        <v>Horta. Except there are thousands of eggs, some of them hatching by episodes end.</v>
      </c>
      <c r="F18" s="5">
        <f>VLOOKUP($A18,tropes!$A$4:$O$2428,6,FALSE)</f>
        <v>0</v>
      </c>
      <c r="G18" s="5">
        <f>VLOOKUP($A18,tropes!$A$4:$O$2428,7,FALSE)</f>
        <v>0</v>
      </c>
      <c r="H18" s="5">
        <f>VLOOKUP($A18,tropes!$A$4:$O$2428,8,FALSE)</f>
        <v>0</v>
      </c>
      <c r="I18" s="5">
        <f>VLOOKUP($A18,tropes!$A$4:$O$2428,9,FALSE)</f>
        <v>125</v>
      </c>
      <c r="J18" s="5">
        <f>VLOOKUP($A18,tropes!$A$4:$O$2428,10,FALSE)</f>
        <v>26</v>
      </c>
      <c r="K18" s="5" t="str">
        <f>VLOOKUP($A18,tropes!$A$4:$O$2428,11,FALSE)</f>
        <v>The Devil in the Dark</v>
      </c>
      <c r="L18" s="5">
        <f>VLOOKUP($A18,tropes!$A$4:$O$2428,12,FALSE)</f>
        <v>1</v>
      </c>
      <c r="M18" s="5">
        <f>VLOOKUP($A18,tropes!$A$4:$O$2428,13,FALSE)</f>
        <v>25</v>
      </c>
      <c r="N18" s="5">
        <f t="shared" si="0"/>
        <v>0</v>
      </c>
    </row>
    <row r="19" spans="1:14" x14ac:dyDescent="0.3">
      <c r="A19" s="14">
        <v>25</v>
      </c>
      <c r="B19" s="5" t="str">
        <f>VLOOKUP($A19,tropes!$A$4:$O$2428,2,FALSE)</f>
        <v>Little Green Man In A Can</v>
      </c>
      <c r="C19" s="5" t="str">
        <f>VLOOKUP($A19,tropes!$A$4:$O$2428,3,FALSE)</f>
        <v>alien</v>
      </c>
      <c r="D19" s="5" t="str">
        <f>VLOOKUP($A19,tropes!$A$4:$O$2428,4,FALSE)</f>
        <v>non-humanoid</v>
      </c>
      <c r="E19" s="5" t="str">
        <f>VLOOKUP($A19,tropes!$A$4:$O$2428,5,FALSE)</f>
        <v>Horta is a silicon based life form.</v>
      </c>
      <c r="F19" s="5">
        <f>VLOOKUP($A19,tropes!$A$4:$O$2428,6,FALSE)</f>
        <v>0</v>
      </c>
      <c r="G19" s="5">
        <f>VLOOKUP($A19,tropes!$A$4:$O$2428,7,FALSE)</f>
        <v>0</v>
      </c>
      <c r="H19" s="5">
        <f>VLOOKUP($A19,tropes!$A$4:$O$2428,8,FALSE)</f>
        <v>0</v>
      </c>
      <c r="I19" s="5">
        <f>VLOOKUP($A19,tropes!$A$4:$O$2428,9,FALSE)</f>
        <v>125</v>
      </c>
      <c r="J19" s="5">
        <f>VLOOKUP($A19,tropes!$A$4:$O$2428,10,FALSE)</f>
        <v>26</v>
      </c>
      <c r="K19" s="5" t="str">
        <f>VLOOKUP($A19,tropes!$A$4:$O$2428,11,FALSE)</f>
        <v>The Devil in the Dark</v>
      </c>
      <c r="L19" s="5">
        <f>VLOOKUP($A19,tropes!$A$4:$O$2428,12,FALSE)</f>
        <v>1</v>
      </c>
      <c r="M19" s="5">
        <f>VLOOKUP($A19,tropes!$A$4:$O$2428,13,FALSE)</f>
        <v>25</v>
      </c>
      <c r="N19" s="5">
        <f t="shared" si="0"/>
        <v>1</v>
      </c>
    </row>
    <row r="20" spans="1:14" x14ac:dyDescent="0.3">
      <c r="A20" s="14">
        <v>1802</v>
      </c>
      <c r="B20" s="5" t="str">
        <f>VLOOKUP($A20,tropes!$A$4:$O$2428,2,FALSE)</f>
        <v>Energy Beings</v>
      </c>
      <c r="C20" s="5" t="str">
        <f>VLOOKUP($A20,tropes!$A$4:$O$2428,3,FALSE)</f>
        <v>alien</v>
      </c>
      <c r="D20" s="5" t="str">
        <f>VLOOKUP($A20,tropes!$A$4:$O$2428,4,FALSE)</f>
        <v>energy_beings</v>
      </c>
      <c r="E20" s="5" t="str">
        <f>VLOOKUP($A20,tropes!$A$4:$O$2428,5,FALSE)</f>
        <v>Organians take human form for visitors.</v>
      </c>
      <c r="F20" s="5">
        <f>VLOOKUP($A20,tropes!$A$4:$O$2428,6,FALSE)</f>
        <v>0</v>
      </c>
      <c r="G20" s="5">
        <f>VLOOKUP($A20,tropes!$A$4:$O$2428,7,FALSE)</f>
        <v>0</v>
      </c>
      <c r="H20" s="5">
        <f>VLOOKUP($A20,tropes!$A$4:$O$2428,8,FALSE)</f>
        <v>0</v>
      </c>
      <c r="I20" s="5">
        <f>VLOOKUP($A20,tropes!$A$4:$O$2428,9,FALSE)</f>
        <v>126</v>
      </c>
      <c r="J20" s="5">
        <f>VLOOKUP($A20,tropes!$A$4:$O$2428,10,FALSE)</f>
        <v>27</v>
      </c>
      <c r="K20" s="5" t="str">
        <f>VLOOKUP($A20,tropes!$A$4:$O$2428,11,FALSE)</f>
        <v>Errand of Mercy</v>
      </c>
      <c r="L20" s="5">
        <f>VLOOKUP($A20,tropes!$A$4:$O$2428,12,FALSE)</f>
        <v>1</v>
      </c>
      <c r="M20" s="5">
        <f>VLOOKUP($A20,tropes!$A$4:$O$2428,13,FALSE)</f>
        <v>26</v>
      </c>
      <c r="N20" s="5">
        <f t="shared" si="0"/>
        <v>0</v>
      </c>
    </row>
    <row r="21" spans="1:14" x14ac:dyDescent="0.3">
      <c r="A21" s="14">
        <v>1803</v>
      </c>
      <c r="B21" s="5" t="str">
        <f>VLOOKUP($A21,tropes!$A$4:$O$2428,2,FALSE)</f>
        <v>Enforced Cold War</v>
      </c>
      <c r="C21" s="5" t="str">
        <f>VLOOKUP($A21,tropes!$A$4:$O$2428,3,FALSE)</f>
        <v>alien</v>
      </c>
      <c r="D21" s="5" t="str">
        <f>VLOOKUP($A21,tropes!$A$4:$O$2428,4,FALSE)</f>
        <v>culture</v>
      </c>
      <c r="E21" s="5" t="str">
        <f>VLOOKUP($A21,tropes!$A$4:$O$2428,5,FALSE)</f>
        <v>Organian peace treaty: imposed peace by energy beings on angry, warring lesser beings (Federation and the Klingons).</v>
      </c>
      <c r="F21" s="5">
        <f>VLOOKUP($A21,tropes!$A$4:$O$2428,6,FALSE)</f>
        <v>0</v>
      </c>
      <c r="G21" s="5">
        <f>VLOOKUP($A21,tropes!$A$4:$O$2428,7,FALSE)</f>
        <v>0</v>
      </c>
      <c r="H21" s="5">
        <f>VLOOKUP($A21,tropes!$A$4:$O$2428,8,FALSE)</f>
        <v>0</v>
      </c>
      <c r="I21" s="5">
        <f>VLOOKUP($A21,tropes!$A$4:$O$2428,9,FALSE)</f>
        <v>126</v>
      </c>
      <c r="J21" s="5">
        <f>VLOOKUP($A21,tropes!$A$4:$O$2428,10,FALSE)</f>
        <v>27</v>
      </c>
      <c r="K21" s="5" t="str">
        <f>VLOOKUP($A21,tropes!$A$4:$O$2428,11,FALSE)</f>
        <v>Errand of Mercy</v>
      </c>
      <c r="L21" s="5">
        <f>VLOOKUP($A21,tropes!$A$4:$O$2428,12,FALSE)</f>
        <v>1</v>
      </c>
      <c r="M21" s="5">
        <f>VLOOKUP($A21,tropes!$A$4:$O$2428,13,FALSE)</f>
        <v>26</v>
      </c>
      <c r="N21" s="5">
        <f t="shared" si="0"/>
        <v>1</v>
      </c>
    </row>
    <row r="22" spans="1:14" x14ac:dyDescent="0.3">
      <c r="A22" s="14">
        <v>26</v>
      </c>
      <c r="B22" s="5" t="str">
        <f>VLOOKUP($A22,tropes!$A$4:$O$2428,2,FALSE)</f>
        <v>Planet of Hats</v>
      </c>
      <c r="C22" s="5" t="str">
        <f>VLOOKUP($A22,tropes!$A$4:$O$2428,3,FALSE)</f>
        <v>alien</v>
      </c>
      <c r="D22" s="5" t="str">
        <f>VLOOKUP($A22,tropes!$A$4:$O$2428,4,FALSE)</f>
        <v>culture</v>
      </c>
      <c r="E22" s="5" t="str">
        <f>VLOOKUP($A22,tropes!$A$4:$O$2428,5,FALSE)</f>
        <v>A single cultural world: Klingons are all warlike.</v>
      </c>
      <c r="F22" s="5">
        <f>VLOOKUP($A22,tropes!$A$4:$O$2428,6,FALSE)</f>
        <v>0</v>
      </c>
      <c r="G22" s="5">
        <f>VLOOKUP($A22,tropes!$A$4:$O$2428,7,FALSE)</f>
        <v>0</v>
      </c>
      <c r="H22" s="5">
        <f>VLOOKUP($A22,tropes!$A$4:$O$2428,8,FALSE)</f>
        <v>0</v>
      </c>
      <c r="I22" s="5">
        <f>VLOOKUP($A22,tropes!$A$4:$O$2428,9,FALSE)</f>
        <v>126</v>
      </c>
      <c r="J22" s="5">
        <f>VLOOKUP($A22,tropes!$A$4:$O$2428,10,FALSE)</f>
        <v>27</v>
      </c>
      <c r="K22" s="5" t="str">
        <f>VLOOKUP($A22,tropes!$A$4:$O$2428,11,FALSE)</f>
        <v>Errand of Mercy</v>
      </c>
      <c r="L22" s="5">
        <f>VLOOKUP($A22,tropes!$A$4:$O$2428,12,FALSE)</f>
        <v>1</v>
      </c>
      <c r="M22" s="5">
        <f>VLOOKUP($A22,tropes!$A$4:$O$2428,13,FALSE)</f>
        <v>26</v>
      </c>
      <c r="N22" s="5">
        <f t="shared" si="0"/>
        <v>2</v>
      </c>
    </row>
    <row r="23" spans="1:14" x14ac:dyDescent="0.3">
      <c r="A23" s="14">
        <v>28</v>
      </c>
      <c r="B23" s="5" t="str">
        <f>VLOOKUP($A23,tropes!$A$4:$O$2428,2,FALSE)</f>
        <v>Sufficiently Advanced Aliens</v>
      </c>
      <c r="C23" s="5" t="str">
        <f>VLOOKUP($A23,tropes!$A$4:$O$2428,3,FALSE)</f>
        <v>alien</v>
      </c>
      <c r="D23" s="5" t="str">
        <f>VLOOKUP($A23,tropes!$A$4:$O$2428,4,FALSE)</f>
        <v>energy_beings</v>
      </c>
      <c r="E23" s="5" t="str">
        <f>VLOOKUP($A23,tropes!$A$4:$O$2428,5,FALSE)</f>
        <v>The Organians have advanced past their petty problems.</v>
      </c>
      <c r="F23" s="5">
        <f>VLOOKUP($A23,tropes!$A$4:$O$2428,6,FALSE)</f>
        <v>0</v>
      </c>
      <c r="G23" s="5">
        <f>VLOOKUP($A23,tropes!$A$4:$O$2428,7,FALSE)</f>
        <v>0</v>
      </c>
      <c r="H23" s="5">
        <f>VLOOKUP($A23,tropes!$A$4:$O$2428,8,FALSE)</f>
        <v>0</v>
      </c>
      <c r="I23" s="5">
        <f>VLOOKUP($A23,tropes!$A$4:$O$2428,9,FALSE)</f>
        <v>126</v>
      </c>
      <c r="J23" s="5">
        <f>VLOOKUP($A23,tropes!$A$4:$O$2428,10,FALSE)</f>
        <v>27</v>
      </c>
      <c r="K23" s="5" t="str">
        <f>VLOOKUP($A23,tropes!$A$4:$O$2428,11,FALSE)</f>
        <v>Errand of Mercy</v>
      </c>
      <c r="L23" s="5">
        <f>VLOOKUP($A23,tropes!$A$4:$O$2428,12,FALSE)</f>
        <v>1</v>
      </c>
      <c r="M23" s="5">
        <f>VLOOKUP($A23,tropes!$A$4:$O$2428,13,FALSE)</f>
        <v>26</v>
      </c>
      <c r="N23" s="5">
        <f t="shared" si="0"/>
        <v>3</v>
      </c>
    </row>
    <row r="24" spans="1:14" x14ac:dyDescent="0.3">
      <c r="A24" s="14">
        <v>31</v>
      </c>
      <c r="B24" s="5" t="str">
        <f>VLOOKUP($A24,tropes!$A$4:$O$2428,2,FALSE)</f>
        <v>Ruins For Ruins Sake</v>
      </c>
      <c r="C24" s="5" t="str">
        <f>VLOOKUP($A24,tropes!$A$4:$O$2428,3,FALSE)</f>
        <v>alien</v>
      </c>
      <c r="D24" s="5" t="str">
        <f>VLOOKUP($A24,tropes!$A$4:$O$2428,4,FALSE)</f>
        <v>no_more</v>
      </c>
      <c r="E24" s="5" t="str">
        <f>VLOOKUP($A24,tropes!$A$4:$O$2428,5,FALSE)</f>
        <v>Ancient ruins with only the guardian intact.</v>
      </c>
      <c r="F24" s="5">
        <f>VLOOKUP($A24,tropes!$A$4:$O$2428,6,FALSE)</f>
        <v>0</v>
      </c>
      <c r="G24" s="5">
        <f>VLOOKUP($A24,tropes!$A$4:$O$2428,7,FALSE)</f>
        <v>0</v>
      </c>
      <c r="H24" s="5">
        <f>VLOOKUP($A24,tropes!$A$4:$O$2428,8,FALSE)</f>
        <v>0</v>
      </c>
      <c r="I24" s="5">
        <f>VLOOKUP($A24,tropes!$A$4:$O$2428,9,FALSE)</f>
        <v>128</v>
      </c>
      <c r="J24" s="5">
        <f>VLOOKUP($A24,tropes!$A$4:$O$2428,10,FALSE)</f>
        <v>29</v>
      </c>
      <c r="K24" s="5" t="str">
        <f>VLOOKUP($A24,tropes!$A$4:$O$2428,11,FALSE)</f>
        <v>The City on the Edge of Forever</v>
      </c>
      <c r="L24" s="5">
        <f>VLOOKUP($A24,tropes!$A$4:$O$2428,12,FALSE)</f>
        <v>1</v>
      </c>
      <c r="M24" s="5">
        <f>VLOOKUP($A24,tropes!$A$4:$O$2428,13,FALSE)</f>
        <v>28</v>
      </c>
      <c r="N24" s="5">
        <f t="shared" si="0"/>
        <v>0</v>
      </c>
    </row>
    <row r="25" spans="1:14" x14ac:dyDescent="0.3">
      <c r="A25" s="14">
        <v>33</v>
      </c>
      <c r="B25" s="5" t="str">
        <f>VLOOKUP($A25,tropes!$A$4:$O$2428,2,FALSE)</f>
        <v>Little Green Man In A Can</v>
      </c>
      <c r="C25" s="5" t="str">
        <f>VLOOKUP($A25,tropes!$A$4:$O$2428,3,FALSE)</f>
        <v>alien</v>
      </c>
      <c r="D25" s="5" t="str">
        <f>VLOOKUP($A25,tropes!$A$4:$O$2428,4,FALSE)</f>
        <v>non-humanoid</v>
      </c>
      <c r="E25" s="5" t="str">
        <f>VLOOKUP($A25,tropes!$A$4:$O$2428,5,FALSE)</f>
        <v>Small flying parasites are each single celled organisms.</v>
      </c>
      <c r="F25" s="5">
        <f>VLOOKUP($A25,tropes!$A$4:$O$2428,6,FALSE)</f>
        <v>0</v>
      </c>
      <c r="G25" s="5">
        <f>VLOOKUP($A25,tropes!$A$4:$O$2428,7,FALSE)</f>
        <v>0</v>
      </c>
      <c r="H25" s="5">
        <f>VLOOKUP($A25,tropes!$A$4:$O$2428,8,FALSE)</f>
        <v>0</v>
      </c>
      <c r="I25" s="5">
        <f>VLOOKUP($A25,tropes!$A$4:$O$2428,9,FALSE)</f>
        <v>129</v>
      </c>
      <c r="J25" s="5">
        <f>VLOOKUP($A25,tropes!$A$4:$O$2428,10,FALSE)</f>
        <v>30</v>
      </c>
      <c r="K25" s="5" t="str">
        <f>VLOOKUP($A25,tropes!$A$4:$O$2428,11,FALSE)</f>
        <v>Operation: Annihilate!</v>
      </c>
      <c r="L25" s="5">
        <f>VLOOKUP($A25,tropes!$A$4:$O$2428,12,FALSE)</f>
        <v>1</v>
      </c>
      <c r="M25" s="5">
        <f>VLOOKUP($A25,tropes!$A$4:$O$2428,13,FALSE)</f>
        <v>29</v>
      </c>
      <c r="N25" s="5">
        <f t="shared" si="0"/>
        <v>0</v>
      </c>
    </row>
    <row r="26" spans="1:14" x14ac:dyDescent="0.3">
      <c r="A26" s="14">
        <v>34</v>
      </c>
      <c r="B26" s="5" t="str">
        <f>VLOOKUP($A26,tropes!$A$4:$O$2428,2,FALSE)</f>
        <v>A God I Am</v>
      </c>
      <c r="C26" s="5" t="str">
        <f>VLOOKUP($A26,tropes!$A$4:$O$2428,3,FALSE)</f>
        <v>alien</v>
      </c>
      <c r="D26" s="5" t="str">
        <f>VLOOKUP($A26,tropes!$A$4:$O$2428,4,FALSE)</f>
        <v>power_absolute</v>
      </c>
      <c r="E26" s="5" t="str">
        <f>VLOOKUP($A26,tropes!$A$4:$O$2428,5,FALSE)</f>
        <v>Apollo wants the glory that was his when he reined over ancient Greece.</v>
      </c>
      <c r="F26" s="5">
        <f>VLOOKUP($A26,tropes!$A$4:$O$2428,6,FALSE)</f>
        <v>0</v>
      </c>
      <c r="G26" s="5">
        <f>VLOOKUP($A26,tropes!$A$4:$O$2428,7,FALSE)</f>
        <v>0</v>
      </c>
      <c r="H26" s="5">
        <f>VLOOKUP($A26,tropes!$A$4:$O$2428,8,FALSE)</f>
        <v>0</v>
      </c>
      <c r="I26" s="5">
        <f>VLOOKUP($A26,tropes!$A$4:$O$2428,9,FALSE)</f>
        <v>202</v>
      </c>
      <c r="J26" s="5">
        <f>VLOOKUP($A26,tropes!$A$4:$O$2428,10,FALSE)</f>
        <v>32</v>
      </c>
      <c r="K26" s="5" t="str">
        <f>VLOOKUP($A26,tropes!$A$4:$O$2428,11,FALSE)</f>
        <v>Who Mourns for Adonais?</v>
      </c>
      <c r="L26" s="5">
        <f>VLOOKUP($A26,tropes!$A$4:$O$2428,12,FALSE)</f>
        <v>2</v>
      </c>
      <c r="M26" s="5">
        <f>VLOOKUP($A26,tropes!$A$4:$O$2428,13,FALSE)</f>
        <v>2</v>
      </c>
      <c r="N26" s="5">
        <f t="shared" si="0"/>
        <v>0</v>
      </c>
    </row>
    <row r="27" spans="1:14" x14ac:dyDescent="0.3">
      <c r="A27" s="14">
        <v>40</v>
      </c>
      <c r="B27" s="5" t="str">
        <f>VLOOKUP($A27,tropes!$A$4:$O$2428,2,FALSE)</f>
        <v>Planet of Hats</v>
      </c>
      <c r="C27" s="5" t="str">
        <f>VLOOKUP($A27,tropes!$A$4:$O$2428,3,FALSE)</f>
        <v>alien</v>
      </c>
      <c r="D27" s="5" t="str">
        <f>VLOOKUP($A27,tropes!$A$4:$O$2428,4,FALSE)</f>
        <v>culture</v>
      </c>
      <c r="E27" s="5" t="str">
        <f>VLOOKUP($A27,tropes!$A$4:$O$2428,5,FALSE)</f>
        <v>The entire race of Halkans would die before they let their dilithium crystals harm one life. They are the same in both universes. So why aren't they mirror images of each other?</v>
      </c>
      <c r="F27" s="5">
        <f>VLOOKUP($A27,tropes!$A$4:$O$2428,6,FALSE)</f>
        <v>0</v>
      </c>
      <c r="G27" s="5">
        <f>VLOOKUP($A27,tropes!$A$4:$O$2428,7,FALSE)</f>
        <v>0</v>
      </c>
      <c r="H27" s="5">
        <f>VLOOKUP($A27,tropes!$A$4:$O$2428,8,FALSE)</f>
        <v>0</v>
      </c>
      <c r="I27" s="5">
        <f>VLOOKUP($A27,tropes!$A$4:$O$2428,9,FALSE)</f>
        <v>204</v>
      </c>
      <c r="J27" s="5">
        <f>VLOOKUP($A27,tropes!$A$4:$O$2428,10,FALSE)</f>
        <v>34</v>
      </c>
      <c r="K27" s="5" t="str">
        <f>VLOOKUP($A27,tropes!$A$4:$O$2428,11,FALSE)</f>
        <v>Mirror, Mirror</v>
      </c>
      <c r="L27" s="5">
        <f>VLOOKUP($A27,tropes!$A$4:$O$2428,12,FALSE)</f>
        <v>2</v>
      </c>
      <c r="M27" s="5">
        <f>VLOOKUP($A27,tropes!$A$4:$O$2428,13,FALSE)</f>
        <v>4</v>
      </c>
      <c r="N27" s="5">
        <f t="shared" si="0"/>
        <v>0</v>
      </c>
    </row>
    <row r="28" spans="1:14" x14ac:dyDescent="0.3">
      <c r="A28" s="14">
        <v>44</v>
      </c>
      <c r="B28" s="5" t="str">
        <f>VLOOKUP($A28,tropes!$A$4:$O$2428,2,FALSE)</f>
        <v>Sufficiently Advanced Aliens</v>
      </c>
      <c r="C28" s="5" t="str">
        <f>VLOOKUP($A28,tropes!$A$4:$O$2428,3,FALSE)</f>
        <v>alien</v>
      </c>
      <c r="D28" s="5" t="str">
        <f>VLOOKUP($A28,tropes!$A$4:$O$2428,4,FALSE)</f>
        <v>non-humanoid</v>
      </c>
      <c r="E28" s="5" t="str">
        <f>VLOOKUP($A28,tropes!$A$4:$O$2428,5,FALSE)</f>
        <v>Korob and Sylvia command great technological power.</v>
      </c>
      <c r="F28" s="5">
        <f>VLOOKUP($A28,tropes!$A$4:$O$2428,6,FALSE)</f>
        <v>0</v>
      </c>
      <c r="G28" s="5">
        <f>VLOOKUP($A28,tropes!$A$4:$O$2428,7,FALSE)</f>
        <v>0</v>
      </c>
      <c r="H28" s="5">
        <f>VLOOKUP($A28,tropes!$A$4:$O$2428,8,FALSE)</f>
        <v>0</v>
      </c>
      <c r="I28" s="5">
        <f>VLOOKUP($A28,tropes!$A$4:$O$2428,9,FALSE)</f>
        <v>207</v>
      </c>
      <c r="J28" s="5">
        <f>VLOOKUP($A28,tropes!$A$4:$O$2428,10,FALSE)</f>
        <v>37</v>
      </c>
      <c r="K28" s="5" t="str">
        <f>VLOOKUP($A28,tropes!$A$4:$O$2428,11,FALSE)</f>
        <v>Catspaw</v>
      </c>
      <c r="L28" s="5">
        <f>VLOOKUP($A28,tropes!$A$4:$O$2428,12,FALSE)</f>
        <v>2</v>
      </c>
      <c r="M28" s="5">
        <f>VLOOKUP($A28,tropes!$A$4:$O$2428,13,FALSE)</f>
        <v>7</v>
      </c>
      <c r="N28" s="5">
        <f t="shared" si="0"/>
        <v>0</v>
      </c>
    </row>
    <row r="29" spans="1:14" x14ac:dyDescent="0.3">
      <c r="A29" s="14">
        <v>45</v>
      </c>
      <c r="B29" s="5" t="str">
        <f>VLOOKUP($A29,tropes!$A$4:$O$2428,2,FALSE)</f>
        <v>Energy Beings</v>
      </c>
      <c r="C29" s="5" t="str">
        <f>VLOOKUP($A29,tropes!$A$4:$O$2428,3,FALSE)</f>
        <v>alien</v>
      </c>
      <c r="D29" s="5" t="str">
        <f>VLOOKUP($A29,tropes!$A$4:$O$2428,4,FALSE)</f>
        <v>energy_beings</v>
      </c>
      <c r="E29" s="5" t="str">
        <f>VLOOKUP($A29,tropes!$A$4:$O$2428,5,FALSE)</f>
        <v>The Companion is an energy being</v>
      </c>
      <c r="F29" s="5">
        <f>VLOOKUP($A29,tropes!$A$4:$O$2428,6,FALSE)</f>
        <v>0</v>
      </c>
      <c r="G29" s="5">
        <f>VLOOKUP($A29,tropes!$A$4:$O$2428,7,FALSE)</f>
        <v>0</v>
      </c>
      <c r="H29" s="5">
        <f>VLOOKUP($A29,tropes!$A$4:$O$2428,8,FALSE)</f>
        <v>0</v>
      </c>
      <c r="I29" s="5">
        <f>VLOOKUP($A29,tropes!$A$4:$O$2428,9,FALSE)</f>
        <v>209</v>
      </c>
      <c r="J29" s="5">
        <f>VLOOKUP($A29,tropes!$A$4:$O$2428,10,FALSE)</f>
        <v>39</v>
      </c>
      <c r="K29" s="5" t="str">
        <f>VLOOKUP($A29,tropes!$A$4:$O$2428,11,FALSE)</f>
        <v>Metamorphosis</v>
      </c>
      <c r="L29" s="5">
        <f>VLOOKUP($A29,tropes!$A$4:$O$2428,12,FALSE)</f>
        <v>2</v>
      </c>
      <c r="M29" s="5">
        <f>VLOOKUP($A29,tropes!$A$4:$O$2428,13,FALSE)</f>
        <v>9</v>
      </c>
      <c r="N29" s="5">
        <f t="shared" si="0"/>
        <v>0</v>
      </c>
    </row>
    <row r="30" spans="1:14" x14ac:dyDescent="0.3">
      <c r="A30" s="14">
        <v>46</v>
      </c>
      <c r="B30" s="5" t="str">
        <f>VLOOKUP($A30,tropes!$A$4:$O$2428,2,FALSE)</f>
        <v>Energy Beings</v>
      </c>
      <c r="C30" s="5" t="str">
        <f>VLOOKUP($A30,tropes!$A$4:$O$2428,3,FALSE)</f>
        <v>alien</v>
      </c>
      <c r="D30" s="5" t="str">
        <f>VLOOKUP($A30,tropes!$A$4:$O$2428,4,FALSE)</f>
        <v>energy_beings</v>
      </c>
      <c r="E30" s="5" t="str">
        <f>VLOOKUP($A30,tropes!$A$4:$O$2428,5,FALSE)</f>
        <v>The Companions is a collection of gases and energy</v>
      </c>
      <c r="F30" s="5">
        <f>VLOOKUP($A30,tropes!$A$4:$O$2428,6,FALSE)</f>
        <v>0</v>
      </c>
      <c r="G30" s="5">
        <f>VLOOKUP($A30,tropes!$A$4:$O$2428,7,FALSE)</f>
        <v>0</v>
      </c>
      <c r="H30" s="5">
        <f>VLOOKUP($A30,tropes!$A$4:$O$2428,8,FALSE)</f>
        <v>0</v>
      </c>
      <c r="I30" s="5">
        <f>VLOOKUP($A30,tropes!$A$4:$O$2428,9,FALSE)</f>
        <v>209</v>
      </c>
      <c r="J30" s="5">
        <f>VLOOKUP($A30,tropes!$A$4:$O$2428,10,FALSE)</f>
        <v>39</v>
      </c>
      <c r="K30" s="5" t="str">
        <f>VLOOKUP($A30,tropes!$A$4:$O$2428,11,FALSE)</f>
        <v>Metamorphosis</v>
      </c>
      <c r="L30" s="5">
        <f>VLOOKUP($A30,tropes!$A$4:$O$2428,12,FALSE)</f>
        <v>2</v>
      </c>
      <c r="M30" s="5">
        <f>VLOOKUP($A30,tropes!$A$4:$O$2428,13,FALSE)</f>
        <v>9</v>
      </c>
      <c r="N30" s="5">
        <f t="shared" si="0"/>
        <v>1</v>
      </c>
    </row>
    <row r="31" spans="1:14" x14ac:dyDescent="0.3">
      <c r="A31" s="14">
        <v>54</v>
      </c>
      <c r="B31" s="5" t="str">
        <f>VLOOKUP($A31,tropes!$A$4:$O$2428,2,FALSE)</f>
        <v>Put On The Bus</v>
      </c>
      <c r="C31" s="5" t="str">
        <f>VLOOKUP($A31,tropes!$A$4:$O$2428,3,FALSE)</f>
        <v>alien</v>
      </c>
      <c r="D31" s="5" t="str">
        <f>VLOOKUP($A31,tropes!$A$4:$O$2428,4,FALSE)</f>
        <v>gone</v>
      </c>
      <c r="E31" s="5" t="str">
        <f>VLOOKUP($A31,tropes!$A$4:$O$2428,5,FALSE)</f>
        <v>Andorians said to be important members of the Federation have little or nothing to do.</v>
      </c>
      <c r="F31" s="5">
        <f>VLOOKUP($A31,tropes!$A$4:$O$2428,6,FALSE)</f>
        <v>0</v>
      </c>
      <c r="G31" s="5">
        <f>VLOOKUP($A31,tropes!$A$4:$O$2428,7,FALSE)</f>
        <v>0</v>
      </c>
      <c r="H31" s="5">
        <f>VLOOKUP($A31,tropes!$A$4:$O$2428,8,FALSE)</f>
        <v>0</v>
      </c>
      <c r="I31" s="5">
        <f>VLOOKUP($A31,tropes!$A$4:$O$2428,9,FALSE)</f>
        <v>210</v>
      </c>
      <c r="J31" s="5">
        <f>VLOOKUP($A31,tropes!$A$4:$O$2428,10,FALSE)</f>
        <v>40</v>
      </c>
      <c r="K31" s="5" t="str">
        <f>VLOOKUP($A31,tropes!$A$4:$O$2428,11,FALSE)</f>
        <v>Journey to Babel</v>
      </c>
      <c r="L31" s="5">
        <f>VLOOKUP($A31,tropes!$A$4:$O$2428,12,FALSE)</f>
        <v>2</v>
      </c>
      <c r="M31" s="5">
        <f>VLOOKUP($A31,tropes!$A$4:$O$2428,13,FALSE)</f>
        <v>10</v>
      </c>
      <c r="N31" s="5">
        <f t="shared" si="0"/>
        <v>0</v>
      </c>
    </row>
    <row r="32" spans="1:14" x14ac:dyDescent="0.3">
      <c r="A32" s="14">
        <v>53</v>
      </c>
      <c r="B32" s="5" t="str">
        <f>VLOOKUP($A32,tropes!$A$4:$O$2428,2,FALSE)</f>
        <v>Put On The Bus</v>
      </c>
      <c r="C32" s="5" t="str">
        <f>VLOOKUP($A32,tropes!$A$4:$O$2428,3,FALSE)</f>
        <v>alien</v>
      </c>
      <c r="D32" s="5" t="str">
        <f>VLOOKUP($A32,tropes!$A$4:$O$2428,4,FALSE)</f>
        <v>gone</v>
      </c>
      <c r="E32" s="5" t="str">
        <f>VLOOKUP($A32,tropes!$A$4:$O$2428,5,FALSE)</f>
        <v>Tellurites said to be important members of the Federation have little or nothing to do.</v>
      </c>
      <c r="F32" s="5">
        <f>VLOOKUP($A32,tropes!$A$4:$O$2428,6,FALSE)</f>
        <v>0</v>
      </c>
      <c r="G32" s="5">
        <f>VLOOKUP($A32,tropes!$A$4:$O$2428,7,FALSE)</f>
        <v>0</v>
      </c>
      <c r="H32" s="5">
        <f>VLOOKUP($A32,tropes!$A$4:$O$2428,8,FALSE)</f>
        <v>0</v>
      </c>
      <c r="I32" s="5">
        <f>VLOOKUP($A32,tropes!$A$4:$O$2428,9,FALSE)</f>
        <v>210</v>
      </c>
      <c r="J32" s="5">
        <f>VLOOKUP($A32,tropes!$A$4:$O$2428,10,FALSE)</f>
        <v>40</v>
      </c>
      <c r="K32" s="5" t="str">
        <f>VLOOKUP($A32,tropes!$A$4:$O$2428,11,FALSE)</f>
        <v>Journey to Babel</v>
      </c>
      <c r="L32" s="5">
        <f>VLOOKUP($A32,tropes!$A$4:$O$2428,12,FALSE)</f>
        <v>2</v>
      </c>
      <c r="M32" s="5">
        <f>VLOOKUP($A32,tropes!$A$4:$O$2428,13,FALSE)</f>
        <v>10</v>
      </c>
      <c r="N32" s="5">
        <f t="shared" si="0"/>
        <v>1</v>
      </c>
    </row>
    <row r="33" spans="1:14" x14ac:dyDescent="0.3">
      <c r="A33" s="14">
        <v>61</v>
      </c>
      <c r="B33" s="5" t="str">
        <f>VLOOKUP($A33,tropes!$A$4:$O$2428,2,FALSE)</f>
        <v>Two Of Your Earth Minutes</v>
      </c>
      <c r="C33" s="5" t="str">
        <f>VLOOKUP($A33,tropes!$A$4:$O$2428,3,FALSE)</f>
        <v>alien</v>
      </c>
      <c r="D33" s="5" t="str">
        <f>VLOOKUP($A33,tropes!$A$4:$O$2428,4,FALSE)</f>
        <v>culture</v>
      </c>
      <c r="E33" s="5" t="str">
        <f>VLOOKUP($A33,tropes!$A$4:$O$2428,5,FALSE)</f>
        <v>McCoy: Isn't it unusual for a Vulcan to retire at your age? After all, you're only a hundred and two. | Sarek: One hundred two point four three seven precisely, Doctor, measured in your years. I had other concerns.</v>
      </c>
      <c r="F33" s="5">
        <f>VLOOKUP($A33,tropes!$A$4:$O$2428,6,FALSE)</f>
        <v>0</v>
      </c>
      <c r="G33" s="5">
        <f>VLOOKUP($A33,tropes!$A$4:$O$2428,7,FALSE)</f>
        <v>0</v>
      </c>
      <c r="H33" s="5">
        <f>VLOOKUP($A33,tropes!$A$4:$O$2428,8,FALSE)</f>
        <v>0</v>
      </c>
      <c r="I33" s="5">
        <f>VLOOKUP($A33,tropes!$A$4:$O$2428,9,FALSE)</f>
        <v>210</v>
      </c>
      <c r="J33" s="5">
        <f>VLOOKUP($A33,tropes!$A$4:$O$2428,10,FALSE)</f>
        <v>40</v>
      </c>
      <c r="K33" s="5" t="str">
        <f>VLOOKUP($A33,tropes!$A$4:$O$2428,11,FALSE)</f>
        <v>Journey to Babel</v>
      </c>
      <c r="L33" s="5">
        <f>VLOOKUP($A33,tropes!$A$4:$O$2428,12,FALSE)</f>
        <v>2</v>
      </c>
      <c r="M33" s="5">
        <f>VLOOKUP($A33,tropes!$A$4:$O$2428,13,FALSE)</f>
        <v>10</v>
      </c>
      <c r="N33" s="5">
        <f t="shared" si="0"/>
        <v>2</v>
      </c>
    </row>
    <row r="34" spans="1:14" x14ac:dyDescent="0.3">
      <c r="A34" s="14">
        <v>62</v>
      </c>
      <c r="B34" s="5" t="str">
        <f>VLOOKUP($A34,tropes!$A$4:$O$2428,2,FALSE)</f>
        <v>Little Green Man In A Can</v>
      </c>
      <c r="C34" s="5" t="str">
        <f>VLOOKUP($A34,tropes!$A$4:$O$2428,3,FALSE)</f>
        <v>alien</v>
      </c>
      <c r="D34" s="5" t="str">
        <f>VLOOKUP($A34,tropes!$A$4:$O$2428,4,FALSE)</f>
        <v>non-humanoid</v>
      </c>
      <c r="E34" s="5" t="str">
        <f>VLOOKUP($A34,tropes!$A$4:$O$2428,5,FALSE)</f>
        <v>The Providers are literally 'brains in a jar'.</v>
      </c>
      <c r="F34" s="5">
        <f>VLOOKUP($A34,tropes!$A$4:$O$2428,6,FALSE)</f>
        <v>0</v>
      </c>
      <c r="G34" s="5">
        <f>VLOOKUP($A34,tropes!$A$4:$O$2428,7,FALSE)</f>
        <v>0</v>
      </c>
      <c r="H34" s="5">
        <f>VLOOKUP($A34,tropes!$A$4:$O$2428,8,FALSE)</f>
        <v>0</v>
      </c>
      <c r="I34" s="5">
        <f>VLOOKUP($A34,tropes!$A$4:$O$2428,9,FALSE)</f>
        <v>216</v>
      </c>
      <c r="J34" s="5">
        <f>VLOOKUP($A34,tropes!$A$4:$O$2428,10,FALSE)</f>
        <v>46</v>
      </c>
      <c r="K34" s="5" t="str">
        <f>VLOOKUP($A34,tropes!$A$4:$O$2428,11,FALSE)</f>
        <v>The Gamesters of Triskelion</v>
      </c>
      <c r="L34" s="5">
        <f>VLOOKUP($A34,tropes!$A$4:$O$2428,12,FALSE)</f>
        <v>2</v>
      </c>
      <c r="M34" s="5">
        <f>VLOOKUP($A34,tropes!$A$4:$O$2428,13,FALSE)</f>
        <v>16</v>
      </c>
      <c r="N34" s="5">
        <f t="shared" si="0"/>
        <v>0</v>
      </c>
    </row>
    <row r="35" spans="1:14" x14ac:dyDescent="0.3">
      <c r="A35" s="14">
        <v>63</v>
      </c>
      <c r="B35" s="5" t="str">
        <f>VLOOKUP($A35,tropes!$A$4:$O$2428,2,FALSE)</f>
        <v>Put On The Bus</v>
      </c>
      <c r="C35" s="5" t="str">
        <f>VLOOKUP($A35,tropes!$A$4:$O$2428,3,FALSE)</f>
        <v>alien</v>
      </c>
      <c r="D35" s="5" t="str">
        <f>VLOOKUP($A35,tropes!$A$4:$O$2428,4,FALSE)</f>
        <v>gone</v>
      </c>
      <c r="E35" s="5" t="str">
        <f>VLOOKUP($A35,tropes!$A$4:$O$2428,5,FALSE)</f>
        <v>One of the slaves of Triskelion.</v>
      </c>
      <c r="F35" s="5">
        <f>VLOOKUP($A35,tropes!$A$4:$O$2428,6,FALSE)</f>
        <v>0</v>
      </c>
      <c r="G35" s="5">
        <f>VLOOKUP($A35,tropes!$A$4:$O$2428,7,FALSE)</f>
        <v>0</v>
      </c>
      <c r="H35" s="5">
        <f>VLOOKUP($A35,tropes!$A$4:$O$2428,8,FALSE)</f>
        <v>0</v>
      </c>
      <c r="I35" s="5">
        <f>VLOOKUP($A35,tropes!$A$4:$O$2428,9,FALSE)</f>
        <v>216</v>
      </c>
      <c r="J35" s="5">
        <f>VLOOKUP($A35,tropes!$A$4:$O$2428,10,FALSE)</f>
        <v>46</v>
      </c>
      <c r="K35" s="5" t="str">
        <f>VLOOKUP($A35,tropes!$A$4:$O$2428,11,FALSE)</f>
        <v>The Gamesters of Triskelion</v>
      </c>
      <c r="L35" s="5">
        <f>VLOOKUP($A35,tropes!$A$4:$O$2428,12,FALSE)</f>
        <v>2</v>
      </c>
      <c r="M35" s="5">
        <f>VLOOKUP($A35,tropes!$A$4:$O$2428,13,FALSE)</f>
        <v>16</v>
      </c>
      <c r="N35" s="5">
        <f t="shared" si="0"/>
        <v>1</v>
      </c>
    </row>
    <row r="36" spans="1:14" x14ac:dyDescent="0.3">
      <c r="A36" s="14">
        <v>375</v>
      </c>
      <c r="B36" s="5" t="str">
        <f>VLOOKUP($A36,tropes!$A$4:$O$2428,2,FALSE)</f>
        <v>gang of hats</v>
      </c>
      <c r="C36" s="5" t="str">
        <f>VLOOKUP($A36,tropes!$A$4:$O$2428,3,FALSE)</f>
        <v>alien</v>
      </c>
      <c r="D36" s="5" t="str">
        <f>VLOOKUP($A36,tropes!$A$4:$O$2428,4,FALSE)</f>
        <v>culture</v>
      </c>
      <c r="E36" s="5" t="str">
        <f>VLOOKUP($A36,tropes!$A$4:$O$2428,5,FALSE)</f>
        <v>Oxmyxs gang all wear fedoras, Krako's gang all wear boaters, Mirt's gang all wear bowlers.</v>
      </c>
      <c r="F36" s="5">
        <f>VLOOKUP($A36,tropes!$A$4:$O$2428,6,FALSE)</f>
        <v>0</v>
      </c>
      <c r="G36" s="5">
        <f>VLOOKUP($A36,tropes!$A$4:$O$2428,7,FALSE)</f>
        <v>0</v>
      </c>
      <c r="H36" s="5">
        <f>VLOOKUP($A36,tropes!$A$4:$O$2428,8,FALSE)</f>
        <v>0</v>
      </c>
      <c r="I36" s="5">
        <f>VLOOKUP($A36,tropes!$A$4:$O$2428,9,FALSE)</f>
        <v>217</v>
      </c>
      <c r="J36" s="5">
        <f>VLOOKUP($A36,tropes!$A$4:$O$2428,10,FALSE)</f>
        <v>47</v>
      </c>
      <c r="K36" s="5" t="str">
        <f>VLOOKUP($A36,tropes!$A$4:$O$2428,11,FALSE)</f>
        <v>A Piece of the Action</v>
      </c>
      <c r="L36" s="5">
        <f>VLOOKUP($A36,tropes!$A$4:$O$2428,12,FALSE)</f>
        <v>2</v>
      </c>
      <c r="M36" s="5">
        <f>VLOOKUP($A36,tropes!$A$4:$O$2428,13,FALSE)</f>
        <v>17</v>
      </c>
      <c r="N36" s="5">
        <f t="shared" si="0"/>
        <v>0</v>
      </c>
    </row>
    <row r="37" spans="1:14" x14ac:dyDescent="0.3">
      <c r="A37" s="14">
        <v>64</v>
      </c>
      <c r="B37" s="5" t="str">
        <f>VLOOKUP($A37,tropes!$A$4:$O$2428,2,FALSE)</f>
        <v>Planet of Hats</v>
      </c>
      <c r="C37" s="5" t="str">
        <f>VLOOKUP($A37,tropes!$A$4:$O$2428,3,FALSE)</f>
        <v>alien</v>
      </c>
      <c r="D37" s="5" t="str">
        <f>VLOOKUP($A37,tropes!$A$4:$O$2428,4,FALSE)</f>
        <v>culture</v>
      </c>
      <c r="E37" s="5" t="str">
        <f>VLOOKUP($A37,tropes!$A$4:$O$2428,5,FALSE)</f>
        <v>A single cultural world: gangsters.</v>
      </c>
      <c r="F37" s="5">
        <f>VLOOKUP($A37,tropes!$A$4:$O$2428,6,FALSE)</f>
        <v>0</v>
      </c>
      <c r="G37" s="5">
        <f>VLOOKUP($A37,tropes!$A$4:$O$2428,7,FALSE)</f>
        <v>0</v>
      </c>
      <c r="H37" s="5">
        <f>VLOOKUP($A37,tropes!$A$4:$O$2428,8,FALSE)</f>
        <v>0</v>
      </c>
      <c r="I37" s="5">
        <f>VLOOKUP($A37,tropes!$A$4:$O$2428,9,FALSE)</f>
        <v>217</v>
      </c>
      <c r="J37" s="5">
        <f>VLOOKUP($A37,tropes!$A$4:$O$2428,10,FALSE)</f>
        <v>47</v>
      </c>
      <c r="K37" s="5" t="str">
        <f>VLOOKUP($A37,tropes!$A$4:$O$2428,11,FALSE)</f>
        <v>A Piece of the Action</v>
      </c>
      <c r="L37" s="5">
        <f>VLOOKUP($A37,tropes!$A$4:$O$2428,12,FALSE)</f>
        <v>2</v>
      </c>
      <c r="M37" s="5">
        <f>VLOOKUP($A37,tropes!$A$4:$O$2428,13,FALSE)</f>
        <v>17</v>
      </c>
      <c r="N37" s="5">
        <f t="shared" si="0"/>
        <v>1</v>
      </c>
    </row>
    <row r="38" spans="1:14" x14ac:dyDescent="0.3">
      <c r="A38" s="14">
        <v>66</v>
      </c>
      <c r="B38" s="5" t="str">
        <f>VLOOKUP($A38,tropes!$A$4:$O$2428,2,FALSE)</f>
        <v>A God I Am</v>
      </c>
      <c r="C38" s="5" t="str">
        <f>VLOOKUP($A38,tropes!$A$4:$O$2428,3,FALSE)</f>
        <v>alien</v>
      </c>
      <c r="D38" s="5" t="str">
        <f>VLOOKUP($A38,tropes!$A$4:$O$2428,4,FALSE)</f>
        <v>power_absolute</v>
      </c>
      <c r="E38" s="5" t="str">
        <f>VLOOKUP($A38,tropes!$A$4:$O$2428,5,FALSE)</f>
        <v>Sargon: Our civilization destroyed itself when it became so advanced and arrogant that we dared think of ourselves as gods .</v>
      </c>
      <c r="F38" s="5">
        <f>VLOOKUP($A38,tropes!$A$4:$O$2428,6,FALSE)</f>
        <v>0</v>
      </c>
      <c r="G38" s="5">
        <f>VLOOKUP($A38,tropes!$A$4:$O$2428,7,FALSE)</f>
        <v>0</v>
      </c>
      <c r="H38" s="5">
        <f>VLOOKUP($A38,tropes!$A$4:$O$2428,8,FALSE)</f>
        <v>0</v>
      </c>
      <c r="I38" s="5">
        <f>VLOOKUP($A38,tropes!$A$4:$O$2428,9,FALSE)</f>
        <v>220</v>
      </c>
      <c r="J38" s="5">
        <f>VLOOKUP($A38,tropes!$A$4:$O$2428,10,FALSE)</f>
        <v>50</v>
      </c>
      <c r="K38" s="5" t="str">
        <f>VLOOKUP($A38,tropes!$A$4:$O$2428,11,FALSE)</f>
        <v>Return to Tomorrow</v>
      </c>
      <c r="L38" s="5">
        <f>VLOOKUP($A38,tropes!$A$4:$O$2428,12,FALSE)</f>
        <v>2</v>
      </c>
      <c r="M38" s="5">
        <f>VLOOKUP($A38,tropes!$A$4:$O$2428,13,FALSE)</f>
        <v>20</v>
      </c>
      <c r="N38" s="5">
        <f t="shared" si="0"/>
        <v>0</v>
      </c>
    </row>
    <row r="39" spans="1:14" x14ac:dyDescent="0.3">
      <c r="A39" s="14">
        <v>67</v>
      </c>
      <c r="B39" s="5" t="str">
        <f>VLOOKUP($A39,tropes!$A$4:$O$2428,2,FALSE)</f>
        <v>Two Of Your Earth Minutes</v>
      </c>
      <c r="C39" s="5" t="str">
        <f>VLOOKUP($A39,tropes!$A$4:$O$2428,3,FALSE)</f>
        <v>alien</v>
      </c>
      <c r="D39" s="5" t="str">
        <f>VLOOKUP($A39,tropes!$A$4:$O$2428,4,FALSE)</f>
        <v>culture</v>
      </c>
      <c r="E39" s="5" t="str">
        <f>VLOOKUP($A39,tropes!$A$4:$O$2428,5,FALSE)</f>
        <v>We give you one of your hours. If you do not surrender your ship at the end of that time, your destruction is certain.</v>
      </c>
      <c r="F39" s="5">
        <f>VLOOKUP($A39,tropes!$A$4:$O$2428,6,FALSE)</f>
        <v>0</v>
      </c>
      <c r="G39" s="5">
        <f>VLOOKUP($A39,tropes!$A$4:$O$2428,7,FALSE)</f>
        <v>0</v>
      </c>
      <c r="H39" s="5">
        <f>VLOOKUP($A39,tropes!$A$4:$O$2428,8,FALSE)</f>
        <v>0</v>
      </c>
      <c r="I39" s="5">
        <f>VLOOKUP($A39,tropes!$A$4:$O$2428,9,FALSE)</f>
        <v>302</v>
      </c>
      <c r="J39" s="5">
        <f>VLOOKUP($A39,tropes!$A$4:$O$2428,10,FALSE)</f>
        <v>58</v>
      </c>
      <c r="K39" s="5" t="str">
        <f>VLOOKUP($A39,tropes!$A$4:$O$2428,11,FALSE)</f>
        <v>The Enterprise Incident</v>
      </c>
      <c r="L39" s="5">
        <f>VLOOKUP($A39,tropes!$A$4:$O$2428,12,FALSE)</f>
        <v>3</v>
      </c>
      <c r="M39" s="5">
        <f>VLOOKUP($A39,tropes!$A$4:$O$2428,13,FALSE)</f>
        <v>2</v>
      </c>
      <c r="N39" s="5">
        <f t="shared" si="0"/>
        <v>0</v>
      </c>
    </row>
    <row r="40" spans="1:14" x14ac:dyDescent="0.3">
      <c r="A40" s="14">
        <v>69</v>
      </c>
      <c r="B40" s="5" t="str">
        <f>VLOOKUP($A40,tropes!$A$4:$O$2428,2,FALSE)</f>
        <v>Put On The Bus</v>
      </c>
      <c r="C40" s="5" t="str">
        <f>VLOOKUP($A40,tropes!$A$4:$O$2428,3,FALSE)</f>
        <v>alien</v>
      </c>
      <c r="D40" s="5" t="str">
        <f>VLOOKUP($A40,tropes!$A$4:$O$2428,4,FALSE)</f>
        <v>gone</v>
      </c>
      <c r="E40" s="5" t="str">
        <f>VLOOKUP($A40,tropes!$A$4:$O$2428,5,FALSE)</f>
        <v>Andorian one of the mental patients was Andorian.</v>
      </c>
      <c r="F40" s="5">
        <f>VLOOKUP($A40,tropes!$A$4:$O$2428,6,FALSE)</f>
        <v>0</v>
      </c>
      <c r="G40" s="5">
        <f>VLOOKUP($A40,tropes!$A$4:$O$2428,7,FALSE)</f>
        <v>0</v>
      </c>
      <c r="H40" s="5">
        <f>VLOOKUP($A40,tropes!$A$4:$O$2428,8,FALSE)</f>
        <v>0</v>
      </c>
      <c r="I40" s="5">
        <f>VLOOKUP($A40,tropes!$A$4:$O$2428,9,FALSE)</f>
        <v>314</v>
      </c>
      <c r="J40" s="5">
        <f>VLOOKUP($A40,tropes!$A$4:$O$2428,10,FALSE)</f>
        <v>70</v>
      </c>
      <c r="K40" s="5" t="str">
        <f>VLOOKUP($A40,tropes!$A$4:$O$2428,11,FALSE)</f>
        <v>Whom Gods Destroy</v>
      </c>
      <c r="L40" s="5">
        <f>VLOOKUP($A40,tropes!$A$4:$O$2428,12,FALSE)</f>
        <v>3</v>
      </c>
      <c r="M40" s="5">
        <f>VLOOKUP($A40,tropes!$A$4:$O$2428,13,FALSE)</f>
        <v>14</v>
      </c>
      <c r="N40" s="5">
        <f t="shared" si="0"/>
        <v>0</v>
      </c>
    </row>
    <row r="41" spans="1:14" x14ac:dyDescent="0.3">
      <c r="A41" s="14">
        <v>72</v>
      </c>
      <c r="B41" s="5" t="str">
        <f>VLOOKUP($A41,tropes!$A$4:$O$2428,2,FALSE)</f>
        <v>Two Of Your Earth Minutes</v>
      </c>
      <c r="C41" s="5" t="str">
        <f>VLOOKUP($A41,tropes!$A$4:$O$2428,3,FALSE)</f>
        <v>alien</v>
      </c>
      <c r="D41" s="5" t="str">
        <f>VLOOKUP($A41,tropes!$A$4:$O$2428,4,FALSE)</f>
        <v>culture</v>
      </c>
      <c r="E41" s="5" t="str">
        <f>VLOOKUP($A41,tropes!$A$4:$O$2428,5,FALSE)</f>
        <v>For fifty thousand of your terrestrial years, I have been pursuing Loki through the galaxy.</v>
      </c>
      <c r="F41" s="5">
        <f>VLOOKUP($A41,tropes!$A$4:$O$2428,6,FALSE)</f>
        <v>0</v>
      </c>
      <c r="G41" s="5">
        <f>VLOOKUP($A41,tropes!$A$4:$O$2428,7,FALSE)</f>
        <v>0</v>
      </c>
      <c r="H41" s="5">
        <f>VLOOKUP($A41,tropes!$A$4:$O$2428,8,FALSE)</f>
        <v>0</v>
      </c>
      <c r="I41" s="5">
        <f>VLOOKUP($A41,tropes!$A$4:$O$2428,9,FALSE)</f>
        <v>315</v>
      </c>
      <c r="J41" s="5">
        <f>VLOOKUP($A41,tropes!$A$4:$O$2428,10,FALSE)</f>
        <v>71</v>
      </c>
      <c r="K41" s="5" t="str">
        <f>VLOOKUP($A41,tropes!$A$4:$O$2428,11,FALSE)</f>
        <v>Let That Be Your Last Battlefield</v>
      </c>
      <c r="L41" s="5">
        <f>VLOOKUP($A41,tropes!$A$4:$O$2428,12,FALSE)</f>
        <v>3</v>
      </c>
      <c r="M41" s="5">
        <f>VLOOKUP($A41,tropes!$A$4:$O$2428,13,FALSE)</f>
        <v>15</v>
      </c>
      <c r="N41" s="5">
        <f t="shared" si="0"/>
        <v>0</v>
      </c>
    </row>
    <row r="42" spans="1:14" x14ac:dyDescent="0.3">
      <c r="A42" s="14">
        <v>73</v>
      </c>
      <c r="B42" s="5" t="str">
        <f>VLOOKUP($A42,tropes!$A$4:$O$2428,2,FALSE)</f>
        <v>Put On The Bus</v>
      </c>
      <c r="C42" s="5" t="str">
        <f>VLOOKUP($A42,tropes!$A$4:$O$2428,3,FALSE)</f>
        <v>alien</v>
      </c>
      <c r="D42" s="5" t="str">
        <f>VLOOKUP($A42,tropes!$A$4:$O$2428,4,FALSE)</f>
        <v>gone</v>
      </c>
      <c r="E42" s="5" t="str">
        <f>VLOOKUP($A42,tropes!$A$4:$O$2428,5,FALSE)</f>
        <v>Two Andorian scholars were present at Memory Alpha at the time of its destruction.</v>
      </c>
      <c r="F42" s="5">
        <f>VLOOKUP($A42,tropes!$A$4:$O$2428,6,FALSE)</f>
        <v>0</v>
      </c>
      <c r="G42" s="5">
        <f>VLOOKUP($A42,tropes!$A$4:$O$2428,7,FALSE)</f>
        <v>0</v>
      </c>
      <c r="H42" s="5">
        <f>VLOOKUP($A42,tropes!$A$4:$O$2428,8,FALSE)</f>
        <v>0</v>
      </c>
      <c r="I42" s="5">
        <f>VLOOKUP($A42,tropes!$A$4:$O$2428,9,FALSE)</f>
        <v>318</v>
      </c>
      <c r="J42" s="5">
        <f>VLOOKUP($A42,tropes!$A$4:$O$2428,10,FALSE)</f>
        <v>74</v>
      </c>
      <c r="K42" s="5" t="str">
        <f>VLOOKUP($A42,tropes!$A$4:$O$2428,11,FALSE)</f>
        <v>The Lights of Zetar</v>
      </c>
      <c r="L42" s="5">
        <f>VLOOKUP($A42,tropes!$A$4:$O$2428,12,FALSE)</f>
        <v>3</v>
      </c>
      <c r="M42" s="5">
        <f>VLOOKUP($A42,tropes!$A$4:$O$2428,13,FALSE)</f>
        <v>18</v>
      </c>
      <c r="N42" s="5">
        <f t="shared" si="0"/>
        <v>0</v>
      </c>
    </row>
    <row r="43" spans="1:14" x14ac:dyDescent="0.3">
      <c r="A43" s="14">
        <v>74</v>
      </c>
      <c r="B43" s="5" t="str">
        <f>VLOOKUP($A43,tropes!$A$4:$O$2428,2,FALSE)</f>
        <v>Two Of Your Earth Minutes</v>
      </c>
      <c r="C43" s="5" t="str">
        <f>VLOOKUP($A43,tropes!$A$4:$O$2428,3,FALSE)</f>
        <v>alien</v>
      </c>
      <c r="D43" s="5" t="str">
        <f>VLOOKUP($A43,tropes!$A$4:$O$2428,4,FALSE)</f>
        <v>culture</v>
      </c>
      <c r="E43" s="5" t="str">
        <f>VLOOKUP($A43,tropes!$A$4:$O$2428,5,FALSE)</f>
        <v>I've been here nearly an hour of your Earth time.</v>
      </c>
      <c r="F43" s="5">
        <f>VLOOKUP($A43,tropes!$A$4:$O$2428,6,FALSE)</f>
        <v>0</v>
      </c>
      <c r="G43" s="5">
        <f>VLOOKUP($A43,tropes!$A$4:$O$2428,7,FALSE)</f>
        <v>0</v>
      </c>
      <c r="H43" s="5">
        <f>VLOOKUP($A43,tropes!$A$4:$O$2428,8,FALSE)</f>
        <v>0</v>
      </c>
      <c r="I43" s="5">
        <f>VLOOKUP($A43,tropes!$A$4:$O$2428,9,FALSE)</f>
        <v>321</v>
      </c>
      <c r="J43" s="5">
        <f>VLOOKUP($A43,tropes!$A$4:$O$2428,10,FALSE)</f>
        <v>77</v>
      </c>
      <c r="K43" s="5" t="str">
        <f>VLOOKUP($A43,tropes!$A$4:$O$2428,11,FALSE)</f>
        <v>The Cloud Minders</v>
      </c>
      <c r="L43" s="5">
        <f>VLOOKUP($A43,tropes!$A$4:$O$2428,12,FALSE)</f>
        <v>3</v>
      </c>
      <c r="M43" s="5">
        <f>VLOOKUP($A43,tropes!$A$4:$O$2428,13,FALSE)</f>
        <v>21</v>
      </c>
      <c r="N43" s="5">
        <f t="shared" si="0"/>
        <v>0</v>
      </c>
    </row>
    <row r="44" spans="1:14" x14ac:dyDescent="0.3">
      <c r="A44" s="14">
        <v>75</v>
      </c>
      <c r="B44" s="5" t="str">
        <f>VLOOKUP($A44,tropes!$A$4:$O$2428,2,FALSE)</f>
        <v>Two Of Your Earth Minutes</v>
      </c>
      <c r="C44" s="5" t="str">
        <f>VLOOKUP($A44,tropes!$A$4:$O$2428,3,FALSE)</f>
        <v>alien</v>
      </c>
      <c r="D44" s="5" t="str">
        <f>VLOOKUP($A44,tropes!$A$4:$O$2428,4,FALSE)</f>
        <v>culture</v>
      </c>
      <c r="E44" s="5" t="str">
        <f>VLOOKUP($A44,tropes!$A$4:$O$2428,5,FALSE)</f>
        <v>The Excalbian recreation of Abraham Lincoln asks if they still measure time in minutes, to which Kirk responds that they can convert to it.</v>
      </c>
      <c r="F44" s="5">
        <f>VLOOKUP($A44,tropes!$A$4:$O$2428,6,FALSE)</f>
        <v>0</v>
      </c>
      <c r="G44" s="5">
        <f>VLOOKUP($A44,tropes!$A$4:$O$2428,7,FALSE)</f>
        <v>0</v>
      </c>
      <c r="H44" s="5">
        <f>VLOOKUP($A44,tropes!$A$4:$O$2428,8,FALSE)</f>
        <v>0</v>
      </c>
      <c r="I44" s="5">
        <f>VLOOKUP($A44,tropes!$A$4:$O$2428,9,FALSE)</f>
        <v>322</v>
      </c>
      <c r="J44" s="5">
        <f>VLOOKUP($A44,tropes!$A$4:$O$2428,10,FALSE)</f>
        <v>78</v>
      </c>
      <c r="K44" s="5" t="str">
        <f>VLOOKUP($A44,tropes!$A$4:$O$2428,11,FALSE)</f>
        <v>The Savage Curtain</v>
      </c>
      <c r="L44" s="5">
        <f>VLOOKUP($A44,tropes!$A$4:$O$2428,12,FALSE)</f>
        <v>3</v>
      </c>
      <c r="M44" s="5">
        <f>VLOOKUP($A44,tropes!$A$4:$O$2428,13,FALSE)</f>
        <v>22</v>
      </c>
      <c r="N44" s="5">
        <f t="shared" si="0"/>
        <v>0</v>
      </c>
    </row>
  </sheetData>
  <sortState ref="A2:N44">
    <sortCondition ref="I2:I44"/>
    <sortCondition ref="B2:B44"/>
  </sortState>
  <conditionalFormatting sqref="B1:C1">
    <cfRule type="expression" dxfId="35" priority="2">
      <formula>O1&gt;0</formula>
    </cfRule>
  </conditionalFormatting>
  <conditionalFormatting sqref="A2:A44">
    <cfRule type="containsBlanks" dxfId="34" priority="1">
      <formula>LEN(TRIM(A2))=0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CC"/>
  </sheetPr>
  <dimension ref="A1:N171"/>
  <sheetViews>
    <sheetView workbookViewId="0"/>
  </sheetViews>
  <sheetFormatPr defaultRowHeight="12" x14ac:dyDescent="0.3"/>
  <cols>
    <col min="1" max="1" width="8" bestFit="1" customWidth="1"/>
    <col min="2" max="2" width="22.44140625" bestFit="1" customWidth="1"/>
    <col min="3" max="3" width="12.109375" bestFit="1" customWidth="1"/>
    <col min="4" max="4" width="14.44140625" bestFit="1" customWidth="1"/>
    <col min="5" max="5" width="75.77734375" customWidth="1"/>
    <col min="6" max="6" width="9.44140625" bestFit="1" customWidth="1"/>
    <col min="7" max="7" width="8.109375" bestFit="1" customWidth="1"/>
    <col min="8" max="8" width="7.44140625" bestFit="1" customWidth="1"/>
    <col min="9" max="9" width="8.6640625" bestFit="1" customWidth="1"/>
    <col min="10" max="10" width="8.33203125" bestFit="1" customWidth="1"/>
    <col min="11" max="11" width="49.33203125" bestFit="1" customWidth="1"/>
    <col min="12" max="12" width="2.109375" bestFit="1" customWidth="1"/>
    <col min="13" max="13" width="3.109375" bestFit="1" customWidth="1"/>
    <col min="14" max="14" width="18.109375" bestFit="1" customWidth="1"/>
  </cols>
  <sheetData>
    <row r="1" spans="1:14" x14ac:dyDescent="0.3">
      <c r="A1" s="5" t="s">
        <v>160</v>
      </c>
      <c r="B1" s="1" t="s">
        <v>3</v>
      </c>
      <c r="C1" s="1" t="s">
        <v>2601</v>
      </c>
      <c r="D1" s="1" t="s">
        <v>150</v>
      </c>
      <c r="E1" s="1" t="s">
        <v>164</v>
      </c>
      <c r="F1" s="1" t="s">
        <v>183</v>
      </c>
      <c r="G1" s="14" t="s">
        <v>744</v>
      </c>
      <c r="H1" s="14" t="s">
        <v>758</v>
      </c>
      <c r="I1" s="14" t="s">
        <v>161</v>
      </c>
      <c r="J1" s="15" t="s">
        <v>15</v>
      </c>
      <c r="K1" s="16" t="s">
        <v>16</v>
      </c>
      <c r="L1" s="16" t="s">
        <v>157</v>
      </c>
      <c r="M1" s="16" t="s">
        <v>158</v>
      </c>
      <c r="N1" s="14" t="s">
        <v>182</v>
      </c>
    </row>
    <row r="2" spans="1:14" x14ac:dyDescent="0.3">
      <c r="A2" s="14">
        <v>2038</v>
      </c>
      <c r="B2" s="5" t="str">
        <f>VLOOKUP($A2,tropes!$A$4:$O$2428,2,FALSE)</f>
        <v>Straw Vulcan</v>
      </c>
      <c r="C2" s="5" t="str">
        <f>VLOOKUP($A2,tropes!$A$4:$O$2428,3,FALSE)</f>
        <v>catchphrase</v>
      </c>
      <c r="D2" s="5" t="str">
        <f>VLOOKUP($A2,tropes!$A$4:$O$2428,4,FALSE)</f>
        <v>spock</v>
      </c>
      <c r="E2" s="5" t="str">
        <f>VLOOKUP($A2,tropes!$A$4:$O$2428,5,FALSE)</f>
        <v>Spock entertained by vibrating flowers. He even smiles.</v>
      </c>
      <c r="F2" s="5" t="str">
        <f>VLOOKUP($A2,tropes!$A$4:$O$2428,6,FALSE)</f>
        <v>spock</v>
      </c>
      <c r="G2" s="5">
        <f>VLOOKUP($A2,tropes!$A$4:$O$2428,7,FALSE)</f>
        <v>1</v>
      </c>
      <c r="H2" s="5">
        <f>VLOOKUP($A2,tropes!$A$4:$O$2428,8,FALSE)</f>
        <v>0</v>
      </c>
      <c r="I2" s="5">
        <f>VLOOKUP($A2,tropes!$A$4:$O$2428,9,FALSE)</f>
        <v>100</v>
      </c>
      <c r="J2" s="5">
        <f>VLOOKUP($A2,tropes!$A$4:$O$2428,10,FALSE)</f>
        <v>1</v>
      </c>
      <c r="K2" s="5" t="str">
        <f>VLOOKUP($A2,tropes!$A$4:$O$2428,11,FALSE)</f>
        <v>The Cage</v>
      </c>
      <c r="L2" s="5">
        <f>VLOOKUP($A2,tropes!$A$4:$O$2428,12,FALSE)</f>
        <v>1</v>
      </c>
      <c r="M2" s="5">
        <f>VLOOKUP($A2,tropes!$A$4:$O$2428,13,FALSE)</f>
        <v>0</v>
      </c>
      <c r="N2" s="5">
        <v>0</v>
      </c>
    </row>
    <row r="3" spans="1:14" x14ac:dyDescent="0.3">
      <c r="A3" s="14">
        <v>2039</v>
      </c>
      <c r="B3" s="5" t="str">
        <f>VLOOKUP($A3,tropes!$A$4:$O$2428,2,FALSE)</f>
        <v>Straw Vulcan</v>
      </c>
      <c r="C3" s="5" t="str">
        <f>VLOOKUP($A3,tropes!$A$4:$O$2428,3,FALSE)</f>
        <v>catchphrase</v>
      </c>
      <c r="D3" s="5" t="str">
        <f>VLOOKUP($A3,tropes!$A$4:$O$2428,4,FALSE)</f>
        <v>spock</v>
      </c>
      <c r="E3" s="5" t="str">
        <f>VLOOKUP($A3,tropes!$A$4:$O$2428,5,FALSE)</f>
        <v>Spock screams when the men are left on the Enterprise and Number One and Yeoman Colt are transported to Talos IV.</v>
      </c>
      <c r="F3" s="5" t="str">
        <f>VLOOKUP($A3,tropes!$A$4:$O$2428,6,FALSE)</f>
        <v>spock</v>
      </c>
      <c r="G3" s="5">
        <f>VLOOKUP($A3,tropes!$A$4:$O$2428,7,FALSE)</f>
        <v>1</v>
      </c>
      <c r="H3" s="5">
        <f>VLOOKUP($A3,tropes!$A$4:$O$2428,8,FALSE)</f>
        <v>0</v>
      </c>
      <c r="I3" s="5">
        <f>VLOOKUP($A3,tropes!$A$4:$O$2428,9,FALSE)</f>
        <v>100</v>
      </c>
      <c r="J3" s="5">
        <f>VLOOKUP($A3,tropes!$A$4:$O$2428,10,FALSE)</f>
        <v>1</v>
      </c>
      <c r="K3" s="5" t="str">
        <f>VLOOKUP($A3,tropes!$A$4:$O$2428,11,FALSE)</f>
        <v>The Cage</v>
      </c>
      <c r="L3" s="5">
        <f>VLOOKUP($A3,tropes!$A$4:$O$2428,12,FALSE)</f>
        <v>1</v>
      </c>
      <c r="M3" s="5">
        <f>VLOOKUP($A3,tropes!$A$4:$O$2428,13,FALSE)</f>
        <v>0</v>
      </c>
      <c r="N3" s="5">
        <f>IF(I3&lt;&gt;I2,0,N2+1)</f>
        <v>1</v>
      </c>
    </row>
    <row r="4" spans="1:14" x14ac:dyDescent="0.3">
      <c r="A4" s="14">
        <v>2041</v>
      </c>
      <c r="B4" s="5" t="str">
        <f>VLOOKUP($A4,tropes!$A$4:$O$2428,2,FALSE)</f>
        <v>Fascinating</v>
      </c>
      <c r="C4" s="5" t="str">
        <f>VLOOKUP($A4,tropes!$A$4:$O$2428,3,FALSE)</f>
        <v>catchphrase</v>
      </c>
      <c r="D4" s="5" t="str">
        <f>VLOOKUP($A4,tropes!$A$4:$O$2428,4,FALSE)</f>
        <v>fascinating</v>
      </c>
      <c r="E4" s="5" t="str">
        <f>VLOOKUP($A4,tropes!$A$4:$O$2428,5,FALSE)</f>
        <v>Spock: Fascinating. | McCoy: So improbable we almost didn't check it. |  (after finding a total lack of sodium chloride in Sturgeons body.).</v>
      </c>
      <c r="F4" s="5" t="str">
        <f>VLOOKUP($A4,tropes!$A$4:$O$2428,6,FALSE)</f>
        <v>spock</v>
      </c>
      <c r="G4" s="5">
        <f>VLOOKUP($A4,tropes!$A$4:$O$2428,7,FALSE)</f>
        <v>1</v>
      </c>
      <c r="H4" s="5">
        <f>VLOOKUP($A4,tropes!$A$4:$O$2428,8,FALSE)</f>
        <v>0</v>
      </c>
      <c r="I4" s="5">
        <f>VLOOKUP($A4,tropes!$A$4:$O$2428,9,FALSE)</f>
        <v>101</v>
      </c>
      <c r="J4" s="5">
        <f>VLOOKUP($A4,tropes!$A$4:$O$2428,10,FALSE)</f>
        <v>2</v>
      </c>
      <c r="K4" s="5" t="str">
        <f>VLOOKUP($A4,tropes!$A$4:$O$2428,11,FALSE)</f>
        <v>The Man Trap</v>
      </c>
      <c r="L4" s="5">
        <f>VLOOKUP($A4,tropes!$A$4:$O$2428,12,FALSE)</f>
        <v>1</v>
      </c>
      <c r="M4" s="5">
        <f>VLOOKUP($A4,tropes!$A$4:$O$2428,13,FALSE)</f>
        <v>1</v>
      </c>
      <c r="N4" s="5">
        <f t="shared" ref="N4:N67" si="0">IF(I4&lt;&gt;I3,0,N3+1)</f>
        <v>0</v>
      </c>
    </row>
    <row r="5" spans="1:14" x14ac:dyDescent="0.3">
      <c r="A5" s="14">
        <v>2047</v>
      </c>
      <c r="B5" s="5" t="str">
        <f>VLOOKUP($A5,tropes!$A$4:$O$2428,2,FALSE)</f>
        <v>Fascinating Eyebrow</v>
      </c>
      <c r="C5" s="5" t="str">
        <f>VLOOKUP($A5,tropes!$A$4:$O$2428,3,FALSE)</f>
        <v>catchphrase</v>
      </c>
      <c r="D5" s="5" t="str">
        <f>VLOOKUP($A5,tropes!$A$4:$O$2428,4,FALSE)</f>
        <v>eyebrow</v>
      </c>
      <c r="E5" s="5" t="str">
        <f>VLOOKUP($A5,tropes!$A$4:$O$2428,5,FALSE)</f>
        <v>Uhura: Tell me how your planet Vulcan looks on a lazy evening when the moon is full. | Spock: Vulcan has no moon, Miss Uhura. | Uhura: I'm not surprised, Mr. Spock. | Spock gives Uhura a raised eyebrow.</v>
      </c>
      <c r="F5" s="5" t="str">
        <f>VLOOKUP($A5,tropes!$A$4:$O$2428,6,FALSE)</f>
        <v>spock</v>
      </c>
      <c r="G5" s="5">
        <f>VLOOKUP($A5,tropes!$A$4:$O$2428,7,FALSE)</f>
        <v>1</v>
      </c>
      <c r="H5" s="5">
        <f>VLOOKUP($A5,tropes!$A$4:$O$2428,8,FALSE)</f>
        <v>0</v>
      </c>
      <c r="I5" s="5">
        <f>VLOOKUP($A5,tropes!$A$4:$O$2428,9,FALSE)</f>
        <v>101</v>
      </c>
      <c r="J5" s="5">
        <f>VLOOKUP($A5,tropes!$A$4:$O$2428,10,FALSE)</f>
        <v>2</v>
      </c>
      <c r="K5" s="5" t="str">
        <f>VLOOKUP($A5,tropes!$A$4:$O$2428,11,FALSE)</f>
        <v>The Man Trap</v>
      </c>
      <c r="L5" s="5">
        <f>VLOOKUP($A5,tropes!$A$4:$O$2428,12,FALSE)</f>
        <v>1</v>
      </c>
      <c r="M5" s="5">
        <f>VLOOKUP($A5,tropes!$A$4:$O$2428,13,FALSE)</f>
        <v>1</v>
      </c>
      <c r="N5" s="5">
        <f t="shared" si="0"/>
        <v>1</v>
      </c>
    </row>
    <row r="6" spans="1:14" x14ac:dyDescent="0.3">
      <c r="A6" s="14">
        <v>1501</v>
      </c>
      <c r="B6" s="5" t="str">
        <f>VLOOKUP($A6,tropes!$A$4:$O$2428,2,FALSE)</f>
        <v>He's Dead</v>
      </c>
      <c r="C6" s="5" t="str">
        <f>VLOOKUP($A6,tropes!$A$4:$O$2428,3,FALSE)</f>
        <v>catchphrase</v>
      </c>
      <c r="D6" s="5" t="str">
        <f>VLOOKUP($A6,tropes!$A$4:$O$2428,4,FALSE)</f>
        <v>hes_dead</v>
      </c>
      <c r="E6" s="5" t="str">
        <f>VLOOKUP($A6,tropes!$A$4:$O$2428,5,FALSE)</f>
        <v>McCoy: He's dead Jim. (after examining  Sturgeons body).</v>
      </c>
      <c r="F6" s="5" t="str">
        <f>VLOOKUP($A6,tropes!$A$4:$O$2428,6,FALSE)</f>
        <v>mccoy</v>
      </c>
      <c r="G6" s="5">
        <f>VLOOKUP($A6,tropes!$A$4:$O$2428,7,FALSE)</f>
        <v>0</v>
      </c>
      <c r="H6" s="5">
        <f>VLOOKUP($A6,tropes!$A$4:$O$2428,8,FALSE)</f>
        <v>1</v>
      </c>
      <c r="I6" s="5">
        <f>VLOOKUP($A6,tropes!$A$4:$O$2428,9,FALSE)</f>
        <v>101</v>
      </c>
      <c r="J6" s="5">
        <f>VLOOKUP($A6,tropes!$A$4:$O$2428,10,FALSE)</f>
        <v>2</v>
      </c>
      <c r="K6" s="5" t="str">
        <f>VLOOKUP($A6,tropes!$A$4:$O$2428,11,FALSE)</f>
        <v>The Man Trap</v>
      </c>
      <c r="L6" s="5">
        <f>VLOOKUP($A6,tropes!$A$4:$O$2428,12,FALSE)</f>
        <v>1</v>
      </c>
      <c r="M6" s="5">
        <f>VLOOKUP($A6,tropes!$A$4:$O$2428,13,FALSE)</f>
        <v>1</v>
      </c>
      <c r="N6" s="5">
        <f t="shared" si="0"/>
        <v>2</v>
      </c>
    </row>
    <row r="7" spans="1:14" x14ac:dyDescent="0.3">
      <c r="A7" s="14">
        <v>2042</v>
      </c>
      <c r="B7" s="5" t="str">
        <f>VLOOKUP($A7,tropes!$A$4:$O$2428,2,FALSE)</f>
        <v>Interesting</v>
      </c>
      <c r="C7" s="5" t="str">
        <f>VLOOKUP($A7,tropes!$A$4:$O$2428,3,FALSE)</f>
        <v>catchphrase</v>
      </c>
      <c r="D7" s="5" t="str">
        <f>VLOOKUP($A7,tropes!$A$4:$O$2428,4,FALSE)</f>
        <v>interesting</v>
      </c>
      <c r="E7" s="5" t="str">
        <f>VLOOKUP($A7,tropes!$A$4:$O$2428,5,FALSE)</f>
        <v>Spock: A very interesting hypothesis, Doctor. Briefing room.</v>
      </c>
      <c r="F7" s="5" t="str">
        <f>VLOOKUP($A7,tropes!$A$4:$O$2428,6,FALSE)</f>
        <v>spock</v>
      </c>
      <c r="G7" s="5">
        <f>VLOOKUP($A7,tropes!$A$4:$O$2428,7,FALSE)</f>
        <v>1</v>
      </c>
      <c r="H7" s="5">
        <f>VLOOKUP($A7,tropes!$A$4:$O$2428,8,FALSE)</f>
        <v>0</v>
      </c>
      <c r="I7" s="5">
        <f>VLOOKUP($A7,tropes!$A$4:$O$2428,9,FALSE)</f>
        <v>101</v>
      </c>
      <c r="J7" s="5">
        <f>VLOOKUP($A7,tropes!$A$4:$O$2428,10,FALSE)</f>
        <v>2</v>
      </c>
      <c r="K7" s="5" t="str">
        <f>VLOOKUP($A7,tropes!$A$4:$O$2428,11,FALSE)</f>
        <v>The Man Trap</v>
      </c>
      <c r="L7" s="5">
        <f>VLOOKUP($A7,tropes!$A$4:$O$2428,12,FALSE)</f>
        <v>1</v>
      </c>
      <c r="M7" s="5">
        <f>VLOOKUP($A7,tropes!$A$4:$O$2428,13,FALSE)</f>
        <v>1</v>
      </c>
      <c r="N7" s="5">
        <f t="shared" si="0"/>
        <v>3</v>
      </c>
    </row>
    <row r="8" spans="1:14" x14ac:dyDescent="0.3">
      <c r="A8" s="14">
        <v>2050</v>
      </c>
      <c r="B8" s="5" t="str">
        <f>VLOOKUP($A8,tropes!$A$4:$O$2428,2,FALSE)</f>
        <v>Straw Vulcan</v>
      </c>
      <c r="C8" s="5" t="str">
        <f>VLOOKUP($A8,tropes!$A$4:$O$2428,3,FALSE)</f>
        <v>catchphrase</v>
      </c>
      <c r="D8" s="5" t="str">
        <f>VLOOKUP($A8,tropes!$A$4:$O$2428,4,FALSE)</f>
        <v>spock</v>
      </c>
      <c r="E8" s="5" t="str">
        <f>VLOOKUP($A8,tropes!$A$4:$O$2428,5,FALSE)</f>
        <v>Spock gets over-emotional when reporting the ship's status.</v>
      </c>
      <c r="F8" s="5" t="str">
        <f>VLOOKUP($A8,tropes!$A$4:$O$2428,6,FALSE)</f>
        <v>spock</v>
      </c>
      <c r="G8" s="5">
        <f>VLOOKUP($A8,tropes!$A$4:$O$2428,7,FALSE)</f>
        <v>1</v>
      </c>
      <c r="H8" s="5">
        <f>VLOOKUP($A8,tropes!$A$4:$O$2428,8,FALSE)</f>
        <v>0</v>
      </c>
      <c r="I8" s="5">
        <f>VLOOKUP($A8,tropes!$A$4:$O$2428,9,FALSE)</f>
        <v>101</v>
      </c>
      <c r="J8" s="5">
        <f>VLOOKUP($A8,tropes!$A$4:$O$2428,10,FALSE)</f>
        <v>2</v>
      </c>
      <c r="K8" s="5" t="str">
        <f>VLOOKUP($A8,tropes!$A$4:$O$2428,11,FALSE)</f>
        <v>The Man Trap</v>
      </c>
      <c r="L8" s="5">
        <f>VLOOKUP($A8,tropes!$A$4:$O$2428,12,FALSE)</f>
        <v>1</v>
      </c>
      <c r="M8" s="5">
        <f>VLOOKUP($A8,tropes!$A$4:$O$2428,13,FALSE)</f>
        <v>1</v>
      </c>
      <c r="N8" s="5">
        <f t="shared" si="0"/>
        <v>4</v>
      </c>
    </row>
    <row r="9" spans="1:14" x14ac:dyDescent="0.3">
      <c r="A9" s="14">
        <v>2503</v>
      </c>
      <c r="B9" s="5" t="str">
        <f>VLOOKUP($A9,tropes!$A$4:$O$2428,2,FALSE)</f>
        <v>Starboard Bow</v>
      </c>
      <c r="C9" s="5" t="str">
        <f>VLOOKUP($A9,tropes!$A$4:$O$2428,3,FALSE)</f>
        <v>catchphrase</v>
      </c>
      <c r="D9" s="5" t="str">
        <f>VLOOKUP($A9,tropes!$A$4:$O$2428,4,FALSE)</f>
        <v>oneOff</v>
      </c>
      <c r="E9" s="5" t="str">
        <f>VLOOKUP($A9,tropes!$A$4:$O$2428,5,FALSE)</f>
        <v>Uhura: There's something off the starboard bow.</v>
      </c>
      <c r="F9" s="5" t="str">
        <f>VLOOKUP($A9,tropes!$A$4:$O$2428,6,FALSE)</f>
        <v>uhura</v>
      </c>
      <c r="G9" s="5">
        <f>VLOOKUP($A9,tropes!$A$4:$O$2428,7,FALSE)</f>
        <v>1</v>
      </c>
      <c r="H9" s="5">
        <f>VLOOKUP($A9,tropes!$A$4:$O$2428,8,FALSE)</f>
        <v>0</v>
      </c>
      <c r="I9" s="5">
        <f>VLOOKUP($A9,tropes!$A$4:$O$2428,9,FALSE)</f>
        <v>102</v>
      </c>
      <c r="J9" s="5">
        <f>VLOOKUP($A9,tropes!$A$4:$O$2428,10,FALSE)</f>
        <v>3</v>
      </c>
      <c r="K9" s="5" t="str">
        <f>VLOOKUP($A9,tropes!$A$4:$O$2428,11,FALSE)</f>
        <v>Charlie X</v>
      </c>
      <c r="L9" s="5">
        <f>VLOOKUP($A9,tropes!$A$4:$O$2428,12,FALSE)</f>
        <v>1</v>
      </c>
      <c r="M9" s="5">
        <f>VLOOKUP($A9,tropes!$A$4:$O$2428,13,FALSE)</f>
        <v>2</v>
      </c>
      <c r="N9" s="5">
        <f t="shared" si="0"/>
        <v>0</v>
      </c>
    </row>
    <row r="10" spans="1:14" x14ac:dyDescent="0.3">
      <c r="A10" s="14">
        <v>2343</v>
      </c>
      <c r="B10" s="5" t="str">
        <f>VLOOKUP($A10,tropes!$A$4:$O$2428,2,FALSE)</f>
        <v>Straw Vulcan</v>
      </c>
      <c r="C10" s="5" t="str">
        <f>VLOOKUP($A10,tropes!$A$4:$O$2428,3,FALSE)</f>
        <v>catchphrase</v>
      </c>
      <c r="D10" s="5" t="str">
        <f>VLOOKUP($A10,tropes!$A$4:$O$2428,4,FALSE)</f>
        <v>spock</v>
      </c>
      <c r="E10" s="5" t="str">
        <f>VLOOKUP($A10,tropes!$A$4:$O$2428,5,FALSE)</f>
        <v>Spock jokes about those earth emotions  then laughs.</v>
      </c>
      <c r="F10" s="5" t="str">
        <f>VLOOKUP($A10,tropes!$A$4:$O$2428,6,FALSE)</f>
        <v>spock</v>
      </c>
      <c r="G10" s="5">
        <f>VLOOKUP($A10,tropes!$A$4:$O$2428,7,FALSE)</f>
        <v>1</v>
      </c>
      <c r="H10" s="5">
        <f>VLOOKUP($A10,tropes!$A$4:$O$2428,8,FALSE)</f>
        <v>0</v>
      </c>
      <c r="I10" s="5">
        <f>VLOOKUP($A10,tropes!$A$4:$O$2428,9,FALSE)</f>
        <v>103</v>
      </c>
      <c r="J10" s="5">
        <f>VLOOKUP($A10,tropes!$A$4:$O$2428,10,FALSE)</f>
        <v>4</v>
      </c>
      <c r="K10" s="5" t="str">
        <f>VLOOKUP($A10,tropes!$A$4:$O$2428,11,FALSE)</f>
        <v>Where No Man Has Gone Before</v>
      </c>
      <c r="L10" s="5">
        <f>VLOOKUP($A10,tropes!$A$4:$O$2428,12,FALSE)</f>
        <v>1</v>
      </c>
      <c r="M10" s="5">
        <f>VLOOKUP($A10,tropes!$A$4:$O$2428,13,FALSE)</f>
        <v>3</v>
      </c>
      <c r="N10" s="5">
        <f t="shared" si="0"/>
        <v>0</v>
      </c>
    </row>
    <row r="11" spans="1:14" x14ac:dyDescent="0.3">
      <c r="A11" s="14">
        <v>2054</v>
      </c>
      <c r="B11" s="5" t="str">
        <f>VLOOKUP($A11,tropes!$A$4:$O$2428,2,FALSE)</f>
        <v>Straw Vulcan</v>
      </c>
      <c r="C11" s="5" t="str">
        <f>VLOOKUP($A11,tropes!$A$4:$O$2428,3,FALSE)</f>
        <v>catchphrase</v>
      </c>
      <c r="D11" s="5" t="str">
        <f>VLOOKUP($A11,tropes!$A$4:$O$2428,4,FALSE)</f>
        <v>spock</v>
      </c>
      <c r="E11" s="5" t="str">
        <f>VLOOKUP($A11,tropes!$A$4:$O$2428,5,FALSE)</f>
        <v>Spock shouts commands in an overly excited voice.</v>
      </c>
      <c r="F11" s="5" t="str">
        <f>VLOOKUP($A11,tropes!$A$4:$O$2428,6,FALSE)</f>
        <v>spock</v>
      </c>
      <c r="G11" s="5">
        <f>VLOOKUP($A11,tropes!$A$4:$O$2428,7,FALSE)</f>
        <v>1</v>
      </c>
      <c r="H11" s="5">
        <f>VLOOKUP($A11,tropes!$A$4:$O$2428,8,FALSE)</f>
        <v>0</v>
      </c>
      <c r="I11" s="5">
        <f>VLOOKUP($A11,tropes!$A$4:$O$2428,9,FALSE)</f>
        <v>103</v>
      </c>
      <c r="J11" s="5">
        <f>VLOOKUP($A11,tropes!$A$4:$O$2428,10,FALSE)</f>
        <v>4</v>
      </c>
      <c r="K11" s="5" t="str">
        <f>VLOOKUP($A11,tropes!$A$4:$O$2428,11,FALSE)</f>
        <v>Where No Man Has Gone Before</v>
      </c>
      <c r="L11" s="5">
        <f>VLOOKUP($A11,tropes!$A$4:$O$2428,12,FALSE)</f>
        <v>1</v>
      </c>
      <c r="M11" s="5">
        <f>VLOOKUP($A11,tropes!$A$4:$O$2428,13,FALSE)</f>
        <v>3</v>
      </c>
      <c r="N11" s="5">
        <f t="shared" si="0"/>
        <v>1</v>
      </c>
    </row>
    <row r="12" spans="1:14" x14ac:dyDescent="0.3">
      <c r="A12" s="14">
        <v>2055</v>
      </c>
      <c r="B12" s="5" t="str">
        <f>VLOOKUP($A12,tropes!$A$4:$O$2428,2,FALSE)</f>
        <v>Broken Tears</v>
      </c>
      <c r="C12" s="5" t="str">
        <f>VLOOKUP($A12,tropes!$A$4:$O$2428,3,FALSE)</f>
        <v>catchphrase</v>
      </c>
      <c r="D12" s="5" t="str">
        <f>VLOOKUP($A12,tropes!$A$4:$O$2428,4,FALSE)</f>
        <v>Emotional Vulcan</v>
      </c>
      <c r="E12" s="5" t="str">
        <f>VLOOKUP($A12,tropes!$A$4:$O$2428,5,FALSE)</f>
        <v>Spock breaks down crying after being infected by Psi 2000 virus.</v>
      </c>
      <c r="F12" s="5" t="str">
        <f>VLOOKUP($A12,tropes!$A$4:$O$2428,6,FALSE)</f>
        <v>spock</v>
      </c>
      <c r="G12" s="5">
        <f>VLOOKUP($A12,tropes!$A$4:$O$2428,7,FALSE)</f>
        <v>1</v>
      </c>
      <c r="H12" s="5">
        <f>VLOOKUP($A12,tropes!$A$4:$O$2428,8,FALSE)</f>
        <v>0</v>
      </c>
      <c r="I12" s="5">
        <f>VLOOKUP($A12,tropes!$A$4:$O$2428,9,FALSE)</f>
        <v>104</v>
      </c>
      <c r="J12" s="5">
        <f>VLOOKUP($A12,tropes!$A$4:$O$2428,10,FALSE)</f>
        <v>5</v>
      </c>
      <c r="K12" s="5" t="str">
        <f>VLOOKUP($A12,tropes!$A$4:$O$2428,11,FALSE)</f>
        <v>The Naked Time</v>
      </c>
      <c r="L12" s="5">
        <f>VLOOKUP($A12,tropes!$A$4:$O$2428,12,FALSE)</f>
        <v>1</v>
      </c>
      <c r="M12" s="5">
        <f>VLOOKUP($A12,tropes!$A$4:$O$2428,13,FALSE)</f>
        <v>4</v>
      </c>
      <c r="N12" s="5">
        <f t="shared" si="0"/>
        <v>0</v>
      </c>
    </row>
    <row r="13" spans="1:14" x14ac:dyDescent="0.3">
      <c r="A13" s="14">
        <v>1963</v>
      </c>
      <c r="B13" s="5" t="str">
        <f>VLOOKUP($A13,tropes!$A$4:$O$2428,2,FALSE)</f>
        <v>Catch Phrase</v>
      </c>
      <c r="C13" s="5" t="str">
        <f>VLOOKUP($A13,tropes!$A$4:$O$2428,3,FALSE)</f>
        <v>catchphrase</v>
      </c>
      <c r="D13" s="5" t="str">
        <f>VLOOKUP($A13,tropes!$A$4:$O$2428,4,FALSE)</f>
        <v>oneOff</v>
      </c>
      <c r="E13" s="5" t="str">
        <f>VLOOKUP($A13,tropes!$A$4:$O$2428,5,FALSE)</f>
        <v>Scotty: I can't change the laws of physics.</v>
      </c>
      <c r="F13" s="5" t="str">
        <f>VLOOKUP($A13,tropes!$A$4:$O$2428,6,FALSE)</f>
        <v>scotty</v>
      </c>
      <c r="G13" s="5">
        <f>VLOOKUP($A13,tropes!$A$4:$O$2428,7,FALSE)</f>
        <v>0</v>
      </c>
      <c r="H13" s="5">
        <f>VLOOKUP($A13,tropes!$A$4:$O$2428,8,FALSE)</f>
        <v>1</v>
      </c>
      <c r="I13" s="5">
        <f>VLOOKUP($A13,tropes!$A$4:$O$2428,9,FALSE)</f>
        <v>104</v>
      </c>
      <c r="J13" s="5">
        <f>VLOOKUP($A13,tropes!$A$4:$O$2428,10,FALSE)</f>
        <v>5</v>
      </c>
      <c r="K13" s="5" t="str">
        <f>VLOOKUP($A13,tropes!$A$4:$O$2428,11,FALSE)</f>
        <v>The Naked Time</v>
      </c>
      <c r="L13" s="5">
        <f>VLOOKUP($A13,tropes!$A$4:$O$2428,12,FALSE)</f>
        <v>1</v>
      </c>
      <c r="M13" s="5">
        <f>VLOOKUP($A13,tropes!$A$4:$O$2428,13,FALSE)</f>
        <v>4</v>
      </c>
      <c r="N13" s="5">
        <f t="shared" si="0"/>
        <v>1</v>
      </c>
    </row>
    <row r="14" spans="1:14" x14ac:dyDescent="0.3">
      <c r="A14" s="14">
        <v>2056</v>
      </c>
      <c r="B14" s="5" t="str">
        <f>VLOOKUP($A14,tropes!$A$4:$O$2428,2,FALSE)</f>
        <v>Fascinating</v>
      </c>
      <c r="C14" s="5" t="str">
        <f>VLOOKUP($A14,tropes!$A$4:$O$2428,3,FALSE)</f>
        <v>catchphrase</v>
      </c>
      <c r="D14" s="5" t="str">
        <f>VLOOKUP($A14,tropes!$A$4:$O$2428,4,FALSE)</f>
        <v>fascinating</v>
      </c>
      <c r="E14" s="5" t="str">
        <f>VLOOKUP($A14,tropes!$A$4:$O$2428,5,FALSE)</f>
        <v>Spock: Fascinating. A pattern is developing. First, Tormolen. Hidden personality traits being forced to the surface. Then Riley, who fancies himself a descendant of Irish kings, and now Sulu, who is at heart a swashbuckler out of your 18th century.</v>
      </c>
      <c r="F14" s="5" t="str">
        <f>VLOOKUP($A14,tropes!$A$4:$O$2428,6,FALSE)</f>
        <v>spock</v>
      </c>
      <c r="G14" s="5">
        <f>VLOOKUP($A14,tropes!$A$4:$O$2428,7,FALSE)</f>
        <v>1</v>
      </c>
      <c r="H14" s="5">
        <f>VLOOKUP($A14,tropes!$A$4:$O$2428,8,FALSE)</f>
        <v>0</v>
      </c>
      <c r="I14" s="5">
        <f>VLOOKUP($A14,tropes!$A$4:$O$2428,9,FALSE)</f>
        <v>104</v>
      </c>
      <c r="J14" s="5">
        <f>VLOOKUP($A14,tropes!$A$4:$O$2428,10,FALSE)</f>
        <v>5</v>
      </c>
      <c r="K14" s="5" t="str">
        <f>VLOOKUP($A14,tropes!$A$4:$O$2428,11,FALSE)</f>
        <v>The Naked Time</v>
      </c>
      <c r="L14" s="5">
        <f>VLOOKUP($A14,tropes!$A$4:$O$2428,12,FALSE)</f>
        <v>1</v>
      </c>
      <c r="M14" s="5">
        <f>VLOOKUP($A14,tropes!$A$4:$O$2428,13,FALSE)</f>
        <v>4</v>
      </c>
      <c r="N14" s="5">
        <f t="shared" si="0"/>
        <v>2</v>
      </c>
    </row>
    <row r="15" spans="1:14" x14ac:dyDescent="0.3">
      <c r="A15" s="14">
        <v>115</v>
      </c>
      <c r="B15" s="5" t="str">
        <f>VLOOKUP($A15,tropes!$A$4:$O$2428,2,FALSE)</f>
        <v>He's Dead</v>
      </c>
      <c r="C15" s="5" t="str">
        <f>VLOOKUP($A15,tropes!$A$4:$O$2428,3,FALSE)</f>
        <v>catchphrase</v>
      </c>
      <c r="D15" s="5" t="str">
        <f>VLOOKUP($A15,tropes!$A$4:$O$2428,4,FALSE)</f>
        <v>hes_dead</v>
      </c>
      <c r="E15" s="5" t="str">
        <f>VLOOKUP($A15,tropes!$A$4:$O$2428,5,FALSE)</f>
        <v>Nurse Chapel: He's dead doctor.</v>
      </c>
      <c r="F15" s="5" t="str">
        <f>VLOOKUP($A15,tropes!$A$4:$O$2428,6,FALSE)</f>
        <v>chapel</v>
      </c>
      <c r="G15" s="5">
        <f>VLOOKUP($A15,tropes!$A$4:$O$2428,7,FALSE)</f>
        <v>0</v>
      </c>
      <c r="H15" s="5">
        <f>VLOOKUP($A15,tropes!$A$4:$O$2428,8,FALSE)</f>
        <v>2</v>
      </c>
      <c r="I15" s="5">
        <f>VLOOKUP($A15,tropes!$A$4:$O$2428,9,FALSE)</f>
        <v>104</v>
      </c>
      <c r="J15" s="5">
        <f>VLOOKUP($A15,tropes!$A$4:$O$2428,10,FALSE)</f>
        <v>5</v>
      </c>
      <c r="K15" s="5" t="str">
        <f>VLOOKUP($A15,tropes!$A$4:$O$2428,11,FALSE)</f>
        <v>The Naked Time</v>
      </c>
      <c r="L15" s="5">
        <f>VLOOKUP($A15,tropes!$A$4:$O$2428,12,FALSE)</f>
        <v>1</v>
      </c>
      <c r="M15" s="5">
        <f>VLOOKUP($A15,tropes!$A$4:$O$2428,13,FALSE)</f>
        <v>4</v>
      </c>
      <c r="N15" s="5">
        <f t="shared" si="0"/>
        <v>3</v>
      </c>
    </row>
    <row r="16" spans="1:14" x14ac:dyDescent="0.3">
      <c r="A16" s="14">
        <v>1503</v>
      </c>
      <c r="B16" s="5" t="str">
        <f>VLOOKUP($A16,tropes!$A$4:$O$2428,2,FALSE)</f>
        <v>He's Dead</v>
      </c>
      <c r="C16" s="5" t="str">
        <f>VLOOKUP($A16,tropes!$A$4:$O$2428,3,FALSE)</f>
        <v>catchphrase</v>
      </c>
      <c r="D16" s="5" t="str">
        <f>VLOOKUP($A16,tropes!$A$4:$O$2428,4,FALSE)</f>
        <v>hes_dead</v>
      </c>
      <c r="E16" s="5" t="str">
        <f>VLOOKUP($A16,tropes!$A$4:$O$2428,5,FALSE)</f>
        <v>McCoy: He's dead Jim.</v>
      </c>
      <c r="F16" s="5" t="str">
        <f>VLOOKUP($A16,tropes!$A$4:$O$2428,6,FALSE)</f>
        <v>mccoy</v>
      </c>
      <c r="G16" s="5">
        <f>VLOOKUP($A16,tropes!$A$4:$O$2428,7,FALSE)</f>
        <v>0</v>
      </c>
      <c r="H16" s="5">
        <f>VLOOKUP($A16,tropes!$A$4:$O$2428,8,FALSE)</f>
        <v>1</v>
      </c>
      <c r="I16" s="5">
        <f>VLOOKUP($A16,tropes!$A$4:$O$2428,9,FALSE)</f>
        <v>105</v>
      </c>
      <c r="J16" s="5">
        <f>VLOOKUP($A16,tropes!$A$4:$O$2428,10,FALSE)</f>
        <v>6</v>
      </c>
      <c r="K16" s="5" t="str">
        <f>VLOOKUP($A16,tropes!$A$4:$O$2428,11,FALSE)</f>
        <v>The Enemy Within</v>
      </c>
      <c r="L16" s="5">
        <f>VLOOKUP($A16,tropes!$A$4:$O$2428,12,FALSE)</f>
        <v>1</v>
      </c>
      <c r="M16" s="5">
        <f>VLOOKUP($A16,tropes!$A$4:$O$2428,13,FALSE)</f>
        <v>5</v>
      </c>
      <c r="N16" s="5">
        <f t="shared" si="0"/>
        <v>0</v>
      </c>
    </row>
    <row r="17" spans="1:14" x14ac:dyDescent="0.3">
      <c r="A17" s="14">
        <v>2060</v>
      </c>
      <c r="B17" s="5" t="str">
        <f>VLOOKUP($A17,tropes!$A$4:$O$2428,2,FALSE)</f>
        <v>Interesting</v>
      </c>
      <c r="C17" s="5" t="str">
        <f>VLOOKUP($A17,tropes!$A$4:$O$2428,3,FALSE)</f>
        <v>catchphrase</v>
      </c>
      <c r="D17" s="5" t="str">
        <f>VLOOKUP($A17,tropes!$A$4:$O$2428,4,FALSE)</f>
        <v>interesting</v>
      </c>
      <c r="E17" s="5" t="str">
        <f>VLOOKUP($A17,tropes!$A$4:$O$2428,5,FALSE)</f>
        <v>Spock: The, er, impostor had some interesting qualities, wouldn't you, say, Yeoman?</v>
      </c>
      <c r="F17" s="5" t="str">
        <f>VLOOKUP($A17,tropes!$A$4:$O$2428,6,FALSE)</f>
        <v>spock</v>
      </c>
      <c r="G17" s="5">
        <f>VLOOKUP($A17,tropes!$A$4:$O$2428,7,FALSE)</f>
        <v>1</v>
      </c>
      <c r="H17" s="5">
        <f>VLOOKUP($A17,tropes!$A$4:$O$2428,8,FALSE)</f>
        <v>0</v>
      </c>
      <c r="I17" s="5">
        <f>VLOOKUP($A17,tropes!$A$4:$O$2428,9,FALSE)</f>
        <v>105</v>
      </c>
      <c r="J17" s="5">
        <f>VLOOKUP($A17,tropes!$A$4:$O$2428,10,FALSE)</f>
        <v>6</v>
      </c>
      <c r="K17" s="5" t="str">
        <f>VLOOKUP($A17,tropes!$A$4:$O$2428,11,FALSE)</f>
        <v>The Enemy Within</v>
      </c>
      <c r="L17" s="5">
        <f>VLOOKUP($A17,tropes!$A$4:$O$2428,12,FALSE)</f>
        <v>1</v>
      </c>
      <c r="M17" s="5">
        <f>VLOOKUP($A17,tropes!$A$4:$O$2428,13,FALSE)</f>
        <v>5</v>
      </c>
      <c r="N17" s="5">
        <f t="shared" si="0"/>
        <v>1</v>
      </c>
    </row>
    <row r="18" spans="1:14" x14ac:dyDescent="0.3">
      <c r="A18" s="14">
        <v>2063</v>
      </c>
      <c r="B18" s="5" t="str">
        <f>VLOOKUP($A18,tropes!$A$4:$O$2428,2,FALSE)</f>
        <v>Straw Vulcan</v>
      </c>
      <c r="C18" s="5" t="str">
        <f>VLOOKUP($A18,tropes!$A$4:$O$2428,3,FALSE)</f>
        <v>catchphrase</v>
      </c>
      <c r="D18" s="5" t="str">
        <f>VLOOKUP($A18,tropes!$A$4:$O$2428,4,FALSE)</f>
        <v>spock</v>
      </c>
      <c r="E18" s="5" t="str">
        <f>VLOOKUP($A18,tropes!$A$4:$O$2428,5,FALSE)</f>
        <v>Spock uses sarcasm then wears a shit eating grin.</v>
      </c>
      <c r="F18" s="5" t="str">
        <f>VLOOKUP($A18,tropes!$A$4:$O$2428,6,FALSE)</f>
        <v>spock</v>
      </c>
      <c r="G18" s="5">
        <f>VLOOKUP($A18,tropes!$A$4:$O$2428,7,FALSE)</f>
        <v>1</v>
      </c>
      <c r="H18" s="5">
        <f>VLOOKUP($A18,tropes!$A$4:$O$2428,8,FALSE)</f>
        <v>0</v>
      </c>
      <c r="I18" s="5">
        <f>VLOOKUP($A18,tropes!$A$4:$O$2428,9,FALSE)</f>
        <v>105</v>
      </c>
      <c r="J18" s="5">
        <f>VLOOKUP($A18,tropes!$A$4:$O$2428,10,FALSE)</f>
        <v>6</v>
      </c>
      <c r="K18" s="5" t="str">
        <f>VLOOKUP($A18,tropes!$A$4:$O$2428,11,FALSE)</f>
        <v>The Enemy Within</v>
      </c>
      <c r="L18" s="5">
        <f>VLOOKUP($A18,tropes!$A$4:$O$2428,12,FALSE)</f>
        <v>1</v>
      </c>
      <c r="M18" s="5">
        <f>VLOOKUP($A18,tropes!$A$4:$O$2428,13,FALSE)</f>
        <v>5</v>
      </c>
      <c r="N18" s="5">
        <f t="shared" si="0"/>
        <v>2</v>
      </c>
    </row>
    <row r="19" spans="1:14" x14ac:dyDescent="0.3">
      <c r="A19" s="14">
        <v>2064</v>
      </c>
      <c r="B19" s="5" t="str">
        <f>VLOOKUP($A19,tropes!$A$4:$O$2428,2,FALSE)</f>
        <v>Technobabble</v>
      </c>
      <c r="C19" s="5" t="str">
        <f>VLOOKUP($A19,tropes!$A$4:$O$2428,3,FALSE)</f>
        <v>catchphrase</v>
      </c>
      <c r="D19" s="5" t="str">
        <f>VLOOKUP($A19,tropes!$A$4:$O$2428,4,FALSE)</f>
        <v>technobabble</v>
      </c>
      <c r="E19" s="5" t="str">
        <f>VLOOKUP($A19,tropes!$A$4:$O$2428,5,FALSE)</f>
        <v>Spock does a lengthy explanation on how the transporter got fixed. Bla bla bla…</v>
      </c>
      <c r="F19" s="5" t="str">
        <f>VLOOKUP($A19,tropes!$A$4:$O$2428,6,FALSE)</f>
        <v>spock</v>
      </c>
      <c r="G19" s="5">
        <f>VLOOKUP($A19,tropes!$A$4:$O$2428,7,FALSE)</f>
        <v>1</v>
      </c>
      <c r="H19" s="5">
        <f>VLOOKUP($A19,tropes!$A$4:$O$2428,8,FALSE)</f>
        <v>0</v>
      </c>
      <c r="I19" s="5">
        <f>VLOOKUP($A19,tropes!$A$4:$O$2428,9,FALSE)</f>
        <v>105</v>
      </c>
      <c r="J19" s="5">
        <f>VLOOKUP($A19,tropes!$A$4:$O$2428,10,FALSE)</f>
        <v>6</v>
      </c>
      <c r="K19" s="5" t="str">
        <f>VLOOKUP($A19,tropes!$A$4:$O$2428,11,FALSE)</f>
        <v>The Enemy Within</v>
      </c>
      <c r="L19" s="5">
        <f>VLOOKUP($A19,tropes!$A$4:$O$2428,12,FALSE)</f>
        <v>1</v>
      </c>
      <c r="M19" s="5">
        <f>VLOOKUP($A19,tropes!$A$4:$O$2428,13,FALSE)</f>
        <v>5</v>
      </c>
      <c r="N19" s="5">
        <f t="shared" si="0"/>
        <v>3</v>
      </c>
    </row>
    <row r="20" spans="1:14" x14ac:dyDescent="0.3">
      <c r="A20" s="14">
        <v>2022</v>
      </c>
      <c r="B20" s="5" t="str">
        <f>VLOOKUP($A20,tropes!$A$4:$O$2428,2,FALSE)</f>
        <v>Fascinating</v>
      </c>
      <c r="C20" s="5" t="str">
        <f>VLOOKUP($A20,tropes!$A$4:$O$2428,3,FALSE)</f>
        <v>catchphrase</v>
      </c>
      <c r="D20" s="5" t="str">
        <f>VLOOKUP($A20,tropes!$A$4:$O$2428,4,FALSE)</f>
        <v>fascinating</v>
      </c>
      <c r="E20" s="5" t="str">
        <f>VLOOKUP($A20,tropes!$A$4:$O$2428,5,FALSE)</f>
        <v>Ruth Bonavure: Its fascinating. (Ruth steps in front of medical scanner which goes crazy befuddling McCoy.).</v>
      </c>
      <c r="F20" s="5" t="str">
        <f>VLOOKUP($A20,tropes!$A$4:$O$2428,6,FALSE)</f>
        <v>spock</v>
      </c>
      <c r="G20" s="5">
        <f>VLOOKUP($A20,tropes!$A$4:$O$2428,7,FALSE)</f>
        <v>1</v>
      </c>
      <c r="H20" s="5">
        <f>VLOOKUP($A20,tropes!$A$4:$O$2428,8,FALSE)</f>
        <v>0</v>
      </c>
      <c r="I20" s="5">
        <f>VLOOKUP($A20,tropes!$A$4:$O$2428,9,FALSE)</f>
        <v>106</v>
      </c>
      <c r="J20" s="5">
        <f>VLOOKUP($A20,tropes!$A$4:$O$2428,10,FALSE)</f>
        <v>7</v>
      </c>
      <c r="K20" s="5" t="str">
        <f>VLOOKUP($A20,tropes!$A$4:$O$2428,11,FALSE)</f>
        <v>Mudd's Women</v>
      </c>
      <c r="L20" s="5">
        <f>VLOOKUP($A20,tropes!$A$4:$O$2428,12,FALSE)</f>
        <v>1</v>
      </c>
      <c r="M20" s="5">
        <f>VLOOKUP($A20,tropes!$A$4:$O$2428,13,FALSE)</f>
        <v>6</v>
      </c>
      <c r="N20" s="5">
        <f t="shared" si="0"/>
        <v>0</v>
      </c>
    </row>
    <row r="21" spans="1:14" x14ac:dyDescent="0.3">
      <c r="A21" s="14">
        <v>2065</v>
      </c>
      <c r="B21" s="5" t="str">
        <f>VLOOKUP($A21,tropes!$A$4:$O$2428,2,FALSE)</f>
        <v>Fascinating Eyebrow</v>
      </c>
      <c r="C21" s="5" t="str">
        <f>VLOOKUP($A21,tropes!$A$4:$O$2428,3,FALSE)</f>
        <v>catchphrase</v>
      </c>
      <c r="D21" s="5" t="str">
        <f>VLOOKUP($A21,tropes!$A$4:$O$2428,4,FALSE)</f>
        <v>eyebrow</v>
      </c>
      <c r="E21" s="5" t="str">
        <f>VLOOKUP($A21,tropes!$A$4:$O$2428,5,FALSE)</f>
        <v>Spock and Scotty discuss lack of dilithium crystals and the urgency to obtain them from the miners.</v>
      </c>
      <c r="F21" s="5" t="str">
        <f>VLOOKUP($A21,tropes!$A$4:$O$2428,6,FALSE)</f>
        <v>spock</v>
      </c>
      <c r="G21" s="5">
        <f>VLOOKUP($A21,tropes!$A$4:$O$2428,7,FALSE)</f>
        <v>1</v>
      </c>
      <c r="H21" s="5">
        <f>VLOOKUP($A21,tropes!$A$4:$O$2428,8,FALSE)</f>
        <v>0</v>
      </c>
      <c r="I21" s="5">
        <f>VLOOKUP($A21,tropes!$A$4:$O$2428,9,FALSE)</f>
        <v>106</v>
      </c>
      <c r="J21" s="5">
        <f>VLOOKUP($A21,tropes!$A$4:$O$2428,10,FALSE)</f>
        <v>7</v>
      </c>
      <c r="K21" s="5" t="str">
        <f>VLOOKUP($A21,tropes!$A$4:$O$2428,11,FALSE)</f>
        <v>Mudd's Women</v>
      </c>
      <c r="L21" s="5">
        <f>VLOOKUP($A21,tropes!$A$4:$O$2428,12,FALSE)</f>
        <v>1</v>
      </c>
      <c r="M21" s="5">
        <f>VLOOKUP($A21,tropes!$A$4:$O$2428,13,FALSE)</f>
        <v>6</v>
      </c>
      <c r="N21" s="5">
        <f t="shared" si="0"/>
        <v>1</v>
      </c>
    </row>
    <row r="22" spans="1:14" x14ac:dyDescent="0.3">
      <c r="A22" s="14">
        <v>1765</v>
      </c>
      <c r="B22" s="5" t="str">
        <f>VLOOKUP($A22,tropes!$A$4:$O$2428,2,FALSE)</f>
        <v>Vulcanian</v>
      </c>
      <c r="C22" s="5" t="str">
        <f>VLOOKUP($A22,tropes!$A$4:$O$2428,3,FALSE)</f>
        <v>catchphrase</v>
      </c>
      <c r="D22" s="5" t="str">
        <f>VLOOKUP($A22,tropes!$A$4:$O$2428,4,FALSE)</f>
        <v>vulcanian</v>
      </c>
      <c r="E22" s="5" t="str">
        <f>VLOOKUP($A22,tropes!$A$4:$O$2428,5,FALSE)</f>
        <v>Harry Mudd (to Spock): You're part Vulcanian, aren't you. Ah well then, a pretty face doesn't affect you at all, does it. That is, unless you want it to. You can save it, girls. This type can turn himself off from any emotion.</v>
      </c>
      <c r="F22" s="5" t="str">
        <f>VLOOKUP($A22,tropes!$A$4:$O$2428,6,FALSE)</f>
        <v>mudd</v>
      </c>
      <c r="G22" s="5">
        <f>VLOOKUP($A22,tropes!$A$4:$O$2428,7,FALSE)</f>
        <v>0</v>
      </c>
      <c r="H22" s="5">
        <f>VLOOKUP($A22,tropes!$A$4:$O$2428,8,FALSE)</f>
        <v>0</v>
      </c>
      <c r="I22" s="5">
        <f>VLOOKUP($A22,tropes!$A$4:$O$2428,9,FALSE)</f>
        <v>106</v>
      </c>
      <c r="J22" s="5">
        <f>VLOOKUP($A22,tropes!$A$4:$O$2428,10,FALSE)</f>
        <v>7</v>
      </c>
      <c r="K22" s="5" t="str">
        <f>VLOOKUP($A22,tropes!$A$4:$O$2428,11,FALSE)</f>
        <v>Mudd's Women</v>
      </c>
      <c r="L22" s="5">
        <f>VLOOKUP($A22,tropes!$A$4:$O$2428,12,FALSE)</f>
        <v>1</v>
      </c>
      <c r="M22" s="5">
        <f>VLOOKUP($A22,tropes!$A$4:$O$2428,13,FALSE)</f>
        <v>6</v>
      </c>
      <c r="N22" s="5">
        <f t="shared" si="0"/>
        <v>2</v>
      </c>
    </row>
    <row r="23" spans="1:14" x14ac:dyDescent="0.3">
      <c r="A23" s="14">
        <v>624</v>
      </c>
      <c r="B23" s="5" t="str">
        <f>VLOOKUP($A23,tropes!$A$4:$O$2428,2,FALSE)</f>
        <v>Fantastic Racism</v>
      </c>
      <c r="C23" s="5" t="str">
        <f>VLOOKUP($A23,tropes!$A$4:$O$2428,3,FALSE)</f>
        <v>catchphrase</v>
      </c>
      <c r="D23" s="5" t="str">
        <f>VLOOKUP($A23,tropes!$A$4:$O$2428,4,FALSE)</f>
        <v>racism</v>
      </c>
      <c r="E23" s="5" t="str">
        <f>VLOOKUP($A23,tropes!$A$4:$O$2428,5,FALSE)</f>
        <v>Kirk: I'm tired of your half-breed interference Kirk (thinks this while in duplication machine to put a defect into the android double).</v>
      </c>
      <c r="F23" s="5" t="str">
        <f>VLOOKUP($A23,tropes!$A$4:$O$2428,6,FALSE)</f>
        <v>kirk</v>
      </c>
      <c r="G23" s="5">
        <f>VLOOKUP($A23,tropes!$A$4:$O$2428,7,FALSE)</f>
        <v>1</v>
      </c>
      <c r="H23" s="5">
        <f>VLOOKUP($A23,tropes!$A$4:$O$2428,8,FALSE)</f>
        <v>0</v>
      </c>
      <c r="I23" s="5">
        <f>VLOOKUP($A23,tropes!$A$4:$O$2428,9,FALSE)</f>
        <v>107</v>
      </c>
      <c r="J23" s="5">
        <f>VLOOKUP($A23,tropes!$A$4:$O$2428,10,FALSE)</f>
        <v>8</v>
      </c>
      <c r="K23" s="5" t="str">
        <f>VLOOKUP($A23,tropes!$A$4:$O$2428,11,FALSE)</f>
        <v>What Are Little Girls Made Of?</v>
      </c>
      <c r="L23" s="5">
        <f>VLOOKUP($A23,tropes!$A$4:$O$2428,12,FALSE)</f>
        <v>1</v>
      </c>
      <c r="M23" s="5">
        <f>VLOOKUP($A23,tropes!$A$4:$O$2428,13,FALSE)</f>
        <v>7</v>
      </c>
      <c r="N23" s="5">
        <f t="shared" si="0"/>
        <v>0</v>
      </c>
    </row>
    <row r="24" spans="1:14" x14ac:dyDescent="0.3">
      <c r="A24" s="14">
        <v>625</v>
      </c>
      <c r="B24" s="5" t="str">
        <f>VLOOKUP($A24,tropes!$A$4:$O$2428,2,FALSE)</f>
        <v>Fantastic Racism</v>
      </c>
      <c r="C24" s="5" t="str">
        <f>VLOOKUP($A24,tropes!$A$4:$O$2428,3,FALSE)</f>
        <v>catchphrase</v>
      </c>
      <c r="D24" s="5" t="str">
        <f>VLOOKUP($A24,tropes!$A$4:$O$2428,4,FALSE)</f>
        <v>racism</v>
      </c>
      <c r="E24" s="5" t="str">
        <f>VLOOKUP($A24,tropes!$A$4:$O$2428,5,FALSE)</f>
        <v>Kirk-android insults Spock with half-breed comment Kirk instilled in it.</v>
      </c>
      <c r="F24" s="5" t="str">
        <f>VLOOKUP($A24,tropes!$A$4:$O$2428,6,FALSE)</f>
        <v>kirk</v>
      </c>
      <c r="G24" s="5">
        <f>VLOOKUP($A24,tropes!$A$4:$O$2428,7,FALSE)</f>
        <v>1</v>
      </c>
      <c r="H24" s="5">
        <f>VLOOKUP($A24,tropes!$A$4:$O$2428,8,FALSE)</f>
        <v>0</v>
      </c>
      <c r="I24" s="5">
        <f>VLOOKUP($A24,tropes!$A$4:$O$2428,9,FALSE)</f>
        <v>107</v>
      </c>
      <c r="J24" s="5">
        <f>VLOOKUP($A24,tropes!$A$4:$O$2428,10,FALSE)</f>
        <v>8</v>
      </c>
      <c r="K24" s="5" t="str">
        <f>VLOOKUP($A24,tropes!$A$4:$O$2428,11,FALSE)</f>
        <v>What Are Little Girls Made Of?</v>
      </c>
      <c r="L24" s="5">
        <f>VLOOKUP($A24,tropes!$A$4:$O$2428,12,FALSE)</f>
        <v>1</v>
      </c>
      <c r="M24" s="5">
        <f>VLOOKUP($A24,tropes!$A$4:$O$2428,13,FALSE)</f>
        <v>7</v>
      </c>
      <c r="N24" s="5">
        <f t="shared" si="0"/>
        <v>1</v>
      </c>
    </row>
    <row r="25" spans="1:14" x14ac:dyDescent="0.3">
      <c r="A25" s="14">
        <v>2071</v>
      </c>
      <c r="B25" s="5" t="str">
        <f>VLOOKUP($A25,tropes!$A$4:$O$2428,2,FALSE)</f>
        <v>Fascinating Eyebrow</v>
      </c>
      <c r="C25" s="5" t="str">
        <f>VLOOKUP($A25,tropes!$A$4:$O$2428,3,FALSE)</f>
        <v>catchphrase</v>
      </c>
      <c r="D25" s="5" t="str">
        <f>VLOOKUP($A25,tropes!$A$4:$O$2428,4,FALSE)</f>
        <v>eyebrow</v>
      </c>
      <c r="E25" s="5" t="str">
        <f>VLOOKUP($A25,tropes!$A$4:$O$2428,5,FALSE)</f>
        <v>Spock kids with around with Yeoman Rand and smiles.</v>
      </c>
      <c r="F25" s="5" t="str">
        <f>VLOOKUP($A25,tropes!$A$4:$O$2428,6,FALSE)</f>
        <v>spock</v>
      </c>
      <c r="G25" s="5">
        <f>VLOOKUP($A25,tropes!$A$4:$O$2428,7,FALSE)</f>
        <v>1</v>
      </c>
      <c r="H25" s="5">
        <f>VLOOKUP($A25,tropes!$A$4:$O$2428,8,FALSE)</f>
        <v>0</v>
      </c>
      <c r="I25" s="5">
        <f>VLOOKUP($A25,tropes!$A$4:$O$2428,9,FALSE)</f>
        <v>108</v>
      </c>
      <c r="J25" s="5">
        <f>VLOOKUP($A25,tropes!$A$4:$O$2428,10,FALSE)</f>
        <v>9</v>
      </c>
      <c r="K25" s="5" t="str">
        <f>VLOOKUP($A25,tropes!$A$4:$O$2428,11,FALSE)</f>
        <v>Miri</v>
      </c>
      <c r="L25" s="5">
        <f>VLOOKUP($A25,tropes!$A$4:$O$2428,12,FALSE)</f>
        <v>1</v>
      </c>
      <c r="M25" s="5">
        <f>VLOOKUP($A25,tropes!$A$4:$O$2428,13,FALSE)</f>
        <v>8</v>
      </c>
      <c r="N25" s="5">
        <f t="shared" si="0"/>
        <v>0</v>
      </c>
    </row>
    <row r="26" spans="1:14" x14ac:dyDescent="0.3">
      <c r="A26" s="14">
        <v>2074</v>
      </c>
      <c r="B26" s="5" t="str">
        <f>VLOOKUP($A26,tropes!$A$4:$O$2428,2,FALSE)</f>
        <v>Fascinating</v>
      </c>
      <c r="C26" s="5" t="str">
        <f>VLOOKUP($A26,tropes!$A$4:$O$2428,3,FALSE)</f>
        <v>catchphrase</v>
      </c>
      <c r="D26" s="5" t="str">
        <f>VLOOKUP($A26,tropes!$A$4:$O$2428,4,FALSE)</f>
        <v>fascinating</v>
      </c>
      <c r="E26" s="5" t="str">
        <f>VLOOKUP($A26,tropes!$A$4:$O$2428,5,FALSE)</f>
        <v>Kirk: What's so fascinating? | Spock: An identification tape from our ship's library on Doctor Simon Van Gelder. | Kirk: Doctor Van Gelder? | Spock: Doctor Van Gelder, Captain. No mistake. There's a full ID tape on him. | Kirk: Committed to Tantalus colony when? | Spock: Assigned there six months ago as Doctor Adams' associate.</v>
      </c>
      <c r="F26" s="5" t="str">
        <f>VLOOKUP($A26,tropes!$A$4:$O$2428,6,FALSE)</f>
        <v>spock</v>
      </c>
      <c r="G26" s="5">
        <f>VLOOKUP($A26,tropes!$A$4:$O$2428,7,FALSE)</f>
        <v>1</v>
      </c>
      <c r="H26" s="5">
        <f>VLOOKUP($A26,tropes!$A$4:$O$2428,8,FALSE)</f>
        <v>0</v>
      </c>
      <c r="I26" s="5">
        <f>VLOOKUP($A26,tropes!$A$4:$O$2428,9,FALSE)</f>
        <v>109</v>
      </c>
      <c r="J26" s="5">
        <f>VLOOKUP($A26,tropes!$A$4:$O$2428,10,FALSE)</f>
        <v>10</v>
      </c>
      <c r="K26" s="5" t="str">
        <f>VLOOKUP($A26,tropes!$A$4:$O$2428,11,FALSE)</f>
        <v>Dagger of the Mind</v>
      </c>
      <c r="L26" s="5">
        <f>VLOOKUP($A26,tropes!$A$4:$O$2428,12,FALSE)</f>
        <v>1</v>
      </c>
      <c r="M26" s="5">
        <f>VLOOKUP($A26,tropes!$A$4:$O$2428,13,FALSE)</f>
        <v>9</v>
      </c>
      <c r="N26" s="5">
        <f t="shared" si="0"/>
        <v>0</v>
      </c>
    </row>
    <row r="27" spans="1:14" x14ac:dyDescent="0.3">
      <c r="A27" s="14">
        <v>2075</v>
      </c>
      <c r="B27" s="5" t="str">
        <f>VLOOKUP($A27,tropes!$A$4:$O$2428,2,FALSE)</f>
        <v>Interesting</v>
      </c>
      <c r="C27" s="5" t="str">
        <f>VLOOKUP($A27,tropes!$A$4:$O$2428,3,FALSE)</f>
        <v>catchphrase</v>
      </c>
      <c r="D27" s="5" t="str">
        <f>VLOOKUP($A27,tropes!$A$4:$O$2428,4,FALSE)</f>
        <v>interesting</v>
      </c>
      <c r="E27" s="5" t="str">
        <f>VLOOKUP($A27,tropes!$A$4:$O$2428,5,FALSE)</f>
        <v>Spock: Interesting. Your Earth people glorify organized violence for forty centuries, but you imprison those who employ it privately.</v>
      </c>
      <c r="F27" s="5" t="str">
        <f>VLOOKUP($A27,tropes!$A$4:$O$2428,6,FALSE)</f>
        <v>spock</v>
      </c>
      <c r="G27" s="5">
        <f>VLOOKUP($A27,tropes!$A$4:$O$2428,7,FALSE)</f>
        <v>1</v>
      </c>
      <c r="H27" s="5">
        <f>VLOOKUP($A27,tropes!$A$4:$O$2428,8,FALSE)</f>
        <v>0</v>
      </c>
      <c r="I27" s="5">
        <f>VLOOKUP($A27,tropes!$A$4:$O$2428,9,FALSE)</f>
        <v>109</v>
      </c>
      <c r="J27" s="5">
        <f>VLOOKUP($A27,tropes!$A$4:$O$2428,10,FALSE)</f>
        <v>10</v>
      </c>
      <c r="K27" s="5" t="str">
        <f>VLOOKUP($A27,tropes!$A$4:$O$2428,11,FALSE)</f>
        <v>Dagger of the Mind</v>
      </c>
      <c r="L27" s="5">
        <f>VLOOKUP($A27,tropes!$A$4:$O$2428,12,FALSE)</f>
        <v>1</v>
      </c>
      <c r="M27" s="5">
        <f>VLOOKUP($A27,tropes!$A$4:$O$2428,13,FALSE)</f>
        <v>9</v>
      </c>
      <c r="N27" s="5">
        <f t="shared" si="0"/>
        <v>1</v>
      </c>
    </row>
    <row r="28" spans="1:14" x14ac:dyDescent="0.3">
      <c r="A28" s="14">
        <v>2076</v>
      </c>
      <c r="B28" s="5" t="str">
        <f>VLOOKUP($A28,tropes!$A$4:$O$2428,2,FALSE)</f>
        <v>Mental Fusion</v>
      </c>
      <c r="C28" s="5" t="str">
        <f>VLOOKUP($A28,tropes!$A$4:$O$2428,3,FALSE)</f>
        <v>catchphrase</v>
      </c>
      <c r="D28" s="5" t="str">
        <f>VLOOKUP($A28,tropes!$A$4:$O$2428,4,FALSE)</f>
        <v>mind_meld</v>
      </c>
      <c r="E28" s="5" t="str">
        <f>VLOOKUP($A28,tropes!$A$4:$O$2428,5,FALSE)</f>
        <v>Spock mind melds with Dr. Van Gelder to see into his troubled mind.</v>
      </c>
      <c r="F28" s="5" t="str">
        <f>VLOOKUP($A28,tropes!$A$4:$O$2428,6,FALSE)</f>
        <v>spock</v>
      </c>
      <c r="G28" s="5">
        <f>VLOOKUP($A28,tropes!$A$4:$O$2428,7,FALSE)</f>
        <v>1</v>
      </c>
      <c r="H28" s="5">
        <f>VLOOKUP($A28,tropes!$A$4:$O$2428,8,FALSE)</f>
        <v>0</v>
      </c>
      <c r="I28" s="5">
        <f>VLOOKUP($A28,tropes!$A$4:$O$2428,9,FALSE)</f>
        <v>109</v>
      </c>
      <c r="J28" s="5">
        <f>VLOOKUP($A28,tropes!$A$4:$O$2428,10,FALSE)</f>
        <v>10</v>
      </c>
      <c r="K28" s="5" t="str">
        <f>VLOOKUP($A28,tropes!$A$4:$O$2428,11,FALSE)</f>
        <v>Dagger of the Mind</v>
      </c>
      <c r="L28" s="5">
        <f>VLOOKUP($A28,tropes!$A$4:$O$2428,12,FALSE)</f>
        <v>1</v>
      </c>
      <c r="M28" s="5">
        <f>VLOOKUP($A28,tropes!$A$4:$O$2428,13,FALSE)</f>
        <v>9</v>
      </c>
      <c r="N28" s="5">
        <f t="shared" si="0"/>
        <v>2</v>
      </c>
    </row>
    <row r="29" spans="1:14" x14ac:dyDescent="0.3">
      <c r="A29" s="14">
        <v>2078</v>
      </c>
      <c r="B29" s="5" t="str">
        <f>VLOOKUP($A29,tropes!$A$4:$O$2428,2,FALSE)</f>
        <v>Fascinating</v>
      </c>
      <c r="C29" s="5" t="str">
        <f>VLOOKUP($A29,tropes!$A$4:$O$2428,3,FALSE)</f>
        <v>catchphrase</v>
      </c>
      <c r="D29" s="5" t="str">
        <f>VLOOKUP($A29,tropes!$A$4:$O$2428,4,FALSE)</f>
        <v>fascinating</v>
      </c>
      <c r="E29" s="5" t="str">
        <f>VLOOKUP($A29,tropes!$A$4:$O$2428,5,FALSE)</f>
        <v>Spock: Fascinating. | Kirk: What's its mass, Mister Spock? | Spock: Reading goes off my scale, Captain. Must be a mile in diameter.</v>
      </c>
      <c r="F29" s="5" t="str">
        <f>VLOOKUP($A29,tropes!$A$4:$O$2428,6,FALSE)</f>
        <v>spock</v>
      </c>
      <c r="G29" s="5">
        <f>VLOOKUP($A29,tropes!$A$4:$O$2428,7,FALSE)</f>
        <v>1</v>
      </c>
      <c r="H29" s="5">
        <f>VLOOKUP($A29,tropes!$A$4:$O$2428,8,FALSE)</f>
        <v>0</v>
      </c>
      <c r="I29" s="5">
        <f>VLOOKUP($A29,tropes!$A$4:$O$2428,9,FALSE)</f>
        <v>110</v>
      </c>
      <c r="J29" s="5">
        <f>VLOOKUP($A29,tropes!$A$4:$O$2428,10,FALSE)</f>
        <v>11</v>
      </c>
      <c r="K29" s="5" t="str">
        <f>VLOOKUP($A29,tropes!$A$4:$O$2428,11,FALSE)</f>
        <v>The Corbomite Maneuver</v>
      </c>
      <c r="L29" s="5">
        <f>VLOOKUP($A29,tropes!$A$4:$O$2428,12,FALSE)</f>
        <v>1</v>
      </c>
      <c r="M29" s="5">
        <f>VLOOKUP($A29,tropes!$A$4:$O$2428,13,FALSE)</f>
        <v>10</v>
      </c>
      <c r="N29" s="5">
        <f t="shared" si="0"/>
        <v>0</v>
      </c>
    </row>
    <row r="30" spans="1:14" x14ac:dyDescent="0.3">
      <c r="A30" s="14">
        <v>1506</v>
      </c>
      <c r="B30" s="5" t="str">
        <f>VLOOKUP($A30,tropes!$A$4:$O$2428,2,FALSE)</f>
        <v>I'm a Doctor</v>
      </c>
      <c r="C30" s="5" t="str">
        <f>VLOOKUP($A30,tropes!$A$4:$O$2428,3,FALSE)</f>
        <v>catchphrase</v>
      </c>
      <c r="D30" s="5" t="str">
        <f>VLOOKUP($A30,tropes!$A$4:$O$2428,4,FALSE)</f>
        <v>im_a_doctor</v>
      </c>
      <c r="E30" s="5" t="str">
        <f>VLOOKUP($A30,tropes!$A$4:$O$2428,5,FALSE)</f>
        <v>McCoy: What am I? A doctor or a moon shuttle conductor.</v>
      </c>
      <c r="F30" s="5" t="str">
        <f>VLOOKUP($A30,tropes!$A$4:$O$2428,6,FALSE)</f>
        <v>mccoy</v>
      </c>
      <c r="G30" s="5">
        <f>VLOOKUP($A30,tropes!$A$4:$O$2428,7,FALSE)</f>
        <v>0</v>
      </c>
      <c r="H30" s="5">
        <f>VLOOKUP($A30,tropes!$A$4:$O$2428,8,FALSE)</f>
        <v>1</v>
      </c>
      <c r="I30" s="5">
        <f>VLOOKUP($A30,tropes!$A$4:$O$2428,9,FALSE)</f>
        <v>110</v>
      </c>
      <c r="J30" s="5">
        <f>VLOOKUP($A30,tropes!$A$4:$O$2428,10,FALSE)</f>
        <v>11</v>
      </c>
      <c r="K30" s="5" t="str">
        <f>VLOOKUP($A30,tropes!$A$4:$O$2428,11,FALSE)</f>
        <v>The Corbomite Maneuver</v>
      </c>
      <c r="L30" s="5">
        <f>VLOOKUP($A30,tropes!$A$4:$O$2428,12,FALSE)</f>
        <v>1</v>
      </c>
      <c r="M30" s="5">
        <f>VLOOKUP($A30,tropes!$A$4:$O$2428,13,FALSE)</f>
        <v>10</v>
      </c>
      <c r="N30" s="5">
        <f t="shared" si="0"/>
        <v>1</v>
      </c>
    </row>
    <row r="31" spans="1:14" x14ac:dyDescent="0.3">
      <c r="A31" s="14">
        <v>2079</v>
      </c>
      <c r="B31" s="5" t="str">
        <f>VLOOKUP($A31,tropes!$A$4:$O$2428,2,FALSE)</f>
        <v>Interesting</v>
      </c>
      <c r="C31" s="5" t="str">
        <f>VLOOKUP($A31,tropes!$A$4:$O$2428,3,FALSE)</f>
        <v>catchphrase</v>
      </c>
      <c r="D31" s="5" t="str">
        <f>VLOOKUP($A31,tropes!$A$4:$O$2428,4,FALSE)</f>
        <v>interesting</v>
      </c>
      <c r="E31" s="5" t="str">
        <f>VLOOKUP($A31,tropes!$A$4:$O$2428,5,FALSE)</f>
        <v>Spock: Might be interesting to see what they look like if I can locate where that voice is coming from. (McCoy and Scotty enter)</v>
      </c>
      <c r="F31" s="5" t="str">
        <f>VLOOKUP($A31,tropes!$A$4:$O$2428,6,FALSE)</f>
        <v>spock</v>
      </c>
      <c r="G31" s="5">
        <f>VLOOKUP($A31,tropes!$A$4:$O$2428,7,FALSE)</f>
        <v>1</v>
      </c>
      <c r="H31" s="5">
        <f>VLOOKUP($A31,tropes!$A$4:$O$2428,8,FALSE)</f>
        <v>0</v>
      </c>
      <c r="I31" s="5">
        <f>VLOOKUP($A31,tropes!$A$4:$O$2428,9,FALSE)</f>
        <v>110</v>
      </c>
      <c r="J31" s="5">
        <f>VLOOKUP($A31,tropes!$A$4:$O$2428,10,FALSE)</f>
        <v>11</v>
      </c>
      <c r="K31" s="5" t="str">
        <f>VLOOKUP($A31,tropes!$A$4:$O$2428,11,FALSE)</f>
        <v>The Corbomite Maneuver</v>
      </c>
      <c r="L31" s="5">
        <f>VLOOKUP($A31,tropes!$A$4:$O$2428,12,FALSE)</f>
        <v>1</v>
      </c>
      <c r="M31" s="5">
        <f>VLOOKUP($A31,tropes!$A$4:$O$2428,13,FALSE)</f>
        <v>10</v>
      </c>
      <c r="N31" s="5">
        <f t="shared" si="0"/>
        <v>2</v>
      </c>
    </row>
    <row r="32" spans="1:14" x14ac:dyDescent="0.3">
      <c r="A32" s="14">
        <v>2083</v>
      </c>
      <c r="B32" s="5" t="str">
        <f>VLOOKUP($A32,tropes!$A$4:$O$2428,2,FALSE)</f>
        <v>Screw The Rules</v>
      </c>
      <c r="C32" s="5" t="str">
        <f>VLOOKUP($A32,tropes!$A$4:$O$2428,3,FALSE)</f>
        <v>catchphrase</v>
      </c>
      <c r="D32" s="5" t="str">
        <f>VLOOKUP($A32,tropes!$A$4:$O$2428,4,FALSE)</f>
        <v>disobey_starfleet_orders</v>
      </c>
      <c r="E32" s="5" t="str">
        <f>VLOOKUP($A32,tropes!$A$4:$O$2428,5,FALSE)</f>
        <v>Spock stole the Enterprise to return Pike to Talos IV.</v>
      </c>
      <c r="F32" s="5" t="str">
        <f>VLOOKUP($A32,tropes!$A$4:$O$2428,6,FALSE)</f>
        <v>spock</v>
      </c>
      <c r="G32" s="5">
        <f>VLOOKUP($A32,tropes!$A$4:$O$2428,7,FALSE)</f>
        <v>1</v>
      </c>
      <c r="H32" s="5">
        <f>VLOOKUP($A32,tropes!$A$4:$O$2428,8,FALSE)</f>
        <v>0</v>
      </c>
      <c r="I32" s="5">
        <f>VLOOKUP($A32,tropes!$A$4:$O$2428,9,FALSE)</f>
        <v>111</v>
      </c>
      <c r="J32" s="5">
        <f>VLOOKUP($A32,tropes!$A$4:$O$2428,10,FALSE)</f>
        <v>12</v>
      </c>
      <c r="K32" s="5" t="str">
        <f>VLOOKUP($A32,tropes!$A$4:$O$2428,11,FALSE)</f>
        <v>The Menagerie, Part I</v>
      </c>
      <c r="L32" s="5">
        <f>VLOOKUP($A32,tropes!$A$4:$O$2428,12,FALSE)</f>
        <v>1</v>
      </c>
      <c r="M32" s="5">
        <f>VLOOKUP($A32,tropes!$A$4:$O$2428,13,FALSE)</f>
        <v>11</v>
      </c>
      <c r="N32" s="5">
        <f t="shared" si="0"/>
        <v>0</v>
      </c>
    </row>
    <row r="33" spans="1:14" x14ac:dyDescent="0.3">
      <c r="A33" s="14">
        <v>1951</v>
      </c>
      <c r="B33" s="5" t="str">
        <f>VLOOKUP($A33,tropes!$A$4:$O$2428,2,FALSE)</f>
        <v>Fascinating Eyebrow</v>
      </c>
      <c r="C33" s="5" t="str">
        <f>VLOOKUP($A33,tropes!$A$4:$O$2428,3,FALSE)</f>
        <v>catchphrase</v>
      </c>
      <c r="D33" s="5" t="str">
        <f>VLOOKUP($A33,tropes!$A$4:$O$2428,4,FALSE)</f>
        <v>eyebrow</v>
      </c>
      <c r="E33" s="5" t="str">
        <f>VLOOKUP($A33,tropes!$A$4:$O$2428,5,FALSE)</f>
        <v>First time Spock sees a Romulan he raises an eyebrow.</v>
      </c>
      <c r="F33" s="5" t="str">
        <f>VLOOKUP($A33,tropes!$A$4:$O$2428,6,FALSE)</f>
        <v>spock</v>
      </c>
      <c r="G33" s="5">
        <f>VLOOKUP($A33,tropes!$A$4:$O$2428,7,FALSE)</f>
        <v>1</v>
      </c>
      <c r="H33" s="5">
        <f>VLOOKUP($A33,tropes!$A$4:$O$2428,8,FALSE)</f>
        <v>0</v>
      </c>
      <c r="I33" s="5">
        <f>VLOOKUP($A33,tropes!$A$4:$O$2428,9,FALSE)</f>
        <v>114</v>
      </c>
      <c r="J33" s="5">
        <f>VLOOKUP($A33,tropes!$A$4:$O$2428,10,FALSE)</f>
        <v>15</v>
      </c>
      <c r="K33" s="5" t="str">
        <f>VLOOKUP($A33,tropes!$A$4:$O$2428,11,FALSE)</f>
        <v>Balance of Terror</v>
      </c>
      <c r="L33" s="5">
        <f>VLOOKUP($A33,tropes!$A$4:$O$2428,12,FALSE)</f>
        <v>1</v>
      </c>
      <c r="M33" s="5">
        <f>VLOOKUP($A33,tropes!$A$4:$O$2428,13,FALSE)</f>
        <v>14</v>
      </c>
      <c r="N33" s="5">
        <f t="shared" si="0"/>
        <v>0</v>
      </c>
    </row>
    <row r="34" spans="1:14" x14ac:dyDescent="0.3">
      <c r="A34" s="14">
        <v>2088</v>
      </c>
      <c r="B34" s="5" t="str">
        <f>VLOOKUP($A34,tropes!$A$4:$O$2428,2,FALSE)</f>
        <v>Interesting</v>
      </c>
      <c r="C34" s="5" t="str">
        <f>VLOOKUP($A34,tropes!$A$4:$O$2428,3,FALSE)</f>
        <v>catchphrase</v>
      </c>
      <c r="D34" s="5" t="str">
        <f>VLOOKUP($A34,tropes!$A$4:$O$2428,4,FALSE)</f>
        <v>interesting</v>
      </c>
      <c r="E34" s="5" t="str">
        <f>VLOOKUP($A34,tropes!$A$4:$O$2428,5,FALSE)</f>
        <v>Spock: Disappeared. Interesting how they became visible for just a moment.</v>
      </c>
      <c r="F34" s="5" t="str">
        <f>VLOOKUP($A34,tropes!$A$4:$O$2428,6,FALSE)</f>
        <v>spock</v>
      </c>
      <c r="G34" s="5">
        <f>VLOOKUP($A34,tropes!$A$4:$O$2428,7,FALSE)</f>
        <v>1</v>
      </c>
      <c r="H34" s="5">
        <f>VLOOKUP($A34,tropes!$A$4:$O$2428,8,FALSE)</f>
        <v>0</v>
      </c>
      <c r="I34" s="5">
        <f>VLOOKUP($A34,tropes!$A$4:$O$2428,9,FALSE)</f>
        <v>114</v>
      </c>
      <c r="J34" s="5">
        <f>VLOOKUP($A34,tropes!$A$4:$O$2428,10,FALSE)</f>
        <v>15</v>
      </c>
      <c r="K34" s="5" t="str">
        <f>VLOOKUP($A34,tropes!$A$4:$O$2428,11,FALSE)</f>
        <v>Balance of Terror</v>
      </c>
      <c r="L34" s="5">
        <f>VLOOKUP($A34,tropes!$A$4:$O$2428,12,FALSE)</f>
        <v>1</v>
      </c>
      <c r="M34" s="5">
        <f>VLOOKUP($A34,tropes!$A$4:$O$2428,13,FALSE)</f>
        <v>14</v>
      </c>
      <c r="N34" s="5">
        <f t="shared" si="0"/>
        <v>1</v>
      </c>
    </row>
    <row r="35" spans="1:14" x14ac:dyDescent="0.3">
      <c r="A35" s="14">
        <v>2089</v>
      </c>
      <c r="B35" s="5" t="str">
        <f>VLOOKUP($A35,tropes!$A$4:$O$2428,2,FALSE)</f>
        <v>Fascinating</v>
      </c>
      <c r="C35" s="5" t="str">
        <f>VLOOKUP($A35,tropes!$A$4:$O$2428,3,FALSE)</f>
        <v>catchphrase</v>
      </c>
      <c r="D35" s="5" t="str">
        <f>VLOOKUP($A35,tropes!$A$4:$O$2428,4,FALSE)</f>
        <v>fascinating</v>
      </c>
      <c r="E35" s="5" t="str">
        <f>VLOOKUP($A35,tropes!$A$4:$O$2428,5,FALSE)</f>
        <v>Spock: A place (Amusement Park) where people could go and see all sorts of fascinating things.</v>
      </c>
      <c r="F35" s="5" t="str">
        <f>VLOOKUP($A35,tropes!$A$4:$O$2428,6,FALSE)</f>
        <v>spock</v>
      </c>
      <c r="G35" s="5">
        <f>VLOOKUP($A35,tropes!$A$4:$O$2428,7,FALSE)</f>
        <v>1</v>
      </c>
      <c r="H35" s="5">
        <f>VLOOKUP($A35,tropes!$A$4:$O$2428,8,FALSE)</f>
        <v>0</v>
      </c>
      <c r="I35" s="5">
        <f>VLOOKUP($A35,tropes!$A$4:$O$2428,9,FALSE)</f>
        <v>115</v>
      </c>
      <c r="J35" s="5">
        <f>VLOOKUP($A35,tropes!$A$4:$O$2428,10,FALSE)</f>
        <v>16</v>
      </c>
      <c r="K35" s="5" t="str">
        <f>VLOOKUP($A35,tropes!$A$4:$O$2428,11,FALSE)</f>
        <v>Shore Leave</v>
      </c>
      <c r="L35" s="5">
        <f>VLOOKUP($A35,tropes!$A$4:$O$2428,12,FALSE)</f>
        <v>1</v>
      </c>
      <c r="M35" s="5">
        <f>VLOOKUP($A35,tropes!$A$4:$O$2428,13,FALSE)</f>
        <v>15</v>
      </c>
      <c r="N35" s="5">
        <f t="shared" si="0"/>
        <v>0</v>
      </c>
    </row>
    <row r="36" spans="1:14" x14ac:dyDescent="0.3">
      <c r="A36" s="14">
        <v>87</v>
      </c>
      <c r="B36" s="5" t="str">
        <f>VLOOKUP($A36,tropes!$A$4:$O$2428,2,FALSE)</f>
        <v>He's Dead</v>
      </c>
      <c r="C36" s="5" t="str">
        <f>VLOOKUP($A36,tropes!$A$4:$O$2428,3,FALSE)</f>
        <v>catchphrase</v>
      </c>
      <c r="D36" s="5" t="str">
        <f>VLOOKUP($A36,tropes!$A$4:$O$2428,4,FALSE)</f>
        <v>hes_dead</v>
      </c>
      <c r="E36" s="5" t="str">
        <f>VLOOKUP($A36,tropes!$A$4:$O$2428,5,FALSE)</f>
        <v>Yeoman Barrows (after McCoy skewered by knight): He's dead.</v>
      </c>
      <c r="F36" s="5" t="str">
        <f>VLOOKUP($A36,tropes!$A$4:$O$2428,6,FALSE)</f>
        <v>barrows</v>
      </c>
      <c r="G36" s="5">
        <f>VLOOKUP($A36,tropes!$A$4:$O$2428,7,FALSE)</f>
        <v>0</v>
      </c>
      <c r="H36" s="5">
        <f>VLOOKUP($A36,tropes!$A$4:$O$2428,8,FALSE)</f>
        <v>0</v>
      </c>
      <c r="I36" s="5">
        <f>VLOOKUP($A36,tropes!$A$4:$O$2428,9,FALSE)</f>
        <v>115</v>
      </c>
      <c r="J36" s="5">
        <f>VLOOKUP($A36,tropes!$A$4:$O$2428,10,FALSE)</f>
        <v>16</v>
      </c>
      <c r="K36" s="5" t="str">
        <f>VLOOKUP($A36,tropes!$A$4:$O$2428,11,FALSE)</f>
        <v>Shore Leave</v>
      </c>
      <c r="L36" s="5">
        <f>VLOOKUP($A36,tropes!$A$4:$O$2428,12,FALSE)</f>
        <v>1</v>
      </c>
      <c r="M36" s="5">
        <f>VLOOKUP($A36,tropes!$A$4:$O$2428,13,FALSE)</f>
        <v>15</v>
      </c>
      <c r="N36" s="5">
        <f t="shared" si="0"/>
        <v>1</v>
      </c>
    </row>
    <row r="37" spans="1:14" x14ac:dyDescent="0.3">
      <c r="A37" s="14">
        <v>2090</v>
      </c>
      <c r="B37" s="5" t="str">
        <f>VLOOKUP($A37,tropes!$A$4:$O$2428,2,FALSE)</f>
        <v>Interesting</v>
      </c>
      <c r="C37" s="5" t="str">
        <f>VLOOKUP($A37,tropes!$A$4:$O$2428,3,FALSE)</f>
        <v>catchphrase</v>
      </c>
      <c r="D37" s="5" t="str">
        <f>VLOOKUP($A37,tropes!$A$4:$O$2428,4,FALSE)</f>
        <v>interesting</v>
      </c>
      <c r="E37" s="5" t="str">
        <f>VLOOKUP($A37,tropes!$A$4:$O$2428,5,FALSE)</f>
        <v>Spock: James Kirk. Enjoy yourself, Captain. It's an interesting planet.</v>
      </c>
      <c r="F37" s="5" t="str">
        <f>VLOOKUP($A37,tropes!$A$4:$O$2428,6,FALSE)</f>
        <v>spock</v>
      </c>
      <c r="G37" s="5">
        <f>VLOOKUP($A37,tropes!$A$4:$O$2428,7,FALSE)</f>
        <v>1</v>
      </c>
      <c r="H37" s="5">
        <f>VLOOKUP($A37,tropes!$A$4:$O$2428,8,FALSE)</f>
        <v>0</v>
      </c>
      <c r="I37" s="5">
        <f>VLOOKUP($A37,tropes!$A$4:$O$2428,9,FALSE)</f>
        <v>115</v>
      </c>
      <c r="J37" s="5">
        <f>VLOOKUP($A37,tropes!$A$4:$O$2428,10,FALSE)</f>
        <v>16</v>
      </c>
      <c r="K37" s="5" t="str">
        <f>VLOOKUP($A37,tropes!$A$4:$O$2428,11,FALSE)</f>
        <v>Shore Leave</v>
      </c>
      <c r="L37" s="5">
        <f>VLOOKUP($A37,tropes!$A$4:$O$2428,12,FALSE)</f>
        <v>1</v>
      </c>
      <c r="M37" s="5">
        <f>VLOOKUP($A37,tropes!$A$4:$O$2428,13,FALSE)</f>
        <v>15</v>
      </c>
      <c r="N37" s="5">
        <f t="shared" si="0"/>
        <v>2</v>
      </c>
    </row>
    <row r="38" spans="1:14" x14ac:dyDescent="0.3">
      <c r="A38" s="14">
        <v>99</v>
      </c>
      <c r="B38" s="5" t="str">
        <f>VLOOKUP($A38,tropes!$A$4:$O$2428,2,FALSE)</f>
        <v>Fantastic Racism</v>
      </c>
      <c r="C38" s="5" t="str">
        <f>VLOOKUP($A38,tropes!$A$4:$O$2428,3,FALSE)</f>
        <v>catchphrase</v>
      </c>
      <c r="D38" s="5" t="str">
        <f>VLOOKUP($A38,tropes!$A$4:$O$2428,4,FALSE)</f>
        <v>racism</v>
      </c>
      <c r="E38" s="5" t="str">
        <f>VLOOKUP($A38,tropes!$A$4:$O$2428,5,FALSE)</f>
        <v>Lt. Bowman: I'm sick and tired of this machine.</v>
      </c>
      <c r="F38" s="5" t="str">
        <f>VLOOKUP($A38,tropes!$A$4:$O$2428,6,FALSE)</f>
        <v>blueshirt</v>
      </c>
      <c r="G38" s="5">
        <f>VLOOKUP($A38,tropes!$A$4:$O$2428,7,FALSE)</f>
        <v>0</v>
      </c>
      <c r="H38" s="5">
        <f>VLOOKUP($A38,tropes!$A$4:$O$2428,8,FALSE)</f>
        <v>0</v>
      </c>
      <c r="I38" s="5">
        <f>VLOOKUP($A38,tropes!$A$4:$O$2428,9,FALSE)</f>
        <v>116</v>
      </c>
      <c r="J38" s="5">
        <f>VLOOKUP($A38,tropes!$A$4:$O$2428,10,FALSE)</f>
        <v>17</v>
      </c>
      <c r="K38" s="5" t="str">
        <f>VLOOKUP($A38,tropes!$A$4:$O$2428,11,FALSE)</f>
        <v>The Galileo Seven</v>
      </c>
      <c r="L38" s="5">
        <f>VLOOKUP($A38,tropes!$A$4:$O$2428,12,FALSE)</f>
        <v>1</v>
      </c>
      <c r="M38" s="5">
        <f>VLOOKUP($A38,tropes!$A$4:$O$2428,13,FALSE)</f>
        <v>16</v>
      </c>
      <c r="N38" s="5">
        <f t="shared" si="0"/>
        <v>0</v>
      </c>
    </row>
    <row r="39" spans="1:14" x14ac:dyDescent="0.3">
      <c r="A39" s="14">
        <v>2095</v>
      </c>
      <c r="B39" s="5" t="str">
        <f>VLOOKUP($A39,tropes!$A$4:$O$2428,2,FALSE)</f>
        <v>Fascinating Eyebrow</v>
      </c>
      <c r="C39" s="5" t="str">
        <f>VLOOKUP($A39,tropes!$A$4:$O$2428,3,FALSE)</f>
        <v>catchphrase</v>
      </c>
      <c r="D39" s="5" t="str">
        <f>VLOOKUP($A39,tropes!$A$4:$O$2428,4,FALSE)</f>
        <v>eyebrow</v>
      </c>
      <c r="E39" s="5" t="str">
        <f>VLOOKUP($A39,tropes!$A$4:$O$2428,5,FALSE)</f>
        <v>Spock considering his options on how to get the Galileo Seven back into space.</v>
      </c>
      <c r="F39" s="5" t="str">
        <f>VLOOKUP($A39,tropes!$A$4:$O$2428,6,FALSE)</f>
        <v>spock</v>
      </c>
      <c r="G39" s="5">
        <f>VLOOKUP($A39,tropes!$A$4:$O$2428,7,FALSE)</f>
        <v>1</v>
      </c>
      <c r="H39" s="5">
        <f>VLOOKUP($A39,tropes!$A$4:$O$2428,8,FALSE)</f>
        <v>0</v>
      </c>
      <c r="I39" s="5">
        <f>VLOOKUP($A39,tropes!$A$4:$O$2428,9,FALSE)</f>
        <v>116</v>
      </c>
      <c r="J39" s="5">
        <f>VLOOKUP($A39,tropes!$A$4:$O$2428,10,FALSE)</f>
        <v>17</v>
      </c>
      <c r="K39" s="5" t="str">
        <f>VLOOKUP($A39,tropes!$A$4:$O$2428,11,FALSE)</f>
        <v>The Galileo Seven</v>
      </c>
      <c r="L39" s="5">
        <f>VLOOKUP($A39,tropes!$A$4:$O$2428,12,FALSE)</f>
        <v>1</v>
      </c>
      <c r="M39" s="5">
        <f>VLOOKUP($A39,tropes!$A$4:$O$2428,13,FALSE)</f>
        <v>16</v>
      </c>
      <c r="N39" s="5">
        <f t="shared" si="0"/>
        <v>1</v>
      </c>
    </row>
    <row r="40" spans="1:14" x14ac:dyDescent="0.3">
      <c r="A40" s="14">
        <v>2098</v>
      </c>
      <c r="B40" s="5" t="str">
        <f>VLOOKUP($A40,tropes!$A$4:$O$2428,2,FALSE)</f>
        <v>Straw Vulcan</v>
      </c>
      <c r="C40" s="5" t="str">
        <f>VLOOKUP($A40,tropes!$A$4:$O$2428,3,FALSE)</f>
        <v>catchphrase</v>
      </c>
      <c r="D40" s="5" t="str">
        <f>VLOOKUP($A40,tropes!$A$4:$O$2428,4,FALSE)</f>
        <v>spock</v>
      </c>
      <c r="E40" s="5" t="str">
        <f>VLOOKUP($A40,tropes!$A$4:$O$2428,5,FALSE)</f>
        <v>Spock accused of desperation move for burning the fuel to use as a flare.</v>
      </c>
      <c r="F40" s="5" t="str">
        <f>VLOOKUP($A40,tropes!$A$4:$O$2428,6,FALSE)</f>
        <v>spock</v>
      </c>
      <c r="G40" s="5">
        <f>VLOOKUP($A40,tropes!$A$4:$O$2428,7,FALSE)</f>
        <v>1</v>
      </c>
      <c r="H40" s="5">
        <f>VLOOKUP($A40,tropes!$A$4:$O$2428,8,FALSE)</f>
        <v>0</v>
      </c>
      <c r="I40" s="5">
        <f>VLOOKUP($A40,tropes!$A$4:$O$2428,9,FALSE)</f>
        <v>116</v>
      </c>
      <c r="J40" s="5">
        <f>VLOOKUP($A40,tropes!$A$4:$O$2428,10,FALSE)</f>
        <v>17</v>
      </c>
      <c r="K40" s="5" t="str">
        <f>VLOOKUP($A40,tropes!$A$4:$O$2428,11,FALSE)</f>
        <v>The Galileo Seven</v>
      </c>
      <c r="L40" s="5">
        <f>VLOOKUP($A40,tropes!$A$4:$O$2428,12,FALSE)</f>
        <v>1</v>
      </c>
      <c r="M40" s="5">
        <f>VLOOKUP($A40,tropes!$A$4:$O$2428,13,FALSE)</f>
        <v>16</v>
      </c>
      <c r="N40" s="5">
        <f t="shared" si="0"/>
        <v>2</v>
      </c>
    </row>
    <row r="41" spans="1:14" x14ac:dyDescent="0.3">
      <c r="A41" s="14">
        <v>2102</v>
      </c>
      <c r="B41" s="5" t="str">
        <f>VLOOKUP($A41,tropes!$A$4:$O$2428,2,FALSE)</f>
        <v>Fascinating</v>
      </c>
      <c r="C41" s="5" t="str">
        <f>VLOOKUP($A41,tropes!$A$4:$O$2428,3,FALSE)</f>
        <v>catchphrase</v>
      </c>
      <c r="D41" s="5" t="str">
        <f>VLOOKUP($A41,tropes!$A$4:$O$2428,4,FALSE)</f>
        <v>fascinating</v>
      </c>
      <c r="E41" s="5" t="str">
        <f>VLOOKUP($A41,tropes!$A$4:$O$2428,5,FALSE)</f>
        <v>Kirk: Does your logic find this fascinating?  | Spock: Fascinating I use for the unexpected. In this case, interesting should suffice.</v>
      </c>
      <c r="F41" s="5" t="str">
        <f>VLOOKUP($A41,tropes!$A$4:$O$2428,6,FALSE)</f>
        <v>Spock</v>
      </c>
      <c r="G41" s="5">
        <f>VLOOKUP($A41,tropes!$A$4:$O$2428,7,FALSE)</f>
        <v>1</v>
      </c>
      <c r="H41" s="5">
        <f>VLOOKUP($A41,tropes!$A$4:$O$2428,8,FALSE)</f>
        <v>0</v>
      </c>
      <c r="I41" s="5">
        <f>VLOOKUP($A41,tropes!$A$4:$O$2428,9,FALSE)</f>
        <v>117</v>
      </c>
      <c r="J41" s="5">
        <f>VLOOKUP($A41,tropes!$A$4:$O$2428,10,FALSE)</f>
        <v>18</v>
      </c>
      <c r="K41" s="5" t="str">
        <f>VLOOKUP($A41,tropes!$A$4:$O$2428,11,FALSE)</f>
        <v>The Squire of Gothos</v>
      </c>
      <c r="L41" s="5">
        <f>VLOOKUP($A41,tropes!$A$4:$O$2428,12,FALSE)</f>
        <v>1</v>
      </c>
      <c r="M41" s="5">
        <f>VLOOKUP($A41,tropes!$A$4:$O$2428,13,FALSE)</f>
        <v>17</v>
      </c>
      <c r="N41" s="5">
        <f t="shared" si="0"/>
        <v>0</v>
      </c>
    </row>
    <row r="42" spans="1:14" x14ac:dyDescent="0.3">
      <c r="A42" s="14">
        <v>2105</v>
      </c>
      <c r="B42" s="5" t="str">
        <f>VLOOKUP($A42,tropes!$A$4:$O$2428,2,FALSE)</f>
        <v>Fascinating Eyebrow</v>
      </c>
      <c r="C42" s="5" t="str">
        <f>VLOOKUP($A42,tropes!$A$4:$O$2428,3,FALSE)</f>
        <v>catchphrase</v>
      </c>
      <c r="D42" s="5" t="str">
        <f>VLOOKUP($A42,tropes!$A$4:$O$2428,4,FALSE)</f>
        <v>eyebrow</v>
      </c>
      <c r="E42" s="5" t="str">
        <f>VLOOKUP($A42,tropes!$A$4:$O$2428,5,FALSE)</f>
        <v>Spock tries to classify Trelane to Kirk after their adventure for his report.</v>
      </c>
      <c r="F42" s="5" t="str">
        <f>VLOOKUP($A42,tropes!$A$4:$O$2428,6,FALSE)</f>
        <v>spock</v>
      </c>
      <c r="G42" s="5">
        <f>VLOOKUP($A42,tropes!$A$4:$O$2428,7,FALSE)</f>
        <v>1</v>
      </c>
      <c r="H42" s="5">
        <f>VLOOKUP($A42,tropes!$A$4:$O$2428,8,FALSE)</f>
        <v>0</v>
      </c>
      <c r="I42" s="5">
        <f>VLOOKUP($A42,tropes!$A$4:$O$2428,9,FALSE)</f>
        <v>117</v>
      </c>
      <c r="J42" s="5">
        <f>VLOOKUP($A42,tropes!$A$4:$O$2428,10,FALSE)</f>
        <v>18</v>
      </c>
      <c r="K42" s="5" t="str">
        <f>VLOOKUP($A42,tropes!$A$4:$O$2428,11,FALSE)</f>
        <v>The Squire of Gothos</v>
      </c>
      <c r="L42" s="5">
        <f>VLOOKUP($A42,tropes!$A$4:$O$2428,12,FALSE)</f>
        <v>1</v>
      </c>
      <c r="M42" s="5">
        <f>VLOOKUP($A42,tropes!$A$4:$O$2428,13,FALSE)</f>
        <v>17</v>
      </c>
      <c r="N42" s="5">
        <f t="shared" si="0"/>
        <v>1</v>
      </c>
    </row>
    <row r="43" spans="1:14" x14ac:dyDescent="0.3">
      <c r="A43" s="14">
        <v>2103</v>
      </c>
      <c r="B43" s="5" t="str">
        <f>VLOOKUP($A43,tropes!$A$4:$O$2428,2,FALSE)</f>
        <v>Interesting</v>
      </c>
      <c r="C43" s="5" t="str">
        <f>VLOOKUP($A43,tropes!$A$4:$O$2428,3,FALSE)</f>
        <v>catchphrase</v>
      </c>
      <c r="D43" s="5" t="str">
        <f>VLOOKUP($A43,tropes!$A$4:$O$2428,4,FALSE)</f>
        <v>interesting</v>
      </c>
      <c r="E43" s="5" t="str">
        <f>VLOOKUP($A43,tropes!$A$4:$O$2428,5,FALSE)</f>
        <v>McCoy: There's that magic word again. Does your logic find this fascinating, Mister Spock? | Spock: Fascinating is a word I use for the unexpected. In this case, I should think interesting would suffice.</v>
      </c>
      <c r="F43" s="5" t="str">
        <f>VLOOKUP($A43,tropes!$A$4:$O$2428,6,FALSE)</f>
        <v>spock</v>
      </c>
      <c r="G43" s="5">
        <f>VLOOKUP($A43,tropes!$A$4:$O$2428,7,FALSE)</f>
        <v>1</v>
      </c>
      <c r="H43" s="5">
        <f>VLOOKUP($A43,tropes!$A$4:$O$2428,8,FALSE)</f>
        <v>0</v>
      </c>
      <c r="I43" s="5">
        <f>VLOOKUP($A43,tropes!$A$4:$O$2428,9,FALSE)</f>
        <v>117</v>
      </c>
      <c r="J43" s="5">
        <f>VLOOKUP($A43,tropes!$A$4:$O$2428,10,FALSE)</f>
        <v>18</v>
      </c>
      <c r="K43" s="5" t="str">
        <f>VLOOKUP($A43,tropes!$A$4:$O$2428,11,FALSE)</f>
        <v>The Squire of Gothos</v>
      </c>
      <c r="L43" s="5">
        <f>VLOOKUP($A43,tropes!$A$4:$O$2428,12,FALSE)</f>
        <v>1</v>
      </c>
      <c r="M43" s="5">
        <f>VLOOKUP($A43,tropes!$A$4:$O$2428,13,FALSE)</f>
        <v>17</v>
      </c>
      <c r="N43" s="5">
        <f t="shared" si="0"/>
        <v>2</v>
      </c>
    </row>
    <row r="44" spans="1:14" x14ac:dyDescent="0.3">
      <c r="A44" s="14">
        <v>2106</v>
      </c>
      <c r="B44" s="5" t="str">
        <f>VLOOKUP($A44,tropes!$A$4:$O$2428,2,FALSE)</f>
        <v>Fascinating</v>
      </c>
      <c r="C44" s="5" t="str">
        <f>VLOOKUP($A44,tropes!$A$4:$O$2428,3,FALSE)</f>
        <v>catchphrase</v>
      </c>
      <c r="D44" s="5" t="str">
        <f>VLOOKUP($A44,tropes!$A$4:$O$2428,4,FALSE)</f>
        <v>fascinating</v>
      </c>
      <c r="E44" s="5" t="str">
        <f>VLOOKUP($A44,tropes!$A$4:$O$2428,5,FALSE)</f>
        <v>Spock: Fascinating. Good. Good. He knows, Doctor. He has reasoned it out.</v>
      </c>
      <c r="F44" s="5" t="str">
        <f>VLOOKUP($A44,tropes!$A$4:$O$2428,6,FALSE)</f>
        <v>spock</v>
      </c>
      <c r="G44" s="5">
        <f>VLOOKUP($A44,tropes!$A$4:$O$2428,7,FALSE)</f>
        <v>1</v>
      </c>
      <c r="H44" s="5">
        <f>VLOOKUP($A44,tropes!$A$4:$O$2428,8,FALSE)</f>
        <v>0</v>
      </c>
      <c r="I44" s="5">
        <f>VLOOKUP($A44,tropes!$A$4:$O$2428,9,FALSE)</f>
        <v>118</v>
      </c>
      <c r="J44" s="5">
        <f>VLOOKUP($A44,tropes!$A$4:$O$2428,10,FALSE)</f>
        <v>19</v>
      </c>
      <c r="K44" s="5" t="str">
        <f>VLOOKUP($A44,tropes!$A$4:$O$2428,11,FALSE)</f>
        <v>Arena</v>
      </c>
      <c r="L44" s="5">
        <f>VLOOKUP($A44,tropes!$A$4:$O$2428,12,FALSE)</f>
        <v>1</v>
      </c>
      <c r="M44" s="5">
        <f>VLOOKUP($A44,tropes!$A$4:$O$2428,13,FALSE)</f>
        <v>18</v>
      </c>
      <c r="N44" s="5">
        <f t="shared" si="0"/>
        <v>0</v>
      </c>
    </row>
    <row r="45" spans="1:14" x14ac:dyDescent="0.3">
      <c r="A45" s="14">
        <v>2117</v>
      </c>
      <c r="B45" s="5" t="str">
        <f>VLOOKUP($A45,tropes!$A$4:$O$2428,2,FALSE)</f>
        <v>Vulcanian</v>
      </c>
      <c r="C45" s="5" t="str">
        <f>VLOOKUP($A45,tropes!$A$4:$O$2428,3,FALSE)</f>
        <v>catchphrase</v>
      </c>
      <c r="D45" s="5" t="str">
        <f>VLOOKUP($A45,tropes!$A$4:$O$2428,4,FALSE)</f>
        <v>vulcanian</v>
      </c>
      <c r="E45" s="5" t="str">
        <f>VLOOKUP($A45,tropes!$A$4:$O$2428,5,FALSE)</f>
        <v>Spock sworn in as Vulcanian.</v>
      </c>
      <c r="F45" s="5" t="str">
        <f>VLOOKUP($A45,tropes!$A$4:$O$2428,6,FALSE)</f>
        <v>spock</v>
      </c>
      <c r="G45" s="5">
        <f>VLOOKUP($A45,tropes!$A$4:$O$2428,7,FALSE)</f>
        <v>1</v>
      </c>
      <c r="H45" s="5">
        <f>VLOOKUP($A45,tropes!$A$4:$O$2428,8,FALSE)</f>
        <v>0</v>
      </c>
      <c r="I45" s="5">
        <f>VLOOKUP($A45,tropes!$A$4:$O$2428,9,FALSE)</f>
        <v>120</v>
      </c>
      <c r="J45" s="5">
        <f>VLOOKUP($A45,tropes!$A$4:$O$2428,10,FALSE)</f>
        <v>21</v>
      </c>
      <c r="K45" s="5" t="str">
        <f>VLOOKUP($A45,tropes!$A$4:$O$2428,11,FALSE)</f>
        <v>Court Martial</v>
      </c>
      <c r="L45" s="5">
        <f>VLOOKUP($A45,tropes!$A$4:$O$2428,12,FALSE)</f>
        <v>1</v>
      </c>
      <c r="M45" s="5">
        <f>VLOOKUP($A45,tropes!$A$4:$O$2428,13,FALSE)</f>
        <v>20</v>
      </c>
      <c r="N45" s="5">
        <f t="shared" si="0"/>
        <v>0</v>
      </c>
    </row>
    <row r="46" spans="1:14" x14ac:dyDescent="0.3">
      <c r="A46" s="14">
        <v>2120</v>
      </c>
      <c r="B46" s="5" t="str">
        <f>VLOOKUP($A46,tropes!$A$4:$O$2428,2,FALSE)</f>
        <v>Fascinating</v>
      </c>
      <c r="C46" s="5" t="str">
        <f>VLOOKUP($A46,tropes!$A$4:$O$2428,3,FALSE)</f>
        <v>catchphrase</v>
      </c>
      <c r="D46" s="5" t="str">
        <f>VLOOKUP($A46,tropes!$A$4:$O$2428,4,FALSE)</f>
        <v>fascinating</v>
      </c>
      <c r="E46" s="5" t="str">
        <f>VLOOKUP($A46,tropes!$A$4:$O$2428,5,FALSE)</f>
        <v>Spock (examining minion of Landru weapon): Fascinating. This is merely a hollow tube.</v>
      </c>
      <c r="F46" s="5" t="str">
        <f>VLOOKUP($A46,tropes!$A$4:$O$2428,6,FALSE)</f>
        <v>spock</v>
      </c>
      <c r="G46" s="5">
        <f>VLOOKUP($A46,tropes!$A$4:$O$2428,7,FALSE)</f>
        <v>1</v>
      </c>
      <c r="H46" s="5">
        <f>VLOOKUP($A46,tropes!$A$4:$O$2428,8,FALSE)</f>
        <v>0</v>
      </c>
      <c r="I46" s="5">
        <f>VLOOKUP($A46,tropes!$A$4:$O$2428,9,FALSE)</f>
        <v>121</v>
      </c>
      <c r="J46" s="5">
        <f>VLOOKUP($A46,tropes!$A$4:$O$2428,10,FALSE)</f>
        <v>22</v>
      </c>
      <c r="K46" s="5" t="str">
        <f>VLOOKUP($A46,tropes!$A$4:$O$2428,11,FALSE)</f>
        <v>The Return of the Archons</v>
      </c>
      <c r="L46" s="5">
        <f>VLOOKUP($A46,tropes!$A$4:$O$2428,12,FALSE)</f>
        <v>1</v>
      </c>
      <c r="M46" s="5">
        <f>VLOOKUP($A46,tropes!$A$4:$O$2428,13,FALSE)</f>
        <v>21</v>
      </c>
      <c r="N46" s="5">
        <f t="shared" si="0"/>
        <v>0</v>
      </c>
    </row>
    <row r="47" spans="1:14" x14ac:dyDescent="0.3">
      <c r="A47" s="14">
        <v>2121</v>
      </c>
      <c r="B47" s="5" t="str">
        <f>VLOOKUP($A47,tropes!$A$4:$O$2428,2,FALSE)</f>
        <v>Interesting</v>
      </c>
      <c r="C47" s="5" t="str">
        <f>VLOOKUP($A47,tropes!$A$4:$O$2428,3,FALSE)</f>
        <v>catchphrase</v>
      </c>
      <c r="D47" s="5" t="str">
        <f>VLOOKUP($A47,tropes!$A$4:$O$2428,4,FALSE)</f>
        <v>interesting</v>
      </c>
      <c r="E47" s="5" t="str">
        <f>VLOOKUP($A47,tropes!$A$4:$O$2428,5,FALSE)</f>
        <v>Spock: We shouldn't depend on that happening again, Captain. In a society as well organized as this one seems to be, I cannot conceive of such an oversight going uncorrected. Interesting, however. Their reaction to your defiance was remarkably similar to the reaction of a computer when fed insufficient or contradictory data.</v>
      </c>
      <c r="F47" s="5" t="str">
        <f>VLOOKUP($A47,tropes!$A$4:$O$2428,6,FALSE)</f>
        <v>spock</v>
      </c>
      <c r="G47" s="5">
        <f>VLOOKUP($A47,tropes!$A$4:$O$2428,7,FALSE)</f>
        <v>1</v>
      </c>
      <c r="H47" s="5">
        <f>VLOOKUP($A47,tropes!$A$4:$O$2428,8,FALSE)</f>
        <v>0</v>
      </c>
      <c r="I47" s="5">
        <f>VLOOKUP($A47,tropes!$A$4:$O$2428,9,FALSE)</f>
        <v>121</v>
      </c>
      <c r="J47" s="5">
        <f>VLOOKUP($A47,tropes!$A$4:$O$2428,10,FALSE)</f>
        <v>22</v>
      </c>
      <c r="K47" s="5" t="str">
        <f>VLOOKUP($A47,tropes!$A$4:$O$2428,11,FALSE)</f>
        <v>The Return of the Archons</v>
      </c>
      <c r="L47" s="5">
        <f>VLOOKUP($A47,tropes!$A$4:$O$2428,12,FALSE)</f>
        <v>1</v>
      </c>
      <c r="M47" s="5">
        <f>VLOOKUP($A47,tropes!$A$4:$O$2428,13,FALSE)</f>
        <v>21</v>
      </c>
      <c r="N47" s="5">
        <f t="shared" si="0"/>
        <v>1</v>
      </c>
    </row>
    <row r="48" spans="1:14" x14ac:dyDescent="0.3">
      <c r="A48" s="14">
        <v>2127</v>
      </c>
      <c r="B48" s="5" t="str">
        <f>VLOOKUP($A48,tropes!$A$4:$O$2428,2,FALSE)</f>
        <v>Mental Fusion</v>
      </c>
      <c r="C48" s="5" t="str">
        <f>VLOOKUP($A48,tropes!$A$4:$O$2428,3,FALSE)</f>
        <v>catchphrase</v>
      </c>
      <c r="D48" s="5" t="str">
        <f>VLOOKUP($A48,tropes!$A$4:$O$2428,4,FALSE)</f>
        <v>mind_meld</v>
      </c>
      <c r="E48" s="5" t="str">
        <f>VLOOKUP($A48,tropes!$A$4:$O$2428,5,FALSE)</f>
        <v>Spock mind melds with McCoy after McCoy was conditioned by Landru.</v>
      </c>
      <c r="F48" s="5" t="str">
        <f>VLOOKUP($A48,tropes!$A$4:$O$2428,6,FALSE)</f>
        <v>spock</v>
      </c>
      <c r="G48" s="5">
        <f>VLOOKUP($A48,tropes!$A$4:$O$2428,7,FALSE)</f>
        <v>1</v>
      </c>
      <c r="H48" s="5">
        <f>VLOOKUP($A48,tropes!$A$4:$O$2428,8,FALSE)</f>
        <v>0</v>
      </c>
      <c r="I48" s="5">
        <f>VLOOKUP($A48,tropes!$A$4:$O$2428,9,FALSE)</f>
        <v>121</v>
      </c>
      <c r="J48" s="5">
        <f>VLOOKUP($A48,tropes!$A$4:$O$2428,10,FALSE)</f>
        <v>22</v>
      </c>
      <c r="K48" s="5" t="str">
        <f>VLOOKUP($A48,tropes!$A$4:$O$2428,11,FALSE)</f>
        <v>The Return of the Archons</v>
      </c>
      <c r="L48" s="5">
        <f>VLOOKUP($A48,tropes!$A$4:$O$2428,12,FALSE)</f>
        <v>1</v>
      </c>
      <c r="M48" s="5">
        <f>VLOOKUP($A48,tropes!$A$4:$O$2428,13,FALSE)</f>
        <v>21</v>
      </c>
      <c r="N48" s="5">
        <f t="shared" si="0"/>
        <v>2</v>
      </c>
    </row>
    <row r="49" spans="1:14" x14ac:dyDescent="0.3">
      <c r="A49" s="14">
        <v>2134</v>
      </c>
      <c r="B49" s="5" t="str">
        <f>VLOOKUP($A49,tropes!$A$4:$O$2428,2,FALSE)</f>
        <v>Fascinating Eyebrow</v>
      </c>
      <c r="C49" s="5" t="str">
        <f>VLOOKUP($A49,tropes!$A$4:$O$2428,3,FALSE)</f>
        <v>catchphrase</v>
      </c>
      <c r="D49" s="5" t="str">
        <f>VLOOKUP($A49,tropes!$A$4:$O$2428,4,FALSE)</f>
        <v>eyebrow</v>
      </c>
      <c r="E49" s="5" t="str">
        <f>VLOOKUP($A49,tropes!$A$4:$O$2428,5,FALSE)</f>
        <v>Spock irritated by Kirks illogical chess play. Raises an eyebrow at Kirk's last move.</v>
      </c>
      <c r="F49" s="5" t="str">
        <f>VLOOKUP($A49,tropes!$A$4:$O$2428,6,FALSE)</f>
        <v>spock</v>
      </c>
      <c r="G49" s="5">
        <f>VLOOKUP($A49,tropes!$A$4:$O$2428,7,FALSE)</f>
        <v>1</v>
      </c>
      <c r="H49" s="5">
        <f>VLOOKUP($A49,tropes!$A$4:$O$2428,8,FALSE)</f>
        <v>0</v>
      </c>
      <c r="I49" s="5">
        <f>VLOOKUP($A49,tropes!$A$4:$O$2428,9,FALSE)</f>
        <v>122</v>
      </c>
      <c r="J49" s="5">
        <f>VLOOKUP($A49,tropes!$A$4:$O$2428,10,FALSE)</f>
        <v>23</v>
      </c>
      <c r="K49" s="5" t="str">
        <f>VLOOKUP($A49,tropes!$A$4:$O$2428,11,FALSE)</f>
        <v>Space Seed</v>
      </c>
      <c r="L49" s="5">
        <f>VLOOKUP($A49,tropes!$A$4:$O$2428,12,FALSE)</f>
        <v>1</v>
      </c>
      <c r="M49" s="5">
        <f>VLOOKUP($A49,tropes!$A$4:$O$2428,13,FALSE)</f>
        <v>22</v>
      </c>
      <c r="N49" s="5">
        <f t="shared" si="0"/>
        <v>0</v>
      </c>
    </row>
    <row r="50" spans="1:14" x14ac:dyDescent="0.3">
      <c r="A50" s="14">
        <v>2132</v>
      </c>
      <c r="B50" s="5" t="str">
        <f>VLOOKUP($A50,tropes!$A$4:$O$2428,2,FALSE)</f>
        <v>Interesting</v>
      </c>
      <c r="C50" s="5" t="str">
        <f>VLOOKUP($A50,tropes!$A$4:$O$2428,3,FALSE)</f>
        <v>catchphrase</v>
      </c>
      <c r="D50" s="5" t="str">
        <f>VLOOKUP($A50,tropes!$A$4:$O$2428,4,FALSE)</f>
        <v>interesting</v>
      </c>
      <c r="E50" s="5" t="str">
        <f>VLOOKUP($A50,tropes!$A$4:$O$2428,5,FALSE)</f>
        <v>Spock: It would be interesting, Captain, to return to that world in a hundred years and to learn what crop has sprung from the seed you planted today.</v>
      </c>
      <c r="F50" s="5" t="str">
        <f>VLOOKUP($A50,tropes!$A$4:$O$2428,6,FALSE)</f>
        <v>spock</v>
      </c>
      <c r="G50" s="5">
        <f>VLOOKUP($A50,tropes!$A$4:$O$2428,7,FALSE)</f>
        <v>1</v>
      </c>
      <c r="H50" s="5">
        <f>VLOOKUP($A50,tropes!$A$4:$O$2428,8,FALSE)</f>
        <v>0</v>
      </c>
      <c r="I50" s="5">
        <f>VLOOKUP($A50,tropes!$A$4:$O$2428,9,FALSE)</f>
        <v>122</v>
      </c>
      <c r="J50" s="5">
        <f>VLOOKUP($A50,tropes!$A$4:$O$2428,10,FALSE)</f>
        <v>23</v>
      </c>
      <c r="K50" s="5" t="str">
        <f>VLOOKUP($A50,tropes!$A$4:$O$2428,11,FALSE)</f>
        <v>Space Seed</v>
      </c>
      <c r="L50" s="5">
        <f>VLOOKUP($A50,tropes!$A$4:$O$2428,12,FALSE)</f>
        <v>1</v>
      </c>
      <c r="M50" s="5">
        <f>VLOOKUP($A50,tropes!$A$4:$O$2428,13,FALSE)</f>
        <v>22</v>
      </c>
      <c r="N50" s="5">
        <f t="shared" si="0"/>
        <v>1</v>
      </c>
    </row>
    <row r="51" spans="1:14" x14ac:dyDescent="0.3">
      <c r="A51" s="14">
        <v>2137</v>
      </c>
      <c r="B51" s="5" t="str">
        <f>VLOOKUP($A51,tropes!$A$4:$O$2428,2,FALSE)</f>
        <v>Fascinating Eyebrow</v>
      </c>
      <c r="C51" s="5" t="str">
        <f>VLOOKUP($A51,tropes!$A$4:$O$2428,3,FALSE)</f>
        <v>catchphrase</v>
      </c>
      <c r="D51" s="5" t="str">
        <f>VLOOKUP($A51,tropes!$A$4:$O$2428,4,FALSE)</f>
        <v>eyebrow</v>
      </c>
      <c r="E51" s="5" t="str">
        <f>VLOOKUP($A51,tropes!$A$4:$O$2428,5,FALSE)</f>
        <v>Spock listens to Anan 7 about how clean a war with computers is. Spock gives him an eyebrow.</v>
      </c>
      <c r="F51" s="5" t="str">
        <f>VLOOKUP($A51,tropes!$A$4:$O$2428,6,FALSE)</f>
        <v>spock</v>
      </c>
      <c r="G51" s="5">
        <f>VLOOKUP($A51,tropes!$A$4:$O$2428,7,FALSE)</f>
        <v>1</v>
      </c>
      <c r="H51" s="5">
        <f>VLOOKUP($A51,tropes!$A$4:$O$2428,8,FALSE)</f>
        <v>0</v>
      </c>
      <c r="I51" s="5">
        <f>VLOOKUP($A51,tropes!$A$4:$O$2428,9,FALSE)</f>
        <v>123</v>
      </c>
      <c r="J51" s="5">
        <f>VLOOKUP($A51,tropes!$A$4:$O$2428,10,FALSE)</f>
        <v>24</v>
      </c>
      <c r="K51" s="5" t="str">
        <f>VLOOKUP($A51,tropes!$A$4:$O$2428,11,FALSE)</f>
        <v>A Taste of Armageddon</v>
      </c>
      <c r="L51" s="5">
        <f>VLOOKUP($A51,tropes!$A$4:$O$2428,12,FALSE)</f>
        <v>1</v>
      </c>
      <c r="M51" s="5">
        <f>VLOOKUP($A51,tropes!$A$4:$O$2428,13,FALSE)</f>
        <v>23</v>
      </c>
      <c r="N51" s="5">
        <f t="shared" si="0"/>
        <v>0</v>
      </c>
    </row>
    <row r="52" spans="1:14" x14ac:dyDescent="0.3">
      <c r="A52" s="14">
        <v>1507</v>
      </c>
      <c r="B52" s="5" t="str">
        <f>VLOOKUP($A52,tropes!$A$4:$O$2428,2,FALSE)</f>
        <v>I'm a Doctor</v>
      </c>
      <c r="C52" s="5" t="str">
        <f>VLOOKUP($A52,tropes!$A$4:$O$2428,3,FALSE)</f>
        <v>catchphrase</v>
      </c>
      <c r="D52" s="5" t="str">
        <f>VLOOKUP($A52,tropes!$A$4:$O$2428,4,FALSE)</f>
        <v>im_a_doctor</v>
      </c>
      <c r="E52" s="5" t="str">
        <f>VLOOKUP($A52,tropes!$A$4:$O$2428,5,FALSE)</f>
        <v>McCoy: I'm a doctor, if I was an officer of the line….</v>
      </c>
      <c r="F52" s="5" t="str">
        <f>VLOOKUP($A52,tropes!$A$4:$O$2428,6,FALSE)</f>
        <v>mccoy</v>
      </c>
      <c r="G52" s="5">
        <f>VLOOKUP($A52,tropes!$A$4:$O$2428,7,FALSE)</f>
        <v>0</v>
      </c>
      <c r="H52" s="5">
        <f>VLOOKUP($A52,tropes!$A$4:$O$2428,8,FALSE)</f>
        <v>1</v>
      </c>
      <c r="I52" s="5">
        <f>VLOOKUP($A52,tropes!$A$4:$O$2428,9,FALSE)</f>
        <v>123</v>
      </c>
      <c r="J52" s="5">
        <f>VLOOKUP($A52,tropes!$A$4:$O$2428,10,FALSE)</f>
        <v>24</v>
      </c>
      <c r="K52" s="5" t="str">
        <f>VLOOKUP($A52,tropes!$A$4:$O$2428,11,FALSE)</f>
        <v>A Taste of Armageddon</v>
      </c>
      <c r="L52" s="5">
        <f>VLOOKUP($A52,tropes!$A$4:$O$2428,12,FALSE)</f>
        <v>1</v>
      </c>
      <c r="M52" s="5">
        <f>VLOOKUP($A52,tropes!$A$4:$O$2428,13,FALSE)</f>
        <v>23</v>
      </c>
      <c r="N52" s="5">
        <f t="shared" si="0"/>
        <v>1</v>
      </c>
    </row>
    <row r="53" spans="1:14" x14ac:dyDescent="0.3">
      <c r="A53" s="14">
        <v>2139</v>
      </c>
      <c r="B53" s="5" t="str">
        <f>VLOOKUP($A53,tropes!$A$4:$O$2428,2,FALSE)</f>
        <v>Mental Fusion</v>
      </c>
      <c r="C53" s="5" t="str">
        <f>VLOOKUP($A53,tropes!$A$4:$O$2428,3,FALSE)</f>
        <v>catchphrase</v>
      </c>
      <c r="D53" s="5" t="str">
        <f>VLOOKUP($A53,tropes!$A$4:$O$2428,4,FALSE)</f>
        <v>mind_meld</v>
      </c>
      <c r="E53" s="5" t="str">
        <f>VLOOKUP($A53,tropes!$A$4:$O$2428,5,FALSE)</f>
        <v>Spock mind melds the Eminiar guard through the wall. Makes him open the door.</v>
      </c>
      <c r="F53" s="5" t="str">
        <f>VLOOKUP($A53,tropes!$A$4:$O$2428,6,FALSE)</f>
        <v>spock</v>
      </c>
      <c r="G53" s="5">
        <f>VLOOKUP($A53,tropes!$A$4:$O$2428,7,FALSE)</f>
        <v>1</v>
      </c>
      <c r="H53" s="5">
        <f>VLOOKUP($A53,tropes!$A$4:$O$2428,8,FALSE)</f>
        <v>0</v>
      </c>
      <c r="I53" s="5">
        <f>VLOOKUP($A53,tropes!$A$4:$O$2428,9,FALSE)</f>
        <v>123</v>
      </c>
      <c r="J53" s="5">
        <f>VLOOKUP($A53,tropes!$A$4:$O$2428,10,FALSE)</f>
        <v>24</v>
      </c>
      <c r="K53" s="5" t="str">
        <f>VLOOKUP($A53,tropes!$A$4:$O$2428,11,FALSE)</f>
        <v>A Taste of Armageddon</v>
      </c>
      <c r="L53" s="5">
        <f>VLOOKUP($A53,tropes!$A$4:$O$2428,12,FALSE)</f>
        <v>1</v>
      </c>
      <c r="M53" s="5">
        <f>VLOOKUP($A53,tropes!$A$4:$O$2428,13,FALSE)</f>
        <v>23</v>
      </c>
      <c r="N53" s="5">
        <f t="shared" si="0"/>
        <v>2</v>
      </c>
    </row>
    <row r="54" spans="1:14" x14ac:dyDescent="0.3">
      <c r="A54" s="14">
        <v>1594</v>
      </c>
      <c r="B54" s="5" t="str">
        <f>VLOOKUP($A54,tropes!$A$4:$O$2428,2,FALSE)</f>
        <v>Vulcanian</v>
      </c>
      <c r="C54" s="5" t="str">
        <f>VLOOKUP($A54,tropes!$A$4:$O$2428,3,FALSE)</f>
        <v>catchphrase</v>
      </c>
      <c r="D54" s="5" t="str">
        <f>VLOOKUP($A54,tropes!$A$4:$O$2428,4,FALSE)</f>
        <v>vulcanian</v>
      </c>
      <c r="E54" s="5" t="str">
        <f>VLOOKUP($A54,tropes!$A$4:$O$2428,5,FALSE)</f>
        <v>McCoy: Telepathic abilities are inherent in Vulcanians.</v>
      </c>
      <c r="F54" s="5" t="str">
        <f>VLOOKUP($A54,tropes!$A$4:$O$2428,6,FALSE)</f>
        <v>mccoy</v>
      </c>
      <c r="G54" s="5">
        <f>VLOOKUP($A54,tropes!$A$4:$O$2428,7,FALSE)</f>
        <v>0</v>
      </c>
      <c r="H54" s="5">
        <f>VLOOKUP($A54,tropes!$A$4:$O$2428,8,FALSE)</f>
        <v>1</v>
      </c>
      <c r="I54" s="5">
        <f>VLOOKUP($A54,tropes!$A$4:$O$2428,9,FALSE)</f>
        <v>123</v>
      </c>
      <c r="J54" s="5">
        <f>VLOOKUP($A54,tropes!$A$4:$O$2428,10,FALSE)</f>
        <v>24</v>
      </c>
      <c r="K54" s="5" t="str">
        <f>VLOOKUP($A54,tropes!$A$4:$O$2428,11,FALSE)</f>
        <v>A Taste of Armageddon</v>
      </c>
      <c r="L54" s="5">
        <f>VLOOKUP($A54,tropes!$A$4:$O$2428,12,FALSE)</f>
        <v>1</v>
      </c>
      <c r="M54" s="5">
        <f>VLOOKUP($A54,tropes!$A$4:$O$2428,13,FALSE)</f>
        <v>23</v>
      </c>
      <c r="N54" s="5">
        <f t="shared" si="0"/>
        <v>3</v>
      </c>
    </row>
    <row r="55" spans="1:14" x14ac:dyDescent="0.3">
      <c r="A55" s="14">
        <v>1229</v>
      </c>
      <c r="B55" s="5" t="str">
        <f>VLOOKUP($A55,tropes!$A$4:$O$2428,2,FALSE)</f>
        <v>Fascinating Eyebrow</v>
      </c>
      <c r="C55" s="5" t="str">
        <f>VLOOKUP($A55,tropes!$A$4:$O$2428,3,FALSE)</f>
        <v>catchphrase</v>
      </c>
      <c r="D55" s="5" t="str">
        <f>VLOOKUP($A55,tropes!$A$4:$O$2428,4,FALSE)</f>
        <v>eyebrow</v>
      </c>
      <c r="E55" s="5" t="str">
        <f>VLOOKUP($A55,tropes!$A$4:$O$2428,5,FALSE)</f>
        <v>Kirk explains to Spock why they both can't go to the brig. There would be no one to run the ship and save the crew.</v>
      </c>
      <c r="F55" s="5" t="str">
        <f>VLOOKUP($A55,tropes!$A$4:$O$2428,6,FALSE)</f>
        <v>kirk</v>
      </c>
      <c r="G55" s="5">
        <f>VLOOKUP($A55,tropes!$A$4:$O$2428,7,FALSE)</f>
        <v>1</v>
      </c>
      <c r="H55" s="5">
        <f>VLOOKUP($A55,tropes!$A$4:$O$2428,8,FALSE)</f>
        <v>0</v>
      </c>
      <c r="I55" s="5">
        <f>VLOOKUP($A55,tropes!$A$4:$O$2428,9,FALSE)</f>
        <v>124</v>
      </c>
      <c r="J55" s="5">
        <f>VLOOKUP($A55,tropes!$A$4:$O$2428,10,FALSE)</f>
        <v>25</v>
      </c>
      <c r="K55" s="5" t="str">
        <f>VLOOKUP($A55,tropes!$A$4:$O$2428,11,FALSE)</f>
        <v>This Side of Paradise</v>
      </c>
      <c r="L55" s="5">
        <f>VLOOKUP($A55,tropes!$A$4:$O$2428,12,FALSE)</f>
        <v>1</v>
      </c>
      <c r="M55" s="5">
        <f>VLOOKUP($A55,tropes!$A$4:$O$2428,13,FALSE)</f>
        <v>24</v>
      </c>
      <c r="N55" s="5">
        <f t="shared" si="0"/>
        <v>0</v>
      </c>
    </row>
    <row r="56" spans="1:14" x14ac:dyDescent="0.3">
      <c r="A56" s="14">
        <v>1230</v>
      </c>
      <c r="B56" s="5" t="str">
        <f>VLOOKUP($A56,tropes!$A$4:$O$2428,2,FALSE)</f>
        <v>Fascinating Eyebrow</v>
      </c>
      <c r="C56" s="5" t="str">
        <f>VLOOKUP($A56,tropes!$A$4:$O$2428,3,FALSE)</f>
        <v>catchphrase</v>
      </c>
      <c r="D56" s="5" t="str">
        <f>VLOOKUP($A56,tropes!$A$4:$O$2428,4,FALSE)</f>
        <v>eyebrow</v>
      </c>
      <c r="E56" s="5" t="str">
        <f>VLOOKUP($A56,tropes!$A$4:$O$2428,5,FALSE)</f>
        <v>Kirk explains to Spock why they both can't go to the brig. There would be no one to run the ship and save the crew.</v>
      </c>
      <c r="F56" s="5" t="str">
        <f>VLOOKUP($A56,tropes!$A$4:$O$2428,6,FALSE)</f>
        <v>spock</v>
      </c>
      <c r="G56" s="5">
        <f>VLOOKUP($A56,tropes!$A$4:$O$2428,7,FALSE)</f>
        <v>1</v>
      </c>
      <c r="H56" s="5">
        <f>VLOOKUP($A56,tropes!$A$4:$O$2428,8,FALSE)</f>
        <v>0</v>
      </c>
      <c r="I56" s="5">
        <f>VLOOKUP($A56,tropes!$A$4:$O$2428,9,FALSE)</f>
        <v>124</v>
      </c>
      <c r="J56" s="5">
        <f>VLOOKUP($A56,tropes!$A$4:$O$2428,10,FALSE)</f>
        <v>25</v>
      </c>
      <c r="K56" s="5" t="str">
        <f>VLOOKUP($A56,tropes!$A$4:$O$2428,11,FALSE)</f>
        <v>This Side of Paradise</v>
      </c>
      <c r="L56" s="5">
        <f>VLOOKUP($A56,tropes!$A$4:$O$2428,12,FALSE)</f>
        <v>1</v>
      </c>
      <c r="M56" s="5">
        <f>VLOOKUP($A56,tropes!$A$4:$O$2428,13,FALSE)</f>
        <v>24</v>
      </c>
      <c r="N56" s="5">
        <f t="shared" si="0"/>
        <v>1</v>
      </c>
    </row>
    <row r="57" spans="1:14" x14ac:dyDescent="0.3">
      <c r="A57" s="14">
        <v>1602</v>
      </c>
      <c r="B57" s="5" t="str">
        <f>VLOOKUP($A57,tropes!$A$4:$O$2428,2,FALSE)</f>
        <v>Fascinating Eyebrow</v>
      </c>
      <c r="C57" s="5" t="str">
        <f>VLOOKUP($A57,tropes!$A$4:$O$2428,3,FALSE)</f>
        <v>catchphrase</v>
      </c>
      <c r="D57" s="5" t="str">
        <f>VLOOKUP($A57,tropes!$A$4:$O$2428,4,FALSE)</f>
        <v>eyebrow</v>
      </c>
      <c r="E57" s="5" t="str">
        <f>VLOOKUP($A57,tropes!$A$4:$O$2428,5,FALSE)</f>
        <v>McCoy figures out how to destroy spores on a worldwide basis without harming any of the people.</v>
      </c>
      <c r="F57" s="5" t="str">
        <f>VLOOKUP($A57,tropes!$A$4:$O$2428,6,FALSE)</f>
        <v>mccoy</v>
      </c>
      <c r="G57" s="5">
        <f>VLOOKUP($A57,tropes!$A$4:$O$2428,7,FALSE)</f>
        <v>0</v>
      </c>
      <c r="H57" s="5">
        <f>VLOOKUP($A57,tropes!$A$4:$O$2428,8,FALSE)</f>
        <v>1</v>
      </c>
      <c r="I57" s="5">
        <f>VLOOKUP($A57,tropes!$A$4:$O$2428,9,FALSE)</f>
        <v>124</v>
      </c>
      <c r="J57" s="5">
        <f>VLOOKUP($A57,tropes!$A$4:$O$2428,10,FALSE)</f>
        <v>25</v>
      </c>
      <c r="K57" s="5" t="str">
        <f>VLOOKUP($A57,tropes!$A$4:$O$2428,11,FALSE)</f>
        <v>This Side of Paradise</v>
      </c>
      <c r="L57" s="5">
        <f>VLOOKUP($A57,tropes!$A$4:$O$2428,12,FALSE)</f>
        <v>1</v>
      </c>
      <c r="M57" s="5">
        <f>VLOOKUP($A57,tropes!$A$4:$O$2428,13,FALSE)</f>
        <v>24</v>
      </c>
      <c r="N57" s="5">
        <f t="shared" si="0"/>
        <v>2</v>
      </c>
    </row>
    <row r="58" spans="1:14" x14ac:dyDescent="0.3">
      <c r="A58" s="14">
        <v>317</v>
      </c>
      <c r="B58" s="5" t="str">
        <f>VLOOKUP($A58,tropes!$A$4:$O$2428,2,FALSE)</f>
        <v>Vulcanian</v>
      </c>
      <c r="C58" s="5" t="str">
        <f>VLOOKUP($A58,tropes!$A$4:$O$2428,3,FALSE)</f>
        <v>catchphrase</v>
      </c>
      <c r="D58" s="5" t="str">
        <f>VLOOKUP($A58,tropes!$A$4:$O$2428,4,FALSE)</f>
        <v>vulcanian</v>
      </c>
      <c r="E58" s="5" t="str">
        <f>VLOOKUP($A58,tropes!$A$4:$O$2428,5,FALSE)</f>
        <v>Elias: You've know the Vulcanian?</v>
      </c>
      <c r="F58" s="5" t="str">
        <f>VLOOKUP($A58,tropes!$A$4:$O$2428,6,FALSE)</f>
        <v>human</v>
      </c>
      <c r="G58" s="5">
        <f>VLOOKUP($A58,tropes!$A$4:$O$2428,7,FALSE)</f>
        <v>0</v>
      </c>
      <c r="H58" s="5">
        <f>VLOOKUP($A58,tropes!$A$4:$O$2428,8,FALSE)</f>
        <v>0</v>
      </c>
      <c r="I58" s="5">
        <f>VLOOKUP($A58,tropes!$A$4:$O$2428,9,FALSE)</f>
        <v>124</v>
      </c>
      <c r="J58" s="5">
        <f>VLOOKUP($A58,tropes!$A$4:$O$2428,10,FALSE)</f>
        <v>25</v>
      </c>
      <c r="K58" s="5" t="str">
        <f>VLOOKUP($A58,tropes!$A$4:$O$2428,11,FALSE)</f>
        <v>This Side of Paradise</v>
      </c>
      <c r="L58" s="5">
        <f>VLOOKUP($A58,tropes!$A$4:$O$2428,12,FALSE)</f>
        <v>1</v>
      </c>
      <c r="M58" s="5">
        <f>VLOOKUP($A58,tropes!$A$4:$O$2428,13,FALSE)</f>
        <v>24</v>
      </c>
      <c r="N58" s="5">
        <f t="shared" si="0"/>
        <v>3</v>
      </c>
    </row>
    <row r="59" spans="1:14" x14ac:dyDescent="0.3">
      <c r="A59" s="14">
        <v>2151</v>
      </c>
      <c r="B59" s="5" t="str">
        <f>VLOOKUP($A59,tropes!$A$4:$O$2428,2,FALSE)</f>
        <v>Fascinating</v>
      </c>
      <c r="C59" s="5" t="str">
        <f>VLOOKUP($A59,tropes!$A$4:$O$2428,3,FALSE)</f>
        <v>catchphrase</v>
      </c>
      <c r="D59" s="5" t="str">
        <f>VLOOKUP($A59,tropes!$A$4:$O$2428,4,FALSE)</f>
        <v>fascinating</v>
      </c>
      <c r="E59" s="5" t="str">
        <f>VLOOKUP($A59,tropes!$A$4:$O$2428,5,FALSE)</f>
        <v>Spock examines silicon nodule. Kirk: You seem fascinated by this rock.</v>
      </c>
      <c r="F59" s="5" t="str">
        <f>VLOOKUP($A59,tropes!$A$4:$O$2428,6,FALSE)</f>
        <v>spock</v>
      </c>
      <c r="G59" s="5">
        <f>VLOOKUP($A59,tropes!$A$4:$O$2428,7,FALSE)</f>
        <v>1</v>
      </c>
      <c r="H59" s="5">
        <f>VLOOKUP($A59,tropes!$A$4:$O$2428,8,FALSE)</f>
        <v>0</v>
      </c>
      <c r="I59" s="5">
        <f>VLOOKUP($A59,tropes!$A$4:$O$2428,9,FALSE)</f>
        <v>125</v>
      </c>
      <c r="J59" s="5">
        <f>VLOOKUP($A59,tropes!$A$4:$O$2428,10,FALSE)</f>
        <v>26</v>
      </c>
      <c r="K59" s="5" t="str">
        <f>VLOOKUP($A59,tropes!$A$4:$O$2428,11,FALSE)</f>
        <v>The Devil in the Dark</v>
      </c>
      <c r="L59" s="5">
        <f>VLOOKUP($A59,tropes!$A$4:$O$2428,12,FALSE)</f>
        <v>1</v>
      </c>
      <c r="M59" s="5">
        <f>VLOOKUP($A59,tropes!$A$4:$O$2428,13,FALSE)</f>
        <v>25</v>
      </c>
      <c r="N59" s="5">
        <f t="shared" si="0"/>
        <v>0</v>
      </c>
    </row>
    <row r="60" spans="1:14" x14ac:dyDescent="0.3">
      <c r="A60" s="14">
        <v>2152</v>
      </c>
      <c r="B60" s="5" t="str">
        <f>VLOOKUP($A60,tropes!$A$4:$O$2428,2,FALSE)</f>
        <v>Fascinating</v>
      </c>
      <c r="C60" s="5" t="str">
        <f>VLOOKUP($A60,tropes!$A$4:$O$2428,3,FALSE)</f>
        <v>catchphrase</v>
      </c>
      <c r="D60" s="5" t="str">
        <f>VLOOKUP($A60,tropes!$A$4:$O$2428,4,FALSE)</f>
        <v>fascinating</v>
      </c>
      <c r="E60" s="5" t="str">
        <f>VLOOKUP($A60,tropes!$A$4:$O$2428,5,FALSE)</f>
        <v>Spock: Fascinating. (while observing Horta).</v>
      </c>
      <c r="F60" s="5" t="str">
        <f>VLOOKUP($A60,tropes!$A$4:$O$2428,6,FALSE)</f>
        <v>spock</v>
      </c>
      <c r="G60" s="5">
        <f>VLOOKUP($A60,tropes!$A$4:$O$2428,7,FALSE)</f>
        <v>1</v>
      </c>
      <c r="H60" s="5">
        <f>VLOOKUP($A60,tropes!$A$4:$O$2428,8,FALSE)</f>
        <v>0</v>
      </c>
      <c r="I60" s="5">
        <f>VLOOKUP($A60,tropes!$A$4:$O$2428,9,FALSE)</f>
        <v>125</v>
      </c>
      <c r="J60" s="5">
        <f>VLOOKUP($A60,tropes!$A$4:$O$2428,10,FALSE)</f>
        <v>26</v>
      </c>
      <c r="K60" s="5" t="str">
        <f>VLOOKUP($A60,tropes!$A$4:$O$2428,11,FALSE)</f>
        <v>The Devil in the Dark</v>
      </c>
      <c r="L60" s="5">
        <f>VLOOKUP($A60,tropes!$A$4:$O$2428,12,FALSE)</f>
        <v>1</v>
      </c>
      <c r="M60" s="5">
        <f>VLOOKUP($A60,tropes!$A$4:$O$2428,13,FALSE)</f>
        <v>25</v>
      </c>
      <c r="N60" s="5">
        <f t="shared" si="0"/>
        <v>1</v>
      </c>
    </row>
    <row r="61" spans="1:14" x14ac:dyDescent="0.3">
      <c r="A61" s="14">
        <v>2159</v>
      </c>
      <c r="B61" s="5" t="str">
        <f>VLOOKUP($A61,tropes!$A$4:$O$2428,2,FALSE)</f>
        <v>Fascinating Eyebrow</v>
      </c>
      <c r="C61" s="5" t="str">
        <f>VLOOKUP($A61,tropes!$A$4:$O$2428,3,FALSE)</f>
        <v>catchphrase</v>
      </c>
      <c r="D61" s="5" t="str">
        <f>VLOOKUP($A61,tropes!$A$4:$O$2428,4,FALSE)</f>
        <v>eyebrow</v>
      </c>
      <c r="E61" s="5" t="str">
        <f>VLOOKUP($A61,tropes!$A$4:$O$2428,5,FALSE)</f>
        <v>Spock studies the silicon nodules from the mine and asks Chief Vanderberg about them.</v>
      </c>
      <c r="F61" s="5" t="str">
        <f>VLOOKUP($A61,tropes!$A$4:$O$2428,6,FALSE)</f>
        <v>spock</v>
      </c>
      <c r="G61" s="5">
        <f>VLOOKUP($A61,tropes!$A$4:$O$2428,7,FALSE)</f>
        <v>1</v>
      </c>
      <c r="H61" s="5">
        <f>VLOOKUP($A61,tropes!$A$4:$O$2428,8,FALSE)</f>
        <v>0</v>
      </c>
      <c r="I61" s="5">
        <f>VLOOKUP($A61,tropes!$A$4:$O$2428,9,FALSE)</f>
        <v>125</v>
      </c>
      <c r="J61" s="5">
        <f>VLOOKUP($A61,tropes!$A$4:$O$2428,10,FALSE)</f>
        <v>26</v>
      </c>
      <c r="K61" s="5" t="str">
        <f>VLOOKUP($A61,tropes!$A$4:$O$2428,11,FALSE)</f>
        <v>The Devil in the Dark</v>
      </c>
      <c r="L61" s="5">
        <f>VLOOKUP($A61,tropes!$A$4:$O$2428,12,FALSE)</f>
        <v>1</v>
      </c>
      <c r="M61" s="5">
        <f>VLOOKUP($A61,tropes!$A$4:$O$2428,13,FALSE)</f>
        <v>25</v>
      </c>
      <c r="N61" s="5">
        <f t="shared" si="0"/>
        <v>2</v>
      </c>
    </row>
    <row r="62" spans="1:14" x14ac:dyDescent="0.3">
      <c r="A62" s="14">
        <v>2160</v>
      </c>
      <c r="B62" s="5" t="str">
        <f>VLOOKUP($A62,tropes!$A$4:$O$2428,2,FALSE)</f>
        <v>Fascinating Eyebrow</v>
      </c>
      <c r="C62" s="5" t="str">
        <f>VLOOKUP($A62,tropes!$A$4:$O$2428,3,FALSE)</f>
        <v>catchphrase</v>
      </c>
      <c r="D62" s="5" t="str">
        <f>VLOOKUP($A62,tropes!$A$4:$O$2428,4,FALSE)</f>
        <v>eyebrow</v>
      </c>
      <c r="E62" s="5" t="str">
        <f>VLOOKUP($A62,tropes!$A$4:$O$2428,5,FALSE)</f>
        <v>Spock upon his first glance of the Horta.</v>
      </c>
      <c r="F62" s="5" t="str">
        <f>VLOOKUP($A62,tropes!$A$4:$O$2428,6,FALSE)</f>
        <v>spock</v>
      </c>
      <c r="G62" s="5">
        <f>VLOOKUP($A62,tropes!$A$4:$O$2428,7,FALSE)</f>
        <v>1</v>
      </c>
      <c r="H62" s="5">
        <f>VLOOKUP($A62,tropes!$A$4:$O$2428,8,FALSE)</f>
        <v>0</v>
      </c>
      <c r="I62" s="5">
        <f>VLOOKUP($A62,tropes!$A$4:$O$2428,9,FALSE)</f>
        <v>125</v>
      </c>
      <c r="J62" s="5">
        <f>VLOOKUP($A62,tropes!$A$4:$O$2428,10,FALSE)</f>
        <v>26</v>
      </c>
      <c r="K62" s="5" t="str">
        <f>VLOOKUP($A62,tropes!$A$4:$O$2428,11,FALSE)</f>
        <v>The Devil in the Dark</v>
      </c>
      <c r="L62" s="5">
        <f>VLOOKUP($A62,tropes!$A$4:$O$2428,12,FALSE)</f>
        <v>1</v>
      </c>
      <c r="M62" s="5">
        <f>VLOOKUP($A62,tropes!$A$4:$O$2428,13,FALSE)</f>
        <v>25</v>
      </c>
      <c r="N62" s="5">
        <f t="shared" si="0"/>
        <v>3</v>
      </c>
    </row>
    <row r="63" spans="1:14" x14ac:dyDescent="0.3">
      <c r="A63" s="14">
        <v>1508</v>
      </c>
      <c r="B63" s="5" t="str">
        <f>VLOOKUP($A63,tropes!$A$4:$O$2428,2,FALSE)</f>
        <v>I'm a Doctor</v>
      </c>
      <c r="C63" s="5" t="str">
        <f>VLOOKUP($A63,tropes!$A$4:$O$2428,3,FALSE)</f>
        <v>catchphrase</v>
      </c>
      <c r="D63" s="5" t="str">
        <f>VLOOKUP($A63,tropes!$A$4:$O$2428,4,FALSE)</f>
        <v>im_a_doctor</v>
      </c>
      <c r="E63" s="5" t="str">
        <f>VLOOKUP($A63,tropes!$A$4:$O$2428,5,FALSE)</f>
        <v>McCoy: I'm a doctor, not a bricklayer. (when Kirk order McCoy to examine the Horta).</v>
      </c>
      <c r="F63" s="5" t="str">
        <f>VLOOKUP($A63,tropes!$A$4:$O$2428,6,FALSE)</f>
        <v>mccoy</v>
      </c>
      <c r="G63" s="5">
        <f>VLOOKUP($A63,tropes!$A$4:$O$2428,7,FALSE)</f>
        <v>0</v>
      </c>
      <c r="H63" s="5">
        <f>VLOOKUP($A63,tropes!$A$4:$O$2428,8,FALSE)</f>
        <v>1</v>
      </c>
      <c r="I63" s="5">
        <f>VLOOKUP($A63,tropes!$A$4:$O$2428,9,FALSE)</f>
        <v>125</v>
      </c>
      <c r="J63" s="5">
        <f>VLOOKUP($A63,tropes!$A$4:$O$2428,10,FALSE)</f>
        <v>26</v>
      </c>
      <c r="K63" s="5" t="str">
        <f>VLOOKUP($A63,tropes!$A$4:$O$2428,11,FALSE)</f>
        <v>The Devil in the Dark</v>
      </c>
      <c r="L63" s="5">
        <f>VLOOKUP($A63,tropes!$A$4:$O$2428,12,FALSE)</f>
        <v>1</v>
      </c>
      <c r="M63" s="5">
        <f>VLOOKUP($A63,tropes!$A$4:$O$2428,13,FALSE)</f>
        <v>25</v>
      </c>
      <c r="N63" s="5">
        <f t="shared" si="0"/>
        <v>4</v>
      </c>
    </row>
    <row r="64" spans="1:14" x14ac:dyDescent="0.3">
      <c r="A64" s="14">
        <v>2153</v>
      </c>
      <c r="B64" s="5" t="str">
        <f>VLOOKUP($A64,tropes!$A$4:$O$2428,2,FALSE)</f>
        <v>Interesting</v>
      </c>
      <c r="C64" s="5" t="str">
        <f>VLOOKUP($A64,tropes!$A$4:$O$2428,3,FALSE)</f>
        <v>catchphrase</v>
      </c>
      <c r="D64" s="5" t="str">
        <f>VLOOKUP($A64,tropes!$A$4:$O$2428,4,FALSE)</f>
        <v>interesting</v>
      </c>
      <c r="E64" s="5" t="str">
        <f>VLOOKUP($A64,tropes!$A$4:$O$2428,5,FALSE)</f>
        <v>Kirk: Mister Spock? Find something? | Spock: Adjusting my tricorder to register for silicon, Captain. Interesting. | Kirk: Traces? | Spock: A life form, Captain. Bearing one hundred eleven degrees, elevation four degrees.</v>
      </c>
      <c r="F64" s="5" t="str">
        <f>VLOOKUP($A64,tropes!$A$4:$O$2428,6,FALSE)</f>
        <v>spock</v>
      </c>
      <c r="G64" s="5">
        <f>VLOOKUP($A64,tropes!$A$4:$O$2428,7,FALSE)</f>
        <v>1</v>
      </c>
      <c r="H64" s="5">
        <f>VLOOKUP($A64,tropes!$A$4:$O$2428,8,FALSE)</f>
        <v>0</v>
      </c>
      <c r="I64" s="5">
        <f>VLOOKUP($A64,tropes!$A$4:$O$2428,9,FALSE)</f>
        <v>125</v>
      </c>
      <c r="J64" s="5">
        <f>VLOOKUP($A64,tropes!$A$4:$O$2428,10,FALSE)</f>
        <v>26</v>
      </c>
      <c r="K64" s="5" t="str">
        <f>VLOOKUP($A64,tropes!$A$4:$O$2428,11,FALSE)</f>
        <v>The Devil in the Dark</v>
      </c>
      <c r="L64" s="5">
        <f>VLOOKUP($A64,tropes!$A$4:$O$2428,12,FALSE)</f>
        <v>1</v>
      </c>
      <c r="M64" s="5">
        <f>VLOOKUP($A64,tropes!$A$4:$O$2428,13,FALSE)</f>
        <v>25</v>
      </c>
      <c r="N64" s="5">
        <f t="shared" si="0"/>
        <v>5</v>
      </c>
    </row>
    <row r="65" spans="1:14" x14ac:dyDescent="0.3">
      <c r="A65" s="14">
        <v>2162</v>
      </c>
      <c r="B65" s="5" t="str">
        <f>VLOOKUP($A65,tropes!$A$4:$O$2428,2,FALSE)</f>
        <v>Mental Fusion</v>
      </c>
      <c r="C65" s="5" t="str">
        <f>VLOOKUP($A65,tropes!$A$4:$O$2428,3,FALSE)</f>
        <v>catchphrase</v>
      </c>
      <c r="D65" s="5" t="str">
        <f>VLOOKUP($A65,tropes!$A$4:$O$2428,4,FALSE)</f>
        <v>mind_meld</v>
      </c>
      <c r="E65" s="5" t="str">
        <f>VLOOKUP($A65,tropes!$A$4:$O$2428,5,FALSE)</f>
        <v>Spock Mind Melds with Horta in order to talk with it.</v>
      </c>
      <c r="F65" s="5" t="str">
        <f>VLOOKUP($A65,tropes!$A$4:$O$2428,6,FALSE)</f>
        <v>spock</v>
      </c>
      <c r="G65" s="5">
        <f>VLOOKUP($A65,tropes!$A$4:$O$2428,7,FALSE)</f>
        <v>1</v>
      </c>
      <c r="H65" s="5">
        <f>VLOOKUP($A65,tropes!$A$4:$O$2428,8,FALSE)</f>
        <v>0</v>
      </c>
      <c r="I65" s="5">
        <f>VLOOKUP($A65,tropes!$A$4:$O$2428,9,FALSE)</f>
        <v>125</v>
      </c>
      <c r="J65" s="5">
        <f>VLOOKUP($A65,tropes!$A$4:$O$2428,10,FALSE)</f>
        <v>26</v>
      </c>
      <c r="K65" s="5" t="str">
        <f>VLOOKUP($A65,tropes!$A$4:$O$2428,11,FALSE)</f>
        <v>The Devil in the Dark</v>
      </c>
      <c r="L65" s="5">
        <f>VLOOKUP($A65,tropes!$A$4:$O$2428,12,FALSE)</f>
        <v>1</v>
      </c>
      <c r="M65" s="5">
        <f>VLOOKUP($A65,tropes!$A$4:$O$2428,13,FALSE)</f>
        <v>25</v>
      </c>
      <c r="N65" s="5">
        <f t="shared" si="0"/>
        <v>6</v>
      </c>
    </row>
    <row r="66" spans="1:14" x14ac:dyDescent="0.3">
      <c r="A66" s="14">
        <v>2154</v>
      </c>
      <c r="B66" s="5" t="str">
        <f>VLOOKUP($A66,tropes!$A$4:$O$2428,2,FALSE)</f>
        <v>Shot To Kill</v>
      </c>
      <c r="C66" s="5" t="str">
        <f>VLOOKUP($A66,tropes!$A$4:$O$2428,3,FALSE)</f>
        <v>catchphrase</v>
      </c>
      <c r="D66" s="5" t="str">
        <f>VLOOKUP($A66,tropes!$A$4:$O$2428,4,FALSE)</f>
        <v>oneOff</v>
      </c>
      <c r="E66" s="5" t="str">
        <f>VLOOKUP($A66,tropes!$A$4:$O$2428,5,FALSE)</f>
        <v>Spock wants security to attempt to capture the creature if possible. | Kirk: Your orders are shoot to kill.</v>
      </c>
      <c r="F66" s="5" t="str">
        <f>VLOOKUP($A66,tropes!$A$4:$O$2428,6,FALSE)</f>
        <v>spock</v>
      </c>
      <c r="G66" s="5">
        <f>VLOOKUP($A66,tropes!$A$4:$O$2428,7,FALSE)</f>
        <v>1</v>
      </c>
      <c r="H66" s="5">
        <f>VLOOKUP($A66,tropes!$A$4:$O$2428,8,FALSE)</f>
        <v>0</v>
      </c>
      <c r="I66" s="5">
        <f>VLOOKUP($A66,tropes!$A$4:$O$2428,9,FALSE)</f>
        <v>125</v>
      </c>
      <c r="J66" s="5">
        <f>VLOOKUP($A66,tropes!$A$4:$O$2428,10,FALSE)</f>
        <v>26</v>
      </c>
      <c r="K66" s="5" t="str">
        <f>VLOOKUP($A66,tropes!$A$4:$O$2428,11,FALSE)</f>
        <v>The Devil in the Dark</v>
      </c>
      <c r="L66" s="5">
        <f>VLOOKUP($A66,tropes!$A$4:$O$2428,12,FALSE)</f>
        <v>1</v>
      </c>
      <c r="M66" s="5">
        <f>VLOOKUP($A66,tropes!$A$4:$O$2428,13,FALSE)</f>
        <v>25</v>
      </c>
      <c r="N66" s="5">
        <f t="shared" si="0"/>
        <v>7</v>
      </c>
    </row>
    <row r="67" spans="1:14" x14ac:dyDescent="0.3">
      <c r="A67" s="14">
        <v>2164</v>
      </c>
      <c r="B67" s="5" t="str">
        <f>VLOOKUP($A67,tropes!$A$4:$O$2428,2,FALSE)</f>
        <v>Fascinating</v>
      </c>
      <c r="C67" s="5" t="str">
        <f>VLOOKUP($A67,tropes!$A$4:$O$2428,3,FALSE)</f>
        <v>catchphrase</v>
      </c>
      <c r="D67" s="5" t="str">
        <f>VLOOKUP($A67,tropes!$A$4:$O$2428,4,FALSE)</f>
        <v>fascinating</v>
      </c>
      <c r="E67" s="5" t="str">
        <f>VLOOKUP($A67,tropes!$A$4:$O$2428,5,FALSE)</f>
        <v>Spock: Fascinating, pure energy.</v>
      </c>
      <c r="F67" s="5" t="str">
        <f>VLOOKUP($A67,tropes!$A$4:$O$2428,6,FALSE)</f>
        <v>spock</v>
      </c>
      <c r="G67" s="5">
        <f>VLOOKUP($A67,tropes!$A$4:$O$2428,7,FALSE)</f>
        <v>1</v>
      </c>
      <c r="H67" s="5">
        <f>VLOOKUP($A67,tropes!$A$4:$O$2428,8,FALSE)</f>
        <v>0</v>
      </c>
      <c r="I67" s="5">
        <f>VLOOKUP($A67,tropes!$A$4:$O$2428,9,FALSE)</f>
        <v>126</v>
      </c>
      <c r="J67" s="5">
        <f>VLOOKUP($A67,tropes!$A$4:$O$2428,10,FALSE)</f>
        <v>27</v>
      </c>
      <c r="K67" s="5" t="str">
        <f>VLOOKUP($A67,tropes!$A$4:$O$2428,11,FALSE)</f>
        <v>Errand of Mercy</v>
      </c>
      <c r="L67" s="5">
        <f>VLOOKUP($A67,tropes!$A$4:$O$2428,12,FALSE)</f>
        <v>1</v>
      </c>
      <c r="M67" s="5">
        <f>VLOOKUP($A67,tropes!$A$4:$O$2428,13,FALSE)</f>
        <v>26</v>
      </c>
      <c r="N67" s="5">
        <f t="shared" si="0"/>
        <v>0</v>
      </c>
    </row>
    <row r="68" spans="1:14" x14ac:dyDescent="0.3">
      <c r="A68" s="14">
        <v>1459</v>
      </c>
      <c r="B68" s="5" t="str">
        <f>VLOOKUP($A68,tropes!$A$4:$O$2428,2,FALSE)</f>
        <v>Fascinating Eyebrow</v>
      </c>
      <c r="C68" s="5" t="str">
        <f>VLOOKUP($A68,tropes!$A$4:$O$2428,3,FALSE)</f>
        <v>catchphrase</v>
      </c>
      <c r="D68" s="5" t="str">
        <f>VLOOKUP($A68,tropes!$A$4:$O$2428,4,FALSE)</f>
        <v>eyebrow</v>
      </c>
      <c r="E68" s="5" t="str">
        <f>VLOOKUP($A68,tropes!$A$4:$O$2428,5,FALSE)</f>
        <v>Kor the Klingon: It's a mind-sifter or mind-ripper, depending on how much force is used. We can record every thought, every bit of knowledge in a man's mind. Of course, when that much force is used, the mind is emptied. Permanently, I'm afraid. What's left is more vegetable than human. Spock gives him the eyebrow.</v>
      </c>
      <c r="F68" s="5" t="str">
        <f>VLOOKUP($A68,tropes!$A$4:$O$2428,6,FALSE)</f>
        <v>klingon</v>
      </c>
      <c r="G68" s="5">
        <f>VLOOKUP($A68,tropes!$A$4:$O$2428,7,FALSE)</f>
        <v>0</v>
      </c>
      <c r="H68" s="5">
        <f>VLOOKUP($A68,tropes!$A$4:$O$2428,8,FALSE)</f>
        <v>0</v>
      </c>
      <c r="I68" s="5">
        <f>VLOOKUP($A68,tropes!$A$4:$O$2428,9,FALSE)</f>
        <v>126</v>
      </c>
      <c r="J68" s="5">
        <f>VLOOKUP($A68,tropes!$A$4:$O$2428,10,FALSE)</f>
        <v>27</v>
      </c>
      <c r="K68" s="5" t="str">
        <f>VLOOKUP($A68,tropes!$A$4:$O$2428,11,FALSE)</f>
        <v>Errand of Mercy</v>
      </c>
      <c r="L68" s="5">
        <f>VLOOKUP($A68,tropes!$A$4:$O$2428,12,FALSE)</f>
        <v>1</v>
      </c>
      <c r="M68" s="5">
        <f>VLOOKUP($A68,tropes!$A$4:$O$2428,13,FALSE)</f>
        <v>26</v>
      </c>
      <c r="N68" s="5">
        <f t="shared" ref="N68:N131" si="1">IF(I68&lt;&gt;I67,0,N67+1)</f>
        <v>1</v>
      </c>
    </row>
    <row r="69" spans="1:14" x14ac:dyDescent="0.3">
      <c r="A69" s="14">
        <v>2169</v>
      </c>
      <c r="B69" s="5" t="str">
        <f>VLOOKUP($A69,tropes!$A$4:$O$2428,2,FALSE)</f>
        <v>Fascinating Eyebrow</v>
      </c>
      <c r="C69" s="5" t="str">
        <f>VLOOKUP($A69,tropes!$A$4:$O$2428,3,FALSE)</f>
        <v>catchphrase</v>
      </c>
      <c r="D69" s="5" t="str">
        <f>VLOOKUP($A69,tropes!$A$4:$O$2428,4,FALSE)</f>
        <v>eyebrow</v>
      </c>
      <c r="E69" s="5" t="str">
        <f>VLOOKUP($A69,tropes!$A$4:$O$2428,5,FALSE)</f>
        <v>Spock raises an eyebrow after , Kirk says: We didn't beat the odds. The Organians raided the game.</v>
      </c>
      <c r="F69" s="5" t="str">
        <f>VLOOKUP($A69,tropes!$A$4:$O$2428,6,FALSE)</f>
        <v>spock</v>
      </c>
      <c r="G69" s="5">
        <f>VLOOKUP($A69,tropes!$A$4:$O$2428,7,FALSE)</f>
        <v>1</v>
      </c>
      <c r="H69" s="5">
        <f>VLOOKUP($A69,tropes!$A$4:$O$2428,8,FALSE)</f>
        <v>0</v>
      </c>
      <c r="I69" s="5">
        <f>VLOOKUP($A69,tropes!$A$4:$O$2428,9,FALSE)</f>
        <v>126</v>
      </c>
      <c r="J69" s="5">
        <f>VLOOKUP($A69,tropes!$A$4:$O$2428,10,FALSE)</f>
        <v>27</v>
      </c>
      <c r="K69" s="5" t="str">
        <f>VLOOKUP($A69,tropes!$A$4:$O$2428,11,FALSE)</f>
        <v>Errand of Mercy</v>
      </c>
      <c r="L69" s="5">
        <f>VLOOKUP($A69,tropes!$A$4:$O$2428,12,FALSE)</f>
        <v>1</v>
      </c>
      <c r="M69" s="5">
        <f>VLOOKUP($A69,tropes!$A$4:$O$2428,13,FALSE)</f>
        <v>26</v>
      </c>
      <c r="N69" s="5">
        <f t="shared" si="1"/>
        <v>2</v>
      </c>
    </row>
    <row r="70" spans="1:14" x14ac:dyDescent="0.3">
      <c r="A70" s="14">
        <v>851</v>
      </c>
      <c r="B70" s="5" t="str">
        <f>VLOOKUP($A70,tropes!$A$4:$O$2428,2,FALSE)</f>
        <v>I'm a Doctor</v>
      </c>
      <c r="C70" s="5" t="str">
        <f>VLOOKUP($A70,tropes!$A$4:$O$2428,3,FALSE)</f>
        <v>catchphrase</v>
      </c>
      <c r="D70" s="5" t="str">
        <f>VLOOKUP($A70,tropes!$A$4:$O$2428,4,FALSE)</f>
        <v>im_a_doctor</v>
      </c>
      <c r="E70" s="5" t="str">
        <f>VLOOKUP($A70,tropes!$A$4:$O$2428,5,FALSE)</f>
        <v>Kirk: I'm a soldier, not a diplomat.</v>
      </c>
      <c r="F70" s="5" t="str">
        <f>VLOOKUP($A70,tropes!$A$4:$O$2428,6,FALSE)</f>
        <v>kirk</v>
      </c>
      <c r="G70" s="5">
        <f>VLOOKUP($A70,tropes!$A$4:$O$2428,7,FALSE)</f>
        <v>1</v>
      </c>
      <c r="H70" s="5">
        <f>VLOOKUP($A70,tropes!$A$4:$O$2428,8,FALSE)</f>
        <v>0</v>
      </c>
      <c r="I70" s="5">
        <f>VLOOKUP($A70,tropes!$A$4:$O$2428,9,FALSE)</f>
        <v>126</v>
      </c>
      <c r="J70" s="5">
        <f>VLOOKUP($A70,tropes!$A$4:$O$2428,10,FALSE)</f>
        <v>27</v>
      </c>
      <c r="K70" s="5" t="str">
        <f>VLOOKUP($A70,tropes!$A$4:$O$2428,11,FALSE)</f>
        <v>Errand of Mercy</v>
      </c>
      <c r="L70" s="5">
        <f>VLOOKUP($A70,tropes!$A$4:$O$2428,12,FALSE)</f>
        <v>1</v>
      </c>
      <c r="M70" s="5">
        <f>VLOOKUP($A70,tropes!$A$4:$O$2428,13,FALSE)</f>
        <v>26</v>
      </c>
      <c r="N70" s="5">
        <f t="shared" si="1"/>
        <v>3</v>
      </c>
    </row>
    <row r="71" spans="1:14" x14ac:dyDescent="0.3">
      <c r="A71" s="14">
        <v>2165</v>
      </c>
      <c r="B71" s="5" t="str">
        <f>VLOOKUP($A71,tropes!$A$4:$O$2428,2,FALSE)</f>
        <v>Interesting</v>
      </c>
      <c r="C71" s="5" t="str">
        <f>VLOOKUP($A71,tropes!$A$4:$O$2428,3,FALSE)</f>
        <v>catchphrase</v>
      </c>
      <c r="D71" s="5" t="str">
        <f>VLOOKUP($A71,tropes!$A$4:$O$2428,4,FALSE)</f>
        <v>interesting</v>
      </c>
      <c r="E71" s="5" t="str">
        <f>VLOOKUP($A71,tropes!$A$4:$O$2428,5,FALSE)</f>
        <v>Kirk: Are you sure you're all right? | Spock: Perfectly, Baroner. But it was an interesting experience.</v>
      </c>
      <c r="F71" s="5" t="str">
        <f>VLOOKUP($A71,tropes!$A$4:$O$2428,6,FALSE)</f>
        <v>spock</v>
      </c>
      <c r="G71" s="5">
        <f>VLOOKUP($A71,tropes!$A$4:$O$2428,7,FALSE)</f>
        <v>1</v>
      </c>
      <c r="H71" s="5">
        <f>VLOOKUP($A71,tropes!$A$4:$O$2428,8,FALSE)</f>
        <v>0</v>
      </c>
      <c r="I71" s="5">
        <f>VLOOKUP($A71,tropes!$A$4:$O$2428,9,FALSE)</f>
        <v>126</v>
      </c>
      <c r="J71" s="5">
        <f>VLOOKUP($A71,tropes!$A$4:$O$2428,10,FALSE)</f>
        <v>27</v>
      </c>
      <c r="K71" s="5" t="str">
        <f>VLOOKUP($A71,tropes!$A$4:$O$2428,11,FALSE)</f>
        <v>Errand of Mercy</v>
      </c>
      <c r="L71" s="5">
        <f>VLOOKUP($A71,tropes!$A$4:$O$2428,12,FALSE)</f>
        <v>1</v>
      </c>
      <c r="M71" s="5">
        <f>VLOOKUP($A71,tropes!$A$4:$O$2428,13,FALSE)</f>
        <v>26</v>
      </c>
      <c r="N71" s="5">
        <f t="shared" si="1"/>
        <v>4</v>
      </c>
    </row>
    <row r="72" spans="1:14" x14ac:dyDescent="0.3">
      <c r="A72" s="14">
        <v>1454</v>
      </c>
      <c r="B72" s="5" t="str">
        <f>VLOOKUP($A72,tropes!$A$4:$O$2428,2,FALSE)</f>
        <v>Vulcanian</v>
      </c>
      <c r="C72" s="5" t="str">
        <f>VLOOKUP($A72,tropes!$A$4:$O$2428,3,FALSE)</f>
        <v>catchphrase</v>
      </c>
      <c r="D72" s="5" t="str">
        <f>VLOOKUP($A72,tropes!$A$4:$O$2428,4,FALSE)</f>
        <v>vulcanian</v>
      </c>
      <c r="E72" s="5" t="str">
        <f>VLOOKUP($A72,tropes!$A$4:$O$2428,5,FALSE)</f>
        <v>Klingon: He claims to be a Vulcanian merchant.</v>
      </c>
      <c r="F72" s="5" t="str">
        <f>VLOOKUP($A72,tropes!$A$4:$O$2428,6,FALSE)</f>
        <v>klingon</v>
      </c>
      <c r="G72" s="5">
        <f>VLOOKUP($A72,tropes!$A$4:$O$2428,7,FALSE)</f>
        <v>0</v>
      </c>
      <c r="H72" s="5">
        <f>VLOOKUP($A72,tropes!$A$4:$O$2428,8,FALSE)</f>
        <v>0</v>
      </c>
      <c r="I72" s="5">
        <f>VLOOKUP($A72,tropes!$A$4:$O$2428,9,FALSE)</f>
        <v>126</v>
      </c>
      <c r="J72" s="5">
        <f>VLOOKUP($A72,tropes!$A$4:$O$2428,10,FALSE)</f>
        <v>27</v>
      </c>
      <c r="K72" s="5" t="str">
        <f>VLOOKUP($A72,tropes!$A$4:$O$2428,11,FALSE)</f>
        <v>Errand of Mercy</v>
      </c>
      <c r="L72" s="5">
        <f>VLOOKUP($A72,tropes!$A$4:$O$2428,12,FALSE)</f>
        <v>1</v>
      </c>
      <c r="M72" s="5">
        <f>VLOOKUP($A72,tropes!$A$4:$O$2428,13,FALSE)</f>
        <v>26</v>
      </c>
      <c r="N72" s="5">
        <f t="shared" si="1"/>
        <v>5</v>
      </c>
    </row>
    <row r="73" spans="1:14" x14ac:dyDescent="0.3">
      <c r="A73" s="14">
        <v>2182</v>
      </c>
      <c r="B73" s="5" t="str">
        <f>VLOOKUP($A73,tropes!$A$4:$O$2428,2,FALSE)</f>
        <v>Fascinating</v>
      </c>
      <c r="C73" s="5" t="str">
        <f>VLOOKUP($A73,tropes!$A$4:$O$2428,3,FALSE)</f>
        <v>catchphrase</v>
      </c>
      <c r="D73" s="5" t="str">
        <f>VLOOKUP($A73,tropes!$A$4:$O$2428,4,FALSE)</f>
        <v>fascinating</v>
      </c>
      <c r="E73" s="5" t="str">
        <f>VLOOKUP($A73,tropes!$A$4:$O$2428,5,FALSE)</f>
        <v>Spock: Fascinating. In regards to Guardian.</v>
      </c>
      <c r="F73" s="5" t="str">
        <f>VLOOKUP($A73,tropes!$A$4:$O$2428,6,FALSE)</f>
        <v>spock</v>
      </c>
      <c r="G73" s="5">
        <f>VLOOKUP($A73,tropes!$A$4:$O$2428,7,FALSE)</f>
        <v>1</v>
      </c>
      <c r="H73" s="5">
        <f>VLOOKUP($A73,tropes!$A$4:$O$2428,8,FALSE)</f>
        <v>0</v>
      </c>
      <c r="I73" s="5">
        <f>VLOOKUP($A73,tropes!$A$4:$O$2428,9,FALSE)</f>
        <v>128</v>
      </c>
      <c r="J73" s="5">
        <f>VLOOKUP($A73,tropes!$A$4:$O$2428,10,FALSE)</f>
        <v>29</v>
      </c>
      <c r="K73" s="5" t="str">
        <f>VLOOKUP($A73,tropes!$A$4:$O$2428,11,FALSE)</f>
        <v>The City on the Edge of Forever</v>
      </c>
      <c r="L73" s="5">
        <f>VLOOKUP($A73,tropes!$A$4:$O$2428,12,FALSE)</f>
        <v>1</v>
      </c>
      <c r="M73" s="5">
        <f>VLOOKUP($A73,tropes!$A$4:$O$2428,13,FALSE)</f>
        <v>28</v>
      </c>
      <c r="N73" s="5">
        <f t="shared" si="1"/>
        <v>0</v>
      </c>
    </row>
    <row r="74" spans="1:14" x14ac:dyDescent="0.3">
      <c r="A74" s="14">
        <v>2189</v>
      </c>
      <c r="B74" s="5" t="str">
        <f>VLOOKUP($A74,tropes!$A$4:$O$2428,2,FALSE)</f>
        <v>Fascinating Eyebrow</v>
      </c>
      <c r="C74" s="5" t="str">
        <f>VLOOKUP($A74,tropes!$A$4:$O$2428,3,FALSE)</f>
        <v>catchphrase</v>
      </c>
      <c r="D74" s="5" t="str">
        <f>VLOOKUP($A74,tropes!$A$4:$O$2428,4,FALSE)</f>
        <v>eyebrow</v>
      </c>
      <c r="E74" s="5" t="str">
        <f>VLOOKUP($A74,tropes!$A$4:$O$2428,5,FALSE)</f>
        <v>Spock when talking to the guardian.</v>
      </c>
      <c r="F74" s="5" t="str">
        <f>VLOOKUP($A74,tropes!$A$4:$O$2428,6,FALSE)</f>
        <v>spock</v>
      </c>
      <c r="G74" s="5">
        <f>VLOOKUP($A74,tropes!$A$4:$O$2428,7,FALSE)</f>
        <v>1</v>
      </c>
      <c r="H74" s="5">
        <f>VLOOKUP($A74,tropes!$A$4:$O$2428,8,FALSE)</f>
        <v>0</v>
      </c>
      <c r="I74" s="5">
        <f>VLOOKUP($A74,tropes!$A$4:$O$2428,9,FALSE)</f>
        <v>128</v>
      </c>
      <c r="J74" s="5">
        <f>VLOOKUP($A74,tropes!$A$4:$O$2428,10,FALSE)</f>
        <v>29</v>
      </c>
      <c r="K74" s="5" t="str">
        <f>VLOOKUP($A74,tropes!$A$4:$O$2428,11,FALSE)</f>
        <v>The City on the Edge of Forever</v>
      </c>
      <c r="L74" s="5">
        <f>VLOOKUP($A74,tropes!$A$4:$O$2428,12,FALSE)</f>
        <v>1</v>
      </c>
      <c r="M74" s="5">
        <f>VLOOKUP($A74,tropes!$A$4:$O$2428,13,FALSE)</f>
        <v>28</v>
      </c>
      <c r="N74" s="5">
        <f t="shared" si="1"/>
        <v>1</v>
      </c>
    </row>
    <row r="75" spans="1:14" x14ac:dyDescent="0.3">
      <c r="A75" s="14">
        <v>2190</v>
      </c>
      <c r="B75" s="5" t="str">
        <f>VLOOKUP($A75,tropes!$A$4:$O$2428,2,FALSE)</f>
        <v>Fascinating Eyebrow</v>
      </c>
      <c r="C75" s="5" t="str">
        <f>VLOOKUP($A75,tropes!$A$4:$O$2428,3,FALSE)</f>
        <v>catchphrase</v>
      </c>
      <c r="D75" s="5" t="str">
        <f>VLOOKUP($A75,tropes!$A$4:$O$2428,4,FALSE)</f>
        <v>eyebrow</v>
      </c>
      <c r="E75" s="5" t="str">
        <f>VLOOKUP($A75,tropes!$A$4:$O$2428,5,FALSE)</f>
        <v>Spock's rasies an eyebrow to Kirk: It would pose an extremely complex problem in logic Mr. Spock.</v>
      </c>
      <c r="F75" s="5" t="str">
        <f>VLOOKUP($A75,tropes!$A$4:$O$2428,6,FALSE)</f>
        <v>spock</v>
      </c>
      <c r="G75" s="5">
        <f>VLOOKUP($A75,tropes!$A$4:$O$2428,7,FALSE)</f>
        <v>1</v>
      </c>
      <c r="H75" s="5">
        <f>VLOOKUP($A75,tropes!$A$4:$O$2428,8,FALSE)</f>
        <v>0</v>
      </c>
      <c r="I75" s="5">
        <f>VLOOKUP($A75,tropes!$A$4:$O$2428,9,FALSE)</f>
        <v>128</v>
      </c>
      <c r="J75" s="5">
        <f>VLOOKUP($A75,tropes!$A$4:$O$2428,10,FALSE)</f>
        <v>29</v>
      </c>
      <c r="K75" s="5" t="str">
        <f>VLOOKUP($A75,tropes!$A$4:$O$2428,11,FALSE)</f>
        <v>The City on the Edge of Forever</v>
      </c>
      <c r="L75" s="5">
        <f>VLOOKUP($A75,tropes!$A$4:$O$2428,12,FALSE)</f>
        <v>1</v>
      </c>
      <c r="M75" s="5">
        <f>VLOOKUP($A75,tropes!$A$4:$O$2428,13,FALSE)</f>
        <v>28</v>
      </c>
      <c r="N75" s="5">
        <f t="shared" si="1"/>
        <v>2</v>
      </c>
    </row>
    <row r="76" spans="1:14" x14ac:dyDescent="0.3">
      <c r="A76" s="14">
        <v>2191</v>
      </c>
      <c r="B76" s="5" t="str">
        <f>VLOOKUP($A76,tropes!$A$4:$O$2428,2,FALSE)</f>
        <v>Fascinating Eyebrow</v>
      </c>
      <c r="C76" s="5" t="str">
        <f>VLOOKUP($A76,tropes!$A$4:$O$2428,3,FALSE)</f>
        <v>catchphrase</v>
      </c>
      <c r="D76" s="5" t="str">
        <f>VLOOKUP($A76,tropes!$A$4:$O$2428,4,FALSE)</f>
        <v>eyebrow</v>
      </c>
      <c r="E76" s="5" t="str">
        <f>VLOOKUP($A76,tropes!$A$4:$O$2428,5,FALSE)</f>
        <v>Spock's response to Kirk: Sometimes I expect too much of you.</v>
      </c>
      <c r="F76" s="5" t="str">
        <f>VLOOKUP($A76,tropes!$A$4:$O$2428,6,FALSE)</f>
        <v>spock</v>
      </c>
      <c r="G76" s="5">
        <f>VLOOKUP($A76,tropes!$A$4:$O$2428,7,FALSE)</f>
        <v>1</v>
      </c>
      <c r="H76" s="5">
        <f>VLOOKUP($A76,tropes!$A$4:$O$2428,8,FALSE)</f>
        <v>0</v>
      </c>
      <c r="I76" s="5">
        <f>VLOOKUP($A76,tropes!$A$4:$O$2428,9,FALSE)</f>
        <v>128</v>
      </c>
      <c r="J76" s="5">
        <f>VLOOKUP($A76,tropes!$A$4:$O$2428,10,FALSE)</f>
        <v>29</v>
      </c>
      <c r="K76" s="5" t="str">
        <f>VLOOKUP($A76,tropes!$A$4:$O$2428,11,FALSE)</f>
        <v>The City on the Edge of Forever</v>
      </c>
      <c r="L76" s="5">
        <f>VLOOKUP($A76,tropes!$A$4:$O$2428,12,FALSE)</f>
        <v>1</v>
      </c>
      <c r="M76" s="5">
        <f>VLOOKUP($A76,tropes!$A$4:$O$2428,13,FALSE)</f>
        <v>28</v>
      </c>
      <c r="N76" s="5">
        <f t="shared" si="1"/>
        <v>3</v>
      </c>
    </row>
    <row r="77" spans="1:14" x14ac:dyDescent="0.3">
      <c r="A77" s="14">
        <v>2192</v>
      </c>
      <c r="B77" s="5" t="str">
        <f>VLOOKUP($A77,tropes!$A$4:$O$2428,2,FALSE)</f>
        <v>Fascinating Eyebrow</v>
      </c>
      <c r="C77" s="5" t="str">
        <f>VLOOKUP($A77,tropes!$A$4:$O$2428,3,FALSE)</f>
        <v>catchphrase</v>
      </c>
      <c r="D77" s="5" t="str">
        <f>VLOOKUP($A77,tropes!$A$4:$O$2428,4,FALSE)</f>
        <v>eyebrow</v>
      </c>
      <c r="E77" s="5" t="str">
        <f>VLOOKUP($A77,tropes!$A$4:$O$2428,5,FALSE)</f>
        <v>Spock's response when the Guardian calls Spock's science knowledge primitive.</v>
      </c>
      <c r="F77" s="5" t="str">
        <f>VLOOKUP($A77,tropes!$A$4:$O$2428,6,FALSE)</f>
        <v>spock</v>
      </c>
      <c r="G77" s="5">
        <f>VLOOKUP($A77,tropes!$A$4:$O$2428,7,FALSE)</f>
        <v>1</v>
      </c>
      <c r="H77" s="5">
        <f>VLOOKUP($A77,tropes!$A$4:$O$2428,8,FALSE)</f>
        <v>0</v>
      </c>
      <c r="I77" s="5">
        <f>VLOOKUP($A77,tropes!$A$4:$O$2428,9,FALSE)</f>
        <v>128</v>
      </c>
      <c r="J77" s="5">
        <f>VLOOKUP($A77,tropes!$A$4:$O$2428,10,FALSE)</f>
        <v>29</v>
      </c>
      <c r="K77" s="5" t="str">
        <f>VLOOKUP($A77,tropes!$A$4:$O$2428,11,FALSE)</f>
        <v>The City on the Edge of Forever</v>
      </c>
      <c r="L77" s="5">
        <f>VLOOKUP($A77,tropes!$A$4:$O$2428,12,FALSE)</f>
        <v>1</v>
      </c>
      <c r="M77" s="5">
        <f>VLOOKUP($A77,tropes!$A$4:$O$2428,13,FALSE)</f>
        <v>28</v>
      </c>
      <c r="N77" s="5">
        <f t="shared" si="1"/>
        <v>4</v>
      </c>
    </row>
    <row r="78" spans="1:14" x14ac:dyDescent="0.3">
      <c r="A78" s="14">
        <v>1510</v>
      </c>
      <c r="B78" s="5" t="str">
        <f>VLOOKUP($A78,tropes!$A$4:$O$2428,2,FALSE)</f>
        <v>I'm a Doctor</v>
      </c>
      <c r="C78" s="5" t="str">
        <f>VLOOKUP($A78,tropes!$A$4:$O$2428,3,FALSE)</f>
        <v>catchphrase</v>
      </c>
      <c r="D78" s="5" t="str">
        <f>VLOOKUP($A78,tropes!$A$4:$O$2428,4,FALSE)</f>
        <v>im_a_doctor</v>
      </c>
      <c r="E78" s="5" t="str">
        <f>VLOOKUP($A78,tropes!$A$4:$O$2428,5,FALSE)</f>
        <v>McCoy: I'm a surgeon, not a psychiatrist.</v>
      </c>
      <c r="F78" s="5" t="str">
        <f>VLOOKUP($A78,tropes!$A$4:$O$2428,6,FALSE)</f>
        <v>mccoy</v>
      </c>
      <c r="G78" s="5">
        <f>VLOOKUP($A78,tropes!$A$4:$O$2428,7,FALSE)</f>
        <v>0</v>
      </c>
      <c r="H78" s="5">
        <f>VLOOKUP($A78,tropes!$A$4:$O$2428,8,FALSE)</f>
        <v>1</v>
      </c>
      <c r="I78" s="5">
        <f>VLOOKUP($A78,tropes!$A$4:$O$2428,9,FALSE)</f>
        <v>128</v>
      </c>
      <c r="J78" s="5">
        <f>VLOOKUP($A78,tropes!$A$4:$O$2428,10,FALSE)</f>
        <v>29</v>
      </c>
      <c r="K78" s="5" t="str">
        <f>VLOOKUP($A78,tropes!$A$4:$O$2428,11,FALSE)</f>
        <v>The City on the Edge of Forever</v>
      </c>
      <c r="L78" s="5">
        <f>VLOOKUP($A78,tropes!$A$4:$O$2428,12,FALSE)</f>
        <v>1</v>
      </c>
      <c r="M78" s="5">
        <f>VLOOKUP($A78,tropes!$A$4:$O$2428,13,FALSE)</f>
        <v>28</v>
      </c>
      <c r="N78" s="5">
        <f t="shared" si="1"/>
        <v>5</v>
      </c>
    </row>
    <row r="79" spans="1:14" x14ac:dyDescent="0.3">
      <c r="A79" s="14">
        <v>2183</v>
      </c>
      <c r="B79" s="5" t="str">
        <f>VLOOKUP($A79,tropes!$A$4:$O$2428,2,FALSE)</f>
        <v>Interesting</v>
      </c>
      <c r="C79" s="5" t="str">
        <f>VLOOKUP($A79,tropes!$A$4:$O$2428,3,FALSE)</f>
        <v>catchphrase</v>
      </c>
      <c r="D79" s="5" t="str">
        <f>VLOOKUP($A79,tropes!$A$4:$O$2428,4,FALSE)</f>
        <v>interesting</v>
      </c>
      <c r="E79" s="5" t="str">
        <f>VLOOKUP($A79,tropes!$A$4:$O$2428,5,FALSE)</f>
        <v>Edith: You know as well as I do how out of place you two are around here. | Spock: Interesting. Where would you estimate we belong, Miss Keeler? | Edith: You? At his side, as if you've always been there and always will. And you? You belong in another place. I don't know where or how. I'll figure it out eventually.</v>
      </c>
      <c r="F79" s="5" t="str">
        <f>VLOOKUP($A79,tropes!$A$4:$O$2428,6,FALSE)</f>
        <v>spock</v>
      </c>
      <c r="G79" s="5">
        <f>VLOOKUP($A79,tropes!$A$4:$O$2428,7,FALSE)</f>
        <v>1</v>
      </c>
      <c r="H79" s="5">
        <f>VLOOKUP($A79,tropes!$A$4:$O$2428,8,FALSE)</f>
        <v>0</v>
      </c>
      <c r="I79" s="5">
        <f>VLOOKUP($A79,tropes!$A$4:$O$2428,9,FALSE)</f>
        <v>128</v>
      </c>
      <c r="J79" s="5">
        <f>VLOOKUP($A79,tropes!$A$4:$O$2428,10,FALSE)</f>
        <v>29</v>
      </c>
      <c r="K79" s="5" t="str">
        <f>VLOOKUP($A79,tropes!$A$4:$O$2428,11,FALSE)</f>
        <v>The City on the Edge of Forever</v>
      </c>
      <c r="L79" s="5">
        <f>VLOOKUP($A79,tropes!$A$4:$O$2428,12,FALSE)</f>
        <v>1</v>
      </c>
      <c r="M79" s="5">
        <f>VLOOKUP($A79,tropes!$A$4:$O$2428,13,FALSE)</f>
        <v>28</v>
      </c>
      <c r="N79" s="5">
        <f t="shared" si="1"/>
        <v>6</v>
      </c>
    </row>
    <row r="80" spans="1:14" x14ac:dyDescent="0.3">
      <c r="A80" s="14">
        <v>2184</v>
      </c>
      <c r="B80" s="5" t="str">
        <f>VLOOKUP($A80,tropes!$A$4:$O$2428,2,FALSE)</f>
        <v>Interesting</v>
      </c>
      <c r="C80" s="5" t="str">
        <f>VLOOKUP($A80,tropes!$A$4:$O$2428,3,FALSE)</f>
        <v>catchphrase</v>
      </c>
      <c r="D80" s="5" t="str">
        <f>VLOOKUP($A80,tropes!$A$4:$O$2428,4,FALSE)</f>
        <v>interesting</v>
      </c>
      <c r="E80" s="5" t="str">
        <f>VLOOKUP($A80,tropes!$A$4:$O$2428,5,FALSE)</f>
        <v>Kirk: Well, Mister Spock, if we can't disguise you, we'll find some way of explaining you. Spock: That should prove interesting.</v>
      </c>
      <c r="F80" s="5" t="str">
        <f>VLOOKUP($A80,tropes!$A$4:$O$2428,6,FALSE)</f>
        <v>spock</v>
      </c>
      <c r="G80" s="5">
        <f>VLOOKUP($A80,tropes!$A$4:$O$2428,7,FALSE)</f>
        <v>1</v>
      </c>
      <c r="H80" s="5">
        <f>VLOOKUP($A80,tropes!$A$4:$O$2428,8,FALSE)</f>
        <v>0</v>
      </c>
      <c r="I80" s="5">
        <f>VLOOKUP($A80,tropes!$A$4:$O$2428,9,FALSE)</f>
        <v>128</v>
      </c>
      <c r="J80" s="5">
        <f>VLOOKUP($A80,tropes!$A$4:$O$2428,10,FALSE)</f>
        <v>29</v>
      </c>
      <c r="K80" s="5" t="str">
        <f>VLOOKUP($A80,tropes!$A$4:$O$2428,11,FALSE)</f>
        <v>The City on the Edge of Forever</v>
      </c>
      <c r="L80" s="5">
        <f>VLOOKUP($A80,tropes!$A$4:$O$2428,12,FALSE)</f>
        <v>1</v>
      </c>
      <c r="M80" s="5">
        <f>VLOOKUP($A80,tropes!$A$4:$O$2428,13,FALSE)</f>
        <v>28</v>
      </c>
      <c r="N80" s="5">
        <f t="shared" si="1"/>
        <v>7</v>
      </c>
    </row>
    <row r="81" spans="1:14" x14ac:dyDescent="0.3">
      <c r="A81" s="14">
        <v>1663</v>
      </c>
      <c r="B81" s="5" t="str">
        <f>VLOOKUP($A81,tropes!$A$4:$O$2428,2,FALSE)</f>
        <v>Fascinating Eyebrow</v>
      </c>
      <c r="C81" s="5" t="str">
        <f>VLOOKUP($A81,tropes!$A$4:$O$2428,3,FALSE)</f>
        <v>catchphrase</v>
      </c>
      <c r="D81" s="5" t="str">
        <f>VLOOKUP($A81,tropes!$A$4:$O$2428,4,FALSE)</f>
        <v>eyebrow</v>
      </c>
      <c r="E81" s="5" t="str">
        <f>VLOOKUP($A81,tropes!$A$4:$O$2428,5,FALSE)</f>
        <v>McCoy: Please don't tell Spock I said he was the best first officer in the fleet. | Spock: Why, thank you, Doctor McCoy.</v>
      </c>
      <c r="F81" s="5" t="str">
        <f>VLOOKUP($A81,tropes!$A$4:$O$2428,6,FALSE)</f>
        <v>mccoy</v>
      </c>
      <c r="G81" s="5">
        <f>VLOOKUP($A81,tropes!$A$4:$O$2428,7,FALSE)</f>
        <v>0</v>
      </c>
      <c r="H81" s="5">
        <f>VLOOKUP($A81,tropes!$A$4:$O$2428,8,FALSE)</f>
        <v>1</v>
      </c>
      <c r="I81" s="5">
        <f>VLOOKUP($A81,tropes!$A$4:$O$2428,9,FALSE)</f>
        <v>129</v>
      </c>
      <c r="J81" s="5">
        <f>VLOOKUP($A81,tropes!$A$4:$O$2428,10,FALSE)</f>
        <v>30</v>
      </c>
      <c r="K81" s="5" t="str">
        <f>VLOOKUP($A81,tropes!$A$4:$O$2428,11,FALSE)</f>
        <v>Operation: Annihilate!</v>
      </c>
      <c r="L81" s="5">
        <f>VLOOKUP($A81,tropes!$A$4:$O$2428,12,FALSE)</f>
        <v>1</v>
      </c>
      <c r="M81" s="5">
        <f>VLOOKUP($A81,tropes!$A$4:$O$2428,13,FALSE)</f>
        <v>29</v>
      </c>
      <c r="N81" s="5">
        <f t="shared" si="1"/>
        <v>0</v>
      </c>
    </row>
    <row r="82" spans="1:14" x14ac:dyDescent="0.3">
      <c r="A82" s="14">
        <v>2203</v>
      </c>
      <c r="B82" s="5" t="str">
        <f>VLOOKUP($A82,tropes!$A$4:$O$2428,2,FALSE)</f>
        <v>Fascinating Eyebrow</v>
      </c>
      <c r="C82" s="5" t="str">
        <f>VLOOKUP($A82,tropes!$A$4:$O$2428,3,FALSE)</f>
        <v>catchphrase</v>
      </c>
      <c r="D82" s="5" t="str">
        <f>VLOOKUP($A82,tropes!$A$4:$O$2428,4,FALSE)</f>
        <v>eyebrow</v>
      </c>
      <c r="E82" s="5" t="str">
        <f>VLOOKUP($A82,tropes!$A$4:$O$2428,5,FALSE)</f>
        <v>Spock's response to McCoy as he examines him after parasite stung him.</v>
      </c>
      <c r="F82" s="5" t="str">
        <f>VLOOKUP($A82,tropes!$A$4:$O$2428,6,FALSE)</f>
        <v>spock</v>
      </c>
      <c r="G82" s="5">
        <f>VLOOKUP($A82,tropes!$A$4:$O$2428,7,FALSE)</f>
        <v>1</v>
      </c>
      <c r="H82" s="5">
        <f>VLOOKUP($A82,tropes!$A$4:$O$2428,8,FALSE)</f>
        <v>0</v>
      </c>
      <c r="I82" s="5">
        <f>VLOOKUP($A82,tropes!$A$4:$O$2428,9,FALSE)</f>
        <v>129</v>
      </c>
      <c r="J82" s="5">
        <f>VLOOKUP($A82,tropes!$A$4:$O$2428,10,FALSE)</f>
        <v>30</v>
      </c>
      <c r="K82" s="5" t="str">
        <f>VLOOKUP($A82,tropes!$A$4:$O$2428,11,FALSE)</f>
        <v>Operation: Annihilate!</v>
      </c>
      <c r="L82" s="5">
        <f>VLOOKUP($A82,tropes!$A$4:$O$2428,12,FALSE)</f>
        <v>1</v>
      </c>
      <c r="M82" s="5">
        <f>VLOOKUP($A82,tropes!$A$4:$O$2428,13,FALSE)</f>
        <v>29</v>
      </c>
      <c r="N82" s="5">
        <f t="shared" si="1"/>
        <v>1</v>
      </c>
    </row>
    <row r="83" spans="1:14" x14ac:dyDescent="0.3">
      <c r="A83" s="14">
        <v>2198</v>
      </c>
      <c r="B83" s="5" t="str">
        <f>VLOOKUP($A83,tropes!$A$4:$O$2428,2,FALSE)</f>
        <v>Interesting</v>
      </c>
      <c r="C83" s="5" t="str">
        <f>VLOOKUP($A83,tropes!$A$4:$O$2428,3,FALSE)</f>
        <v>catchphrase</v>
      </c>
      <c r="D83" s="5" t="str">
        <f>VLOOKUP($A83,tropes!$A$4:$O$2428,4,FALSE)</f>
        <v>interesting</v>
      </c>
      <c r="E83" s="5" t="str">
        <f>VLOOKUP($A83,tropes!$A$4:$O$2428,5,FALSE)</f>
        <v>Spock: Come in, gentlemen. I believe you'll find this interesting. (McCoy scans Spock.) Doctor, your medical skill and curiosity are quite admirable, but I assure you I'm all right. | McCoy: You may be controlling the pain, Mister Spock, but you're far from all right. | Spock: Unimportant at the moment, Doctor. Please observe. Interesting, gentlemen. A one-celled creature resembling, more than anything else, a huge, individual brain cell.</v>
      </c>
      <c r="F83" s="5" t="str">
        <f>VLOOKUP($A83,tropes!$A$4:$O$2428,6,FALSE)</f>
        <v>spock</v>
      </c>
      <c r="G83" s="5">
        <f>VLOOKUP($A83,tropes!$A$4:$O$2428,7,FALSE)</f>
        <v>1</v>
      </c>
      <c r="H83" s="5">
        <f>VLOOKUP($A83,tropes!$A$4:$O$2428,8,FALSE)</f>
        <v>0</v>
      </c>
      <c r="I83" s="5">
        <f>VLOOKUP($A83,tropes!$A$4:$O$2428,9,FALSE)</f>
        <v>129</v>
      </c>
      <c r="J83" s="5">
        <f>VLOOKUP($A83,tropes!$A$4:$O$2428,10,FALSE)</f>
        <v>30</v>
      </c>
      <c r="K83" s="5" t="str">
        <f>VLOOKUP($A83,tropes!$A$4:$O$2428,11,FALSE)</f>
        <v>Operation: Annihilate!</v>
      </c>
      <c r="L83" s="5">
        <f>VLOOKUP($A83,tropes!$A$4:$O$2428,12,FALSE)</f>
        <v>1</v>
      </c>
      <c r="M83" s="5">
        <f>VLOOKUP($A83,tropes!$A$4:$O$2428,13,FALSE)</f>
        <v>29</v>
      </c>
      <c r="N83" s="5">
        <f t="shared" si="1"/>
        <v>2</v>
      </c>
    </row>
    <row r="84" spans="1:14" x14ac:dyDescent="0.3">
      <c r="A84" s="14">
        <v>2199</v>
      </c>
      <c r="B84" s="5" t="str">
        <f>VLOOKUP($A84,tropes!$A$4:$O$2428,2,FALSE)</f>
        <v>Interesting</v>
      </c>
      <c r="C84" s="5" t="str">
        <f>VLOOKUP($A84,tropes!$A$4:$O$2428,3,FALSE)</f>
        <v>catchphrase</v>
      </c>
      <c r="D84" s="5" t="str">
        <f>VLOOKUP($A84,tropes!$A$4:$O$2428,4,FALSE)</f>
        <v>interesting</v>
      </c>
      <c r="E84" s="5" t="str">
        <f>VLOOKUP($A84,tropes!$A$4:$O$2428,5,FALSE)</f>
        <v>Spock: Interesting. Just as dogs are sensitive to certain sounds which humans cannot hear, these creatures evidently are sensitive to light which we cannot see.</v>
      </c>
      <c r="F84" s="5" t="str">
        <f>VLOOKUP($A84,tropes!$A$4:$O$2428,6,FALSE)</f>
        <v>spock</v>
      </c>
      <c r="G84" s="5">
        <f>VLOOKUP($A84,tropes!$A$4:$O$2428,7,FALSE)</f>
        <v>1</v>
      </c>
      <c r="H84" s="5">
        <f>VLOOKUP($A84,tropes!$A$4:$O$2428,8,FALSE)</f>
        <v>0</v>
      </c>
      <c r="I84" s="5">
        <f>VLOOKUP($A84,tropes!$A$4:$O$2428,9,FALSE)</f>
        <v>129</v>
      </c>
      <c r="J84" s="5">
        <f>VLOOKUP($A84,tropes!$A$4:$O$2428,10,FALSE)</f>
        <v>30</v>
      </c>
      <c r="K84" s="5" t="str">
        <f>VLOOKUP($A84,tropes!$A$4:$O$2428,11,FALSE)</f>
        <v>Operation: Annihilate!</v>
      </c>
      <c r="L84" s="5">
        <f>VLOOKUP($A84,tropes!$A$4:$O$2428,12,FALSE)</f>
        <v>1</v>
      </c>
      <c r="M84" s="5">
        <f>VLOOKUP($A84,tropes!$A$4:$O$2428,13,FALSE)</f>
        <v>29</v>
      </c>
      <c r="N84" s="5">
        <f t="shared" si="1"/>
        <v>3</v>
      </c>
    </row>
    <row r="85" spans="1:14" x14ac:dyDescent="0.3">
      <c r="A85" s="14">
        <v>2197</v>
      </c>
      <c r="B85" s="5" t="str">
        <f>VLOOKUP($A85,tropes!$A$4:$O$2428,2,FALSE)</f>
        <v>Not Life As We Know It</v>
      </c>
      <c r="C85" s="5" t="str">
        <f>VLOOKUP($A85,tropes!$A$4:$O$2428,3,FALSE)</f>
        <v>catchphrase</v>
      </c>
      <c r="D85" s="5" t="str">
        <f>VLOOKUP($A85,tropes!$A$4:$O$2428,4,FALSE)</f>
        <v>oneOff</v>
      </c>
      <c r="E85" s="5" t="str">
        <f>VLOOKUP($A85,tropes!$A$4:$O$2428,5,FALSE)</f>
        <v>Spock: Its not life as we know or understand it. (explaining how these aliens were single cells of a larger organism).</v>
      </c>
      <c r="F85" s="5" t="str">
        <f>VLOOKUP($A85,tropes!$A$4:$O$2428,6,FALSE)</f>
        <v>spock</v>
      </c>
      <c r="G85" s="5">
        <f>VLOOKUP($A85,tropes!$A$4:$O$2428,7,FALSE)</f>
        <v>1</v>
      </c>
      <c r="H85" s="5">
        <f>VLOOKUP($A85,tropes!$A$4:$O$2428,8,FALSE)</f>
        <v>0</v>
      </c>
      <c r="I85" s="5">
        <f>VLOOKUP($A85,tropes!$A$4:$O$2428,9,FALSE)</f>
        <v>129</v>
      </c>
      <c r="J85" s="5">
        <f>VLOOKUP($A85,tropes!$A$4:$O$2428,10,FALSE)</f>
        <v>30</v>
      </c>
      <c r="K85" s="5" t="str">
        <f>VLOOKUP($A85,tropes!$A$4:$O$2428,11,FALSE)</f>
        <v>Operation: Annihilate!</v>
      </c>
      <c r="L85" s="5">
        <f>VLOOKUP($A85,tropes!$A$4:$O$2428,12,FALSE)</f>
        <v>1</v>
      </c>
      <c r="M85" s="5">
        <f>VLOOKUP($A85,tropes!$A$4:$O$2428,13,FALSE)</f>
        <v>29</v>
      </c>
      <c r="N85" s="5">
        <f t="shared" si="1"/>
        <v>4</v>
      </c>
    </row>
    <row r="86" spans="1:14" x14ac:dyDescent="0.3">
      <c r="A86" s="14">
        <v>2224</v>
      </c>
      <c r="B86" s="5" t="str">
        <f>VLOOKUP($A86,tropes!$A$4:$O$2428,2,FALSE)</f>
        <v>Fascinating Eyebrow</v>
      </c>
      <c r="C86" s="5" t="str">
        <f>VLOOKUP($A86,tropes!$A$4:$O$2428,3,FALSE)</f>
        <v>catchphrase</v>
      </c>
      <c r="D86" s="5" t="str">
        <f>VLOOKUP($A86,tropes!$A$4:$O$2428,4,FALSE)</f>
        <v>eyebrow</v>
      </c>
      <c r="E86" s="5" t="str">
        <f>VLOOKUP($A86,tropes!$A$4:$O$2428,5,FALSE)</f>
        <v>Spock, after seeing Kirk alive, has an emotional outburst. Spock raises an eyebrow at Kirk and McCoy and goes back to being stoic.</v>
      </c>
      <c r="F86" s="5" t="str">
        <f>VLOOKUP($A86,tropes!$A$4:$O$2428,6,FALSE)</f>
        <v>spock</v>
      </c>
      <c r="G86" s="5">
        <f>VLOOKUP($A86,tropes!$A$4:$O$2428,7,FALSE)</f>
        <v>1</v>
      </c>
      <c r="H86" s="5">
        <f>VLOOKUP($A86,tropes!$A$4:$O$2428,8,FALSE)</f>
        <v>0</v>
      </c>
      <c r="I86" s="5">
        <f>VLOOKUP($A86,tropes!$A$4:$O$2428,9,FALSE)</f>
        <v>201</v>
      </c>
      <c r="J86" s="5">
        <f>VLOOKUP($A86,tropes!$A$4:$O$2428,10,FALSE)</f>
        <v>31</v>
      </c>
      <c r="K86" s="5" t="str">
        <f>VLOOKUP($A86,tropes!$A$4:$O$2428,11,FALSE)</f>
        <v>Amok Time</v>
      </c>
      <c r="L86" s="5">
        <f>VLOOKUP($A86,tropes!$A$4:$O$2428,12,FALSE)</f>
        <v>2</v>
      </c>
      <c r="M86" s="5">
        <f>VLOOKUP($A86,tropes!$A$4:$O$2428,13,FALSE)</f>
        <v>1</v>
      </c>
      <c r="N86" s="5">
        <f t="shared" si="1"/>
        <v>0</v>
      </c>
    </row>
    <row r="87" spans="1:14" x14ac:dyDescent="0.3">
      <c r="A87" s="14">
        <v>1515</v>
      </c>
      <c r="B87" s="5" t="str">
        <f>VLOOKUP($A87,tropes!$A$4:$O$2428,2,FALSE)</f>
        <v>He's Dead</v>
      </c>
      <c r="C87" s="5" t="str">
        <f>VLOOKUP($A87,tropes!$A$4:$O$2428,3,FALSE)</f>
        <v>catchphrase</v>
      </c>
      <c r="D87" s="5" t="str">
        <f>VLOOKUP($A87,tropes!$A$4:$O$2428,4,FALSE)</f>
        <v>hes_dead</v>
      </c>
      <c r="E87" s="5" t="str">
        <f>VLOOKUP($A87,tropes!$A$4:$O$2428,5,FALSE)</f>
        <v>McCoy: He's dead. (says after Kirk &amp; Spock fight).</v>
      </c>
      <c r="F87" s="5" t="str">
        <f>VLOOKUP($A87,tropes!$A$4:$O$2428,6,FALSE)</f>
        <v>mccoy</v>
      </c>
      <c r="G87" s="5">
        <f>VLOOKUP($A87,tropes!$A$4:$O$2428,7,FALSE)</f>
        <v>0</v>
      </c>
      <c r="H87" s="5">
        <f>VLOOKUP($A87,tropes!$A$4:$O$2428,8,FALSE)</f>
        <v>1</v>
      </c>
      <c r="I87" s="5">
        <f>VLOOKUP($A87,tropes!$A$4:$O$2428,9,FALSE)</f>
        <v>201</v>
      </c>
      <c r="J87" s="5">
        <f>VLOOKUP($A87,tropes!$A$4:$O$2428,10,FALSE)</f>
        <v>31</v>
      </c>
      <c r="K87" s="5" t="str">
        <f>VLOOKUP($A87,tropes!$A$4:$O$2428,11,FALSE)</f>
        <v>Amok Time</v>
      </c>
      <c r="L87" s="5">
        <f>VLOOKUP($A87,tropes!$A$4:$O$2428,12,FALSE)</f>
        <v>2</v>
      </c>
      <c r="M87" s="5">
        <f>VLOOKUP($A87,tropes!$A$4:$O$2428,13,FALSE)</f>
        <v>1</v>
      </c>
      <c r="N87" s="5">
        <f t="shared" si="1"/>
        <v>1</v>
      </c>
    </row>
    <row r="88" spans="1:14" x14ac:dyDescent="0.3">
      <c r="A88" s="14">
        <v>2215</v>
      </c>
      <c r="B88" s="5" t="str">
        <f>VLOOKUP($A88,tropes!$A$4:$O$2428,2,FALSE)</f>
        <v>Interesting</v>
      </c>
      <c r="C88" s="5" t="str">
        <f>VLOOKUP($A88,tropes!$A$4:$O$2428,3,FALSE)</f>
        <v>catchphrase</v>
      </c>
      <c r="D88" s="5" t="str">
        <f>VLOOKUP($A88,tropes!$A$4:$O$2428,4,FALSE)</f>
        <v>interesting</v>
      </c>
      <c r="E88" s="5" t="str">
        <f>VLOOKUP($A88,tropes!$A$4:$O$2428,5,FALSE)</f>
        <v>McCoy: Spock, what happened down there? The girl? The wedding? | Spock: Ah, yes, the girl. Most interesting. It must have been the combat. When I thought I had killed the captain, I found I had lost all interest in T'Pring. The madness was gone.</v>
      </c>
      <c r="F88" s="5" t="str">
        <f>VLOOKUP($A88,tropes!$A$4:$O$2428,6,FALSE)</f>
        <v>spock</v>
      </c>
      <c r="G88" s="5">
        <f>VLOOKUP($A88,tropes!$A$4:$O$2428,7,FALSE)</f>
        <v>1</v>
      </c>
      <c r="H88" s="5">
        <f>VLOOKUP($A88,tropes!$A$4:$O$2428,8,FALSE)</f>
        <v>0</v>
      </c>
      <c r="I88" s="5">
        <f>VLOOKUP($A88,tropes!$A$4:$O$2428,9,FALSE)</f>
        <v>201</v>
      </c>
      <c r="J88" s="5">
        <f>VLOOKUP($A88,tropes!$A$4:$O$2428,10,FALSE)</f>
        <v>31</v>
      </c>
      <c r="K88" s="5" t="str">
        <f>VLOOKUP($A88,tropes!$A$4:$O$2428,11,FALSE)</f>
        <v>Amok Time</v>
      </c>
      <c r="L88" s="5">
        <f>VLOOKUP($A88,tropes!$A$4:$O$2428,12,FALSE)</f>
        <v>2</v>
      </c>
      <c r="M88" s="5">
        <f>VLOOKUP($A88,tropes!$A$4:$O$2428,13,FALSE)</f>
        <v>1</v>
      </c>
      <c r="N88" s="5">
        <f t="shared" si="1"/>
        <v>2</v>
      </c>
    </row>
    <row r="89" spans="1:14" x14ac:dyDescent="0.3">
      <c r="A89" s="14">
        <v>2216</v>
      </c>
      <c r="B89" s="5" t="str">
        <f>VLOOKUP($A89,tropes!$A$4:$O$2428,2,FALSE)</f>
        <v>Live Long</v>
      </c>
      <c r="C89" s="5" t="str">
        <f>VLOOKUP($A89,tropes!$A$4:$O$2428,3,FALSE)</f>
        <v>catchphrase</v>
      </c>
      <c r="D89" s="5" t="str">
        <f>VLOOKUP($A89,tropes!$A$4:$O$2428,4,FALSE)</f>
        <v>vulcan_culture</v>
      </c>
      <c r="E89" s="5" t="str">
        <f>VLOOKUP($A89,tropes!$A$4:$O$2428,5,FALSE)</f>
        <v>Spock: live long and prosper.</v>
      </c>
      <c r="F89" s="5" t="str">
        <f>VLOOKUP($A89,tropes!$A$4:$O$2428,6,FALSE)</f>
        <v>spock</v>
      </c>
      <c r="G89" s="5">
        <f>VLOOKUP($A89,tropes!$A$4:$O$2428,7,FALSE)</f>
        <v>1</v>
      </c>
      <c r="H89" s="5">
        <f>VLOOKUP($A89,tropes!$A$4:$O$2428,8,FALSE)</f>
        <v>0</v>
      </c>
      <c r="I89" s="5">
        <f>VLOOKUP($A89,tropes!$A$4:$O$2428,9,FALSE)</f>
        <v>201</v>
      </c>
      <c r="J89" s="5">
        <f>VLOOKUP($A89,tropes!$A$4:$O$2428,10,FALSE)</f>
        <v>31</v>
      </c>
      <c r="K89" s="5" t="str">
        <f>VLOOKUP($A89,tropes!$A$4:$O$2428,11,FALSE)</f>
        <v>Amok Time</v>
      </c>
      <c r="L89" s="5">
        <f>VLOOKUP($A89,tropes!$A$4:$O$2428,12,FALSE)</f>
        <v>2</v>
      </c>
      <c r="M89" s="5">
        <f>VLOOKUP($A89,tropes!$A$4:$O$2428,13,FALSE)</f>
        <v>1</v>
      </c>
      <c r="N89" s="5">
        <f t="shared" si="1"/>
        <v>3</v>
      </c>
    </row>
    <row r="90" spans="1:14" x14ac:dyDescent="0.3">
      <c r="A90" s="14">
        <v>2028</v>
      </c>
      <c r="B90" s="5" t="str">
        <f>VLOOKUP($A90,tropes!$A$4:$O$2428,2,FALSE)</f>
        <v>Live Long</v>
      </c>
      <c r="C90" s="5" t="str">
        <f>VLOOKUP($A90,tropes!$A$4:$O$2428,3,FALSE)</f>
        <v>catchphrase</v>
      </c>
      <c r="D90" s="5" t="str">
        <f>VLOOKUP($A90,tropes!$A$4:$O$2428,4,FALSE)</f>
        <v>vulcan_culture</v>
      </c>
      <c r="E90" s="5" t="str">
        <f>VLOOKUP($A90,tropes!$A$4:$O$2428,5,FALSE)</f>
        <v>T'Pau: live long and prosper. | Spock: I shall do neither.</v>
      </c>
      <c r="F90" s="5" t="str">
        <f>VLOOKUP($A90,tropes!$A$4:$O$2428,6,FALSE)</f>
        <v>spock</v>
      </c>
      <c r="G90" s="5">
        <f>VLOOKUP($A90,tropes!$A$4:$O$2428,7,FALSE)</f>
        <v>1</v>
      </c>
      <c r="H90" s="5">
        <f>VLOOKUP($A90,tropes!$A$4:$O$2428,8,FALSE)</f>
        <v>0</v>
      </c>
      <c r="I90" s="5">
        <f>VLOOKUP($A90,tropes!$A$4:$O$2428,9,FALSE)</f>
        <v>201</v>
      </c>
      <c r="J90" s="5">
        <f>VLOOKUP($A90,tropes!$A$4:$O$2428,10,FALSE)</f>
        <v>31</v>
      </c>
      <c r="K90" s="5" t="str">
        <f>VLOOKUP($A90,tropes!$A$4:$O$2428,11,FALSE)</f>
        <v>Amok Time</v>
      </c>
      <c r="L90" s="5">
        <f>VLOOKUP($A90,tropes!$A$4:$O$2428,12,FALSE)</f>
        <v>2</v>
      </c>
      <c r="M90" s="5">
        <f>VLOOKUP($A90,tropes!$A$4:$O$2428,13,FALSE)</f>
        <v>1</v>
      </c>
      <c r="N90" s="5">
        <f t="shared" si="1"/>
        <v>4</v>
      </c>
    </row>
    <row r="91" spans="1:14" x14ac:dyDescent="0.3">
      <c r="A91" s="14">
        <v>2226</v>
      </c>
      <c r="B91" s="5" t="str">
        <f>VLOOKUP($A91,tropes!$A$4:$O$2428,2,FALSE)</f>
        <v>Mental Fusion</v>
      </c>
      <c r="C91" s="5" t="str">
        <f>VLOOKUP($A91,tropes!$A$4:$O$2428,3,FALSE)</f>
        <v>catchphrase</v>
      </c>
      <c r="D91" s="5" t="str">
        <f>VLOOKUP($A91,tropes!$A$4:$O$2428,4,FALSE)</f>
        <v>mind_meld</v>
      </c>
      <c r="E91" s="5" t="str">
        <f>VLOOKUP($A91,tropes!$A$4:$O$2428,5,FALSE)</f>
        <v>Spock and T'Pau mind meld before the battle.</v>
      </c>
      <c r="F91" s="5" t="str">
        <f>VLOOKUP($A91,tropes!$A$4:$O$2428,6,FALSE)</f>
        <v>spock</v>
      </c>
      <c r="G91" s="5">
        <f>VLOOKUP($A91,tropes!$A$4:$O$2428,7,FALSE)</f>
        <v>1</v>
      </c>
      <c r="H91" s="5">
        <f>VLOOKUP($A91,tropes!$A$4:$O$2428,8,FALSE)</f>
        <v>0</v>
      </c>
      <c r="I91" s="5">
        <f>VLOOKUP($A91,tropes!$A$4:$O$2428,9,FALSE)</f>
        <v>201</v>
      </c>
      <c r="J91" s="5">
        <f>VLOOKUP($A91,tropes!$A$4:$O$2428,10,FALSE)</f>
        <v>31</v>
      </c>
      <c r="K91" s="5" t="str">
        <f>VLOOKUP($A91,tropes!$A$4:$O$2428,11,FALSE)</f>
        <v>Amok Time</v>
      </c>
      <c r="L91" s="5">
        <f>VLOOKUP($A91,tropes!$A$4:$O$2428,12,FALSE)</f>
        <v>2</v>
      </c>
      <c r="M91" s="5">
        <f>VLOOKUP($A91,tropes!$A$4:$O$2428,13,FALSE)</f>
        <v>1</v>
      </c>
      <c r="N91" s="5">
        <f t="shared" si="1"/>
        <v>5</v>
      </c>
    </row>
    <row r="92" spans="1:14" x14ac:dyDescent="0.3">
      <c r="A92" s="14">
        <v>2227</v>
      </c>
      <c r="B92" s="5" t="str">
        <f>VLOOKUP($A92,tropes!$A$4:$O$2428,2,FALSE)</f>
        <v>Straw Vulcan</v>
      </c>
      <c r="C92" s="5" t="str">
        <f>VLOOKUP($A92,tropes!$A$4:$O$2428,3,FALSE)</f>
        <v>catchphrase</v>
      </c>
      <c r="D92" s="5" t="str">
        <f>VLOOKUP($A92,tropes!$A$4:$O$2428,4,FALSE)</f>
        <v>spock</v>
      </c>
      <c r="E92" s="5" t="str">
        <f>VLOOKUP($A92,tropes!$A$4:$O$2428,5,FALSE)</f>
        <v>Spock gets crazy when Nurse Chapel brings soup.</v>
      </c>
      <c r="F92" s="5" t="str">
        <f>VLOOKUP($A92,tropes!$A$4:$O$2428,6,FALSE)</f>
        <v>spock</v>
      </c>
      <c r="G92" s="5">
        <f>VLOOKUP($A92,tropes!$A$4:$O$2428,7,FALSE)</f>
        <v>1</v>
      </c>
      <c r="H92" s="5">
        <f>VLOOKUP($A92,tropes!$A$4:$O$2428,8,FALSE)</f>
        <v>0</v>
      </c>
      <c r="I92" s="5">
        <f>VLOOKUP($A92,tropes!$A$4:$O$2428,9,FALSE)</f>
        <v>201</v>
      </c>
      <c r="J92" s="5">
        <f>VLOOKUP($A92,tropes!$A$4:$O$2428,10,FALSE)</f>
        <v>31</v>
      </c>
      <c r="K92" s="5" t="str">
        <f>VLOOKUP($A92,tropes!$A$4:$O$2428,11,FALSE)</f>
        <v>Amok Time</v>
      </c>
      <c r="L92" s="5">
        <f>VLOOKUP($A92,tropes!$A$4:$O$2428,12,FALSE)</f>
        <v>2</v>
      </c>
      <c r="M92" s="5">
        <f>VLOOKUP($A92,tropes!$A$4:$O$2428,13,FALSE)</f>
        <v>1</v>
      </c>
      <c r="N92" s="5">
        <f t="shared" si="1"/>
        <v>6</v>
      </c>
    </row>
    <row r="93" spans="1:14" x14ac:dyDescent="0.3">
      <c r="A93" s="14">
        <v>2228</v>
      </c>
      <c r="B93" s="5" t="str">
        <f>VLOOKUP($A93,tropes!$A$4:$O$2428,2,FALSE)</f>
        <v>Straw Vulcan</v>
      </c>
      <c r="C93" s="5" t="str">
        <f>VLOOKUP($A93,tropes!$A$4:$O$2428,3,FALSE)</f>
        <v>catchphrase</v>
      </c>
      <c r="D93" s="5" t="str">
        <f>VLOOKUP($A93,tropes!$A$4:$O$2428,4,FALSE)</f>
        <v>spock</v>
      </c>
      <c r="E93" s="5" t="str">
        <f>VLOOKUP($A93,tropes!$A$4:$O$2428,5,FALSE)</f>
        <v>Spock screams when he sees Kirk alive after (apparently) killing him.</v>
      </c>
      <c r="F93" s="5" t="str">
        <f>VLOOKUP($A93,tropes!$A$4:$O$2428,6,FALSE)</f>
        <v>spock</v>
      </c>
      <c r="G93" s="5">
        <f>VLOOKUP($A93,tropes!$A$4:$O$2428,7,FALSE)</f>
        <v>1</v>
      </c>
      <c r="H93" s="5">
        <f>VLOOKUP($A93,tropes!$A$4:$O$2428,8,FALSE)</f>
        <v>0</v>
      </c>
      <c r="I93" s="5">
        <f>VLOOKUP($A93,tropes!$A$4:$O$2428,9,FALSE)</f>
        <v>201</v>
      </c>
      <c r="J93" s="5">
        <f>VLOOKUP($A93,tropes!$A$4:$O$2428,10,FALSE)</f>
        <v>31</v>
      </c>
      <c r="K93" s="5" t="str">
        <f>VLOOKUP($A93,tropes!$A$4:$O$2428,11,FALSE)</f>
        <v>Amok Time</v>
      </c>
      <c r="L93" s="5">
        <f>VLOOKUP($A93,tropes!$A$4:$O$2428,12,FALSE)</f>
        <v>2</v>
      </c>
      <c r="M93" s="5">
        <f>VLOOKUP($A93,tropes!$A$4:$O$2428,13,FALSE)</f>
        <v>1</v>
      </c>
      <c r="N93" s="5">
        <f t="shared" si="1"/>
        <v>7</v>
      </c>
    </row>
    <row r="94" spans="1:14" x14ac:dyDescent="0.3">
      <c r="A94" s="14">
        <v>2217</v>
      </c>
      <c r="B94" s="5" t="str">
        <f>VLOOKUP($A94,tropes!$A$4:$O$2428,2,FALSE)</f>
        <v>Vulcan Salute</v>
      </c>
      <c r="C94" s="5" t="str">
        <f>VLOOKUP($A94,tropes!$A$4:$O$2428,3,FALSE)</f>
        <v>catchphrase</v>
      </c>
      <c r="D94" s="5" t="str">
        <f>VLOOKUP($A94,tropes!$A$4:$O$2428,4,FALSE)</f>
        <v>vulcan_culture</v>
      </c>
      <c r="E94" s="5" t="str">
        <f>VLOOKUP($A94,tropes!$A$4:$O$2428,5,FALSE)</f>
        <v>Spock and T'Pau exchange the Vulcan salute. (1)</v>
      </c>
      <c r="F94" s="5" t="str">
        <f>VLOOKUP($A94,tropes!$A$4:$O$2428,6,FALSE)</f>
        <v>spock</v>
      </c>
      <c r="G94" s="5">
        <f>VLOOKUP($A94,tropes!$A$4:$O$2428,7,FALSE)</f>
        <v>1</v>
      </c>
      <c r="H94" s="5">
        <f>VLOOKUP($A94,tropes!$A$4:$O$2428,8,FALSE)</f>
        <v>0</v>
      </c>
      <c r="I94" s="5">
        <f>VLOOKUP($A94,tropes!$A$4:$O$2428,9,FALSE)</f>
        <v>201</v>
      </c>
      <c r="J94" s="5">
        <f>VLOOKUP($A94,tropes!$A$4:$O$2428,10,FALSE)</f>
        <v>31</v>
      </c>
      <c r="K94" s="5" t="str">
        <f>VLOOKUP($A94,tropes!$A$4:$O$2428,11,FALSE)</f>
        <v>Amok Time</v>
      </c>
      <c r="L94" s="5">
        <f>VLOOKUP($A94,tropes!$A$4:$O$2428,12,FALSE)</f>
        <v>2</v>
      </c>
      <c r="M94" s="5">
        <f>VLOOKUP($A94,tropes!$A$4:$O$2428,13,FALSE)</f>
        <v>1</v>
      </c>
      <c r="N94" s="5">
        <f t="shared" si="1"/>
        <v>8</v>
      </c>
    </row>
    <row r="95" spans="1:14" x14ac:dyDescent="0.3">
      <c r="A95" s="14">
        <v>2218</v>
      </c>
      <c r="B95" s="5" t="str">
        <f>VLOOKUP($A95,tropes!$A$4:$O$2428,2,FALSE)</f>
        <v>Vulcan Salute</v>
      </c>
      <c r="C95" s="5" t="str">
        <f>VLOOKUP($A95,tropes!$A$4:$O$2428,3,FALSE)</f>
        <v>catchphrase</v>
      </c>
      <c r="D95" s="5" t="str">
        <f>VLOOKUP($A95,tropes!$A$4:$O$2428,4,FALSE)</f>
        <v>vulcan_culture</v>
      </c>
      <c r="E95" s="5" t="str">
        <f>VLOOKUP($A95,tropes!$A$4:$O$2428,5,FALSE)</f>
        <v>Spock and T'Pau exchange the Vulcan salute. (2)</v>
      </c>
      <c r="F95" s="5" t="str">
        <f>VLOOKUP($A95,tropes!$A$4:$O$2428,6,FALSE)</f>
        <v>spock</v>
      </c>
      <c r="G95" s="5">
        <f>VLOOKUP($A95,tropes!$A$4:$O$2428,7,FALSE)</f>
        <v>1</v>
      </c>
      <c r="H95" s="5">
        <f>VLOOKUP($A95,tropes!$A$4:$O$2428,8,FALSE)</f>
        <v>0</v>
      </c>
      <c r="I95" s="5">
        <f>VLOOKUP($A95,tropes!$A$4:$O$2428,9,FALSE)</f>
        <v>201</v>
      </c>
      <c r="J95" s="5">
        <f>VLOOKUP($A95,tropes!$A$4:$O$2428,10,FALSE)</f>
        <v>31</v>
      </c>
      <c r="K95" s="5" t="str">
        <f>VLOOKUP($A95,tropes!$A$4:$O$2428,11,FALSE)</f>
        <v>Amok Time</v>
      </c>
      <c r="L95" s="5">
        <f>VLOOKUP($A95,tropes!$A$4:$O$2428,12,FALSE)</f>
        <v>2</v>
      </c>
      <c r="M95" s="5">
        <f>VLOOKUP($A95,tropes!$A$4:$O$2428,13,FALSE)</f>
        <v>1</v>
      </c>
      <c r="N95" s="5">
        <f t="shared" si="1"/>
        <v>9</v>
      </c>
    </row>
    <row r="96" spans="1:14" x14ac:dyDescent="0.3">
      <c r="A96" s="14">
        <v>130</v>
      </c>
      <c r="B96" s="5" t="str">
        <f>VLOOKUP($A96,tropes!$A$4:$O$2428,2,FALSE)</f>
        <v>Chekov's Gun</v>
      </c>
      <c r="C96" s="5" t="str">
        <f>VLOOKUP($A96,tropes!$A$4:$O$2428,3,FALSE)</f>
        <v>catchphrase</v>
      </c>
      <c r="D96" s="5" t="str">
        <f>VLOOKUP($A96,tropes!$A$4:$O$2428,4,FALSE)</f>
        <v>chekovs_gun</v>
      </c>
      <c r="E96" s="5" t="str">
        <f>VLOOKUP($A96,tropes!$A$4:$O$2428,5,FALSE)</f>
        <v>Chekov has a phaser. He attempts to fire it but its unfunctional.</v>
      </c>
      <c r="F96" s="5" t="str">
        <f>VLOOKUP($A96,tropes!$A$4:$O$2428,6,FALSE)</f>
        <v>chekov</v>
      </c>
      <c r="G96" s="5">
        <f>VLOOKUP($A96,tropes!$A$4:$O$2428,7,FALSE)</f>
        <v>0</v>
      </c>
      <c r="H96" s="5">
        <f>VLOOKUP($A96,tropes!$A$4:$O$2428,8,FALSE)</f>
        <v>2</v>
      </c>
      <c r="I96" s="5">
        <f>VLOOKUP($A96,tropes!$A$4:$O$2428,9,FALSE)</f>
        <v>202</v>
      </c>
      <c r="J96" s="5">
        <f>VLOOKUP($A96,tropes!$A$4:$O$2428,10,FALSE)</f>
        <v>32</v>
      </c>
      <c r="K96" s="5" t="str">
        <f>VLOOKUP($A96,tropes!$A$4:$O$2428,11,FALSE)</f>
        <v>Who Mourns for Adonais?</v>
      </c>
      <c r="L96" s="5">
        <f>VLOOKUP($A96,tropes!$A$4:$O$2428,12,FALSE)</f>
        <v>2</v>
      </c>
      <c r="M96" s="5">
        <f>VLOOKUP($A96,tropes!$A$4:$O$2428,13,FALSE)</f>
        <v>2</v>
      </c>
      <c r="N96" s="5">
        <f t="shared" si="1"/>
        <v>0</v>
      </c>
    </row>
    <row r="97" spans="1:14" x14ac:dyDescent="0.3">
      <c r="A97" s="14">
        <v>1636</v>
      </c>
      <c r="B97" s="5" t="str">
        <f>VLOOKUP($A97,tropes!$A$4:$O$2428,2,FALSE)</f>
        <v>Fascinating</v>
      </c>
      <c r="C97" s="5" t="str">
        <f>VLOOKUP($A97,tropes!$A$4:$O$2428,3,FALSE)</f>
        <v>catchphrase</v>
      </c>
      <c r="D97" s="5" t="str">
        <f>VLOOKUP($A97,tropes!$A$4:$O$2428,4,FALSE)</f>
        <v>fascinating</v>
      </c>
      <c r="E97" s="5" t="str">
        <f>VLOOKUP($A97,tropes!$A$4:$O$2428,5,FALSE)</f>
        <v>McCoy: To coin a phrase, fascinating.</v>
      </c>
      <c r="F97" s="5" t="str">
        <f>VLOOKUP($A97,tropes!$A$4:$O$2428,6,FALSE)</f>
        <v>mccoy</v>
      </c>
      <c r="G97" s="5">
        <f>VLOOKUP($A97,tropes!$A$4:$O$2428,7,FALSE)</f>
        <v>0</v>
      </c>
      <c r="H97" s="5">
        <f>VLOOKUP($A97,tropes!$A$4:$O$2428,8,FALSE)</f>
        <v>1</v>
      </c>
      <c r="I97" s="5">
        <f>VLOOKUP($A97,tropes!$A$4:$O$2428,9,FALSE)</f>
        <v>202</v>
      </c>
      <c r="J97" s="5">
        <f>VLOOKUP($A97,tropes!$A$4:$O$2428,10,FALSE)</f>
        <v>32</v>
      </c>
      <c r="K97" s="5" t="str">
        <f>VLOOKUP($A97,tropes!$A$4:$O$2428,11,FALSE)</f>
        <v>Who Mourns for Adonais?</v>
      </c>
      <c r="L97" s="5">
        <f>VLOOKUP($A97,tropes!$A$4:$O$2428,12,FALSE)</f>
        <v>2</v>
      </c>
      <c r="M97" s="5">
        <f>VLOOKUP($A97,tropes!$A$4:$O$2428,13,FALSE)</f>
        <v>2</v>
      </c>
      <c r="N97" s="5">
        <f t="shared" si="1"/>
        <v>1</v>
      </c>
    </row>
    <row r="98" spans="1:14" x14ac:dyDescent="0.3">
      <c r="A98" s="14">
        <v>135</v>
      </c>
      <c r="B98" s="5" t="str">
        <f>VLOOKUP($A98,tropes!$A$4:$O$2428,2,FALSE)</f>
        <v>In The Original Klingon</v>
      </c>
      <c r="C98" s="5" t="str">
        <f>VLOOKUP($A98,tropes!$A$4:$O$2428,3,FALSE)</f>
        <v>catchphrase</v>
      </c>
      <c r="D98" s="5" t="str">
        <f>VLOOKUP($A98,tropes!$A$4:$O$2428,4,FALSE)</f>
        <v>russia</v>
      </c>
      <c r="E98" s="5" t="str">
        <f>VLOOKUP($A98,tropes!$A$4:$O$2428,5,FALSE)</f>
        <v>Chekov claims Alice in Wonderland is a Russian story.</v>
      </c>
      <c r="F98" s="5" t="str">
        <f>VLOOKUP($A98,tropes!$A$4:$O$2428,6,FALSE)</f>
        <v>chekov</v>
      </c>
      <c r="G98" s="5">
        <f>VLOOKUP($A98,tropes!$A$4:$O$2428,7,FALSE)</f>
        <v>0</v>
      </c>
      <c r="H98" s="5">
        <f>VLOOKUP($A98,tropes!$A$4:$O$2428,8,FALSE)</f>
        <v>2</v>
      </c>
      <c r="I98" s="5">
        <f>VLOOKUP($A98,tropes!$A$4:$O$2428,9,FALSE)</f>
        <v>202</v>
      </c>
      <c r="J98" s="5">
        <f>VLOOKUP($A98,tropes!$A$4:$O$2428,10,FALSE)</f>
        <v>32</v>
      </c>
      <c r="K98" s="5" t="str">
        <f>VLOOKUP($A98,tropes!$A$4:$O$2428,11,FALSE)</f>
        <v>Who Mourns for Adonais?</v>
      </c>
      <c r="L98" s="5">
        <f>VLOOKUP($A98,tropes!$A$4:$O$2428,12,FALSE)</f>
        <v>2</v>
      </c>
      <c r="M98" s="5">
        <f>VLOOKUP($A98,tropes!$A$4:$O$2428,13,FALSE)</f>
        <v>2</v>
      </c>
      <c r="N98" s="5">
        <f t="shared" si="1"/>
        <v>2</v>
      </c>
    </row>
    <row r="99" spans="1:14" x14ac:dyDescent="0.3">
      <c r="A99" s="14">
        <v>134</v>
      </c>
      <c r="B99" s="5" t="str">
        <f>VLOOKUP($A99,tropes!$A$4:$O$2428,2,FALSE)</f>
        <v>In The Original Klingon</v>
      </c>
      <c r="C99" s="5" t="str">
        <f>VLOOKUP($A99,tropes!$A$4:$O$2428,3,FALSE)</f>
        <v>catchphrase</v>
      </c>
      <c r="D99" s="5" t="str">
        <f>VLOOKUP($A99,tropes!$A$4:$O$2428,4,FALSE)</f>
        <v>russia</v>
      </c>
      <c r="E99" s="5" t="str">
        <f>VLOOKUP($A99,tropes!$A$4:$O$2428,5,FALSE)</f>
        <v>Chekov: Just like Russia | McCoy:  More like the Garden of Eden. | Chekov: The Garden of Eden was just outside Moscow.</v>
      </c>
      <c r="F99" s="5" t="str">
        <f>VLOOKUP($A99,tropes!$A$4:$O$2428,6,FALSE)</f>
        <v>chekov</v>
      </c>
      <c r="G99" s="5">
        <f>VLOOKUP($A99,tropes!$A$4:$O$2428,7,FALSE)</f>
        <v>0</v>
      </c>
      <c r="H99" s="5">
        <f>VLOOKUP($A99,tropes!$A$4:$O$2428,8,FALSE)</f>
        <v>2</v>
      </c>
      <c r="I99" s="5">
        <f>VLOOKUP($A99,tropes!$A$4:$O$2428,9,FALSE)</f>
        <v>202</v>
      </c>
      <c r="J99" s="5">
        <f>VLOOKUP($A99,tropes!$A$4:$O$2428,10,FALSE)</f>
        <v>32</v>
      </c>
      <c r="K99" s="5" t="str">
        <f>VLOOKUP($A99,tropes!$A$4:$O$2428,11,FALSE)</f>
        <v>Who Mourns for Adonais?</v>
      </c>
      <c r="L99" s="5">
        <f>VLOOKUP($A99,tropes!$A$4:$O$2428,12,FALSE)</f>
        <v>2</v>
      </c>
      <c r="M99" s="5">
        <f>VLOOKUP($A99,tropes!$A$4:$O$2428,13,FALSE)</f>
        <v>2</v>
      </c>
      <c r="N99" s="5">
        <f t="shared" si="1"/>
        <v>3</v>
      </c>
    </row>
    <row r="100" spans="1:14" x14ac:dyDescent="0.3">
      <c r="A100" s="14">
        <v>2232</v>
      </c>
      <c r="B100" s="5" t="str">
        <f>VLOOKUP($A100,tropes!$A$4:$O$2428,2,FALSE)</f>
        <v>Fascinating</v>
      </c>
      <c r="C100" s="5" t="str">
        <f>VLOOKUP($A100,tropes!$A$4:$O$2428,3,FALSE)</f>
        <v>catchphrase</v>
      </c>
      <c r="D100" s="5" t="str">
        <f>VLOOKUP($A100,tropes!$A$4:$O$2428,4,FALSE)</f>
        <v>fascinating</v>
      </c>
      <c r="E100" s="5" t="str">
        <f>VLOOKUP($A100,tropes!$A$4:$O$2428,5,FALSE)</f>
        <v>Spock: Fascinating Captain.</v>
      </c>
      <c r="F100" s="5" t="str">
        <f>VLOOKUP($A100,tropes!$A$4:$O$2428,6,FALSE)</f>
        <v>spock</v>
      </c>
      <c r="G100" s="5">
        <f>VLOOKUP($A100,tropes!$A$4:$O$2428,7,FALSE)</f>
        <v>1</v>
      </c>
      <c r="H100" s="5">
        <f>VLOOKUP($A100,tropes!$A$4:$O$2428,8,FALSE)</f>
        <v>0</v>
      </c>
      <c r="I100" s="5">
        <f>VLOOKUP($A100,tropes!$A$4:$O$2428,9,FALSE)</f>
        <v>203</v>
      </c>
      <c r="J100" s="5">
        <f>VLOOKUP($A100,tropes!$A$4:$O$2428,10,FALSE)</f>
        <v>33</v>
      </c>
      <c r="K100" s="5" t="str">
        <f>VLOOKUP($A100,tropes!$A$4:$O$2428,11,FALSE)</f>
        <v>The Changeling</v>
      </c>
      <c r="L100" s="5">
        <f>VLOOKUP($A100,tropes!$A$4:$O$2428,12,FALSE)</f>
        <v>2</v>
      </c>
      <c r="M100" s="5">
        <f>VLOOKUP($A100,tropes!$A$4:$O$2428,13,FALSE)</f>
        <v>3</v>
      </c>
      <c r="N100" s="5">
        <f t="shared" si="1"/>
        <v>0</v>
      </c>
    </row>
    <row r="101" spans="1:14" x14ac:dyDescent="0.3">
      <c r="A101" s="14">
        <v>2233</v>
      </c>
      <c r="B101" s="5" t="str">
        <f>VLOOKUP($A101,tropes!$A$4:$O$2428,2,FALSE)</f>
        <v>Fascinating Eyebrow</v>
      </c>
      <c r="C101" s="5" t="str">
        <f>VLOOKUP($A101,tropes!$A$4:$O$2428,3,FALSE)</f>
        <v>catchphrase</v>
      </c>
      <c r="D101" s="5" t="str">
        <f>VLOOKUP($A101,tropes!$A$4:$O$2428,4,FALSE)</f>
        <v>eyebrow</v>
      </c>
      <c r="E101" s="5" t="str">
        <f>VLOOKUP($A101,tropes!$A$4:$O$2428,5,FALSE)</f>
        <v>Spock calculates the size of Nomad realizing how tiny the object was. Spock raises an eyebrow.</v>
      </c>
      <c r="F101" s="5" t="str">
        <f>VLOOKUP($A101,tropes!$A$4:$O$2428,6,FALSE)</f>
        <v>spock</v>
      </c>
      <c r="G101" s="5">
        <f>VLOOKUP($A101,tropes!$A$4:$O$2428,7,FALSE)</f>
        <v>1</v>
      </c>
      <c r="H101" s="5">
        <f>VLOOKUP($A101,tropes!$A$4:$O$2428,8,FALSE)</f>
        <v>0</v>
      </c>
      <c r="I101" s="5">
        <f>VLOOKUP($A101,tropes!$A$4:$O$2428,9,FALSE)</f>
        <v>203</v>
      </c>
      <c r="J101" s="5">
        <f>VLOOKUP($A101,tropes!$A$4:$O$2428,10,FALSE)</f>
        <v>33</v>
      </c>
      <c r="K101" s="5" t="str">
        <f>VLOOKUP($A101,tropes!$A$4:$O$2428,11,FALSE)</f>
        <v>The Changeling</v>
      </c>
      <c r="L101" s="5">
        <f>VLOOKUP($A101,tropes!$A$4:$O$2428,12,FALSE)</f>
        <v>2</v>
      </c>
      <c r="M101" s="5">
        <f>VLOOKUP($A101,tropes!$A$4:$O$2428,13,FALSE)</f>
        <v>3</v>
      </c>
      <c r="N101" s="5">
        <f t="shared" si="1"/>
        <v>1</v>
      </c>
    </row>
    <row r="102" spans="1:14" x14ac:dyDescent="0.3">
      <c r="A102" s="14">
        <v>2234</v>
      </c>
      <c r="B102" s="5" t="str">
        <f>VLOOKUP($A102,tropes!$A$4:$O$2428,2,FALSE)</f>
        <v>Fascinating Eyebrow</v>
      </c>
      <c r="C102" s="5" t="str">
        <f>VLOOKUP($A102,tropes!$A$4:$O$2428,3,FALSE)</f>
        <v>catchphrase</v>
      </c>
      <c r="D102" s="5" t="str">
        <f>VLOOKUP($A102,tropes!$A$4:$O$2428,4,FALSE)</f>
        <v>eyebrow</v>
      </c>
      <c r="E102" s="5" t="str">
        <f>VLOOKUP($A102,tropes!$A$4:$O$2428,5,FALSE)</f>
        <v>Spock raises an eyebrow when Nomad brings Scotty back to life.</v>
      </c>
      <c r="F102" s="5" t="str">
        <f>VLOOKUP($A102,tropes!$A$4:$O$2428,6,FALSE)</f>
        <v>spock</v>
      </c>
      <c r="G102" s="5">
        <f>VLOOKUP($A102,tropes!$A$4:$O$2428,7,FALSE)</f>
        <v>1</v>
      </c>
      <c r="H102" s="5">
        <f>VLOOKUP($A102,tropes!$A$4:$O$2428,8,FALSE)</f>
        <v>0</v>
      </c>
      <c r="I102" s="5">
        <f>VLOOKUP($A102,tropes!$A$4:$O$2428,9,FALSE)</f>
        <v>203</v>
      </c>
      <c r="J102" s="5">
        <f>VLOOKUP($A102,tropes!$A$4:$O$2428,10,FALSE)</f>
        <v>33</v>
      </c>
      <c r="K102" s="5" t="str">
        <f>VLOOKUP($A102,tropes!$A$4:$O$2428,11,FALSE)</f>
        <v>The Changeling</v>
      </c>
      <c r="L102" s="5">
        <f>VLOOKUP($A102,tropes!$A$4:$O$2428,12,FALSE)</f>
        <v>2</v>
      </c>
      <c r="M102" s="5">
        <f>VLOOKUP($A102,tropes!$A$4:$O$2428,13,FALSE)</f>
        <v>3</v>
      </c>
      <c r="N102" s="5">
        <f t="shared" si="1"/>
        <v>2</v>
      </c>
    </row>
    <row r="103" spans="1:14" x14ac:dyDescent="0.3">
      <c r="A103" s="14">
        <v>2235</v>
      </c>
      <c r="B103" s="5" t="str">
        <f>VLOOKUP($A103,tropes!$A$4:$O$2428,2,FALSE)</f>
        <v>Fascinating Eyebrow</v>
      </c>
      <c r="C103" s="5" t="str">
        <f>VLOOKUP($A103,tropes!$A$4:$O$2428,3,FALSE)</f>
        <v>catchphrase</v>
      </c>
      <c r="D103" s="5" t="str">
        <f>VLOOKUP($A103,tropes!$A$4:$O$2428,4,FALSE)</f>
        <v>eyebrow</v>
      </c>
      <c r="E103" s="5" t="str">
        <f>VLOOKUP($A103,tropes!$A$4:$O$2428,5,FALSE)</f>
        <v>Spock's response to Kirk: Well, it thought I was its mother, didn't it? Do you think I'm completely without feelings, Mister Spock? You saw what it did for Scotty. What a doctor it would've made. My son, the doctor. Kind of gets you right there, doesn't it?</v>
      </c>
      <c r="F103" s="5" t="str">
        <f>VLOOKUP($A103,tropes!$A$4:$O$2428,6,FALSE)</f>
        <v>spock</v>
      </c>
      <c r="G103" s="5">
        <f>VLOOKUP($A103,tropes!$A$4:$O$2428,7,FALSE)</f>
        <v>1</v>
      </c>
      <c r="H103" s="5">
        <f>VLOOKUP($A103,tropes!$A$4:$O$2428,8,FALSE)</f>
        <v>0</v>
      </c>
      <c r="I103" s="5">
        <f>VLOOKUP($A103,tropes!$A$4:$O$2428,9,FALSE)</f>
        <v>203</v>
      </c>
      <c r="J103" s="5">
        <f>VLOOKUP($A103,tropes!$A$4:$O$2428,10,FALSE)</f>
        <v>33</v>
      </c>
      <c r="K103" s="5" t="str">
        <f>VLOOKUP($A103,tropes!$A$4:$O$2428,11,FALSE)</f>
        <v>The Changeling</v>
      </c>
      <c r="L103" s="5">
        <f>VLOOKUP($A103,tropes!$A$4:$O$2428,12,FALSE)</f>
        <v>2</v>
      </c>
      <c r="M103" s="5">
        <f>VLOOKUP($A103,tropes!$A$4:$O$2428,13,FALSE)</f>
        <v>3</v>
      </c>
      <c r="N103" s="5">
        <f t="shared" si="1"/>
        <v>3</v>
      </c>
    </row>
    <row r="104" spans="1:14" x14ac:dyDescent="0.3">
      <c r="A104" s="14">
        <v>2236</v>
      </c>
      <c r="B104" s="5" t="str">
        <f>VLOOKUP($A104,tropes!$A$4:$O$2428,2,FALSE)</f>
        <v>Fascinating Eyebrow</v>
      </c>
      <c r="C104" s="5" t="str">
        <f>VLOOKUP($A104,tropes!$A$4:$O$2428,3,FALSE)</f>
        <v>catchphrase</v>
      </c>
      <c r="D104" s="5" t="str">
        <f>VLOOKUP($A104,tropes!$A$4:$O$2428,4,FALSE)</f>
        <v>eyebrow</v>
      </c>
      <c r="E104" s="5" t="str">
        <f>VLOOKUP($A104,tropes!$A$4:$O$2428,5,FALSE)</f>
        <v>Spock's silent reaction to McCoy as they follow Kirk and Nomad out of the transporter room.</v>
      </c>
      <c r="F104" s="5" t="str">
        <f>VLOOKUP($A104,tropes!$A$4:$O$2428,6,FALSE)</f>
        <v>spock</v>
      </c>
      <c r="G104" s="5">
        <f>VLOOKUP($A104,tropes!$A$4:$O$2428,7,FALSE)</f>
        <v>1</v>
      </c>
      <c r="H104" s="5">
        <f>VLOOKUP($A104,tropes!$A$4:$O$2428,8,FALSE)</f>
        <v>0</v>
      </c>
      <c r="I104" s="5">
        <f>VLOOKUP($A104,tropes!$A$4:$O$2428,9,FALSE)</f>
        <v>203</v>
      </c>
      <c r="J104" s="5">
        <f>VLOOKUP($A104,tropes!$A$4:$O$2428,10,FALSE)</f>
        <v>33</v>
      </c>
      <c r="K104" s="5" t="str">
        <f>VLOOKUP($A104,tropes!$A$4:$O$2428,11,FALSE)</f>
        <v>The Changeling</v>
      </c>
      <c r="L104" s="5">
        <f>VLOOKUP($A104,tropes!$A$4:$O$2428,12,FALSE)</f>
        <v>2</v>
      </c>
      <c r="M104" s="5">
        <f>VLOOKUP($A104,tropes!$A$4:$O$2428,13,FALSE)</f>
        <v>3</v>
      </c>
      <c r="N104" s="5">
        <f t="shared" si="1"/>
        <v>4</v>
      </c>
    </row>
    <row r="105" spans="1:14" x14ac:dyDescent="0.3">
      <c r="A105" s="14">
        <v>1516</v>
      </c>
      <c r="B105" s="5" t="str">
        <f>VLOOKUP($A105,tropes!$A$4:$O$2428,2,FALSE)</f>
        <v>He's Dead</v>
      </c>
      <c r="C105" s="5" t="str">
        <f>VLOOKUP($A105,tropes!$A$4:$O$2428,3,FALSE)</f>
        <v>catchphrase</v>
      </c>
      <c r="D105" s="5" t="str">
        <f>VLOOKUP($A105,tropes!$A$4:$O$2428,4,FALSE)</f>
        <v>hes_dead</v>
      </c>
      <c r="E105" s="5" t="str">
        <f>VLOOKUP($A105,tropes!$A$4:$O$2428,5,FALSE)</f>
        <v>McCoy: He's dead Jim. (after Nomad kills him.)</v>
      </c>
      <c r="F105" s="5" t="str">
        <f>VLOOKUP($A105,tropes!$A$4:$O$2428,6,FALSE)</f>
        <v>mccoy</v>
      </c>
      <c r="G105" s="5">
        <f>VLOOKUP($A105,tropes!$A$4:$O$2428,7,FALSE)</f>
        <v>0</v>
      </c>
      <c r="H105" s="5">
        <f>VLOOKUP($A105,tropes!$A$4:$O$2428,8,FALSE)</f>
        <v>1</v>
      </c>
      <c r="I105" s="5">
        <f>VLOOKUP($A105,tropes!$A$4:$O$2428,9,FALSE)</f>
        <v>203</v>
      </c>
      <c r="J105" s="5">
        <f>VLOOKUP($A105,tropes!$A$4:$O$2428,10,FALSE)</f>
        <v>33</v>
      </c>
      <c r="K105" s="5" t="str">
        <f>VLOOKUP($A105,tropes!$A$4:$O$2428,11,FALSE)</f>
        <v>The Changeling</v>
      </c>
      <c r="L105" s="5">
        <f>VLOOKUP($A105,tropes!$A$4:$O$2428,12,FALSE)</f>
        <v>2</v>
      </c>
      <c r="M105" s="5">
        <f>VLOOKUP($A105,tropes!$A$4:$O$2428,13,FALSE)</f>
        <v>3</v>
      </c>
      <c r="N105" s="5">
        <f t="shared" si="1"/>
        <v>5</v>
      </c>
    </row>
    <row r="106" spans="1:14" x14ac:dyDescent="0.3">
      <c r="A106" s="14">
        <v>2237</v>
      </c>
      <c r="B106" s="5" t="str">
        <f>VLOOKUP($A106,tropes!$A$4:$O$2428,2,FALSE)</f>
        <v>Mental Fusion</v>
      </c>
      <c r="C106" s="5" t="str">
        <f>VLOOKUP($A106,tropes!$A$4:$O$2428,3,FALSE)</f>
        <v>catchphrase</v>
      </c>
      <c r="D106" s="5" t="str">
        <f>VLOOKUP($A106,tropes!$A$4:$O$2428,4,FALSE)</f>
        <v>mind_meld</v>
      </c>
      <c r="E106" s="5" t="str">
        <f>VLOOKUP($A106,tropes!$A$4:$O$2428,5,FALSE)</f>
        <v>Spock mind melds with Nomad. Learns much of 'the other' but Nomad won't let go of his mind till commanded by Kirk.</v>
      </c>
      <c r="F106" s="5" t="str">
        <f>VLOOKUP($A106,tropes!$A$4:$O$2428,6,FALSE)</f>
        <v>spock</v>
      </c>
      <c r="G106" s="5">
        <f>VLOOKUP($A106,tropes!$A$4:$O$2428,7,FALSE)</f>
        <v>1</v>
      </c>
      <c r="H106" s="5">
        <f>VLOOKUP($A106,tropes!$A$4:$O$2428,8,FALSE)</f>
        <v>0</v>
      </c>
      <c r="I106" s="5">
        <f>VLOOKUP($A106,tropes!$A$4:$O$2428,9,FALSE)</f>
        <v>203</v>
      </c>
      <c r="J106" s="5">
        <f>VLOOKUP($A106,tropes!$A$4:$O$2428,10,FALSE)</f>
        <v>33</v>
      </c>
      <c r="K106" s="5" t="str">
        <f>VLOOKUP($A106,tropes!$A$4:$O$2428,11,FALSE)</f>
        <v>The Changeling</v>
      </c>
      <c r="L106" s="5">
        <f>VLOOKUP($A106,tropes!$A$4:$O$2428,12,FALSE)</f>
        <v>2</v>
      </c>
      <c r="M106" s="5">
        <f>VLOOKUP($A106,tropes!$A$4:$O$2428,13,FALSE)</f>
        <v>3</v>
      </c>
      <c r="N106" s="5">
        <f t="shared" si="1"/>
        <v>6</v>
      </c>
    </row>
    <row r="107" spans="1:14" x14ac:dyDescent="0.3">
      <c r="A107" s="14">
        <v>138</v>
      </c>
      <c r="B107" s="5" t="str">
        <f>VLOOKUP($A107,tropes!$A$4:$O$2428,2,FALSE)</f>
        <v>Butt Monkey</v>
      </c>
      <c r="C107" s="5" t="str">
        <f>VLOOKUP($A107,tropes!$A$4:$O$2428,3,FALSE)</f>
        <v>catchphrase</v>
      </c>
      <c r="D107" s="5" t="str">
        <f>VLOOKUP($A107,tropes!$A$4:$O$2428,4,FALSE)</f>
        <v>butt_monkey</v>
      </c>
      <c r="E107" s="5" t="str">
        <f>VLOOKUP($A107,tropes!$A$4:$O$2428,5,FALSE)</f>
        <v>Chekov gets his own torture scene with lots of yelling and screaming.</v>
      </c>
      <c r="F107" s="5" t="str">
        <f>VLOOKUP($A107,tropes!$A$4:$O$2428,6,FALSE)</f>
        <v>chekov</v>
      </c>
      <c r="G107" s="5">
        <f>VLOOKUP($A107,tropes!$A$4:$O$2428,7,FALSE)</f>
        <v>0</v>
      </c>
      <c r="H107" s="5">
        <f>VLOOKUP($A107,tropes!$A$4:$O$2428,8,FALSE)</f>
        <v>2</v>
      </c>
      <c r="I107" s="5">
        <f>VLOOKUP($A107,tropes!$A$4:$O$2428,9,FALSE)</f>
        <v>204</v>
      </c>
      <c r="J107" s="5">
        <f>VLOOKUP($A107,tropes!$A$4:$O$2428,10,FALSE)</f>
        <v>34</v>
      </c>
      <c r="K107" s="5" t="str">
        <f>VLOOKUP($A107,tropes!$A$4:$O$2428,11,FALSE)</f>
        <v>Mirror, Mirror</v>
      </c>
      <c r="L107" s="5">
        <f>VLOOKUP($A107,tropes!$A$4:$O$2428,12,FALSE)</f>
        <v>2</v>
      </c>
      <c r="M107" s="5">
        <f>VLOOKUP($A107,tropes!$A$4:$O$2428,13,FALSE)</f>
        <v>4</v>
      </c>
      <c r="N107" s="5">
        <f t="shared" si="1"/>
        <v>0</v>
      </c>
    </row>
    <row r="108" spans="1:14" x14ac:dyDescent="0.3">
      <c r="A108" s="14">
        <v>2238</v>
      </c>
      <c r="B108" s="5" t="str">
        <f>VLOOKUP($A108,tropes!$A$4:$O$2428,2,FALSE)</f>
        <v>Fascinating</v>
      </c>
      <c r="C108" s="5" t="str">
        <f>VLOOKUP($A108,tropes!$A$4:$O$2428,3,FALSE)</f>
        <v>catchphrase</v>
      </c>
      <c r="D108" s="5" t="str">
        <f>VLOOKUP($A108,tropes!$A$4:$O$2428,4,FALSE)</f>
        <v>fascinating</v>
      </c>
      <c r="E108" s="5" t="str">
        <f>VLOOKUP($A108,tropes!$A$4:$O$2428,5,FALSE)</f>
        <v>Kirk: What is it that will buy you? | Spock: Fascinating. (when Mirror Kirk tries to bribe Spock to release them.)</v>
      </c>
      <c r="F108" s="5" t="str">
        <f>VLOOKUP($A108,tropes!$A$4:$O$2428,6,FALSE)</f>
        <v>spock</v>
      </c>
      <c r="G108" s="5">
        <f>VLOOKUP($A108,tropes!$A$4:$O$2428,7,FALSE)</f>
        <v>1</v>
      </c>
      <c r="H108" s="5">
        <f>VLOOKUP($A108,tropes!$A$4:$O$2428,8,FALSE)</f>
        <v>0</v>
      </c>
      <c r="I108" s="5">
        <f>VLOOKUP($A108,tropes!$A$4:$O$2428,9,FALSE)</f>
        <v>204</v>
      </c>
      <c r="J108" s="5">
        <f>VLOOKUP($A108,tropes!$A$4:$O$2428,10,FALSE)</f>
        <v>34</v>
      </c>
      <c r="K108" s="5" t="str">
        <f>VLOOKUP($A108,tropes!$A$4:$O$2428,11,FALSE)</f>
        <v>Mirror, Mirror</v>
      </c>
      <c r="L108" s="5">
        <f>VLOOKUP($A108,tropes!$A$4:$O$2428,12,FALSE)</f>
        <v>2</v>
      </c>
      <c r="M108" s="5">
        <f>VLOOKUP($A108,tropes!$A$4:$O$2428,13,FALSE)</f>
        <v>4</v>
      </c>
      <c r="N108" s="5">
        <f t="shared" si="1"/>
        <v>1</v>
      </c>
    </row>
    <row r="109" spans="1:14" x14ac:dyDescent="0.3">
      <c r="A109" s="14">
        <v>909</v>
      </c>
      <c r="B109" s="5" t="str">
        <f>VLOOKUP($A109,tropes!$A$4:$O$2428,2,FALSE)</f>
        <v>Fascinating Eyebrow</v>
      </c>
      <c r="C109" s="5" t="str">
        <f>VLOOKUP($A109,tropes!$A$4:$O$2428,3,FALSE)</f>
        <v>catchphrase</v>
      </c>
      <c r="D109" s="5" t="str">
        <f>VLOOKUP($A109,tropes!$A$4:$O$2428,4,FALSE)</f>
        <v>eyebrow</v>
      </c>
      <c r="E109" s="5" t="str">
        <f>VLOOKUP($A109,tropes!$A$4:$O$2428,5,FALSE)</f>
        <v>Kirk (to Spock about Mirror Kirk returning): That Jim Kirk will find a few changes if I read my Spock's correctly.</v>
      </c>
      <c r="F109" s="5" t="str">
        <f>VLOOKUP($A109,tropes!$A$4:$O$2428,6,FALSE)</f>
        <v>kirk</v>
      </c>
      <c r="G109" s="5">
        <f>VLOOKUP($A109,tropes!$A$4:$O$2428,7,FALSE)</f>
        <v>1</v>
      </c>
      <c r="H109" s="5">
        <f>VLOOKUP($A109,tropes!$A$4:$O$2428,8,FALSE)</f>
        <v>0</v>
      </c>
      <c r="I109" s="5">
        <f>VLOOKUP($A109,tropes!$A$4:$O$2428,9,FALSE)</f>
        <v>204</v>
      </c>
      <c r="J109" s="5">
        <f>VLOOKUP($A109,tropes!$A$4:$O$2428,10,FALSE)</f>
        <v>34</v>
      </c>
      <c r="K109" s="5" t="str">
        <f>VLOOKUP($A109,tropes!$A$4:$O$2428,11,FALSE)</f>
        <v>Mirror, Mirror</v>
      </c>
      <c r="L109" s="5">
        <f>VLOOKUP($A109,tropes!$A$4:$O$2428,12,FALSE)</f>
        <v>2</v>
      </c>
      <c r="M109" s="5">
        <f>VLOOKUP($A109,tropes!$A$4:$O$2428,13,FALSE)</f>
        <v>4</v>
      </c>
      <c r="N109" s="5">
        <f t="shared" si="1"/>
        <v>2</v>
      </c>
    </row>
    <row r="110" spans="1:14" x14ac:dyDescent="0.3">
      <c r="A110" s="14">
        <v>2240</v>
      </c>
      <c r="B110" s="5" t="str">
        <f>VLOOKUP($A110,tropes!$A$4:$O$2428,2,FALSE)</f>
        <v>Fascinating Eyebrow</v>
      </c>
      <c r="C110" s="5" t="str">
        <f>VLOOKUP($A110,tropes!$A$4:$O$2428,3,FALSE)</f>
        <v>catchphrase</v>
      </c>
      <c r="D110" s="5" t="str">
        <f>VLOOKUP($A110,tropes!$A$4:$O$2428,4,FALSE)</f>
        <v>eyebrow</v>
      </c>
      <c r="E110" s="5" t="str">
        <f>VLOOKUP($A110,tropes!$A$4:$O$2428,5,FALSE)</f>
        <v>Mirror Spock's raises an eyebrow after Kirk says he has a device which will make Spock invincible in his attempt to correct the direction of the Empire.</v>
      </c>
      <c r="F110" s="5" t="str">
        <f>VLOOKUP($A110,tropes!$A$4:$O$2428,6,FALSE)</f>
        <v>spock</v>
      </c>
      <c r="G110" s="5">
        <f>VLOOKUP($A110,tropes!$A$4:$O$2428,7,FALSE)</f>
        <v>1</v>
      </c>
      <c r="H110" s="5">
        <f>VLOOKUP($A110,tropes!$A$4:$O$2428,8,FALSE)</f>
        <v>0</v>
      </c>
      <c r="I110" s="5">
        <f>VLOOKUP($A110,tropes!$A$4:$O$2428,9,FALSE)</f>
        <v>204</v>
      </c>
      <c r="J110" s="5">
        <f>VLOOKUP($A110,tropes!$A$4:$O$2428,10,FALSE)</f>
        <v>34</v>
      </c>
      <c r="K110" s="5" t="str">
        <f>VLOOKUP($A110,tropes!$A$4:$O$2428,11,FALSE)</f>
        <v>Mirror, Mirror</v>
      </c>
      <c r="L110" s="5">
        <f>VLOOKUP($A110,tropes!$A$4:$O$2428,12,FALSE)</f>
        <v>2</v>
      </c>
      <c r="M110" s="5">
        <f>VLOOKUP($A110,tropes!$A$4:$O$2428,13,FALSE)</f>
        <v>4</v>
      </c>
      <c r="N110" s="5">
        <f t="shared" si="1"/>
        <v>3</v>
      </c>
    </row>
    <row r="111" spans="1:14" x14ac:dyDescent="0.3">
      <c r="A111" s="14">
        <v>1517</v>
      </c>
      <c r="B111" s="5" t="str">
        <f>VLOOKUP($A111,tropes!$A$4:$O$2428,2,FALSE)</f>
        <v>I'm a Doctor</v>
      </c>
      <c r="C111" s="5" t="str">
        <f>VLOOKUP($A111,tropes!$A$4:$O$2428,3,FALSE)</f>
        <v>catchphrase</v>
      </c>
      <c r="D111" s="5" t="str">
        <f>VLOOKUP($A111,tropes!$A$4:$O$2428,4,FALSE)</f>
        <v>im_a_doctor</v>
      </c>
      <c r="E111" s="5" t="str">
        <f>VLOOKUP($A111,tropes!$A$4:$O$2428,5,FALSE)</f>
        <v>McCoy: I'm a Doctor, not an Engineer.</v>
      </c>
      <c r="F111" s="5" t="str">
        <f>VLOOKUP($A111,tropes!$A$4:$O$2428,6,FALSE)</f>
        <v>mccoy</v>
      </c>
      <c r="G111" s="5">
        <f>VLOOKUP($A111,tropes!$A$4:$O$2428,7,FALSE)</f>
        <v>0</v>
      </c>
      <c r="H111" s="5">
        <f>VLOOKUP($A111,tropes!$A$4:$O$2428,8,FALSE)</f>
        <v>1</v>
      </c>
      <c r="I111" s="5">
        <f>VLOOKUP($A111,tropes!$A$4:$O$2428,9,FALSE)</f>
        <v>204</v>
      </c>
      <c r="J111" s="5">
        <f>VLOOKUP($A111,tropes!$A$4:$O$2428,10,FALSE)</f>
        <v>34</v>
      </c>
      <c r="K111" s="5" t="str">
        <f>VLOOKUP($A111,tropes!$A$4:$O$2428,11,FALSE)</f>
        <v>Mirror, Mirror</v>
      </c>
      <c r="L111" s="5">
        <f>VLOOKUP($A111,tropes!$A$4:$O$2428,12,FALSE)</f>
        <v>2</v>
      </c>
      <c r="M111" s="5">
        <f>VLOOKUP($A111,tropes!$A$4:$O$2428,13,FALSE)</f>
        <v>4</v>
      </c>
      <c r="N111" s="5">
        <f t="shared" si="1"/>
        <v>4</v>
      </c>
    </row>
    <row r="112" spans="1:14" x14ac:dyDescent="0.3">
      <c r="A112" s="14">
        <v>2239</v>
      </c>
      <c r="B112" s="5" t="str">
        <f>VLOOKUP($A112,tropes!$A$4:$O$2428,2,FALSE)</f>
        <v>Interesting</v>
      </c>
      <c r="C112" s="5" t="str">
        <f>VLOOKUP($A112,tropes!$A$4:$O$2428,3,FALSE)</f>
        <v>catchphrase</v>
      </c>
      <c r="D112" s="5" t="str">
        <f>VLOOKUP($A112,tropes!$A$4:$O$2428,4,FALSE)</f>
        <v>interesting</v>
      </c>
      <c r="E112" s="5" t="str">
        <f>VLOOKUP($A112,tropes!$A$4:$O$2428,5,FALSE)</f>
        <v>Spock: Apparently some kind of transposition has taken place. I find it extremely interesting.</v>
      </c>
      <c r="F112" s="5" t="str">
        <f>VLOOKUP($A112,tropes!$A$4:$O$2428,6,FALSE)</f>
        <v>spock</v>
      </c>
      <c r="G112" s="5">
        <f>VLOOKUP($A112,tropes!$A$4:$O$2428,7,FALSE)</f>
        <v>1</v>
      </c>
      <c r="H112" s="5">
        <f>VLOOKUP($A112,tropes!$A$4:$O$2428,8,FALSE)</f>
        <v>0</v>
      </c>
      <c r="I112" s="5">
        <f>VLOOKUP($A112,tropes!$A$4:$O$2428,9,FALSE)</f>
        <v>204</v>
      </c>
      <c r="J112" s="5">
        <f>VLOOKUP($A112,tropes!$A$4:$O$2428,10,FALSE)</f>
        <v>34</v>
      </c>
      <c r="K112" s="5" t="str">
        <f>VLOOKUP($A112,tropes!$A$4:$O$2428,11,FALSE)</f>
        <v>Mirror, Mirror</v>
      </c>
      <c r="L112" s="5">
        <f>VLOOKUP($A112,tropes!$A$4:$O$2428,12,FALSE)</f>
        <v>2</v>
      </c>
      <c r="M112" s="5">
        <f>VLOOKUP($A112,tropes!$A$4:$O$2428,13,FALSE)</f>
        <v>4</v>
      </c>
      <c r="N112" s="5">
        <f t="shared" si="1"/>
        <v>5</v>
      </c>
    </row>
    <row r="113" spans="1:14" x14ac:dyDescent="0.3">
      <c r="A113" s="14">
        <v>2241</v>
      </c>
      <c r="B113" s="5" t="str">
        <f>VLOOKUP($A113,tropes!$A$4:$O$2428,2,FALSE)</f>
        <v>Mental Fusion</v>
      </c>
      <c r="C113" s="5" t="str">
        <f>VLOOKUP($A113,tropes!$A$4:$O$2428,3,FALSE)</f>
        <v>catchphrase</v>
      </c>
      <c r="D113" s="5" t="str">
        <f>VLOOKUP($A113,tropes!$A$4:$O$2428,4,FALSE)</f>
        <v>mind_meld</v>
      </c>
      <c r="E113" s="5" t="str">
        <f>VLOOKUP($A113,tropes!$A$4:$O$2428,5,FALSE)</f>
        <v>Mirror Spock mind melds with McCoy to find out Kirks real intent.</v>
      </c>
      <c r="F113" s="5" t="str">
        <f>VLOOKUP($A113,tropes!$A$4:$O$2428,6,FALSE)</f>
        <v>spock</v>
      </c>
      <c r="G113" s="5">
        <f>VLOOKUP($A113,tropes!$A$4:$O$2428,7,FALSE)</f>
        <v>1</v>
      </c>
      <c r="H113" s="5">
        <f>VLOOKUP($A113,tropes!$A$4:$O$2428,8,FALSE)</f>
        <v>0</v>
      </c>
      <c r="I113" s="5">
        <f>VLOOKUP($A113,tropes!$A$4:$O$2428,9,FALSE)</f>
        <v>204</v>
      </c>
      <c r="J113" s="5">
        <f>VLOOKUP($A113,tropes!$A$4:$O$2428,10,FALSE)</f>
        <v>34</v>
      </c>
      <c r="K113" s="5" t="str">
        <f>VLOOKUP($A113,tropes!$A$4:$O$2428,11,FALSE)</f>
        <v>Mirror, Mirror</v>
      </c>
      <c r="L113" s="5">
        <f>VLOOKUP($A113,tropes!$A$4:$O$2428,12,FALSE)</f>
        <v>2</v>
      </c>
      <c r="M113" s="5">
        <f>VLOOKUP($A113,tropes!$A$4:$O$2428,13,FALSE)</f>
        <v>4</v>
      </c>
      <c r="N113" s="5">
        <f t="shared" si="1"/>
        <v>6</v>
      </c>
    </row>
    <row r="114" spans="1:14" x14ac:dyDescent="0.3">
      <c r="A114" s="14">
        <v>131</v>
      </c>
      <c r="B114" s="5" t="str">
        <f>VLOOKUP($A114,tropes!$A$4:$O$2428,2,FALSE)</f>
        <v>Chekov's Gun</v>
      </c>
      <c r="C114" s="5" t="str">
        <f>VLOOKUP($A114,tropes!$A$4:$O$2428,3,FALSE)</f>
        <v>catchphrase</v>
      </c>
      <c r="D114" s="5" t="str">
        <f>VLOOKUP($A114,tropes!$A$4:$O$2428,4,FALSE)</f>
        <v>chekovs_gun</v>
      </c>
      <c r="E114" s="5" t="str">
        <f>VLOOKUP($A114,tropes!$A$4:$O$2428,5,FALSE)</f>
        <v>Chekov has a phaser. Never fires it.</v>
      </c>
      <c r="F114" s="5" t="str">
        <f>VLOOKUP($A114,tropes!$A$4:$O$2428,6,FALSE)</f>
        <v>chekov</v>
      </c>
      <c r="G114" s="5">
        <f>VLOOKUP($A114,tropes!$A$4:$O$2428,7,FALSE)</f>
        <v>0</v>
      </c>
      <c r="H114" s="5">
        <f>VLOOKUP($A114,tropes!$A$4:$O$2428,8,FALSE)</f>
        <v>2</v>
      </c>
      <c r="I114" s="5">
        <f>VLOOKUP($A114,tropes!$A$4:$O$2428,9,FALSE)</f>
        <v>205</v>
      </c>
      <c r="J114" s="5">
        <f>VLOOKUP($A114,tropes!$A$4:$O$2428,10,FALSE)</f>
        <v>35</v>
      </c>
      <c r="K114" s="5" t="str">
        <f>VLOOKUP($A114,tropes!$A$4:$O$2428,11,FALSE)</f>
        <v>The Apple</v>
      </c>
      <c r="L114" s="5">
        <f>VLOOKUP($A114,tropes!$A$4:$O$2428,12,FALSE)</f>
        <v>2</v>
      </c>
      <c r="M114" s="5">
        <f>VLOOKUP($A114,tropes!$A$4:$O$2428,13,FALSE)</f>
        <v>5</v>
      </c>
      <c r="N114" s="5">
        <f t="shared" si="1"/>
        <v>0</v>
      </c>
    </row>
    <row r="115" spans="1:14" x14ac:dyDescent="0.3">
      <c r="A115" s="14">
        <v>2242</v>
      </c>
      <c r="B115" s="5" t="str">
        <f>VLOOKUP($A115,tropes!$A$4:$O$2428,2,FALSE)</f>
        <v>Fascinating</v>
      </c>
      <c r="C115" s="5" t="str">
        <f>VLOOKUP($A115,tropes!$A$4:$O$2428,3,FALSE)</f>
        <v>catchphrase</v>
      </c>
      <c r="D115" s="5" t="str">
        <f>VLOOKUP($A115,tropes!$A$4:$O$2428,4,FALSE)</f>
        <v>fascinating</v>
      </c>
      <c r="E115" s="5" t="str">
        <f>VLOOKUP($A115,tropes!$A$4:$O$2428,5,FALSE)</f>
        <v>Spock: Captain, This is fascinating. (about Akuta's antenna).</v>
      </c>
      <c r="F115" s="5" t="str">
        <f>VLOOKUP($A115,tropes!$A$4:$O$2428,6,FALSE)</f>
        <v>spock</v>
      </c>
      <c r="G115" s="5">
        <f>VLOOKUP($A115,tropes!$A$4:$O$2428,7,FALSE)</f>
        <v>1</v>
      </c>
      <c r="H115" s="5">
        <f>VLOOKUP($A115,tropes!$A$4:$O$2428,8,FALSE)</f>
        <v>0</v>
      </c>
      <c r="I115" s="5">
        <f>VLOOKUP($A115,tropes!$A$4:$O$2428,9,FALSE)</f>
        <v>205</v>
      </c>
      <c r="J115" s="5">
        <f>VLOOKUP($A115,tropes!$A$4:$O$2428,10,FALSE)</f>
        <v>35</v>
      </c>
      <c r="K115" s="5" t="str">
        <f>VLOOKUP($A115,tropes!$A$4:$O$2428,11,FALSE)</f>
        <v>The Apple</v>
      </c>
      <c r="L115" s="5">
        <f>VLOOKUP($A115,tropes!$A$4:$O$2428,12,FALSE)</f>
        <v>2</v>
      </c>
      <c r="M115" s="5">
        <f>VLOOKUP($A115,tropes!$A$4:$O$2428,13,FALSE)</f>
        <v>5</v>
      </c>
      <c r="N115" s="5">
        <f t="shared" si="1"/>
        <v>1</v>
      </c>
    </row>
    <row r="116" spans="1:14" x14ac:dyDescent="0.3">
      <c r="A116" s="14">
        <v>2243</v>
      </c>
      <c r="B116" s="5" t="str">
        <f>VLOOKUP($A116,tropes!$A$4:$O$2428,2,FALSE)</f>
        <v>Fascinating</v>
      </c>
      <c r="C116" s="5" t="str">
        <f>VLOOKUP($A116,tropes!$A$4:$O$2428,3,FALSE)</f>
        <v>catchphrase</v>
      </c>
      <c r="D116" s="5" t="str">
        <f>VLOOKUP($A116,tropes!$A$4:$O$2428,4,FALSE)</f>
        <v>fascinating</v>
      </c>
      <c r="E116" s="5" t="str">
        <f>VLOOKUP($A116,tropes!$A$4:$O$2428,5,FALSE)</f>
        <v>Spock: Fascinating. (as they walk into Vaal's cave.)</v>
      </c>
      <c r="F116" s="5" t="str">
        <f>VLOOKUP($A116,tropes!$A$4:$O$2428,6,FALSE)</f>
        <v>spock</v>
      </c>
      <c r="G116" s="5">
        <f>VLOOKUP($A116,tropes!$A$4:$O$2428,7,FALSE)</f>
        <v>1</v>
      </c>
      <c r="H116" s="5">
        <f>VLOOKUP($A116,tropes!$A$4:$O$2428,8,FALSE)</f>
        <v>0</v>
      </c>
      <c r="I116" s="5">
        <f>VLOOKUP($A116,tropes!$A$4:$O$2428,9,FALSE)</f>
        <v>205</v>
      </c>
      <c r="J116" s="5">
        <f>VLOOKUP($A116,tropes!$A$4:$O$2428,10,FALSE)</f>
        <v>35</v>
      </c>
      <c r="K116" s="5" t="str">
        <f>VLOOKUP($A116,tropes!$A$4:$O$2428,11,FALSE)</f>
        <v>The Apple</v>
      </c>
      <c r="L116" s="5">
        <f>VLOOKUP($A116,tropes!$A$4:$O$2428,12,FALSE)</f>
        <v>2</v>
      </c>
      <c r="M116" s="5">
        <f>VLOOKUP($A116,tropes!$A$4:$O$2428,13,FALSE)</f>
        <v>5</v>
      </c>
      <c r="N116" s="5">
        <f t="shared" si="1"/>
        <v>2</v>
      </c>
    </row>
    <row r="117" spans="1:14" x14ac:dyDescent="0.3">
      <c r="A117" s="14">
        <v>2252</v>
      </c>
      <c r="B117" s="5" t="str">
        <f>VLOOKUP($A117,tropes!$A$4:$O$2428,2,FALSE)</f>
        <v>Fascinating Eyebrow</v>
      </c>
      <c r="C117" s="5" t="str">
        <f>VLOOKUP($A117,tropes!$A$4:$O$2428,3,FALSE)</f>
        <v>catchphrase</v>
      </c>
      <c r="D117" s="5" t="str">
        <f>VLOOKUP($A117,tropes!$A$4:$O$2428,4,FALSE)</f>
        <v>eyebrow</v>
      </c>
      <c r="E117" s="5" t="str">
        <f>VLOOKUP($A117,tropes!$A$4:$O$2428,5,FALSE)</f>
        <v>Spock: Precisely, Captain, and in a manner of speaking, we have given the people of Vaal the apple, the knowledge of good and evil if you will, as a result of which they too have been driven out of paradise. | Kirk: Doctor, do I understand him correctly? Are you casting me in the role of Satan? | Spock: Not at all, Captain. | Kirk: Is there anyone on this ship who even remotely looks like Satan? (McCoy and Kirk walk around Spock. McCoy is gazing intently at his ears.) | Spock: I am not aware of anyone who fits that description, Captain. | Kirk: No, Mister Spock. I didn't think you would be.</v>
      </c>
      <c r="F117" s="5" t="str">
        <f>VLOOKUP($A117,tropes!$A$4:$O$2428,6,FALSE)</f>
        <v>spock</v>
      </c>
      <c r="G117" s="5">
        <f>VLOOKUP($A117,tropes!$A$4:$O$2428,7,FALSE)</f>
        <v>1</v>
      </c>
      <c r="H117" s="5">
        <f>VLOOKUP($A117,tropes!$A$4:$O$2428,8,FALSE)</f>
        <v>0</v>
      </c>
      <c r="I117" s="5">
        <f>VLOOKUP($A117,tropes!$A$4:$O$2428,9,FALSE)</f>
        <v>205</v>
      </c>
      <c r="J117" s="5">
        <f>VLOOKUP($A117,tropes!$A$4:$O$2428,10,FALSE)</f>
        <v>35</v>
      </c>
      <c r="K117" s="5" t="str">
        <f>VLOOKUP($A117,tropes!$A$4:$O$2428,11,FALSE)</f>
        <v>The Apple</v>
      </c>
      <c r="L117" s="5">
        <f>VLOOKUP($A117,tropes!$A$4:$O$2428,12,FALSE)</f>
        <v>2</v>
      </c>
      <c r="M117" s="5">
        <f>VLOOKUP($A117,tropes!$A$4:$O$2428,13,FALSE)</f>
        <v>5</v>
      </c>
      <c r="N117" s="5">
        <f t="shared" si="1"/>
        <v>3</v>
      </c>
    </row>
    <row r="118" spans="1:14" x14ac:dyDescent="0.3">
      <c r="A118" s="14">
        <v>2244</v>
      </c>
      <c r="B118" s="5" t="str">
        <f>VLOOKUP($A118,tropes!$A$4:$O$2428,2,FALSE)</f>
        <v>Interesting</v>
      </c>
      <c r="C118" s="5" t="str">
        <f>VLOOKUP($A118,tropes!$A$4:$O$2428,3,FALSE)</f>
        <v>catchphrase</v>
      </c>
      <c r="D118" s="5" t="str">
        <f>VLOOKUP($A118,tropes!$A$4:$O$2428,4,FALSE)</f>
        <v>interesting</v>
      </c>
      <c r="E118" s="5" t="str">
        <f>VLOOKUP($A118,tropes!$A$4:$O$2428,5,FALSE)</f>
        <v>Spock: Interesting. Extremely low specific gravity, some uraninite, hornblende, quartz. (breaks it in half) Fragile, good cleavage. An analysis should prove interesting. (He throws one half away, and it explodes when it hits the ground.)</v>
      </c>
      <c r="F118" s="5" t="str">
        <f>VLOOKUP($A118,tropes!$A$4:$O$2428,6,FALSE)</f>
        <v>spock</v>
      </c>
      <c r="G118" s="5">
        <f>VLOOKUP($A118,tropes!$A$4:$O$2428,7,FALSE)</f>
        <v>1</v>
      </c>
      <c r="H118" s="5">
        <f>VLOOKUP($A118,tropes!$A$4:$O$2428,8,FALSE)</f>
        <v>0</v>
      </c>
      <c r="I118" s="5">
        <f>VLOOKUP($A118,tropes!$A$4:$O$2428,9,FALSE)</f>
        <v>205</v>
      </c>
      <c r="J118" s="5">
        <f>VLOOKUP($A118,tropes!$A$4:$O$2428,10,FALSE)</f>
        <v>35</v>
      </c>
      <c r="K118" s="5" t="str">
        <f>VLOOKUP($A118,tropes!$A$4:$O$2428,11,FALSE)</f>
        <v>The Apple</v>
      </c>
      <c r="L118" s="5">
        <f>VLOOKUP($A118,tropes!$A$4:$O$2428,12,FALSE)</f>
        <v>2</v>
      </c>
      <c r="M118" s="5">
        <f>VLOOKUP($A118,tropes!$A$4:$O$2428,13,FALSE)</f>
        <v>5</v>
      </c>
      <c r="N118" s="5">
        <f t="shared" si="1"/>
        <v>4</v>
      </c>
    </row>
    <row r="119" spans="1:14" x14ac:dyDescent="0.3">
      <c r="A119" s="14">
        <v>2256</v>
      </c>
      <c r="B119" s="5" t="str">
        <f>VLOOKUP($A119,tropes!$A$4:$O$2428,2,FALSE)</f>
        <v>Fascinating Eyebrow</v>
      </c>
      <c r="C119" s="5" t="str">
        <f>VLOOKUP($A119,tropes!$A$4:$O$2428,3,FALSE)</f>
        <v>catchphrase</v>
      </c>
      <c r="D119" s="5" t="str">
        <f>VLOOKUP($A119,tropes!$A$4:$O$2428,4,FALSE)</f>
        <v>eyebrow</v>
      </c>
      <c r="E119" s="5" t="str">
        <f>VLOOKUP($A119,tropes!$A$4:$O$2428,5,FALSE)</f>
        <v>Spock: I wonder if there are any more of those weapons wandering around the universe. | Kirk: I certainly hope not. I found one quite sufficient.</v>
      </c>
      <c r="F119" s="5" t="str">
        <f>VLOOKUP($A119,tropes!$A$4:$O$2428,6,FALSE)</f>
        <v>spock</v>
      </c>
      <c r="G119" s="5">
        <f>VLOOKUP($A119,tropes!$A$4:$O$2428,7,FALSE)</f>
        <v>1</v>
      </c>
      <c r="H119" s="5">
        <f>VLOOKUP($A119,tropes!$A$4:$O$2428,8,FALSE)</f>
        <v>0</v>
      </c>
      <c r="I119" s="5">
        <f>VLOOKUP($A119,tropes!$A$4:$O$2428,9,FALSE)</f>
        <v>206</v>
      </c>
      <c r="J119" s="5">
        <f>VLOOKUP($A119,tropes!$A$4:$O$2428,10,FALSE)</f>
        <v>36</v>
      </c>
      <c r="K119" s="5" t="str">
        <f>VLOOKUP($A119,tropes!$A$4:$O$2428,11,FALSE)</f>
        <v>The Doomsday Machine</v>
      </c>
      <c r="L119" s="5">
        <f>VLOOKUP($A119,tropes!$A$4:$O$2428,12,FALSE)</f>
        <v>2</v>
      </c>
      <c r="M119" s="5">
        <f>VLOOKUP($A119,tropes!$A$4:$O$2428,13,FALSE)</f>
        <v>6</v>
      </c>
      <c r="N119" s="5">
        <f t="shared" si="1"/>
        <v>0</v>
      </c>
    </row>
    <row r="120" spans="1:14" x14ac:dyDescent="0.3">
      <c r="A120" s="14">
        <v>2257</v>
      </c>
      <c r="B120" s="5" t="str">
        <f>VLOOKUP($A120,tropes!$A$4:$O$2428,2,FALSE)</f>
        <v>Fascinating Eyebrow</v>
      </c>
      <c r="C120" s="5" t="str">
        <f>VLOOKUP($A120,tropes!$A$4:$O$2428,3,FALSE)</f>
        <v>catchphrase</v>
      </c>
      <c r="D120" s="5" t="str">
        <f>VLOOKUP($A120,tropes!$A$4:$O$2428,4,FALSE)</f>
        <v>eyebrow</v>
      </c>
      <c r="E120" s="5" t="str">
        <f>VLOOKUP($A120,tropes!$A$4:$O$2428,5,FALSE)</f>
        <v>Spock: We have given the people of Vaal the apple, if you will, they too have been driven out of paradise. | Kirk: Are you casting me in the role of Satan? | Spock: Not at all, Captain. | Kirk: Is there anyone on this ship who even remotely looks like Satan? | Spock: I am not aware of anyone who fits that description, Captain. | Kirk: No, Mister Spock. I didn't think you would be.</v>
      </c>
      <c r="F120" s="5" t="str">
        <f>VLOOKUP($A120,tropes!$A$4:$O$2428,6,FALSE)</f>
        <v>spock</v>
      </c>
      <c r="G120" s="5">
        <f>VLOOKUP($A120,tropes!$A$4:$O$2428,7,FALSE)</f>
        <v>1</v>
      </c>
      <c r="H120" s="5">
        <f>VLOOKUP($A120,tropes!$A$4:$O$2428,8,FALSE)</f>
        <v>0</v>
      </c>
      <c r="I120" s="5">
        <f>VLOOKUP($A120,tropes!$A$4:$O$2428,9,FALSE)</f>
        <v>206</v>
      </c>
      <c r="J120" s="5">
        <f>VLOOKUP($A120,tropes!$A$4:$O$2428,10,FALSE)</f>
        <v>36</v>
      </c>
      <c r="K120" s="5" t="str">
        <f>VLOOKUP($A120,tropes!$A$4:$O$2428,11,FALSE)</f>
        <v>The Doomsday Machine</v>
      </c>
      <c r="L120" s="5">
        <f>VLOOKUP($A120,tropes!$A$4:$O$2428,12,FALSE)</f>
        <v>2</v>
      </c>
      <c r="M120" s="5">
        <f>VLOOKUP($A120,tropes!$A$4:$O$2428,13,FALSE)</f>
        <v>6</v>
      </c>
      <c r="N120" s="5">
        <f t="shared" si="1"/>
        <v>1</v>
      </c>
    </row>
    <row r="121" spans="1:14" x14ac:dyDescent="0.3">
      <c r="A121" s="14">
        <v>1649</v>
      </c>
      <c r="B121" s="5" t="str">
        <f>VLOOKUP($A121,tropes!$A$4:$O$2428,2,FALSE)</f>
        <v>I'm a Doctor</v>
      </c>
      <c r="C121" s="5" t="str">
        <f>VLOOKUP($A121,tropes!$A$4:$O$2428,3,FALSE)</f>
        <v>catchphrase</v>
      </c>
      <c r="D121" s="5" t="str">
        <f>VLOOKUP($A121,tropes!$A$4:$O$2428,4,FALSE)</f>
        <v>im_a_doctor</v>
      </c>
      <c r="E121" s="5" t="str">
        <f>VLOOKUP($A121,tropes!$A$4:$O$2428,5,FALSE)</f>
        <v>Kirk: Did you ever hear of the Doomsday Machine? | McCoy: I'm a Doctor, not an Mechanic.</v>
      </c>
      <c r="F121" s="5" t="str">
        <f>VLOOKUP($A121,tropes!$A$4:$O$2428,6,FALSE)</f>
        <v>mccoy</v>
      </c>
      <c r="G121" s="5">
        <f>VLOOKUP($A121,tropes!$A$4:$O$2428,7,FALSE)</f>
        <v>0</v>
      </c>
      <c r="H121" s="5">
        <f>VLOOKUP($A121,tropes!$A$4:$O$2428,8,FALSE)</f>
        <v>1</v>
      </c>
      <c r="I121" s="5">
        <f>VLOOKUP($A121,tropes!$A$4:$O$2428,9,FALSE)</f>
        <v>206</v>
      </c>
      <c r="J121" s="5">
        <f>VLOOKUP($A121,tropes!$A$4:$O$2428,10,FALSE)</f>
        <v>36</v>
      </c>
      <c r="K121" s="5" t="str">
        <f>VLOOKUP($A121,tropes!$A$4:$O$2428,11,FALSE)</f>
        <v>The Doomsday Machine</v>
      </c>
      <c r="L121" s="5">
        <f>VLOOKUP($A121,tropes!$A$4:$O$2428,12,FALSE)</f>
        <v>2</v>
      </c>
      <c r="M121" s="5">
        <f>VLOOKUP($A121,tropes!$A$4:$O$2428,13,FALSE)</f>
        <v>6</v>
      </c>
      <c r="N121" s="5">
        <f t="shared" si="1"/>
        <v>2</v>
      </c>
    </row>
    <row r="122" spans="1:14" x14ac:dyDescent="0.3">
      <c r="A122" s="14">
        <v>2258</v>
      </c>
      <c r="B122" s="5" t="str">
        <f>VLOOKUP($A122,tropes!$A$4:$O$2428,2,FALSE)</f>
        <v>Fascinating</v>
      </c>
      <c r="C122" s="5" t="str">
        <f>VLOOKUP($A122,tropes!$A$4:$O$2428,3,FALSE)</f>
        <v>catchphrase</v>
      </c>
      <c r="D122" s="5" t="str">
        <f>VLOOKUP($A122,tropes!$A$4:$O$2428,4,FALSE)</f>
        <v>fascinating</v>
      </c>
      <c r="E122" s="5" t="str">
        <f>VLOOKUP($A122,tropes!$A$4:$O$2428,5,FALSE)</f>
        <v>Kirk: Their forms were an Illusion. Only the power pack gave them reality. | Spock: Fascinating.</v>
      </c>
      <c r="F122" s="5" t="str">
        <f>VLOOKUP($A122,tropes!$A$4:$O$2428,6,FALSE)</f>
        <v>spock</v>
      </c>
      <c r="G122" s="5">
        <f>VLOOKUP($A122,tropes!$A$4:$O$2428,7,FALSE)</f>
        <v>1</v>
      </c>
      <c r="H122" s="5">
        <f>VLOOKUP($A122,tropes!$A$4:$O$2428,8,FALSE)</f>
        <v>0</v>
      </c>
      <c r="I122" s="5">
        <f>VLOOKUP($A122,tropes!$A$4:$O$2428,9,FALSE)</f>
        <v>207</v>
      </c>
      <c r="J122" s="5">
        <f>VLOOKUP($A122,tropes!$A$4:$O$2428,10,FALSE)</f>
        <v>37</v>
      </c>
      <c r="K122" s="5" t="str">
        <f>VLOOKUP($A122,tropes!$A$4:$O$2428,11,FALSE)</f>
        <v>Catspaw</v>
      </c>
      <c r="L122" s="5">
        <f>VLOOKUP($A122,tropes!$A$4:$O$2428,12,FALSE)</f>
        <v>2</v>
      </c>
      <c r="M122" s="5">
        <f>VLOOKUP($A122,tropes!$A$4:$O$2428,13,FALSE)</f>
        <v>7</v>
      </c>
      <c r="N122" s="5">
        <f t="shared" si="1"/>
        <v>0</v>
      </c>
    </row>
    <row r="123" spans="1:14" x14ac:dyDescent="0.3">
      <c r="A123" s="14">
        <v>2259</v>
      </c>
      <c r="B123" s="5" t="str">
        <f>VLOOKUP($A123,tropes!$A$4:$O$2428,2,FALSE)</f>
        <v>Fascinating</v>
      </c>
      <c r="C123" s="5" t="str">
        <f>VLOOKUP($A123,tropes!$A$4:$O$2428,3,FALSE)</f>
        <v>catchphrase</v>
      </c>
      <c r="D123" s="5" t="str">
        <f>VLOOKUP($A123,tropes!$A$4:$O$2428,4,FALSE)</f>
        <v>fascinating</v>
      </c>
      <c r="E123" s="5" t="str">
        <f>VLOOKUP($A123,tropes!$A$4:$O$2428,5,FALSE)</f>
        <v>Spock (as Kirk, Spock, and Korob encounter Sylvia as a giant cat): Fascinating</v>
      </c>
      <c r="F123" s="5" t="str">
        <f>VLOOKUP($A123,tropes!$A$4:$O$2428,6,FALSE)</f>
        <v>spock</v>
      </c>
      <c r="G123" s="5">
        <f>VLOOKUP($A123,tropes!$A$4:$O$2428,7,FALSE)</f>
        <v>1</v>
      </c>
      <c r="H123" s="5">
        <f>VLOOKUP($A123,tropes!$A$4:$O$2428,8,FALSE)</f>
        <v>0</v>
      </c>
      <c r="I123" s="5">
        <f>VLOOKUP($A123,tropes!$A$4:$O$2428,9,FALSE)</f>
        <v>207</v>
      </c>
      <c r="J123" s="5">
        <f>VLOOKUP($A123,tropes!$A$4:$O$2428,10,FALSE)</f>
        <v>37</v>
      </c>
      <c r="K123" s="5" t="str">
        <f>VLOOKUP($A123,tropes!$A$4:$O$2428,11,FALSE)</f>
        <v>Catspaw</v>
      </c>
      <c r="L123" s="5">
        <f>VLOOKUP($A123,tropes!$A$4:$O$2428,12,FALSE)</f>
        <v>2</v>
      </c>
      <c r="M123" s="5">
        <f>VLOOKUP($A123,tropes!$A$4:$O$2428,13,FALSE)</f>
        <v>7</v>
      </c>
      <c r="N123" s="5">
        <f t="shared" si="1"/>
        <v>1</v>
      </c>
    </row>
    <row r="124" spans="1:14" x14ac:dyDescent="0.3">
      <c r="A124" s="14">
        <v>1519</v>
      </c>
      <c r="B124" s="5" t="str">
        <f>VLOOKUP($A124,tropes!$A$4:$O$2428,2,FALSE)</f>
        <v>He's Dead</v>
      </c>
      <c r="C124" s="5" t="str">
        <f>VLOOKUP($A124,tropes!$A$4:$O$2428,3,FALSE)</f>
        <v>catchphrase</v>
      </c>
      <c r="D124" s="5" t="str">
        <f>VLOOKUP($A124,tropes!$A$4:$O$2428,4,FALSE)</f>
        <v>hes_dead</v>
      </c>
      <c r="E124" s="5" t="str">
        <f>VLOOKUP($A124,tropes!$A$4:$O$2428,5,FALSE)</f>
        <v>McCoy: The man is dead.</v>
      </c>
      <c r="F124" s="5" t="str">
        <f>VLOOKUP($A124,tropes!$A$4:$O$2428,6,FALSE)</f>
        <v>mccoy</v>
      </c>
      <c r="G124" s="5">
        <f>VLOOKUP($A124,tropes!$A$4:$O$2428,7,FALSE)</f>
        <v>0</v>
      </c>
      <c r="H124" s="5">
        <f>VLOOKUP($A124,tropes!$A$4:$O$2428,8,FALSE)</f>
        <v>1</v>
      </c>
      <c r="I124" s="5">
        <f>VLOOKUP($A124,tropes!$A$4:$O$2428,9,FALSE)</f>
        <v>207</v>
      </c>
      <c r="J124" s="5">
        <f>VLOOKUP($A124,tropes!$A$4:$O$2428,10,FALSE)</f>
        <v>37</v>
      </c>
      <c r="K124" s="5" t="str">
        <f>VLOOKUP($A124,tropes!$A$4:$O$2428,11,FALSE)</f>
        <v>Catspaw</v>
      </c>
      <c r="L124" s="5">
        <f>VLOOKUP($A124,tropes!$A$4:$O$2428,12,FALSE)</f>
        <v>2</v>
      </c>
      <c r="M124" s="5">
        <f>VLOOKUP($A124,tropes!$A$4:$O$2428,13,FALSE)</f>
        <v>7</v>
      </c>
      <c r="N124" s="5">
        <f t="shared" si="1"/>
        <v>2</v>
      </c>
    </row>
    <row r="125" spans="1:14" x14ac:dyDescent="0.3">
      <c r="A125" s="14">
        <v>2265</v>
      </c>
      <c r="B125" s="5" t="str">
        <f>VLOOKUP($A125,tropes!$A$4:$O$2428,2,FALSE)</f>
        <v>Fascinating</v>
      </c>
      <c r="C125" s="5" t="str">
        <f>VLOOKUP($A125,tropes!$A$4:$O$2428,3,FALSE)</f>
        <v>catchphrase</v>
      </c>
      <c r="D125" s="5" t="str">
        <f>VLOOKUP($A125,tropes!$A$4:$O$2428,4,FALSE)</f>
        <v>fascinating</v>
      </c>
      <c r="E125" s="5" t="str">
        <f>VLOOKUP($A125,tropes!$A$4:$O$2428,5,FALSE)</f>
        <v>Spock: Fascinating (after putting two Alice's out of commission with the I love you, but I hate you cause you're identical logic bomb.)</v>
      </c>
      <c r="F125" s="5" t="str">
        <f>VLOOKUP($A125,tropes!$A$4:$O$2428,6,FALSE)</f>
        <v>spock</v>
      </c>
      <c r="G125" s="5">
        <f>VLOOKUP($A125,tropes!$A$4:$O$2428,7,FALSE)</f>
        <v>1</v>
      </c>
      <c r="H125" s="5">
        <f>VLOOKUP($A125,tropes!$A$4:$O$2428,8,FALSE)</f>
        <v>0</v>
      </c>
      <c r="I125" s="5">
        <f>VLOOKUP($A125,tropes!$A$4:$O$2428,9,FALSE)</f>
        <v>208</v>
      </c>
      <c r="J125" s="5">
        <f>VLOOKUP($A125,tropes!$A$4:$O$2428,10,FALSE)</f>
        <v>38</v>
      </c>
      <c r="K125" s="5" t="str">
        <f>VLOOKUP($A125,tropes!$A$4:$O$2428,11,FALSE)</f>
        <v>I, Mudd</v>
      </c>
      <c r="L125" s="5">
        <f>VLOOKUP($A125,tropes!$A$4:$O$2428,12,FALSE)</f>
        <v>2</v>
      </c>
      <c r="M125" s="5">
        <f>VLOOKUP($A125,tropes!$A$4:$O$2428,13,FALSE)</f>
        <v>8</v>
      </c>
      <c r="N125" s="5">
        <f t="shared" si="1"/>
        <v>0</v>
      </c>
    </row>
    <row r="126" spans="1:14" x14ac:dyDescent="0.3">
      <c r="A126" s="14">
        <v>2266</v>
      </c>
      <c r="B126" s="5" t="str">
        <f>VLOOKUP($A126,tropes!$A$4:$O$2428,2,FALSE)</f>
        <v>Fascinating</v>
      </c>
      <c r="C126" s="5" t="str">
        <f>VLOOKUP($A126,tropes!$A$4:$O$2428,3,FALSE)</f>
        <v>catchphrase</v>
      </c>
      <c r="D126" s="5" t="str">
        <f>VLOOKUP($A126,tropes!$A$4:$O$2428,4,FALSE)</f>
        <v>fascinating</v>
      </c>
      <c r="E126" s="5" t="str">
        <f>VLOOKUP($A126,tropes!$A$4:$O$2428,5,FALSE)</f>
        <v>Spock: Fascinating (after the encounter with Alice 471 where she's confused about unhappiness.)</v>
      </c>
      <c r="F126" s="5" t="str">
        <f>VLOOKUP($A126,tropes!$A$4:$O$2428,6,FALSE)</f>
        <v>spock</v>
      </c>
      <c r="G126" s="5">
        <f>VLOOKUP($A126,tropes!$A$4:$O$2428,7,FALSE)</f>
        <v>1</v>
      </c>
      <c r="H126" s="5">
        <f>VLOOKUP($A126,tropes!$A$4:$O$2428,8,FALSE)</f>
        <v>0</v>
      </c>
      <c r="I126" s="5">
        <f>VLOOKUP($A126,tropes!$A$4:$O$2428,9,FALSE)</f>
        <v>208</v>
      </c>
      <c r="J126" s="5">
        <f>VLOOKUP($A126,tropes!$A$4:$O$2428,10,FALSE)</f>
        <v>38</v>
      </c>
      <c r="K126" s="5" t="str">
        <f>VLOOKUP($A126,tropes!$A$4:$O$2428,11,FALSE)</f>
        <v>I, Mudd</v>
      </c>
      <c r="L126" s="5">
        <f>VLOOKUP($A126,tropes!$A$4:$O$2428,12,FALSE)</f>
        <v>2</v>
      </c>
      <c r="M126" s="5">
        <f>VLOOKUP($A126,tropes!$A$4:$O$2428,13,FALSE)</f>
        <v>8</v>
      </c>
      <c r="N126" s="5">
        <f t="shared" si="1"/>
        <v>1</v>
      </c>
    </row>
    <row r="127" spans="1:14" x14ac:dyDescent="0.3">
      <c r="A127" s="14">
        <v>1520</v>
      </c>
      <c r="B127" s="5" t="str">
        <f>VLOOKUP($A127,tropes!$A$4:$O$2428,2,FALSE)</f>
        <v>He's Dead</v>
      </c>
      <c r="C127" s="5" t="str">
        <f>VLOOKUP($A127,tropes!$A$4:$O$2428,3,FALSE)</f>
        <v>catchphrase</v>
      </c>
      <c r="D127" s="5" t="str">
        <f>VLOOKUP($A127,tropes!$A$4:$O$2428,4,FALSE)</f>
        <v>hes_dead</v>
      </c>
      <c r="E127" s="5" t="str">
        <f>VLOOKUP($A127,tropes!$A$4:$O$2428,5,FALSE)</f>
        <v>McCoy: He's dead (after Kirk and co pull prank on Norman attempting to escape android world.)</v>
      </c>
      <c r="F127" s="5" t="str">
        <f>VLOOKUP($A127,tropes!$A$4:$O$2428,6,FALSE)</f>
        <v>mccoy</v>
      </c>
      <c r="G127" s="5">
        <f>VLOOKUP($A127,tropes!$A$4:$O$2428,7,FALSE)</f>
        <v>0</v>
      </c>
      <c r="H127" s="5">
        <f>VLOOKUP($A127,tropes!$A$4:$O$2428,8,FALSE)</f>
        <v>1</v>
      </c>
      <c r="I127" s="5">
        <f>VLOOKUP($A127,tropes!$A$4:$O$2428,9,FALSE)</f>
        <v>208</v>
      </c>
      <c r="J127" s="5">
        <f>VLOOKUP($A127,tropes!$A$4:$O$2428,10,FALSE)</f>
        <v>38</v>
      </c>
      <c r="K127" s="5" t="str">
        <f>VLOOKUP($A127,tropes!$A$4:$O$2428,11,FALSE)</f>
        <v>I, Mudd</v>
      </c>
      <c r="L127" s="5">
        <f>VLOOKUP($A127,tropes!$A$4:$O$2428,12,FALSE)</f>
        <v>2</v>
      </c>
      <c r="M127" s="5">
        <f>VLOOKUP($A127,tropes!$A$4:$O$2428,13,FALSE)</f>
        <v>8</v>
      </c>
      <c r="N127" s="5">
        <f t="shared" si="1"/>
        <v>2</v>
      </c>
    </row>
    <row r="128" spans="1:14" x14ac:dyDescent="0.3">
      <c r="A128" s="14">
        <v>2267</v>
      </c>
      <c r="B128" s="5" t="str">
        <f>VLOOKUP($A128,tropes!$A$4:$O$2428,2,FALSE)</f>
        <v>Interesting</v>
      </c>
      <c r="C128" s="5" t="str">
        <f>VLOOKUP($A128,tropes!$A$4:$O$2428,3,FALSE)</f>
        <v>catchphrase</v>
      </c>
      <c r="D128" s="5" t="str">
        <f>VLOOKUP($A128,tropes!$A$4:$O$2428,4,FALSE)</f>
        <v>interesting</v>
      </c>
      <c r="E128" s="5" t="str">
        <f>VLOOKUP($A128,tropes!$A$4:$O$2428,5,FALSE)</f>
        <v>Norman: I trust you are enjoying yourself, Mister Spock. | Spock: Very interesting. Very interesting. This is a most unusual device. | Norman: It is our central control complex.</v>
      </c>
      <c r="F128" s="5" t="str">
        <f>VLOOKUP($A128,tropes!$A$4:$O$2428,6,FALSE)</f>
        <v>spock</v>
      </c>
      <c r="G128" s="5">
        <f>VLOOKUP($A128,tropes!$A$4:$O$2428,7,FALSE)</f>
        <v>1</v>
      </c>
      <c r="H128" s="5">
        <f>VLOOKUP($A128,tropes!$A$4:$O$2428,8,FALSE)</f>
        <v>0</v>
      </c>
      <c r="I128" s="5">
        <f>VLOOKUP($A128,tropes!$A$4:$O$2428,9,FALSE)</f>
        <v>208</v>
      </c>
      <c r="J128" s="5">
        <f>VLOOKUP($A128,tropes!$A$4:$O$2428,10,FALSE)</f>
        <v>38</v>
      </c>
      <c r="K128" s="5" t="str">
        <f>VLOOKUP($A128,tropes!$A$4:$O$2428,11,FALSE)</f>
        <v>I, Mudd</v>
      </c>
      <c r="L128" s="5">
        <f>VLOOKUP($A128,tropes!$A$4:$O$2428,12,FALSE)</f>
        <v>2</v>
      </c>
      <c r="M128" s="5">
        <f>VLOOKUP($A128,tropes!$A$4:$O$2428,13,FALSE)</f>
        <v>8</v>
      </c>
      <c r="N128" s="5">
        <f t="shared" si="1"/>
        <v>3</v>
      </c>
    </row>
    <row r="129" spans="1:14" x14ac:dyDescent="0.3">
      <c r="A129" s="14">
        <v>2271</v>
      </c>
      <c r="B129" s="5" t="str">
        <f>VLOOKUP($A129,tropes!$A$4:$O$2428,2,FALSE)</f>
        <v>Mental Fusion</v>
      </c>
      <c r="C129" s="5" t="str">
        <f>VLOOKUP($A129,tropes!$A$4:$O$2428,3,FALSE)</f>
        <v>catchphrase</v>
      </c>
      <c r="D129" s="5" t="str">
        <f>VLOOKUP($A129,tropes!$A$4:$O$2428,4,FALSE)</f>
        <v>mind_meld</v>
      </c>
      <c r="E129" s="5" t="str">
        <f>VLOOKUP($A129,tropes!$A$4:$O$2428,5,FALSE)</f>
        <v>Spock mind melds with Norman the Android. Finds Norman has turned himself off.</v>
      </c>
      <c r="F129" s="5" t="str">
        <f>VLOOKUP($A129,tropes!$A$4:$O$2428,6,FALSE)</f>
        <v>spock</v>
      </c>
      <c r="G129" s="5">
        <f>VLOOKUP($A129,tropes!$A$4:$O$2428,7,FALSE)</f>
        <v>1</v>
      </c>
      <c r="H129" s="5">
        <f>VLOOKUP($A129,tropes!$A$4:$O$2428,8,FALSE)</f>
        <v>0</v>
      </c>
      <c r="I129" s="5">
        <f>VLOOKUP($A129,tropes!$A$4:$O$2428,9,FALSE)</f>
        <v>208</v>
      </c>
      <c r="J129" s="5">
        <f>VLOOKUP($A129,tropes!$A$4:$O$2428,10,FALSE)</f>
        <v>38</v>
      </c>
      <c r="K129" s="5" t="str">
        <f>VLOOKUP($A129,tropes!$A$4:$O$2428,11,FALSE)</f>
        <v>I, Mudd</v>
      </c>
      <c r="L129" s="5">
        <f>VLOOKUP($A129,tropes!$A$4:$O$2428,12,FALSE)</f>
        <v>2</v>
      </c>
      <c r="M129" s="5">
        <f>VLOOKUP($A129,tropes!$A$4:$O$2428,13,FALSE)</f>
        <v>8</v>
      </c>
      <c r="N129" s="5">
        <f t="shared" si="1"/>
        <v>4</v>
      </c>
    </row>
    <row r="130" spans="1:14" x14ac:dyDescent="0.3">
      <c r="A130" s="14">
        <v>2273</v>
      </c>
      <c r="B130" s="5" t="str">
        <f>VLOOKUP($A130,tropes!$A$4:$O$2428,2,FALSE)</f>
        <v>Fascinating</v>
      </c>
      <c r="C130" s="5" t="str">
        <f>VLOOKUP($A130,tropes!$A$4:$O$2428,3,FALSE)</f>
        <v>catchphrase</v>
      </c>
      <c r="D130" s="5" t="str">
        <f>VLOOKUP($A130,tropes!$A$4:$O$2428,4,FALSE)</f>
        <v>fascinating</v>
      </c>
      <c r="E130" s="5" t="str">
        <f>VLOOKUP($A130,tropes!$A$4:$O$2428,5,FALSE)</f>
        <v>Spock (after waking up from the Companions shock): A most fascinating thing happened doctor. Apparently the Companion imparted to me a rather quaint, old-fashioned electric shock.</v>
      </c>
      <c r="F130" s="5" t="str">
        <f>VLOOKUP($A130,tropes!$A$4:$O$2428,6,FALSE)</f>
        <v>spock</v>
      </c>
      <c r="G130" s="5">
        <f>VLOOKUP($A130,tropes!$A$4:$O$2428,7,FALSE)</f>
        <v>1</v>
      </c>
      <c r="H130" s="5">
        <f>VLOOKUP($A130,tropes!$A$4:$O$2428,8,FALSE)</f>
        <v>0</v>
      </c>
      <c r="I130" s="5">
        <f>VLOOKUP($A130,tropes!$A$4:$O$2428,9,FALSE)</f>
        <v>209</v>
      </c>
      <c r="J130" s="5">
        <f>VLOOKUP($A130,tropes!$A$4:$O$2428,10,FALSE)</f>
        <v>39</v>
      </c>
      <c r="K130" s="5" t="str">
        <f>VLOOKUP($A130,tropes!$A$4:$O$2428,11,FALSE)</f>
        <v>Metamorphosis</v>
      </c>
      <c r="L130" s="5">
        <f>VLOOKUP($A130,tropes!$A$4:$O$2428,12,FALSE)</f>
        <v>2</v>
      </c>
      <c r="M130" s="5">
        <f>VLOOKUP($A130,tropes!$A$4:$O$2428,13,FALSE)</f>
        <v>9</v>
      </c>
      <c r="N130" s="5">
        <f t="shared" si="1"/>
        <v>0</v>
      </c>
    </row>
    <row r="131" spans="1:14" x14ac:dyDescent="0.3">
      <c r="A131" s="14">
        <v>2274</v>
      </c>
      <c r="B131" s="5" t="str">
        <f>VLOOKUP($A131,tropes!$A$4:$O$2428,2,FALSE)</f>
        <v>Fascinating</v>
      </c>
      <c r="C131" s="5" t="str">
        <f>VLOOKUP($A131,tropes!$A$4:$O$2428,3,FALSE)</f>
        <v>catchphrase</v>
      </c>
      <c r="D131" s="5" t="str">
        <f>VLOOKUP($A131,tropes!$A$4:$O$2428,4,FALSE)</f>
        <v>fascinating</v>
      </c>
      <c r="E131" s="5" t="str">
        <f>VLOOKUP($A131,tropes!$A$4:$O$2428,5,FALSE)</f>
        <v>Zefrem Cochrane storms out when he finds out the Companion loves him. | Spock: Fascinating. A totally parochial attitude.</v>
      </c>
      <c r="F131" s="5" t="str">
        <f>VLOOKUP($A131,tropes!$A$4:$O$2428,6,FALSE)</f>
        <v>spock</v>
      </c>
      <c r="G131" s="5">
        <f>VLOOKUP($A131,tropes!$A$4:$O$2428,7,FALSE)</f>
        <v>1</v>
      </c>
      <c r="H131" s="5">
        <f>VLOOKUP($A131,tropes!$A$4:$O$2428,8,FALSE)</f>
        <v>0</v>
      </c>
      <c r="I131" s="5">
        <f>VLOOKUP($A131,tropes!$A$4:$O$2428,9,FALSE)</f>
        <v>209</v>
      </c>
      <c r="J131" s="5">
        <f>VLOOKUP($A131,tropes!$A$4:$O$2428,10,FALSE)</f>
        <v>39</v>
      </c>
      <c r="K131" s="5" t="str">
        <f>VLOOKUP($A131,tropes!$A$4:$O$2428,11,FALSE)</f>
        <v>Metamorphosis</v>
      </c>
      <c r="L131" s="5">
        <f>VLOOKUP($A131,tropes!$A$4:$O$2428,12,FALSE)</f>
        <v>2</v>
      </c>
      <c r="M131" s="5">
        <f>VLOOKUP($A131,tropes!$A$4:$O$2428,13,FALSE)</f>
        <v>9</v>
      </c>
      <c r="N131" s="5">
        <f t="shared" si="1"/>
        <v>1</v>
      </c>
    </row>
    <row r="132" spans="1:14" x14ac:dyDescent="0.3">
      <c r="A132" s="14">
        <v>2278</v>
      </c>
      <c r="B132" s="5" t="str">
        <f>VLOOKUP($A132,tropes!$A$4:$O$2428,2,FALSE)</f>
        <v>Fascinating Eyebrow</v>
      </c>
      <c r="C132" s="5" t="str">
        <f>VLOOKUP($A132,tropes!$A$4:$O$2428,3,FALSE)</f>
        <v>catchphrase</v>
      </c>
      <c r="D132" s="5" t="str">
        <f>VLOOKUP($A132,tropes!$A$4:$O$2428,4,FALSE)</f>
        <v>eyebrow</v>
      </c>
      <c r="E132" s="5" t="str">
        <f>VLOOKUP($A132,tropes!$A$4:$O$2428,5,FALSE)</f>
        <v>Spock: Fascinating (as Cochrane appears n the distance)Then Spock raises an eyebrow.</v>
      </c>
      <c r="F132" s="5" t="str">
        <f>VLOOKUP($A132,tropes!$A$4:$O$2428,6,FALSE)</f>
        <v>spock</v>
      </c>
      <c r="G132" s="5">
        <f>VLOOKUP($A132,tropes!$A$4:$O$2428,7,FALSE)</f>
        <v>1</v>
      </c>
      <c r="H132" s="5">
        <f>VLOOKUP($A132,tropes!$A$4:$O$2428,8,FALSE)</f>
        <v>0</v>
      </c>
      <c r="I132" s="5">
        <f>VLOOKUP($A132,tropes!$A$4:$O$2428,9,FALSE)</f>
        <v>209</v>
      </c>
      <c r="J132" s="5">
        <f>VLOOKUP($A132,tropes!$A$4:$O$2428,10,FALSE)</f>
        <v>39</v>
      </c>
      <c r="K132" s="5" t="str">
        <f>VLOOKUP($A132,tropes!$A$4:$O$2428,11,FALSE)</f>
        <v>Metamorphosis</v>
      </c>
      <c r="L132" s="5">
        <f>VLOOKUP($A132,tropes!$A$4:$O$2428,12,FALSE)</f>
        <v>2</v>
      </c>
      <c r="M132" s="5">
        <f>VLOOKUP($A132,tropes!$A$4:$O$2428,13,FALSE)</f>
        <v>9</v>
      </c>
      <c r="N132" s="5">
        <f t="shared" ref="N132:N171" si="2">IF(I132&lt;&gt;I131,0,N131+1)</f>
        <v>2</v>
      </c>
    </row>
    <row r="133" spans="1:14" x14ac:dyDescent="0.3">
      <c r="A133" s="14">
        <v>2287</v>
      </c>
      <c r="B133" s="5" t="str">
        <f>VLOOKUP($A133,tropes!$A$4:$O$2428,2,FALSE)</f>
        <v>Fascinating Eyebrow</v>
      </c>
      <c r="C133" s="5" t="str">
        <f>VLOOKUP($A133,tropes!$A$4:$O$2428,3,FALSE)</f>
        <v>catchphrase</v>
      </c>
      <c r="D133" s="5" t="str">
        <f>VLOOKUP($A133,tropes!$A$4:$O$2428,4,FALSE)</f>
        <v>eyebrow</v>
      </c>
      <c r="E133" s="5" t="str">
        <f>VLOOKUP($A133,tropes!$A$4:$O$2428,5,FALSE)</f>
        <v>Amanda: Nothing is as important as your father's life | Spock: can you imagine what my father would say if I were to agree , if I were to give up command of this vessel,. Jeopardize hundreds of lives , risk interplanetary war, all for the life of one person.</v>
      </c>
      <c r="F133" s="5" t="str">
        <f>VLOOKUP($A133,tropes!$A$4:$O$2428,6,FALSE)</f>
        <v>spock</v>
      </c>
      <c r="G133" s="5">
        <f>VLOOKUP($A133,tropes!$A$4:$O$2428,7,FALSE)</f>
        <v>1</v>
      </c>
      <c r="H133" s="5">
        <f>VLOOKUP($A133,tropes!$A$4:$O$2428,8,FALSE)</f>
        <v>0</v>
      </c>
      <c r="I133" s="5">
        <f>VLOOKUP($A133,tropes!$A$4:$O$2428,9,FALSE)</f>
        <v>210</v>
      </c>
      <c r="J133" s="5">
        <f>VLOOKUP($A133,tropes!$A$4:$O$2428,10,FALSE)</f>
        <v>40</v>
      </c>
      <c r="K133" s="5" t="str">
        <f>VLOOKUP($A133,tropes!$A$4:$O$2428,11,FALSE)</f>
        <v>Journey to Babel</v>
      </c>
      <c r="L133" s="5">
        <f>VLOOKUP($A133,tropes!$A$4:$O$2428,12,FALSE)</f>
        <v>2</v>
      </c>
      <c r="M133" s="5">
        <f>VLOOKUP($A133,tropes!$A$4:$O$2428,13,FALSE)</f>
        <v>10</v>
      </c>
      <c r="N133" s="5">
        <f t="shared" si="2"/>
        <v>0</v>
      </c>
    </row>
    <row r="134" spans="1:14" x14ac:dyDescent="0.3">
      <c r="A134" s="14">
        <v>2288</v>
      </c>
      <c r="B134" s="5" t="str">
        <f>VLOOKUP($A134,tropes!$A$4:$O$2428,2,FALSE)</f>
        <v>Fascinating Eyebrow</v>
      </c>
      <c r="C134" s="5" t="str">
        <f>VLOOKUP($A134,tropes!$A$4:$O$2428,3,FALSE)</f>
        <v>catchphrase</v>
      </c>
      <c r="D134" s="5" t="str">
        <f>VLOOKUP($A134,tropes!$A$4:$O$2428,4,FALSE)</f>
        <v>eyebrow</v>
      </c>
      <c r="E134" s="5" t="str">
        <f>VLOOKUP($A134,tropes!$A$4:$O$2428,5,FALSE)</f>
        <v>Spock gives an eyebrow to Sarek as Sarek rebuffs him for not attending the Vulcan Science Academy</v>
      </c>
      <c r="F134" s="5" t="str">
        <f>VLOOKUP($A134,tropes!$A$4:$O$2428,6,FALSE)</f>
        <v>spock</v>
      </c>
      <c r="G134" s="5">
        <f>VLOOKUP($A134,tropes!$A$4:$O$2428,7,FALSE)</f>
        <v>1</v>
      </c>
      <c r="H134" s="5">
        <f>VLOOKUP($A134,tropes!$A$4:$O$2428,8,FALSE)</f>
        <v>0</v>
      </c>
      <c r="I134" s="5">
        <f>VLOOKUP($A134,tropes!$A$4:$O$2428,9,FALSE)</f>
        <v>210</v>
      </c>
      <c r="J134" s="5">
        <f>VLOOKUP($A134,tropes!$A$4:$O$2428,10,FALSE)</f>
        <v>40</v>
      </c>
      <c r="K134" s="5" t="str">
        <f>VLOOKUP($A134,tropes!$A$4:$O$2428,11,FALSE)</f>
        <v>Journey to Babel</v>
      </c>
      <c r="L134" s="5">
        <f>VLOOKUP($A134,tropes!$A$4:$O$2428,12,FALSE)</f>
        <v>2</v>
      </c>
      <c r="M134" s="5">
        <f>VLOOKUP($A134,tropes!$A$4:$O$2428,13,FALSE)</f>
        <v>10</v>
      </c>
      <c r="N134" s="5">
        <f t="shared" si="2"/>
        <v>1</v>
      </c>
    </row>
    <row r="135" spans="1:14" x14ac:dyDescent="0.3">
      <c r="A135" s="14">
        <v>2283</v>
      </c>
      <c r="B135" s="5" t="str">
        <f>VLOOKUP($A135,tropes!$A$4:$O$2428,2,FALSE)</f>
        <v>Interesting</v>
      </c>
      <c r="C135" s="5" t="str">
        <f>VLOOKUP($A135,tropes!$A$4:$O$2428,3,FALSE)</f>
        <v>catchphrase</v>
      </c>
      <c r="D135" s="5" t="str">
        <f>VLOOKUP($A135,tropes!$A$4:$O$2428,4,FALSE)</f>
        <v>interesting</v>
      </c>
      <c r="E135" s="5" t="str">
        <f>VLOOKUP($A135,tropes!$A$4:$O$2428,5,FALSE)</f>
        <v>Chekov: Phasers armed and ready, sir. (The bright dot on the view screen whizzes past them.) | Spock: Interesting. They were travelling at approximately warp ten.</v>
      </c>
      <c r="F135" s="5" t="str">
        <f>VLOOKUP($A135,tropes!$A$4:$O$2428,6,FALSE)</f>
        <v>spock</v>
      </c>
      <c r="G135" s="5">
        <f>VLOOKUP($A135,tropes!$A$4:$O$2428,7,FALSE)</f>
        <v>1</v>
      </c>
      <c r="H135" s="5">
        <f>VLOOKUP($A135,tropes!$A$4:$O$2428,8,FALSE)</f>
        <v>0</v>
      </c>
      <c r="I135" s="5">
        <f>VLOOKUP($A135,tropes!$A$4:$O$2428,9,FALSE)</f>
        <v>210</v>
      </c>
      <c r="J135" s="5">
        <f>VLOOKUP($A135,tropes!$A$4:$O$2428,10,FALSE)</f>
        <v>40</v>
      </c>
      <c r="K135" s="5" t="str">
        <f>VLOOKUP($A135,tropes!$A$4:$O$2428,11,FALSE)</f>
        <v>Journey to Babel</v>
      </c>
      <c r="L135" s="5">
        <f>VLOOKUP($A135,tropes!$A$4:$O$2428,12,FALSE)</f>
        <v>2</v>
      </c>
      <c r="M135" s="5">
        <f>VLOOKUP($A135,tropes!$A$4:$O$2428,13,FALSE)</f>
        <v>10</v>
      </c>
      <c r="N135" s="5">
        <f t="shared" si="2"/>
        <v>2</v>
      </c>
    </row>
    <row r="136" spans="1:14" x14ac:dyDescent="0.3">
      <c r="A136" s="14">
        <v>2284</v>
      </c>
      <c r="B136" s="5" t="str">
        <f>VLOOKUP($A136,tropes!$A$4:$O$2428,2,FALSE)</f>
        <v>Interesting</v>
      </c>
      <c r="C136" s="5" t="str">
        <f>VLOOKUP($A136,tropes!$A$4:$O$2428,3,FALSE)</f>
        <v>catchphrase</v>
      </c>
      <c r="D136" s="5" t="str">
        <f>VLOOKUP($A136,tropes!$A$4:$O$2428,4,FALSE)</f>
        <v>interesting</v>
      </c>
      <c r="E136" s="5" t="str">
        <f>VLOOKUP($A136,tropes!$A$4:$O$2428,5,FALSE)</f>
        <v>Kirk: Spock. A short time ago, I broke up an argument between Gav and your father. | Spock: Indeed, Captain? Interesting. | McCoy: Interesting? Spock, do you realize that makes your father the most likely suspect?</v>
      </c>
      <c r="F136" s="5" t="str">
        <f>VLOOKUP($A136,tropes!$A$4:$O$2428,6,FALSE)</f>
        <v>spock</v>
      </c>
      <c r="G136" s="5">
        <f>VLOOKUP($A136,tropes!$A$4:$O$2428,7,FALSE)</f>
        <v>1</v>
      </c>
      <c r="H136" s="5">
        <f>VLOOKUP($A136,tropes!$A$4:$O$2428,8,FALSE)</f>
        <v>0</v>
      </c>
      <c r="I136" s="5">
        <f>VLOOKUP($A136,tropes!$A$4:$O$2428,9,FALSE)</f>
        <v>210</v>
      </c>
      <c r="J136" s="5">
        <f>VLOOKUP($A136,tropes!$A$4:$O$2428,10,FALSE)</f>
        <v>40</v>
      </c>
      <c r="K136" s="5" t="str">
        <f>VLOOKUP($A136,tropes!$A$4:$O$2428,11,FALSE)</f>
        <v>Journey to Babel</v>
      </c>
      <c r="L136" s="5">
        <f>VLOOKUP($A136,tropes!$A$4:$O$2428,12,FALSE)</f>
        <v>2</v>
      </c>
      <c r="M136" s="5">
        <f>VLOOKUP($A136,tropes!$A$4:$O$2428,13,FALSE)</f>
        <v>10</v>
      </c>
      <c r="N136" s="5">
        <f t="shared" si="2"/>
        <v>3</v>
      </c>
    </row>
    <row r="137" spans="1:14" x14ac:dyDescent="0.3">
      <c r="A137" s="14">
        <v>77</v>
      </c>
      <c r="B137" s="5" t="str">
        <f>VLOOKUP($A137,tropes!$A$4:$O$2428,2,FALSE)</f>
        <v>Vulcan Salute</v>
      </c>
      <c r="C137" s="5" t="str">
        <f>VLOOKUP($A137,tropes!$A$4:$O$2428,3,FALSE)</f>
        <v>catchphrase</v>
      </c>
      <c r="D137" s="5" t="str">
        <f>VLOOKUP($A137,tropes!$A$4:$O$2428,4,FALSE)</f>
        <v>vulcan_culture</v>
      </c>
      <c r="E137" s="5" t="str">
        <f>VLOOKUP($A137,tropes!$A$4:$O$2428,5,FALSE)</f>
        <v>Sarek gives Vulcan salute to Kirk</v>
      </c>
      <c r="F137" s="5" t="str">
        <f>VLOOKUP($A137,tropes!$A$4:$O$2428,6,FALSE)</f>
        <v>alien</v>
      </c>
      <c r="G137" s="5">
        <f>VLOOKUP($A137,tropes!$A$4:$O$2428,7,FALSE)</f>
        <v>0</v>
      </c>
      <c r="H137" s="5">
        <f>VLOOKUP($A137,tropes!$A$4:$O$2428,8,FALSE)</f>
        <v>0</v>
      </c>
      <c r="I137" s="5">
        <f>VLOOKUP($A137,tropes!$A$4:$O$2428,9,FALSE)</f>
        <v>210</v>
      </c>
      <c r="J137" s="5">
        <f>VLOOKUP($A137,tropes!$A$4:$O$2428,10,FALSE)</f>
        <v>40</v>
      </c>
      <c r="K137" s="5" t="str">
        <f>VLOOKUP($A137,tropes!$A$4:$O$2428,11,FALSE)</f>
        <v>Journey to Babel</v>
      </c>
      <c r="L137" s="5">
        <f>VLOOKUP($A137,tropes!$A$4:$O$2428,12,FALSE)</f>
        <v>2</v>
      </c>
      <c r="M137" s="5">
        <f>VLOOKUP($A137,tropes!$A$4:$O$2428,13,FALSE)</f>
        <v>10</v>
      </c>
      <c r="N137" s="5">
        <f t="shared" si="2"/>
        <v>4</v>
      </c>
    </row>
    <row r="138" spans="1:14" x14ac:dyDescent="0.3">
      <c r="A138" s="14">
        <v>50</v>
      </c>
      <c r="B138" s="5" t="str">
        <f>VLOOKUP($A138,tropes!$A$4:$O$2428,2,FALSE)</f>
        <v>Vulcan Salute</v>
      </c>
      <c r="C138" s="5" t="str">
        <f>VLOOKUP($A138,tropes!$A$4:$O$2428,3,FALSE)</f>
        <v>catchphrase</v>
      </c>
      <c r="D138" s="5" t="str">
        <f>VLOOKUP($A138,tropes!$A$4:$O$2428,4,FALSE)</f>
        <v>vulcan_culture</v>
      </c>
      <c r="E138" s="5" t="str">
        <f>VLOOKUP($A138,tropes!$A$4:$O$2428,5,FALSE)</f>
        <v>Sarek gives Vulcan salute to McCoy</v>
      </c>
      <c r="F138" s="5" t="str">
        <f>VLOOKUP($A138,tropes!$A$4:$O$2428,6,FALSE)</f>
        <v>alien</v>
      </c>
      <c r="G138" s="5">
        <f>VLOOKUP($A138,tropes!$A$4:$O$2428,7,FALSE)</f>
        <v>0</v>
      </c>
      <c r="H138" s="5">
        <f>VLOOKUP($A138,tropes!$A$4:$O$2428,8,FALSE)</f>
        <v>0</v>
      </c>
      <c r="I138" s="5">
        <f>VLOOKUP($A138,tropes!$A$4:$O$2428,9,FALSE)</f>
        <v>210</v>
      </c>
      <c r="J138" s="5">
        <f>VLOOKUP($A138,tropes!$A$4:$O$2428,10,FALSE)</f>
        <v>40</v>
      </c>
      <c r="K138" s="5" t="str">
        <f>VLOOKUP($A138,tropes!$A$4:$O$2428,11,FALSE)</f>
        <v>Journey to Babel</v>
      </c>
      <c r="L138" s="5">
        <f>VLOOKUP($A138,tropes!$A$4:$O$2428,12,FALSE)</f>
        <v>2</v>
      </c>
      <c r="M138" s="5">
        <f>VLOOKUP($A138,tropes!$A$4:$O$2428,13,FALSE)</f>
        <v>10</v>
      </c>
      <c r="N138" s="5">
        <f t="shared" si="2"/>
        <v>5</v>
      </c>
    </row>
    <row r="139" spans="1:14" x14ac:dyDescent="0.3">
      <c r="A139" s="14">
        <v>2285</v>
      </c>
      <c r="B139" s="5" t="str">
        <f>VLOOKUP($A139,tropes!$A$4:$O$2428,2,FALSE)</f>
        <v>Vulcan Salute</v>
      </c>
      <c r="C139" s="5" t="str">
        <f>VLOOKUP($A139,tropes!$A$4:$O$2428,3,FALSE)</f>
        <v>catchphrase</v>
      </c>
      <c r="D139" s="5" t="str">
        <f>VLOOKUP($A139,tropes!$A$4:$O$2428,4,FALSE)</f>
        <v>vulcan_culture</v>
      </c>
      <c r="E139" s="5" t="str">
        <f>VLOOKUP($A139,tropes!$A$4:$O$2428,5,FALSE)</f>
        <v>Spock gives Vulcan salute to Sarek. Sarek ignores him.</v>
      </c>
      <c r="F139" s="5" t="str">
        <f>VLOOKUP($A139,tropes!$A$4:$O$2428,6,FALSE)</f>
        <v>spock</v>
      </c>
      <c r="G139" s="5">
        <f>VLOOKUP($A139,tropes!$A$4:$O$2428,7,FALSE)</f>
        <v>1</v>
      </c>
      <c r="H139" s="5">
        <f>VLOOKUP($A139,tropes!$A$4:$O$2428,8,FALSE)</f>
        <v>0</v>
      </c>
      <c r="I139" s="5">
        <f>VLOOKUP($A139,tropes!$A$4:$O$2428,9,FALSE)</f>
        <v>210</v>
      </c>
      <c r="J139" s="5">
        <f>VLOOKUP($A139,tropes!$A$4:$O$2428,10,FALSE)</f>
        <v>40</v>
      </c>
      <c r="K139" s="5" t="str">
        <f>VLOOKUP($A139,tropes!$A$4:$O$2428,11,FALSE)</f>
        <v>Journey to Babel</v>
      </c>
      <c r="L139" s="5">
        <f>VLOOKUP($A139,tropes!$A$4:$O$2428,12,FALSE)</f>
        <v>2</v>
      </c>
      <c r="M139" s="5">
        <f>VLOOKUP($A139,tropes!$A$4:$O$2428,13,FALSE)</f>
        <v>10</v>
      </c>
      <c r="N139" s="5">
        <f t="shared" si="2"/>
        <v>6</v>
      </c>
    </row>
    <row r="140" spans="1:14" x14ac:dyDescent="0.3">
      <c r="A140" s="14">
        <v>2286</v>
      </c>
      <c r="B140" s="5" t="str">
        <f>VLOOKUP($A140,tropes!$A$4:$O$2428,2,FALSE)</f>
        <v>Vulcan Salute</v>
      </c>
      <c r="C140" s="5" t="str">
        <f>VLOOKUP($A140,tropes!$A$4:$O$2428,3,FALSE)</f>
        <v>catchphrase</v>
      </c>
      <c r="D140" s="5" t="str">
        <f>VLOOKUP($A140,tropes!$A$4:$O$2428,4,FALSE)</f>
        <v>vulcan_culture</v>
      </c>
      <c r="E140" s="5" t="str">
        <f>VLOOKUP($A140,tropes!$A$4:$O$2428,5,FALSE)</f>
        <v>Spock shows McCoy how to do the Vulcan salute</v>
      </c>
      <c r="F140" s="5" t="str">
        <f>VLOOKUP($A140,tropes!$A$4:$O$2428,6,FALSE)</f>
        <v>spock</v>
      </c>
      <c r="G140" s="5">
        <f>VLOOKUP($A140,tropes!$A$4:$O$2428,7,FALSE)</f>
        <v>1</v>
      </c>
      <c r="H140" s="5">
        <f>VLOOKUP($A140,tropes!$A$4:$O$2428,8,FALSE)</f>
        <v>0</v>
      </c>
      <c r="I140" s="5">
        <f>VLOOKUP($A140,tropes!$A$4:$O$2428,9,FALSE)</f>
        <v>210</v>
      </c>
      <c r="J140" s="5">
        <f>VLOOKUP($A140,tropes!$A$4:$O$2428,10,FALSE)</f>
        <v>40</v>
      </c>
      <c r="K140" s="5" t="str">
        <f>VLOOKUP($A140,tropes!$A$4:$O$2428,11,FALSE)</f>
        <v>Journey to Babel</v>
      </c>
      <c r="L140" s="5">
        <f>VLOOKUP($A140,tropes!$A$4:$O$2428,12,FALSE)</f>
        <v>2</v>
      </c>
      <c r="M140" s="5">
        <f>VLOOKUP($A140,tropes!$A$4:$O$2428,13,FALSE)</f>
        <v>10</v>
      </c>
      <c r="N140" s="5">
        <f t="shared" si="2"/>
        <v>7</v>
      </c>
    </row>
    <row r="141" spans="1:14" x14ac:dyDescent="0.3">
      <c r="A141" s="14">
        <v>2976</v>
      </c>
      <c r="B141" s="5" t="str">
        <f>VLOOKUP($A141,tropes!$A$4:$O$2428,2,FALSE)</f>
        <v>I'm a Doctor</v>
      </c>
      <c r="C141" s="5" t="str">
        <f>VLOOKUP($A141,tropes!$A$4:$O$2428,3,FALSE)</f>
        <v>catchphrase</v>
      </c>
      <c r="D141" s="5" t="str">
        <f>VLOOKUP($A141,tropes!$A$4:$O$2428,4,FALSE)</f>
        <v>im_a_doctor</v>
      </c>
      <c r="E141" s="5" t="str">
        <f>VLOOKUP($A141,tropes!$A$4:$O$2428,5,FALSE)</f>
        <v>McCoy: I'm a doctor, not an escalator.</v>
      </c>
      <c r="F141" s="5" t="str">
        <f>VLOOKUP($A141,tropes!$A$4:$O$2428,6,FALSE)</f>
        <v>mccoy</v>
      </c>
      <c r="G141" s="5">
        <f>VLOOKUP($A141,tropes!$A$4:$O$2428,7,FALSE)</f>
        <v>0</v>
      </c>
      <c r="H141" s="5">
        <f>VLOOKUP($A141,tropes!$A$4:$O$2428,8,FALSE)</f>
        <v>1</v>
      </c>
      <c r="I141" s="5">
        <f>VLOOKUP($A141,tropes!$A$4:$O$2428,9,FALSE)</f>
        <v>211</v>
      </c>
      <c r="J141" s="5">
        <f>VLOOKUP($A141,tropes!$A$4:$O$2428,10,FALSE)</f>
        <v>41</v>
      </c>
      <c r="K141" s="5" t="str">
        <f>VLOOKUP($A141,tropes!$A$4:$O$2428,11,FALSE)</f>
        <v>Friday's Child</v>
      </c>
      <c r="L141" s="5">
        <f>VLOOKUP($A141,tropes!$A$4:$O$2428,12,FALSE)</f>
        <v>2</v>
      </c>
      <c r="M141" s="5">
        <f>VLOOKUP($A141,tropes!$A$4:$O$2428,13,FALSE)</f>
        <v>11</v>
      </c>
      <c r="N141" s="5">
        <f t="shared" si="2"/>
        <v>0</v>
      </c>
    </row>
    <row r="142" spans="1:14" x14ac:dyDescent="0.3">
      <c r="A142" s="14">
        <v>2986</v>
      </c>
      <c r="B142" s="5" t="str">
        <f>VLOOKUP($A142,tropes!$A$4:$O$2428,2,FALSE)</f>
        <v>In The Original Klingon</v>
      </c>
      <c r="C142" s="5" t="str">
        <f>VLOOKUP($A142,tropes!$A$4:$O$2428,3,FALSE)</f>
        <v>catchphrase</v>
      </c>
      <c r="D142" s="5" t="str">
        <f>VLOOKUP($A142,tropes!$A$4:$O$2428,4,FALSE)</f>
        <v>russia</v>
      </c>
      <c r="E142" s="5" t="str">
        <f>VLOOKUP($A142,tropes!$A$4:$O$2428,5,FALSE)</f>
        <v>Scotty: There's an old saying. Fool me once, shame on you. Fool me twice, shame on me. | Chekov: I know this saying. It was invented in Russia.</v>
      </c>
      <c r="F142" s="5" t="str">
        <f>VLOOKUP($A142,tropes!$A$4:$O$2428,6,FALSE)</f>
        <v>chekov</v>
      </c>
      <c r="G142" s="5">
        <f>VLOOKUP($A142,tropes!$A$4:$O$2428,7,FALSE)</f>
        <v>0</v>
      </c>
      <c r="H142" s="5">
        <f>VLOOKUP($A142,tropes!$A$4:$O$2428,8,FALSE)</f>
        <v>1</v>
      </c>
      <c r="I142" s="5">
        <f>VLOOKUP($A142,tropes!$A$4:$O$2428,9,FALSE)</f>
        <v>211</v>
      </c>
      <c r="J142" s="5">
        <f>VLOOKUP($A142,tropes!$A$4:$O$2428,10,FALSE)</f>
        <v>41</v>
      </c>
      <c r="K142" s="5" t="str">
        <f>VLOOKUP($A142,tropes!$A$4:$O$2428,11,FALSE)</f>
        <v>Friday's Child</v>
      </c>
      <c r="L142" s="5">
        <f>VLOOKUP($A142,tropes!$A$4:$O$2428,12,FALSE)</f>
        <v>2</v>
      </c>
      <c r="M142" s="5">
        <f>VLOOKUP($A142,tropes!$A$4:$O$2428,13,FALSE)</f>
        <v>11</v>
      </c>
      <c r="N142" s="5">
        <f t="shared" si="2"/>
        <v>1</v>
      </c>
    </row>
    <row r="143" spans="1:14" x14ac:dyDescent="0.3">
      <c r="A143" s="14">
        <v>2293</v>
      </c>
      <c r="B143" s="5" t="str">
        <f>VLOOKUP($A143,tropes!$A$4:$O$2428,2,FALSE)</f>
        <v>Interesting</v>
      </c>
      <c r="C143" s="5" t="str">
        <f>VLOOKUP($A143,tropes!$A$4:$O$2428,3,FALSE)</f>
        <v>catchphrase</v>
      </c>
      <c r="D143" s="5" t="str">
        <f>VLOOKUP($A143,tropes!$A$4:$O$2428,4,FALSE)</f>
        <v>interesting</v>
      </c>
      <c r="E143" s="5" t="str">
        <f>VLOOKUP($A143,tropes!$A$4:$O$2428,5,FALSE)</f>
        <v>Eleen: McCoy. Bring our child. | Kirk: Our child? | McCoy: I'll explain later. | Spock: That should prove very interesting.</v>
      </c>
      <c r="F143" s="5" t="str">
        <f>VLOOKUP($A143,tropes!$A$4:$O$2428,6,FALSE)</f>
        <v>spock</v>
      </c>
      <c r="G143" s="5">
        <f>VLOOKUP($A143,tropes!$A$4:$O$2428,7,FALSE)</f>
        <v>1</v>
      </c>
      <c r="H143" s="5">
        <f>VLOOKUP($A143,tropes!$A$4:$O$2428,8,FALSE)</f>
        <v>0</v>
      </c>
      <c r="I143" s="5">
        <f>VLOOKUP($A143,tropes!$A$4:$O$2428,9,FALSE)</f>
        <v>211</v>
      </c>
      <c r="J143" s="5">
        <f>VLOOKUP($A143,tropes!$A$4:$O$2428,10,FALSE)</f>
        <v>41</v>
      </c>
      <c r="K143" s="5" t="str">
        <f>VLOOKUP($A143,tropes!$A$4:$O$2428,11,FALSE)</f>
        <v>Friday's Child</v>
      </c>
      <c r="L143" s="5">
        <f>VLOOKUP($A143,tropes!$A$4:$O$2428,12,FALSE)</f>
        <v>2</v>
      </c>
      <c r="M143" s="5">
        <f>VLOOKUP($A143,tropes!$A$4:$O$2428,13,FALSE)</f>
        <v>11</v>
      </c>
      <c r="N143" s="5">
        <f t="shared" si="2"/>
        <v>2</v>
      </c>
    </row>
    <row r="144" spans="1:14" x14ac:dyDescent="0.3">
      <c r="A144" s="14">
        <v>2294</v>
      </c>
      <c r="B144" s="5" t="str">
        <f>VLOOKUP($A144,tropes!$A$4:$O$2428,2,FALSE)</f>
        <v>Interesting</v>
      </c>
      <c r="C144" s="5" t="str">
        <f>VLOOKUP($A144,tropes!$A$4:$O$2428,3,FALSE)</f>
        <v>catchphrase</v>
      </c>
      <c r="D144" s="5" t="str">
        <f>VLOOKUP($A144,tropes!$A$4:$O$2428,4,FALSE)</f>
        <v>interesting</v>
      </c>
      <c r="E144" s="5" t="str">
        <f>VLOOKUP($A144,tropes!$A$4:$O$2428,5,FALSE)</f>
        <v>Kirk: An obscure Earth dialect, Mister Spock. Oochy-woochy coochy-coo. If you're curious, consult linguistics. | Spock: Well, at any rate, this should prove interesting. | Kirk: Interesting? |Spock: When the woman starts explaining how the new high teer is actually Doctor McCoy's child.</v>
      </c>
      <c r="F144" s="5" t="str">
        <f>VLOOKUP($A144,tropes!$A$4:$O$2428,6,FALSE)</f>
        <v>spock</v>
      </c>
      <c r="G144" s="5">
        <f>VLOOKUP($A144,tropes!$A$4:$O$2428,7,FALSE)</f>
        <v>1</v>
      </c>
      <c r="H144" s="5">
        <f>VLOOKUP($A144,tropes!$A$4:$O$2428,8,FALSE)</f>
        <v>0</v>
      </c>
      <c r="I144" s="5">
        <f>VLOOKUP($A144,tropes!$A$4:$O$2428,9,FALSE)</f>
        <v>211</v>
      </c>
      <c r="J144" s="5">
        <f>VLOOKUP($A144,tropes!$A$4:$O$2428,10,FALSE)</f>
        <v>41</v>
      </c>
      <c r="K144" s="5" t="str">
        <f>VLOOKUP($A144,tropes!$A$4:$O$2428,11,FALSE)</f>
        <v>Friday's Child</v>
      </c>
      <c r="L144" s="5">
        <f>VLOOKUP($A144,tropes!$A$4:$O$2428,12,FALSE)</f>
        <v>2</v>
      </c>
      <c r="M144" s="5">
        <f>VLOOKUP($A144,tropes!$A$4:$O$2428,13,FALSE)</f>
        <v>11</v>
      </c>
      <c r="N144" s="5">
        <f t="shared" si="2"/>
        <v>3</v>
      </c>
    </row>
    <row r="145" spans="1:14" x14ac:dyDescent="0.3">
      <c r="A145" s="14">
        <v>149</v>
      </c>
      <c r="B145" s="5" t="str">
        <f>VLOOKUP($A145,tropes!$A$4:$O$2428,2,FALSE)</f>
        <v>Butt Monkey</v>
      </c>
      <c r="C145" s="5" t="str">
        <f>VLOOKUP($A145,tropes!$A$4:$O$2428,3,FALSE)</f>
        <v>catchphrase</v>
      </c>
      <c r="D145" s="5" t="str">
        <f>VLOOKUP($A145,tropes!$A$4:$O$2428,4,FALSE)</f>
        <v>butt_monkey</v>
      </c>
      <c r="E145" s="5" t="str">
        <f>VLOOKUP($A145,tropes!$A$4:$O$2428,5,FALSE)</f>
        <v>Chekov: Blood sample, Chekov! Marrow sample, Chekov! Skin sample, Chekov! If – if I live long enough, I'm going to run out of samples!.</v>
      </c>
      <c r="F145" s="5" t="str">
        <f>VLOOKUP($A145,tropes!$A$4:$O$2428,6,FALSE)</f>
        <v>chekov</v>
      </c>
      <c r="G145" s="5">
        <f>VLOOKUP($A145,tropes!$A$4:$O$2428,7,FALSE)</f>
        <v>0</v>
      </c>
      <c r="H145" s="5">
        <f>VLOOKUP($A145,tropes!$A$4:$O$2428,8,FALSE)</f>
        <v>2</v>
      </c>
      <c r="I145" s="5">
        <f>VLOOKUP($A145,tropes!$A$4:$O$2428,9,FALSE)</f>
        <v>212</v>
      </c>
      <c r="J145" s="5">
        <f>VLOOKUP($A145,tropes!$A$4:$O$2428,10,FALSE)</f>
        <v>42</v>
      </c>
      <c r="K145" s="5" t="str">
        <f>VLOOKUP($A145,tropes!$A$4:$O$2428,11,FALSE)</f>
        <v>The Deadly Years</v>
      </c>
      <c r="L145" s="5">
        <f>VLOOKUP($A145,tropes!$A$4:$O$2428,12,FALSE)</f>
        <v>2</v>
      </c>
      <c r="M145" s="5">
        <f>VLOOKUP($A145,tropes!$A$4:$O$2428,13,FALSE)</f>
        <v>12</v>
      </c>
      <c r="N145" s="5">
        <f t="shared" si="2"/>
        <v>0</v>
      </c>
    </row>
    <row r="146" spans="1:14" x14ac:dyDescent="0.3">
      <c r="A146" s="14">
        <v>2295</v>
      </c>
      <c r="B146" s="5" t="str">
        <f>VLOOKUP($A146,tropes!$A$4:$O$2428,2,FALSE)</f>
        <v>Interesting</v>
      </c>
      <c r="C146" s="5" t="str">
        <f>VLOOKUP($A146,tropes!$A$4:$O$2428,3,FALSE)</f>
        <v>catchphrase</v>
      </c>
      <c r="D146" s="5" t="str">
        <f>VLOOKUP($A146,tropes!$A$4:$O$2428,4,FALSE)</f>
        <v>interesting</v>
      </c>
      <c r="E146" s="5" t="str">
        <f>VLOOKUP($A146,tropes!$A$4:$O$2428,5,FALSE)</f>
        <v>Spock: Concerning the situation you related to us. In my opinion, the Argelian empathic contact is an interesting phenomenon, but the technique is not sound enough to risk a man's life.</v>
      </c>
      <c r="F146" s="5" t="str">
        <f>VLOOKUP($A146,tropes!$A$4:$O$2428,6,FALSE)</f>
        <v>spock</v>
      </c>
      <c r="G146" s="5">
        <f>VLOOKUP($A146,tropes!$A$4:$O$2428,7,FALSE)</f>
        <v>1</v>
      </c>
      <c r="H146" s="5">
        <f>VLOOKUP($A146,tropes!$A$4:$O$2428,8,FALSE)</f>
        <v>0</v>
      </c>
      <c r="I146" s="5">
        <f>VLOOKUP($A146,tropes!$A$4:$O$2428,9,FALSE)</f>
        <v>214</v>
      </c>
      <c r="J146" s="5">
        <f>VLOOKUP($A146,tropes!$A$4:$O$2428,10,FALSE)</f>
        <v>44</v>
      </c>
      <c r="K146" s="5" t="str">
        <f>VLOOKUP($A146,tropes!$A$4:$O$2428,11,FALSE)</f>
        <v>Wolf in the Fold</v>
      </c>
      <c r="L146" s="5">
        <f>VLOOKUP($A146,tropes!$A$4:$O$2428,12,FALSE)</f>
        <v>2</v>
      </c>
      <c r="M146" s="5">
        <f>VLOOKUP($A146,tropes!$A$4:$O$2428,13,FALSE)</f>
        <v>14</v>
      </c>
      <c r="N146" s="5">
        <f t="shared" si="2"/>
        <v>0</v>
      </c>
    </row>
    <row r="147" spans="1:14" x14ac:dyDescent="0.3">
      <c r="A147" s="14">
        <v>2297</v>
      </c>
      <c r="B147" s="5" t="str">
        <f>VLOOKUP($A147,tropes!$A$4:$O$2428,2,FALSE)</f>
        <v>Interesting</v>
      </c>
      <c r="C147" s="5" t="str">
        <f>VLOOKUP($A147,tropes!$A$4:$O$2428,3,FALSE)</f>
        <v>catchphrase</v>
      </c>
      <c r="D147" s="5" t="str">
        <f>VLOOKUP($A147,tropes!$A$4:$O$2428,4,FALSE)</f>
        <v>interesting</v>
      </c>
      <c r="E147" s="5" t="str">
        <f>VLOOKUP($A147,tropes!$A$4:$O$2428,5,FALSE)</f>
        <v>HAINES: (A woman in gold uniform at Spock's station) Mister Spock, I'm getting a fluctuating energy reading on this hydrogen cloud. It's faint, sir, but it consistently reads an excess of predictable energy level. | Spock: Interesting. It seems to be an ionization trail.</v>
      </c>
      <c r="F147" s="5" t="str">
        <f>VLOOKUP($A147,tropes!$A$4:$O$2428,6,FALSE)</f>
        <v>spock</v>
      </c>
      <c r="G147" s="5">
        <f>VLOOKUP($A147,tropes!$A$4:$O$2428,7,FALSE)</f>
        <v>1</v>
      </c>
      <c r="H147" s="5">
        <f>VLOOKUP($A147,tropes!$A$4:$O$2428,8,FALSE)</f>
        <v>0</v>
      </c>
      <c r="I147" s="5">
        <f>VLOOKUP($A147,tropes!$A$4:$O$2428,9,FALSE)</f>
        <v>216</v>
      </c>
      <c r="J147" s="5">
        <f>VLOOKUP($A147,tropes!$A$4:$O$2428,10,FALSE)</f>
        <v>46</v>
      </c>
      <c r="K147" s="5" t="str">
        <f>VLOOKUP($A147,tropes!$A$4:$O$2428,11,FALSE)</f>
        <v>The Gamesters of Triskelion</v>
      </c>
      <c r="L147" s="5">
        <f>VLOOKUP($A147,tropes!$A$4:$O$2428,12,FALSE)</f>
        <v>2</v>
      </c>
      <c r="M147" s="5">
        <f>VLOOKUP($A147,tropes!$A$4:$O$2428,13,FALSE)</f>
        <v>16</v>
      </c>
      <c r="N147" s="5">
        <f t="shared" si="2"/>
        <v>0</v>
      </c>
    </row>
    <row r="148" spans="1:14" x14ac:dyDescent="0.3">
      <c r="A148" s="14">
        <v>2298</v>
      </c>
      <c r="B148" s="5" t="str">
        <f>VLOOKUP($A148,tropes!$A$4:$O$2428,2,FALSE)</f>
        <v>Interesting</v>
      </c>
      <c r="C148" s="5" t="str">
        <f>VLOOKUP($A148,tropes!$A$4:$O$2428,3,FALSE)</f>
        <v>catchphrase</v>
      </c>
      <c r="D148" s="5" t="str">
        <f>VLOOKUP($A148,tropes!$A$4:$O$2428,4,FALSE)</f>
        <v>interesting</v>
      </c>
      <c r="E148" s="5" t="str">
        <f>VLOOKUP($A148,tropes!$A$4:$O$2428,5,FALSE)</f>
        <v>McCoy: Well we're not going to leave them there while we just sit and wait. | Spock: Interesting. No power source. It may be shielded.</v>
      </c>
      <c r="F148" s="5" t="str">
        <f>VLOOKUP($A148,tropes!$A$4:$O$2428,6,FALSE)</f>
        <v>spock</v>
      </c>
      <c r="G148" s="5">
        <f>VLOOKUP($A148,tropes!$A$4:$O$2428,7,FALSE)</f>
        <v>1</v>
      </c>
      <c r="H148" s="5">
        <f>VLOOKUP($A148,tropes!$A$4:$O$2428,8,FALSE)</f>
        <v>0</v>
      </c>
      <c r="I148" s="5">
        <f>VLOOKUP($A148,tropes!$A$4:$O$2428,9,FALSE)</f>
        <v>216</v>
      </c>
      <c r="J148" s="5">
        <f>VLOOKUP($A148,tropes!$A$4:$O$2428,10,FALSE)</f>
        <v>46</v>
      </c>
      <c r="K148" s="5" t="str">
        <f>VLOOKUP($A148,tropes!$A$4:$O$2428,11,FALSE)</f>
        <v>The Gamesters of Triskelion</v>
      </c>
      <c r="L148" s="5">
        <f>VLOOKUP($A148,tropes!$A$4:$O$2428,12,FALSE)</f>
        <v>2</v>
      </c>
      <c r="M148" s="5">
        <f>VLOOKUP($A148,tropes!$A$4:$O$2428,13,FALSE)</f>
        <v>16</v>
      </c>
      <c r="N148" s="5">
        <f t="shared" si="2"/>
        <v>1</v>
      </c>
    </row>
    <row r="149" spans="1:14" x14ac:dyDescent="0.3">
      <c r="A149" s="14">
        <v>2299</v>
      </c>
      <c r="B149" s="5" t="str">
        <f>VLOOKUP($A149,tropes!$A$4:$O$2428,2,FALSE)</f>
        <v>Interesting</v>
      </c>
      <c r="C149" s="5" t="str">
        <f>VLOOKUP($A149,tropes!$A$4:$O$2428,3,FALSE)</f>
        <v>catchphrase</v>
      </c>
      <c r="D149" s="5" t="str">
        <f>VLOOKUP($A149,tropes!$A$4:$O$2428,4,FALSE)</f>
        <v>interesting</v>
      </c>
      <c r="E149" s="5" t="str">
        <f>VLOOKUP($A149,tropes!$A$4:$O$2428,5,FALSE)</f>
        <v>Kirk: Key in the ignition. Turn the ignition on. And nothing happens. Where's the starter? There's the starter. Yes! | Spock: Interesting.</v>
      </c>
      <c r="F149" s="5" t="str">
        <f>VLOOKUP($A149,tropes!$A$4:$O$2428,6,FALSE)</f>
        <v>spock</v>
      </c>
      <c r="G149" s="5">
        <f>VLOOKUP($A149,tropes!$A$4:$O$2428,7,FALSE)</f>
        <v>1</v>
      </c>
      <c r="H149" s="5">
        <f>VLOOKUP($A149,tropes!$A$4:$O$2428,8,FALSE)</f>
        <v>0</v>
      </c>
      <c r="I149" s="5">
        <f>VLOOKUP($A149,tropes!$A$4:$O$2428,9,FALSE)</f>
        <v>217</v>
      </c>
      <c r="J149" s="5">
        <f>VLOOKUP($A149,tropes!$A$4:$O$2428,10,FALSE)</f>
        <v>47</v>
      </c>
      <c r="K149" s="5" t="str">
        <f>VLOOKUP($A149,tropes!$A$4:$O$2428,11,FALSE)</f>
        <v>A Piece of the Action</v>
      </c>
      <c r="L149" s="5">
        <f>VLOOKUP($A149,tropes!$A$4:$O$2428,12,FALSE)</f>
        <v>2</v>
      </c>
      <c r="M149" s="5">
        <f>VLOOKUP($A149,tropes!$A$4:$O$2428,13,FALSE)</f>
        <v>17</v>
      </c>
      <c r="N149" s="5">
        <f t="shared" si="2"/>
        <v>0</v>
      </c>
    </row>
    <row r="150" spans="1:14" x14ac:dyDescent="0.3">
      <c r="A150" s="14">
        <v>2300</v>
      </c>
      <c r="B150" s="5" t="str">
        <f>VLOOKUP($A150,tropes!$A$4:$O$2428,2,FALSE)</f>
        <v>Interesting</v>
      </c>
      <c r="C150" s="5" t="str">
        <f>VLOOKUP($A150,tropes!$A$4:$O$2428,3,FALSE)</f>
        <v>catchphrase</v>
      </c>
      <c r="D150" s="5" t="str">
        <f>VLOOKUP($A150,tropes!$A$4:$O$2428,4,FALSE)</f>
        <v>interesting</v>
      </c>
      <c r="E150" s="5" t="str">
        <f>VLOOKUP($A150,tropes!$A$4:$O$2428,5,FALSE)</f>
        <v>McCoy: They must have interfered with the normal evolution of the planet. | Spock: It will be interesting to see the results of the contamination. | Kirk: We don't know there is contamination. The evidence is only circumstantial.</v>
      </c>
      <c r="F150" s="5" t="str">
        <f>VLOOKUP($A150,tropes!$A$4:$O$2428,6,FALSE)</f>
        <v>spock</v>
      </c>
      <c r="G150" s="5">
        <f>VLOOKUP($A150,tropes!$A$4:$O$2428,7,FALSE)</f>
        <v>1</v>
      </c>
      <c r="H150" s="5">
        <f>VLOOKUP($A150,tropes!$A$4:$O$2428,8,FALSE)</f>
        <v>0</v>
      </c>
      <c r="I150" s="5">
        <f>VLOOKUP($A150,tropes!$A$4:$O$2428,9,FALSE)</f>
        <v>217</v>
      </c>
      <c r="J150" s="5">
        <f>VLOOKUP($A150,tropes!$A$4:$O$2428,10,FALSE)</f>
        <v>47</v>
      </c>
      <c r="K150" s="5" t="str">
        <f>VLOOKUP($A150,tropes!$A$4:$O$2428,11,FALSE)</f>
        <v>A Piece of the Action</v>
      </c>
      <c r="L150" s="5">
        <f>VLOOKUP($A150,tropes!$A$4:$O$2428,12,FALSE)</f>
        <v>2</v>
      </c>
      <c r="M150" s="5">
        <f>VLOOKUP($A150,tropes!$A$4:$O$2428,13,FALSE)</f>
        <v>17</v>
      </c>
      <c r="N150" s="5">
        <f t="shared" si="2"/>
        <v>1</v>
      </c>
    </row>
    <row r="151" spans="1:14" x14ac:dyDescent="0.3">
      <c r="A151" s="14">
        <v>2301</v>
      </c>
      <c r="B151" s="5" t="str">
        <f>VLOOKUP($A151,tropes!$A$4:$O$2428,2,FALSE)</f>
        <v>Interesting</v>
      </c>
      <c r="C151" s="5" t="str">
        <f>VLOOKUP($A151,tropes!$A$4:$O$2428,3,FALSE)</f>
        <v>catchphrase</v>
      </c>
      <c r="D151" s="5" t="str">
        <f>VLOOKUP($A151,tropes!$A$4:$O$2428,4,FALSE)</f>
        <v>interesting</v>
      </c>
      <c r="E151" s="5" t="str">
        <f>VLOOKUP($A151,tropes!$A$4:$O$2428,5,FALSE)</f>
        <v>Spock: Interesting, Captain. Passers-by are carrying, I believe, firearms. (They are approached by two men in neat suits with machine guns.)</v>
      </c>
      <c r="F151" s="5" t="str">
        <f>VLOOKUP($A151,tropes!$A$4:$O$2428,6,FALSE)</f>
        <v>spock</v>
      </c>
      <c r="G151" s="5">
        <f>VLOOKUP($A151,tropes!$A$4:$O$2428,7,FALSE)</f>
        <v>1</v>
      </c>
      <c r="H151" s="5">
        <f>VLOOKUP($A151,tropes!$A$4:$O$2428,8,FALSE)</f>
        <v>0</v>
      </c>
      <c r="I151" s="5">
        <f>VLOOKUP($A151,tropes!$A$4:$O$2428,9,FALSE)</f>
        <v>217</v>
      </c>
      <c r="J151" s="5">
        <f>VLOOKUP($A151,tropes!$A$4:$O$2428,10,FALSE)</f>
        <v>47</v>
      </c>
      <c r="K151" s="5" t="str">
        <f>VLOOKUP($A151,tropes!$A$4:$O$2428,11,FALSE)</f>
        <v>A Piece of the Action</v>
      </c>
      <c r="L151" s="5">
        <f>VLOOKUP($A151,tropes!$A$4:$O$2428,12,FALSE)</f>
        <v>2</v>
      </c>
      <c r="M151" s="5">
        <f>VLOOKUP($A151,tropes!$A$4:$O$2428,13,FALSE)</f>
        <v>17</v>
      </c>
      <c r="N151" s="5">
        <f t="shared" si="2"/>
        <v>2</v>
      </c>
    </row>
    <row r="152" spans="1:14" x14ac:dyDescent="0.3">
      <c r="A152" s="14">
        <v>2302</v>
      </c>
      <c r="B152" s="5" t="str">
        <f>VLOOKUP($A152,tropes!$A$4:$O$2428,2,FALSE)</f>
        <v>Interesting</v>
      </c>
      <c r="C152" s="5" t="str">
        <f>VLOOKUP($A152,tropes!$A$4:$O$2428,3,FALSE)</f>
        <v>catchphrase</v>
      </c>
      <c r="D152" s="5" t="str">
        <f>VLOOKUP($A152,tropes!$A$4:$O$2428,4,FALSE)</f>
        <v>interesting</v>
      </c>
      <c r="E152" s="5" t="str">
        <f>VLOOKUP($A152,tropes!$A$4:$O$2428,5,FALSE)</f>
        <v>UHURA: Captain. There was a message from Starbase Six. Heavy interference. All I get is Intrepid and what sounded like a sector co-ordinate. | Spock: Interesting. No indications of magnetic storms in this sector.</v>
      </c>
      <c r="F152" s="5" t="str">
        <f>VLOOKUP($A152,tropes!$A$4:$O$2428,6,FALSE)</f>
        <v>spock</v>
      </c>
      <c r="G152" s="5">
        <f>VLOOKUP($A152,tropes!$A$4:$O$2428,7,FALSE)</f>
        <v>1</v>
      </c>
      <c r="H152" s="5">
        <f>VLOOKUP($A152,tropes!$A$4:$O$2428,8,FALSE)</f>
        <v>0</v>
      </c>
      <c r="I152" s="5">
        <f>VLOOKUP($A152,tropes!$A$4:$O$2428,9,FALSE)</f>
        <v>218</v>
      </c>
      <c r="J152" s="5">
        <f>VLOOKUP($A152,tropes!$A$4:$O$2428,10,FALSE)</f>
        <v>48</v>
      </c>
      <c r="K152" s="5" t="str">
        <f>VLOOKUP($A152,tropes!$A$4:$O$2428,11,FALSE)</f>
        <v>The Immunity Syndrome</v>
      </c>
      <c r="L152" s="5">
        <f>VLOOKUP($A152,tropes!$A$4:$O$2428,12,FALSE)</f>
        <v>2</v>
      </c>
      <c r="M152" s="5">
        <f>VLOOKUP($A152,tropes!$A$4:$O$2428,13,FALSE)</f>
        <v>18</v>
      </c>
      <c r="N152" s="5">
        <f t="shared" si="2"/>
        <v>0</v>
      </c>
    </row>
    <row r="153" spans="1:14" x14ac:dyDescent="0.3">
      <c r="A153" s="14">
        <v>2303</v>
      </c>
      <c r="B153" s="5" t="str">
        <f>VLOOKUP($A153,tropes!$A$4:$O$2428,2,FALSE)</f>
        <v>Interesting</v>
      </c>
      <c r="C153" s="5" t="str">
        <f>VLOOKUP($A153,tropes!$A$4:$O$2428,3,FALSE)</f>
        <v>catchphrase</v>
      </c>
      <c r="D153" s="5" t="str">
        <f>VLOOKUP($A153,tropes!$A$4:$O$2428,4,FALSE)</f>
        <v>interesting</v>
      </c>
      <c r="E153" s="5" t="str">
        <f>VLOOKUP($A153,tropes!$A$4:$O$2428,5,FALSE)</f>
        <v>Kirk: Maybe they had help. Maximum orbit. Take us out of range of their detection range. | Spock: Most interesting. We were attacked by a thermonuclear missile from a planet which should have no such weapon.</v>
      </c>
      <c r="F153" s="5" t="str">
        <f>VLOOKUP($A153,tropes!$A$4:$O$2428,6,FALSE)</f>
        <v>spock</v>
      </c>
      <c r="G153" s="5">
        <f>VLOOKUP($A153,tropes!$A$4:$O$2428,7,FALSE)</f>
        <v>1</v>
      </c>
      <c r="H153" s="5">
        <f>VLOOKUP($A153,tropes!$A$4:$O$2428,8,FALSE)</f>
        <v>0</v>
      </c>
      <c r="I153" s="5">
        <f>VLOOKUP($A153,tropes!$A$4:$O$2428,9,FALSE)</f>
        <v>221</v>
      </c>
      <c r="J153" s="5">
        <f>VLOOKUP($A153,tropes!$A$4:$O$2428,10,FALSE)</f>
        <v>51</v>
      </c>
      <c r="K153" s="5" t="str">
        <f>VLOOKUP($A153,tropes!$A$4:$O$2428,11,FALSE)</f>
        <v>Patterns of Force</v>
      </c>
      <c r="L153" s="5">
        <f>VLOOKUP($A153,tropes!$A$4:$O$2428,12,FALSE)</f>
        <v>2</v>
      </c>
      <c r="M153" s="5">
        <f>VLOOKUP($A153,tropes!$A$4:$O$2428,13,FALSE)</f>
        <v>21</v>
      </c>
      <c r="N153" s="5">
        <f t="shared" si="2"/>
        <v>0</v>
      </c>
    </row>
    <row r="154" spans="1:14" x14ac:dyDescent="0.3">
      <c r="A154" s="14">
        <v>2304</v>
      </c>
      <c r="B154" s="5" t="str">
        <f>VLOOKUP($A154,tropes!$A$4:$O$2428,2,FALSE)</f>
        <v>Interesting</v>
      </c>
      <c r="C154" s="5" t="str">
        <f>VLOOKUP($A154,tropes!$A$4:$O$2428,3,FALSE)</f>
        <v>catchphrase</v>
      </c>
      <c r="D154" s="5" t="str">
        <f>VLOOKUP($A154,tropes!$A$4:$O$2428,4,FALSE)</f>
        <v>interesting</v>
      </c>
      <c r="E154" s="5" t="str">
        <f>VLOOKUP($A154,tropes!$A$4:$O$2428,5,FALSE)</f>
        <v>Spock: The Ekosians are humanoid, so there is apt to be a similarity in architecture. Interesting.</v>
      </c>
      <c r="F154" s="5" t="str">
        <f>VLOOKUP($A154,tropes!$A$4:$O$2428,6,FALSE)</f>
        <v>spock</v>
      </c>
      <c r="G154" s="5">
        <f>VLOOKUP($A154,tropes!$A$4:$O$2428,7,FALSE)</f>
        <v>1</v>
      </c>
      <c r="H154" s="5">
        <f>VLOOKUP($A154,tropes!$A$4:$O$2428,8,FALSE)</f>
        <v>0</v>
      </c>
      <c r="I154" s="5">
        <f>VLOOKUP($A154,tropes!$A$4:$O$2428,9,FALSE)</f>
        <v>221</v>
      </c>
      <c r="J154" s="5">
        <f>VLOOKUP($A154,tropes!$A$4:$O$2428,10,FALSE)</f>
        <v>51</v>
      </c>
      <c r="K154" s="5" t="str">
        <f>VLOOKUP($A154,tropes!$A$4:$O$2428,11,FALSE)</f>
        <v>Patterns of Force</v>
      </c>
      <c r="L154" s="5">
        <f>VLOOKUP($A154,tropes!$A$4:$O$2428,12,FALSE)</f>
        <v>2</v>
      </c>
      <c r="M154" s="5">
        <f>VLOOKUP($A154,tropes!$A$4:$O$2428,13,FALSE)</f>
        <v>21</v>
      </c>
      <c r="N154" s="5">
        <f t="shared" si="2"/>
        <v>1</v>
      </c>
    </row>
    <row r="155" spans="1:14" x14ac:dyDescent="0.3">
      <c r="A155" s="14">
        <v>2305</v>
      </c>
      <c r="B155" s="5" t="str">
        <f>VLOOKUP($A155,tropes!$A$4:$O$2428,2,FALSE)</f>
        <v>Interesting</v>
      </c>
      <c r="C155" s="5" t="str">
        <f>VLOOKUP($A155,tropes!$A$4:$O$2428,3,FALSE)</f>
        <v>catchphrase</v>
      </c>
      <c r="D155" s="5" t="str">
        <f>VLOOKUP($A155,tropes!$A$4:$O$2428,4,FALSE)</f>
        <v>interesting</v>
      </c>
      <c r="E155" s="5" t="str">
        <f>VLOOKUP($A155,tropes!$A$4:$O$2428,5,FALSE)</f>
        <v xml:space="preserve">(Spock and Rojan are playing 3D chess.) Spock: Yes. Humans are very peculiar. I often find them unfathomable, but an interesting psychological study.  </v>
      </c>
      <c r="F155" s="5" t="str">
        <f>VLOOKUP($A155,tropes!$A$4:$O$2428,6,FALSE)</f>
        <v>spock</v>
      </c>
      <c r="G155" s="5">
        <f>VLOOKUP($A155,tropes!$A$4:$O$2428,7,FALSE)</f>
        <v>1</v>
      </c>
      <c r="H155" s="5">
        <f>VLOOKUP($A155,tropes!$A$4:$O$2428,8,FALSE)</f>
        <v>0</v>
      </c>
      <c r="I155" s="5">
        <f>VLOOKUP($A155,tropes!$A$4:$O$2428,9,FALSE)</f>
        <v>222</v>
      </c>
      <c r="J155" s="5">
        <f>VLOOKUP($A155,tropes!$A$4:$O$2428,10,FALSE)</f>
        <v>52</v>
      </c>
      <c r="K155" s="5" t="str">
        <f>VLOOKUP($A155,tropes!$A$4:$O$2428,11,FALSE)</f>
        <v>By Any Other Name</v>
      </c>
      <c r="L155" s="5">
        <f>VLOOKUP($A155,tropes!$A$4:$O$2428,12,FALSE)</f>
        <v>2</v>
      </c>
      <c r="M155" s="5">
        <f>VLOOKUP($A155,tropes!$A$4:$O$2428,13,FALSE)</f>
        <v>22</v>
      </c>
      <c r="N155" s="5">
        <f t="shared" si="2"/>
        <v>0</v>
      </c>
    </row>
    <row r="156" spans="1:14" x14ac:dyDescent="0.3">
      <c r="A156" s="14">
        <v>2306</v>
      </c>
      <c r="B156" s="5" t="str">
        <f>VLOOKUP($A156,tropes!$A$4:$O$2428,2,FALSE)</f>
        <v>Interesting</v>
      </c>
      <c r="C156" s="5" t="str">
        <f>VLOOKUP($A156,tropes!$A$4:$O$2428,3,FALSE)</f>
        <v>catchphrase</v>
      </c>
      <c r="D156" s="5" t="str">
        <f>VLOOKUP($A156,tropes!$A$4:$O$2428,4,FALSE)</f>
        <v>interesting</v>
      </c>
      <c r="E156" s="5" t="str">
        <f>VLOOKUP($A156,tropes!$A$4:$O$2428,5,FALSE)</f>
        <v>Spock: Interesting. A neural field?</v>
      </c>
      <c r="F156" s="5" t="str">
        <f>VLOOKUP($A156,tropes!$A$4:$O$2428,6,FALSE)</f>
        <v>spock</v>
      </c>
      <c r="G156" s="5">
        <f>VLOOKUP($A156,tropes!$A$4:$O$2428,7,FALSE)</f>
        <v>1</v>
      </c>
      <c r="H156" s="5">
        <f>VLOOKUP($A156,tropes!$A$4:$O$2428,8,FALSE)</f>
        <v>0</v>
      </c>
      <c r="I156" s="5">
        <f>VLOOKUP($A156,tropes!$A$4:$O$2428,9,FALSE)</f>
        <v>222</v>
      </c>
      <c r="J156" s="5">
        <f>VLOOKUP($A156,tropes!$A$4:$O$2428,10,FALSE)</f>
        <v>52</v>
      </c>
      <c r="K156" s="5" t="str">
        <f>VLOOKUP($A156,tropes!$A$4:$O$2428,11,FALSE)</f>
        <v>By Any Other Name</v>
      </c>
      <c r="L156" s="5">
        <f>VLOOKUP($A156,tropes!$A$4:$O$2428,12,FALSE)</f>
        <v>2</v>
      </c>
      <c r="M156" s="5">
        <f>VLOOKUP($A156,tropes!$A$4:$O$2428,13,FALSE)</f>
        <v>22</v>
      </c>
      <c r="N156" s="5">
        <f t="shared" si="2"/>
        <v>1</v>
      </c>
    </row>
    <row r="157" spans="1:14" x14ac:dyDescent="0.3">
      <c r="A157" s="14">
        <v>2307</v>
      </c>
      <c r="B157" s="5" t="str">
        <f>VLOOKUP($A157,tropes!$A$4:$O$2428,2,FALSE)</f>
        <v>Interesting</v>
      </c>
      <c r="C157" s="5" t="str">
        <f>VLOOKUP($A157,tropes!$A$4:$O$2428,3,FALSE)</f>
        <v>catchphrase</v>
      </c>
      <c r="D157" s="5" t="str">
        <f>VLOOKUP($A157,tropes!$A$4:$O$2428,4,FALSE)</f>
        <v>interesting</v>
      </c>
      <c r="E157" s="5" t="str">
        <f>VLOOKUP($A157,tropes!$A$4:$O$2428,5,FALSE)</f>
        <v>Spock: Interesting that the villagers know about phasers.</v>
      </c>
      <c r="F157" s="5" t="str">
        <f>VLOOKUP($A157,tropes!$A$4:$O$2428,6,FALSE)</f>
        <v>spock</v>
      </c>
      <c r="G157" s="5">
        <f>VLOOKUP($A157,tropes!$A$4:$O$2428,7,FALSE)</f>
        <v>1</v>
      </c>
      <c r="H157" s="5">
        <f>VLOOKUP($A157,tropes!$A$4:$O$2428,8,FALSE)</f>
        <v>0</v>
      </c>
      <c r="I157" s="5">
        <f>VLOOKUP($A157,tropes!$A$4:$O$2428,9,FALSE)</f>
        <v>223</v>
      </c>
      <c r="J157" s="5">
        <f>VLOOKUP($A157,tropes!$A$4:$O$2428,10,FALSE)</f>
        <v>53</v>
      </c>
      <c r="K157" s="5" t="str">
        <f>VLOOKUP($A157,tropes!$A$4:$O$2428,11,FALSE)</f>
        <v>The Omega Glory</v>
      </c>
      <c r="L157" s="5">
        <f>VLOOKUP($A157,tropes!$A$4:$O$2428,12,FALSE)</f>
        <v>2</v>
      </c>
      <c r="M157" s="5">
        <f>VLOOKUP($A157,tropes!$A$4:$O$2428,13,FALSE)</f>
        <v>23</v>
      </c>
      <c r="N157" s="5">
        <f t="shared" si="2"/>
        <v>0</v>
      </c>
    </row>
    <row r="158" spans="1:14" x14ac:dyDescent="0.3">
      <c r="A158" s="14">
        <v>2308</v>
      </c>
      <c r="B158" s="5" t="str">
        <f>VLOOKUP($A158,tropes!$A$4:$O$2428,2,FALSE)</f>
        <v>Interesting</v>
      </c>
      <c r="C158" s="5" t="str">
        <f>VLOOKUP($A158,tropes!$A$4:$O$2428,3,FALSE)</f>
        <v>catchphrase</v>
      </c>
      <c r="D158" s="5" t="str">
        <f>VLOOKUP($A158,tropes!$A$4:$O$2428,4,FALSE)</f>
        <v>interesting</v>
      </c>
      <c r="E158" s="5" t="str">
        <f>VLOOKUP($A158,tropes!$A$4:$O$2428,5,FALSE)</f>
        <v>McCoy: I was just trying to make conversation, Spock. | Spock: It would be most interesting to impress your memory engrams on a computer, Doctor. The resulting torrential flood of illogic would be most entertaining.</v>
      </c>
      <c r="F158" s="5" t="str">
        <f>VLOOKUP($A158,tropes!$A$4:$O$2428,6,FALSE)</f>
        <v>spock</v>
      </c>
      <c r="G158" s="5">
        <f>VLOOKUP($A158,tropes!$A$4:$O$2428,7,FALSE)</f>
        <v>1</v>
      </c>
      <c r="H158" s="5">
        <f>VLOOKUP($A158,tropes!$A$4:$O$2428,8,FALSE)</f>
        <v>0</v>
      </c>
      <c r="I158" s="5">
        <f>VLOOKUP($A158,tropes!$A$4:$O$2428,9,FALSE)</f>
        <v>224</v>
      </c>
      <c r="J158" s="5">
        <f>VLOOKUP($A158,tropes!$A$4:$O$2428,10,FALSE)</f>
        <v>54</v>
      </c>
      <c r="K158" s="5" t="str">
        <f>VLOOKUP($A158,tropes!$A$4:$O$2428,11,FALSE)</f>
        <v>The Ultimate Computer</v>
      </c>
      <c r="L158" s="5">
        <f>VLOOKUP($A158,tropes!$A$4:$O$2428,12,FALSE)</f>
        <v>2</v>
      </c>
      <c r="M158" s="5">
        <f>VLOOKUP($A158,tropes!$A$4:$O$2428,13,FALSE)</f>
        <v>24</v>
      </c>
      <c r="N158" s="5">
        <f t="shared" si="2"/>
        <v>0</v>
      </c>
    </row>
    <row r="159" spans="1:14" x14ac:dyDescent="0.3">
      <c r="A159" s="14">
        <v>2309</v>
      </c>
      <c r="B159" s="5" t="str">
        <f>VLOOKUP($A159,tropes!$A$4:$O$2428,2,FALSE)</f>
        <v>Interesting</v>
      </c>
      <c r="C159" s="5" t="str">
        <f>VLOOKUP($A159,tropes!$A$4:$O$2428,3,FALSE)</f>
        <v>catchphrase</v>
      </c>
      <c r="D159" s="5" t="str">
        <f>VLOOKUP($A159,tropes!$A$4:$O$2428,4,FALSE)</f>
        <v>interesting</v>
      </c>
      <c r="E159" s="5" t="str">
        <f>VLOOKUP($A159,tropes!$A$4:$O$2428,5,FALSE)</f>
        <v>McCoy: Please, Spock, do me a favor and don't say it's fascinating. | Spock: No. But it is interesting. (McCoy rolls his eyes.)</v>
      </c>
      <c r="F159" s="5" t="str">
        <f>VLOOKUP($A159,tropes!$A$4:$O$2428,6,FALSE)</f>
        <v>spock</v>
      </c>
      <c r="G159" s="5">
        <f>VLOOKUP($A159,tropes!$A$4:$O$2428,7,FALSE)</f>
        <v>1</v>
      </c>
      <c r="H159" s="5">
        <f>VLOOKUP($A159,tropes!$A$4:$O$2428,8,FALSE)</f>
        <v>0</v>
      </c>
      <c r="I159" s="5">
        <f>VLOOKUP($A159,tropes!$A$4:$O$2428,9,FALSE)</f>
        <v>224</v>
      </c>
      <c r="J159" s="5">
        <f>VLOOKUP($A159,tropes!$A$4:$O$2428,10,FALSE)</f>
        <v>54</v>
      </c>
      <c r="K159" s="5" t="str">
        <f>VLOOKUP($A159,tropes!$A$4:$O$2428,11,FALSE)</f>
        <v>The Ultimate Computer</v>
      </c>
      <c r="L159" s="5">
        <f>VLOOKUP($A159,tropes!$A$4:$O$2428,12,FALSE)</f>
        <v>2</v>
      </c>
      <c r="M159" s="5">
        <f>VLOOKUP($A159,tropes!$A$4:$O$2428,13,FALSE)</f>
        <v>24</v>
      </c>
      <c r="N159" s="5">
        <f t="shared" si="2"/>
        <v>1</v>
      </c>
    </row>
    <row r="160" spans="1:14" x14ac:dyDescent="0.3">
      <c r="A160" s="14">
        <v>2310</v>
      </c>
      <c r="B160" s="5" t="str">
        <f>VLOOKUP($A160,tropes!$A$4:$O$2428,2,FALSE)</f>
        <v>Interesting</v>
      </c>
      <c r="C160" s="5" t="str">
        <f>VLOOKUP($A160,tropes!$A$4:$O$2428,3,FALSE)</f>
        <v>catchphrase</v>
      </c>
      <c r="D160" s="5" t="str">
        <f>VLOOKUP($A160,tropes!$A$4:$O$2428,4,FALSE)</f>
        <v>interesting</v>
      </c>
      <c r="E160" s="5" t="str">
        <f>VLOOKUP($A160,tropes!$A$4:$O$2428,5,FALSE)</f>
        <v>MERIK: There's been no war here for over four hundred years, Jim. Could, let's say, your land of that same era make that same boast? I think you can see why they don't want to have their stability contaminated by dangerous ideas of other ways and other places. | Spock: Interesting, and given a conservative empire, quite understandable.</v>
      </c>
      <c r="F160" s="5" t="str">
        <f>VLOOKUP($A160,tropes!$A$4:$O$2428,6,FALSE)</f>
        <v>spock</v>
      </c>
      <c r="G160" s="5">
        <f>VLOOKUP($A160,tropes!$A$4:$O$2428,7,FALSE)</f>
        <v>1</v>
      </c>
      <c r="H160" s="5">
        <f>VLOOKUP($A160,tropes!$A$4:$O$2428,8,FALSE)</f>
        <v>0</v>
      </c>
      <c r="I160" s="5">
        <f>VLOOKUP($A160,tropes!$A$4:$O$2428,9,FALSE)</f>
        <v>225</v>
      </c>
      <c r="J160" s="5">
        <f>VLOOKUP($A160,tropes!$A$4:$O$2428,10,FALSE)</f>
        <v>55</v>
      </c>
      <c r="K160" s="5" t="str">
        <f>VLOOKUP($A160,tropes!$A$4:$O$2428,11,FALSE)</f>
        <v>Bread and Circuses</v>
      </c>
      <c r="L160" s="5">
        <f>VLOOKUP($A160,tropes!$A$4:$O$2428,12,FALSE)</f>
        <v>2</v>
      </c>
      <c r="M160" s="5">
        <f>VLOOKUP($A160,tropes!$A$4:$O$2428,13,FALSE)</f>
        <v>25</v>
      </c>
      <c r="N160" s="5">
        <f t="shared" si="2"/>
        <v>0</v>
      </c>
    </row>
    <row r="161" spans="1:14" x14ac:dyDescent="0.3">
      <c r="A161" s="14">
        <v>2311</v>
      </c>
      <c r="B161" s="5" t="str">
        <f>VLOOKUP($A161,tropes!$A$4:$O$2428,2,FALSE)</f>
        <v>Interesting</v>
      </c>
      <c r="C161" s="5" t="str">
        <f>VLOOKUP($A161,tropes!$A$4:$O$2428,3,FALSE)</f>
        <v>catchphrase</v>
      </c>
      <c r="D161" s="5" t="str">
        <f>VLOOKUP($A161,tropes!$A$4:$O$2428,4,FALSE)</f>
        <v>interesting</v>
      </c>
      <c r="E161" s="5" t="str">
        <f>VLOOKUP($A161,tropes!$A$4:$O$2428,5,FALSE)</f>
        <v>Spock: (brings over a magazine) Captain, I thought you might find this interesting.</v>
      </c>
      <c r="F161" s="5" t="str">
        <f>VLOOKUP($A161,tropes!$A$4:$O$2428,6,FALSE)</f>
        <v>spock</v>
      </c>
      <c r="G161" s="5">
        <f>VLOOKUP($A161,tropes!$A$4:$O$2428,7,FALSE)</f>
        <v>1</v>
      </c>
      <c r="H161" s="5">
        <f>VLOOKUP($A161,tropes!$A$4:$O$2428,8,FALSE)</f>
        <v>0</v>
      </c>
      <c r="I161" s="5">
        <f>VLOOKUP($A161,tropes!$A$4:$O$2428,9,FALSE)</f>
        <v>225</v>
      </c>
      <c r="J161" s="5">
        <f>VLOOKUP($A161,tropes!$A$4:$O$2428,10,FALSE)</f>
        <v>55</v>
      </c>
      <c r="K161" s="5" t="str">
        <f>VLOOKUP($A161,tropes!$A$4:$O$2428,11,FALSE)</f>
        <v>Bread and Circuses</v>
      </c>
      <c r="L161" s="5">
        <f>VLOOKUP($A161,tropes!$A$4:$O$2428,12,FALSE)</f>
        <v>2</v>
      </c>
      <c r="M161" s="5">
        <f>VLOOKUP($A161,tropes!$A$4:$O$2428,13,FALSE)</f>
        <v>25</v>
      </c>
      <c r="N161" s="5">
        <f t="shared" si="2"/>
        <v>1</v>
      </c>
    </row>
    <row r="162" spans="1:14" x14ac:dyDescent="0.3">
      <c r="A162" s="14">
        <v>2312</v>
      </c>
      <c r="B162" s="5" t="str">
        <f>VLOOKUP($A162,tropes!$A$4:$O$2428,2,FALSE)</f>
        <v>Interesting</v>
      </c>
      <c r="C162" s="5" t="str">
        <f>VLOOKUP($A162,tropes!$A$4:$O$2428,3,FALSE)</f>
        <v>catchphrase</v>
      </c>
      <c r="D162" s="5" t="str">
        <f>VLOOKUP($A162,tropes!$A$4:$O$2428,4,FALSE)</f>
        <v>interesting</v>
      </c>
      <c r="E162" s="5" t="str">
        <f>VLOOKUP($A162,tropes!$A$4:$O$2428,5,FALSE)</f>
        <v>Spock: Captain, we could say that Mister Seven and Miss Lincoln have some interesting experiences in store for them.</v>
      </c>
      <c r="F162" s="5" t="str">
        <f>VLOOKUP($A162,tropes!$A$4:$O$2428,6,FALSE)</f>
        <v>spock</v>
      </c>
      <c r="G162" s="5">
        <f>VLOOKUP($A162,tropes!$A$4:$O$2428,7,FALSE)</f>
        <v>1</v>
      </c>
      <c r="H162" s="5">
        <f>VLOOKUP($A162,tropes!$A$4:$O$2428,8,FALSE)</f>
        <v>0</v>
      </c>
      <c r="I162" s="5">
        <f>VLOOKUP($A162,tropes!$A$4:$O$2428,9,FALSE)</f>
        <v>226</v>
      </c>
      <c r="J162" s="5">
        <f>VLOOKUP($A162,tropes!$A$4:$O$2428,10,FALSE)</f>
        <v>56</v>
      </c>
      <c r="K162" s="5" t="str">
        <f>VLOOKUP($A162,tropes!$A$4:$O$2428,11,FALSE)</f>
        <v>Assignment: Earth</v>
      </c>
      <c r="L162" s="5">
        <f>VLOOKUP($A162,tropes!$A$4:$O$2428,12,FALSE)</f>
        <v>2</v>
      </c>
      <c r="M162" s="5">
        <f>VLOOKUP($A162,tropes!$A$4:$O$2428,13,FALSE)</f>
        <v>26</v>
      </c>
      <c r="N162" s="5">
        <f t="shared" si="2"/>
        <v>0</v>
      </c>
    </row>
    <row r="163" spans="1:14" x14ac:dyDescent="0.3">
      <c r="A163" s="14">
        <v>2313</v>
      </c>
      <c r="B163" s="5" t="str">
        <f>VLOOKUP($A163,tropes!$A$4:$O$2428,2,FALSE)</f>
        <v>Interesting</v>
      </c>
      <c r="C163" s="5" t="str">
        <f>VLOOKUP($A163,tropes!$A$4:$O$2428,3,FALSE)</f>
        <v>catchphrase</v>
      </c>
      <c r="D163" s="5" t="str">
        <f>VLOOKUP($A163,tropes!$A$4:$O$2428,4,FALSE)</f>
        <v>interesting</v>
      </c>
      <c r="E163" s="5" t="str">
        <f>VLOOKUP($A163,tropes!$A$4:$O$2428,5,FALSE)</f>
        <v>Spock: There is another portion, Captain, which I believe you'll find particularly interesting.</v>
      </c>
      <c r="F163" s="5" t="str">
        <f>VLOOKUP($A163,tropes!$A$4:$O$2428,6,FALSE)</f>
        <v>spock</v>
      </c>
      <c r="G163" s="5">
        <f>VLOOKUP($A163,tropes!$A$4:$O$2428,7,FALSE)</f>
        <v>1</v>
      </c>
      <c r="H163" s="5">
        <f>VLOOKUP($A163,tropes!$A$4:$O$2428,8,FALSE)</f>
        <v>0</v>
      </c>
      <c r="I163" s="5">
        <f>VLOOKUP($A163,tropes!$A$4:$O$2428,9,FALSE)</f>
        <v>304</v>
      </c>
      <c r="J163" s="5">
        <f>VLOOKUP($A163,tropes!$A$4:$O$2428,10,FALSE)</f>
        <v>60</v>
      </c>
      <c r="K163" s="5" t="str">
        <f>VLOOKUP($A163,tropes!$A$4:$O$2428,11,FALSE)</f>
        <v>And the Children Shall Lead</v>
      </c>
      <c r="L163" s="5">
        <f>VLOOKUP($A163,tropes!$A$4:$O$2428,12,FALSE)</f>
        <v>3</v>
      </c>
      <c r="M163" s="5">
        <f>VLOOKUP($A163,tropes!$A$4:$O$2428,13,FALSE)</f>
        <v>4</v>
      </c>
      <c r="N163" s="5">
        <f t="shared" si="2"/>
        <v>0</v>
      </c>
    </row>
    <row r="164" spans="1:14" x14ac:dyDescent="0.3">
      <c r="A164" s="14">
        <v>2314</v>
      </c>
      <c r="B164" s="5" t="str">
        <f>VLOOKUP($A164,tropes!$A$4:$O$2428,2,FALSE)</f>
        <v>Interesting</v>
      </c>
      <c r="C164" s="5" t="str">
        <f>VLOOKUP($A164,tropes!$A$4:$O$2428,3,FALSE)</f>
        <v>catchphrase</v>
      </c>
      <c r="D164" s="5" t="str">
        <f>VLOOKUP($A164,tropes!$A$4:$O$2428,4,FALSE)</f>
        <v>interesting</v>
      </c>
      <c r="E164" s="5" t="str">
        <f>VLOOKUP($A164,tropes!$A$4:$O$2428,5,FALSE)</f>
        <v>Chekov: Course of asteroid, I mean spaceship two four one mark one seven. | Spock: Interesting. | Kirk: Yes?  Spock: The course Ensign Chekov just gave for the asteroid would put it on a collision course with Daran Five.</v>
      </c>
      <c r="F164" s="5" t="str">
        <f>VLOOKUP($A164,tropes!$A$4:$O$2428,6,FALSE)</f>
        <v>spock</v>
      </c>
      <c r="G164" s="5">
        <f>VLOOKUP($A164,tropes!$A$4:$O$2428,7,FALSE)</f>
        <v>1</v>
      </c>
      <c r="H164" s="5">
        <f>VLOOKUP($A164,tropes!$A$4:$O$2428,8,FALSE)</f>
        <v>0</v>
      </c>
      <c r="I164" s="5">
        <f>VLOOKUP($A164,tropes!$A$4:$O$2428,9,FALSE)</f>
        <v>308</v>
      </c>
      <c r="J164" s="5">
        <f>VLOOKUP($A164,tropes!$A$4:$O$2428,10,FALSE)</f>
        <v>64</v>
      </c>
      <c r="K164" s="5" t="str">
        <f>VLOOKUP($A164,tropes!$A$4:$O$2428,11,FALSE)</f>
        <v>For the World Is Hollow and I Have Touched the Sky</v>
      </c>
      <c r="L164" s="5">
        <f>VLOOKUP($A164,tropes!$A$4:$O$2428,12,FALSE)</f>
        <v>3</v>
      </c>
      <c r="M164" s="5">
        <f>VLOOKUP($A164,tropes!$A$4:$O$2428,13,FALSE)</f>
        <v>8</v>
      </c>
      <c r="N164" s="5">
        <f t="shared" si="2"/>
        <v>0</v>
      </c>
    </row>
    <row r="165" spans="1:14" x14ac:dyDescent="0.3">
      <c r="A165" s="14">
        <v>2315</v>
      </c>
      <c r="B165" s="5" t="str">
        <f>VLOOKUP($A165,tropes!$A$4:$O$2428,2,FALSE)</f>
        <v>Interesting</v>
      </c>
      <c r="C165" s="5" t="str">
        <f>VLOOKUP($A165,tropes!$A$4:$O$2428,3,FALSE)</f>
        <v>catchphrase</v>
      </c>
      <c r="D165" s="5" t="str">
        <f>VLOOKUP($A165,tropes!$A$4:$O$2428,4,FALSE)</f>
        <v>interesting</v>
      </c>
      <c r="E165" s="5" t="str">
        <f>VLOOKUP($A165,tropes!$A$4:$O$2428,5,FALSE)</f>
        <v>Marta: No, you mustn't stop me. He's my lover and I have to kill him. (Spock neck-pinches her.) | Spock: She seems to have worked out an infallible method for assuring permanent male fidelity. Interesting.</v>
      </c>
      <c r="F165" s="5" t="str">
        <f>VLOOKUP($A165,tropes!$A$4:$O$2428,6,FALSE)</f>
        <v>spock</v>
      </c>
      <c r="G165" s="5">
        <f>VLOOKUP($A165,tropes!$A$4:$O$2428,7,FALSE)</f>
        <v>1</v>
      </c>
      <c r="H165" s="5">
        <f>VLOOKUP($A165,tropes!$A$4:$O$2428,8,FALSE)</f>
        <v>0</v>
      </c>
      <c r="I165" s="5">
        <f>VLOOKUP($A165,tropes!$A$4:$O$2428,9,FALSE)</f>
        <v>314</v>
      </c>
      <c r="J165" s="5">
        <f>VLOOKUP($A165,tropes!$A$4:$O$2428,10,FALSE)</f>
        <v>70</v>
      </c>
      <c r="K165" s="5" t="str">
        <f>VLOOKUP($A165,tropes!$A$4:$O$2428,11,FALSE)</f>
        <v>Whom Gods Destroy</v>
      </c>
      <c r="L165" s="5">
        <f>VLOOKUP($A165,tropes!$A$4:$O$2428,12,FALSE)</f>
        <v>3</v>
      </c>
      <c r="M165" s="5">
        <f>VLOOKUP($A165,tropes!$A$4:$O$2428,13,FALSE)</f>
        <v>14</v>
      </c>
      <c r="N165" s="5">
        <f t="shared" si="2"/>
        <v>0</v>
      </c>
    </row>
    <row r="166" spans="1:14" x14ac:dyDescent="0.3">
      <c r="A166" s="14">
        <v>2316</v>
      </c>
      <c r="B166" s="5" t="str">
        <f>VLOOKUP($A166,tropes!$A$4:$O$2428,2,FALSE)</f>
        <v>Interesting</v>
      </c>
      <c r="C166" s="5" t="str">
        <f>VLOOKUP($A166,tropes!$A$4:$O$2428,3,FALSE)</f>
        <v>catchphrase</v>
      </c>
      <c r="D166" s="5" t="str">
        <f>VLOOKUP($A166,tropes!$A$4:$O$2428,4,FALSE)</f>
        <v>interesting</v>
      </c>
      <c r="E166" s="5" t="str">
        <f>VLOOKUP($A166,tropes!$A$4:$O$2428,5,FALSE)</f>
        <v>Spock: I find it mildly interesting and somewhat nostalgic, if I understand the use of that word. | Garth: Nostalgic? | Spock: Yes. It is somewhat reminiscent of the dances that Vulcan children do in nursery school. Of course, the children are not so well co-ordinated.</v>
      </c>
      <c r="F166" s="5" t="str">
        <f>VLOOKUP($A166,tropes!$A$4:$O$2428,6,FALSE)</f>
        <v>spock</v>
      </c>
      <c r="G166" s="5">
        <f>VLOOKUP($A166,tropes!$A$4:$O$2428,7,FALSE)</f>
        <v>1</v>
      </c>
      <c r="H166" s="5">
        <f>VLOOKUP($A166,tropes!$A$4:$O$2428,8,FALSE)</f>
        <v>0</v>
      </c>
      <c r="I166" s="5">
        <f>VLOOKUP($A166,tropes!$A$4:$O$2428,9,FALSE)</f>
        <v>314</v>
      </c>
      <c r="J166" s="5">
        <f>VLOOKUP($A166,tropes!$A$4:$O$2428,10,FALSE)</f>
        <v>70</v>
      </c>
      <c r="K166" s="5" t="str">
        <f>VLOOKUP($A166,tropes!$A$4:$O$2428,11,FALSE)</f>
        <v>Whom Gods Destroy</v>
      </c>
      <c r="L166" s="5">
        <f>VLOOKUP($A166,tropes!$A$4:$O$2428,12,FALSE)</f>
        <v>3</v>
      </c>
      <c r="M166" s="5">
        <f>VLOOKUP($A166,tropes!$A$4:$O$2428,13,FALSE)</f>
        <v>14</v>
      </c>
      <c r="N166" s="5">
        <f t="shared" si="2"/>
        <v>1</v>
      </c>
    </row>
    <row r="167" spans="1:14" x14ac:dyDescent="0.3">
      <c r="A167" s="14">
        <v>2317</v>
      </c>
      <c r="B167" s="5" t="str">
        <f>VLOOKUP($A167,tropes!$A$4:$O$2428,2,FALSE)</f>
        <v>Interesting</v>
      </c>
      <c r="C167" s="5" t="str">
        <f>VLOOKUP($A167,tropes!$A$4:$O$2428,3,FALSE)</f>
        <v>catchphrase</v>
      </c>
      <c r="D167" s="5" t="str">
        <f>VLOOKUP($A167,tropes!$A$4:$O$2428,4,FALSE)</f>
        <v>interesting</v>
      </c>
      <c r="E167" s="5" t="str">
        <f>VLOOKUP($A167,tropes!$A$4:$O$2428,5,FALSE)</f>
        <v>Scotty: Well, it's fused, all right, but it would take all the power of our main phaser banks to do it. | Spock: Interesting. Scotty: I find nothing interesting in the fact that we're about to blow up. | Spock: No, but the method is fascinating.</v>
      </c>
      <c r="F167" s="5" t="str">
        <f>VLOOKUP($A167,tropes!$A$4:$O$2428,6,FALSE)</f>
        <v>spock</v>
      </c>
      <c r="G167" s="5">
        <f>VLOOKUP($A167,tropes!$A$4:$O$2428,7,FALSE)</f>
        <v>1</v>
      </c>
      <c r="H167" s="5">
        <f>VLOOKUP($A167,tropes!$A$4:$O$2428,8,FALSE)</f>
        <v>0</v>
      </c>
      <c r="I167" s="5">
        <f>VLOOKUP($A167,tropes!$A$4:$O$2428,9,FALSE)</f>
        <v>317</v>
      </c>
      <c r="J167" s="5">
        <f>VLOOKUP($A167,tropes!$A$4:$O$2428,10,FALSE)</f>
        <v>73</v>
      </c>
      <c r="K167" s="5" t="str">
        <f>VLOOKUP($A167,tropes!$A$4:$O$2428,11,FALSE)</f>
        <v>That Which Survives</v>
      </c>
      <c r="L167" s="5">
        <f>VLOOKUP($A167,tropes!$A$4:$O$2428,12,FALSE)</f>
        <v>3</v>
      </c>
      <c r="M167" s="5">
        <f>VLOOKUP($A167,tropes!$A$4:$O$2428,13,FALSE)</f>
        <v>17</v>
      </c>
      <c r="N167" s="5">
        <f t="shared" si="2"/>
        <v>0</v>
      </c>
    </row>
    <row r="168" spans="1:14" x14ac:dyDescent="0.3">
      <c r="A168" s="14">
        <v>2318</v>
      </c>
      <c r="B168" s="5" t="str">
        <f>VLOOKUP($A168,tropes!$A$4:$O$2428,2,FALSE)</f>
        <v>Interesting</v>
      </c>
      <c r="C168" s="5" t="str">
        <f>VLOOKUP($A168,tropes!$A$4:$O$2428,3,FALSE)</f>
        <v>catchphrase</v>
      </c>
      <c r="D168" s="5" t="str">
        <f>VLOOKUP($A168,tropes!$A$4:$O$2428,4,FALSE)</f>
        <v>interesting</v>
      </c>
      <c r="E168" s="5" t="str">
        <f>VLOOKUP($A168,tropes!$A$4:$O$2428,5,FALSE)</f>
        <v>Spock [on monitor]: Most interesting. Our host appears to wish us to linger, yet he is apprehensive. It is logical to assume that we are being monitored and that he is aware of our every move.</v>
      </c>
      <c r="F168" s="5" t="str">
        <f>VLOOKUP($A168,tropes!$A$4:$O$2428,6,FALSE)</f>
        <v>spock</v>
      </c>
      <c r="G168" s="5">
        <f>VLOOKUP($A168,tropes!$A$4:$O$2428,7,FALSE)</f>
        <v>1</v>
      </c>
      <c r="H168" s="5">
        <f>VLOOKUP($A168,tropes!$A$4:$O$2428,8,FALSE)</f>
        <v>0</v>
      </c>
      <c r="I168" s="5">
        <f>VLOOKUP($A168,tropes!$A$4:$O$2428,9,FALSE)</f>
        <v>319</v>
      </c>
      <c r="J168" s="5">
        <f>VLOOKUP($A168,tropes!$A$4:$O$2428,10,FALSE)</f>
        <v>75</v>
      </c>
      <c r="K168" s="5" t="str">
        <f>VLOOKUP($A168,tropes!$A$4:$O$2428,11,FALSE)</f>
        <v>Requiem for Methuselah</v>
      </c>
      <c r="L168" s="5">
        <f>VLOOKUP($A168,tropes!$A$4:$O$2428,12,FALSE)</f>
        <v>3</v>
      </c>
      <c r="M168" s="5">
        <f>VLOOKUP($A168,tropes!$A$4:$O$2428,13,FALSE)</f>
        <v>19</v>
      </c>
      <c r="N168" s="5">
        <f t="shared" si="2"/>
        <v>0</v>
      </c>
    </row>
    <row r="169" spans="1:14" x14ac:dyDescent="0.3">
      <c r="A169" s="14">
        <v>2319</v>
      </c>
      <c r="B169" s="5" t="str">
        <f>VLOOKUP($A169,tropes!$A$4:$O$2428,2,FALSE)</f>
        <v>Interesting</v>
      </c>
      <c r="C169" s="5" t="str">
        <f>VLOOKUP($A169,tropes!$A$4:$O$2428,3,FALSE)</f>
        <v>catchphrase</v>
      </c>
      <c r="D169" s="5" t="str">
        <f>VLOOKUP($A169,tropes!$A$4:$O$2428,4,FALSE)</f>
        <v>interesting</v>
      </c>
      <c r="E169" s="5" t="str">
        <f>VLOOKUP($A169,tropes!$A$4:$O$2428,5,FALSE)</f>
        <v>Spock: Interesting. Obviously, Mister Flint is not yet ready for us to depart.</v>
      </c>
      <c r="F169" s="5" t="str">
        <f>VLOOKUP($A169,tropes!$A$4:$O$2428,6,FALSE)</f>
        <v>spock</v>
      </c>
      <c r="G169" s="5">
        <f>VLOOKUP($A169,tropes!$A$4:$O$2428,7,FALSE)</f>
        <v>1</v>
      </c>
      <c r="H169" s="5">
        <f>VLOOKUP($A169,tropes!$A$4:$O$2428,8,FALSE)</f>
        <v>0</v>
      </c>
      <c r="I169" s="5">
        <f>VLOOKUP($A169,tropes!$A$4:$O$2428,9,FALSE)</f>
        <v>319</v>
      </c>
      <c r="J169" s="5">
        <f>VLOOKUP($A169,tropes!$A$4:$O$2428,10,FALSE)</f>
        <v>75</v>
      </c>
      <c r="K169" s="5" t="str">
        <f>VLOOKUP($A169,tropes!$A$4:$O$2428,11,FALSE)</f>
        <v>Requiem for Methuselah</v>
      </c>
      <c r="L169" s="5">
        <f>VLOOKUP($A169,tropes!$A$4:$O$2428,12,FALSE)</f>
        <v>3</v>
      </c>
      <c r="M169" s="5">
        <f>VLOOKUP($A169,tropes!$A$4:$O$2428,13,FALSE)</f>
        <v>19</v>
      </c>
      <c r="N169" s="5">
        <f t="shared" si="2"/>
        <v>1</v>
      </c>
    </row>
    <row r="170" spans="1:14" x14ac:dyDescent="0.3">
      <c r="A170" s="14">
        <v>2320</v>
      </c>
      <c r="B170" s="5" t="str">
        <f>VLOOKUP($A170,tropes!$A$4:$O$2428,2,FALSE)</f>
        <v>Interesting</v>
      </c>
      <c r="C170" s="5" t="str">
        <f>VLOOKUP($A170,tropes!$A$4:$O$2428,3,FALSE)</f>
        <v>catchphrase</v>
      </c>
      <c r="D170" s="5" t="str">
        <f>VLOOKUP($A170,tropes!$A$4:$O$2428,4,FALSE)</f>
        <v>interesting</v>
      </c>
      <c r="E170" s="5" t="str">
        <f>VLOOKUP($A170,tropes!$A$4:$O$2428,5,FALSE)</f>
        <v>Spock: Stratos, Captain. A city actually floating in the sky. | Kirk: Looks as tranquil as its reputation, doesn't it. | Spock: It is one of the most interesting metropolises in the galaxy. Have you ever visited here, Captain?</v>
      </c>
      <c r="F170" s="5" t="str">
        <f>VLOOKUP($A170,tropes!$A$4:$O$2428,6,FALSE)</f>
        <v>spock</v>
      </c>
      <c r="G170" s="5">
        <f>VLOOKUP($A170,tropes!$A$4:$O$2428,7,FALSE)</f>
        <v>1</v>
      </c>
      <c r="H170" s="5">
        <f>VLOOKUP($A170,tropes!$A$4:$O$2428,8,FALSE)</f>
        <v>0</v>
      </c>
      <c r="I170" s="5">
        <f>VLOOKUP($A170,tropes!$A$4:$O$2428,9,FALSE)</f>
        <v>321</v>
      </c>
      <c r="J170" s="5">
        <f>VLOOKUP($A170,tropes!$A$4:$O$2428,10,FALSE)</f>
        <v>77</v>
      </c>
      <c r="K170" s="5" t="str">
        <f>VLOOKUP($A170,tropes!$A$4:$O$2428,11,FALSE)</f>
        <v>The Cloud Minders</v>
      </c>
      <c r="L170" s="5">
        <f>VLOOKUP($A170,tropes!$A$4:$O$2428,12,FALSE)</f>
        <v>3</v>
      </c>
      <c r="M170" s="5">
        <f>VLOOKUP($A170,tropes!$A$4:$O$2428,13,FALSE)</f>
        <v>21</v>
      </c>
      <c r="N170" s="5">
        <f t="shared" si="2"/>
        <v>0</v>
      </c>
    </row>
    <row r="171" spans="1:14" x14ac:dyDescent="0.3">
      <c r="A171" s="14">
        <v>2321</v>
      </c>
      <c r="B171" s="5" t="str">
        <f>VLOOKUP($A171,tropes!$A$4:$O$2428,2,FALSE)</f>
        <v>Interesting</v>
      </c>
      <c r="C171" s="5" t="str">
        <f>VLOOKUP($A171,tropes!$A$4:$O$2428,3,FALSE)</f>
        <v>catchphrase</v>
      </c>
      <c r="D171" s="5" t="str">
        <f>VLOOKUP($A171,tropes!$A$4:$O$2428,4,FALSE)</f>
        <v>interesting</v>
      </c>
      <c r="E171" s="5" t="str">
        <f>VLOOKUP($A171,tropes!$A$4:$O$2428,5,FALSE)</f>
        <v>Spock: ???</v>
      </c>
      <c r="F171" s="5" t="str">
        <f>VLOOKUP($A171,tropes!$A$4:$O$2428,6,FALSE)</f>
        <v>spock</v>
      </c>
      <c r="G171" s="5">
        <f>VLOOKUP($A171,tropes!$A$4:$O$2428,7,FALSE)</f>
        <v>1</v>
      </c>
      <c r="H171" s="5">
        <f>VLOOKUP($A171,tropes!$A$4:$O$2428,8,FALSE)</f>
        <v>0</v>
      </c>
      <c r="I171" s="5">
        <f>VLOOKUP($A171,tropes!$A$4:$O$2428,9,FALSE)</f>
        <v>323</v>
      </c>
      <c r="J171" s="5">
        <f>VLOOKUP($A171,tropes!$A$4:$O$2428,10,FALSE)</f>
        <v>79</v>
      </c>
      <c r="K171" s="5" t="str">
        <f>VLOOKUP($A171,tropes!$A$4:$O$2428,11,FALSE)</f>
        <v>All Our Yesterdays</v>
      </c>
      <c r="L171" s="5">
        <f>VLOOKUP($A171,tropes!$A$4:$O$2428,12,FALSE)</f>
        <v>3</v>
      </c>
      <c r="M171" s="5">
        <f>VLOOKUP($A171,tropes!$A$4:$O$2428,13,FALSE)</f>
        <v>23</v>
      </c>
      <c r="N171" s="5">
        <f t="shared" si="2"/>
        <v>0</v>
      </c>
    </row>
  </sheetData>
  <sortState ref="A2:N171">
    <sortCondition ref="I2:I171"/>
    <sortCondition ref="B2:B171"/>
  </sortState>
  <conditionalFormatting sqref="B1:C1">
    <cfRule type="expression" dxfId="31" priority="2">
      <formula>O1&gt;0</formula>
    </cfRule>
  </conditionalFormatting>
  <conditionalFormatting sqref="A2:A171">
    <cfRule type="containsBlanks" dxfId="30" priority="1">
      <formula>LEN(TRIM(A2))=0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CC"/>
  </sheetPr>
  <dimension ref="A1:N96"/>
  <sheetViews>
    <sheetView workbookViewId="0"/>
  </sheetViews>
  <sheetFormatPr defaultRowHeight="12" x14ac:dyDescent="0.3"/>
  <cols>
    <col min="1" max="1" width="6.21875" customWidth="1"/>
    <col min="2" max="2" width="13.77734375" customWidth="1"/>
    <col min="3" max="3" width="7" customWidth="1"/>
    <col min="4" max="4" width="7.5546875" customWidth="1"/>
    <col min="5" max="5" width="100.77734375" customWidth="1"/>
    <col min="6" max="6" width="11.109375" customWidth="1"/>
    <col min="7" max="7" width="6.21875" customWidth="1"/>
    <col min="8" max="8" width="5.77734375" customWidth="1"/>
    <col min="9" max="9" width="6.77734375" customWidth="1"/>
    <col min="10" max="10" width="6.5546875" customWidth="1"/>
    <col min="11" max="11" width="38.6640625" customWidth="1"/>
    <col min="12" max="12" width="1.6640625" customWidth="1"/>
    <col min="13" max="13" width="2.5546875" customWidth="1"/>
    <col min="14" max="14" width="14" customWidth="1"/>
  </cols>
  <sheetData>
    <row r="1" spans="1:14" x14ac:dyDescent="0.3">
      <c r="A1" s="5" t="s">
        <v>160</v>
      </c>
      <c r="B1" s="1" t="s">
        <v>3</v>
      </c>
      <c r="C1" s="1" t="s">
        <v>2601</v>
      </c>
      <c r="D1" s="1" t="s">
        <v>150</v>
      </c>
      <c r="E1" s="1" t="s">
        <v>164</v>
      </c>
      <c r="F1" s="1" t="s">
        <v>183</v>
      </c>
      <c r="G1" s="14" t="s">
        <v>744</v>
      </c>
      <c r="H1" s="14" t="s">
        <v>758</v>
      </c>
      <c r="I1" s="14" t="s">
        <v>161</v>
      </c>
      <c r="J1" s="15" t="s">
        <v>15</v>
      </c>
      <c r="K1" s="16" t="s">
        <v>16</v>
      </c>
      <c r="L1" s="16" t="s">
        <v>157</v>
      </c>
      <c r="M1" s="16" t="s">
        <v>158</v>
      </c>
      <c r="N1" s="14" t="s">
        <v>182</v>
      </c>
    </row>
    <row r="2" spans="1:14" x14ac:dyDescent="0.3">
      <c r="A2" s="14">
        <v>5</v>
      </c>
      <c r="B2" s="5" t="str">
        <f>VLOOKUP($A2,tropes!$A$4:$O$2428,2,FALSE)</f>
        <v>Redshirt</v>
      </c>
      <c r="C2" s="5" t="str">
        <f>VLOOKUP($A2,tropes!$A$4:$O$2428,3,FALSE)</f>
        <v>death</v>
      </c>
      <c r="D2" s="5" t="str">
        <f>VLOOKUP($A2,tropes!$A$4:$O$2428,4,FALSE)</f>
        <v>alien</v>
      </c>
      <c r="E2" s="5" t="str">
        <f>VLOOKUP($A2,tropes!$A$4:$O$2428,5,FALSE)</f>
        <v>Nancy Crater killed by Salt Creature (in the past.) on M-113.</v>
      </c>
      <c r="F2" s="5" t="str">
        <f>VLOOKUP($A2,tropes!$A$4:$O$2428,6,FALSE)</f>
        <v>alien</v>
      </c>
      <c r="G2" s="5">
        <f>VLOOKUP($A2,tropes!$A$4:$O$2428,7,FALSE)</f>
        <v>0</v>
      </c>
      <c r="H2" s="5">
        <f>VLOOKUP($A2,tropes!$A$4:$O$2428,8,FALSE)</f>
        <v>0</v>
      </c>
      <c r="I2" s="5">
        <f>VLOOKUP($A2,tropes!$A$4:$O$2428,9,FALSE)</f>
        <v>101</v>
      </c>
      <c r="J2" s="5">
        <f>VLOOKUP($A2,tropes!$A$4:$O$2428,10,FALSE)</f>
        <v>2</v>
      </c>
      <c r="K2" s="5" t="str">
        <f>VLOOKUP($A2,tropes!$A$4:$O$2428,11,FALSE)</f>
        <v>The Man Trap</v>
      </c>
      <c r="L2" s="5">
        <f>VLOOKUP($A2,tropes!$A$4:$O$2428,12,FALSE)</f>
        <v>1</v>
      </c>
      <c r="M2" s="5">
        <f>VLOOKUP($A2,tropes!$A$4:$O$2428,13,FALSE)</f>
        <v>1</v>
      </c>
      <c r="N2" s="5">
        <v>0</v>
      </c>
    </row>
    <row r="3" spans="1:14" x14ac:dyDescent="0.3">
      <c r="A3" s="14">
        <v>1479</v>
      </c>
      <c r="B3" s="5" t="str">
        <f>VLOOKUP($A3,tropes!$A$4:$O$2428,2,FALSE)</f>
        <v>Redshirt</v>
      </c>
      <c r="C3" s="5" t="str">
        <f>VLOOKUP($A3,tropes!$A$4:$O$2428,3,FALSE)</f>
        <v>death</v>
      </c>
      <c r="D3" s="5" t="str">
        <f>VLOOKUP($A3,tropes!$A$4:$O$2428,4,FALSE)</f>
        <v>alien</v>
      </c>
      <c r="E3" s="5" t="str">
        <f>VLOOKUP($A3,tropes!$A$4:$O$2428,5,FALSE)</f>
        <v>Salt Creature killed by McCoy with phaser on Enterprise.</v>
      </c>
      <c r="F3" s="5" t="str">
        <f>VLOOKUP($A3,tropes!$A$4:$O$2428,6,FALSE)</f>
        <v>mccoy</v>
      </c>
      <c r="G3" s="5">
        <f>VLOOKUP($A3,tropes!$A$4:$O$2428,7,FALSE)</f>
        <v>0</v>
      </c>
      <c r="H3" s="5">
        <f>VLOOKUP($A3,tropes!$A$4:$O$2428,8,FALSE)</f>
        <v>1</v>
      </c>
      <c r="I3" s="5">
        <f>VLOOKUP($A3,tropes!$A$4:$O$2428,9,FALSE)</f>
        <v>101</v>
      </c>
      <c r="J3" s="5">
        <f>VLOOKUP($A3,tropes!$A$4:$O$2428,10,FALSE)</f>
        <v>2</v>
      </c>
      <c r="K3" s="5" t="str">
        <f>VLOOKUP($A3,tropes!$A$4:$O$2428,11,FALSE)</f>
        <v>The Man Trap</v>
      </c>
      <c r="L3" s="5">
        <f>VLOOKUP($A3,tropes!$A$4:$O$2428,12,FALSE)</f>
        <v>1</v>
      </c>
      <c r="M3" s="5">
        <f>VLOOKUP($A3,tropes!$A$4:$O$2428,13,FALSE)</f>
        <v>1</v>
      </c>
      <c r="N3" s="5">
        <f>IF(I3&lt;&gt;I2,0,N2+1)</f>
        <v>1</v>
      </c>
    </row>
    <row r="4" spans="1:14" x14ac:dyDescent="0.3">
      <c r="A4" s="14">
        <v>93</v>
      </c>
      <c r="B4" s="5" t="str">
        <f>VLOOKUP($A4,tropes!$A$4:$O$2428,2,FALSE)</f>
        <v>Redshirt</v>
      </c>
      <c r="C4" s="5" t="str">
        <f>VLOOKUP($A4,tropes!$A$4:$O$2428,3,FALSE)</f>
        <v>death</v>
      </c>
      <c r="D4" s="5" t="str">
        <f>VLOOKUP($A4,tropes!$A$4:$O$2428,4,FALSE)</f>
        <v>blueshirt</v>
      </c>
      <c r="E4" s="5" t="str">
        <f>VLOOKUP($A4,tropes!$A$4:$O$2428,5,FALSE)</f>
        <v>Darnell killed by Salt Creature on M-113.</v>
      </c>
      <c r="F4" s="5" t="str">
        <f>VLOOKUP($A4,tropes!$A$4:$O$2428,6,FALSE)</f>
        <v>blueshirt</v>
      </c>
      <c r="G4" s="5">
        <f>VLOOKUP($A4,tropes!$A$4:$O$2428,7,FALSE)</f>
        <v>0</v>
      </c>
      <c r="H4" s="5">
        <f>VLOOKUP($A4,tropes!$A$4:$O$2428,8,FALSE)</f>
        <v>0</v>
      </c>
      <c r="I4" s="5">
        <f>VLOOKUP($A4,tropes!$A$4:$O$2428,9,FALSE)</f>
        <v>101</v>
      </c>
      <c r="J4" s="5">
        <f>VLOOKUP($A4,tropes!$A$4:$O$2428,10,FALSE)</f>
        <v>2</v>
      </c>
      <c r="K4" s="5" t="str">
        <f>VLOOKUP($A4,tropes!$A$4:$O$2428,11,FALSE)</f>
        <v>The Man Trap</v>
      </c>
      <c r="L4" s="5">
        <f>VLOOKUP($A4,tropes!$A$4:$O$2428,12,FALSE)</f>
        <v>1</v>
      </c>
      <c r="M4" s="5">
        <f>VLOOKUP($A4,tropes!$A$4:$O$2428,13,FALSE)</f>
        <v>1</v>
      </c>
      <c r="N4" s="5">
        <f t="shared" ref="N4:N67" si="0">IF(I4&lt;&gt;I3,0,N3+1)</f>
        <v>2</v>
      </c>
    </row>
    <row r="5" spans="1:14" x14ac:dyDescent="0.3">
      <c r="A5" s="14">
        <v>2425</v>
      </c>
      <c r="B5" s="5" t="str">
        <f>VLOOKUP($A5,tropes!$A$4:$O$2428,2,FALSE)</f>
        <v>Redshirt</v>
      </c>
      <c r="C5" s="5" t="str">
        <f>VLOOKUP($A5,tropes!$A$4:$O$2428,3,FALSE)</f>
        <v>death</v>
      </c>
      <c r="D5" s="5" t="str">
        <f>VLOOKUP($A5,tropes!$A$4:$O$2428,4,FALSE)</f>
        <v>blueshirt</v>
      </c>
      <c r="E5" s="5" t="str">
        <f>VLOOKUP($A5,tropes!$A$4:$O$2428,5,FALSE)</f>
        <v>Lt. Sturgeon Killed by Salt Creature on M-113.</v>
      </c>
      <c r="F5" s="5" t="str">
        <f>VLOOKUP($A5,tropes!$A$4:$O$2428,6,FALSE)</f>
        <v>sturgeon</v>
      </c>
      <c r="G5" s="5">
        <f>VLOOKUP($A5,tropes!$A$4:$O$2428,7,FALSE)</f>
        <v>0</v>
      </c>
      <c r="H5" s="5">
        <f>VLOOKUP($A5,tropes!$A$4:$O$2428,8,FALSE)</f>
        <v>1</v>
      </c>
      <c r="I5" s="5">
        <f>VLOOKUP($A5,tropes!$A$4:$O$2428,9,FALSE)</f>
        <v>101</v>
      </c>
      <c r="J5" s="5">
        <f>VLOOKUP($A5,tropes!$A$4:$O$2428,10,FALSE)</f>
        <v>2</v>
      </c>
      <c r="K5" s="5" t="str">
        <f>VLOOKUP($A5,tropes!$A$4:$O$2428,11,FALSE)</f>
        <v>The Man Trap</v>
      </c>
      <c r="L5" s="5">
        <f>VLOOKUP($A5,tropes!$A$4:$O$2428,12,FALSE)</f>
        <v>1</v>
      </c>
      <c r="M5" s="5">
        <f>VLOOKUP($A5,tropes!$A$4:$O$2428,13,FALSE)</f>
        <v>1</v>
      </c>
      <c r="N5" s="5">
        <f t="shared" si="0"/>
        <v>3</v>
      </c>
    </row>
    <row r="6" spans="1:14" x14ac:dyDescent="0.3">
      <c r="A6" s="14">
        <v>2049</v>
      </c>
      <c r="B6" s="5" t="str">
        <f>VLOOKUP($A6,tropes!$A$4:$O$2428,2,FALSE)</f>
        <v>Redshirt</v>
      </c>
      <c r="C6" s="5" t="str">
        <f>VLOOKUP($A6,tropes!$A$4:$O$2428,3,FALSE)</f>
        <v>death</v>
      </c>
      <c r="D6" s="5" t="str">
        <f>VLOOKUP($A6,tropes!$A$4:$O$2428,4,FALSE)</f>
        <v>blueshirt</v>
      </c>
      <c r="E6" s="5" t="str">
        <f>VLOOKUP($A6,tropes!$A$4:$O$2428,5,FALSE)</f>
        <v>Spock attacked by the Salt Creature in sick bay but it didn't like his green blood and Spock survived.</v>
      </c>
      <c r="F6" s="5" t="str">
        <f>VLOOKUP($A6,tropes!$A$4:$O$2428,6,FALSE)</f>
        <v>spock</v>
      </c>
      <c r="G6" s="5">
        <f>VLOOKUP($A6,tropes!$A$4:$O$2428,7,FALSE)</f>
        <v>1</v>
      </c>
      <c r="H6" s="5">
        <f>VLOOKUP($A6,tropes!$A$4:$O$2428,8,FALSE)</f>
        <v>0</v>
      </c>
      <c r="I6" s="5">
        <f>VLOOKUP($A6,tropes!$A$4:$O$2428,9,FALSE)</f>
        <v>101</v>
      </c>
      <c r="J6" s="5">
        <f>VLOOKUP($A6,tropes!$A$4:$O$2428,10,FALSE)</f>
        <v>2</v>
      </c>
      <c r="K6" s="5" t="str">
        <f>VLOOKUP($A6,tropes!$A$4:$O$2428,11,FALSE)</f>
        <v>The Man Trap</v>
      </c>
      <c r="L6" s="5">
        <f>VLOOKUP($A6,tropes!$A$4:$O$2428,12,FALSE)</f>
        <v>1</v>
      </c>
      <c r="M6" s="5">
        <f>VLOOKUP($A6,tropes!$A$4:$O$2428,13,FALSE)</f>
        <v>1</v>
      </c>
      <c r="N6" s="5">
        <f t="shared" si="0"/>
        <v>4</v>
      </c>
    </row>
    <row r="7" spans="1:14" x14ac:dyDescent="0.3">
      <c r="A7" s="14">
        <v>210</v>
      </c>
      <c r="B7" s="5" t="str">
        <f>VLOOKUP($A7,tropes!$A$4:$O$2428,2,FALSE)</f>
        <v>Redshirt</v>
      </c>
      <c r="C7" s="5" t="str">
        <f>VLOOKUP($A7,tropes!$A$4:$O$2428,3,FALSE)</f>
        <v>death</v>
      </c>
      <c r="D7" s="5" t="str">
        <f>VLOOKUP($A7,tropes!$A$4:$O$2428,4,FALSE)</f>
        <v>goldshirt</v>
      </c>
      <c r="E7" s="5" t="str">
        <f>VLOOKUP($A7,tropes!$A$4:$O$2428,5,FALSE)</f>
        <v>Green killed by Salt Creature on M-113.</v>
      </c>
      <c r="F7" s="5" t="str">
        <f>VLOOKUP($A7,tropes!$A$4:$O$2428,6,FALSE)</f>
        <v>goldshirt</v>
      </c>
      <c r="G7" s="5">
        <f>VLOOKUP($A7,tropes!$A$4:$O$2428,7,FALSE)</f>
        <v>0</v>
      </c>
      <c r="H7" s="5">
        <f>VLOOKUP($A7,tropes!$A$4:$O$2428,8,FALSE)</f>
        <v>0</v>
      </c>
      <c r="I7" s="5">
        <f>VLOOKUP($A7,tropes!$A$4:$O$2428,9,FALSE)</f>
        <v>101</v>
      </c>
      <c r="J7" s="5">
        <f>VLOOKUP($A7,tropes!$A$4:$O$2428,10,FALSE)</f>
        <v>2</v>
      </c>
      <c r="K7" s="5" t="str">
        <f>VLOOKUP($A7,tropes!$A$4:$O$2428,11,FALSE)</f>
        <v>The Man Trap</v>
      </c>
      <c r="L7" s="5">
        <f>VLOOKUP($A7,tropes!$A$4:$O$2428,12,FALSE)</f>
        <v>1</v>
      </c>
      <c r="M7" s="5">
        <f>VLOOKUP($A7,tropes!$A$4:$O$2428,13,FALSE)</f>
        <v>1</v>
      </c>
      <c r="N7" s="5">
        <f t="shared" si="0"/>
        <v>5</v>
      </c>
    </row>
    <row r="8" spans="1:14" x14ac:dyDescent="0.3">
      <c r="A8" s="14">
        <v>168</v>
      </c>
      <c r="B8" s="5" t="str">
        <f>VLOOKUP($A8,tropes!$A$4:$O$2428,2,FALSE)</f>
        <v>Redshirt</v>
      </c>
      <c r="C8" s="5" t="str">
        <f>VLOOKUP($A8,tropes!$A$4:$O$2428,3,FALSE)</f>
        <v>death</v>
      </c>
      <c r="D8" s="5" t="str">
        <f>VLOOKUP($A8,tropes!$A$4:$O$2428,4,FALSE)</f>
        <v>human</v>
      </c>
      <c r="E8" s="5" t="str">
        <f>VLOOKUP($A8,tropes!$A$4:$O$2428,5,FALSE)</f>
        <v>Dr. Crater killed by Salt Creature in sick bay.</v>
      </c>
      <c r="F8" s="5" t="str">
        <f>VLOOKUP($A8,tropes!$A$4:$O$2428,6,FALSE)</f>
        <v>crater</v>
      </c>
      <c r="G8" s="5">
        <f>VLOOKUP($A8,tropes!$A$4:$O$2428,7,FALSE)</f>
        <v>0</v>
      </c>
      <c r="H8" s="5">
        <f>VLOOKUP($A8,tropes!$A$4:$O$2428,8,FALSE)</f>
        <v>0</v>
      </c>
      <c r="I8" s="5">
        <f>VLOOKUP($A8,tropes!$A$4:$O$2428,9,FALSE)</f>
        <v>101</v>
      </c>
      <c r="J8" s="5">
        <f>VLOOKUP($A8,tropes!$A$4:$O$2428,10,FALSE)</f>
        <v>2</v>
      </c>
      <c r="K8" s="5" t="str">
        <f>VLOOKUP($A8,tropes!$A$4:$O$2428,11,FALSE)</f>
        <v>The Man Trap</v>
      </c>
      <c r="L8" s="5">
        <f>VLOOKUP($A8,tropes!$A$4:$O$2428,12,FALSE)</f>
        <v>1</v>
      </c>
      <c r="M8" s="5">
        <f>VLOOKUP($A8,tropes!$A$4:$O$2428,13,FALSE)</f>
        <v>1</v>
      </c>
      <c r="N8" s="5">
        <f t="shared" si="0"/>
        <v>6</v>
      </c>
    </row>
    <row r="9" spans="1:14" x14ac:dyDescent="0.3">
      <c r="A9" s="14">
        <v>2491</v>
      </c>
      <c r="B9" s="5" t="str">
        <f>VLOOKUP($A9,tropes!$A$4:$O$2428,2,FALSE)</f>
        <v>Only Mostly Dead</v>
      </c>
      <c r="C9" s="5" t="str">
        <f>VLOOKUP($A9,tropes!$A$4:$O$2428,3,FALSE)</f>
        <v>death</v>
      </c>
      <c r="D9" s="5" t="str">
        <f>VLOOKUP($A9,tropes!$A$4:$O$2428,4,FALSE)</f>
        <v>crew</v>
      </c>
      <c r="E9" s="5" t="str">
        <f>VLOOKUP($A9,tropes!$A$4:$O$2428,5,FALSE)</f>
        <v>Thasians bring Sam back after Charlie made him disappear</v>
      </c>
      <c r="F9" s="5" t="str">
        <f>VLOOKUP($A9,tropes!$A$4:$O$2428,6,FALSE)</f>
        <v>thasian</v>
      </c>
      <c r="G9" s="5">
        <f>VLOOKUP($A9,tropes!$A$4:$O$2428,7,FALSE)</f>
        <v>0</v>
      </c>
      <c r="H9" s="5">
        <f>VLOOKUP($A9,tropes!$A$4:$O$2428,8,FALSE)</f>
        <v>0</v>
      </c>
      <c r="I9" s="5">
        <f>VLOOKUP($A9,tropes!$A$4:$O$2428,9,FALSE)</f>
        <v>102</v>
      </c>
      <c r="J9" s="5">
        <f>VLOOKUP($A9,tropes!$A$4:$O$2428,10,FALSE)</f>
        <v>3</v>
      </c>
      <c r="K9" s="5" t="str">
        <f>VLOOKUP($A9,tropes!$A$4:$O$2428,11,FALSE)</f>
        <v>Charlie X</v>
      </c>
      <c r="L9" s="5">
        <f>VLOOKUP($A9,tropes!$A$4:$O$2428,12,FALSE)</f>
        <v>1</v>
      </c>
      <c r="M9" s="5">
        <f>VLOOKUP($A9,tropes!$A$4:$O$2428,13,FALSE)</f>
        <v>2</v>
      </c>
      <c r="N9" s="5">
        <f t="shared" si="0"/>
        <v>0</v>
      </c>
    </row>
    <row r="10" spans="1:14" x14ac:dyDescent="0.3">
      <c r="A10" s="14">
        <v>170</v>
      </c>
      <c r="B10" s="5" t="str">
        <f>VLOOKUP($A10,tropes!$A$4:$O$2428,2,FALSE)</f>
        <v>Redshirt</v>
      </c>
      <c r="C10" s="5" t="str">
        <f>VLOOKUP($A10,tropes!$A$4:$O$2428,3,FALSE)</f>
        <v>death</v>
      </c>
      <c r="D10" s="5" t="str">
        <f>VLOOKUP($A10,tropes!$A$4:$O$2428,4,FALSE)</f>
        <v>crew</v>
      </c>
      <c r="E10" s="5" t="str">
        <f>VLOOKUP($A10,tropes!$A$4:$O$2428,5,FALSE)</f>
        <v>Crew of Antares (20) killed by Charlie by eliminating a baffle-plate on the energy pile of the Antares which exploded the ship.</v>
      </c>
      <c r="F10" s="5" t="str">
        <f>VLOOKUP($A10,tropes!$A$4:$O$2428,6,FALSE)</f>
        <v>crew</v>
      </c>
      <c r="G10" s="5">
        <f>VLOOKUP($A10,tropes!$A$4:$O$2428,7,FALSE)</f>
        <v>0</v>
      </c>
      <c r="H10" s="5">
        <f>VLOOKUP($A10,tropes!$A$4:$O$2428,8,FALSE)</f>
        <v>0</v>
      </c>
      <c r="I10" s="5">
        <f>VLOOKUP($A10,tropes!$A$4:$O$2428,9,FALSE)</f>
        <v>102</v>
      </c>
      <c r="J10" s="5">
        <f>VLOOKUP($A10,tropes!$A$4:$O$2428,10,FALSE)</f>
        <v>3</v>
      </c>
      <c r="K10" s="5" t="str">
        <f>VLOOKUP($A10,tropes!$A$4:$O$2428,11,FALSE)</f>
        <v>Charlie X</v>
      </c>
      <c r="L10" s="5">
        <f>VLOOKUP($A10,tropes!$A$4:$O$2428,12,FALSE)</f>
        <v>1</v>
      </c>
      <c r="M10" s="5">
        <f>VLOOKUP($A10,tropes!$A$4:$O$2428,13,FALSE)</f>
        <v>2</v>
      </c>
      <c r="N10" s="5">
        <f t="shared" si="0"/>
        <v>1</v>
      </c>
    </row>
    <row r="11" spans="1:14" x14ac:dyDescent="0.3">
      <c r="A11" s="14">
        <v>251</v>
      </c>
      <c r="B11" s="5" t="str">
        <f>VLOOKUP($A11,tropes!$A$4:$O$2428,2,FALSE)</f>
        <v>Redshirt</v>
      </c>
      <c r="C11" s="5" t="str">
        <f>VLOOKUP($A11,tropes!$A$4:$O$2428,3,FALSE)</f>
        <v>death</v>
      </c>
      <c r="D11" s="5" t="str">
        <f>VLOOKUP($A11,tropes!$A$4:$O$2428,4,FALSE)</f>
        <v>human</v>
      </c>
      <c r="E11" s="5" t="str">
        <f>VLOOKUP($A11,tropes!$A$4:$O$2428,5,FALSE)</f>
        <v>Charlie makes Sam from the gym disappear. Doesn't really know where he sent him.</v>
      </c>
      <c r="F11" s="5" t="str">
        <f>VLOOKUP($A11,tropes!$A$4:$O$2428,6,FALSE)</f>
        <v>human</v>
      </c>
      <c r="G11" s="5">
        <f>VLOOKUP($A11,tropes!$A$4:$O$2428,7,FALSE)</f>
        <v>0</v>
      </c>
      <c r="H11" s="5">
        <f>VLOOKUP($A11,tropes!$A$4:$O$2428,8,FALSE)</f>
        <v>0</v>
      </c>
      <c r="I11" s="5">
        <f>VLOOKUP($A11,tropes!$A$4:$O$2428,9,FALSE)</f>
        <v>102</v>
      </c>
      <c r="J11" s="5">
        <f>VLOOKUP($A11,tropes!$A$4:$O$2428,10,FALSE)</f>
        <v>3</v>
      </c>
      <c r="K11" s="5" t="str">
        <f>VLOOKUP($A11,tropes!$A$4:$O$2428,11,FALSE)</f>
        <v>Charlie X</v>
      </c>
      <c r="L11" s="5">
        <f>VLOOKUP($A11,tropes!$A$4:$O$2428,12,FALSE)</f>
        <v>1</v>
      </c>
      <c r="M11" s="5">
        <f>VLOOKUP($A11,tropes!$A$4:$O$2428,13,FALSE)</f>
        <v>2</v>
      </c>
      <c r="N11" s="5">
        <f t="shared" si="0"/>
        <v>2</v>
      </c>
    </row>
    <row r="12" spans="1:14" x14ac:dyDescent="0.3">
      <c r="A12" s="14">
        <v>1877</v>
      </c>
      <c r="B12" s="5" t="str">
        <f>VLOOKUP($A12,tropes!$A$4:$O$2428,2,FALSE)</f>
        <v>Redshirt</v>
      </c>
      <c r="C12" s="5" t="str">
        <f>VLOOKUP($A12,tropes!$A$4:$O$2428,3,FALSE)</f>
        <v>death</v>
      </c>
      <c r="D12" s="5" t="str">
        <f>VLOOKUP($A12,tropes!$A$4:$O$2428,4,FALSE)</f>
        <v>red-skirt</v>
      </c>
      <c r="E12" s="5" t="str">
        <f>VLOOKUP($A12,tropes!$A$4:$O$2428,5,FALSE)</f>
        <v>Averted: Yeoman Rand slaps Charlie when he won't leave her alone and he gets angry and makes her disappear</v>
      </c>
      <c r="F12" s="5" t="str">
        <f>VLOOKUP($A12,tropes!$A$4:$O$2428,6,FALSE)</f>
        <v>rand</v>
      </c>
      <c r="G12" s="5">
        <f>VLOOKUP($A12,tropes!$A$4:$O$2428,7,FALSE)</f>
        <v>0</v>
      </c>
      <c r="H12" s="5">
        <f>VLOOKUP($A12,tropes!$A$4:$O$2428,8,FALSE)</f>
        <v>2</v>
      </c>
      <c r="I12" s="5">
        <f>VLOOKUP($A12,tropes!$A$4:$O$2428,9,FALSE)</f>
        <v>102</v>
      </c>
      <c r="J12" s="5">
        <f>VLOOKUP($A12,tropes!$A$4:$O$2428,10,FALSE)</f>
        <v>3</v>
      </c>
      <c r="K12" s="5" t="str">
        <f>VLOOKUP($A12,tropes!$A$4:$O$2428,11,FALSE)</f>
        <v>Charlie X</v>
      </c>
      <c r="L12" s="5">
        <f>VLOOKUP($A12,tropes!$A$4:$O$2428,12,FALSE)</f>
        <v>1</v>
      </c>
      <c r="M12" s="5">
        <f>VLOOKUP($A12,tropes!$A$4:$O$2428,13,FALSE)</f>
        <v>2</v>
      </c>
      <c r="N12" s="5">
        <f t="shared" si="0"/>
        <v>3</v>
      </c>
    </row>
    <row r="13" spans="1:14" x14ac:dyDescent="0.3">
      <c r="A13" s="14">
        <v>1751</v>
      </c>
      <c r="B13" s="5" t="str">
        <f>VLOOKUP($A13,tropes!$A$4:$O$2428,2,FALSE)</f>
        <v>Redshirt</v>
      </c>
      <c r="C13" s="5" t="str">
        <f>VLOOKUP($A13,tropes!$A$4:$O$2428,3,FALSE)</f>
        <v>death</v>
      </c>
      <c r="D13" s="5" t="str">
        <f>VLOOKUP($A13,tropes!$A$4:$O$2428,4,FALSE)</f>
        <v>blue-skirt</v>
      </c>
      <c r="E13" s="5" t="str">
        <f>VLOOKUP($A13,tropes!$A$4:$O$2428,5,FALSE)</f>
        <v>Dr. Dehner uses her telekinetic power to electrocute Lt. Cmdr. Gary Mitchell .</v>
      </c>
      <c r="F13" s="5" t="str">
        <f>VLOOKUP($A13,tropes!$A$4:$O$2428,6,FALSE)</f>
        <v>dehner</v>
      </c>
      <c r="G13" s="5">
        <f>VLOOKUP($A13,tropes!$A$4:$O$2428,7,FALSE)</f>
        <v>0</v>
      </c>
      <c r="H13" s="5">
        <f>VLOOKUP($A13,tropes!$A$4:$O$2428,8,FALSE)</f>
        <v>0</v>
      </c>
      <c r="I13" s="5">
        <f>VLOOKUP($A13,tropes!$A$4:$O$2428,9,FALSE)</f>
        <v>103</v>
      </c>
      <c r="J13" s="5">
        <f>VLOOKUP($A13,tropes!$A$4:$O$2428,10,FALSE)</f>
        <v>4</v>
      </c>
      <c r="K13" s="5" t="str">
        <f>VLOOKUP($A13,tropes!$A$4:$O$2428,11,FALSE)</f>
        <v>Where No Man Has Gone Before</v>
      </c>
      <c r="L13" s="5">
        <f>VLOOKUP($A13,tropes!$A$4:$O$2428,12,FALSE)</f>
        <v>1</v>
      </c>
      <c r="M13" s="5">
        <f>VLOOKUP($A13,tropes!$A$4:$O$2428,13,FALSE)</f>
        <v>3</v>
      </c>
      <c r="N13" s="5">
        <f t="shared" si="0"/>
        <v>0</v>
      </c>
    </row>
    <row r="14" spans="1:14" x14ac:dyDescent="0.3">
      <c r="A14" s="14">
        <v>172</v>
      </c>
      <c r="B14" s="5" t="str">
        <f>VLOOKUP($A14,tropes!$A$4:$O$2428,2,FALSE)</f>
        <v>Redshirt</v>
      </c>
      <c r="C14" s="5" t="str">
        <f>VLOOKUP($A14,tropes!$A$4:$O$2428,3,FALSE)</f>
        <v>death</v>
      </c>
      <c r="D14" s="5" t="str">
        <f>VLOOKUP($A14,tropes!$A$4:$O$2428,4,FALSE)</f>
        <v>crew</v>
      </c>
      <c r="E14" s="5" t="str">
        <f>VLOOKUP($A14,tropes!$A$4:$O$2428,5,FALSE)</f>
        <v>Nine of the Valliant's crew killed when vessel hit Galactic Space barrier.</v>
      </c>
      <c r="F14" s="5" t="str">
        <f>VLOOKUP($A14,tropes!$A$4:$O$2428,6,FALSE)</f>
        <v>crew</v>
      </c>
      <c r="G14" s="5">
        <f>VLOOKUP($A14,tropes!$A$4:$O$2428,7,FALSE)</f>
        <v>0</v>
      </c>
      <c r="H14" s="5">
        <f>VLOOKUP($A14,tropes!$A$4:$O$2428,8,FALSE)</f>
        <v>0</v>
      </c>
      <c r="I14" s="5">
        <f>VLOOKUP($A14,tropes!$A$4:$O$2428,9,FALSE)</f>
        <v>103</v>
      </c>
      <c r="J14" s="5">
        <f>VLOOKUP($A14,tropes!$A$4:$O$2428,10,FALSE)</f>
        <v>4</v>
      </c>
      <c r="K14" s="5" t="str">
        <f>VLOOKUP($A14,tropes!$A$4:$O$2428,11,FALSE)</f>
        <v>Where No Man Has Gone Before</v>
      </c>
      <c r="L14" s="5">
        <f>VLOOKUP($A14,tropes!$A$4:$O$2428,12,FALSE)</f>
        <v>1</v>
      </c>
      <c r="M14" s="5">
        <f>VLOOKUP($A14,tropes!$A$4:$O$2428,13,FALSE)</f>
        <v>3</v>
      </c>
      <c r="N14" s="5">
        <f t="shared" si="0"/>
        <v>1</v>
      </c>
    </row>
    <row r="15" spans="1:14" x14ac:dyDescent="0.3">
      <c r="A15" s="14">
        <v>1112</v>
      </c>
      <c r="B15" s="5" t="str">
        <f>VLOOKUP($A15,tropes!$A$4:$O$2428,2,FALSE)</f>
        <v>Redshirt</v>
      </c>
      <c r="C15" s="5" t="str">
        <f>VLOOKUP($A15,tropes!$A$4:$O$2428,3,FALSE)</f>
        <v>death</v>
      </c>
      <c r="D15" s="5" t="str">
        <f>VLOOKUP($A15,tropes!$A$4:$O$2428,4,FALSE)</f>
        <v>goldshirt</v>
      </c>
      <c r="E15" s="5" t="str">
        <f>VLOOKUP($A15,tropes!$A$4:$O$2428,5,FALSE)</f>
        <v>Lt. Cmdr. Gary Mitchell crushed by boulders from avalanche caused by Kirk and his phaser rifle.</v>
      </c>
      <c r="F15" s="5" t="str">
        <f>VLOOKUP($A15,tropes!$A$4:$O$2428,6,FALSE)</f>
        <v>mitchell</v>
      </c>
      <c r="G15" s="5">
        <f>VLOOKUP($A15,tropes!$A$4:$O$2428,7,FALSE)</f>
        <v>0</v>
      </c>
      <c r="H15" s="5">
        <f>VLOOKUP($A15,tropes!$A$4:$O$2428,8,FALSE)</f>
        <v>0</v>
      </c>
      <c r="I15" s="5">
        <f>VLOOKUP($A15,tropes!$A$4:$O$2428,9,FALSE)</f>
        <v>103</v>
      </c>
      <c r="J15" s="5">
        <f>VLOOKUP($A15,tropes!$A$4:$O$2428,10,FALSE)</f>
        <v>4</v>
      </c>
      <c r="K15" s="5" t="str">
        <f>VLOOKUP($A15,tropes!$A$4:$O$2428,11,FALSE)</f>
        <v>Where No Man Has Gone Before</v>
      </c>
      <c r="L15" s="5">
        <f>VLOOKUP($A15,tropes!$A$4:$O$2428,12,FALSE)</f>
        <v>1</v>
      </c>
      <c r="M15" s="5">
        <f>VLOOKUP($A15,tropes!$A$4:$O$2428,13,FALSE)</f>
        <v>3</v>
      </c>
      <c r="N15" s="5">
        <f t="shared" si="0"/>
        <v>2</v>
      </c>
    </row>
    <row r="16" spans="1:14" x14ac:dyDescent="0.3">
      <c r="A16" s="14">
        <v>1757</v>
      </c>
      <c r="B16" s="5" t="str">
        <f>VLOOKUP($A16,tropes!$A$4:$O$2428,2,FALSE)</f>
        <v>Redshirt</v>
      </c>
      <c r="C16" s="5" t="str">
        <f>VLOOKUP($A16,tropes!$A$4:$O$2428,3,FALSE)</f>
        <v>death</v>
      </c>
      <c r="D16" s="5" t="str">
        <f>VLOOKUP($A16,tropes!$A$4:$O$2428,4,FALSE)</f>
        <v>goldshirt</v>
      </c>
      <c r="E16" s="5" t="str">
        <f>VLOOKUP($A16,tropes!$A$4:$O$2428,5,FALSE)</f>
        <v>Lt. Kelso choked with cable telekinetically by Lt. Cmdr. Gary Mitchell.</v>
      </c>
      <c r="F16" s="5" t="str">
        <f>VLOOKUP($A16,tropes!$A$4:$O$2428,6,FALSE)</f>
        <v>kelso</v>
      </c>
      <c r="G16" s="5">
        <f>VLOOKUP($A16,tropes!$A$4:$O$2428,7,FALSE)</f>
        <v>0</v>
      </c>
      <c r="H16" s="5">
        <f>VLOOKUP($A16,tropes!$A$4:$O$2428,8,FALSE)</f>
        <v>0</v>
      </c>
      <c r="I16" s="5">
        <f>VLOOKUP($A16,tropes!$A$4:$O$2428,9,FALSE)</f>
        <v>103</v>
      </c>
      <c r="J16" s="5">
        <f>VLOOKUP($A16,tropes!$A$4:$O$2428,10,FALSE)</f>
        <v>4</v>
      </c>
      <c r="K16" s="5" t="str">
        <f>VLOOKUP($A16,tropes!$A$4:$O$2428,11,FALSE)</f>
        <v>Where No Man Has Gone Before</v>
      </c>
      <c r="L16" s="5">
        <f>VLOOKUP($A16,tropes!$A$4:$O$2428,12,FALSE)</f>
        <v>1</v>
      </c>
      <c r="M16" s="5">
        <f>VLOOKUP($A16,tropes!$A$4:$O$2428,13,FALSE)</f>
        <v>3</v>
      </c>
      <c r="N16" s="5">
        <f t="shared" si="0"/>
        <v>3</v>
      </c>
    </row>
    <row r="17" spans="1:14" x14ac:dyDescent="0.3">
      <c r="A17" s="14">
        <v>2494</v>
      </c>
      <c r="B17" s="5" t="str">
        <f>VLOOKUP($A17,tropes!$A$4:$O$2428,2,FALSE)</f>
        <v>Redshirt</v>
      </c>
      <c r="C17" s="5" t="str">
        <f>VLOOKUP($A17,tropes!$A$4:$O$2428,3,FALSE)</f>
        <v>death</v>
      </c>
      <c r="D17" s="5" t="str">
        <f>VLOOKUP($A17,tropes!$A$4:$O$2428,4,FALSE)</f>
        <v>blueshirt</v>
      </c>
      <c r="E17" s="5" t="str">
        <f>VLOOKUP($A17,tropes!$A$4:$O$2428,5,FALSE)</f>
        <v>Lt. Tormolen loses the will to live after contracting the Psi 2000 virus and dies on McCoy's operating table.</v>
      </c>
      <c r="F17" s="5" t="str">
        <f>VLOOKUP($A17,tropes!$A$4:$O$2428,6,FALSE)</f>
        <v>tormolan</v>
      </c>
      <c r="G17" s="5">
        <f>VLOOKUP($A17,tropes!$A$4:$O$2428,7,FALSE)</f>
        <v>0</v>
      </c>
      <c r="H17" s="5">
        <f>VLOOKUP($A17,tropes!$A$4:$O$2428,8,FALSE)</f>
        <v>0</v>
      </c>
      <c r="I17" s="5">
        <f>VLOOKUP($A17,tropes!$A$4:$O$2428,9,FALSE)</f>
        <v>104</v>
      </c>
      <c r="J17" s="5">
        <f>VLOOKUP($A17,tropes!$A$4:$O$2428,10,FALSE)</f>
        <v>5</v>
      </c>
      <c r="K17" s="5" t="str">
        <f>VLOOKUP($A17,tropes!$A$4:$O$2428,11,FALSE)</f>
        <v>The Naked Time</v>
      </c>
      <c r="L17" s="5">
        <f>VLOOKUP($A17,tropes!$A$4:$O$2428,12,FALSE)</f>
        <v>1</v>
      </c>
      <c r="M17" s="5">
        <f>VLOOKUP($A17,tropes!$A$4:$O$2428,13,FALSE)</f>
        <v>4</v>
      </c>
      <c r="N17" s="5">
        <f t="shared" si="0"/>
        <v>0</v>
      </c>
    </row>
    <row r="18" spans="1:14" x14ac:dyDescent="0.3">
      <c r="A18" s="14">
        <v>174</v>
      </c>
      <c r="B18" s="5" t="str">
        <f>VLOOKUP($A18,tropes!$A$4:$O$2428,2,FALSE)</f>
        <v>Redshirt</v>
      </c>
      <c r="C18" s="5" t="str">
        <f>VLOOKUP($A18,tropes!$A$4:$O$2428,3,FALSE)</f>
        <v>death</v>
      </c>
      <c r="D18" s="5" t="str">
        <f>VLOOKUP($A18,tropes!$A$4:$O$2428,4,FALSE)</f>
        <v>crew</v>
      </c>
      <c r="E18" s="5" t="str">
        <f>VLOOKUP($A18,tropes!$A$4:$O$2428,5,FALSE)</f>
        <v>Six research crew frozen to death on research station doing abnormal things.</v>
      </c>
      <c r="F18" s="5" t="str">
        <f>VLOOKUP($A18,tropes!$A$4:$O$2428,6,FALSE)</f>
        <v>crew</v>
      </c>
      <c r="G18" s="5">
        <f>VLOOKUP($A18,tropes!$A$4:$O$2428,7,FALSE)</f>
        <v>0</v>
      </c>
      <c r="H18" s="5">
        <f>VLOOKUP($A18,tropes!$A$4:$O$2428,8,FALSE)</f>
        <v>0</v>
      </c>
      <c r="I18" s="5">
        <f>VLOOKUP($A18,tropes!$A$4:$O$2428,9,FALSE)</f>
        <v>104</v>
      </c>
      <c r="J18" s="5">
        <f>VLOOKUP($A18,tropes!$A$4:$O$2428,10,FALSE)</f>
        <v>5</v>
      </c>
      <c r="K18" s="5" t="str">
        <f>VLOOKUP($A18,tropes!$A$4:$O$2428,11,FALSE)</f>
        <v>The Naked Time</v>
      </c>
      <c r="L18" s="5">
        <f>VLOOKUP($A18,tropes!$A$4:$O$2428,12,FALSE)</f>
        <v>1</v>
      </c>
      <c r="M18" s="5">
        <f>VLOOKUP($A18,tropes!$A$4:$O$2428,13,FALSE)</f>
        <v>4</v>
      </c>
      <c r="N18" s="5">
        <f t="shared" si="0"/>
        <v>1</v>
      </c>
    </row>
    <row r="19" spans="1:14" x14ac:dyDescent="0.3">
      <c r="A19" s="14">
        <v>264</v>
      </c>
      <c r="B19" s="5" t="str">
        <f>VLOOKUP($A19,tropes!$A$4:$O$2428,2,FALSE)</f>
        <v>Redshirt</v>
      </c>
      <c r="C19" s="5" t="str">
        <f>VLOOKUP($A19,tropes!$A$4:$O$2428,3,FALSE)</f>
        <v>death</v>
      </c>
      <c r="D19" s="5" t="str">
        <f>VLOOKUP($A19,tropes!$A$4:$O$2428,4,FALSE)</f>
        <v>redshirt</v>
      </c>
      <c r="E19" s="5" t="str">
        <f>VLOOKUP($A19,tropes!$A$4:$O$2428,5,FALSE)</f>
        <v>Security officer has neck broke by Ruk (android).</v>
      </c>
      <c r="F19" s="5" t="str">
        <f>VLOOKUP($A19,tropes!$A$4:$O$2428,6,FALSE)</f>
        <v>human</v>
      </c>
      <c r="G19" s="5">
        <f>VLOOKUP($A19,tropes!$A$4:$O$2428,7,FALSE)</f>
        <v>0</v>
      </c>
      <c r="H19" s="5">
        <f>VLOOKUP($A19,tropes!$A$4:$O$2428,8,FALSE)</f>
        <v>0</v>
      </c>
      <c r="I19" s="5">
        <f>VLOOKUP($A19,tropes!$A$4:$O$2428,9,FALSE)</f>
        <v>107</v>
      </c>
      <c r="J19" s="5">
        <f>VLOOKUP($A19,tropes!$A$4:$O$2428,10,FALSE)</f>
        <v>8</v>
      </c>
      <c r="K19" s="5" t="str">
        <f>VLOOKUP($A19,tropes!$A$4:$O$2428,11,FALSE)</f>
        <v>What Are Little Girls Made Of?</v>
      </c>
      <c r="L19" s="5">
        <f>VLOOKUP($A19,tropes!$A$4:$O$2428,12,FALSE)</f>
        <v>1</v>
      </c>
      <c r="M19" s="5">
        <f>VLOOKUP($A19,tropes!$A$4:$O$2428,13,FALSE)</f>
        <v>7</v>
      </c>
      <c r="N19" s="5">
        <f t="shared" si="0"/>
        <v>0</v>
      </c>
    </row>
    <row r="20" spans="1:14" x14ac:dyDescent="0.3">
      <c r="A20" s="14">
        <v>265</v>
      </c>
      <c r="B20" s="5" t="str">
        <f>VLOOKUP($A20,tropes!$A$4:$O$2428,2,FALSE)</f>
        <v>Redshirt</v>
      </c>
      <c r="C20" s="5" t="str">
        <f>VLOOKUP($A20,tropes!$A$4:$O$2428,3,FALSE)</f>
        <v>death</v>
      </c>
      <c r="D20" s="5" t="str">
        <f>VLOOKUP($A20,tropes!$A$4:$O$2428,4,FALSE)</f>
        <v>redshirt</v>
      </c>
      <c r="E20" s="5" t="str">
        <f>VLOOKUP($A20,tropes!$A$4:$O$2428,5,FALSE)</f>
        <v>Security officer thrown into chasm by Ruk (android).</v>
      </c>
      <c r="F20" s="5" t="str">
        <f>VLOOKUP($A20,tropes!$A$4:$O$2428,6,FALSE)</f>
        <v>human</v>
      </c>
      <c r="G20" s="5">
        <f>VLOOKUP($A20,tropes!$A$4:$O$2428,7,FALSE)</f>
        <v>0</v>
      </c>
      <c r="H20" s="5">
        <f>VLOOKUP($A20,tropes!$A$4:$O$2428,8,FALSE)</f>
        <v>0</v>
      </c>
      <c r="I20" s="5">
        <f>VLOOKUP($A20,tropes!$A$4:$O$2428,9,FALSE)</f>
        <v>107</v>
      </c>
      <c r="J20" s="5">
        <f>VLOOKUP($A20,tropes!$A$4:$O$2428,10,FALSE)</f>
        <v>8</v>
      </c>
      <c r="K20" s="5" t="str">
        <f>VLOOKUP($A20,tropes!$A$4:$O$2428,11,FALSE)</f>
        <v>What Are Little Girls Made Of?</v>
      </c>
      <c r="L20" s="5">
        <f>VLOOKUP($A20,tropes!$A$4:$O$2428,12,FALSE)</f>
        <v>1</v>
      </c>
      <c r="M20" s="5">
        <f>VLOOKUP($A20,tropes!$A$4:$O$2428,13,FALSE)</f>
        <v>7</v>
      </c>
      <c r="N20" s="5">
        <f t="shared" si="0"/>
        <v>1</v>
      </c>
    </row>
    <row r="21" spans="1:14" x14ac:dyDescent="0.3">
      <c r="A21" s="14">
        <v>1918</v>
      </c>
      <c r="B21" s="5" t="str">
        <f>VLOOKUP($A21,tropes!$A$4:$O$2428,2,FALSE)</f>
        <v>Redshirt</v>
      </c>
      <c r="C21" s="5" t="str">
        <f>VLOOKUP($A21,tropes!$A$4:$O$2428,3,FALSE)</f>
        <v>death</v>
      </c>
      <c r="D21" s="5" t="str">
        <f>VLOOKUP($A21,tropes!$A$4:$O$2428,4,FALSE)</f>
        <v>robot</v>
      </c>
      <c r="E21" s="5" t="str">
        <f>VLOOKUP($A21,tropes!$A$4:$O$2428,5,FALSE)</f>
        <v>Andrea (android) kisses Dr. Korby then phasers both her and Dr. Korby upon realizing she was imperfect.</v>
      </c>
      <c r="F21" s="5" t="str">
        <f>VLOOKUP($A21,tropes!$A$4:$O$2428,6,FALSE)</f>
        <v>robot</v>
      </c>
      <c r="G21" s="5">
        <f>VLOOKUP($A21,tropes!$A$4:$O$2428,7,FALSE)</f>
        <v>0</v>
      </c>
      <c r="H21" s="5">
        <f>VLOOKUP($A21,tropes!$A$4:$O$2428,8,FALSE)</f>
        <v>0</v>
      </c>
      <c r="I21" s="5">
        <f>VLOOKUP($A21,tropes!$A$4:$O$2428,9,FALSE)</f>
        <v>107</v>
      </c>
      <c r="J21" s="5">
        <f>VLOOKUP($A21,tropes!$A$4:$O$2428,10,FALSE)</f>
        <v>8</v>
      </c>
      <c r="K21" s="5" t="str">
        <f>VLOOKUP($A21,tropes!$A$4:$O$2428,11,FALSE)</f>
        <v>What Are Little Girls Made Of?</v>
      </c>
      <c r="L21" s="5">
        <f>VLOOKUP($A21,tropes!$A$4:$O$2428,12,FALSE)</f>
        <v>1</v>
      </c>
      <c r="M21" s="5">
        <f>VLOOKUP($A21,tropes!$A$4:$O$2428,13,FALSE)</f>
        <v>7</v>
      </c>
      <c r="N21" s="5">
        <f t="shared" si="0"/>
        <v>2</v>
      </c>
    </row>
    <row r="22" spans="1:14" x14ac:dyDescent="0.3">
      <c r="A22" s="14">
        <v>1941</v>
      </c>
      <c r="B22" s="5" t="str">
        <f>VLOOKUP($A22,tropes!$A$4:$O$2428,2,FALSE)</f>
        <v>Redshirt</v>
      </c>
      <c r="C22" s="5" t="str">
        <f>VLOOKUP($A22,tropes!$A$4:$O$2428,3,FALSE)</f>
        <v>death</v>
      </c>
      <c r="D22" s="5" t="str">
        <f>VLOOKUP($A22,tropes!$A$4:$O$2428,4,FALSE)</f>
        <v>robot</v>
      </c>
      <c r="E22" s="5" t="str">
        <f>VLOOKUP($A22,tropes!$A$4:$O$2428,5,FALSE)</f>
        <v>Android Kirk destroyed by Andrea (android) with phaser.</v>
      </c>
      <c r="F22" s="5" t="str">
        <f>VLOOKUP($A22,tropes!$A$4:$O$2428,6,FALSE)</f>
        <v>kirk_android</v>
      </c>
      <c r="G22" s="5">
        <f>VLOOKUP($A22,tropes!$A$4:$O$2428,7,FALSE)</f>
        <v>0</v>
      </c>
      <c r="H22" s="5">
        <f>VLOOKUP($A22,tropes!$A$4:$O$2428,8,FALSE)</f>
        <v>0</v>
      </c>
      <c r="I22" s="5">
        <f>VLOOKUP($A22,tropes!$A$4:$O$2428,9,FALSE)</f>
        <v>107</v>
      </c>
      <c r="J22" s="5">
        <f>VLOOKUP($A22,tropes!$A$4:$O$2428,10,FALSE)</f>
        <v>8</v>
      </c>
      <c r="K22" s="5" t="str">
        <f>VLOOKUP($A22,tropes!$A$4:$O$2428,11,FALSE)</f>
        <v>What Are Little Girls Made Of?</v>
      </c>
      <c r="L22" s="5">
        <f>VLOOKUP($A22,tropes!$A$4:$O$2428,12,FALSE)</f>
        <v>1</v>
      </c>
      <c r="M22" s="5">
        <f>VLOOKUP($A22,tropes!$A$4:$O$2428,13,FALSE)</f>
        <v>7</v>
      </c>
      <c r="N22" s="5">
        <f t="shared" si="0"/>
        <v>3</v>
      </c>
    </row>
    <row r="23" spans="1:14" x14ac:dyDescent="0.3">
      <c r="A23" s="14">
        <v>1919</v>
      </c>
      <c r="B23" s="5" t="str">
        <f>VLOOKUP($A23,tropes!$A$4:$O$2428,2,FALSE)</f>
        <v>Redshirt</v>
      </c>
      <c r="C23" s="5" t="str">
        <f>VLOOKUP($A23,tropes!$A$4:$O$2428,3,FALSE)</f>
        <v>death</v>
      </c>
      <c r="D23" s="5" t="str">
        <f>VLOOKUP($A23,tropes!$A$4:$O$2428,4,FALSE)</f>
        <v>robot</v>
      </c>
      <c r="E23" s="5" t="str">
        <f>VLOOKUP($A23,tropes!$A$4:$O$2428,5,FALSE)</f>
        <v>Dr. Korby destroyed by Andrea (android) with phaser.</v>
      </c>
      <c r="F23" s="5" t="str">
        <f>VLOOKUP($A23,tropes!$A$4:$O$2428,6,FALSE)</f>
        <v>robot</v>
      </c>
      <c r="G23" s="5">
        <f>VLOOKUP($A23,tropes!$A$4:$O$2428,7,FALSE)</f>
        <v>0</v>
      </c>
      <c r="H23" s="5">
        <f>VLOOKUP($A23,tropes!$A$4:$O$2428,8,FALSE)</f>
        <v>0</v>
      </c>
      <c r="I23" s="5">
        <f>VLOOKUP($A23,tropes!$A$4:$O$2428,9,FALSE)</f>
        <v>107</v>
      </c>
      <c r="J23" s="5">
        <f>VLOOKUP($A23,tropes!$A$4:$O$2428,10,FALSE)</f>
        <v>8</v>
      </c>
      <c r="K23" s="5" t="str">
        <f>VLOOKUP($A23,tropes!$A$4:$O$2428,11,FALSE)</f>
        <v>What Are Little Girls Made Of?</v>
      </c>
      <c r="L23" s="5">
        <f>VLOOKUP($A23,tropes!$A$4:$O$2428,12,FALSE)</f>
        <v>1</v>
      </c>
      <c r="M23" s="5">
        <f>VLOOKUP($A23,tropes!$A$4:$O$2428,13,FALSE)</f>
        <v>7</v>
      </c>
      <c r="N23" s="5">
        <f t="shared" si="0"/>
        <v>4</v>
      </c>
    </row>
    <row r="24" spans="1:14" x14ac:dyDescent="0.3">
      <c r="A24" s="14">
        <v>1920</v>
      </c>
      <c r="B24" s="5" t="str">
        <f>VLOOKUP($A24,tropes!$A$4:$O$2428,2,FALSE)</f>
        <v>Redshirt</v>
      </c>
      <c r="C24" s="5" t="str">
        <f>VLOOKUP($A24,tropes!$A$4:$O$2428,3,FALSE)</f>
        <v>death</v>
      </c>
      <c r="D24" s="5" t="str">
        <f>VLOOKUP($A24,tropes!$A$4:$O$2428,4,FALSE)</f>
        <v>robot</v>
      </c>
      <c r="E24" s="5" t="str">
        <f>VLOOKUP($A24,tropes!$A$4:$O$2428,5,FALSE)</f>
        <v>Ruk destroyed by Dr. Korby with phaser.</v>
      </c>
      <c r="F24" s="5" t="str">
        <f>VLOOKUP($A24,tropes!$A$4:$O$2428,6,FALSE)</f>
        <v>robot</v>
      </c>
      <c r="G24" s="5">
        <f>VLOOKUP($A24,tropes!$A$4:$O$2428,7,FALSE)</f>
        <v>0</v>
      </c>
      <c r="H24" s="5">
        <f>VLOOKUP($A24,tropes!$A$4:$O$2428,8,FALSE)</f>
        <v>0</v>
      </c>
      <c r="I24" s="5">
        <f>VLOOKUP($A24,tropes!$A$4:$O$2428,9,FALSE)</f>
        <v>107</v>
      </c>
      <c r="J24" s="5">
        <f>VLOOKUP($A24,tropes!$A$4:$O$2428,10,FALSE)</f>
        <v>8</v>
      </c>
      <c r="K24" s="5" t="str">
        <f>VLOOKUP($A24,tropes!$A$4:$O$2428,11,FALSE)</f>
        <v>What Are Little Girls Made Of?</v>
      </c>
      <c r="L24" s="5">
        <f>VLOOKUP($A24,tropes!$A$4:$O$2428,12,FALSE)</f>
        <v>1</v>
      </c>
      <c r="M24" s="5">
        <f>VLOOKUP($A24,tropes!$A$4:$O$2428,13,FALSE)</f>
        <v>7</v>
      </c>
      <c r="N24" s="5">
        <f t="shared" si="0"/>
        <v>5</v>
      </c>
    </row>
    <row r="25" spans="1:14" x14ac:dyDescent="0.3">
      <c r="A25" s="14">
        <v>268</v>
      </c>
      <c r="B25" s="5" t="str">
        <f>VLOOKUP($A25,tropes!$A$4:$O$2428,2,FALSE)</f>
        <v>Redshirt</v>
      </c>
      <c r="C25" s="5" t="str">
        <f>VLOOKUP($A25,tropes!$A$4:$O$2428,3,FALSE)</f>
        <v>death</v>
      </c>
      <c r="D25" s="5" t="str">
        <f>VLOOKUP($A25,tropes!$A$4:$O$2428,4,FALSE)</f>
        <v>human</v>
      </c>
      <c r="E25" s="5" t="str">
        <f>VLOOKUP($A25,tropes!$A$4:$O$2428,5,FALSE)</f>
        <v>Diseased boy in street dies from disease.</v>
      </c>
      <c r="F25" s="5" t="str">
        <f>VLOOKUP($A25,tropes!$A$4:$O$2428,6,FALSE)</f>
        <v>human</v>
      </c>
      <c r="G25" s="5">
        <f>VLOOKUP($A25,tropes!$A$4:$O$2428,7,FALSE)</f>
        <v>0</v>
      </c>
      <c r="H25" s="5">
        <f>VLOOKUP($A25,tropes!$A$4:$O$2428,8,FALSE)</f>
        <v>0</v>
      </c>
      <c r="I25" s="5">
        <f>VLOOKUP($A25,tropes!$A$4:$O$2428,9,FALSE)</f>
        <v>108</v>
      </c>
      <c r="J25" s="5">
        <f>VLOOKUP($A25,tropes!$A$4:$O$2428,10,FALSE)</f>
        <v>9</v>
      </c>
      <c r="K25" s="5" t="str">
        <f>VLOOKUP($A25,tropes!$A$4:$O$2428,11,FALSE)</f>
        <v>Miri</v>
      </c>
      <c r="L25" s="5">
        <f>VLOOKUP($A25,tropes!$A$4:$O$2428,12,FALSE)</f>
        <v>1</v>
      </c>
      <c r="M25" s="5">
        <f>VLOOKUP($A25,tropes!$A$4:$O$2428,13,FALSE)</f>
        <v>8</v>
      </c>
      <c r="N25" s="5">
        <f t="shared" si="0"/>
        <v>0</v>
      </c>
    </row>
    <row r="26" spans="1:14" x14ac:dyDescent="0.3">
      <c r="A26" s="14">
        <v>408</v>
      </c>
      <c r="B26" s="5" t="str">
        <f>VLOOKUP($A26,tropes!$A$4:$O$2428,2,FALSE)</f>
        <v>Redshirt</v>
      </c>
      <c r="C26" s="5" t="str">
        <f>VLOOKUP($A26,tropes!$A$4:$O$2428,3,FALSE)</f>
        <v>death</v>
      </c>
      <c r="D26" s="5" t="str">
        <f>VLOOKUP($A26,tropes!$A$4:$O$2428,4,FALSE)</f>
        <v>human</v>
      </c>
      <c r="E26" s="5" t="str">
        <f>VLOOKUP($A26,tropes!$A$4:$O$2428,5,FALSE)</f>
        <v>Louise (diseased girl) stunned by Kirks phaser by dies on the spot.</v>
      </c>
      <c r="F26" s="5" t="str">
        <f>VLOOKUP($A26,tropes!$A$4:$O$2428,6,FALSE)</f>
        <v>human</v>
      </c>
      <c r="G26" s="5">
        <f>VLOOKUP($A26,tropes!$A$4:$O$2428,7,FALSE)</f>
        <v>0</v>
      </c>
      <c r="H26" s="5">
        <f>VLOOKUP($A26,tropes!$A$4:$O$2428,8,FALSE)</f>
        <v>0</v>
      </c>
      <c r="I26" s="5">
        <f>VLOOKUP($A26,tropes!$A$4:$O$2428,9,FALSE)</f>
        <v>108</v>
      </c>
      <c r="J26" s="5">
        <f>VLOOKUP($A26,tropes!$A$4:$O$2428,10,FALSE)</f>
        <v>9</v>
      </c>
      <c r="K26" s="5" t="str">
        <f>VLOOKUP($A26,tropes!$A$4:$O$2428,11,FALSE)</f>
        <v>Miri</v>
      </c>
      <c r="L26" s="5">
        <f>VLOOKUP($A26,tropes!$A$4:$O$2428,12,FALSE)</f>
        <v>1</v>
      </c>
      <c r="M26" s="5">
        <f>VLOOKUP($A26,tropes!$A$4:$O$2428,13,FALSE)</f>
        <v>8</v>
      </c>
      <c r="N26" s="5">
        <f t="shared" si="0"/>
        <v>1</v>
      </c>
    </row>
    <row r="27" spans="1:14" x14ac:dyDescent="0.3">
      <c r="A27" s="14">
        <v>1790</v>
      </c>
      <c r="B27" s="5" t="str">
        <f>VLOOKUP($A27,tropes!$A$4:$O$2428,2,FALSE)</f>
        <v>Redshirt</v>
      </c>
      <c r="C27" s="5" t="str">
        <f>VLOOKUP($A27,tropes!$A$4:$O$2428,3,FALSE)</f>
        <v>death</v>
      </c>
      <c r="D27" s="5" t="str">
        <f>VLOOKUP($A27,tropes!$A$4:$O$2428,4,FALSE)</f>
        <v>human</v>
      </c>
      <c r="E27" s="5" t="str">
        <f>VLOOKUP($A27,tropes!$A$4:$O$2428,5,FALSE)</f>
        <v>Asylum guard (accidently) electrocuted by Dr. Helen Noel while she's trying to shutdown the force field.</v>
      </c>
      <c r="F27" s="5" t="str">
        <f>VLOOKUP($A27,tropes!$A$4:$O$2428,6,FALSE)</f>
        <v>noel</v>
      </c>
      <c r="G27" s="5">
        <f>VLOOKUP($A27,tropes!$A$4:$O$2428,7,FALSE)</f>
        <v>0</v>
      </c>
      <c r="H27" s="5">
        <f>VLOOKUP($A27,tropes!$A$4:$O$2428,8,FALSE)</f>
        <v>0</v>
      </c>
      <c r="I27" s="5">
        <f>VLOOKUP($A27,tropes!$A$4:$O$2428,9,FALSE)</f>
        <v>109</v>
      </c>
      <c r="J27" s="5">
        <f>VLOOKUP($A27,tropes!$A$4:$O$2428,10,FALSE)</f>
        <v>10</v>
      </c>
      <c r="K27" s="5" t="str">
        <f>VLOOKUP($A27,tropes!$A$4:$O$2428,11,FALSE)</f>
        <v>Dagger of the Mind</v>
      </c>
      <c r="L27" s="5">
        <f>VLOOKUP($A27,tropes!$A$4:$O$2428,12,FALSE)</f>
        <v>1</v>
      </c>
      <c r="M27" s="5">
        <f>VLOOKUP($A27,tropes!$A$4:$O$2428,13,FALSE)</f>
        <v>9</v>
      </c>
      <c r="N27" s="5">
        <f t="shared" si="0"/>
        <v>0</v>
      </c>
    </row>
    <row r="28" spans="1:14" x14ac:dyDescent="0.3">
      <c r="A28" s="14">
        <v>2086</v>
      </c>
      <c r="B28" s="5" t="str">
        <f>VLOOKUP($A28,tropes!$A$4:$O$2428,2,FALSE)</f>
        <v>Screw The Rules</v>
      </c>
      <c r="C28" s="5" t="str">
        <f>VLOOKUP($A28,tropes!$A$4:$O$2428,3,FALSE)</f>
        <v>death</v>
      </c>
      <c r="D28" s="5" t="str">
        <f>VLOOKUP($A28,tropes!$A$4:$O$2428,4,FALSE)</f>
        <v>blueshirt</v>
      </c>
      <c r="E28" s="5" t="str">
        <f>VLOOKUP($A28,tropes!$A$4:$O$2428,5,FALSE)</f>
        <v>Spock risks the death penalty (the only death penalty left on the books) to return Pike to Talos IV.</v>
      </c>
      <c r="F28" s="5" t="str">
        <f>VLOOKUP($A28,tropes!$A$4:$O$2428,6,FALSE)</f>
        <v>spock</v>
      </c>
      <c r="G28" s="5">
        <f>VLOOKUP($A28,tropes!$A$4:$O$2428,7,FALSE)</f>
        <v>1</v>
      </c>
      <c r="H28" s="5">
        <f>VLOOKUP($A28,tropes!$A$4:$O$2428,8,FALSE)</f>
        <v>0</v>
      </c>
      <c r="I28" s="5">
        <f>VLOOKUP($A28,tropes!$A$4:$O$2428,9,FALSE)</f>
        <v>111</v>
      </c>
      <c r="J28" s="5">
        <f>VLOOKUP($A28,tropes!$A$4:$O$2428,10,FALSE)</f>
        <v>12</v>
      </c>
      <c r="K28" s="5" t="str">
        <f>VLOOKUP($A28,tropes!$A$4:$O$2428,11,FALSE)</f>
        <v>The Menagerie, Part I</v>
      </c>
      <c r="L28" s="5">
        <f>VLOOKUP($A28,tropes!$A$4:$O$2428,12,FALSE)</f>
        <v>1</v>
      </c>
      <c r="M28" s="5">
        <f>VLOOKUP($A28,tropes!$A$4:$O$2428,13,FALSE)</f>
        <v>11</v>
      </c>
      <c r="N28" s="5">
        <f t="shared" si="0"/>
        <v>0</v>
      </c>
    </row>
    <row r="29" spans="1:14" x14ac:dyDescent="0.3">
      <c r="A29" s="14">
        <v>1039</v>
      </c>
      <c r="B29" s="5" t="str">
        <f>VLOOKUP($A29,tropes!$A$4:$O$2428,2,FALSE)</f>
        <v>Redshirt</v>
      </c>
      <c r="C29" s="5" t="str">
        <f>VLOOKUP($A29,tropes!$A$4:$O$2428,3,FALSE)</f>
        <v>death</v>
      </c>
      <c r="D29" s="5" t="str">
        <f>VLOOKUP($A29,tropes!$A$4:$O$2428,4,FALSE)</f>
        <v>goldshirt</v>
      </c>
      <c r="E29" s="5" t="str">
        <f>VLOOKUP($A29,tropes!$A$4:$O$2428,5,FALSE)</f>
        <v>Kirk almost killed by Lenore with overloaded phaser placed in his quarters.</v>
      </c>
      <c r="F29" s="5" t="str">
        <f>VLOOKUP($A29,tropes!$A$4:$O$2428,6,FALSE)</f>
        <v>kirk</v>
      </c>
      <c r="G29" s="5">
        <f>VLOOKUP($A29,tropes!$A$4:$O$2428,7,FALSE)</f>
        <v>1</v>
      </c>
      <c r="H29" s="5">
        <f>VLOOKUP($A29,tropes!$A$4:$O$2428,8,FALSE)</f>
        <v>0</v>
      </c>
      <c r="I29" s="5">
        <f>VLOOKUP($A29,tropes!$A$4:$O$2428,9,FALSE)</f>
        <v>113</v>
      </c>
      <c r="J29" s="5">
        <f>VLOOKUP($A29,tropes!$A$4:$O$2428,10,FALSE)</f>
        <v>14</v>
      </c>
      <c r="K29" s="5" t="str">
        <f>VLOOKUP($A29,tropes!$A$4:$O$2428,11,FALSE)</f>
        <v>The Conscience of the King</v>
      </c>
      <c r="L29" s="5">
        <f>VLOOKUP($A29,tropes!$A$4:$O$2428,12,FALSE)</f>
        <v>1</v>
      </c>
      <c r="M29" s="5">
        <f>VLOOKUP($A29,tropes!$A$4:$O$2428,13,FALSE)</f>
        <v>13</v>
      </c>
      <c r="N29" s="5">
        <f t="shared" si="0"/>
        <v>0</v>
      </c>
    </row>
    <row r="30" spans="1:14" x14ac:dyDescent="0.3">
      <c r="A30" s="14">
        <v>1046</v>
      </c>
      <c r="B30" s="5" t="str">
        <f>VLOOKUP($A30,tropes!$A$4:$O$2428,2,FALSE)</f>
        <v>Redshirt</v>
      </c>
      <c r="C30" s="5" t="str">
        <f>VLOOKUP($A30,tropes!$A$4:$O$2428,3,FALSE)</f>
        <v>death</v>
      </c>
      <c r="D30" s="5" t="str">
        <f>VLOOKUP($A30,tropes!$A$4:$O$2428,4,FALSE)</f>
        <v>goldshirt</v>
      </c>
      <c r="E30" s="5" t="str">
        <f>VLOOKUP($A30,tropes!$A$4:$O$2428,5,FALSE)</f>
        <v>Lenore attempts to kill Kirk with phaser on overload in his quarters.</v>
      </c>
      <c r="F30" s="5" t="str">
        <f>VLOOKUP($A30,tropes!$A$4:$O$2428,6,FALSE)</f>
        <v>lenore</v>
      </c>
      <c r="G30" s="5">
        <f>VLOOKUP($A30,tropes!$A$4:$O$2428,7,FALSE)</f>
        <v>0</v>
      </c>
      <c r="H30" s="5">
        <f>VLOOKUP($A30,tropes!$A$4:$O$2428,8,FALSE)</f>
        <v>0</v>
      </c>
      <c r="I30" s="5">
        <f>VLOOKUP($A30,tropes!$A$4:$O$2428,9,FALSE)</f>
        <v>113</v>
      </c>
      <c r="J30" s="5">
        <f>VLOOKUP($A30,tropes!$A$4:$O$2428,10,FALSE)</f>
        <v>14</v>
      </c>
      <c r="K30" s="5" t="str">
        <f>VLOOKUP($A30,tropes!$A$4:$O$2428,11,FALSE)</f>
        <v>The Conscience of the King</v>
      </c>
      <c r="L30" s="5">
        <f>VLOOKUP($A30,tropes!$A$4:$O$2428,12,FALSE)</f>
        <v>1</v>
      </c>
      <c r="M30" s="5">
        <f>VLOOKUP($A30,tropes!$A$4:$O$2428,13,FALSE)</f>
        <v>13</v>
      </c>
      <c r="N30" s="5">
        <f t="shared" si="0"/>
        <v>1</v>
      </c>
    </row>
    <row r="31" spans="1:14" x14ac:dyDescent="0.3">
      <c r="A31" s="14">
        <v>271</v>
      </c>
      <c r="B31" s="5" t="str">
        <f>VLOOKUP($A31,tropes!$A$4:$O$2428,2,FALSE)</f>
        <v>Redshirt</v>
      </c>
      <c r="C31" s="5" t="str">
        <f>VLOOKUP($A31,tropes!$A$4:$O$2428,3,FALSE)</f>
        <v>death</v>
      </c>
      <c r="D31" s="5" t="str">
        <f>VLOOKUP($A31,tropes!$A$4:$O$2428,4,FALSE)</f>
        <v>human</v>
      </c>
      <c r="E31" s="5" t="str">
        <f>VLOOKUP($A31,tropes!$A$4:$O$2428,5,FALSE)</f>
        <v>Kodos killed by Lenore while she attempted to shoot Kirk with her phaser (which really should have been locked up for safe keeping.)</v>
      </c>
      <c r="F31" s="5" t="str">
        <f>VLOOKUP($A31,tropes!$A$4:$O$2428,6,FALSE)</f>
        <v>human</v>
      </c>
      <c r="G31" s="5">
        <f>VLOOKUP($A31,tropes!$A$4:$O$2428,7,FALSE)</f>
        <v>0</v>
      </c>
      <c r="H31" s="5">
        <f>VLOOKUP($A31,tropes!$A$4:$O$2428,8,FALSE)</f>
        <v>0</v>
      </c>
      <c r="I31" s="5">
        <f>VLOOKUP($A31,tropes!$A$4:$O$2428,9,FALSE)</f>
        <v>113</v>
      </c>
      <c r="J31" s="5">
        <f>VLOOKUP($A31,tropes!$A$4:$O$2428,10,FALSE)</f>
        <v>14</v>
      </c>
      <c r="K31" s="5" t="str">
        <f>VLOOKUP($A31,tropes!$A$4:$O$2428,11,FALSE)</f>
        <v>The Conscience of the King</v>
      </c>
      <c r="L31" s="5">
        <f>VLOOKUP($A31,tropes!$A$4:$O$2428,12,FALSE)</f>
        <v>1</v>
      </c>
      <c r="M31" s="5">
        <f>VLOOKUP($A31,tropes!$A$4:$O$2428,13,FALSE)</f>
        <v>13</v>
      </c>
      <c r="N31" s="5">
        <f t="shared" si="0"/>
        <v>2</v>
      </c>
    </row>
    <row r="32" spans="1:14" x14ac:dyDescent="0.3">
      <c r="A32" s="14">
        <v>272</v>
      </c>
      <c r="B32" s="5" t="str">
        <f>VLOOKUP($A32,tropes!$A$4:$O$2428,2,FALSE)</f>
        <v>Redshirt</v>
      </c>
      <c r="C32" s="5" t="str">
        <f>VLOOKUP($A32,tropes!$A$4:$O$2428,3,FALSE)</f>
        <v>death</v>
      </c>
      <c r="D32" s="5" t="str">
        <f>VLOOKUP($A32,tropes!$A$4:$O$2428,4,FALSE)</f>
        <v>human</v>
      </c>
      <c r="E32" s="5" t="str">
        <f>VLOOKUP($A32,tropes!$A$4:$O$2428,5,FALSE)</f>
        <v>Tom Leighton killed by Lenore.</v>
      </c>
      <c r="F32" s="5" t="str">
        <f>VLOOKUP($A32,tropes!$A$4:$O$2428,6,FALSE)</f>
        <v>human</v>
      </c>
      <c r="G32" s="5">
        <f>VLOOKUP($A32,tropes!$A$4:$O$2428,7,FALSE)</f>
        <v>0</v>
      </c>
      <c r="H32" s="5">
        <f>VLOOKUP($A32,tropes!$A$4:$O$2428,8,FALSE)</f>
        <v>0</v>
      </c>
      <c r="I32" s="5">
        <f>VLOOKUP($A32,tropes!$A$4:$O$2428,9,FALSE)</f>
        <v>113</v>
      </c>
      <c r="J32" s="5">
        <f>VLOOKUP($A32,tropes!$A$4:$O$2428,10,FALSE)</f>
        <v>14</v>
      </c>
      <c r="K32" s="5" t="str">
        <f>VLOOKUP($A32,tropes!$A$4:$O$2428,11,FALSE)</f>
        <v>The Conscience of the King</v>
      </c>
      <c r="L32" s="5">
        <f>VLOOKUP($A32,tropes!$A$4:$O$2428,12,FALSE)</f>
        <v>1</v>
      </c>
      <c r="M32" s="5">
        <f>VLOOKUP($A32,tropes!$A$4:$O$2428,13,FALSE)</f>
        <v>13</v>
      </c>
      <c r="N32" s="5">
        <f t="shared" si="0"/>
        <v>3</v>
      </c>
    </row>
    <row r="33" spans="1:14" x14ac:dyDescent="0.3">
      <c r="A33" s="14">
        <v>273</v>
      </c>
      <c r="B33" s="5" t="str">
        <f>VLOOKUP($A33,tropes!$A$4:$O$2428,2,FALSE)</f>
        <v>Redshirt</v>
      </c>
      <c r="C33" s="5" t="str">
        <f>VLOOKUP($A33,tropes!$A$4:$O$2428,3,FALSE)</f>
        <v>death</v>
      </c>
      <c r="D33" s="5" t="str">
        <f>VLOOKUP($A33,tropes!$A$4:$O$2428,4,FALSE)</f>
        <v>redshirt</v>
      </c>
      <c r="E33" s="5" t="str">
        <f>VLOOKUP($A33,tropes!$A$4:$O$2428,5,FALSE)</f>
        <v>Riley almost poisoned by Lenore while he's in working in Engineering.</v>
      </c>
      <c r="F33" s="5" t="str">
        <f>VLOOKUP($A33,tropes!$A$4:$O$2428,6,FALSE)</f>
        <v>human</v>
      </c>
      <c r="G33" s="5">
        <f>VLOOKUP($A33,tropes!$A$4:$O$2428,7,FALSE)</f>
        <v>0</v>
      </c>
      <c r="H33" s="5">
        <f>VLOOKUP($A33,tropes!$A$4:$O$2428,8,FALSE)</f>
        <v>0</v>
      </c>
      <c r="I33" s="5">
        <f>VLOOKUP($A33,tropes!$A$4:$O$2428,9,FALSE)</f>
        <v>113</v>
      </c>
      <c r="J33" s="5">
        <f>VLOOKUP($A33,tropes!$A$4:$O$2428,10,FALSE)</f>
        <v>14</v>
      </c>
      <c r="K33" s="5" t="str">
        <f>VLOOKUP($A33,tropes!$A$4:$O$2428,11,FALSE)</f>
        <v>The Conscience of the King</v>
      </c>
      <c r="L33" s="5">
        <f>VLOOKUP($A33,tropes!$A$4:$O$2428,12,FALSE)</f>
        <v>1</v>
      </c>
      <c r="M33" s="5">
        <f>VLOOKUP($A33,tropes!$A$4:$O$2428,13,FALSE)</f>
        <v>13</v>
      </c>
      <c r="N33" s="5">
        <f t="shared" si="0"/>
        <v>4</v>
      </c>
    </row>
    <row r="34" spans="1:14" x14ac:dyDescent="0.3">
      <c r="A34" s="14">
        <v>274</v>
      </c>
      <c r="B34" s="5" t="str">
        <f>VLOOKUP($A34,tropes!$A$4:$O$2428,2,FALSE)</f>
        <v>Redshirt</v>
      </c>
      <c r="C34" s="5" t="str">
        <f>VLOOKUP($A34,tropes!$A$4:$O$2428,3,FALSE)</f>
        <v>death</v>
      </c>
      <c r="D34" s="5" t="str">
        <f>VLOOKUP($A34,tropes!$A$4:$O$2428,4,FALSE)</f>
        <v>goldshirt</v>
      </c>
      <c r="E34" s="5" t="str">
        <f>VLOOKUP($A34,tropes!$A$4:$O$2428,5,FALSE)</f>
        <v>Commander Hansen killed when Romulans destroy outpost four.</v>
      </c>
      <c r="F34" s="5" t="str">
        <f>VLOOKUP($A34,tropes!$A$4:$O$2428,6,FALSE)</f>
        <v>human</v>
      </c>
      <c r="G34" s="5">
        <f>VLOOKUP($A34,tropes!$A$4:$O$2428,7,FALSE)</f>
        <v>0</v>
      </c>
      <c r="H34" s="5">
        <f>VLOOKUP($A34,tropes!$A$4:$O$2428,8,FALSE)</f>
        <v>0</v>
      </c>
      <c r="I34" s="5">
        <f>VLOOKUP($A34,tropes!$A$4:$O$2428,9,FALSE)</f>
        <v>114</v>
      </c>
      <c r="J34" s="5">
        <f>VLOOKUP($A34,tropes!$A$4:$O$2428,10,FALSE)</f>
        <v>15</v>
      </c>
      <c r="K34" s="5" t="str">
        <f>VLOOKUP($A34,tropes!$A$4:$O$2428,11,FALSE)</f>
        <v>Balance of Terror</v>
      </c>
      <c r="L34" s="5">
        <f>VLOOKUP($A34,tropes!$A$4:$O$2428,12,FALSE)</f>
        <v>1</v>
      </c>
      <c r="M34" s="5">
        <f>VLOOKUP($A34,tropes!$A$4:$O$2428,13,FALSE)</f>
        <v>14</v>
      </c>
      <c r="N34" s="5">
        <f t="shared" si="0"/>
        <v>0</v>
      </c>
    </row>
    <row r="35" spans="1:14" x14ac:dyDescent="0.3">
      <c r="A35" s="14">
        <v>275</v>
      </c>
      <c r="B35" s="5" t="str">
        <f>VLOOKUP($A35,tropes!$A$4:$O$2428,2,FALSE)</f>
        <v>Redshirt</v>
      </c>
      <c r="C35" s="5" t="str">
        <f>VLOOKUP($A35,tropes!$A$4:$O$2428,3,FALSE)</f>
        <v>death</v>
      </c>
      <c r="D35" s="5" t="str">
        <f>VLOOKUP($A35,tropes!$A$4:$O$2428,4,FALSE)</f>
        <v>goldshirt</v>
      </c>
      <c r="E35" s="5" t="str">
        <f>VLOOKUP($A35,tropes!$A$4:$O$2428,5,FALSE)</f>
        <v>Lt. Tomleson killed when Enterprise hit by Romulan plasma bolt.</v>
      </c>
      <c r="F35" s="5" t="str">
        <f>VLOOKUP($A35,tropes!$A$4:$O$2428,6,FALSE)</f>
        <v>human</v>
      </c>
      <c r="G35" s="5">
        <f>VLOOKUP($A35,tropes!$A$4:$O$2428,7,FALSE)</f>
        <v>0</v>
      </c>
      <c r="H35" s="5">
        <f>VLOOKUP($A35,tropes!$A$4:$O$2428,8,FALSE)</f>
        <v>0</v>
      </c>
      <c r="I35" s="5">
        <f>VLOOKUP($A35,tropes!$A$4:$O$2428,9,FALSE)</f>
        <v>114</v>
      </c>
      <c r="J35" s="5">
        <f>VLOOKUP($A35,tropes!$A$4:$O$2428,10,FALSE)</f>
        <v>15</v>
      </c>
      <c r="K35" s="5" t="str">
        <f>VLOOKUP($A35,tropes!$A$4:$O$2428,11,FALSE)</f>
        <v>Balance of Terror</v>
      </c>
      <c r="L35" s="5">
        <f>VLOOKUP($A35,tropes!$A$4:$O$2428,12,FALSE)</f>
        <v>1</v>
      </c>
      <c r="M35" s="5">
        <f>VLOOKUP($A35,tropes!$A$4:$O$2428,13,FALSE)</f>
        <v>14</v>
      </c>
      <c r="N35" s="5">
        <f t="shared" si="0"/>
        <v>1</v>
      </c>
    </row>
    <row r="36" spans="1:14" x14ac:dyDescent="0.3">
      <c r="A36" s="14">
        <v>1945</v>
      </c>
      <c r="B36" s="5" t="str">
        <f>VLOOKUP($A36,tropes!$A$4:$O$2428,2,FALSE)</f>
        <v>Redshirt</v>
      </c>
      <c r="C36" s="5" t="str">
        <f>VLOOKUP($A36,tropes!$A$4:$O$2428,3,FALSE)</f>
        <v>death</v>
      </c>
      <c r="D36" s="5" t="str">
        <f>VLOOKUP($A36,tropes!$A$4:$O$2428,4,FALSE)</f>
        <v>romulan</v>
      </c>
      <c r="E36" s="5" t="str">
        <f>VLOOKUP($A36,tropes!$A$4:$O$2428,5,FALSE)</f>
        <v>Romulan Centurion killed when Enterprise fires phaser at Romulan warbird.</v>
      </c>
      <c r="F36" s="5" t="str">
        <f>VLOOKUP($A36,tropes!$A$4:$O$2428,6,FALSE)</f>
        <v>romulan</v>
      </c>
      <c r="G36" s="5">
        <f>VLOOKUP($A36,tropes!$A$4:$O$2428,7,FALSE)</f>
        <v>0</v>
      </c>
      <c r="H36" s="5">
        <f>VLOOKUP($A36,tropes!$A$4:$O$2428,8,FALSE)</f>
        <v>0</v>
      </c>
      <c r="I36" s="5">
        <f>VLOOKUP($A36,tropes!$A$4:$O$2428,9,FALSE)</f>
        <v>114</v>
      </c>
      <c r="J36" s="5">
        <f>VLOOKUP($A36,tropes!$A$4:$O$2428,10,FALSE)</f>
        <v>15</v>
      </c>
      <c r="K36" s="5" t="str">
        <f>VLOOKUP($A36,tropes!$A$4:$O$2428,11,FALSE)</f>
        <v>Balance of Terror</v>
      </c>
      <c r="L36" s="5">
        <f>VLOOKUP($A36,tropes!$A$4:$O$2428,12,FALSE)</f>
        <v>1</v>
      </c>
      <c r="M36" s="5">
        <f>VLOOKUP($A36,tropes!$A$4:$O$2428,13,FALSE)</f>
        <v>14</v>
      </c>
      <c r="N36" s="5">
        <f t="shared" si="0"/>
        <v>2</v>
      </c>
    </row>
    <row r="37" spans="1:14" x14ac:dyDescent="0.3">
      <c r="A37" s="14">
        <v>1946</v>
      </c>
      <c r="B37" s="5" t="str">
        <f>VLOOKUP($A37,tropes!$A$4:$O$2428,2,FALSE)</f>
        <v>Redshirt</v>
      </c>
      <c r="C37" s="5" t="str">
        <f>VLOOKUP($A37,tropes!$A$4:$O$2428,3,FALSE)</f>
        <v>death</v>
      </c>
      <c r="D37" s="5" t="str">
        <f>VLOOKUP($A37,tropes!$A$4:$O$2428,4,FALSE)</f>
        <v>romulan</v>
      </c>
      <c r="E37" s="5" t="str">
        <f>VLOOKUP($A37,tropes!$A$4:$O$2428,5,FALSE)</f>
        <v>Romulan crew killed when Enterprise phaser hit Romulan warbird.</v>
      </c>
      <c r="F37" s="5" t="str">
        <f>VLOOKUP($A37,tropes!$A$4:$O$2428,6,FALSE)</f>
        <v>romulan</v>
      </c>
      <c r="G37" s="5">
        <f>VLOOKUP($A37,tropes!$A$4:$O$2428,7,FALSE)</f>
        <v>0</v>
      </c>
      <c r="H37" s="5">
        <f>VLOOKUP($A37,tropes!$A$4:$O$2428,8,FALSE)</f>
        <v>0</v>
      </c>
      <c r="I37" s="5">
        <f>VLOOKUP($A37,tropes!$A$4:$O$2428,9,FALSE)</f>
        <v>114</v>
      </c>
      <c r="J37" s="5">
        <f>VLOOKUP($A37,tropes!$A$4:$O$2428,10,FALSE)</f>
        <v>15</v>
      </c>
      <c r="K37" s="5" t="str">
        <f>VLOOKUP($A37,tropes!$A$4:$O$2428,11,FALSE)</f>
        <v>Balance of Terror</v>
      </c>
      <c r="L37" s="5">
        <f>VLOOKUP($A37,tropes!$A$4:$O$2428,12,FALSE)</f>
        <v>1</v>
      </c>
      <c r="M37" s="5">
        <f>VLOOKUP($A37,tropes!$A$4:$O$2428,13,FALSE)</f>
        <v>14</v>
      </c>
      <c r="N37" s="5">
        <f t="shared" si="0"/>
        <v>3</v>
      </c>
    </row>
    <row r="38" spans="1:14" x14ac:dyDescent="0.3">
      <c r="A38" s="14">
        <v>1947</v>
      </c>
      <c r="B38" s="5" t="str">
        <f>VLOOKUP($A38,tropes!$A$4:$O$2428,2,FALSE)</f>
        <v>Redshirt</v>
      </c>
      <c r="C38" s="5" t="str">
        <f>VLOOKUP($A38,tropes!$A$4:$O$2428,3,FALSE)</f>
        <v>death</v>
      </c>
      <c r="D38" s="5" t="str">
        <f>VLOOKUP($A38,tropes!$A$4:$O$2428,4,FALSE)</f>
        <v>romulan</v>
      </c>
      <c r="E38" s="5" t="str">
        <f>VLOOKUP($A38,tropes!$A$4:$O$2428,5,FALSE)</f>
        <v>Romulans self-destruct nuclear device kills Warbird crew of 22 Romulans.</v>
      </c>
      <c r="F38" s="5" t="str">
        <f>VLOOKUP($A38,tropes!$A$4:$O$2428,6,FALSE)</f>
        <v>romulan</v>
      </c>
      <c r="G38" s="5">
        <f>VLOOKUP($A38,tropes!$A$4:$O$2428,7,FALSE)</f>
        <v>0</v>
      </c>
      <c r="H38" s="5">
        <f>VLOOKUP($A38,tropes!$A$4:$O$2428,8,FALSE)</f>
        <v>0</v>
      </c>
      <c r="I38" s="5">
        <f>VLOOKUP($A38,tropes!$A$4:$O$2428,9,FALSE)</f>
        <v>114</v>
      </c>
      <c r="J38" s="5">
        <f>VLOOKUP($A38,tropes!$A$4:$O$2428,10,FALSE)</f>
        <v>15</v>
      </c>
      <c r="K38" s="5" t="str">
        <f>VLOOKUP($A38,tropes!$A$4:$O$2428,11,FALSE)</f>
        <v>Balance of Terror</v>
      </c>
      <c r="L38" s="5">
        <f>VLOOKUP($A38,tropes!$A$4:$O$2428,12,FALSE)</f>
        <v>1</v>
      </c>
      <c r="M38" s="5">
        <f>VLOOKUP($A38,tropes!$A$4:$O$2428,13,FALSE)</f>
        <v>14</v>
      </c>
      <c r="N38" s="5">
        <f t="shared" si="0"/>
        <v>4</v>
      </c>
    </row>
    <row r="39" spans="1:14" x14ac:dyDescent="0.3">
      <c r="A39" s="14">
        <v>1571</v>
      </c>
      <c r="B39" s="5" t="str">
        <f>VLOOKUP($A39,tropes!$A$4:$O$2428,2,FALSE)</f>
        <v>Only Mostly Dead</v>
      </c>
      <c r="C39" s="5" t="str">
        <f>VLOOKUP($A39,tropes!$A$4:$O$2428,3,FALSE)</f>
        <v>death</v>
      </c>
      <c r="D39" s="5" t="str">
        <f>VLOOKUP($A39,tropes!$A$4:$O$2428,4,FALSE)</f>
        <v>blueshirt</v>
      </c>
      <c r="E39" s="5" t="str">
        <f>VLOOKUP($A39,tropes!$A$4:$O$2428,5,FALSE)</f>
        <v>McCoy skewered by lance of charging knight but got resurrected.</v>
      </c>
      <c r="F39" s="5" t="str">
        <f>VLOOKUP($A39,tropes!$A$4:$O$2428,6,FALSE)</f>
        <v>mccoy</v>
      </c>
      <c r="G39" s="5">
        <f>VLOOKUP($A39,tropes!$A$4:$O$2428,7,FALSE)</f>
        <v>0</v>
      </c>
      <c r="H39" s="5">
        <f>VLOOKUP($A39,tropes!$A$4:$O$2428,8,FALSE)</f>
        <v>1</v>
      </c>
      <c r="I39" s="5">
        <f>VLOOKUP($A39,tropes!$A$4:$O$2428,9,FALSE)</f>
        <v>115</v>
      </c>
      <c r="J39" s="5">
        <f>VLOOKUP($A39,tropes!$A$4:$O$2428,10,FALSE)</f>
        <v>16</v>
      </c>
      <c r="K39" s="5" t="str">
        <f>VLOOKUP($A39,tropes!$A$4:$O$2428,11,FALSE)</f>
        <v>Shore Leave</v>
      </c>
      <c r="L39" s="5">
        <f>VLOOKUP($A39,tropes!$A$4:$O$2428,12,FALSE)</f>
        <v>1</v>
      </c>
      <c r="M39" s="5">
        <f>VLOOKUP($A39,tropes!$A$4:$O$2428,13,FALSE)</f>
        <v>15</v>
      </c>
      <c r="N39" s="5">
        <f t="shared" si="0"/>
        <v>0</v>
      </c>
    </row>
    <row r="40" spans="1:14" x14ac:dyDescent="0.3">
      <c r="A40" s="14">
        <v>280</v>
      </c>
      <c r="B40" s="5" t="str">
        <f>VLOOKUP($A40,tropes!$A$4:$O$2428,2,FALSE)</f>
        <v>Only Mostly Dead</v>
      </c>
      <c r="C40" s="5" t="str">
        <f>VLOOKUP($A40,tropes!$A$4:$O$2428,3,FALSE)</f>
        <v>death</v>
      </c>
      <c r="D40" s="5" t="str">
        <f>VLOOKUP($A40,tropes!$A$4:$O$2428,4,FALSE)</f>
        <v>gold-skirt</v>
      </c>
      <c r="E40" s="5" t="str">
        <f>VLOOKUP($A40,tropes!$A$4:$O$2428,5,FALSE)</f>
        <v>Lt. Angela Martinez killed by strafing fighter plane. Resurrected by amusement park owners.</v>
      </c>
      <c r="F40" s="5" t="str">
        <f>VLOOKUP($A40,tropes!$A$4:$O$2428,6,FALSE)</f>
        <v>human</v>
      </c>
      <c r="G40" s="5">
        <f>VLOOKUP($A40,tropes!$A$4:$O$2428,7,FALSE)</f>
        <v>0</v>
      </c>
      <c r="H40" s="5">
        <f>VLOOKUP($A40,tropes!$A$4:$O$2428,8,FALSE)</f>
        <v>0</v>
      </c>
      <c r="I40" s="5">
        <f>VLOOKUP($A40,tropes!$A$4:$O$2428,9,FALSE)</f>
        <v>115</v>
      </c>
      <c r="J40" s="5">
        <f>VLOOKUP($A40,tropes!$A$4:$O$2428,10,FALSE)</f>
        <v>16</v>
      </c>
      <c r="K40" s="5" t="str">
        <f>VLOOKUP($A40,tropes!$A$4:$O$2428,11,FALSE)</f>
        <v>Shore Leave</v>
      </c>
      <c r="L40" s="5">
        <f>VLOOKUP($A40,tropes!$A$4:$O$2428,12,FALSE)</f>
        <v>1</v>
      </c>
      <c r="M40" s="5">
        <f>VLOOKUP($A40,tropes!$A$4:$O$2428,13,FALSE)</f>
        <v>15</v>
      </c>
      <c r="N40" s="5">
        <f t="shared" si="0"/>
        <v>1</v>
      </c>
    </row>
    <row r="41" spans="1:14" x14ac:dyDescent="0.3">
      <c r="A41" s="14">
        <v>286</v>
      </c>
      <c r="B41" s="5" t="str">
        <f>VLOOKUP($A41,tropes!$A$4:$O$2428,2,FALSE)</f>
        <v>Redshirt</v>
      </c>
      <c r="C41" s="5" t="str">
        <f>VLOOKUP($A41,tropes!$A$4:$O$2428,3,FALSE)</f>
        <v>death</v>
      </c>
      <c r="D41" s="5" t="str">
        <f>VLOOKUP($A41,tropes!$A$4:$O$2428,4,FALSE)</f>
        <v>blueshirt</v>
      </c>
      <c r="E41" s="5" t="str">
        <f>VLOOKUP($A41,tropes!$A$4:$O$2428,5,FALSE)</f>
        <v>Ensign O'Neill killed by caveman.</v>
      </c>
      <c r="F41" s="5" t="str">
        <f>VLOOKUP($A41,tropes!$A$4:$O$2428,6,FALSE)</f>
        <v>human</v>
      </c>
      <c r="G41" s="5">
        <f>VLOOKUP($A41,tropes!$A$4:$O$2428,7,FALSE)</f>
        <v>0</v>
      </c>
      <c r="H41" s="5">
        <f>VLOOKUP($A41,tropes!$A$4:$O$2428,8,FALSE)</f>
        <v>0</v>
      </c>
      <c r="I41" s="5">
        <f>VLOOKUP($A41,tropes!$A$4:$O$2428,9,FALSE)</f>
        <v>116</v>
      </c>
      <c r="J41" s="5">
        <f>VLOOKUP($A41,tropes!$A$4:$O$2428,10,FALSE)</f>
        <v>17</v>
      </c>
      <c r="K41" s="5" t="str">
        <f>VLOOKUP($A41,tropes!$A$4:$O$2428,11,FALSE)</f>
        <v>The Galileo Seven</v>
      </c>
      <c r="L41" s="5">
        <f>VLOOKUP($A41,tropes!$A$4:$O$2428,12,FALSE)</f>
        <v>1</v>
      </c>
      <c r="M41" s="5">
        <f>VLOOKUP($A41,tropes!$A$4:$O$2428,13,FALSE)</f>
        <v>16</v>
      </c>
      <c r="N41" s="5">
        <f t="shared" si="0"/>
        <v>0</v>
      </c>
    </row>
    <row r="42" spans="1:14" x14ac:dyDescent="0.3">
      <c r="A42" s="14">
        <v>287</v>
      </c>
      <c r="B42" s="5" t="str">
        <f>VLOOKUP($A42,tropes!$A$4:$O$2428,2,FALSE)</f>
        <v>Redshirt</v>
      </c>
      <c r="C42" s="5" t="str">
        <f>VLOOKUP($A42,tropes!$A$4:$O$2428,3,FALSE)</f>
        <v>death</v>
      </c>
      <c r="D42" s="5" t="str">
        <f>VLOOKUP($A42,tropes!$A$4:$O$2428,4,FALSE)</f>
        <v>goldshirt</v>
      </c>
      <c r="E42" s="5" t="str">
        <f>VLOOKUP($A42,tropes!$A$4:$O$2428,5,FALSE)</f>
        <v>Lt. Gaetano killed by caveman.</v>
      </c>
      <c r="F42" s="5" t="str">
        <f>VLOOKUP($A42,tropes!$A$4:$O$2428,6,FALSE)</f>
        <v>human</v>
      </c>
      <c r="G42" s="5">
        <f>VLOOKUP($A42,tropes!$A$4:$O$2428,7,FALSE)</f>
        <v>0</v>
      </c>
      <c r="H42" s="5">
        <f>VLOOKUP($A42,tropes!$A$4:$O$2428,8,FALSE)</f>
        <v>0</v>
      </c>
      <c r="I42" s="5">
        <f>VLOOKUP($A42,tropes!$A$4:$O$2428,9,FALSE)</f>
        <v>116</v>
      </c>
      <c r="J42" s="5">
        <f>VLOOKUP($A42,tropes!$A$4:$O$2428,10,FALSE)</f>
        <v>17</v>
      </c>
      <c r="K42" s="5" t="str">
        <f>VLOOKUP($A42,tropes!$A$4:$O$2428,11,FALSE)</f>
        <v>The Galileo Seven</v>
      </c>
      <c r="L42" s="5">
        <f>VLOOKUP($A42,tropes!$A$4:$O$2428,12,FALSE)</f>
        <v>1</v>
      </c>
      <c r="M42" s="5">
        <f>VLOOKUP($A42,tropes!$A$4:$O$2428,13,FALSE)</f>
        <v>16</v>
      </c>
      <c r="N42" s="5">
        <f t="shared" si="0"/>
        <v>1</v>
      </c>
    </row>
    <row r="43" spans="1:14" x14ac:dyDescent="0.3">
      <c r="A43" s="14">
        <v>288</v>
      </c>
      <c r="B43" s="5" t="str">
        <f>VLOOKUP($A43,tropes!$A$4:$O$2428,2,FALSE)</f>
        <v>Redshirt</v>
      </c>
      <c r="C43" s="5" t="str">
        <f>VLOOKUP($A43,tropes!$A$4:$O$2428,3,FALSE)</f>
        <v>death</v>
      </c>
      <c r="D43" s="5" t="str">
        <f>VLOOKUP($A43,tropes!$A$4:$O$2428,4,FALSE)</f>
        <v>goldshirt</v>
      </c>
      <c r="E43" s="5" t="str">
        <f>VLOOKUP($A43,tropes!$A$4:$O$2428,5,FALSE)</f>
        <v>Lt. Latimer killed by caveman.</v>
      </c>
      <c r="F43" s="5" t="str">
        <f>VLOOKUP($A43,tropes!$A$4:$O$2428,6,FALSE)</f>
        <v>human</v>
      </c>
      <c r="G43" s="5">
        <f>VLOOKUP($A43,tropes!$A$4:$O$2428,7,FALSE)</f>
        <v>0</v>
      </c>
      <c r="H43" s="5">
        <f>VLOOKUP($A43,tropes!$A$4:$O$2428,8,FALSE)</f>
        <v>0</v>
      </c>
      <c r="I43" s="5">
        <f>VLOOKUP($A43,tropes!$A$4:$O$2428,9,FALSE)</f>
        <v>116</v>
      </c>
      <c r="J43" s="5">
        <f>VLOOKUP($A43,tropes!$A$4:$O$2428,10,FALSE)</f>
        <v>17</v>
      </c>
      <c r="K43" s="5" t="str">
        <f>VLOOKUP($A43,tropes!$A$4:$O$2428,11,FALSE)</f>
        <v>The Galileo Seven</v>
      </c>
      <c r="L43" s="5">
        <f>VLOOKUP($A43,tropes!$A$4:$O$2428,12,FALSE)</f>
        <v>1</v>
      </c>
      <c r="M43" s="5">
        <f>VLOOKUP($A43,tropes!$A$4:$O$2428,13,FALSE)</f>
        <v>16</v>
      </c>
      <c r="N43" s="5">
        <f t="shared" si="0"/>
        <v>2</v>
      </c>
    </row>
    <row r="44" spans="1:14" x14ac:dyDescent="0.3">
      <c r="A44" s="14">
        <v>289</v>
      </c>
      <c r="B44" s="5" t="str">
        <f>VLOOKUP($A44,tropes!$A$4:$O$2428,2,FALSE)</f>
        <v>Mauve Shirt</v>
      </c>
      <c r="C44" s="5" t="str">
        <f>VLOOKUP($A44,tropes!$A$4:$O$2428,3,FALSE)</f>
        <v>death</v>
      </c>
      <c r="D44" s="5" t="str">
        <f>VLOOKUP($A44,tropes!$A$4:$O$2428,4,FALSE)</f>
        <v>goldshirt</v>
      </c>
      <c r="E44" s="5" t="str">
        <f>VLOOKUP($A44,tropes!$A$4:$O$2428,5,FALSE)</f>
        <v>Lt. DeSalle one of the crewmen abducted by the Squire of Gothos</v>
      </c>
      <c r="F44" s="5" t="str">
        <f>VLOOKUP($A44,tropes!$A$4:$O$2428,6,FALSE)</f>
        <v>human</v>
      </c>
      <c r="G44" s="5">
        <f>VLOOKUP($A44,tropes!$A$4:$O$2428,7,FALSE)</f>
        <v>0</v>
      </c>
      <c r="H44" s="5">
        <f>VLOOKUP($A44,tropes!$A$4:$O$2428,8,FALSE)</f>
        <v>0</v>
      </c>
      <c r="I44" s="5">
        <f>VLOOKUP($A44,tropes!$A$4:$O$2428,9,FALSE)</f>
        <v>117</v>
      </c>
      <c r="J44" s="5">
        <f>VLOOKUP($A44,tropes!$A$4:$O$2428,10,FALSE)</f>
        <v>18</v>
      </c>
      <c r="K44" s="5" t="str">
        <f>VLOOKUP($A44,tropes!$A$4:$O$2428,11,FALSE)</f>
        <v>The Squire of Gothos</v>
      </c>
      <c r="L44" s="5">
        <f>VLOOKUP($A44,tropes!$A$4:$O$2428,12,FALSE)</f>
        <v>1</v>
      </c>
      <c r="M44" s="5">
        <f>VLOOKUP($A44,tropes!$A$4:$O$2428,13,FALSE)</f>
        <v>17</v>
      </c>
      <c r="N44" s="5">
        <f t="shared" si="0"/>
        <v>0</v>
      </c>
    </row>
    <row r="45" spans="1:14" x14ac:dyDescent="0.3">
      <c r="A45" s="14">
        <v>293</v>
      </c>
      <c r="B45" s="5" t="str">
        <f>VLOOKUP($A45,tropes!$A$4:$O$2428,2,FALSE)</f>
        <v>Redshirt</v>
      </c>
      <c r="C45" s="5" t="str">
        <f>VLOOKUP($A45,tropes!$A$4:$O$2428,3,FALSE)</f>
        <v>death</v>
      </c>
      <c r="D45" s="5" t="str">
        <f>VLOOKUP($A45,tropes!$A$4:$O$2428,4,FALSE)</f>
        <v>goldshirt</v>
      </c>
      <c r="E45" s="5" t="str">
        <f>VLOOKUP($A45,tropes!$A$4:$O$2428,5,FALSE)</f>
        <v>Lt. Lang disintegrated by Gorn.</v>
      </c>
      <c r="F45" s="5" t="str">
        <f>VLOOKUP($A45,tropes!$A$4:$O$2428,6,FALSE)</f>
        <v>human</v>
      </c>
      <c r="G45" s="5">
        <f>VLOOKUP($A45,tropes!$A$4:$O$2428,7,FALSE)</f>
        <v>0</v>
      </c>
      <c r="H45" s="5">
        <f>VLOOKUP($A45,tropes!$A$4:$O$2428,8,FALSE)</f>
        <v>0</v>
      </c>
      <c r="I45" s="5">
        <f>VLOOKUP($A45,tropes!$A$4:$O$2428,9,FALSE)</f>
        <v>118</v>
      </c>
      <c r="J45" s="5">
        <f>VLOOKUP($A45,tropes!$A$4:$O$2428,10,FALSE)</f>
        <v>19</v>
      </c>
      <c r="K45" s="5" t="str">
        <f>VLOOKUP($A45,tropes!$A$4:$O$2428,11,FALSE)</f>
        <v>Arena</v>
      </c>
      <c r="L45" s="5">
        <f>VLOOKUP($A45,tropes!$A$4:$O$2428,12,FALSE)</f>
        <v>1</v>
      </c>
      <c r="M45" s="5">
        <f>VLOOKUP($A45,tropes!$A$4:$O$2428,13,FALSE)</f>
        <v>18</v>
      </c>
      <c r="N45" s="5">
        <f t="shared" si="0"/>
        <v>0</v>
      </c>
    </row>
    <row r="46" spans="1:14" x14ac:dyDescent="0.3">
      <c r="A46" s="14">
        <v>294</v>
      </c>
      <c r="B46" s="5" t="str">
        <f>VLOOKUP($A46,tropes!$A$4:$O$2428,2,FALSE)</f>
        <v>Redshirt</v>
      </c>
      <c r="C46" s="5" t="str">
        <f>VLOOKUP($A46,tropes!$A$4:$O$2428,3,FALSE)</f>
        <v>death</v>
      </c>
      <c r="D46" s="5" t="str">
        <f>VLOOKUP($A46,tropes!$A$4:$O$2428,4,FALSE)</f>
        <v>redshirt</v>
      </c>
      <c r="E46" s="5" t="str">
        <f>VLOOKUP($A46,tropes!$A$4:$O$2428,5,FALSE)</f>
        <v>Lt. O'Herlihy disintegrated by Gorn.</v>
      </c>
      <c r="F46" s="5" t="str">
        <f>VLOOKUP($A46,tropes!$A$4:$O$2428,6,FALSE)</f>
        <v>human</v>
      </c>
      <c r="G46" s="5">
        <f>VLOOKUP($A46,tropes!$A$4:$O$2428,7,FALSE)</f>
        <v>0</v>
      </c>
      <c r="H46" s="5">
        <f>VLOOKUP($A46,tropes!$A$4:$O$2428,8,FALSE)</f>
        <v>0</v>
      </c>
      <c r="I46" s="5">
        <f>VLOOKUP($A46,tropes!$A$4:$O$2428,9,FALSE)</f>
        <v>118</v>
      </c>
      <c r="J46" s="5">
        <f>VLOOKUP($A46,tropes!$A$4:$O$2428,10,FALSE)</f>
        <v>19</v>
      </c>
      <c r="K46" s="5" t="str">
        <f>VLOOKUP($A46,tropes!$A$4:$O$2428,11,FALSE)</f>
        <v>Arena</v>
      </c>
      <c r="L46" s="5">
        <f>VLOOKUP($A46,tropes!$A$4:$O$2428,12,FALSE)</f>
        <v>1</v>
      </c>
      <c r="M46" s="5">
        <f>VLOOKUP($A46,tropes!$A$4:$O$2428,13,FALSE)</f>
        <v>18</v>
      </c>
      <c r="N46" s="5">
        <f t="shared" si="0"/>
        <v>1</v>
      </c>
    </row>
    <row r="47" spans="1:14" x14ac:dyDescent="0.3">
      <c r="A47" s="14">
        <v>304</v>
      </c>
      <c r="B47" s="5" t="str">
        <f>VLOOKUP($A47,tropes!$A$4:$O$2428,2,FALSE)</f>
        <v>Redshirt</v>
      </c>
      <c r="C47" s="5" t="str">
        <f>VLOOKUP($A47,tropes!$A$4:$O$2428,3,FALSE)</f>
        <v>death</v>
      </c>
      <c r="D47" s="5" t="str">
        <f>VLOOKUP($A47,tropes!$A$4:$O$2428,4,FALSE)</f>
        <v>human</v>
      </c>
      <c r="E47" s="5" t="str">
        <f>VLOOKUP($A47,tropes!$A$4:$O$2428,5,FALSE)</f>
        <v>Tamar killed by minions of Landru with staff.</v>
      </c>
      <c r="F47" s="5" t="str">
        <f>VLOOKUP($A47,tropes!$A$4:$O$2428,6,FALSE)</f>
        <v>human</v>
      </c>
      <c r="G47" s="5">
        <f>VLOOKUP($A47,tropes!$A$4:$O$2428,7,FALSE)</f>
        <v>0</v>
      </c>
      <c r="H47" s="5">
        <f>VLOOKUP($A47,tropes!$A$4:$O$2428,8,FALSE)</f>
        <v>0</v>
      </c>
      <c r="I47" s="5">
        <f>VLOOKUP($A47,tropes!$A$4:$O$2428,9,FALSE)</f>
        <v>121</v>
      </c>
      <c r="J47" s="5">
        <f>VLOOKUP($A47,tropes!$A$4:$O$2428,10,FALSE)</f>
        <v>22</v>
      </c>
      <c r="K47" s="5" t="str">
        <f>VLOOKUP($A47,tropes!$A$4:$O$2428,11,FALSE)</f>
        <v>The Return of the Archons</v>
      </c>
      <c r="L47" s="5">
        <f>VLOOKUP($A47,tropes!$A$4:$O$2428,12,FALSE)</f>
        <v>1</v>
      </c>
      <c r="M47" s="5">
        <f>VLOOKUP($A47,tropes!$A$4:$O$2428,13,FALSE)</f>
        <v>21</v>
      </c>
      <c r="N47" s="5">
        <f t="shared" si="0"/>
        <v>0</v>
      </c>
    </row>
    <row r="48" spans="1:14" x14ac:dyDescent="0.3">
      <c r="A48" s="14">
        <v>314</v>
      </c>
      <c r="B48" s="5" t="str">
        <f>VLOOKUP($A48,tropes!$A$4:$O$2428,2,FALSE)</f>
        <v>Redshirt</v>
      </c>
      <c r="C48" s="5" t="str">
        <f>VLOOKUP($A48,tropes!$A$4:$O$2428,3,FALSE)</f>
        <v>death</v>
      </c>
      <c r="D48" s="5" t="str">
        <f>VLOOKUP($A48,tropes!$A$4:$O$2428,4,FALSE)</f>
        <v>human</v>
      </c>
      <c r="E48" s="5" t="str">
        <f>VLOOKUP($A48,tropes!$A$4:$O$2428,5,FALSE)</f>
        <v>Ambassador Fox's assistant killed when Eminiar guards attack.</v>
      </c>
      <c r="F48" s="5" t="str">
        <f>VLOOKUP($A48,tropes!$A$4:$O$2428,6,FALSE)</f>
        <v>human</v>
      </c>
      <c r="G48" s="5">
        <f>VLOOKUP($A48,tropes!$A$4:$O$2428,7,FALSE)</f>
        <v>0</v>
      </c>
      <c r="H48" s="5">
        <f>VLOOKUP($A48,tropes!$A$4:$O$2428,8,FALSE)</f>
        <v>0</v>
      </c>
      <c r="I48" s="5">
        <f>VLOOKUP($A48,tropes!$A$4:$O$2428,9,FALSE)</f>
        <v>123</v>
      </c>
      <c r="J48" s="5">
        <f>VLOOKUP($A48,tropes!$A$4:$O$2428,10,FALSE)</f>
        <v>24</v>
      </c>
      <c r="K48" s="5" t="str">
        <f>VLOOKUP($A48,tropes!$A$4:$O$2428,11,FALSE)</f>
        <v>A Taste of Armageddon</v>
      </c>
      <c r="L48" s="5">
        <f>VLOOKUP($A48,tropes!$A$4:$O$2428,12,FALSE)</f>
        <v>1</v>
      </c>
      <c r="M48" s="5">
        <f>VLOOKUP($A48,tropes!$A$4:$O$2428,13,FALSE)</f>
        <v>23</v>
      </c>
      <c r="N48" s="5">
        <f t="shared" si="0"/>
        <v>0</v>
      </c>
    </row>
    <row r="49" spans="1:14" x14ac:dyDescent="0.3">
      <c r="A49" s="14">
        <v>315</v>
      </c>
      <c r="B49" s="5" t="str">
        <f>VLOOKUP($A49,tropes!$A$4:$O$2428,2,FALSE)</f>
        <v>Redshirt</v>
      </c>
      <c r="C49" s="5" t="str">
        <f>VLOOKUP($A49,tropes!$A$4:$O$2428,3,FALSE)</f>
        <v>death</v>
      </c>
      <c r="D49" s="5" t="str">
        <f>VLOOKUP($A49,tropes!$A$4:$O$2428,4,FALSE)</f>
        <v>human</v>
      </c>
      <c r="E49" s="5" t="str">
        <f>VLOOKUP($A49,tropes!$A$4:$O$2428,5,FALSE)</f>
        <v>Eminiar guard killed by Spock when party is ambushed (1).</v>
      </c>
      <c r="F49" s="5" t="str">
        <f>VLOOKUP($A49,tropes!$A$4:$O$2428,6,FALSE)</f>
        <v>human</v>
      </c>
      <c r="G49" s="5">
        <f>VLOOKUP($A49,tropes!$A$4:$O$2428,7,FALSE)</f>
        <v>0</v>
      </c>
      <c r="H49" s="5">
        <f>VLOOKUP($A49,tropes!$A$4:$O$2428,8,FALSE)</f>
        <v>0</v>
      </c>
      <c r="I49" s="5">
        <f>VLOOKUP($A49,tropes!$A$4:$O$2428,9,FALSE)</f>
        <v>123</v>
      </c>
      <c r="J49" s="5">
        <f>VLOOKUP($A49,tropes!$A$4:$O$2428,10,FALSE)</f>
        <v>24</v>
      </c>
      <c r="K49" s="5" t="str">
        <f>VLOOKUP($A49,tropes!$A$4:$O$2428,11,FALSE)</f>
        <v>A Taste of Armageddon</v>
      </c>
      <c r="L49" s="5">
        <f>VLOOKUP($A49,tropes!$A$4:$O$2428,12,FALSE)</f>
        <v>1</v>
      </c>
      <c r="M49" s="5">
        <f>VLOOKUP($A49,tropes!$A$4:$O$2428,13,FALSE)</f>
        <v>23</v>
      </c>
      <c r="N49" s="5">
        <f t="shared" si="0"/>
        <v>1</v>
      </c>
    </row>
    <row r="50" spans="1:14" x14ac:dyDescent="0.3">
      <c r="A50" s="14">
        <v>316</v>
      </c>
      <c r="B50" s="5" t="str">
        <f>VLOOKUP($A50,tropes!$A$4:$O$2428,2,FALSE)</f>
        <v>Redshirt</v>
      </c>
      <c r="C50" s="5" t="str">
        <f>VLOOKUP($A50,tropes!$A$4:$O$2428,3,FALSE)</f>
        <v>death</v>
      </c>
      <c r="D50" s="5" t="str">
        <f>VLOOKUP($A50,tropes!$A$4:$O$2428,4,FALSE)</f>
        <v>human</v>
      </c>
      <c r="E50" s="5" t="str">
        <f>VLOOKUP($A50,tropes!$A$4:$O$2428,5,FALSE)</f>
        <v>Eminiar guard killed by Spock when party is ambushed (2).</v>
      </c>
      <c r="F50" s="5" t="str">
        <f>VLOOKUP($A50,tropes!$A$4:$O$2428,6,FALSE)</f>
        <v>human</v>
      </c>
      <c r="G50" s="5">
        <f>VLOOKUP($A50,tropes!$A$4:$O$2428,7,FALSE)</f>
        <v>0</v>
      </c>
      <c r="H50" s="5">
        <f>VLOOKUP($A50,tropes!$A$4:$O$2428,8,FALSE)</f>
        <v>0</v>
      </c>
      <c r="I50" s="5">
        <f>VLOOKUP($A50,tropes!$A$4:$O$2428,9,FALSE)</f>
        <v>123</v>
      </c>
      <c r="J50" s="5">
        <f>VLOOKUP($A50,tropes!$A$4:$O$2428,10,FALSE)</f>
        <v>24</v>
      </c>
      <c r="K50" s="5" t="str">
        <f>VLOOKUP($A50,tropes!$A$4:$O$2428,11,FALSE)</f>
        <v>A Taste of Armageddon</v>
      </c>
      <c r="L50" s="5">
        <f>VLOOKUP($A50,tropes!$A$4:$O$2428,12,FALSE)</f>
        <v>1</v>
      </c>
      <c r="M50" s="5">
        <f>VLOOKUP($A50,tropes!$A$4:$O$2428,13,FALSE)</f>
        <v>23</v>
      </c>
      <c r="N50" s="5">
        <f t="shared" si="0"/>
        <v>2</v>
      </c>
    </row>
    <row r="51" spans="1:14" x14ac:dyDescent="0.3">
      <c r="A51" s="14">
        <v>186</v>
      </c>
      <c r="B51" s="5" t="str">
        <f>VLOOKUP($A51,tropes!$A$4:$O$2428,2,FALSE)</f>
        <v>Mauve Shirt</v>
      </c>
      <c r="C51" s="5" t="str">
        <f>VLOOKUP($A51,tropes!$A$4:$O$2428,3,FALSE)</f>
        <v>death</v>
      </c>
      <c r="D51" s="5" t="str">
        <f>VLOOKUP($A51,tropes!$A$4:$O$2428,4,FALSE)</f>
        <v>goldshirt</v>
      </c>
      <c r="E51" s="5" t="str">
        <f>VLOOKUP($A51,tropes!$A$4:$O$2428,5,FALSE)</f>
        <v>Lt. DeSalle accompanied Kirk to investigate colonist on Omicron Ceti III</v>
      </c>
      <c r="F51" s="5" t="str">
        <f>VLOOKUP($A51,tropes!$A$4:$O$2428,6,FALSE)</f>
        <v>desalle</v>
      </c>
      <c r="G51" s="5">
        <f>VLOOKUP($A51,tropes!$A$4:$O$2428,7,FALSE)</f>
        <v>0</v>
      </c>
      <c r="H51" s="5">
        <f>VLOOKUP($A51,tropes!$A$4:$O$2428,8,FALSE)</f>
        <v>0</v>
      </c>
      <c r="I51" s="5">
        <f>VLOOKUP($A51,tropes!$A$4:$O$2428,9,FALSE)</f>
        <v>124</v>
      </c>
      <c r="J51" s="5">
        <f>VLOOKUP($A51,tropes!$A$4:$O$2428,10,FALSE)</f>
        <v>25</v>
      </c>
      <c r="K51" s="5" t="str">
        <f>VLOOKUP($A51,tropes!$A$4:$O$2428,11,FALSE)</f>
        <v>This Side of Paradise</v>
      </c>
      <c r="L51" s="5">
        <f>VLOOKUP($A51,tropes!$A$4:$O$2428,12,FALSE)</f>
        <v>1</v>
      </c>
      <c r="M51" s="5">
        <f>VLOOKUP($A51,tropes!$A$4:$O$2428,13,FALSE)</f>
        <v>24</v>
      </c>
      <c r="N51" s="5">
        <f t="shared" si="0"/>
        <v>0</v>
      </c>
    </row>
    <row r="52" spans="1:14" x14ac:dyDescent="0.3">
      <c r="A52" s="14">
        <v>324</v>
      </c>
      <c r="B52" s="5" t="str">
        <f>VLOOKUP($A52,tropes!$A$4:$O$2428,2,FALSE)</f>
        <v>Redshirt</v>
      </c>
      <c r="C52" s="5" t="str">
        <f>VLOOKUP($A52,tropes!$A$4:$O$2428,3,FALSE)</f>
        <v>death</v>
      </c>
      <c r="D52" s="5" t="str">
        <f>VLOOKUP($A52,tropes!$A$4:$O$2428,4,FALSE)</f>
        <v>human</v>
      </c>
      <c r="E52" s="5" t="str">
        <f>VLOOKUP($A52,tropes!$A$4:$O$2428,5,FALSE)</f>
        <v>50 miners killed by Horta as reported by Chief Engineer Vanderberg.</v>
      </c>
      <c r="F52" s="5" t="str">
        <f>VLOOKUP($A52,tropes!$A$4:$O$2428,6,FALSE)</f>
        <v>human</v>
      </c>
      <c r="G52" s="5">
        <f>VLOOKUP($A52,tropes!$A$4:$O$2428,7,FALSE)</f>
        <v>0</v>
      </c>
      <c r="H52" s="5">
        <f>VLOOKUP($A52,tropes!$A$4:$O$2428,8,FALSE)</f>
        <v>0</v>
      </c>
      <c r="I52" s="5">
        <f>VLOOKUP($A52,tropes!$A$4:$O$2428,9,FALSE)</f>
        <v>125</v>
      </c>
      <c r="J52" s="5">
        <f>VLOOKUP($A52,tropes!$A$4:$O$2428,10,FALSE)</f>
        <v>26</v>
      </c>
      <c r="K52" s="5" t="str">
        <f>VLOOKUP($A52,tropes!$A$4:$O$2428,11,FALSE)</f>
        <v>The Devil in the Dark</v>
      </c>
      <c r="L52" s="5">
        <f>VLOOKUP($A52,tropes!$A$4:$O$2428,12,FALSE)</f>
        <v>1</v>
      </c>
      <c r="M52" s="5">
        <f>VLOOKUP($A52,tropes!$A$4:$O$2428,13,FALSE)</f>
        <v>25</v>
      </c>
      <c r="N52" s="5">
        <f t="shared" si="0"/>
        <v>0</v>
      </c>
    </row>
    <row r="53" spans="1:14" x14ac:dyDescent="0.3">
      <c r="A53" s="14">
        <v>325</v>
      </c>
      <c r="B53" s="5" t="str">
        <f>VLOOKUP($A53,tropes!$A$4:$O$2428,2,FALSE)</f>
        <v>Redshirt</v>
      </c>
      <c r="C53" s="5" t="str">
        <f>VLOOKUP($A53,tropes!$A$4:$O$2428,3,FALSE)</f>
        <v>death</v>
      </c>
      <c r="D53" s="5" t="str">
        <f>VLOOKUP($A53,tropes!$A$4:$O$2428,4,FALSE)</f>
        <v>human</v>
      </c>
      <c r="E53" s="5" t="str">
        <f>VLOOKUP($A53,tropes!$A$4:$O$2428,5,FALSE)</f>
        <v>Miner dissolved with corrosive acid by Horta.</v>
      </c>
      <c r="F53" s="5" t="str">
        <f>VLOOKUP($A53,tropes!$A$4:$O$2428,6,FALSE)</f>
        <v>human</v>
      </c>
      <c r="G53" s="5">
        <f>VLOOKUP($A53,tropes!$A$4:$O$2428,7,FALSE)</f>
        <v>0</v>
      </c>
      <c r="H53" s="5">
        <f>VLOOKUP($A53,tropes!$A$4:$O$2428,8,FALSE)</f>
        <v>0</v>
      </c>
      <c r="I53" s="5">
        <f>VLOOKUP($A53,tropes!$A$4:$O$2428,9,FALSE)</f>
        <v>125</v>
      </c>
      <c r="J53" s="5">
        <f>VLOOKUP($A53,tropes!$A$4:$O$2428,10,FALSE)</f>
        <v>26</v>
      </c>
      <c r="K53" s="5" t="str">
        <f>VLOOKUP($A53,tropes!$A$4:$O$2428,11,FALSE)</f>
        <v>The Devil in the Dark</v>
      </c>
      <c r="L53" s="5">
        <f>VLOOKUP($A53,tropes!$A$4:$O$2428,12,FALSE)</f>
        <v>1</v>
      </c>
      <c r="M53" s="5">
        <f>VLOOKUP($A53,tropes!$A$4:$O$2428,13,FALSE)</f>
        <v>25</v>
      </c>
      <c r="N53" s="5">
        <f t="shared" si="0"/>
        <v>1</v>
      </c>
    </row>
    <row r="54" spans="1:14" x14ac:dyDescent="0.3">
      <c r="A54" s="14">
        <v>326</v>
      </c>
      <c r="B54" s="5" t="str">
        <f>VLOOKUP($A54,tropes!$A$4:$O$2428,2,FALSE)</f>
        <v>Redshirt</v>
      </c>
      <c r="C54" s="5" t="str">
        <f>VLOOKUP($A54,tropes!$A$4:$O$2428,3,FALSE)</f>
        <v>death</v>
      </c>
      <c r="D54" s="5" t="str">
        <f>VLOOKUP($A54,tropes!$A$4:$O$2428,4,FALSE)</f>
        <v>human</v>
      </c>
      <c r="E54" s="5" t="str">
        <f>VLOOKUP($A54,tropes!$A$4:$O$2428,5,FALSE)</f>
        <v>Smithers (a miner) is dissolved with corrosive acid by Horta.</v>
      </c>
      <c r="F54" s="5" t="str">
        <f>VLOOKUP($A54,tropes!$A$4:$O$2428,6,FALSE)</f>
        <v>human</v>
      </c>
      <c r="G54" s="5">
        <f>VLOOKUP($A54,tropes!$A$4:$O$2428,7,FALSE)</f>
        <v>0</v>
      </c>
      <c r="H54" s="5">
        <f>VLOOKUP($A54,tropes!$A$4:$O$2428,8,FALSE)</f>
        <v>0</v>
      </c>
      <c r="I54" s="5">
        <f>VLOOKUP($A54,tropes!$A$4:$O$2428,9,FALSE)</f>
        <v>125</v>
      </c>
      <c r="J54" s="5">
        <f>VLOOKUP($A54,tropes!$A$4:$O$2428,10,FALSE)</f>
        <v>26</v>
      </c>
      <c r="K54" s="5" t="str">
        <f>VLOOKUP($A54,tropes!$A$4:$O$2428,11,FALSE)</f>
        <v>The Devil in the Dark</v>
      </c>
      <c r="L54" s="5">
        <f>VLOOKUP($A54,tropes!$A$4:$O$2428,12,FALSE)</f>
        <v>1</v>
      </c>
      <c r="M54" s="5">
        <f>VLOOKUP($A54,tropes!$A$4:$O$2428,13,FALSE)</f>
        <v>25</v>
      </c>
      <c r="N54" s="5">
        <f t="shared" si="0"/>
        <v>2</v>
      </c>
    </row>
    <row r="55" spans="1:14" x14ac:dyDescent="0.3">
      <c r="A55" s="14">
        <v>327</v>
      </c>
      <c r="B55" s="5" t="str">
        <f>VLOOKUP($A55,tropes!$A$4:$O$2428,2,FALSE)</f>
        <v>Redshirt</v>
      </c>
      <c r="C55" s="5" t="str">
        <f>VLOOKUP($A55,tropes!$A$4:$O$2428,3,FALSE)</f>
        <v>death</v>
      </c>
      <c r="D55" s="5" t="str">
        <f>VLOOKUP($A55,tropes!$A$4:$O$2428,4,FALSE)</f>
        <v>redshirt</v>
      </c>
      <c r="E55" s="5" t="str">
        <f>VLOOKUP($A55,tropes!$A$4:$O$2428,5,FALSE)</f>
        <v>Security Officer dissolved with corrosive acid by Horta.</v>
      </c>
      <c r="F55" s="5" t="str">
        <f>VLOOKUP($A55,tropes!$A$4:$O$2428,6,FALSE)</f>
        <v>human</v>
      </c>
      <c r="G55" s="5">
        <f>VLOOKUP($A55,tropes!$A$4:$O$2428,7,FALSE)</f>
        <v>0</v>
      </c>
      <c r="H55" s="5">
        <f>VLOOKUP($A55,tropes!$A$4:$O$2428,8,FALSE)</f>
        <v>0</v>
      </c>
      <c r="I55" s="5">
        <f>VLOOKUP($A55,tropes!$A$4:$O$2428,9,FALSE)</f>
        <v>125</v>
      </c>
      <c r="J55" s="5">
        <f>VLOOKUP($A55,tropes!$A$4:$O$2428,10,FALSE)</f>
        <v>26</v>
      </c>
      <c r="K55" s="5" t="str">
        <f>VLOOKUP($A55,tropes!$A$4:$O$2428,11,FALSE)</f>
        <v>The Devil in the Dark</v>
      </c>
      <c r="L55" s="5">
        <f>VLOOKUP($A55,tropes!$A$4:$O$2428,12,FALSE)</f>
        <v>1</v>
      </c>
      <c r="M55" s="5">
        <f>VLOOKUP($A55,tropes!$A$4:$O$2428,13,FALSE)</f>
        <v>25</v>
      </c>
      <c r="N55" s="5">
        <f t="shared" si="0"/>
        <v>3</v>
      </c>
    </row>
    <row r="56" spans="1:14" x14ac:dyDescent="0.3">
      <c r="A56" s="14">
        <v>76</v>
      </c>
      <c r="B56" s="5" t="str">
        <f>VLOOKUP($A56,tropes!$A$4:$O$2428,2,FALSE)</f>
        <v>Redshirt</v>
      </c>
      <c r="C56" s="5" t="str">
        <f>VLOOKUP($A56,tropes!$A$4:$O$2428,3,FALSE)</f>
        <v>death</v>
      </c>
      <c r="D56" s="5" t="str">
        <f>VLOOKUP($A56,tropes!$A$4:$O$2428,4,FALSE)</f>
        <v>alien</v>
      </c>
      <c r="E56" s="5" t="str">
        <f>VLOOKUP($A56,tropes!$A$4:$O$2428,5,FALSE)</f>
        <v>Averted: 200 Organians sent to be killed by Kor for civil disobedience.</v>
      </c>
      <c r="F56" s="5" t="str">
        <f>VLOOKUP($A56,tropes!$A$4:$O$2428,6,FALSE)</f>
        <v>alien</v>
      </c>
      <c r="G56" s="5">
        <f>VLOOKUP($A56,tropes!$A$4:$O$2428,7,FALSE)</f>
        <v>0</v>
      </c>
      <c r="H56" s="5">
        <f>VLOOKUP($A56,tropes!$A$4:$O$2428,8,FALSE)</f>
        <v>0</v>
      </c>
      <c r="I56" s="5">
        <f>VLOOKUP($A56,tropes!$A$4:$O$2428,9,FALSE)</f>
        <v>126</v>
      </c>
      <c r="J56" s="5">
        <f>VLOOKUP($A56,tropes!$A$4:$O$2428,10,FALSE)</f>
        <v>27</v>
      </c>
      <c r="K56" s="5" t="str">
        <f>VLOOKUP($A56,tropes!$A$4:$O$2428,11,FALSE)</f>
        <v>Errand of Mercy</v>
      </c>
      <c r="L56" s="5">
        <f>VLOOKUP($A56,tropes!$A$4:$O$2428,12,FALSE)</f>
        <v>1</v>
      </c>
      <c r="M56" s="5">
        <f>VLOOKUP($A56,tropes!$A$4:$O$2428,13,FALSE)</f>
        <v>26</v>
      </c>
      <c r="N56" s="5">
        <f t="shared" si="0"/>
        <v>0</v>
      </c>
    </row>
    <row r="57" spans="1:14" x14ac:dyDescent="0.3">
      <c r="A57" s="14">
        <v>1458</v>
      </c>
      <c r="B57" s="5" t="str">
        <f>VLOOKUP($A57,tropes!$A$4:$O$2428,2,FALSE)</f>
        <v>Redshirt</v>
      </c>
      <c r="C57" s="5" t="str">
        <f>VLOOKUP($A57,tropes!$A$4:$O$2428,3,FALSE)</f>
        <v>death</v>
      </c>
      <c r="D57" s="5" t="str">
        <f>VLOOKUP($A57,tropes!$A$4:$O$2428,4,FALSE)</f>
        <v>klingon</v>
      </c>
      <c r="E57" s="5" t="str">
        <f>VLOOKUP($A57,tropes!$A$4:$O$2428,5,FALSE)</f>
        <v>Klingon crew killed when Enterprise shoots phasers war ship.</v>
      </c>
      <c r="F57" s="5" t="str">
        <f>VLOOKUP($A57,tropes!$A$4:$O$2428,6,FALSE)</f>
        <v>klingon</v>
      </c>
      <c r="G57" s="5">
        <f>VLOOKUP($A57,tropes!$A$4:$O$2428,7,FALSE)</f>
        <v>0</v>
      </c>
      <c r="H57" s="5">
        <f>VLOOKUP($A57,tropes!$A$4:$O$2428,8,FALSE)</f>
        <v>0</v>
      </c>
      <c r="I57" s="5">
        <f>VLOOKUP($A57,tropes!$A$4:$O$2428,9,FALSE)</f>
        <v>126</v>
      </c>
      <c r="J57" s="5">
        <f>VLOOKUP($A57,tropes!$A$4:$O$2428,10,FALSE)</f>
        <v>27</v>
      </c>
      <c r="K57" s="5" t="str">
        <f>VLOOKUP($A57,tropes!$A$4:$O$2428,11,FALSE)</f>
        <v>Errand of Mercy</v>
      </c>
      <c r="L57" s="5">
        <f>VLOOKUP($A57,tropes!$A$4:$O$2428,12,FALSE)</f>
        <v>1</v>
      </c>
      <c r="M57" s="5">
        <f>VLOOKUP($A57,tropes!$A$4:$O$2428,13,FALSE)</f>
        <v>26</v>
      </c>
      <c r="N57" s="5">
        <f t="shared" si="0"/>
        <v>1</v>
      </c>
    </row>
    <row r="58" spans="1:14" x14ac:dyDescent="0.3">
      <c r="A58" s="14">
        <v>345</v>
      </c>
      <c r="B58" s="5" t="str">
        <f>VLOOKUP($A58,tropes!$A$4:$O$2428,2,FALSE)</f>
        <v>Redshirt</v>
      </c>
      <c r="C58" s="5" t="str">
        <f>VLOOKUP($A58,tropes!$A$4:$O$2428,3,FALSE)</f>
        <v>death</v>
      </c>
      <c r="D58" s="5" t="str">
        <f>VLOOKUP($A58,tropes!$A$4:$O$2428,4,FALSE)</f>
        <v>human</v>
      </c>
      <c r="E58" s="5" t="str">
        <f>VLOOKUP($A58,tropes!$A$4:$O$2428,5,FALSE)</f>
        <v>Derelict  dies when mishandling McCoy's phaser.</v>
      </c>
      <c r="F58" s="5" t="str">
        <f>VLOOKUP($A58,tropes!$A$4:$O$2428,6,FALSE)</f>
        <v>human</v>
      </c>
      <c r="G58" s="5">
        <f>VLOOKUP($A58,tropes!$A$4:$O$2428,7,FALSE)</f>
        <v>0</v>
      </c>
      <c r="H58" s="5">
        <f>VLOOKUP($A58,tropes!$A$4:$O$2428,8,FALSE)</f>
        <v>0</v>
      </c>
      <c r="I58" s="5">
        <f>VLOOKUP($A58,tropes!$A$4:$O$2428,9,FALSE)</f>
        <v>128</v>
      </c>
      <c r="J58" s="5">
        <f>VLOOKUP($A58,tropes!$A$4:$O$2428,10,FALSE)</f>
        <v>29</v>
      </c>
      <c r="K58" s="5" t="str">
        <f>VLOOKUP($A58,tropes!$A$4:$O$2428,11,FALSE)</f>
        <v>The City on the Edge of Forever</v>
      </c>
      <c r="L58" s="5">
        <f>VLOOKUP($A58,tropes!$A$4:$O$2428,12,FALSE)</f>
        <v>1</v>
      </c>
      <c r="M58" s="5">
        <f>VLOOKUP($A58,tropes!$A$4:$O$2428,13,FALSE)</f>
        <v>28</v>
      </c>
      <c r="N58" s="5">
        <f t="shared" si="0"/>
        <v>0</v>
      </c>
    </row>
    <row r="59" spans="1:14" x14ac:dyDescent="0.3">
      <c r="A59" s="14">
        <v>346</v>
      </c>
      <c r="B59" s="5" t="str">
        <f>VLOOKUP($A59,tropes!$A$4:$O$2428,2,FALSE)</f>
        <v>Redshirt</v>
      </c>
      <c r="C59" s="5" t="str">
        <f>VLOOKUP($A59,tropes!$A$4:$O$2428,3,FALSE)</f>
        <v>death</v>
      </c>
      <c r="D59" s="5" t="str">
        <f>VLOOKUP($A59,tropes!$A$4:$O$2428,4,FALSE)</f>
        <v>human</v>
      </c>
      <c r="E59" s="5" t="str">
        <f>VLOOKUP($A59,tropes!$A$4:$O$2428,5,FALSE)</f>
        <v>Edith Keeler dies in auto accident.</v>
      </c>
      <c r="F59" s="5" t="str">
        <f>VLOOKUP($A59,tropes!$A$4:$O$2428,6,FALSE)</f>
        <v>edith</v>
      </c>
      <c r="G59" s="5">
        <f>VLOOKUP($A59,tropes!$A$4:$O$2428,7,FALSE)</f>
        <v>0</v>
      </c>
      <c r="H59" s="5">
        <f>VLOOKUP($A59,tropes!$A$4:$O$2428,8,FALSE)</f>
        <v>0</v>
      </c>
      <c r="I59" s="5">
        <f>VLOOKUP($A59,tropes!$A$4:$O$2428,9,FALSE)</f>
        <v>128</v>
      </c>
      <c r="J59" s="5">
        <f>VLOOKUP($A59,tropes!$A$4:$O$2428,10,FALSE)</f>
        <v>29</v>
      </c>
      <c r="K59" s="5" t="str">
        <f>VLOOKUP($A59,tropes!$A$4:$O$2428,11,FALSE)</f>
        <v>The City on the Edge of Forever</v>
      </c>
      <c r="L59" s="5">
        <f>VLOOKUP($A59,tropes!$A$4:$O$2428,12,FALSE)</f>
        <v>1</v>
      </c>
      <c r="M59" s="5">
        <f>VLOOKUP($A59,tropes!$A$4:$O$2428,13,FALSE)</f>
        <v>28</v>
      </c>
      <c r="N59" s="5">
        <f t="shared" si="0"/>
        <v>1</v>
      </c>
    </row>
    <row r="60" spans="1:14" x14ac:dyDescent="0.3">
      <c r="A60" s="14">
        <v>349</v>
      </c>
      <c r="B60" s="5" t="str">
        <f>VLOOKUP($A60,tropes!$A$4:$O$2428,2,FALSE)</f>
        <v>Redshirt</v>
      </c>
      <c r="C60" s="5" t="str">
        <f>VLOOKUP($A60,tropes!$A$4:$O$2428,3,FALSE)</f>
        <v>death</v>
      </c>
      <c r="D60" s="5" t="str">
        <f>VLOOKUP($A60,tropes!$A$4:$O$2428,4,FALSE)</f>
        <v>human</v>
      </c>
      <c r="E60" s="5" t="str">
        <f>VLOOKUP($A60,tropes!$A$4:$O$2428,5,FALSE)</f>
        <v>Aurelan Kirk. Attacked by alien single-celled parasites—later dies in sick bay.</v>
      </c>
      <c r="F60" s="5" t="str">
        <f>VLOOKUP($A60,tropes!$A$4:$O$2428,6,FALSE)</f>
        <v>human</v>
      </c>
      <c r="G60" s="5">
        <f>VLOOKUP($A60,tropes!$A$4:$O$2428,7,FALSE)</f>
        <v>0</v>
      </c>
      <c r="H60" s="5">
        <f>VLOOKUP($A60,tropes!$A$4:$O$2428,8,FALSE)</f>
        <v>0</v>
      </c>
      <c r="I60" s="5">
        <f>VLOOKUP($A60,tropes!$A$4:$O$2428,9,FALSE)</f>
        <v>129</v>
      </c>
      <c r="J60" s="5">
        <f>VLOOKUP($A60,tropes!$A$4:$O$2428,10,FALSE)</f>
        <v>30</v>
      </c>
      <c r="K60" s="5" t="str">
        <f>VLOOKUP($A60,tropes!$A$4:$O$2428,11,FALSE)</f>
        <v>Operation: Annihilate!</v>
      </c>
      <c r="L60" s="5">
        <f>VLOOKUP($A60,tropes!$A$4:$O$2428,12,FALSE)</f>
        <v>1</v>
      </c>
      <c r="M60" s="5">
        <f>VLOOKUP($A60,tropes!$A$4:$O$2428,13,FALSE)</f>
        <v>29</v>
      </c>
      <c r="N60" s="5">
        <f t="shared" si="0"/>
        <v>0</v>
      </c>
    </row>
    <row r="61" spans="1:14" x14ac:dyDescent="0.3">
      <c r="A61" s="14">
        <v>350</v>
      </c>
      <c r="B61" s="5" t="str">
        <f>VLOOKUP($A61,tropes!$A$4:$O$2428,2,FALSE)</f>
        <v>Redshirt</v>
      </c>
      <c r="C61" s="5" t="str">
        <f>VLOOKUP($A61,tropes!$A$4:$O$2428,3,FALSE)</f>
        <v>death</v>
      </c>
      <c r="D61" s="5" t="str">
        <f>VLOOKUP($A61,tropes!$A$4:$O$2428,4,FALSE)</f>
        <v>human</v>
      </c>
      <c r="E61" s="5" t="str">
        <f>VLOOKUP($A61,tropes!$A$4:$O$2428,5,FALSE)</f>
        <v>Sam Kirk killed by alien single-celled parasites.</v>
      </c>
      <c r="F61" s="5" t="str">
        <f>VLOOKUP($A61,tropes!$A$4:$O$2428,6,FALSE)</f>
        <v>human</v>
      </c>
      <c r="G61" s="5">
        <f>VLOOKUP($A61,tropes!$A$4:$O$2428,7,FALSE)</f>
        <v>0</v>
      </c>
      <c r="H61" s="5">
        <f>VLOOKUP($A61,tropes!$A$4:$O$2428,8,FALSE)</f>
        <v>0</v>
      </c>
      <c r="I61" s="5">
        <f>VLOOKUP($A61,tropes!$A$4:$O$2428,9,FALSE)</f>
        <v>129</v>
      </c>
      <c r="J61" s="5">
        <f>VLOOKUP($A61,tropes!$A$4:$O$2428,10,FALSE)</f>
        <v>30</v>
      </c>
      <c r="K61" s="5" t="str">
        <f>VLOOKUP($A61,tropes!$A$4:$O$2428,11,FALSE)</f>
        <v>Operation: Annihilate!</v>
      </c>
      <c r="L61" s="5">
        <f>VLOOKUP($A61,tropes!$A$4:$O$2428,12,FALSE)</f>
        <v>1</v>
      </c>
      <c r="M61" s="5">
        <f>VLOOKUP($A61,tropes!$A$4:$O$2428,13,FALSE)</f>
        <v>29</v>
      </c>
      <c r="N61" s="5">
        <f t="shared" si="0"/>
        <v>1</v>
      </c>
    </row>
    <row r="62" spans="1:14" x14ac:dyDescent="0.3">
      <c r="A62" s="14">
        <v>1700</v>
      </c>
      <c r="B62" s="5" t="str">
        <f>VLOOKUP($A62,tropes!$A$4:$O$2428,2,FALSE)</f>
        <v>Only Mostly Dead</v>
      </c>
      <c r="C62" s="5" t="str">
        <f>VLOOKUP($A62,tropes!$A$4:$O$2428,3,FALSE)</f>
        <v>death</v>
      </c>
      <c r="D62" s="5" t="str">
        <f>VLOOKUP($A62,tropes!$A$4:$O$2428,4,FALSE)</f>
        <v>goldshirt</v>
      </c>
      <c r="E62" s="5" t="str">
        <f>VLOOKUP($A62,tropes!$A$4:$O$2428,5,FALSE)</f>
        <v>McCoy slips Kirk a mickey and he appears to die in battle.</v>
      </c>
      <c r="F62" s="5" t="str">
        <f>VLOOKUP($A62,tropes!$A$4:$O$2428,6,FALSE)</f>
        <v>kirk</v>
      </c>
      <c r="G62" s="5">
        <f>VLOOKUP($A62,tropes!$A$4:$O$2428,7,FALSE)</f>
        <v>1</v>
      </c>
      <c r="H62" s="5">
        <f>VLOOKUP($A62,tropes!$A$4:$O$2428,8,FALSE)</f>
        <v>0</v>
      </c>
      <c r="I62" s="5">
        <f>VLOOKUP($A62,tropes!$A$4:$O$2428,9,FALSE)</f>
        <v>201</v>
      </c>
      <c r="J62" s="5">
        <f>VLOOKUP($A62,tropes!$A$4:$O$2428,10,FALSE)</f>
        <v>31</v>
      </c>
      <c r="K62" s="5" t="str">
        <f>VLOOKUP($A62,tropes!$A$4:$O$2428,11,FALSE)</f>
        <v>Amok Time</v>
      </c>
      <c r="L62" s="5">
        <f>VLOOKUP($A62,tropes!$A$4:$O$2428,12,FALSE)</f>
        <v>2</v>
      </c>
      <c r="M62" s="5">
        <f>VLOOKUP($A62,tropes!$A$4:$O$2428,13,FALSE)</f>
        <v>1</v>
      </c>
      <c r="N62" s="5">
        <f t="shared" si="0"/>
        <v>0</v>
      </c>
    </row>
    <row r="63" spans="1:14" x14ac:dyDescent="0.3">
      <c r="A63" s="14">
        <v>1058</v>
      </c>
      <c r="B63" s="5" t="str">
        <f>VLOOKUP($A63,tropes!$A$4:$O$2428,2,FALSE)</f>
        <v>Redshirt</v>
      </c>
      <c r="C63" s="5" t="str">
        <f>VLOOKUP($A63,tropes!$A$4:$O$2428,3,FALSE)</f>
        <v>death</v>
      </c>
      <c r="D63" s="5" t="str">
        <f>VLOOKUP($A63,tropes!$A$4:$O$2428,4,FALSE)</f>
        <v>goldshirt</v>
      </c>
      <c r="E63" s="5" t="str">
        <f>VLOOKUP($A63,tropes!$A$4:$O$2428,5,FALSE)</f>
        <v>Kirk's death faked by McCoy during fight with Spock on Vulcan.</v>
      </c>
      <c r="F63" s="5" t="str">
        <f>VLOOKUP($A63,tropes!$A$4:$O$2428,6,FALSE)</f>
        <v>kirk</v>
      </c>
      <c r="G63" s="5">
        <f>VLOOKUP($A63,tropes!$A$4:$O$2428,7,FALSE)</f>
        <v>1</v>
      </c>
      <c r="H63" s="5">
        <f>VLOOKUP($A63,tropes!$A$4:$O$2428,8,FALSE)</f>
        <v>0</v>
      </c>
      <c r="I63" s="5">
        <f>VLOOKUP($A63,tropes!$A$4:$O$2428,9,FALSE)</f>
        <v>201</v>
      </c>
      <c r="J63" s="5">
        <f>VLOOKUP($A63,tropes!$A$4:$O$2428,10,FALSE)</f>
        <v>31</v>
      </c>
      <c r="K63" s="5" t="str">
        <f>VLOOKUP($A63,tropes!$A$4:$O$2428,11,FALSE)</f>
        <v>Amok Time</v>
      </c>
      <c r="L63" s="5">
        <f>VLOOKUP($A63,tropes!$A$4:$O$2428,12,FALSE)</f>
        <v>2</v>
      </c>
      <c r="M63" s="5">
        <f>VLOOKUP($A63,tropes!$A$4:$O$2428,13,FALSE)</f>
        <v>1</v>
      </c>
      <c r="N63" s="5">
        <f t="shared" si="0"/>
        <v>1</v>
      </c>
    </row>
    <row r="64" spans="1:14" x14ac:dyDescent="0.3">
      <c r="A64" s="14">
        <v>1957</v>
      </c>
      <c r="B64" s="5" t="str">
        <f>VLOOKUP($A64,tropes!$A$4:$O$2428,2,FALSE)</f>
        <v>Only Mostly Dead</v>
      </c>
      <c r="C64" s="5" t="str">
        <f>VLOOKUP($A64,tropes!$A$4:$O$2428,3,FALSE)</f>
        <v>death</v>
      </c>
      <c r="D64" s="5" t="str">
        <f>VLOOKUP($A64,tropes!$A$4:$O$2428,4,FALSE)</f>
        <v>redshirt</v>
      </c>
      <c r="E64" s="5" t="str">
        <f>VLOOKUP($A64,tropes!$A$4:$O$2428,5,FALSE)</f>
        <v>Averted: Scotty killed by Nomads energy beam but Nomad repaired the damage and Scotty was alive again.</v>
      </c>
      <c r="F64" s="5" t="str">
        <f>VLOOKUP($A64,tropes!$A$4:$O$2428,6,FALSE)</f>
        <v>scotty</v>
      </c>
      <c r="G64" s="5">
        <f>VLOOKUP($A64,tropes!$A$4:$O$2428,7,FALSE)</f>
        <v>0</v>
      </c>
      <c r="H64" s="5">
        <f>VLOOKUP($A64,tropes!$A$4:$O$2428,8,FALSE)</f>
        <v>1</v>
      </c>
      <c r="I64" s="5">
        <f>VLOOKUP($A64,tropes!$A$4:$O$2428,9,FALSE)</f>
        <v>203</v>
      </c>
      <c r="J64" s="5">
        <f>VLOOKUP($A64,tropes!$A$4:$O$2428,10,FALSE)</f>
        <v>33</v>
      </c>
      <c r="K64" s="5" t="str">
        <f>VLOOKUP($A64,tropes!$A$4:$O$2428,11,FALSE)</f>
        <v>The Changeling</v>
      </c>
      <c r="L64" s="5">
        <f>VLOOKUP($A64,tropes!$A$4:$O$2428,12,FALSE)</f>
        <v>2</v>
      </c>
      <c r="M64" s="5">
        <f>VLOOKUP($A64,tropes!$A$4:$O$2428,13,FALSE)</f>
        <v>3</v>
      </c>
      <c r="N64" s="5">
        <f t="shared" si="0"/>
        <v>0</v>
      </c>
    </row>
    <row r="65" spans="1:14" x14ac:dyDescent="0.3">
      <c r="A65" s="14">
        <v>351</v>
      </c>
      <c r="B65" s="5" t="str">
        <f>VLOOKUP($A65,tropes!$A$4:$O$2428,2,FALSE)</f>
        <v>Redshirt</v>
      </c>
      <c r="C65" s="5" t="str">
        <f>VLOOKUP($A65,tropes!$A$4:$O$2428,3,FALSE)</f>
        <v>death</v>
      </c>
      <c r="D65" s="5" t="str">
        <f>VLOOKUP($A65,tropes!$A$4:$O$2428,4,FALSE)</f>
        <v>redshirt</v>
      </c>
      <c r="E65" s="5" t="str">
        <f>VLOOKUP($A65,tropes!$A$4:$O$2428,5,FALSE)</f>
        <v>Security officer escorting Nomad to security area is killed. (1-1)</v>
      </c>
      <c r="F65" s="5" t="str">
        <f>VLOOKUP($A65,tropes!$A$4:$O$2428,6,FALSE)</f>
        <v>human</v>
      </c>
      <c r="G65" s="5">
        <f>VLOOKUP($A65,tropes!$A$4:$O$2428,7,FALSE)</f>
        <v>0</v>
      </c>
      <c r="H65" s="5">
        <f>VLOOKUP($A65,tropes!$A$4:$O$2428,8,FALSE)</f>
        <v>0</v>
      </c>
      <c r="I65" s="5">
        <f>VLOOKUP($A65,tropes!$A$4:$O$2428,9,FALSE)</f>
        <v>203</v>
      </c>
      <c r="J65" s="5">
        <f>VLOOKUP($A65,tropes!$A$4:$O$2428,10,FALSE)</f>
        <v>33</v>
      </c>
      <c r="K65" s="5" t="str">
        <f>VLOOKUP($A65,tropes!$A$4:$O$2428,11,FALSE)</f>
        <v>The Changeling</v>
      </c>
      <c r="L65" s="5">
        <f>VLOOKUP($A65,tropes!$A$4:$O$2428,12,FALSE)</f>
        <v>2</v>
      </c>
      <c r="M65" s="5">
        <f>VLOOKUP($A65,tropes!$A$4:$O$2428,13,FALSE)</f>
        <v>3</v>
      </c>
      <c r="N65" s="5">
        <f t="shared" si="0"/>
        <v>1</v>
      </c>
    </row>
    <row r="66" spans="1:14" x14ac:dyDescent="0.3">
      <c r="A66" s="14">
        <v>352</v>
      </c>
      <c r="B66" s="5" t="str">
        <f>VLOOKUP($A66,tropes!$A$4:$O$2428,2,FALSE)</f>
        <v>Redshirt</v>
      </c>
      <c r="C66" s="5" t="str">
        <f>VLOOKUP($A66,tropes!$A$4:$O$2428,3,FALSE)</f>
        <v>death</v>
      </c>
      <c r="D66" s="5" t="str">
        <f>VLOOKUP($A66,tropes!$A$4:$O$2428,4,FALSE)</f>
        <v>redshirt</v>
      </c>
      <c r="E66" s="5" t="str">
        <f>VLOOKUP($A66,tropes!$A$4:$O$2428,5,FALSE)</f>
        <v>Security officer escorting Nomad to security area is killed. (1-2)</v>
      </c>
      <c r="F66" s="5" t="str">
        <f>VLOOKUP($A66,tropes!$A$4:$O$2428,6,FALSE)</f>
        <v>human</v>
      </c>
      <c r="G66" s="5">
        <f>VLOOKUP($A66,tropes!$A$4:$O$2428,7,FALSE)</f>
        <v>0</v>
      </c>
      <c r="H66" s="5">
        <f>VLOOKUP($A66,tropes!$A$4:$O$2428,8,FALSE)</f>
        <v>0</v>
      </c>
      <c r="I66" s="5">
        <f>VLOOKUP($A66,tropes!$A$4:$O$2428,9,FALSE)</f>
        <v>203</v>
      </c>
      <c r="J66" s="5">
        <f>VLOOKUP($A66,tropes!$A$4:$O$2428,10,FALSE)</f>
        <v>33</v>
      </c>
      <c r="K66" s="5" t="str">
        <f>VLOOKUP($A66,tropes!$A$4:$O$2428,11,FALSE)</f>
        <v>The Changeling</v>
      </c>
      <c r="L66" s="5">
        <f>VLOOKUP($A66,tropes!$A$4:$O$2428,12,FALSE)</f>
        <v>2</v>
      </c>
      <c r="M66" s="5">
        <f>VLOOKUP($A66,tropes!$A$4:$O$2428,13,FALSE)</f>
        <v>3</v>
      </c>
      <c r="N66" s="5">
        <f t="shared" si="0"/>
        <v>2</v>
      </c>
    </row>
    <row r="67" spans="1:14" x14ac:dyDescent="0.3">
      <c r="A67" s="14">
        <v>353</v>
      </c>
      <c r="B67" s="5" t="str">
        <f>VLOOKUP($A67,tropes!$A$4:$O$2428,2,FALSE)</f>
        <v>Redshirt</v>
      </c>
      <c r="C67" s="5" t="str">
        <f>VLOOKUP($A67,tropes!$A$4:$O$2428,3,FALSE)</f>
        <v>death</v>
      </c>
      <c r="D67" s="5" t="str">
        <f>VLOOKUP($A67,tropes!$A$4:$O$2428,4,FALSE)</f>
        <v>redshirt</v>
      </c>
      <c r="E67" s="5" t="str">
        <f>VLOOKUP($A67,tropes!$A$4:$O$2428,5,FALSE)</f>
        <v>Security officer escorting Nomad to security area is killed. (2-1)</v>
      </c>
      <c r="F67" s="5" t="str">
        <f>VLOOKUP($A67,tropes!$A$4:$O$2428,6,FALSE)</f>
        <v>human</v>
      </c>
      <c r="G67" s="5">
        <f>VLOOKUP($A67,tropes!$A$4:$O$2428,7,FALSE)</f>
        <v>0</v>
      </c>
      <c r="H67" s="5">
        <f>VLOOKUP($A67,tropes!$A$4:$O$2428,8,FALSE)</f>
        <v>0</v>
      </c>
      <c r="I67" s="5">
        <f>VLOOKUP($A67,tropes!$A$4:$O$2428,9,FALSE)</f>
        <v>203</v>
      </c>
      <c r="J67" s="5">
        <f>VLOOKUP($A67,tropes!$A$4:$O$2428,10,FALSE)</f>
        <v>33</v>
      </c>
      <c r="K67" s="5" t="str">
        <f>VLOOKUP($A67,tropes!$A$4:$O$2428,11,FALSE)</f>
        <v>The Changeling</v>
      </c>
      <c r="L67" s="5">
        <f>VLOOKUP($A67,tropes!$A$4:$O$2428,12,FALSE)</f>
        <v>2</v>
      </c>
      <c r="M67" s="5">
        <f>VLOOKUP($A67,tropes!$A$4:$O$2428,13,FALSE)</f>
        <v>3</v>
      </c>
      <c r="N67" s="5">
        <f t="shared" si="0"/>
        <v>3</v>
      </c>
    </row>
    <row r="68" spans="1:14" x14ac:dyDescent="0.3">
      <c r="A68" s="14">
        <v>354</v>
      </c>
      <c r="B68" s="5" t="str">
        <f>VLOOKUP($A68,tropes!$A$4:$O$2428,2,FALSE)</f>
        <v>Redshirt</v>
      </c>
      <c r="C68" s="5" t="str">
        <f>VLOOKUP($A68,tropes!$A$4:$O$2428,3,FALSE)</f>
        <v>death</v>
      </c>
      <c r="D68" s="5" t="str">
        <f>VLOOKUP($A68,tropes!$A$4:$O$2428,4,FALSE)</f>
        <v>redshirt</v>
      </c>
      <c r="E68" s="5" t="str">
        <f>VLOOKUP($A68,tropes!$A$4:$O$2428,5,FALSE)</f>
        <v>Security officer escorting Nomad to security area is killed. (2-2)</v>
      </c>
      <c r="F68" s="5" t="str">
        <f>VLOOKUP($A68,tropes!$A$4:$O$2428,6,FALSE)</f>
        <v>human</v>
      </c>
      <c r="G68" s="5">
        <f>VLOOKUP($A68,tropes!$A$4:$O$2428,7,FALSE)</f>
        <v>0</v>
      </c>
      <c r="H68" s="5">
        <f>VLOOKUP($A68,tropes!$A$4:$O$2428,8,FALSE)</f>
        <v>0</v>
      </c>
      <c r="I68" s="5">
        <f>VLOOKUP($A68,tropes!$A$4:$O$2428,9,FALSE)</f>
        <v>203</v>
      </c>
      <c r="J68" s="5">
        <f>VLOOKUP($A68,tropes!$A$4:$O$2428,10,FALSE)</f>
        <v>33</v>
      </c>
      <c r="K68" s="5" t="str">
        <f>VLOOKUP($A68,tropes!$A$4:$O$2428,11,FALSE)</f>
        <v>The Changeling</v>
      </c>
      <c r="L68" s="5">
        <f>VLOOKUP($A68,tropes!$A$4:$O$2428,12,FALSE)</f>
        <v>2</v>
      </c>
      <c r="M68" s="5">
        <f>VLOOKUP($A68,tropes!$A$4:$O$2428,13,FALSE)</f>
        <v>3</v>
      </c>
      <c r="N68" s="5">
        <f t="shared" ref="N68:N95" si="1">IF(I68&lt;&gt;I67,0,N67+1)</f>
        <v>4</v>
      </c>
    </row>
    <row r="69" spans="1:14" x14ac:dyDescent="0.3">
      <c r="A69" s="14">
        <v>2930</v>
      </c>
      <c r="B69" s="5" t="str">
        <f>VLOOKUP($A69,tropes!$A$4:$O$2428,2,FALSE)</f>
        <v>Redshirt</v>
      </c>
      <c r="C69" s="5" t="str">
        <f>VLOOKUP($A69,tropes!$A$4:$O$2428,3,FALSE)</f>
        <v>death</v>
      </c>
      <c r="D69" s="5" t="str">
        <f>VLOOKUP($A69,tropes!$A$4:$O$2428,4,FALSE)</f>
        <v>robot</v>
      </c>
      <c r="E69" s="5" t="str">
        <f>VLOOKUP($A69,tropes!$A$4:$O$2428,5,FALSE)</f>
        <v>Nomad self-destructs after Kirk gives him a lethal does of Kirk's Logic</v>
      </c>
      <c r="F69" s="5" t="str">
        <f>VLOOKUP($A69,tropes!$A$4:$O$2428,6,FALSE)</f>
        <v>kirk</v>
      </c>
      <c r="G69" s="5">
        <f>VLOOKUP($A69,tropes!$A$4:$O$2428,7,FALSE)</f>
        <v>1</v>
      </c>
      <c r="H69" s="5">
        <f>VLOOKUP($A69,tropes!$A$4:$O$2428,8,FALSE)</f>
        <v>0</v>
      </c>
      <c r="I69" s="5">
        <f>VLOOKUP($A69,tropes!$A$4:$O$2428,9,FALSE)</f>
        <v>203</v>
      </c>
      <c r="J69" s="5">
        <f>VLOOKUP($A69,tropes!$A$4:$O$2428,10,FALSE)</f>
        <v>33</v>
      </c>
      <c r="K69" s="5" t="str">
        <f>VLOOKUP($A69,tropes!$A$4:$O$2428,11,FALSE)</f>
        <v>The Changeling</v>
      </c>
      <c r="L69" s="5">
        <f>VLOOKUP($A69,tropes!$A$4:$O$2428,12,FALSE)</f>
        <v>2</v>
      </c>
      <c r="M69" s="5">
        <f>VLOOKUP($A69,tropes!$A$4:$O$2428,13,FALSE)</f>
        <v>3</v>
      </c>
      <c r="N69" s="5">
        <f t="shared" si="1"/>
        <v>5</v>
      </c>
    </row>
    <row r="70" spans="1:14" x14ac:dyDescent="0.3">
      <c r="A70" s="14">
        <v>356</v>
      </c>
      <c r="B70" s="5" t="str">
        <f>VLOOKUP($A70,tropes!$A$4:$O$2428,2,FALSE)</f>
        <v>Redshirt</v>
      </c>
      <c r="C70" s="5" t="str">
        <f>VLOOKUP($A70,tropes!$A$4:$O$2428,3,FALSE)</f>
        <v>death</v>
      </c>
      <c r="D70" s="5" t="str">
        <f>VLOOKUP($A70,tropes!$A$4:$O$2428,4,FALSE)</f>
        <v>redshirt</v>
      </c>
      <c r="E70" s="5" t="str">
        <f>VLOOKUP($A70,tropes!$A$4:$O$2428,5,FALSE)</f>
        <v>Mirror Redshirt of Mirror Sulu killed by Mirror Lt. Marlene Moreau with Tantalus Field. (1)</v>
      </c>
      <c r="F70" s="5" t="str">
        <f>VLOOKUP($A70,tropes!$A$4:$O$2428,6,FALSE)</f>
        <v>human</v>
      </c>
      <c r="G70" s="5">
        <f>VLOOKUP($A70,tropes!$A$4:$O$2428,7,FALSE)</f>
        <v>0</v>
      </c>
      <c r="H70" s="5">
        <f>VLOOKUP($A70,tropes!$A$4:$O$2428,8,FALSE)</f>
        <v>0</v>
      </c>
      <c r="I70" s="5">
        <f>VLOOKUP($A70,tropes!$A$4:$O$2428,9,FALSE)</f>
        <v>204</v>
      </c>
      <c r="J70" s="5">
        <f>VLOOKUP($A70,tropes!$A$4:$O$2428,10,FALSE)</f>
        <v>34</v>
      </c>
      <c r="K70" s="5" t="str">
        <f>VLOOKUP($A70,tropes!$A$4:$O$2428,11,FALSE)</f>
        <v>Mirror, Mirror</v>
      </c>
      <c r="L70" s="5">
        <f>VLOOKUP($A70,tropes!$A$4:$O$2428,12,FALSE)</f>
        <v>2</v>
      </c>
      <c r="M70" s="5">
        <f>VLOOKUP($A70,tropes!$A$4:$O$2428,13,FALSE)</f>
        <v>4</v>
      </c>
      <c r="N70" s="5">
        <f t="shared" si="1"/>
        <v>0</v>
      </c>
    </row>
    <row r="71" spans="1:14" x14ac:dyDescent="0.3">
      <c r="A71" s="14">
        <v>357</v>
      </c>
      <c r="B71" s="5" t="str">
        <f>VLOOKUP($A71,tropes!$A$4:$O$2428,2,FALSE)</f>
        <v>Redshirt</v>
      </c>
      <c r="C71" s="5" t="str">
        <f>VLOOKUP($A71,tropes!$A$4:$O$2428,3,FALSE)</f>
        <v>death</v>
      </c>
      <c r="D71" s="5" t="str">
        <f>VLOOKUP($A71,tropes!$A$4:$O$2428,4,FALSE)</f>
        <v>redshirt</v>
      </c>
      <c r="E71" s="5" t="str">
        <f>VLOOKUP($A71,tropes!$A$4:$O$2428,5,FALSE)</f>
        <v>Mirror Redshirt of Mirror Sulu killed by Mirror Lt. Marlene Moreau with Tantalus Field. (2)</v>
      </c>
      <c r="F71" s="5" t="str">
        <f>VLOOKUP($A71,tropes!$A$4:$O$2428,6,FALSE)</f>
        <v>human</v>
      </c>
      <c r="G71" s="5">
        <f>VLOOKUP($A71,tropes!$A$4:$O$2428,7,FALSE)</f>
        <v>0</v>
      </c>
      <c r="H71" s="5">
        <f>VLOOKUP($A71,tropes!$A$4:$O$2428,8,FALSE)</f>
        <v>0</v>
      </c>
      <c r="I71" s="5">
        <f>VLOOKUP($A71,tropes!$A$4:$O$2428,9,FALSE)</f>
        <v>204</v>
      </c>
      <c r="J71" s="5">
        <f>VLOOKUP($A71,tropes!$A$4:$O$2428,10,FALSE)</f>
        <v>34</v>
      </c>
      <c r="K71" s="5" t="str">
        <f>VLOOKUP($A71,tropes!$A$4:$O$2428,11,FALSE)</f>
        <v>Mirror, Mirror</v>
      </c>
      <c r="L71" s="5">
        <f>VLOOKUP($A71,tropes!$A$4:$O$2428,12,FALSE)</f>
        <v>2</v>
      </c>
      <c r="M71" s="5">
        <f>VLOOKUP($A71,tropes!$A$4:$O$2428,13,FALSE)</f>
        <v>4</v>
      </c>
      <c r="N71" s="5">
        <f t="shared" si="1"/>
        <v>1</v>
      </c>
    </row>
    <row r="72" spans="1:14" x14ac:dyDescent="0.3">
      <c r="A72" s="14">
        <v>358</v>
      </c>
      <c r="B72" s="5" t="str">
        <f>VLOOKUP($A72,tropes!$A$4:$O$2428,2,FALSE)</f>
        <v>Redshirt</v>
      </c>
      <c r="C72" s="5" t="str">
        <f>VLOOKUP($A72,tropes!$A$4:$O$2428,3,FALSE)</f>
        <v>death</v>
      </c>
      <c r="D72" s="5" t="str">
        <f>VLOOKUP($A72,tropes!$A$4:$O$2428,4,FALSE)</f>
        <v>redshirt</v>
      </c>
      <c r="E72" s="5" t="str">
        <f>VLOOKUP($A72,tropes!$A$4:$O$2428,5,FALSE)</f>
        <v>Mirror Redshirt of Mirror Sulu killed by Mirror Lt. Marlene Moreau with Tantalus Field. (3)</v>
      </c>
      <c r="F72" s="5" t="str">
        <f>VLOOKUP($A72,tropes!$A$4:$O$2428,6,FALSE)</f>
        <v>human</v>
      </c>
      <c r="G72" s="5">
        <f>VLOOKUP($A72,tropes!$A$4:$O$2428,7,FALSE)</f>
        <v>0</v>
      </c>
      <c r="H72" s="5">
        <f>VLOOKUP($A72,tropes!$A$4:$O$2428,8,FALSE)</f>
        <v>0</v>
      </c>
      <c r="I72" s="5">
        <f>VLOOKUP($A72,tropes!$A$4:$O$2428,9,FALSE)</f>
        <v>204</v>
      </c>
      <c r="J72" s="5">
        <f>VLOOKUP($A72,tropes!$A$4:$O$2428,10,FALSE)</f>
        <v>34</v>
      </c>
      <c r="K72" s="5" t="str">
        <f>VLOOKUP($A72,tropes!$A$4:$O$2428,11,FALSE)</f>
        <v>Mirror, Mirror</v>
      </c>
      <c r="L72" s="5">
        <f>VLOOKUP($A72,tropes!$A$4:$O$2428,12,FALSE)</f>
        <v>2</v>
      </c>
      <c r="M72" s="5">
        <f>VLOOKUP($A72,tropes!$A$4:$O$2428,13,FALSE)</f>
        <v>4</v>
      </c>
      <c r="N72" s="5">
        <f t="shared" si="1"/>
        <v>2</v>
      </c>
    </row>
    <row r="73" spans="1:14" x14ac:dyDescent="0.3">
      <c r="A73" s="14">
        <v>364</v>
      </c>
      <c r="B73" s="5" t="str">
        <f>VLOOKUP($A73,tropes!$A$4:$O$2428,2,FALSE)</f>
        <v>Redshirt</v>
      </c>
      <c r="C73" s="5" t="str">
        <f>VLOOKUP($A73,tropes!$A$4:$O$2428,3,FALSE)</f>
        <v>death</v>
      </c>
      <c r="D73" s="5" t="str">
        <f>VLOOKUP($A73,tropes!$A$4:$O$2428,4,FALSE)</f>
        <v>redshirt</v>
      </c>
      <c r="E73" s="5" t="str">
        <f>VLOOKUP($A73,tropes!$A$4:$O$2428,5,FALSE)</f>
        <v>Ensign Marple killed by native, gets his head bashed in.</v>
      </c>
      <c r="F73" s="5" t="str">
        <f>VLOOKUP($A73,tropes!$A$4:$O$2428,6,FALSE)</f>
        <v>human</v>
      </c>
      <c r="G73" s="5">
        <f>VLOOKUP($A73,tropes!$A$4:$O$2428,7,FALSE)</f>
        <v>0</v>
      </c>
      <c r="H73" s="5">
        <f>VLOOKUP($A73,tropes!$A$4:$O$2428,8,FALSE)</f>
        <v>0</v>
      </c>
      <c r="I73" s="5">
        <f>VLOOKUP($A73,tropes!$A$4:$O$2428,9,FALSE)</f>
        <v>205</v>
      </c>
      <c r="J73" s="5">
        <f>VLOOKUP($A73,tropes!$A$4:$O$2428,10,FALSE)</f>
        <v>35</v>
      </c>
      <c r="K73" s="5" t="str">
        <f>VLOOKUP($A73,tropes!$A$4:$O$2428,11,FALSE)</f>
        <v>The Apple</v>
      </c>
      <c r="L73" s="5">
        <f>VLOOKUP($A73,tropes!$A$4:$O$2428,12,FALSE)</f>
        <v>2</v>
      </c>
      <c r="M73" s="5">
        <f>VLOOKUP($A73,tropes!$A$4:$O$2428,13,FALSE)</f>
        <v>5</v>
      </c>
      <c r="N73" s="5">
        <f t="shared" si="1"/>
        <v>0</v>
      </c>
    </row>
    <row r="74" spans="1:14" x14ac:dyDescent="0.3">
      <c r="A74" s="14">
        <v>365</v>
      </c>
      <c r="B74" s="5" t="str">
        <f>VLOOKUP($A74,tropes!$A$4:$O$2428,2,FALSE)</f>
        <v>Redshirt</v>
      </c>
      <c r="C74" s="5" t="str">
        <f>VLOOKUP($A74,tropes!$A$4:$O$2428,3,FALSE)</f>
        <v>death</v>
      </c>
      <c r="D74" s="5" t="str">
        <f>VLOOKUP($A74,tropes!$A$4:$O$2428,4,FALSE)</f>
        <v>redshirt</v>
      </c>
      <c r="E74" s="5" t="str">
        <f>VLOOKUP($A74,tropes!$A$4:$O$2428,5,FALSE)</f>
        <v>Lt. Hendorf killed by deadly plant thorns.</v>
      </c>
      <c r="F74" s="5" t="str">
        <f>VLOOKUP($A74,tropes!$A$4:$O$2428,6,FALSE)</f>
        <v>human</v>
      </c>
      <c r="G74" s="5">
        <f>VLOOKUP($A74,tropes!$A$4:$O$2428,7,FALSE)</f>
        <v>0</v>
      </c>
      <c r="H74" s="5">
        <f>VLOOKUP($A74,tropes!$A$4:$O$2428,8,FALSE)</f>
        <v>0</v>
      </c>
      <c r="I74" s="5">
        <f>VLOOKUP($A74,tropes!$A$4:$O$2428,9,FALSE)</f>
        <v>205</v>
      </c>
      <c r="J74" s="5">
        <f>VLOOKUP($A74,tropes!$A$4:$O$2428,10,FALSE)</f>
        <v>35</v>
      </c>
      <c r="K74" s="5" t="str">
        <f>VLOOKUP($A74,tropes!$A$4:$O$2428,11,FALSE)</f>
        <v>The Apple</v>
      </c>
      <c r="L74" s="5">
        <f>VLOOKUP($A74,tropes!$A$4:$O$2428,12,FALSE)</f>
        <v>2</v>
      </c>
      <c r="M74" s="5">
        <f>VLOOKUP($A74,tropes!$A$4:$O$2428,13,FALSE)</f>
        <v>5</v>
      </c>
      <c r="N74" s="5">
        <f t="shared" si="1"/>
        <v>1</v>
      </c>
    </row>
    <row r="75" spans="1:14" x14ac:dyDescent="0.3">
      <c r="A75" s="14">
        <v>366</v>
      </c>
      <c r="B75" s="5" t="str">
        <f>VLOOKUP($A75,tropes!$A$4:$O$2428,2,FALSE)</f>
        <v>Redshirt</v>
      </c>
      <c r="C75" s="5" t="str">
        <f>VLOOKUP($A75,tropes!$A$4:$O$2428,3,FALSE)</f>
        <v>death</v>
      </c>
      <c r="D75" s="5" t="str">
        <f>VLOOKUP($A75,tropes!$A$4:$O$2428,4,FALSE)</f>
        <v>redshirt</v>
      </c>
      <c r="E75" s="5" t="str">
        <f>VLOOKUP($A75,tropes!$A$4:$O$2428,5,FALSE)</f>
        <v>Lt. Kaplan killed by lightening bolt created by Vaal.</v>
      </c>
      <c r="F75" s="5" t="str">
        <f>VLOOKUP($A75,tropes!$A$4:$O$2428,6,FALSE)</f>
        <v>human</v>
      </c>
      <c r="G75" s="5">
        <f>VLOOKUP($A75,tropes!$A$4:$O$2428,7,FALSE)</f>
        <v>0</v>
      </c>
      <c r="H75" s="5">
        <f>VLOOKUP($A75,tropes!$A$4:$O$2428,8,FALSE)</f>
        <v>0</v>
      </c>
      <c r="I75" s="5">
        <f>VLOOKUP($A75,tropes!$A$4:$O$2428,9,FALSE)</f>
        <v>205</v>
      </c>
      <c r="J75" s="5">
        <f>VLOOKUP($A75,tropes!$A$4:$O$2428,10,FALSE)</f>
        <v>35</v>
      </c>
      <c r="K75" s="5" t="str">
        <f>VLOOKUP($A75,tropes!$A$4:$O$2428,11,FALSE)</f>
        <v>The Apple</v>
      </c>
      <c r="L75" s="5">
        <f>VLOOKUP($A75,tropes!$A$4:$O$2428,12,FALSE)</f>
        <v>2</v>
      </c>
      <c r="M75" s="5">
        <f>VLOOKUP($A75,tropes!$A$4:$O$2428,13,FALSE)</f>
        <v>5</v>
      </c>
      <c r="N75" s="5">
        <f t="shared" si="1"/>
        <v>2</v>
      </c>
    </row>
    <row r="76" spans="1:14" x14ac:dyDescent="0.3">
      <c r="A76" s="14">
        <v>367</v>
      </c>
      <c r="B76" s="5" t="str">
        <f>VLOOKUP($A76,tropes!$A$4:$O$2428,2,FALSE)</f>
        <v>Redshirt</v>
      </c>
      <c r="C76" s="5" t="str">
        <f>VLOOKUP($A76,tropes!$A$4:$O$2428,3,FALSE)</f>
        <v>death</v>
      </c>
      <c r="D76" s="5" t="str">
        <f>VLOOKUP($A76,tropes!$A$4:$O$2428,4,FALSE)</f>
        <v>redshirt</v>
      </c>
      <c r="E76" s="5" t="str">
        <f>VLOOKUP($A76,tropes!$A$4:$O$2428,5,FALSE)</f>
        <v>Lt. Mallory killed by stepping on explosive rock.</v>
      </c>
      <c r="F76" s="5" t="str">
        <f>VLOOKUP($A76,tropes!$A$4:$O$2428,6,FALSE)</f>
        <v>human</v>
      </c>
      <c r="G76" s="5">
        <f>VLOOKUP($A76,tropes!$A$4:$O$2428,7,FALSE)</f>
        <v>0</v>
      </c>
      <c r="H76" s="5">
        <f>VLOOKUP($A76,tropes!$A$4:$O$2428,8,FALSE)</f>
        <v>0</v>
      </c>
      <c r="I76" s="5">
        <f>VLOOKUP($A76,tropes!$A$4:$O$2428,9,FALSE)</f>
        <v>205</v>
      </c>
      <c r="J76" s="5">
        <f>VLOOKUP($A76,tropes!$A$4:$O$2428,10,FALSE)</f>
        <v>35</v>
      </c>
      <c r="K76" s="5" t="str">
        <f>VLOOKUP($A76,tropes!$A$4:$O$2428,11,FALSE)</f>
        <v>The Apple</v>
      </c>
      <c r="L76" s="5">
        <f>VLOOKUP($A76,tropes!$A$4:$O$2428,12,FALSE)</f>
        <v>2</v>
      </c>
      <c r="M76" s="5">
        <f>VLOOKUP($A76,tropes!$A$4:$O$2428,13,FALSE)</f>
        <v>5</v>
      </c>
      <c r="N76" s="5">
        <f t="shared" si="1"/>
        <v>3</v>
      </c>
    </row>
    <row r="77" spans="1:14" x14ac:dyDescent="0.3">
      <c r="A77" s="14">
        <v>232</v>
      </c>
      <c r="B77" s="5" t="str">
        <f>VLOOKUP($A77,tropes!$A$4:$O$2428,2,FALSE)</f>
        <v>Redshirt</v>
      </c>
      <c r="C77" s="5" t="str">
        <f>VLOOKUP($A77,tropes!$A$4:$O$2428,3,FALSE)</f>
        <v>death</v>
      </c>
      <c r="D77" s="5" t="str">
        <f>VLOOKUP($A77,tropes!$A$4:$O$2428,4,FALSE)</f>
        <v>goldshirt</v>
      </c>
      <c r="E77" s="5" t="str">
        <f>VLOOKUP($A77,tropes!$A$4:$O$2428,5,FALSE)</f>
        <v>Commodore Decker pilots a shuttlecraft into The Machine as atonement for the loss of his crew - which gives Kirk and Spock the hint they need to destroy it.</v>
      </c>
      <c r="F77" s="5" t="str">
        <f>VLOOKUP($A77,tropes!$A$4:$O$2428,6,FALSE)</f>
        <v>goldshirt</v>
      </c>
      <c r="G77" s="5">
        <f>VLOOKUP($A77,tropes!$A$4:$O$2428,7,FALSE)</f>
        <v>0</v>
      </c>
      <c r="H77" s="5">
        <f>VLOOKUP($A77,tropes!$A$4:$O$2428,8,FALSE)</f>
        <v>0</v>
      </c>
      <c r="I77" s="5">
        <f>VLOOKUP($A77,tropes!$A$4:$O$2428,9,FALSE)</f>
        <v>206</v>
      </c>
      <c r="J77" s="5">
        <f>VLOOKUP($A77,tropes!$A$4:$O$2428,10,FALSE)</f>
        <v>36</v>
      </c>
      <c r="K77" s="5" t="str">
        <f>VLOOKUP($A77,tropes!$A$4:$O$2428,11,FALSE)</f>
        <v>The Doomsday Machine</v>
      </c>
      <c r="L77" s="5">
        <f>VLOOKUP($A77,tropes!$A$4:$O$2428,12,FALSE)</f>
        <v>2</v>
      </c>
      <c r="M77" s="5">
        <f>VLOOKUP($A77,tropes!$A$4:$O$2428,13,FALSE)</f>
        <v>6</v>
      </c>
      <c r="N77" s="5">
        <f t="shared" si="1"/>
        <v>0</v>
      </c>
    </row>
    <row r="78" spans="1:14" x14ac:dyDescent="0.3">
      <c r="A78" s="14">
        <v>188</v>
      </c>
      <c r="B78" s="5" t="str">
        <f>VLOOKUP($A78,tropes!$A$4:$O$2428,2,FALSE)</f>
        <v>Mauve Shirt</v>
      </c>
      <c r="C78" s="5" t="str">
        <f>VLOOKUP($A78,tropes!$A$4:$O$2428,3,FALSE)</f>
        <v>death</v>
      </c>
      <c r="D78" s="5" t="str">
        <f>VLOOKUP($A78,tropes!$A$4:$O$2428,4,FALSE)</f>
        <v>redshirt</v>
      </c>
      <c r="E78" s="5" t="str">
        <f>VLOOKUP($A78,tropes!$A$4:$O$2428,5,FALSE)</f>
        <v>Lt. DeSalle was in command of the Enterprise when Kirk, Spock, and McCoy were captured by Korob and Sylvia</v>
      </c>
      <c r="F78" s="5" t="str">
        <f>VLOOKUP($A78,tropes!$A$4:$O$2428,6,FALSE)</f>
        <v>desalle</v>
      </c>
      <c r="G78" s="5">
        <f>VLOOKUP($A78,tropes!$A$4:$O$2428,7,FALSE)</f>
        <v>0</v>
      </c>
      <c r="H78" s="5">
        <f>VLOOKUP($A78,tropes!$A$4:$O$2428,8,FALSE)</f>
        <v>0</v>
      </c>
      <c r="I78" s="5">
        <f>VLOOKUP($A78,tropes!$A$4:$O$2428,9,FALSE)</f>
        <v>207</v>
      </c>
      <c r="J78" s="5">
        <f>VLOOKUP($A78,tropes!$A$4:$O$2428,10,FALSE)</f>
        <v>37</v>
      </c>
      <c r="K78" s="5" t="str">
        <f>VLOOKUP($A78,tropes!$A$4:$O$2428,11,FALSE)</f>
        <v>Catspaw</v>
      </c>
      <c r="L78" s="5">
        <f>VLOOKUP($A78,tropes!$A$4:$O$2428,12,FALSE)</f>
        <v>2</v>
      </c>
      <c r="M78" s="5">
        <f>VLOOKUP($A78,tropes!$A$4:$O$2428,13,FALSE)</f>
        <v>7</v>
      </c>
      <c r="N78" s="5">
        <f t="shared" si="1"/>
        <v>0</v>
      </c>
    </row>
    <row r="79" spans="1:14" x14ac:dyDescent="0.3">
      <c r="A79" s="14">
        <v>43</v>
      </c>
      <c r="B79" s="5" t="str">
        <f>VLOOKUP($A79,tropes!$A$4:$O$2428,2,FALSE)</f>
        <v>Redshirt</v>
      </c>
      <c r="C79" s="5" t="str">
        <f>VLOOKUP($A79,tropes!$A$4:$O$2428,3,FALSE)</f>
        <v>death</v>
      </c>
      <c r="D79" s="5" t="str">
        <f>VLOOKUP($A79,tropes!$A$4:$O$2428,4,FALSE)</f>
        <v>alien</v>
      </c>
      <c r="E79" s="5" t="str">
        <f>VLOOKUP($A79,tropes!$A$4:$O$2428,5,FALSE)</f>
        <v>Korob killed when Sylvia (as a cat) crashes the cell door in and crushes him.</v>
      </c>
      <c r="F79" s="5" t="str">
        <f>VLOOKUP($A79,tropes!$A$4:$O$2428,6,FALSE)</f>
        <v>alien</v>
      </c>
      <c r="G79" s="5">
        <f>VLOOKUP($A79,tropes!$A$4:$O$2428,7,FALSE)</f>
        <v>0</v>
      </c>
      <c r="H79" s="5">
        <f>VLOOKUP($A79,tropes!$A$4:$O$2428,8,FALSE)</f>
        <v>0</v>
      </c>
      <c r="I79" s="5">
        <f>VLOOKUP($A79,tropes!$A$4:$O$2428,9,FALSE)</f>
        <v>207</v>
      </c>
      <c r="J79" s="5">
        <f>VLOOKUP($A79,tropes!$A$4:$O$2428,10,FALSE)</f>
        <v>37</v>
      </c>
      <c r="K79" s="5" t="str">
        <f>VLOOKUP($A79,tropes!$A$4:$O$2428,11,FALSE)</f>
        <v>Catspaw</v>
      </c>
      <c r="L79" s="5">
        <f>VLOOKUP($A79,tropes!$A$4:$O$2428,12,FALSE)</f>
        <v>2</v>
      </c>
      <c r="M79" s="5">
        <f>VLOOKUP($A79,tropes!$A$4:$O$2428,13,FALSE)</f>
        <v>7</v>
      </c>
      <c r="N79" s="5">
        <f t="shared" si="1"/>
        <v>1</v>
      </c>
    </row>
    <row r="80" spans="1:14" x14ac:dyDescent="0.3">
      <c r="A80" s="14">
        <v>1349</v>
      </c>
      <c r="B80" s="5" t="str">
        <f>VLOOKUP($A80,tropes!$A$4:$O$2428,2,FALSE)</f>
        <v>Redshirt</v>
      </c>
      <c r="C80" s="5" t="str">
        <f>VLOOKUP($A80,tropes!$A$4:$O$2428,3,FALSE)</f>
        <v>death</v>
      </c>
      <c r="D80" s="5" t="str">
        <f>VLOOKUP($A80,tropes!$A$4:$O$2428,4,FALSE)</f>
        <v>alien</v>
      </c>
      <c r="E80" s="5" t="str">
        <f>VLOOKUP($A80,tropes!$A$4:$O$2428,5,FALSE)</f>
        <v>Sylvia killed after Kirk smashes transmuter.</v>
      </c>
      <c r="F80" s="5" t="str">
        <f>VLOOKUP($A80,tropes!$A$4:$O$2428,6,FALSE)</f>
        <v>sylvia</v>
      </c>
      <c r="G80" s="5">
        <f>VLOOKUP($A80,tropes!$A$4:$O$2428,7,FALSE)</f>
        <v>0</v>
      </c>
      <c r="H80" s="5">
        <f>VLOOKUP($A80,tropes!$A$4:$O$2428,8,FALSE)</f>
        <v>0</v>
      </c>
      <c r="I80" s="5">
        <f>VLOOKUP($A80,tropes!$A$4:$O$2428,9,FALSE)</f>
        <v>207</v>
      </c>
      <c r="J80" s="5">
        <f>VLOOKUP($A80,tropes!$A$4:$O$2428,10,FALSE)</f>
        <v>37</v>
      </c>
      <c r="K80" s="5" t="str">
        <f>VLOOKUP($A80,tropes!$A$4:$O$2428,11,FALSE)</f>
        <v>Catspaw</v>
      </c>
      <c r="L80" s="5">
        <f>VLOOKUP($A80,tropes!$A$4:$O$2428,12,FALSE)</f>
        <v>2</v>
      </c>
      <c r="M80" s="5">
        <f>VLOOKUP($A80,tropes!$A$4:$O$2428,13,FALSE)</f>
        <v>7</v>
      </c>
      <c r="N80" s="5">
        <f t="shared" si="1"/>
        <v>2</v>
      </c>
    </row>
    <row r="81" spans="1:14" x14ac:dyDescent="0.3">
      <c r="A81" s="14">
        <v>371</v>
      </c>
      <c r="B81" s="5" t="str">
        <f>VLOOKUP($A81,tropes!$A$4:$O$2428,2,FALSE)</f>
        <v>Redshirt</v>
      </c>
      <c r="C81" s="5" t="str">
        <f>VLOOKUP($A81,tropes!$A$4:$O$2428,3,FALSE)</f>
        <v>death</v>
      </c>
      <c r="D81" s="5" t="str">
        <f>VLOOKUP($A81,tropes!$A$4:$O$2428,4,FALSE)</f>
        <v>goldshirt</v>
      </c>
      <c r="E81" s="5" t="str">
        <f>VLOOKUP($A81,tropes!$A$4:$O$2428,5,FALSE)</f>
        <v>Jackson falls over dead after beaming up. Sylvia destroyed his mind.</v>
      </c>
      <c r="F81" s="5" t="str">
        <f>VLOOKUP($A81,tropes!$A$4:$O$2428,6,FALSE)</f>
        <v>human</v>
      </c>
      <c r="G81" s="5">
        <f>VLOOKUP($A81,tropes!$A$4:$O$2428,7,FALSE)</f>
        <v>0</v>
      </c>
      <c r="H81" s="5">
        <f>VLOOKUP($A81,tropes!$A$4:$O$2428,8,FALSE)</f>
        <v>0</v>
      </c>
      <c r="I81" s="5">
        <f>VLOOKUP($A81,tropes!$A$4:$O$2428,9,FALSE)</f>
        <v>207</v>
      </c>
      <c r="J81" s="5">
        <f>VLOOKUP($A81,tropes!$A$4:$O$2428,10,FALSE)</f>
        <v>37</v>
      </c>
      <c r="K81" s="5" t="str">
        <f>VLOOKUP($A81,tropes!$A$4:$O$2428,11,FALSE)</f>
        <v>Catspaw</v>
      </c>
      <c r="L81" s="5">
        <f>VLOOKUP($A81,tropes!$A$4:$O$2428,12,FALSE)</f>
        <v>2</v>
      </c>
      <c r="M81" s="5">
        <f>VLOOKUP($A81,tropes!$A$4:$O$2428,13,FALSE)</f>
        <v>7</v>
      </c>
      <c r="N81" s="5">
        <f t="shared" si="1"/>
        <v>3</v>
      </c>
    </row>
    <row r="82" spans="1:14" x14ac:dyDescent="0.3">
      <c r="A82" s="14">
        <v>1805</v>
      </c>
      <c r="B82" s="5" t="str">
        <f>VLOOKUP($A82,tropes!$A$4:$O$2428,2,FALSE)</f>
        <v>Redshirt</v>
      </c>
      <c r="C82" s="5" t="str">
        <f>VLOOKUP($A82,tropes!$A$4:$O$2428,3,FALSE)</f>
        <v>death</v>
      </c>
      <c r="D82" s="5" t="str">
        <f>VLOOKUP($A82,tropes!$A$4:$O$2428,4,FALSE)</f>
        <v>alien</v>
      </c>
      <c r="E82" s="5" t="str">
        <f>VLOOKUP($A82,tropes!$A$4:$O$2428,5,FALSE)</f>
        <v>Orion spy took a slow poison and died on the bridge</v>
      </c>
      <c r="F82" s="5" t="str">
        <f>VLOOKUP($A82,tropes!$A$4:$O$2428,6,FALSE)</f>
        <v>orion</v>
      </c>
      <c r="G82" s="5">
        <f>VLOOKUP($A82,tropes!$A$4:$O$2428,7,FALSE)</f>
        <v>0</v>
      </c>
      <c r="H82" s="5">
        <f>VLOOKUP($A82,tropes!$A$4:$O$2428,8,FALSE)</f>
        <v>0</v>
      </c>
      <c r="I82" s="5">
        <f>VLOOKUP($A82,tropes!$A$4:$O$2428,9,FALSE)</f>
        <v>210</v>
      </c>
      <c r="J82" s="5">
        <f>VLOOKUP($A82,tropes!$A$4:$O$2428,10,FALSE)</f>
        <v>40</v>
      </c>
      <c r="K82" s="5" t="str">
        <f>VLOOKUP($A82,tropes!$A$4:$O$2428,11,FALSE)</f>
        <v>Journey to Babel</v>
      </c>
      <c r="L82" s="5">
        <f>VLOOKUP($A82,tropes!$A$4:$O$2428,12,FALSE)</f>
        <v>2</v>
      </c>
      <c r="M82" s="5">
        <f>VLOOKUP($A82,tropes!$A$4:$O$2428,13,FALSE)</f>
        <v>10</v>
      </c>
      <c r="N82" s="5">
        <f t="shared" si="1"/>
        <v>0</v>
      </c>
    </row>
    <row r="83" spans="1:14" x14ac:dyDescent="0.3">
      <c r="A83" s="14">
        <v>60</v>
      </c>
      <c r="B83" s="5" t="str">
        <f>VLOOKUP($A83,tropes!$A$4:$O$2428,2,FALSE)</f>
        <v>Redshirt</v>
      </c>
      <c r="C83" s="5" t="str">
        <f>VLOOKUP($A83,tropes!$A$4:$O$2428,3,FALSE)</f>
        <v>death</v>
      </c>
      <c r="D83" s="5" t="str">
        <f>VLOOKUP($A83,tropes!$A$4:$O$2428,4,FALSE)</f>
        <v>alien</v>
      </c>
      <c r="E83" s="5" t="str">
        <f>VLOOKUP($A83,tropes!$A$4:$O$2428,5,FALSE)</f>
        <v>Tellurite found hanging up in Jefferies Tube, dead</v>
      </c>
      <c r="F83" s="5" t="str">
        <f>VLOOKUP($A83,tropes!$A$4:$O$2428,6,FALSE)</f>
        <v>alien</v>
      </c>
      <c r="G83" s="5">
        <f>VLOOKUP($A83,tropes!$A$4:$O$2428,7,FALSE)</f>
        <v>0</v>
      </c>
      <c r="H83" s="5">
        <f>VLOOKUP($A83,tropes!$A$4:$O$2428,8,FALSE)</f>
        <v>0</v>
      </c>
      <c r="I83" s="5">
        <f>VLOOKUP($A83,tropes!$A$4:$O$2428,9,FALSE)</f>
        <v>210</v>
      </c>
      <c r="J83" s="5">
        <f>VLOOKUP($A83,tropes!$A$4:$O$2428,10,FALSE)</f>
        <v>40</v>
      </c>
      <c r="K83" s="5" t="str">
        <f>VLOOKUP($A83,tropes!$A$4:$O$2428,11,FALSE)</f>
        <v>Journey to Babel</v>
      </c>
      <c r="L83" s="5">
        <f>VLOOKUP($A83,tropes!$A$4:$O$2428,12,FALSE)</f>
        <v>2</v>
      </c>
      <c r="M83" s="5">
        <f>VLOOKUP($A83,tropes!$A$4:$O$2428,13,FALSE)</f>
        <v>10</v>
      </c>
      <c r="N83" s="5">
        <f t="shared" si="1"/>
        <v>1</v>
      </c>
    </row>
    <row r="84" spans="1:14" x14ac:dyDescent="0.3">
      <c r="A84" s="14">
        <v>374</v>
      </c>
      <c r="B84" s="5" t="str">
        <f>VLOOKUP($A84,tropes!$A$4:$O$2428,2,FALSE)</f>
        <v>Redshirt</v>
      </c>
      <c r="C84" s="5" t="str">
        <f>VLOOKUP($A84,tropes!$A$4:$O$2428,3,FALSE)</f>
        <v>death</v>
      </c>
      <c r="D84" s="5" t="str">
        <f>VLOOKUP($A84,tropes!$A$4:$O$2428,4,FALSE)</f>
        <v>human</v>
      </c>
      <c r="E84" s="5" t="str">
        <f>VLOOKUP($A84,tropes!$A$4:$O$2428,5,FALSE)</f>
        <v>Crew self-destructed their ship</v>
      </c>
      <c r="F84" s="5" t="str">
        <f>VLOOKUP($A84,tropes!$A$4:$O$2428,6,FALSE)</f>
        <v>human</v>
      </c>
      <c r="G84" s="5">
        <f>VLOOKUP($A84,tropes!$A$4:$O$2428,7,FALSE)</f>
        <v>0</v>
      </c>
      <c r="H84" s="5">
        <f>VLOOKUP($A84,tropes!$A$4:$O$2428,8,FALSE)</f>
        <v>0</v>
      </c>
      <c r="I84" s="5">
        <f>VLOOKUP($A84,tropes!$A$4:$O$2428,9,FALSE)</f>
        <v>210</v>
      </c>
      <c r="J84" s="5">
        <f>VLOOKUP($A84,tropes!$A$4:$O$2428,10,FALSE)</f>
        <v>40</v>
      </c>
      <c r="K84" s="5" t="str">
        <f>VLOOKUP($A84,tropes!$A$4:$O$2428,11,FALSE)</f>
        <v>Journey to Babel</v>
      </c>
      <c r="L84" s="5">
        <f>VLOOKUP($A84,tropes!$A$4:$O$2428,12,FALSE)</f>
        <v>2</v>
      </c>
      <c r="M84" s="5">
        <f>VLOOKUP($A84,tropes!$A$4:$O$2428,13,FALSE)</f>
        <v>10</v>
      </c>
      <c r="N84" s="5">
        <f t="shared" si="1"/>
        <v>2</v>
      </c>
    </row>
    <row r="85" spans="1:14" x14ac:dyDescent="0.3">
      <c r="A85" s="14">
        <v>3016</v>
      </c>
      <c r="B85" s="5" t="str">
        <f>VLOOKUP($A85,tropes!$A$4:$O$2428,2,FALSE)</f>
        <v>Redshirt</v>
      </c>
      <c r="C85" s="5" t="str">
        <f>VLOOKUP($A85,tropes!$A$4:$O$2428,3,FALSE)</f>
        <v>death</v>
      </c>
      <c r="D85" s="5" t="str">
        <f>VLOOKUP($A85,tropes!$A$4:$O$2428,4,FALSE)</f>
        <v>human</v>
      </c>
      <c r="E85" s="5" t="str">
        <f>VLOOKUP($A85,tropes!$A$4:$O$2428,5,FALSE)</f>
        <v>Akaar, the High Teer killed during coup staged by Maab</v>
      </c>
      <c r="F85" s="5">
        <f>VLOOKUP($A85,tropes!$A$4:$O$2428,6,FALSE)</f>
        <v>0</v>
      </c>
      <c r="G85" s="5">
        <f>VLOOKUP($A85,tropes!$A$4:$O$2428,7,FALSE)</f>
        <v>0</v>
      </c>
      <c r="H85" s="5">
        <f>VLOOKUP($A85,tropes!$A$4:$O$2428,8,FALSE)</f>
        <v>0</v>
      </c>
      <c r="I85" s="5">
        <f>VLOOKUP($A85,tropes!$A$4:$O$2428,9,FALSE)</f>
        <v>211</v>
      </c>
      <c r="J85" s="5">
        <f>VLOOKUP($A85,tropes!$A$4:$O$2428,10,FALSE)</f>
        <v>41</v>
      </c>
      <c r="K85" s="5" t="str">
        <f>VLOOKUP($A85,tropes!$A$4:$O$2428,11,FALSE)</f>
        <v>Friday's Child</v>
      </c>
      <c r="L85" s="5">
        <f>VLOOKUP($A85,tropes!$A$4:$O$2428,12,FALSE)</f>
        <v>2</v>
      </c>
      <c r="M85" s="5">
        <f>VLOOKUP($A85,tropes!$A$4:$O$2428,13,FALSE)</f>
        <v>11</v>
      </c>
      <c r="N85" s="5">
        <f t="shared" si="1"/>
        <v>0</v>
      </c>
    </row>
    <row r="86" spans="1:14" x14ac:dyDescent="0.3">
      <c r="A86" s="14">
        <v>3018</v>
      </c>
      <c r="B86" s="5" t="str">
        <f>VLOOKUP($A86,tropes!$A$4:$O$2428,2,FALSE)</f>
        <v>Redshirt</v>
      </c>
      <c r="C86" s="5" t="str">
        <f>VLOOKUP($A86,tropes!$A$4:$O$2428,3,FALSE)</f>
        <v>death</v>
      </c>
      <c r="D86" s="5" t="str">
        <f>VLOOKUP($A86,tropes!$A$4:$O$2428,4,FALSE)</f>
        <v>human</v>
      </c>
      <c r="E86" s="5" t="str">
        <f>VLOOKUP($A86,tropes!$A$4:$O$2428,5,FALSE)</f>
        <v>Akaar's soldier killed during coup staged by Maab (1)</v>
      </c>
      <c r="F86" s="5">
        <f>VLOOKUP($A86,tropes!$A$4:$O$2428,6,FALSE)</f>
        <v>0</v>
      </c>
      <c r="G86" s="5">
        <f>VLOOKUP($A86,tropes!$A$4:$O$2428,7,FALSE)</f>
        <v>0</v>
      </c>
      <c r="H86" s="5">
        <f>VLOOKUP($A86,tropes!$A$4:$O$2428,8,FALSE)</f>
        <v>0</v>
      </c>
      <c r="I86" s="5">
        <f>VLOOKUP($A86,tropes!$A$4:$O$2428,9,FALSE)</f>
        <v>211</v>
      </c>
      <c r="J86" s="5">
        <f>VLOOKUP($A86,tropes!$A$4:$O$2428,10,FALSE)</f>
        <v>41</v>
      </c>
      <c r="K86" s="5" t="str">
        <f>VLOOKUP($A86,tropes!$A$4:$O$2428,11,FALSE)</f>
        <v>Friday's Child</v>
      </c>
      <c r="L86" s="5">
        <f>VLOOKUP($A86,tropes!$A$4:$O$2428,12,FALSE)</f>
        <v>2</v>
      </c>
      <c r="M86" s="5">
        <f>VLOOKUP($A86,tropes!$A$4:$O$2428,13,FALSE)</f>
        <v>11</v>
      </c>
      <c r="N86" s="5">
        <f t="shared" si="1"/>
        <v>1</v>
      </c>
    </row>
    <row r="87" spans="1:14" x14ac:dyDescent="0.3">
      <c r="A87" s="14">
        <v>3019</v>
      </c>
      <c r="B87" s="5" t="str">
        <f>VLOOKUP($A87,tropes!$A$4:$O$2428,2,FALSE)</f>
        <v>Redshirt</v>
      </c>
      <c r="C87" s="5" t="str">
        <f>VLOOKUP($A87,tropes!$A$4:$O$2428,3,FALSE)</f>
        <v>death</v>
      </c>
      <c r="D87" s="5" t="str">
        <f>VLOOKUP($A87,tropes!$A$4:$O$2428,4,FALSE)</f>
        <v>human</v>
      </c>
      <c r="E87" s="5" t="str">
        <f>VLOOKUP($A87,tropes!$A$4:$O$2428,5,FALSE)</f>
        <v>Akaar's soldier killed during coup staged by Maab (2)</v>
      </c>
      <c r="F87" s="5">
        <f>VLOOKUP($A87,tropes!$A$4:$O$2428,6,FALSE)</f>
        <v>0</v>
      </c>
      <c r="G87" s="5">
        <f>VLOOKUP($A87,tropes!$A$4:$O$2428,7,FALSE)</f>
        <v>0</v>
      </c>
      <c r="H87" s="5">
        <f>VLOOKUP($A87,tropes!$A$4:$O$2428,8,FALSE)</f>
        <v>0</v>
      </c>
      <c r="I87" s="5">
        <f>VLOOKUP($A87,tropes!$A$4:$O$2428,9,FALSE)</f>
        <v>211</v>
      </c>
      <c r="J87" s="5">
        <f>VLOOKUP($A87,tropes!$A$4:$O$2428,10,FALSE)</f>
        <v>41</v>
      </c>
      <c r="K87" s="5" t="str">
        <f>VLOOKUP($A87,tropes!$A$4:$O$2428,11,FALSE)</f>
        <v>Friday's Child</v>
      </c>
      <c r="L87" s="5">
        <f>VLOOKUP($A87,tropes!$A$4:$O$2428,12,FALSE)</f>
        <v>2</v>
      </c>
      <c r="M87" s="5">
        <f>VLOOKUP($A87,tropes!$A$4:$O$2428,13,FALSE)</f>
        <v>11</v>
      </c>
      <c r="N87" s="5">
        <f t="shared" si="1"/>
        <v>2</v>
      </c>
    </row>
    <row r="88" spans="1:14" x14ac:dyDescent="0.3">
      <c r="A88" s="14">
        <v>3017</v>
      </c>
      <c r="B88" s="5" t="str">
        <f>VLOOKUP($A88,tropes!$A$4:$O$2428,2,FALSE)</f>
        <v>Redshirt</v>
      </c>
      <c r="C88" s="5" t="str">
        <f>VLOOKUP($A88,tropes!$A$4:$O$2428,3,FALSE)</f>
        <v>death</v>
      </c>
      <c r="D88" s="5" t="str">
        <f>VLOOKUP($A88,tropes!$A$4:$O$2428,4,FALSE)</f>
        <v>human</v>
      </c>
      <c r="E88" s="5" t="str">
        <f>VLOOKUP($A88,tropes!$A$4:$O$2428,5,FALSE)</f>
        <v>Maab's soldier killed during coup staged by Maab</v>
      </c>
      <c r="F88" s="5">
        <f>VLOOKUP($A88,tropes!$A$4:$O$2428,6,FALSE)</f>
        <v>0</v>
      </c>
      <c r="G88" s="5">
        <f>VLOOKUP($A88,tropes!$A$4:$O$2428,7,FALSE)</f>
        <v>0</v>
      </c>
      <c r="H88" s="5">
        <f>VLOOKUP($A88,tropes!$A$4:$O$2428,8,FALSE)</f>
        <v>0</v>
      </c>
      <c r="I88" s="5">
        <f>VLOOKUP($A88,tropes!$A$4:$O$2428,9,FALSE)</f>
        <v>211</v>
      </c>
      <c r="J88" s="5">
        <f>VLOOKUP($A88,tropes!$A$4:$O$2428,10,FALSE)</f>
        <v>41</v>
      </c>
      <c r="K88" s="5" t="str">
        <f>VLOOKUP($A88,tropes!$A$4:$O$2428,11,FALSE)</f>
        <v>Friday's Child</v>
      </c>
      <c r="L88" s="5">
        <f>VLOOKUP($A88,tropes!$A$4:$O$2428,12,FALSE)</f>
        <v>2</v>
      </c>
      <c r="M88" s="5">
        <f>VLOOKUP($A88,tropes!$A$4:$O$2428,13,FALSE)</f>
        <v>11</v>
      </c>
      <c r="N88" s="5">
        <f t="shared" si="1"/>
        <v>3</v>
      </c>
    </row>
    <row r="89" spans="1:14" x14ac:dyDescent="0.3">
      <c r="A89" s="14">
        <v>2973</v>
      </c>
      <c r="B89" s="5" t="str">
        <f>VLOOKUP($A89,tropes!$A$4:$O$2428,2,FALSE)</f>
        <v>Redshirt</v>
      </c>
      <c r="C89" s="5" t="str">
        <f>VLOOKUP($A89,tropes!$A$4:$O$2428,3,FALSE)</f>
        <v>death</v>
      </c>
      <c r="D89" s="5" t="str">
        <f>VLOOKUP($A89,tropes!$A$4:$O$2428,4,FALSE)</f>
        <v>human</v>
      </c>
      <c r="E89" s="5" t="str">
        <f>VLOOKUP($A89,tropes!$A$4:$O$2428,5,FALSE)</f>
        <v>One of Maab's men killed in alavanche create by Kirk and Spock's communicators (1)</v>
      </c>
      <c r="F89" s="5">
        <f>VLOOKUP($A89,tropes!$A$4:$O$2428,6,FALSE)</f>
        <v>0</v>
      </c>
      <c r="G89" s="5">
        <f>VLOOKUP($A89,tropes!$A$4:$O$2428,7,FALSE)</f>
        <v>0</v>
      </c>
      <c r="H89" s="5">
        <f>VLOOKUP($A89,tropes!$A$4:$O$2428,8,FALSE)</f>
        <v>0</v>
      </c>
      <c r="I89" s="5">
        <f>VLOOKUP($A89,tropes!$A$4:$O$2428,9,FALSE)</f>
        <v>211</v>
      </c>
      <c r="J89" s="5">
        <f>VLOOKUP($A89,tropes!$A$4:$O$2428,10,FALSE)</f>
        <v>41</v>
      </c>
      <c r="K89" s="5" t="str">
        <f>VLOOKUP($A89,tropes!$A$4:$O$2428,11,FALSE)</f>
        <v>Friday's Child</v>
      </c>
      <c r="L89" s="5">
        <f>VLOOKUP($A89,tropes!$A$4:$O$2428,12,FALSE)</f>
        <v>2</v>
      </c>
      <c r="M89" s="5">
        <f>VLOOKUP($A89,tropes!$A$4:$O$2428,13,FALSE)</f>
        <v>11</v>
      </c>
      <c r="N89" s="5">
        <f t="shared" si="1"/>
        <v>4</v>
      </c>
    </row>
    <row r="90" spans="1:14" x14ac:dyDescent="0.3">
      <c r="A90" s="14">
        <v>2974</v>
      </c>
      <c r="B90" s="5" t="str">
        <f>VLOOKUP($A90,tropes!$A$4:$O$2428,2,FALSE)</f>
        <v>Redshirt</v>
      </c>
      <c r="C90" s="5" t="str">
        <f>VLOOKUP($A90,tropes!$A$4:$O$2428,3,FALSE)</f>
        <v>death</v>
      </c>
      <c r="D90" s="5" t="str">
        <f>VLOOKUP($A90,tropes!$A$4:$O$2428,4,FALSE)</f>
        <v>human</v>
      </c>
      <c r="E90" s="5" t="str">
        <f>VLOOKUP($A90,tropes!$A$4:$O$2428,5,FALSE)</f>
        <v>One of Maab's men killed in alavanche create by Kirk and Spock's communicators (2)</v>
      </c>
      <c r="F90" s="5">
        <f>VLOOKUP($A90,tropes!$A$4:$O$2428,6,FALSE)</f>
        <v>0</v>
      </c>
      <c r="G90" s="5">
        <f>VLOOKUP($A90,tropes!$A$4:$O$2428,7,FALSE)</f>
        <v>0</v>
      </c>
      <c r="H90" s="5">
        <f>VLOOKUP($A90,tropes!$A$4:$O$2428,8,FALSE)</f>
        <v>0</v>
      </c>
      <c r="I90" s="5">
        <f>VLOOKUP($A90,tropes!$A$4:$O$2428,9,FALSE)</f>
        <v>211</v>
      </c>
      <c r="J90" s="5">
        <f>VLOOKUP($A90,tropes!$A$4:$O$2428,10,FALSE)</f>
        <v>41</v>
      </c>
      <c r="K90" s="5" t="str">
        <f>VLOOKUP($A90,tropes!$A$4:$O$2428,11,FALSE)</f>
        <v>Friday's Child</v>
      </c>
      <c r="L90" s="5">
        <f>VLOOKUP($A90,tropes!$A$4:$O$2428,12,FALSE)</f>
        <v>2</v>
      </c>
      <c r="M90" s="5">
        <f>VLOOKUP($A90,tropes!$A$4:$O$2428,13,FALSE)</f>
        <v>11</v>
      </c>
      <c r="N90" s="5">
        <f t="shared" si="1"/>
        <v>5</v>
      </c>
    </row>
    <row r="91" spans="1:14" x14ac:dyDescent="0.3">
      <c r="A91" s="14">
        <v>2975</v>
      </c>
      <c r="B91" s="5" t="str">
        <f>VLOOKUP($A91,tropes!$A$4:$O$2428,2,FALSE)</f>
        <v>Redshirt</v>
      </c>
      <c r="C91" s="5" t="str">
        <f>VLOOKUP($A91,tropes!$A$4:$O$2428,3,FALSE)</f>
        <v>death</v>
      </c>
      <c r="D91" s="5" t="str">
        <f>VLOOKUP($A91,tropes!$A$4:$O$2428,4,FALSE)</f>
        <v>klingon</v>
      </c>
      <c r="E91" s="5" t="str">
        <f>VLOOKUP($A91,tropes!$A$4:$O$2428,5,FALSE)</f>
        <v>Klingon take's sword of fallen solder, stabs him, and takes one of the phasers he had</v>
      </c>
      <c r="F91" s="5">
        <f>VLOOKUP($A91,tropes!$A$4:$O$2428,6,FALSE)</f>
        <v>0</v>
      </c>
      <c r="G91" s="5">
        <f>VLOOKUP($A91,tropes!$A$4:$O$2428,7,FALSE)</f>
        <v>0</v>
      </c>
      <c r="H91" s="5">
        <f>VLOOKUP($A91,tropes!$A$4:$O$2428,8,FALSE)</f>
        <v>0</v>
      </c>
      <c r="I91" s="5">
        <f>VLOOKUP($A91,tropes!$A$4:$O$2428,9,FALSE)</f>
        <v>211</v>
      </c>
      <c r="J91" s="5">
        <f>VLOOKUP($A91,tropes!$A$4:$O$2428,10,FALSE)</f>
        <v>41</v>
      </c>
      <c r="K91" s="5" t="str">
        <f>VLOOKUP($A91,tropes!$A$4:$O$2428,11,FALSE)</f>
        <v>Friday's Child</v>
      </c>
      <c r="L91" s="5">
        <f>VLOOKUP($A91,tropes!$A$4:$O$2428,12,FALSE)</f>
        <v>2</v>
      </c>
      <c r="M91" s="5">
        <f>VLOOKUP($A91,tropes!$A$4:$O$2428,13,FALSE)</f>
        <v>11</v>
      </c>
      <c r="N91" s="5">
        <f t="shared" si="1"/>
        <v>6</v>
      </c>
    </row>
    <row r="92" spans="1:14" x14ac:dyDescent="0.3">
      <c r="A92" s="14">
        <v>3022</v>
      </c>
      <c r="B92" s="5" t="str">
        <f>VLOOKUP($A92,tropes!$A$4:$O$2428,2,FALSE)</f>
        <v>Redshirt</v>
      </c>
      <c r="C92" s="5" t="str">
        <f>VLOOKUP($A92,tropes!$A$4:$O$2428,3,FALSE)</f>
        <v>death</v>
      </c>
      <c r="D92" s="5" t="str">
        <f>VLOOKUP($A92,tropes!$A$4:$O$2428,4,FALSE)</f>
        <v>klingon</v>
      </c>
      <c r="E92" s="5" t="str">
        <f>VLOOKUP($A92,tropes!$A$4:$O$2428,5,FALSE)</f>
        <v>Maab's soldier kills Klingon while he's distracted by Maab.</v>
      </c>
      <c r="F92" s="5" t="str">
        <f>VLOOKUP($A92,tropes!$A$4:$O$2428,6,FALSE)</f>
        <v>xxx</v>
      </c>
      <c r="G92" s="5">
        <f>VLOOKUP($A92,tropes!$A$4:$O$2428,7,FALSE)</f>
        <v>0</v>
      </c>
      <c r="H92" s="5">
        <f>VLOOKUP($A92,tropes!$A$4:$O$2428,8,FALSE)</f>
        <v>0</v>
      </c>
      <c r="I92" s="5">
        <f>VLOOKUP($A92,tropes!$A$4:$O$2428,9,FALSE)</f>
        <v>211</v>
      </c>
      <c r="J92" s="5">
        <f>VLOOKUP($A92,tropes!$A$4:$O$2428,10,FALSE)</f>
        <v>41</v>
      </c>
      <c r="K92" s="5" t="str">
        <f>VLOOKUP($A92,tropes!$A$4:$O$2428,11,FALSE)</f>
        <v>Friday's Child</v>
      </c>
      <c r="L92" s="5">
        <f>VLOOKUP($A92,tropes!$A$4:$O$2428,12,FALSE)</f>
        <v>2</v>
      </c>
      <c r="M92" s="5">
        <f>VLOOKUP($A92,tropes!$A$4:$O$2428,13,FALSE)</f>
        <v>11</v>
      </c>
      <c r="N92" s="5">
        <f t="shared" si="1"/>
        <v>7</v>
      </c>
    </row>
    <row r="93" spans="1:14" x14ac:dyDescent="0.3">
      <c r="A93" s="14">
        <v>2939</v>
      </c>
      <c r="B93" s="5" t="str">
        <f>VLOOKUP($A93,tropes!$A$4:$O$2428,2,FALSE)</f>
        <v>Redshirt</v>
      </c>
      <c r="C93" s="5" t="str">
        <f>VLOOKUP($A93,tropes!$A$4:$O$2428,3,FALSE)</f>
        <v>death</v>
      </c>
      <c r="D93" s="5" t="str">
        <f>VLOOKUP($A93,tropes!$A$4:$O$2428,4,FALSE)</f>
        <v>redshirt</v>
      </c>
      <c r="E93" s="5" t="str">
        <f>VLOOKUP($A93,tropes!$A$4:$O$2428,5,FALSE)</f>
        <v>Redshirt security officer killed by native thrown weapaon after pulling his phaser on the Klingon.</v>
      </c>
      <c r="F93" s="5" t="str">
        <f>VLOOKUP($A93,tropes!$A$4:$O$2428,6,FALSE)</f>
        <v>redshirt</v>
      </c>
      <c r="G93" s="5">
        <f>VLOOKUP($A93,tropes!$A$4:$O$2428,7,FALSE)</f>
        <v>0</v>
      </c>
      <c r="H93" s="5">
        <f>VLOOKUP($A93,tropes!$A$4:$O$2428,8,FALSE)</f>
        <v>0</v>
      </c>
      <c r="I93" s="5">
        <f>VLOOKUP($A93,tropes!$A$4:$O$2428,9,FALSE)</f>
        <v>211</v>
      </c>
      <c r="J93" s="5">
        <f>VLOOKUP($A93,tropes!$A$4:$O$2428,10,FALSE)</f>
        <v>41</v>
      </c>
      <c r="K93" s="5" t="str">
        <f>VLOOKUP($A93,tropes!$A$4:$O$2428,11,FALSE)</f>
        <v>Friday's Child</v>
      </c>
      <c r="L93" s="5">
        <f>VLOOKUP($A93,tropes!$A$4:$O$2428,12,FALSE)</f>
        <v>2</v>
      </c>
      <c r="M93" s="5">
        <f>VLOOKUP($A93,tropes!$A$4:$O$2428,13,FALSE)</f>
        <v>11</v>
      </c>
      <c r="N93" s="5">
        <f t="shared" si="1"/>
        <v>8</v>
      </c>
    </row>
    <row r="94" spans="1:14" x14ac:dyDescent="0.3">
      <c r="A94" s="14">
        <v>1661</v>
      </c>
      <c r="B94" s="5" t="str">
        <f>VLOOKUP($A94,tropes!$A$4:$O$2428,2,FALSE)</f>
        <v>Secretly Dying</v>
      </c>
      <c r="C94" s="5" t="str">
        <f>VLOOKUP($A94,tropes!$A$4:$O$2428,3,FALSE)</f>
        <v>death</v>
      </c>
      <c r="D94" s="5" t="str">
        <f>VLOOKUP($A94,tropes!$A$4:$O$2428,4,FALSE)</f>
        <v>mccoy</v>
      </c>
      <c r="E94" s="5" t="str">
        <f>VLOOKUP($A94,tropes!$A$4:$O$2428,5,FALSE)</f>
        <v>Averted: McCoy learns that he's suffering from a disease called xenopolycythemia which will kill him in one year. When he tells Kirk about it he asks him to keep it to himself so hell be most effective in his job in the time left.</v>
      </c>
      <c r="F94" s="5" t="str">
        <f>VLOOKUP($A94,tropes!$A$4:$O$2428,6,FALSE)</f>
        <v>mccoy</v>
      </c>
      <c r="G94" s="5">
        <f>VLOOKUP($A94,tropes!$A$4:$O$2428,7,FALSE)</f>
        <v>0</v>
      </c>
      <c r="H94" s="5">
        <f>VLOOKUP($A94,tropes!$A$4:$O$2428,8,FALSE)</f>
        <v>1</v>
      </c>
      <c r="I94" s="5">
        <f>VLOOKUP($A94,tropes!$A$4:$O$2428,9,FALSE)</f>
        <v>308</v>
      </c>
      <c r="J94" s="5">
        <f>VLOOKUP($A94,tropes!$A$4:$O$2428,10,FALSE)</f>
        <v>64</v>
      </c>
      <c r="K94" s="5" t="str">
        <f>VLOOKUP($A94,tropes!$A$4:$O$2428,11,FALSE)</f>
        <v>For the World Is Hollow and I Have Touched the Sky</v>
      </c>
      <c r="L94" s="5">
        <f>VLOOKUP($A94,tropes!$A$4:$O$2428,12,FALSE)</f>
        <v>3</v>
      </c>
      <c r="M94" s="5">
        <f>VLOOKUP($A94,tropes!$A$4:$O$2428,13,FALSE)</f>
        <v>8</v>
      </c>
      <c r="N94" s="5">
        <f t="shared" si="1"/>
        <v>0</v>
      </c>
    </row>
    <row r="95" spans="1:14" x14ac:dyDescent="0.3">
      <c r="A95" s="14">
        <v>81</v>
      </c>
      <c r="B95" s="5" t="str">
        <f>VLOOKUP($A95,tropes!$A$4:$O$2428,2,FALSE)</f>
        <v>Redshirt</v>
      </c>
      <c r="C95" s="5" t="str">
        <f>VLOOKUP($A95,tropes!$A$4:$O$2428,3,FALSE)</f>
        <v>death</v>
      </c>
      <c r="D95" s="5" t="str">
        <f>VLOOKUP($A95,tropes!$A$4:$O$2428,4,FALSE)</f>
        <v>human</v>
      </c>
      <c r="E95" s="5" t="str">
        <f>VLOOKUP($A95,tropes!$A$4:$O$2428,5,FALSE)</f>
        <v>A saboteur phasers himself to death rather than let Kirk and company find out exactly what He's done to the ship.</v>
      </c>
      <c r="F95" s="5" t="str">
        <f>VLOOKUP($A95,tropes!$A$4:$O$2428,6,FALSE)</f>
        <v>andorianOrion</v>
      </c>
      <c r="G95" s="5">
        <f>VLOOKUP($A95,tropes!$A$4:$O$2428,7,FALSE)</f>
        <v>0</v>
      </c>
      <c r="H95" s="5">
        <f>VLOOKUP($A95,tropes!$A$4:$O$2428,8,FALSE)</f>
        <v>0</v>
      </c>
      <c r="I95" s="5">
        <f>VLOOKUP($A95,tropes!$A$4:$O$2428,9,FALSE)</f>
        <v>313</v>
      </c>
      <c r="J95" s="5">
        <f>VLOOKUP($A95,tropes!$A$4:$O$2428,10,FALSE)</f>
        <v>69</v>
      </c>
      <c r="K95" s="5" t="str">
        <f>VLOOKUP($A95,tropes!$A$4:$O$2428,11,FALSE)</f>
        <v>Elaan of Troyius</v>
      </c>
      <c r="L95" s="5">
        <f>VLOOKUP($A95,tropes!$A$4:$O$2428,12,FALSE)</f>
        <v>3</v>
      </c>
      <c r="M95" s="5">
        <f>VLOOKUP($A95,tropes!$A$4:$O$2428,13,FALSE)</f>
        <v>13</v>
      </c>
      <c r="N95" s="5">
        <f t="shared" si="1"/>
        <v>0</v>
      </c>
    </row>
    <row r="96" spans="1:14" x14ac:dyDescent="0.3">
      <c r="A96" s="14"/>
      <c r="B96" s="5"/>
      <c r="C96" s="5"/>
      <c r="D96" s="5"/>
      <c r="E96" s="5"/>
      <c r="F96" s="5"/>
      <c r="G96" s="5"/>
      <c r="H96" s="5"/>
      <c r="I96" s="5"/>
      <c r="J96" s="5"/>
      <c r="K96" s="5"/>
      <c r="L96" s="5"/>
      <c r="M96" s="5"/>
      <c r="N96" s="5"/>
    </row>
  </sheetData>
  <sortState ref="A2:N95">
    <sortCondition ref="I2:I95"/>
    <sortCondition ref="B2:B95"/>
    <sortCondition ref="D2:D95"/>
  </sortState>
  <conditionalFormatting sqref="A96">
    <cfRule type="containsBlanks" dxfId="28" priority="3">
      <formula>LEN(TRIM(A96))=0</formula>
    </cfRule>
  </conditionalFormatting>
  <conditionalFormatting sqref="B1:C1">
    <cfRule type="expression" dxfId="27" priority="2">
      <formula>O1&gt;0</formula>
    </cfRule>
  </conditionalFormatting>
  <conditionalFormatting sqref="A2:A95">
    <cfRule type="containsBlanks" dxfId="26" priority="1">
      <formula>LEN(TRIM(A2))=0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CC"/>
  </sheetPr>
  <dimension ref="A1:N168"/>
  <sheetViews>
    <sheetView topLeftCell="A154" workbookViewId="0">
      <selection activeCell="N3" sqref="N3:N168"/>
    </sheetView>
  </sheetViews>
  <sheetFormatPr defaultRowHeight="12" x14ac:dyDescent="0.3"/>
  <cols>
    <col min="1" max="1" width="7.33203125" bestFit="1" customWidth="1"/>
    <col min="2" max="2" width="24.33203125" bestFit="1" customWidth="1"/>
    <col min="3" max="3" width="9.44140625" bestFit="1" customWidth="1"/>
    <col min="4" max="4" width="14" bestFit="1" customWidth="1"/>
    <col min="5" max="5" width="100.77734375" customWidth="1"/>
    <col min="6" max="6" width="8.109375" bestFit="1" customWidth="1"/>
    <col min="7" max="7" width="7.109375" bestFit="1" customWidth="1"/>
    <col min="8" max="8" width="6.77734375" bestFit="1" customWidth="1"/>
    <col min="9" max="9" width="7.6640625" bestFit="1" customWidth="1"/>
    <col min="10" max="10" width="7.44140625" bestFit="1" customWidth="1"/>
    <col min="11" max="11" width="26.77734375" bestFit="1" customWidth="1"/>
    <col min="12" max="12" width="2.109375" bestFit="1" customWidth="1"/>
    <col min="13" max="13" width="3.109375" bestFit="1" customWidth="1"/>
    <col min="14" max="14" width="15.6640625" bestFit="1" customWidth="1"/>
  </cols>
  <sheetData>
    <row r="1" spans="1:14" x14ac:dyDescent="0.3">
      <c r="A1" s="5" t="s">
        <v>160</v>
      </c>
      <c r="B1" s="1" t="s">
        <v>3</v>
      </c>
      <c r="C1" s="1" t="s">
        <v>2601</v>
      </c>
      <c r="D1" s="1" t="s">
        <v>150</v>
      </c>
      <c r="E1" s="1" t="s">
        <v>164</v>
      </c>
      <c r="F1" s="1" t="s">
        <v>183</v>
      </c>
      <c r="G1" s="14" t="s">
        <v>744</v>
      </c>
      <c r="H1" s="14" t="s">
        <v>758</v>
      </c>
      <c r="I1" s="14" t="s">
        <v>161</v>
      </c>
      <c r="J1" s="15" t="s">
        <v>15</v>
      </c>
      <c r="K1" s="16" t="s">
        <v>16</v>
      </c>
      <c r="L1" s="16" t="s">
        <v>157</v>
      </c>
      <c r="M1" s="16" t="s">
        <v>158</v>
      </c>
      <c r="N1" s="14" t="s">
        <v>182</v>
      </c>
    </row>
    <row r="2" spans="1:14" x14ac:dyDescent="0.3">
      <c r="A2" s="14">
        <v>543</v>
      </c>
      <c r="B2" s="5" t="str">
        <f>VLOOKUP($A2,tropes!$A$4:$O$2428,2,FALSE)</f>
        <v>Captain's Log</v>
      </c>
      <c r="C2" s="5" t="str">
        <f>VLOOKUP($A2,tropes!$A$4:$O$2428,3,FALSE)</f>
        <v>exposition</v>
      </c>
      <c r="D2" s="5" t="str">
        <f>VLOOKUP($A2,tropes!$A$4:$O$2428,4,FALSE)</f>
        <v>log</v>
      </c>
      <c r="E2" s="5" t="str">
        <f>VLOOKUP($A2,tropes!$A$4:$O$2428,5,FALSE)</f>
        <v>Ship's Log-1 (Kirk): Stardate 1513.1. Our position, orbiting planet M-113. On board the Enterprise, Mister Spock temporarily in command. On the planet the ruins of an ancient and long-dead civilization. Ships surgeon McCoy and myself are now beaming down to the planets surface. Our mission, routine medical examination of archaeologist Robert Crater and his wife Nancy. Routine but for the fact that Nancy Crater is that one woman in Doctor McCoy's past.</v>
      </c>
      <c r="F2" s="5" t="str">
        <f>VLOOKUP($A2,tropes!$A$4:$O$2428,6,FALSE)</f>
        <v>kirk</v>
      </c>
      <c r="G2" s="5">
        <f>VLOOKUP($A2,tropes!$A$4:$O$2428,7,FALSE)</f>
        <v>1</v>
      </c>
      <c r="H2" s="5">
        <f>VLOOKUP($A2,tropes!$A$4:$O$2428,8,FALSE)</f>
        <v>0</v>
      </c>
      <c r="I2" s="5">
        <f>VLOOKUP($A2,tropes!$A$4:$O$2428,9,FALSE)</f>
        <v>101</v>
      </c>
      <c r="J2" s="5">
        <f>VLOOKUP($A2,tropes!$A$4:$O$2428,10,FALSE)</f>
        <v>2</v>
      </c>
      <c r="K2" s="5" t="str">
        <f>VLOOKUP($A2,tropes!$A$4:$O$2428,11,FALSE)</f>
        <v>The Man Trap</v>
      </c>
      <c r="L2" s="5">
        <f>VLOOKUP($A2,tropes!$A$4:$O$2428,12,FALSE)</f>
        <v>1</v>
      </c>
      <c r="M2" s="5">
        <f>VLOOKUP($A2,tropes!$A$4:$O$2428,13,FALSE)</f>
        <v>1</v>
      </c>
      <c r="N2" s="5">
        <v>0</v>
      </c>
    </row>
    <row r="3" spans="1:14" x14ac:dyDescent="0.3">
      <c r="A3" s="14">
        <v>544</v>
      </c>
      <c r="B3" s="5" t="str">
        <f>VLOOKUP($A3,tropes!$A$4:$O$2428,2,FALSE)</f>
        <v>Captain's Log</v>
      </c>
      <c r="C3" s="5" t="str">
        <f>VLOOKUP($A3,tropes!$A$4:$O$2428,3,FALSE)</f>
        <v>exposition</v>
      </c>
      <c r="D3" s="5" t="str">
        <f>VLOOKUP($A3,tropes!$A$4:$O$2428,4,FALSE)</f>
        <v>log</v>
      </c>
      <c r="E3" s="5" t="str">
        <f>VLOOKUP($A3,tropes!$A$4:$O$2428,5,FALSE)</f>
        <v>Ship's Log-2 (Kirk): additional entry. Since our mission was routine, we had beamed down to the planet without suspicion. We were unaware each member of the landing party was seeing a different woman, a different Nancy Crater.</v>
      </c>
      <c r="F3" s="5" t="str">
        <f>VLOOKUP($A3,tropes!$A$4:$O$2428,6,FALSE)</f>
        <v>kirk</v>
      </c>
      <c r="G3" s="5">
        <f>VLOOKUP($A3,tropes!$A$4:$O$2428,7,FALSE)</f>
        <v>1</v>
      </c>
      <c r="H3" s="5">
        <f>VLOOKUP($A3,tropes!$A$4:$O$2428,8,FALSE)</f>
        <v>0</v>
      </c>
      <c r="I3" s="5">
        <f>VLOOKUP($A3,tropes!$A$4:$O$2428,9,FALSE)</f>
        <v>101</v>
      </c>
      <c r="J3" s="5">
        <f>VLOOKUP($A3,tropes!$A$4:$O$2428,10,FALSE)</f>
        <v>2</v>
      </c>
      <c r="K3" s="5" t="str">
        <f>VLOOKUP($A3,tropes!$A$4:$O$2428,11,FALSE)</f>
        <v>The Man Trap</v>
      </c>
      <c r="L3" s="5">
        <f>VLOOKUP($A3,tropes!$A$4:$O$2428,12,FALSE)</f>
        <v>1</v>
      </c>
      <c r="M3" s="5">
        <f>VLOOKUP($A3,tropes!$A$4:$O$2428,13,FALSE)</f>
        <v>1</v>
      </c>
      <c r="N3" s="5">
        <f>IF(I3&lt;&gt;I2,0,N2+1)</f>
        <v>1</v>
      </c>
    </row>
    <row r="4" spans="1:14" x14ac:dyDescent="0.3">
      <c r="A4" s="14">
        <v>545</v>
      </c>
      <c r="B4" s="5" t="str">
        <f>VLOOKUP($A4,tropes!$A$4:$O$2428,2,FALSE)</f>
        <v>Captain's Log</v>
      </c>
      <c r="C4" s="5" t="str">
        <f>VLOOKUP($A4,tropes!$A$4:$O$2428,3,FALSE)</f>
        <v>exposition</v>
      </c>
      <c r="D4" s="5" t="str">
        <f>VLOOKUP($A4,tropes!$A$4:$O$2428,4,FALSE)</f>
        <v>log</v>
      </c>
      <c r="E4" s="5" t="str">
        <f>VLOOKUP($A4,tropes!$A$4:$O$2428,5,FALSE)</f>
        <v>Ship's Log-3 (Kirk): Stardate 1513.4. In orbit around planet M-113. One crewman, member of the landing party, dead by violence. Cause unknown, but we are certain the cause of death was not poison.</v>
      </c>
      <c r="F4" s="5" t="str">
        <f>VLOOKUP($A4,tropes!$A$4:$O$2428,6,FALSE)</f>
        <v>kirk</v>
      </c>
      <c r="G4" s="5">
        <f>VLOOKUP($A4,tropes!$A$4:$O$2428,7,FALSE)</f>
        <v>1</v>
      </c>
      <c r="H4" s="5">
        <f>VLOOKUP($A4,tropes!$A$4:$O$2428,8,FALSE)</f>
        <v>0</v>
      </c>
      <c r="I4" s="5">
        <f>VLOOKUP($A4,tropes!$A$4:$O$2428,9,FALSE)</f>
        <v>101</v>
      </c>
      <c r="J4" s="5">
        <f>VLOOKUP($A4,tropes!$A$4:$O$2428,10,FALSE)</f>
        <v>2</v>
      </c>
      <c r="K4" s="5" t="str">
        <f>VLOOKUP($A4,tropes!$A$4:$O$2428,11,FALSE)</f>
        <v>The Man Trap</v>
      </c>
      <c r="L4" s="5">
        <f>VLOOKUP($A4,tropes!$A$4:$O$2428,12,FALSE)</f>
        <v>1</v>
      </c>
      <c r="M4" s="5">
        <f>VLOOKUP($A4,tropes!$A$4:$O$2428,13,FALSE)</f>
        <v>1</v>
      </c>
      <c r="N4" s="5">
        <f t="shared" ref="N4:N67" si="0">IF(I4&lt;&gt;I3,0,N3+1)</f>
        <v>2</v>
      </c>
    </row>
    <row r="5" spans="1:14" x14ac:dyDescent="0.3">
      <c r="A5" s="14">
        <v>546</v>
      </c>
      <c r="B5" s="5" t="str">
        <f>VLOOKUP($A5,tropes!$A$4:$O$2428,2,FALSE)</f>
        <v>Captain's Log</v>
      </c>
      <c r="C5" s="5" t="str">
        <f>VLOOKUP($A5,tropes!$A$4:$O$2428,3,FALSE)</f>
        <v>exposition</v>
      </c>
      <c r="D5" s="5" t="str">
        <f>VLOOKUP($A5,tropes!$A$4:$O$2428,4,FALSE)</f>
        <v>log</v>
      </c>
      <c r="E5" s="5" t="str">
        <f>VLOOKUP($A5,tropes!$A$4:$O$2428,5,FALSE)</f>
        <v>Ship's Log-4 (Kirk): Stardate 1513.8. I am now certain that the violent death of my crewmen was caused by some strange life-form.</v>
      </c>
      <c r="F5" s="5" t="str">
        <f>VLOOKUP($A5,tropes!$A$4:$O$2428,6,FALSE)</f>
        <v>kirk</v>
      </c>
      <c r="G5" s="5">
        <f>VLOOKUP($A5,tropes!$A$4:$O$2428,7,FALSE)</f>
        <v>1</v>
      </c>
      <c r="H5" s="5">
        <f>VLOOKUP($A5,tropes!$A$4:$O$2428,8,FALSE)</f>
        <v>0</v>
      </c>
      <c r="I5" s="5">
        <f>VLOOKUP($A5,tropes!$A$4:$O$2428,9,FALSE)</f>
        <v>101</v>
      </c>
      <c r="J5" s="5">
        <f>VLOOKUP($A5,tropes!$A$4:$O$2428,10,FALSE)</f>
        <v>2</v>
      </c>
      <c r="K5" s="5" t="str">
        <f>VLOOKUP($A5,tropes!$A$4:$O$2428,11,FALSE)</f>
        <v>The Man Trap</v>
      </c>
      <c r="L5" s="5">
        <f>VLOOKUP($A5,tropes!$A$4:$O$2428,12,FALSE)</f>
        <v>1</v>
      </c>
      <c r="M5" s="5">
        <f>VLOOKUP($A5,tropes!$A$4:$O$2428,13,FALSE)</f>
        <v>1</v>
      </c>
      <c r="N5" s="5">
        <f t="shared" si="0"/>
        <v>3</v>
      </c>
    </row>
    <row r="6" spans="1:14" x14ac:dyDescent="0.3">
      <c r="A6" s="14">
        <v>547</v>
      </c>
      <c r="B6" s="5" t="str">
        <f>VLOOKUP($A6,tropes!$A$4:$O$2428,2,FALSE)</f>
        <v>Captain's Log</v>
      </c>
      <c r="C6" s="5" t="str">
        <f>VLOOKUP($A6,tropes!$A$4:$O$2428,3,FALSE)</f>
        <v>exposition</v>
      </c>
      <c r="D6" s="5" t="str">
        <f>VLOOKUP($A6,tropes!$A$4:$O$2428,4,FALSE)</f>
        <v>log</v>
      </c>
      <c r="E6" s="5" t="str">
        <f>VLOOKUP($A6,tropes!$A$4:$O$2428,5,FALSE)</f>
        <v>Ship's Log-5 (Kirk): additional. Armed and able-bodied crewmen are not attacked and slaughtered this easily. Apparently, the killer can immobilize them as it approaches perhaps with some hypnotic or paralyzing power. The answer lies with Professor Crater.</v>
      </c>
      <c r="F6" s="5" t="str">
        <f>VLOOKUP($A6,tropes!$A$4:$O$2428,6,FALSE)</f>
        <v>kirk</v>
      </c>
      <c r="G6" s="5">
        <f>VLOOKUP($A6,tropes!$A$4:$O$2428,7,FALSE)</f>
        <v>1</v>
      </c>
      <c r="H6" s="5">
        <f>VLOOKUP($A6,tropes!$A$4:$O$2428,8,FALSE)</f>
        <v>0</v>
      </c>
      <c r="I6" s="5">
        <f>VLOOKUP($A6,tropes!$A$4:$O$2428,9,FALSE)</f>
        <v>101</v>
      </c>
      <c r="J6" s="5">
        <f>VLOOKUP($A6,tropes!$A$4:$O$2428,10,FALSE)</f>
        <v>2</v>
      </c>
      <c r="K6" s="5" t="str">
        <f>VLOOKUP($A6,tropes!$A$4:$O$2428,11,FALSE)</f>
        <v>The Man Trap</v>
      </c>
      <c r="L6" s="5">
        <f>VLOOKUP($A6,tropes!$A$4:$O$2428,12,FALSE)</f>
        <v>1</v>
      </c>
      <c r="M6" s="5">
        <f>VLOOKUP($A6,tropes!$A$4:$O$2428,13,FALSE)</f>
        <v>1</v>
      </c>
      <c r="N6" s="5">
        <f t="shared" si="0"/>
        <v>4</v>
      </c>
    </row>
    <row r="7" spans="1:14" x14ac:dyDescent="0.3">
      <c r="A7" s="14">
        <v>548</v>
      </c>
      <c r="B7" s="5" t="str">
        <f>VLOOKUP($A7,tropes!$A$4:$O$2428,2,FALSE)</f>
        <v>Captain's Log</v>
      </c>
      <c r="C7" s="5" t="str">
        <f>VLOOKUP($A7,tropes!$A$4:$O$2428,3,FALSE)</f>
        <v>exposition</v>
      </c>
      <c r="D7" s="5" t="str">
        <f>VLOOKUP($A7,tropes!$A$4:$O$2428,4,FALSE)</f>
        <v>log</v>
      </c>
      <c r="E7" s="5" t="str">
        <f>VLOOKUP($A7,tropes!$A$4:$O$2428,5,FALSE)</f>
        <v>Ship's Log-6 (Kirk): continuing. The Enterprise has been invaded by a creature capable of assuming any form, and with the capacity to paralyze and draw the life from any one of us.</v>
      </c>
      <c r="F7" s="5" t="str">
        <f>VLOOKUP($A7,tropes!$A$4:$O$2428,6,FALSE)</f>
        <v>kirk</v>
      </c>
      <c r="G7" s="5">
        <f>VLOOKUP($A7,tropes!$A$4:$O$2428,7,FALSE)</f>
        <v>1</v>
      </c>
      <c r="H7" s="5">
        <f>VLOOKUP($A7,tropes!$A$4:$O$2428,8,FALSE)</f>
        <v>0</v>
      </c>
      <c r="I7" s="5">
        <f>VLOOKUP($A7,tropes!$A$4:$O$2428,9,FALSE)</f>
        <v>101</v>
      </c>
      <c r="J7" s="5">
        <f>VLOOKUP($A7,tropes!$A$4:$O$2428,10,FALSE)</f>
        <v>2</v>
      </c>
      <c r="K7" s="5" t="str">
        <f>VLOOKUP($A7,tropes!$A$4:$O$2428,11,FALSE)</f>
        <v>The Man Trap</v>
      </c>
      <c r="L7" s="5">
        <f>VLOOKUP($A7,tropes!$A$4:$O$2428,12,FALSE)</f>
        <v>1</v>
      </c>
      <c r="M7" s="5">
        <f>VLOOKUP($A7,tropes!$A$4:$O$2428,13,FALSE)</f>
        <v>1</v>
      </c>
      <c r="N7" s="5">
        <f t="shared" si="0"/>
        <v>5</v>
      </c>
    </row>
    <row r="8" spans="1:14" x14ac:dyDescent="0.3">
      <c r="A8" s="14">
        <v>499</v>
      </c>
      <c r="B8" s="5" t="str">
        <f>VLOOKUP($A8,tropes!$A$4:$O$2428,2,FALSE)</f>
        <v>Freudian Trio</v>
      </c>
      <c r="C8" s="5" t="str">
        <f>VLOOKUP($A8,tropes!$A$4:$O$2428,3,FALSE)</f>
        <v>exposition</v>
      </c>
      <c r="D8" s="5" t="str">
        <f>VLOOKUP($A8,tropes!$A$4:$O$2428,4,FALSE)</f>
        <v>freudian_trio</v>
      </c>
      <c r="E8" s="5" t="str">
        <f>VLOOKUP($A8,tropes!$A$4:$O$2428,5,FALSE)</f>
        <v>Kirk, Spock, and McCoy discuss Darnell's death and the lack of salt in his body.</v>
      </c>
      <c r="F8" s="5" t="str">
        <f>VLOOKUP($A8,tropes!$A$4:$O$2428,6,FALSE)</f>
        <v>trio</v>
      </c>
      <c r="G8" s="5">
        <f>VLOOKUP($A8,tropes!$A$4:$O$2428,7,FALSE)</f>
        <v>1</v>
      </c>
      <c r="H8" s="5">
        <f>VLOOKUP($A8,tropes!$A$4:$O$2428,8,FALSE)</f>
        <v>0</v>
      </c>
      <c r="I8" s="5">
        <f>VLOOKUP($A8,tropes!$A$4:$O$2428,9,FALSE)</f>
        <v>101</v>
      </c>
      <c r="J8" s="5">
        <f>VLOOKUP($A8,tropes!$A$4:$O$2428,10,FALSE)</f>
        <v>2</v>
      </c>
      <c r="K8" s="5" t="str">
        <f>VLOOKUP($A8,tropes!$A$4:$O$2428,11,FALSE)</f>
        <v>The Man Trap</v>
      </c>
      <c r="L8" s="5">
        <f>VLOOKUP($A8,tropes!$A$4:$O$2428,12,FALSE)</f>
        <v>1</v>
      </c>
      <c r="M8" s="5">
        <f>VLOOKUP($A8,tropes!$A$4:$O$2428,13,FALSE)</f>
        <v>1</v>
      </c>
      <c r="N8" s="5">
        <f t="shared" si="0"/>
        <v>6</v>
      </c>
    </row>
    <row r="9" spans="1:14" x14ac:dyDescent="0.3">
      <c r="A9" s="14">
        <v>560</v>
      </c>
      <c r="B9" s="5" t="str">
        <f>VLOOKUP($A9,tropes!$A$4:$O$2428,2,FALSE)</f>
        <v>Captain's Log</v>
      </c>
      <c r="C9" s="5" t="str">
        <f>VLOOKUP($A9,tropes!$A$4:$O$2428,3,FALSE)</f>
        <v>exposition</v>
      </c>
      <c r="D9" s="5" t="str">
        <f>VLOOKUP($A9,tropes!$A$4:$O$2428,4,FALSE)</f>
        <v>log</v>
      </c>
      <c r="E9" s="5" t="str">
        <f>VLOOKUP($A9,tropes!$A$4:$O$2428,5,FALSE)</f>
        <v>Ship's Log-1 (Kirk): Stardate 1533.6. Now maneuvering to come alongside cargo vessel Antares. Its Captain and First officer are beaming over to us with an unusual passenger.</v>
      </c>
      <c r="F9" s="5" t="str">
        <f>VLOOKUP($A9,tropes!$A$4:$O$2428,6,FALSE)</f>
        <v>kirk</v>
      </c>
      <c r="G9" s="5">
        <f>VLOOKUP($A9,tropes!$A$4:$O$2428,7,FALSE)</f>
        <v>1</v>
      </c>
      <c r="H9" s="5">
        <f>VLOOKUP($A9,tropes!$A$4:$O$2428,8,FALSE)</f>
        <v>0</v>
      </c>
      <c r="I9" s="5">
        <f>VLOOKUP($A9,tropes!$A$4:$O$2428,9,FALSE)</f>
        <v>102</v>
      </c>
      <c r="J9" s="5">
        <f>VLOOKUP($A9,tropes!$A$4:$O$2428,10,FALSE)</f>
        <v>3</v>
      </c>
      <c r="K9" s="5" t="str">
        <f>VLOOKUP($A9,tropes!$A$4:$O$2428,11,FALSE)</f>
        <v>Charlie X</v>
      </c>
      <c r="L9" s="5">
        <f>VLOOKUP($A9,tropes!$A$4:$O$2428,12,FALSE)</f>
        <v>1</v>
      </c>
      <c r="M9" s="5">
        <f>VLOOKUP($A9,tropes!$A$4:$O$2428,13,FALSE)</f>
        <v>2</v>
      </c>
      <c r="N9" s="5">
        <f t="shared" si="0"/>
        <v>0</v>
      </c>
    </row>
    <row r="10" spans="1:14" x14ac:dyDescent="0.3">
      <c r="A10" s="14">
        <v>561</v>
      </c>
      <c r="B10" s="5" t="str">
        <f>VLOOKUP($A10,tropes!$A$4:$O$2428,2,FALSE)</f>
        <v>Captain's Log</v>
      </c>
      <c r="C10" s="5" t="str">
        <f>VLOOKUP($A10,tropes!$A$4:$O$2428,3,FALSE)</f>
        <v>exposition</v>
      </c>
      <c r="D10" s="5" t="str">
        <f>VLOOKUP($A10,tropes!$A$4:$O$2428,4,FALSE)</f>
        <v>log</v>
      </c>
      <c r="E10" s="5" t="str">
        <f>VLOOKUP($A10,tropes!$A$4:$O$2428,5,FALSE)</f>
        <v>Ship's Log-2 (Kirk): Stardate 1533.7. We have taken aboard an unusual passenger for transport to Colony Alpha Five. Charles Evans, the sole survivor of a transport crash fourteen years ago. The child, alone from age three, has not only survived, but has grown to intelligent, healthy adolescence.</v>
      </c>
      <c r="F10" s="5" t="str">
        <f>VLOOKUP($A10,tropes!$A$4:$O$2428,6,FALSE)</f>
        <v>kirk</v>
      </c>
      <c r="G10" s="5">
        <f>VLOOKUP($A10,tropes!$A$4:$O$2428,7,FALSE)</f>
        <v>1</v>
      </c>
      <c r="H10" s="5">
        <f>VLOOKUP($A10,tropes!$A$4:$O$2428,8,FALSE)</f>
        <v>0</v>
      </c>
      <c r="I10" s="5">
        <f>VLOOKUP($A10,tropes!$A$4:$O$2428,9,FALSE)</f>
        <v>102</v>
      </c>
      <c r="J10" s="5">
        <f>VLOOKUP($A10,tropes!$A$4:$O$2428,10,FALSE)</f>
        <v>3</v>
      </c>
      <c r="K10" s="5" t="str">
        <f>VLOOKUP($A10,tropes!$A$4:$O$2428,11,FALSE)</f>
        <v>Charlie X</v>
      </c>
      <c r="L10" s="5">
        <f>VLOOKUP($A10,tropes!$A$4:$O$2428,12,FALSE)</f>
        <v>1</v>
      </c>
      <c r="M10" s="5">
        <f>VLOOKUP($A10,tropes!$A$4:$O$2428,13,FALSE)</f>
        <v>2</v>
      </c>
      <c r="N10" s="5">
        <f t="shared" si="0"/>
        <v>1</v>
      </c>
    </row>
    <row r="11" spans="1:14" x14ac:dyDescent="0.3">
      <c r="A11" s="14">
        <v>562</v>
      </c>
      <c r="B11" s="5" t="str">
        <f>VLOOKUP($A11,tropes!$A$4:$O$2428,2,FALSE)</f>
        <v>Captain's Log</v>
      </c>
      <c r="C11" s="5" t="str">
        <f>VLOOKUP($A11,tropes!$A$4:$O$2428,3,FALSE)</f>
        <v>exposition</v>
      </c>
      <c r="D11" s="5" t="str">
        <f>VLOOKUP($A11,tropes!$A$4:$O$2428,4,FALSE)</f>
        <v>log</v>
      </c>
      <c r="E11" s="5" t="str">
        <f>VLOOKUP($A11,tropes!$A$4:$O$2428,5,FALSE)</f>
        <v>Ship's Log-3 (Kirk): Stardate 1535.8. UESPA headquarters notified of the mysterious loss of science probe vessel Antares.</v>
      </c>
      <c r="F11" s="5" t="str">
        <f>VLOOKUP($A11,tropes!$A$4:$O$2428,6,FALSE)</f>
        <v>kirk</v>
      </c>
      <c r="G11" s="5">
        <f>VLOOKUP($A11,tropes!$A$4:$O$2428,7,FALSE)</f>
        <v>1</v>
      </c>
      <c r="H11" s="5">
        <f>VLOOKUP($A11,tropes!$A$4:$O$2428,8,FALSE)</f>
        <v>0</v>
      </c>
      <c r="I11" s="5">
        <f>VLOOKUP($A11,tropes!$A$4:$O$2428,9,FALSE)</f>
        <v>102</v>
      </c>
      <c r="J11" s="5">
        <f>VLOOKUP($A11,tropes!$A$4:$O$2428,10,FALSE)</f>
        <v>3</v>
      </c>
      <c r="K11" s="5" t="str">
        <f>VLOOKUP($A11,tropes!$A$4:$O$2428,11,FALSE)</f>
        <v>Charlie X</v>
      </c>
      <c r="L11" s="5">
        <f>VLOOKUP($A11,tropes!$A$4:$O$2428,12,FALSE)</f>
        <v>1</v>
      </c>
      <c r="M11" s="5">
        <f>VLOOKUP($A11,tropes!$A$4:$O$2428,13,FALSE)</f>
        <v>2</v>
      </c>
      <c r="N11" s="5">
        <f t="shared" si="0"/>
        <v>2</v>
      </c>
    </row>
    <row r="12" spans="1:14" x14ac:dyDescent="0.3">
      <c r="A12" s="14">
        <v>500</v>
      </c>
      <c r="B12" s="5" t="str">
        <f>VLOOKUP($A12,tropes!$A$4:$O$2428,2,FALSE)</f>
        <v>Freudian Trio</v>
      </c>
      <c r="C12" s="5" t="str">
        <f>VLOOKUP($A12,tropes!$A$4:$O$2428,3,FALSE)</f>
        <v>exposition</v>
      </c>
      <c r="D12" s="5" t="str">
        <f>VLOOKUP($A12,tropes!$A$4:$O$2428,4,FALSE)</f>
        <v>freudian_trio</v>
      </c>
      <c r="E12" s="5" t="str">
        <f>VLOOKUP($A12,tropes!$A$4:$O$2428,5,FALSE)</f>
        <v>Kirk, Spock, and McCoy discuss the possibility that the Thasians exist.</v>
      </c>
      <c r="F12" s="5" t="str">
        <f>VLOOKUP($A12,tropes!$A$4:$O$2428,6,FALSE)</f>
        <v>trio</v>
      </c>
      <c r="G12" s="5">
        <f>VLOOKUP($A12,tropes!$A$4:$O$2428,7,FALSE)</f>
        <v>1</v>
      </c>
      <c r="H12" s="5">
        <f>VLOOKUP($A12,tropes!$A$4:$O$2428,8,FALSE)</f>
        <v>0</v>
      </c>
      <c r="I12" s="5">
        <f>VLOOKUP($A12,tropes!$A$4:$O$2428,9,FALSE)</f>
        <v>102</v>
      </c>
      <c r="J12" s="5">
        <f>VLOOKUP($A12,tropes!$A$4:$O$2428,10,FALSE)</f>
        <v>3</v>
      </c>
      <c r="K12" s="5" t="str">
        <f>VLOOKUP($A12,tropes!$A$4:$O$2428,11,FALSE)</f>
        <v>Charlie X</v>
      </c>
      <c r="L12" s="5">
        <f>VLOOKUP($A12,tropes!$A$4:$O$2428,12,FALSE)</f>
        <v>1</v>
      </c>
      <c r="M12" s="5">
        <f>VLOOKUP($A12,tropes!$A$4:$O$2428,13,FALSE)</f>
        <v>2</v>
      </c>
      <c r="N12" s="5">
        <f t="shared" si="0"/>
        <v>3</v>
      </c>
    </row>
    <row r="13" spans="1:14" x14ac:dyDescent="0.3">
      <c r="A13" s="14">
        <v>501</v>
      </c>
      <c r="B13" s="5" t="str">
        <f>VLOOKUP($A13,tropes!$A$4:$O$2428,2,FALSE)</f>
        <v>Freudian Trio</v>
      </c>
      <c r="C13" s="5" t="str">
        <f>VLOOKUP($A13,tropes!$A$4:$O$2428,3,FALSE)</f>
        <v>exposition</v>
      </c>
      <c r="D13" s="5" t="str">
        <f>VLOOKUP($A13,tropes!$A$4:$O$2428,4,FALSE)</f>
        <v>freudian_trio</v>
      </c>
      <c r="E13" s="5" t="str">
        <f>VLOOKUP($A13,tropes!$A$4:$O$2428,5,FALSE)</f>
        <v>Kirk, Spock, and McCoy discuss their problem with Charlie and his abuse of his powers.</v>
      </c>
      <c r="F13" s="5" t="str">
        <f>VLOOKUP($A13,tropes!$A$4:$O$2428,6,FALSE)</f>
        <v>trio</v>
      </c>
      <c r="G13" s="5">
        <f>VLOOKUP($A13,tropes!$A$4:$O$2428,7,FALSE)</f>
        <v>1</v>
      </c>
      <c r="H13" s="5">
        <f>VLOOKUP($A13,tropes!$A$4:$O$2428,8,FALSE)</f>
        <v>0</v>
      </c>
      <c r="I13" s="5">
        <f>VLOOKUP($A13,tropes!$A$4:$O$2428,9,FALSE)</f>
        <v>102</v>
      </c>
      <c r="J13" s="5">
        <f>VLOOKUP($A13,tropes!$A$4:$O$2428,10,FALSE)</f>
        <v>3</v>
      </c>
      <c r="K13" s="5" t="str">
        <f>VLOOKUP($A13,tropes!$A$4:$O$2428,11,FALSE)</f>
        <v>Charlie X</v>
      </c>
      <c r="L13" s="5">
        <f>VLOOKUP($A13,tropes!$A$4:$O$2428,12,FALSE)</f>
        <v>1</v>
      </c>
      <c r="M13" s="5">
        <f>VLOOKUP($A13,tropes!$A$4:$O$2428,13,FALSE)</f>
        <v>2</v>
      </c>
      <c r="N13" s="5">
        <f t="shared" si="0"/>
        <v>4</v>
      </c>
    </row>
    <row r="14" spans="1:14" x14ac:dyDescent="0.3">
      <c r="A14" s="14">
        <v>567</v>
      </c>
      <c r="B14" s="5" t="str">
        <f>VLOOKUP($A14,tropes!$A$4:$O$2428,2,FALSE)</f>
        <v>Captain's Log</v>
      </c>
      <c r="C14" s="5" t="str">
        <f>VLOOKUP($A14,tropes!$A$4:$O$2428,3,FALSE)</f>
        <v>exposition</v>
      </c>
      <c r="D14" s="5" t="str">
        <f>VLOOKUP($A14,tropes!$A$4:$O$2428,4,FALSE)</f>
        <v>log</v>
      </c>
      <c r="E14" s="5" t="str">
        <f>VLOOKUP($A14,tropes!$A$4:$O$2428,5,FALSE)</f>
        <v>Ship's Log-1 (Kirk): Star date 1312.4. The impossible has happened. From directly ahead, were picking up a recorded distress signal, the call letters of a vessel which has been missing for over two centuries. Did another Earth ship once probe out of the galaxy as we intend to do? What happened to it out there? Is this some warning they've left behind?</v>
      </c>
      <c r="F14" s="5" t="str">
        <f>VLOOKUP($A14,tropes!$A$4:$O$2428,6,FALSE)</f>
        <v>kirk</v>
      </c>
      <c r="G14" s="5">
        <f>VLOOKUP($A14,tropes!$A$4:$O$2428,7,FALSE)</f>
        <v>1</v>
      </c>
      <c r="H14" s="5">
        <f>VLOOKUP($A14,tropes!$A$4:$O$2428,8,FALSE)</f>
        <v>0</v>
      </c>
      <c r="I14" s="5">
        <f>VLOOKUP($A14,tropes!$A$4:$O$2428,9,FALSE)</f>
        <v>103</v>
      </c>
      <c r="J14" s="5">
        <f>VLOOKUP($A14,tropes!$A$4:$O$2428,10,FALSE)</f>
        <v>4</v>
      </c>
      <c r="K14" s="5" t="str">
        <f>VLOOKUP($A14,tropes!$A$4:$O$2428,11,FALSE)</f>
        <v>Where No Man Has Gone Before</v>
      </c>
      <c r="L14" s="5">
        <f>VLOOKUP($A14,tropes!$A$4:$O$2428,12,FALSE)</f>
        <v>1</v>
      </c>
      <c r="M14" s="5">
        <f>VLOOKUP($A14,tropes!$A$4:$O$2428,13,FALSE)</f>
        <v>3</v>
      </c>
      <c r="N14" s="5">
        <f t="shared" si="0"/>
        <v>0</v>
      </c>
    </row>
    <row r="15" spans="1:14" x14ac:dyDescent="0.3">
      <c r="A15" s="14">
        <v>568</v>
      </c>
      <c r="B15" s="5" t="str">
        <f>VLOOKUP($A15,tropes!$A$4:$O$2428,2,FALSE)</f>
        <v>Captain's Log</v>
      </c>
      <c r="C15" s="5" t="str">
        <f>VLOOKUP($A15,tropes!$A$4:$O$2428,3,FALSE)</f>
        <v>exposition</v>
      </c>
      <c r="D15" s="5" t="str">
        <f>VLOOKUP($A15,tropes!$A$4:$O$2428,4,FALSE)</f>
        <v>log</v>
      </c>
      <c r="E15" s="5" t="str">
        <f>VLOOKUP($A15,tropes!$A$4:$O$2428,5,FALSE)</f>
        <v>Ship's Log-2 (Kirk): Star date 1312.9. Ships condition, heading back on impulse power only. Main engines burned out. The ships space warp ability gone. Earth bases which were only days away are now years in the distance. Our overriding question now is what destroyed the Valiant? They lived through the barrier, just as we have. What happened to them after that?</v>
      </c>
      <c r="F15" s="5" t="str">
        <f>VLOOKUP($A15,tropes!$A$4:$O$2428,6,FALSE)</f>
        <v>kirk</v>
      </c>
      <c r="G15" s="5">
        <f>VLOOKUP($A15,tropes!$A$4:$O$2428,7,FALSE)</f>
        <v>1</v>
      </c>
      <c r="H15" s="5">
        <f>VLOOKUP($A15,tropes!$A$4:$O$2428,8,FALSE)</f>
        <v>0</v>
      </c>
      <c r="I15" s="5">
        <f>VLOOKUP($A15,tropes!$A$4:$O$2428,9,FALSE)</f>
        <v>103</v>
      </c>
      <c r="J15" s="5">
        <f>VLOOKUP($A15,tropes!$A$4:$O$2428,10,FALSE)</f>
        <v>4</v>
      </c>
      <c r="K15" s="5" t="str">
        <f>VLOOKUP($A15,tropes!$A$4:$O$2428,11,FALSE)</f>
        <v>Where No Man Has Gone Before</v>
      </c>
      <c r="L15" s="5">
        <f>VLOOKUP($A15,tropes!$A$4:$O$2428,12,FALSE)</f>
        <v>1</v>
      </c>
      <c r="M15" s="5">
        <f>VLOOKUP($A15,tropes!$A$4:$O$2428,13,FALSE)</f>
        <v>3</v>
      </c>
      <c r="N15" s="5">
        <f t="shared" si="0"/>
        <v>1</v>
      </c>
    </row>
    <row r="16" spans="1:14" x14ac:dyDescent="0.3">
      <c r="A16" s="14">
        <v>569</v>
      </c>
      <c r="B16" s="5" t="str">
        <f>VLOOKUP($A16,tropes!$A$4:$O$2428,2,FALSE)</f>
        <v>Captain's Log</v>
      </c>
      <c r="C16" s="5" t="str">
        <f>VLOOKUP($A16,tropes!$A$4:$O$2428,3,FALSE)</f>
        <v>exposition</v>
      </c>
      <c r="D16" s="5" t="str">
        <f>VLOOKUP($A16,tropes!$A$4:$O$2428,4,FALSE)</f>
        <v>log</v>
      </c>
      <c r="E16" s="5" t="str">
        <f>VLOOKUP($A16,tropes!$A$4:$O$2428,5,FALSE)</f>
        <v>Ship's Log-3 (Kirk): Stardate 1313.3. Note commendations on Lieutenant Kelso and the engineering staff. In orbit above us, the engines of the Enterprise are almost fully regenerated. Balance of the landing party is being transported back up. Mitchell, whatever he's become, keeps changing, growing stronger by the minute.</v>
      </c>
      <c r="F16" s="5" t="str">
        <f>VLOOKUP($A16,tropes!$A$4:$O$2428,6,FALSE)</f>
        <v>kirk</v>
      </c>
      <c r="G16" s="5">
        <f>VLOOKUP($A16,tropes!$A$4:$O$2428,7,FALSE)</f>
        <v>1</v>
      </c>
      <c r="H16" s="5">
        <f>VLOOKUP($A16,tropes!$A$4:$O$2428,8,FALSE)</f>
        <v>0</v>
      </c>
      <c r="I16" s="5">
        <f>VLOOKUP($A16,tropes!$A$4:$O$2428,9,FALSE)</f>
        <v>103</v>
      </c>
      <c r="J16" s="5">
        <f>VLOOKUP($A16,tropes!$A$4:$O$2428,10,FALSE)</f>
        <v>4</v>
      </c>
      <c r="K16" s="5" t="str">
        <f>VLOOKUP($A16,tropes!$A$4:$O$2428,11,FALSE)</f>
        <v>Where No Man Has Gone Before</v>
      </c>
      <c r="L16" s="5">
        <f>VLOOKUP($A16,tropes!$A$4:$O$2428,12,FALSE)</f>
        <v>1</v>
      </c>
      <c r="M16" s="5">
        <f>VLOOKUP($A16,tropes!$A$4:$O$2428,13,FALSE)</f>
        <v>3</v>
      </c>
      <c r="N16" s="5">
        <f t="shared" si="0"/>
        <v>2</v>
      </c>
    </row>
    <row r="17" spans="1:14" x14ac:dyDescent="0.3">
      <c r="A17" s="14">
        <v>570</v>
      </c>
      <c r="B17" s="5" t="str">
        <f>VLOOKUP($A17,tropes!$A$4:$O$2428,2,FALSE)</f>
        <v>Captain's Log</v>
      </c>
      <c r="C17" s="5" t="str">
        <f>VLOOKUP($A17,tropes!$A$4:$O$2428,3,FALSE)</f>
        <v>exposition</v>
      </c>
      <c r="D17" s="5" t="str">
        <f>VLOOKUP($A17,tropes!$A$4:$O$2428,4,FALSE)</f>
        <v>log</v>
      </c>
      <c r="E17" s="5" t="str">
        <f>VLOOKUP($A17,tropes!$A$4:$O$2428,5,FALSE)</f>
        <v>Ship's Log-4 (Kirk): Stardate 1313.8. Add to official losses, Doctor Elizabeth Dehner. Be it noted she gave her life in performance of her duty. Lieutenant Commander Lt. Cmdr. Gary Mitchell, same notation. I want his service record to end that way. He didn't ask for what happened to him.</v>
      </c>
      <c r="F17" s="5" t="str">
        <f>VLOOKUP($A17,tropes!$A$4:$O$2428,6,FALSE)</f>
        <v>kirk</v>
      </c>
      <c r="G17" s="5">
        <f>VLOOKUP($A17,tropes!$A$4:$O$2428,7,FALSE)</f>
        <v>1</v>
      </c>
      <c r="H17" s="5">
        <f>VLOOKUP($A17,tropes!$A$4:$O$2428,8,FALSE)</f>
        <v>0</v>
      </c>
      <c r="I17" s="5">
        <f>VLOOKUP($A17,tropes!$A$4:$O$2428,9,FALSE)</f>
        <v>103</v>
      </c>
      <c r="J17" s="5">
        <f>VLOOKUP($A17,tropes!$A$4:$O$2428,10,FALSE)</f>
        <v>4</v>
      </c>
      <c r="K17" s="5" t="str">
        <f>VLOOKUP($A17,tropes!$A$4:$O$2428,11,FALSE)</f>
        <v>Where No Man Has Gone Before</v>
      </c>
      <c r="L17" s="5">
        <f>VLOOKUP($A17,tropes!$A$4:$O$2428,12,FALSE)</f>
        <v>1</v>
      </c>
      <c r="M17" s="5">
        <f>VLOOKUP($A17,tropes!$A$4:$O$2428,13,FALSE)</f>
        <v>3</v>
      </c>
      <c r="N17" s="5">
        <f t="shared" si="0"/>
        <v>3</v>
      </c>
    </row>
    <row r="18" spans="1:14" x14ac:dyDescent="0.3">
      <c r="A18" s="14">
        <v>2424</v>
      </c>
      <c r="B18" s="5" t="str">
        <f>VLOOKUP($A18,tropes!$A$4:$O$2428,2,FALSE)</f>
        <v>Kirk Summation</v>
      </c>
      <c r="C18" s="5" t="str">
        <f>VLOOKUP($A18,tropes!$A$4:$O$2428,3,FALSE)</f>
        <v>exposition</v>
      </c>
      <c r="D18" s="5" t="str">
        <f>VLOOKUP($A18,tropes!$A$4:$O$2428,4,FALSE)</f>
        <v>summation</v>
      </c>
      <c r="E18" s="5" t="str">
        <f>VLOOKUP($A18,tropes!$A$4:$O$2428,5,FALSE)</f>
        <v>Kirk reminds the doctor that for all his vaunted powers, Lt. Cmdr. Gary Mitchell is still human, subject to human frailties.</v>
      </c>
      <c r="F18" s="5" t="str">
        <f>VLOOKUP($A18,tropes!$A$4:$O$2428,6,FALSE)</f>
        <v>boyce</v>
      </c>
      <c r="G18" s="5">
        <f>VLOOKUP($A18,tropes!$A$4:$O$2428,7,FALSE)</f>
        <v>0</v>
      </c>
      <c r="H18" s="5">
        <f>VLOOKUP($A18,tropes!$A$4:$O$2428,8,FALSE)</f>
        <v>1</v>
      </c>
      <c r="I18" s="5">
        <f>VLOOKUP($A18,tropes!$A$4:$O$2428,9,FALSE)</f>
        <v>103</v>
      </c>
      <c r="J18" s="5">
        <f>VLOOKUP($A18,tropes!$A$4:$O$2428,10,FALSE)</f>
        <v>4</v>
      </c>
      <c r="K18" s="5" t="str">
        <f>VLOOKUP($A18,tropes!$A$4:$O$2428,11,FALSE)</f>
        <v>Where No Man Has Gone Before</v>
      </c>
      <c r="L18" s="5">
        <f>VLOOKUP($A18,tropes!$A$4:$O$2428,12,FALSE)</f>
        <v>1</v>
      </c>
      <c r="M18" s="5">
        <f>VLOOKUP($A18,tropes!$A$4:$O$2428,13,FALSE)</f>
        <v>3</v>
      </c>
      <c r="N18" s="5">
        <f t="shared" si="0"/>
        <v>4</v>
      </c>
    </row>
    <row r="19" spans="1:14" x14ac:dyDescent="0.3">
      <c r="A19" s="14">
        <v>576</v>
      </c>
      <c r="B19" s="5" t="str">
        <f>VLOOKUP($A19,tropes!$A$4:$O$2428,2,FALSE)</f>
        <v>Captain's Log</v>
      </c>
      <c r="C19" s="5" t="str">
        <f>VLOOKUP($A19,tropes!$A$4:$O$2428,3,FALSE)</f>
        <v>exposition</v>
      </c>
      <c r="D19" s="5" t="str">
        <f>VLOOKUP($A19,tropes!$A$4:$O$2428,4,FALSE)</f>
        <v>log</v>
      </c>
      <c r="E19" s="5" t="str">
        <f>VLOOKUP($A19,tropes!$A$4:$O$2428,5,FALSE)</f>
        <v>Ship's Log-1 (Kirk): Our position, orbiting Psi 2000, an ancient world, now a frozen wasteland, about to rip apart in its death throes. Our mission, pick up a scientific party below, observe the disintegration of the planet.</v>
      </c>
      <c r="F19" s="5" t="str">
        <f>VLOOKUP($A19,tropes!$A$4:$O$2428,6,FALSE)</f>
        <v>kirk</v>
      </c>
      <c r="G19" s="5">
        <f>VLOOKUP($A19,tropes!$A$4:$O$2428,7,FALSE)</f>
        <v>1</v>
      </c>
      <c r="H19" s="5">
        <f>VLOOKUP($A19,tropes!$A$4:$O$2428,8,FALSE)</f>
        <v>0</v>
      </c>
      <c r="I19" s="5">
        <f>VLOOKUP($A19,tropes!$A$4:$O$2428,9,FALSE)</f>
        <v>104</v>
      </c>
      <c r="J19" s="5">
        <f>VLOOKUP($A19,tropes!$A$4:$O$2428,10,FALSE)</f>
        <v>5</v>
      </c>
      <c r="K19" s="5" t="str">
        <f>VLOOKUP($A19,tropes!$A$4:$O$2428,11,FALSE)</f>
        <v>The Naked Time</v>
      </c>
      <c r="L19" s="5">
        <f>VLOOKUP($A19,tropes!$A$4:$O$2428,12,FALSE)</f>
        <v>1</v>
      </c>
      <c r="M19" s="5">
        <f>VLOOKUP($A19,tropes!$A$4:$O$2428,13,FALSE)</f>
        <v>4</v>
      </c>
      <c r="N19" s="5">
        <f t="shared" si="0"/>
        <v>0</v>
      </c>
    </row>
    <row r="20" spans="1:14" x14ac:dyDescent="0.3">
      <c r="A20" s="14">
        <v>577</v>
      </c>
      <c r="B20" s="5" t="str">
        <f>VLOOKUP($A20,tropes!$A$4:$O$2428,2,FALSE)</f>
        <v>Captain's Log</v>
      </c>
      <c r="C20" s="5" t="str">
        <f>VLOOKUP($A20,tropes!$A$4:$O$2428,3,FALSE)</f>
        <v>exposition</v>
      </c>
      <c r="D20" s="5" t="str">
        <f>VLOOKUP($A20,tropes!$A$4:$O$2428,4,FALSE)</f>
        <v>log</v>
      </c>
      <c r="E20" s="5" t="str">
        <f>VLOOKUP($A20,tropes!$A$4:$O$2428,5,FALSE)</f>
        <v>Ship's Log-2 (Kirk): Stardate 1704.2. The science party we were to have picked up has been found dead. Life support systems had been turned off. Station personnel, frozen to death. Conditions highly unusual. Meanwhile, we remain in orbit to complete our mission, close scientific measurement of the break-up of this planet.</v>
      </c>
      <c r="F20" s="5" t="str">
        <f>VLOOKUP($A20,tropes!$A$4:$O$2428,6,FALSE)</f>
        <v>kirk</v>
      </c>
      <c r="G20" s="5">
        <f>VLOOKUP($A20,tropes!$A$4:$O$2428,7,FALSE)</f>
        <v>1</v>
      </c>
      <c r="H20" s="5">
        <f>VLOOKUP($A20,tropes!$A$4:$O$2428,8,FALSE)</f>
        <v>0</v>
      </c>
      <c r="I20" s="5">
        <f>VLOOKUP($A20,tropes!$A$4:$O$2428,9,FALSE)</f>
        <v>104</v>
      </c>
      <c r="J20" s="5">
        <f>VLOOKUP($A20,tropes!$A$4:$O$2428,10,FALSE)</f>
        <v>5</v>
      </c>
      <c r="K20" s="5" t="str">
        <f>VLOOKUP($A20,tropes!$A$4:$O$2428,11,FALSE)</f>
        <v>The Naked Time</v>
      </c>
      <c r="L20" s="5">
        <f>VLOOKUP($A20,tropes!$A$4:$O$2428,12,FALSE)</f>
        <v>1</v>
      </c>
      <c r="M20" s="5">
        <f>VLOOKUP($A20,tropes!$A$4:$O$2428,13,FALSE)</f>
        <v>4</v>
      </c>
      <c r="N20" s="5">
        <f t="shared" si="0"/>
        <v>1</v>
      </c>
    </row>
    <row r="21" spans="1:14" x14ac:dyDescent="0.3">
      <c r="A21" s="14">
        <v>578</v>
      </c>
      <c r="B21" s="5" t="str">
        <f>VLOOKUP($A21,tropes!$A$4:$O$2428,2,FALSE)</f>
        <v>Captain's Log</v>
      </c>
      <c r="C21" s="5" t="str">
        <f>VLOOKUP($A21,tropes!$A$4:$O$2428,3,FALSE)</f>
        <v>exposition</v>
      </c>
      <c r="D21" s="5" t="str">
        <f>VLOOKUP($A21,tropes!$A$4:$O$2428,4,FALSE)</f>
        <v>log</v>
      </c>
      <c r="E21" s="5" t="str">
        <f>VLOOKUP($A21,tropes!$A$4:$O$2428,5,FALSE)</f>
        <v>Ship's Log-3 (Kirk): supplemental. Our orbit tightening. Our need for efficiency, critical. But unknown to us, a totally new and unusual disease has been brought aboard.</v>
      </c>
      <c r="F21" s="5" t="str">
        <f>VLOOKUP($A21,tropes!$A$4:$O$2428,6,FALSE)</f>
        <v>kirk</v>
      </c>
      <c r="G21" s="5">
        <f>VLOOKUP($A21,tropes!$A$4:$O$2428,7,FALSE)</f>
        <v>1</v>
      </c>
      <c r="H21" s="5">
        <f>VLOOKUP($A21,tropes!$A$4:$O$2428,8,FALSE)</f>
        <v>0</v>
      </c>
      <c r="I21" s="5">
        <f>VLOOKUP($A21,tropes!$A$4:$O$2428,9,FALSE)</f>
        <v>104</v>
      </c>
      <c r="J21" s="5">
        <f>VLOOKUP($A21,tropes!$A$4:$O$2428,10,FALSE)</f>
        <v>5</v>
      </c>
      <c r="K21" s="5" t="str">
        <f>VLOOKUP($A21,tropes!$A$4:$O$2428,11,FALSE)</f>
        <v>The Naked Time</v>
      </c>
      <c r="L21" s="5">
        <f>VLOOKUP($A21,tropes!$A$4:$O$2428,12,FALSE)</f>
        <v>1</v>
      </c>
      <c r="M21" s="5">
        <f>VLOOKUP($A21,tropes!$A$4:$O$2428,13,FALSE)</f>
        <v>4</v>
      </c>
      <c r="N21" s="5">
        <f t="shared" si="0"/>
        <v>2</v>
      </c>
    </row>
    <row r="22" spans="1:14" x14ac:dyDescent="0.3">
      <c r="A22" s="14">
        <v>579</v>
      </c>
      <c r="B22" s="5" t="str">
        <f>VLOOKUP($A22,tropes!$A$4:$O$2428,2,FALSE)</f>
        <v>Captain's Log</v>
      </c>
      <c r="C22" s="5" t="str">
        <f>VLOOKUP($A22,tropes!$A$4:$O$2428,3,FALSE)</f>
        <v>exposition</v>
      </c>
      <c r="D22" s="5" t="str">
        <f>VLOOKUP($A22,tropes!$A$4:$O$2428,4,FALSE)</f>
        <v>log</v>
      </c>
      <c r="E22" s="5" t="str">
        <f>VLOOKUP($A22,tropes!$A$4:$O$2428,5,FALSE)</f>
        <v>Ship's Log-4 (Kirk): Stardate 1704.4. Ship out of control, spiraling down towards planet Psi 2000. We have nineteen minutes of life left without engine power or helm control.</v>
      </c>
      <c r="F22" s="5" t="str">
        <f>VLOOKUP($A22,tropes!$A$4:$O$2428,6,FALSE)</f>
        <v>kirk</v>
      </c>
      <c r="G22" s="5">
        <f>VLOOKUP($A22,tropes!$A$4:$O$2428,7,FALSE)</f>
        <v>1</v>
      </c>
      <c r="H22" s="5">
        <f>VLOOKUP($A22,tropes!$A$4:$O$2428,8,FALSE)</f>
        <v>0</v>
      </c>
      <c r="I22" s="5">
        <f>VLOOKUP($A22,tropes!$A$4:$O$2428,9,FALSE)</f>
        <v>104</v>
      </c>
      <c r="J22" s="5">
        <f>VLOOKUP($A22,tropes!$A$4:$O$2428,10,FALSE)</f>
        <v>5</v>
      </c>
      <c r="K22" s="5" t="str">
        <f>VLOOKUP($A22,tropes!$A$4:$O$2428,11,FALSE)</f>
        <v>The Naked Time</v>
      </c>
      <c r="L22" s="5">
        <f>VLOOKUP($A22,tropes!$A$4:$O$2428,12,FALSE)</f>
        <v>1</v>
      </c>
      <c r="M22" s="5">
        <f>VLOOKUP($A22,tropes!$A$4:$O$2428,13,FALSE)</f>
        <v>4</v>
      </c>
      <c r="N22" s="5">
        <f t="shared" si="0"/>
        <v>3</v>
      </c>
    </row>
    <row r="23" spans="1:14" x14ac:dyDescent="0.3">
      <c r="A23" s="14">
        <v>580</v>
      </c>
      <c r="B23" s="5" t="str">
        <f>VLOOKUP($A23,tropes!$A$4:$O$2428,2,FALSE)</f>
        <v>Captain's Log</v>
      </c>
      <c r="C23" s="5" t="str">
        <f>VLOOKUP($A23,tropes!$A$4:$O$2428,3,FALSE)</f>
        <v>exposition</v>
      </c>
      <c r="D23" s="5" t="str">
        <f>VLOOKUP($A23,tropes!$A$4:$O$2428,4,FALSE)</f>
        <v>log</v>
      </c>
      <c r="E23" s="5" t="str">
        <f>VLOOKUP($A23,tropes!$A$4:$O$2428,5,FALSE)</f>
        <v>Ship's Log-5 (Kirk): supplemental. The Enterprise, spiraling down out of control. Ships outer skin heating rapidly due to friction with planet atmosphere.</v>
      </c>
      <c r="F23" s="5" t="str">
        <f>VLOOKUP($A23,tropes!$A$4:$O$2428,6,FALSE)</f>
        <v>kirk</v>
      </c>
      <c r="G23" s="5">
        <f>VLOOKUP($A23,tropes!$A$4:$O$2428,7,FALSE)</f>
        <v>1</v>
      </c>
      <c r="H23" s="5">
        <f>VLOOKUP($A23,tropes!$A$4:$O$2428,8,FALSE)</f>
        <v>0</v>
      </c>
      <c r="I23" s="5">
        <f>VLOOKUP($A23,tropes!$A$4:$O$2428,9,FALSE)</f>
        <v>104</v>
      </c>
      <c r="J23" s="5">
        <f>VLOOKUP($A23,tropes!$A$4:$O$2428,10,FALSE)</f>
        <v>5</v>
      </c>
      <c r="K23" s="5" t="str">
        <f>VLOOKUP($A23,tropes!$A$4:$O$2428,11,FALSE)</f>
        <v>The Naked Time</v>
      </c>
      <c r="L23" s="5">
        <f>VLOOKUP($A23,tropes!$A$4:$O$2428,12,FALSE)</f>
        <v>1</v>
      </c>
      <c r="M23" s="5">
        <f>VLOOKUP($A23,tropes!$A$4:$O$2428,13,FALSE)</f>
        <v>4</v>
      </c>
      <c r="N23" s="5">
        <f t="shared" si="0"/>
        <v>4</v>
      </c>
    </row>
    <row r="24" spans="1:14" x14ac:dyDescent="0.3">
      <c r="A24" s="14">
        <v>502</v>
      </c>
      <c r="B24" s="5" t="str">
        <f>VLOOKUP($A24,tropes!$A$4:$O$2428,2,FALSE)</f>
        <v>Freudian Trio</v>
      </c>
      <c r="C24" s="5" t="str">
        <f>VLOOKUP($A24,tropes!$A$4:$O$2428,3,FALSE)</f>
        <v>exposition</v>
      </c>
      <c r="D24" s="5" t="str">
        <f>VLOOKUP($A24,tropes!$A$4:$O$2428,4,FALSE)</f>
        <v>freudian_trio</v>
      </c>
      <c r="E24" s="5" t="str">
        <f>VLOOKUP($A24,tropes!$A$4:$O$2428,5,FALSE)</f>
        <v>Kirk, Spock, and McCoy +1 discuss the Enterprise in a decaying planetary orbit.</v>
      </c>
      <c r="F24" s="5" t="str">
        <f>VLOOKUP($A24,tropes!$A$4:$O$2428,6,FALSE)</f>
        <v>trio</v>
      </c>
      <c r="G24" s="5">
        <f>VLOOKUP($A24,tropes!$A$4:$O$2428,7,FALSE)</f>
        <v>1</v>
      </c>
      <c r="H24" s="5">
        <f>VLOOKUP($A24,tropes!$A$4:$O$2428,8,FALSE)</f>
        <v>0</v>
      </c>
      <c r="I24" s="5">
        <f>VLOOKUP($A24,tropes!$A$4:$O$2428,9,FALSE)</f>
        <v>104</v>
      </c>
      <c r="J24" s="5">
        <f>VLOOKUP($A24,tropes!$A$4:$O$2428,10,FALSE)</f>
        <v>5</v>
      </c>
      <c r="K24" s="5" t="str">
        <f>VLOOKUP($A24,tropes!$A$4:$O$2428,11,FALSE)</f>
        <v>The Naked Time</v>
      </c>
      <c r="L24" s="5">
        <f>VLOOKUP($A24,tropes!$A$4:$O$2428,12,FALSE)</f>
        <v>1</v>
      </c>
      <c r="M24" s="5">
        <f>VLOOKUP($A24,tropes!$A$4:$O$2428,13,FALSE)</f>
        <v>4</v>
      </c>
      <c r="N24" s="5">
        <f t="shared" si="0"/>
        <v>5</v>
      </c>
    </row>
    <row r="25" spans="1:14" x14ac:dyDescent="0.3">
      <c r="A25" s="14">
        <v>590</v>
      </c>
      <c r="B25" s="5" t="str">
        <f>VLOOKUP($A25,tropes!$A$4:$O$2428,2,FALSE)</f>
        <v>Captain's Log</v>
      </c>
      <c r="C25" s="5" t="str">
        <f>VLOOKUP($A25,tropes!$A$4:$O$2428,3,FALSE)</f>
        <v>exposition</v>
      </c>
      <c r="D25" s="5" t="str">
        <f>VLOOKUP($A25,tropes!$A$4:$O$2428,4,FALSE)</f>
        <v>log</v>
      </c>
      <c r="E25" s="5" t="str">
        <f>VLOOKUP($A25,tropes!$A$4:$O$2428,5,FALSE)</f>
        <v>Ship's Log-1 (Kirk): Stardate 1672.1. Specimen-gathering mission on planet Alpha 177. Unknown to any of us during this time, a duplicate of me, some strange alter ego, had been created by the transporter malfunction.</v>
      </c>
      <c r="F25" s="5" t="str">
        <f>VLOOKUP($A25,tropes!$A$4:$O$2428,6,FALSE)</f>
        <v>kirk</v>
      </c>
      <c r="G25" s="5">
        <f>VLOOKUP($A25,tropes!$A$4:$O$2428,7,FALSE)</f>
        <v>1</v>
      </c>
      <c r="H25" s="5">
        <f>VLOOKUP($A25,tropes!$A$4:$O$2428,8,FALSE)</f>
        <v>0</v>
      </c>
      <c r="I25" s="5">
        <f>VLOOKUP($A25,tropes!$A$4:$O$2428,9,FALSE)</f>
        <v>105</v>
      </c>
      <c r="J25" s="5">
        <f>VLOOKUP($A25,tropes!$A$4:$O$2428,10,FALSE)</f>
        <v>6</v>
      </c>
      <c r="K25" s="5" t="str">
        <f>VLOOKUP($A25,tropes!$A$4:$O$2428,11,FALSE)</f>
        <v>The Enemy Within</v>
      </c>
      <c r="L25" s="5">
        <f>VLOOKUP($A25,tropes!$A$4:$O$2428,12,FALSE)</f>
        <v>1</v>
      </c>
      <c r="M25" s="5">
        <f>VLOOKUP($A25,tropes!$A$4:$O$2428,13,FALSE)</f>
        <v>5</v>
      </c>
      <c r="N25" s="5">
        <f t="shared" si="0"/>
        <v>0</v>
      </c>
    </row>
    <row r="26" spans="1:14" x14ac:dyDescent="0.3">
      <c r="A26" s="14">
        <v>591</v>
      </c>
      <c r="B26" s="5" t="str">
        <f>VLOOKUP($A26,tropes!$A$4:$O$2428,2,FALSE)</f>
        <v>Captain's Log</v>
      </c>
      <c r="C26" s="5" t="str">
        <f>VLOOKUP($A26,tropes!$A$4:$O$2428,3,FALSE)</f>
        <v>exposition</v>
      </c>
      <c r="D26" s="5" t="str">
        <f>VLOOKUP($A26,tropes!$A$4:$O$2428,4,FALSE)</f>
        <v>log</v>
      </c>
      <c r="E26" s="5" t="str">
        <f>VLOOKUP($A26,tropes!$A$4:$O$2428,5,FALSE)</f>
        <v>Ship's Log-2 (Kirk): Stardate 1672.9. On the planets surface, temperatures are beginning to drop, our landing party there in growing jeopardy. Due to the malfunction of the ships transporter, an unexplained duplicate of myself definitely exists.</v>
      </c>
      <c r="F26" s="5" t="str">
        <f>VLOOKUP($A26,tropes!$A$4:$O$2428,6,FALSE)</f>
        <v>kirk</v>
      </c>
      <c r="G26" s="5">
        <f>VLOOKUP($A26,tropes!$A$4:$O$2428,7,FALSE)</f>
        <v>1</v>
      </c>
      <c r="H26" s="5">
        <f>VLOOKUP($A26,tropes!$A$4:$O$2428,8,FALSE)</f>
        <v>0</v>
      </c>
      <c r="I26" s="5">
        <f>VLOOKUP($A26,tropes!$A$4:$O$2428,9,FALSE)</f>
        <v>105</v>
      </c>
      <c r="J26" s="5">
        <f>VLOOKUP($A26,tropes!$A$4:$O$2428,10,FALSE)</f>
        <v>6</v>
      </c>
      <c r="K26" s="5" t="str">
        <f>VLOOKUP($A26,tropes!$A$4:$O$2428,11,FALSE)</f>
        <v>The Enemy Within</v>
      </c>
      <c r="L26" s="5">
        <f>VLOOKUP($A26,tropes!$A$4:$O$2428,12,FALSE)</f>
        <v>1</v>
      </c>
      <c r="M26" s="5">
        <f>VLOOKUP($A26,tropes!$A$4:$O$2428,13,FALSE)</f>
        <v>5</v>
      </c>
      <c r="N26" s="5">
        <f t="shared" si="0"/>
        <v>1</v>
      </c>
    </row>
    <row r="27" spans="1:14" x14ac:dyDescent="0.3">
      <c r="A27" s="14">
        <v>592</v>
      </c>
      <c r="B27" s="5" t="str">
        <f>VLOOKUP($A27,tropes!$A$4:$O$2428,2,FALSE)</f>
        <v>Captain's Log</v>
      </c>
      <c r="C27" s="5" t="str">
        <f>VLOOKUP($A27,tropes!$A$4:$O$2428,3,FALSE)</f>
        <v>exposition</v>
      </c>
      <c r="D27" s="5" t="str">
        <f>VLOOKUP($A27,tropes!$A$4:$O$2428,4,FALSE)</f>
        <v>log</v>
      </c>
      <c r="E27" s="5" t="str">
        <f>VLOOKUP($A27,tropes!$A$4:$O$2428,5,FALSE)</f>
        <v>Ship's Log-3 (Kirk): Stardate 1673.1. Something has happened to me. Somehow, in being duplicated, I have lost my strength of will. Decisions are becoming more and more difficult.</v>
      </c>
      <c r="F27" s="5" t="str">
        <f>VLOOKUP($A27,tropes!$A$4:$O$2428,6,FALSE)</f>
        <v>kirk</v>
      </c>
      <c r="G27" s="5">
        <f>VLOOKUP($A27,tropes!$A$4:$O$2428,7,FALSE)</f>
        <v>1</v>
      </c>
      <c r="H27" s="5">
        <f>VLOOKUP($A27,tropes!$A$4:$O$2428,8,FALSE)</f>
        <v>0</v>
      </c>
      <c r="I27" s="5">
        <f>VLOOKUP($A27,tropes!$A$4:$O$2428,9,FALSE)</f>
        <v>105</v>
      </c>
      <c r="J27" s="5">
        <f>VLOOKUP($A27,tropes!$A$4:$O$2428,10,FALSE)</f>
        <v>6</v>
      </c>
      <c r="K27" s="5" t="str">
        <f>VLOOKUP($A27,tropes!$A$4:$O$2428,11,FALSE)</f>
        <v>The Enemy Within</v>
      </c>
      <c r="L27" s="5">
        <f>VLOOKUP($A27,tropes!$A$4:$O$2428,12,FALSE)</f>
        <v>1</v>
      </c>
      <c r="M27" s="5">
        <f>VLOOKUP($A27,tropes!$A$4:$O$2428,13,FALSE)</f>
        <v>5</v>
      </c>
      <c r="N27" s="5">
        <f t="shared" si="0"/>
        <v>2</v>
      </c>
    </row>
    <row r="28" spans="1:14" x14ac:dyDescent="0.3">
      <c r="A28" s="14">
        <v>593</v>
      </c>
      <c r="B28" s="5" t="str">
        <f>VLOOKUP($A28,tropes!$A$4:$O$2428,2,FALSE)</f>
        <v>Captain's Log</v>
      </c>
      <c r="C28" s="5" t="str">
        <f>VLOOKUP($A28,tropes!$A$4:$O$2428,3,FALSE)</f>
        <v>exposition</v>
      </c>
      <c r="D28" s="5" t="str">
        <f>VLOOKUP($A28,tropes!$A$4:$O$2428,4,FALSE)</f>
        <v>log</v>
      </c>
      <c r="E28" s="5" t="str">
        <f>VLOOKUP($A28,tropes!$A$4:$O$2428,5,FALSE)</f>
        <v>Ship's Log-4 (Kirk): Stardate 1673.5. Transporter still inoperable. My negative self is under restraint in Sickbay. My own indecisiveness growing. My force of will steadily weakening. On the planet, condition critical. Surface temperature is seventy five degrees below zero, still dropping.</v>
      </c>
      <c r="F28" s="5" t="str">
        <f>VLOOKUP($A28,tropes!$A$4:$O$2428,6,FALSE)</f>
        <v>kirk</v>
      </c>
      <c r="G28" s="5">
        <f>VLOOKUP($A28,tropes!$A$4:$O$2428,7,FALSE)</f>
        <v>1</v>
      </c>
      <c r="H28" s="5">
        <f>VLOOKUP($A28,tropes!$A$4:$O$2428,8,FALSE)</f>
        <v>0</v>
      </c>
      <c r="I28" s="5">
        <f>VLOOKUP($A28,tropes!$A$4:$O$2428,9,FALSE)</f>
        <v>105</v>
      </c>
      <c r="J28" s="5">
        <f>VLOOKUP($A28,tropes!$A$4:$O$2428,10,FALSE)</f>
        <v>6</v>
      </c>
      <c r="K28" s="5" t="str">
        <f>VLOOKUP($A28,tropes!$A$4:$O$2428,11,FALSE)</f>
        <v>The Enemy Within</v>
      </c>
      <c r="L28" s="5">
        <f>VLOOKUP($A28,tropes!$A$4:$O$2428,12,FALSE)</f>
        <v>1</v>
      </c>
      <c r="M28" s="5">
        <f>VLOOKUP($A28,tropes!$A$4:$O$2428,13,FALSE)</f>
        <v>5</v>
      </c>
      <c r="N28" s="5">
        <f t="shared" si="0"/>
        <v>3</v>
      </c>
    </row>
    <row r="29" spans="1:14" x14ac:dyDescent="0.3">
      <c r="A29" s="14">
        <v>2059</v>
      </c>
      <c r="B29" s="5" t="str">
        <f>VLOOKUP($A29,tropes!$A$4:$O$2428,2,FALSE)</f>
        <v>Captain's Log</v>
      </c>
      <c r="C29" s="5" t="str">
        <f>VLOOKUP($A29,tropes!$A$4:$O$2428,3,FALSE)</f>
        <v>exposition</v>
      </c>
      <c r="D29" s="5" t="str">
        <f>VLOOKUP($A29,tropes!$A$4:$O$2428,4,FALSE)</f>
        <v>log</v>
      </c>
      <c r="E29" s="5" t="str">
        <f>VLOOKUP($A29,tropes!$A$4:$O$2428,5,FALSE)</f>
        <v>Ship's Log-5 (Spock):Stardate 1673.1. Entry made by Second Officer Spock. Captain Kirk retains command of this vessel, but his force of will rapidly fading. Condition of landing party critical. Transporter unit still under repair.</v>
      </c>
      <c r="F29" s="5" t="str">
        <f>VLOOKUP($A29,tropes!$A$4:$O$2428,6,FALSE)</f>
        <v>spock</v>
      </c>
      <c r="G29" s="5">
        <f>VLOOKUP($A29,tropes!$A$4:$O$2428,7,FALSE)</f>
        <v>1</v>
      </c>
      <c r="H29" s="5">
        <f>VLOOKUP($A29,tropes!$A$4:$O$2428,8,FALSE)</f>
        <v>0</v>
      </c>
      <c r="I29" s="5">
        <f>VLOOKUP($A29,tropes!$A$4:$O$2428,9,FALSE)</f>
        <v>105</v>
      </c>
      <c r="J29" s="5">
        <f>VLOOKUP($A29,tropes!$A$4:$O$2428,10,FALSE)</f>
        <v>6</v>
      </c>
      <c r="K29" s="5" t="str">
        <f>VLOOKUP($A29,tropes!$A$4:$O$2428,11,FALSE)</f>
        <v>The Enemy Within</v>
      </c>
      <c r="L29" s="5">
        <f>VLOOKUP($A29,tropes!$A$4:$O$2428,12,FALSE)</f>
        <v>1</v>
      </c>
      <c r="M29" s="5">
        <f>VLOOKUP($A29,tropes!$A$4:$O$2428,13,FALSE)</f>
        <v>5</v>
      </c>
      <c r="N29" s="5">
        <f t="shared" si="0"/>
        <v>4</v>
      </c>
    </row>
    <row r="30" spans="1:14" x14ac:dyDescent="0.3">
      <c r="A30" s="14">
        <v>503</v>
      </c>
      <c r="B30" s="5" t="str">
        <f>VLOOKUP($A30,tropes!$A$4:$O$2428,2,FALSE)</f>
        <v>Freudian Trio</v>
      </c>
      <c r="C30" s="5" t="str">
        <f>VLOOKUP($A30,tropes!$A$4:$O$2428,3,FALSE)</f>
        <v>exposition</v>
      </c>
      <c r="D30" s="5" t="str">
        <f>VLOOKUP($A30,tropes!$A$4:$O$2428,4,FALSE)</f>
        <v>freudian_trio</v>
      </c>
      <c r="E30" s="5" t="str">
        <f>VLOOKUP($A30,tropes!$A$4:$O$2428,5,FALSE)</f>
        <v>Kirk, Spock, and McCoy discuss dead dog after attempting to merge them back together fails. Advise the Captain of his possible alternatives.</v>
      </c>
      <c r="F30" s="5" t="str">
        <f>VLOOKUP($A30,tropes!$A$4:$O$2428,6,FALSE)</f>
        <v>trio</v>
      </c>
      <c r="G30" s="5">
        <f>VLOOKUP($A30,tropes!$A$4:$O$2428,7,FALSE)</f>
        <v>1</v>
      </c>
      <c r="H30" s="5">
        <f>VLOOKUP($A30,tropes!$A$4:$O$2428,8,FALSE)</f>
        <v>0</v>
      </c>
      <c r="I30" s="5">
        <f>VLOOKUP($A30,tropes!$A$4:$O$2428,9,FALSE)</f>
        <v>105</v>
      </c>
      <c r="J30" s="5">
        <f>VLOOKUP($A30,tropes!$A$4:$O$2428,10,FALSE)</f>
        <v>6</v>
      </c>
      <c r="K30" s="5" t="str">
        <f>VLOOKUP($A30,tropes!$A$4:$O$2428,11,FALSE)</f>
        <v>The Enemy Within</v>
      </c>
      <c r="L30" s="5">
        <f>VLOOKUP($A30,tropes!$A$4:$O$2428,12,FALSE)</f>
        <v>1</v>
      </c>
      <c r="M30" s="5">
        <f>VLOOKUP($A30,tropes!$A$4:$O$2428,13,FALSE)</f>
        <v>5</v>
      </c>
      <c r="N30" s="5">
        <f t="shared" si="0"/>
        <v>5</v>
      </c>
    </row>
    <row r="31" spans="1:14" x14ac:dyDescent="0.3">
      <c r="A31" s="14">
        <v>504</v>
      </c>
      <c r="B31" s="5" t="str">
        <f>VLOOKUP($A31,tropes!$A$4:$O$2428,2,FALSE)</f>
        <v>Freudian Trio</v>
      </c>
      <c r="C31" s="5" t="str">
        <f>VLOOKUP($A31,tropes!$A$4:$O$2428,3,FALSE)</f>
        <v>exposition</v>
      </c>
      <c r="D31" s="5" t="str">
        <f>VLOOKUP($A31,tropes!$A$4:$O$2428,4,FALSE)</f>
        <v>freudian_trio</v>
      </c>
      <c r="E31" s="5" t="str">
        <f>VLOOKUP($A31,tropes!$A$4:$O$2428,5,FALSE)</f>
        <v>Kirk, Spock, and McCoy discuss Kirks split personality. Spock: We have here an unusual opportunity to appraise the human mind, or to examine, in Earth terms, the roles of good and evil in a man. His negative side, which you call hostility, lust, violence, and his positive side, which Earth people express as compassion, love, tenderness.</v>
      </c>
      <c r="F31" s="5" t="str">
        <f>VLOOKUP($A31,tropes!$A$4:$O$2428,6,FALSE)</f>
        <v>trio</v>
      </c>
      <c r="G31" s="5">
        <f>VLOOKUP($A31,tropes!$A$4:$O$2428,7,FALSE)</f>
        <v>1</v>
      </c>
      <c r="H31" s="5">
        <f>VLOOKUP($A31,tropes!$A$4:$O$2428,8,FALSE)</f>
        <v>0</v>
      </c>
      <c r="I31" s="5">
        <f>VLOOKUP($A31,tropes!$A$4:$O$2428,9,FALSE)</f>
        <v>105</v>
      </c>
      <c r="J31" s="5">
        <f>VLOOKUP($A31,tropes!$A$4:$O$2428,10,FALSE)</f>
        <v>6</v>
      </c>
      <c r="K31" s="5" t="str">
        <f>VLOOKUP($A31,tropes!$A$4:$O$2428,11,FALSE)</f>
        <v>The Enemy Within</v>
      </c>
      <c r="L31" s="5">
        <f>VLOOKUP($A31,tropes!$A$4:$O$2428,12,FALSE)</f>
        <v>1</v>
      </c>
      <c r="M31" s="5">
        <f>VLOOKUP($A31,tropes!$A$4:$O$2428,13,FALSE)</f>
        <v>5</v>
      </c>
      <c r="N31" s="5">
        <f t="shared" si="0"/>
        <v>6</v>
      </c>
    </row>
    <row r="32" spans="1:14" x14ac:dyDescent="0.3">
      <c r="A32" s="14">
        <v>505</v>
      </c>
      <c r="B32" s="5" t="str">
        <f>VLOOKUP($A32,tropes!$A$4:$O$2428,2,FALSE)</f>
        <v>Freudian Trio</v>
      </c>
      <c r="C32" s="5" t="str">
        <f>VLOOKUP($A32,tropes!$A$4:$O$2428,3,FALSE)</f>
        <v>exposition</v>
      </c>
      <c r="D32" s="5" t="str">
        <f>VLOOKUP($A32,tropes!$A$4:$O$2428,4,FALSE)</f>
        <v>freudian_trio</v>
      </c>
      <c r="E32" s="5" t="str">
        <f>VLOOKUP($A32,tropes!$A$4:$O$2428,5,FALSE)</f>
        <v>Kirk, Spock, and McCoy discuss merging Kirk is the only way to save crew stranded on Alpha 177. The good Kirk is having an extremely difficult time making a decision.</v>
      </c>
      <c r="F32" s="5" t="str">
        <f>VLOOKUP($A32,tropes!$A$4:$O$2428,6,FALSE)</f>
        <v>trio</v>
      </c>
      <c r="G32" s="5">
        <f>VLOOKUP($A32,tropes!$A$4:$O$2428,7,FALSE)</f>
        <v>1</v>
      </c>
      <c r="H32" s="5">
        <f>VLOOKUP($A32,tropes!$A$4:$O$2428,8,FALSE)</f>
        <v>0</v>
      </c>
      <c r="I32" s="5">
        <f>VLOOKUP($A32,tropes!$A$4:$O$2428,9,FALSE)</f>
        <v>105</v>
      </c>
      <c r="J32" s="5">
        <f>VLOOKUP($A32,tropes!$A$4:$O$2428,10,FALSE)</f>
        <v>6</v>
      </c>
      <c r="K32" s="5" t="str">
        <f>VLOOKUP($A32,tropes!$A$4:$O$2428,11,FALSE)</f>
        <v>The Enemy Within</v>
      </c>
      <c r="L32" s="5">
        <f>VLOOKUP($A32,tropes!$A$4:$O$2428,12,FALSE)</f>
        <v>1</v>
      </c>
      <c r="M32" s="5">
        <f>VLOOKUP($A32,tropes!$A$4:$O$2428,13,FALSE)</f>
        <v>5</v>
      </c>
      <c r="N32" s="5">
        <f t="shared" si="0"/>
        <v>7</v>
      </c>
    </row>
    <row r="33" spans="1:14" x14ac:dyDescent="0.3">
      <c r="A33" s="14">
        <v>506</v>
      </c>
      <c r="B33" s="5" t="str">
        <f>VLOOKUP($A33,tropes!$A$4:$O$2428,2,FALSE)</f>
        <v>Freudian Trio</v>
      </c>
      <c r="C33" s="5" t="str">
        <f>VLOOKUP($A33,tropes!$A$4:$O$2428,3,FALSE)</f>
        <v>exposition</v>
      </c>
      <c r="D33" s="5" t="str">
        <f>VLOOKUP($A33,tropes!$A$4:$O$2428,4,FALSE)</f>
        <v>freudian_trio</v>
      </c>
      <c r="E33" s="5" t="str">
        <f>VLOOKUP($A33,tropes!$A$4:$O$2428,5,FALSE)</f>
        <v>Kirk, Spock, and McCoy question Yeoman Rand about attack by Kirk.</v>
      </c>
      <c r="F33" s="5" t="str">
        <f>VLOOKUP($A33,tropes!$A$4:$O$2428,6,FALSE)</f>
        <v>trio</v>
      </c>
      <c r="G33" s="5">
        <f>VLOOKUP($A33,tropes!$A$4:$O$2428,7,FALSE)</f>
        <v>1</v>
      </c>
      <c r="H33" s="5">
        <f>VLOOKUP($A33,tropes!$A$4:$O$2428,8,FALSE)</f>
        <v>0</v>
      </c>
      <c r="I33" s="5">
        <f>VLOOKUP($A33,tropes!$A$4:$O$2428,9,FALSE)</f>
        <v>105</v>
      </c>
      <c r="J33" s="5">
        <f>VLOOKUP($A33,tropes!$A$4:$O$2428,10,FALSE)</f>
        <v>6</v>
      </c>
      <c r="K33" s="5" t="str">
        <f>VLOOKUP($A33,tropes!$A$4:$O$2428,11,FALSE)</f>
        <v>The Enemy Within</v>
      </c>
      <c r="L33" s="5">
        <f>VLOOKUP($A33,tropes!$A$4:$O$2428,12,FALSE)</f>
        <v>1</v>
      </c>
      <c r="M33" s="5">
        <f>VLOOKUP($A33,tropes!$A$4:$O$2428,13,FALSE)</f>
        <v>5</v>
      </c>
      <c r="N33" s="5">
        <f t="shared" si="0"/>
        <v>8</v>
      </c>
    </row>
    <row r="34" spans="1:14" x14ac:dyDescent="0.3">
      <c r="A34" s="14">
        <v>600</v>
      </c>
      <c r="B34" s="5" t="str">
        <f>VLOOKUP($A34,tropes!$A$4:$O$2428,2,FALSE)</f>
        <v>Captain's Log</v>
      </c>
      <c r="C34" s="5" t="str">
        <f>VLOOKUP($A34,tropes!$A$4:$O$2428,3,FALSE)</f>
        <v>exposition</v>
      </c>
      <c r="D34" s="5" t="str">
        <f>VLOOKUP($A34,tropes!$A$4:$O$2428,4,FALSE)</f>
        <v>log</v>
      </c>
      <c r="E34" s="5" t="str">
        <f>VLOOKUP($A34,tropes!$A$4:$O$2428,5,FALSE)</f>
        <v>Ship's Log-1 (Kirk): Stardate 1329.8. The U.S.S. Enterprise in pursuit of an unidentified vessel.</v>
      </c>
      <c r="F34" s="5" t="str">
        <f>VLOOKUP($A34,tropes!$A$4:$O$2428,6,FALSE)</f>
        <v>kirk</v>
      </c>
      <c r="G34" s="5">
        <f>VLOOKUP($A34,tropes!$A$4:$O$2428,7,FALSE)</f>
        <v>1</v>
      </c>
      <c r="H34" s="5">
        <f>VLOOKUP($A34,tropes!$A$4:$O$2428,8,FALSE)</f>
        <v>0</v>
      </c>
      <c r="I34" s="5">
        <f>VLOOKUP($A34,tropes!$A$4:$O$2428,9,FALSE)</f>
        <v>106</v>
      </c>
      <c r="J34" s="5">
        <f>VLOOKUP($A34,tropes!$A$4:$O$2428,10,FALSE)</f>
        <v>7</v>
      </c>
      <c r="K34" s="5" t="str">
        <f>VLOOKUP($A34,tropes!$A$4:$O$2428,11,FALSE)</f>
        <v>Mudd's Women</v>
      </c>
      <c r="L34" s="5">
        <f>VLOOKUP($A34,tropes!$A$4:$O$2428,12,FALSE)</f>
        <v>1</v>
      </c>
      <c r="M34" s="5">
        <f>VLOOKUP($A34,tropes!$A$4:$O$2428,13,FALSE)</f>
        <v>6</v>
      </c>
      <c r="N34" s="5">
        <f t="shared" si="0"/>
        <v>0</v>
      </c>
    </row>
    <row r="35" spans="1:14" x14ac:dyDescent="0.3">
      <c r="A35" s="14">
        <v>601</v>
      </c>
      <c r="B35" s="5" t="str">
        <f>VLOOKUP($A35,tropes!$A$4:$O$2428,2,FALSE)</f>
        <v>Captain's Log</v>
      </c>
      <c r="C35" s="5" t="str">
        <f>VLOOKUP($A35,tropes!$A$4:$O$2428,3,FALSE)</f>
        <v>exposition</v>
      </c>
      <c r="D35" s="5" t="str">
        <f>VLOOKUP($A35,tropes!$A$4:$O$2428,4,FALSE)</f>
        <v>log</v>
      </c>
      <c r="E35" s="5" t="str">
        <f>VLOOKUP($A35,tropes!$A$4:$O$2428,5,FALSE)</f>
        <v>Ship's Log-2 (Kirk): Stardate 1329.1. We've taken aboard from an unregistered transport vessel its captain and, and three unusual females. These women have a mysterious magnetic effect on the male members of my crew, including myself. Explanation unknown at present.</v>
      </c>
      <c r="F35" s="5" t="str">
        <f>VLOOKUP($A35,tropes!$A$4:$O$2428,6,FALSE)</f>
        <v>kirk</v>
      </c>
      <c r="G35" s="5">
        <f>VLOOKUP($A35,tropes!$A$4:$O$2428,7,FALSE)</f>
        <v>1</v>
      </c>
      <c r="H35" s="5">
        <f>VLOOKUP($A35,tropes!$A$4:$O$2428,8,FALSE)</f>
        <v>0</v>
      </c>
      <c r="I35" s="5">
        <f>VLOOKUP($A35,tropes!$A$4:$O$2428,9,FALSE)</f>
        <v>106</v>
      </c>
      <c r="J35" s="5">
        <f>VLOOKUP($A35,tropes!$A$4:$O$2428,10,FALSE)</f>
        <v>7</v>
      </c>
      <c r="K35" s="5" t="str">
        <f>VLOOKUP($A35,tropes!$A$4:$O$2428,11,FALSE)</f>
        <v>Mudd's Women</v>
      </c>
      <c r="L35" s="5">
        <f>VLOOKUP($A35,tropes!$A$4:$O$2428,12,FALSE)</f>
        <v>1</v>
      </c>
      <c r="M35" s="5">
        <f>VLOOKUP($A35,tropes!$A$4:$O$2428,13,FALSE)</f>
        <v>6</v>
      </c>
      <c r="N35" s="5">
        <f t="shared" si="0"/>
        <v>1</v>
      </c>
    </row>
    <row r="36" spans="1:14" x14ac:dyDescent="0.3">
      <c r="A36" s="14">
        <v>602</v>
      </c>
      <c r="B36" s="5" t="str">
        <f>VLOOKUP($A36,tropes!$A$4:$O$2428,2,FALSE)</f>
        <v>Captain's Log</v>
      </c>
      <c r="C36" s="5" t="str">
        <f>VLOOKUP($A36,tropes!$A$4:$O$2428,3,FALSE)</f>
        <v>exposition</v>
      </c>
      <c r="D36" s="5" t="str">
        <f>VLOOKUP($A36,tropes!$A$4:$O$2428,4,FALSE)</f>
        <v>log</v>
      </c>
      <c r="E36" s="5" t="str">
        <f>VLOOKUP($A36,tropes!$A$4:$O$2428,5,FALSE)</f>
        <v>Ship's Log-3 (Kirk): Stardate 1329.2. On board the U.S.S. Enterprise, a ships hearing is being convened against the transport vessels captain. I'm becoming concerned about the almost-hypnotic effect produced by the women.</v>
      </c>
      <c r="F36" s="5" t="str">
        <f>VLOOKUP($A36,tropes!$A$4:$O$2428,6,FALSE)</f>
        <v>kirk</v>
      </c>
      <c r="G36" s="5">
        <f>VLOOKUP($A36,tropes!$A$4:$O$2428,7,FALSE)</f>
        <v>1</v>
      </c>
      <c r="H36" s="5">
        <f>VLOOKUP($A36,tropes!$A$4:$O$2428,8,FALSE)</f>
        <v>0</v>
      </c>
      <c r="I36" s="5">
        <f>VLOOKUP($A36,tropes!$A$4:$O$2428,9,FALSE)</f>
        <v>106</v>
      </c>
      <c r="J36" s="5">
        <f>VLOOKUP($A36,tropes!$A$4:$O$2428,10,FALSE)</f>
        <v>7</v>
      </c>
      <c r="K36" s="5" t="str">
        <f>VLOOKUP($A36,tropes!$A$4:$O$2428,11,FALSE)</f>
        <v>Mudd's Women</v>
      </c>
      <c r="L36" s="5">
        <f>VLOOKUP($A36,tropes!$A$4:$O$2428,12,FALSE)</f>
        <v>1</v>
      </c>
      <c r="M36" s="5">
        <f>VLOOKUP($A36,tropes!$A$4:$O$2428,13,FALSE)</f>
        <v>6</v>
      </c>
      <c r="N36" s="5">
        <f t="shared" si="0"/>
        <v>2</v>
      </c>
    </row>
    <row r="37" spans="1:14" x14ac:dyDescent="0.3">
      <c r="A37" s="14">
        <v>603</v>
      </c>
      <c r="B37" s="5" t="str">
        <f>VLOOKUP($A37,tropes!$A$4:$O$2428,2,FALSE)</f>
        <v>Captain's Log</v>
      </c>
      <c r="C37" s="5" t="str">
        <f>VLOOKUP($A37,tropes!$A$4:$O$2428,3,FALSE)</f>
        <v>exposition</v>
      </c>
      <c r="D37" s="5" t="str">
        <f>VLOOKUP($A37,tropes!$A$4:$O$2428,4,FALSE)</f>
        <v>log</v>
      </c>
      <c r="E37" s="5" t="str">
        <f>VLOOKUP($A37,tropes!$A$4:$O$2428,5,FALSE)</f>
        <v>Ship's Log-4 (Kirk): Stardate 1330.1. Position, fourteen hours out of Rigel 12. We're on auxiliary impulse engines. Fuel low, barely sufficient to achieve orbit over the planet. Lithium replacements are now imperative. The effect of Mudd's women on my crew continues to grow, still totally unexplained. Harry Mudd is confined to his quarters under guard.</v>
      </c>
      <c r="F37" s="5" t="str">
        <f>VLOOKUP($A37,tropes!$A$4:$O$2428,6,FALSE)</f>
        <v>kirk</v>
      </c>
      <c r="G37" s="5">
        <f>VLOOKUP($A37,tropes!$A$4:$O$2428,7,FALSE)</f>
        <v>1</v>
      </c>
      <c r="H37" s="5">
        <f>VLOOKUP($A37,tropes!$A$4:$O$2428,8,FALSE)</f>
        <v>0</v>
      </c>
      <c r="I37" s="5">
        <f>VLOOKUP($A37,tropes!$A$4:$O$2428,9,FALSE)</f>
        <v>106</v>
      </c>
      <c r="J37" s="5">
        <f>VLOOKUP($A37,tropes!$A$4:$O$2428,10,FALSE)</f>
        <v>7</v>
      </c>
      <c r="K37" s="5" t="str">
        <f>VLOOKUP($A37,tropes!$A$4:$O$2428,11,FALSE)</f>
        <v>Mudd's Women</v>
      </c>
      <c r="L37" s="5">
        <f>VLOOKUP($A37,tropes!$A$4:$O$2428,12,FALSE)</f>
        <v>1</v>
      </c>
      <c r="M37" s="5">
        <f>VLOOKUP($A37,tropes!$A$4:$O$2428,13,FALSE)</f>
        <v>6</v>
      </c>
      <c r="N37" s="5">
        <f t="shared" si="0"/>
        <v>3</v>
      </c>
    </row>
    <row r="38" spans="1:14" x14ac:dyDescent="0.3">
      <c r="A38" s="14">
        <v>604</v>
      </c>
      <c r="B38" s="5" t="str">
        <f>VLOOKUP($A38,tropes!$A$4:$O$2428,2,FALSE)</f>
        <v>Captain's Log</v>
      </c>
      <c r="C38" s="5" t="str">
        <f>VLOOKUP($A38,tropes!$A$4:$O$2428,3,FALSE)</f>
        <v>exposition</v>
      </c>
      <c r="D38" s="5" t="str">
        <f>VLOOKUP($A38,tropes!$A$4:$O$2428,4,FALSE)</f>
        <v>log</v>
      </c>
      <c r="E38" s="5" t="str">
        <f>VLOOKUP($A38,tropes!$A$4:$O$2428,5,FALSE)</f>
        <v>Ship's Log-5 (Kirk): Transporting down to surface of planet Rigel 12 to acquire replacement lithium crystals. Expect further difficulty from miners.</v>
      </c>
      <c r="F38" s="5" t="str">
        <f>VLOOKUP($A38,tropes!$A$4:$O$2428,6,FALSE)</f>
        <v>kirk</v>
      </c>
      <c r="G38" s="5">
        <f>VLOOKUP($A38,tropes!$A$4:$O$2428,7,FALSE)</f>
        <v>1</v>
      </c>
      <c r="H38" s="5">
        <f>VLOOKUP($A38,tropes!$A$4:$O$2428,8,FALSE)</f>
        <v>0</v>
      </c>
      <c r="I38" s="5">
        <f>VLOOKUP($A38,tropes!$A$4:$O$2428,9,FALSE)</f>
        <v>106</v>
      </c>
      <c r="J38" s="5">
        <f>VLOOKUP($A38,tropes!$A$4:$O$2428,10,FALSE)</f>
        <v>7</v>
      </c>
      <c r="K38" s="5" t="str">
        <f>VLOOKUP($A38,tropes!$A$4:$O$2428,11,FALSE)</f>
        <v>Mudd's Women</v>
      </c>
      <c r="L38" s="5">
        <f>VLOOKUP($A38,tropes!$A$4:$O$2428,12,FALSE)</f>
        <v>1</v>
      </c>
      <c r="M38" s="5">
        <f>VLOOKUP($A38,tropes!$A$4:$O$2428,13,FALSE)</f>
        <v>6</v>
      </c>
      <c r="N38" s="5">
        <f t="shared" si="0"/>
        <v>4</v>
      </c>
    </row>
    <row r="39" spans="1:14" x14ac:dyDescent="0.3">
      <c r="A39" s="14">
        <v>605</v>
      </c>
      <c r="B39" s="5" t="str">
        <f>VLOOKUP($A39,tropes!$A$4:$O$2428,2,FALSE)</f>
        <v>Captain's Log</v>
      </c>
      <c r="C39" s="5" t="str">
        <f>VLOOKUP($A39,tropes!$A$4:$O$2428,3,FALSE)</f>
        <v>exposition</v>
      </c>
      <c r="D39" s="5" t="str">
        <f>VLOOKUP($A39,tropes!$A$4:$O$2428,4,FALSE)</f>
        <v>log</v>
      </c>
      <c r="E39" s="5" t="str">
        <f>VLOOKUP($A39,tropes!$A$4:$O$2428,5,FALSE)</f>
        <v>Ship's Log-6 (Kirk): Have transported aboard the Enterprise to implement search with infrared scanners and sensing system. Magnetic storms on the planets surface are cutting down speed and efficiency of our equipment. Search now in progress for three hours, eighteen minutes.</v>
      </c>
      <c r="F39" s="5" t="str">
        <f>VLOOKUP($A39,tropes!$A$4:$O$2428,6,FALSE)</f>
        <v>kirk</v>
      </c>
      <c r="G39" s="5">
        <f>VLOOKUP($A39,tropes!$A$4:$O$2428,7,FALSE)</f>
        <v>1</v>
      </c>
      <c r="H39" s="5">
        <f>VLOOKUP($A39,tropes!$A$4:$O$2428,8,FALSE)</f>
        <v>0</v>
      </c>
      <c r="I39" s="5">
        <f>VLOOKUP($A39,tropes!$A$4:$O$2428,9,FALSE)</f>
        <v>106</v>
      </c>
      <c r="J39" s="5">
        <f>VLOOKUP($A39,tropes!$A$4:$O$2428,10,FALSE)</f>
        <v>7</v>
      </c>
      <c r="K39" s="5" t="str">
        <f>VLOOKUP($A39,tropes!$A$4:$O$2428,11,FALSE)</f>
        <v>Mudd's Women</v>
      </c>
      <c r="L39" s="5">
        <f>VLOOKUP($A39,tropes!$A$4:$O$2428,12,FALSE)</f>
        <v>1</v>
      </c>
      <c r="M39" s="5">
        <f>VLOOKUP($A39,tropes!$A$4:$O$2428,13,FALSE)</f>
        <v>6</v>
      </c>
      <c r="N39" s="5">
        <f t="shared" si="0"/>
        <v>5</v>
      </c>
    </row>
    <row r="40" spans="1:14" x14ac:dyDescent="0.3">
      <c r="A40" s="14">
        <v>606</v>
      </c>
      <c r="B40" s="5" t="str">
        <f>VLOOKUP($A40,tropes!$A$4:$O$2428,2,FALSE)</f>
        <v>Captain's Log</v>
      </c>
      <c r="C40" s="5" t="str">
        <f>VLOOKUP($A40,tropes!$A$4:$O$2428,3,FALSE)</f>
        <v>exposition</v>
      </c>
      <c r="D40" s="5" t="str">
        <f>VLOOKUP($A40,tropes!$A$4:$O$2428,4,FALSE)</f>
        <v>log</v>
      </c>
      <c r="E40" s="5" t="str">
        <f>VLOOKUP($A40,tropes!$A$4:$O$2428,5,FALSE)</f>
        <v>Ship's Log-7 (Kirk): Have expended all but forty three minutes of power. Ships condition, critical. Search now in progress seven hours, thirty one minutes. Magnetic storms are easing.</v>
      </c>
      <c r="F40" s="5" t="str">
        <f>VLOOKUP($A40,tropes!$A$4:$O$2428,6,FALSE)</f>
        <v>kirk</v>
      </c>
      <c r="G40" s="5">
        <f>VLOOKUP($A40,tropes!$A$4:$O$2428,7,FALSE)</f>
        <v>1</v>
      </c>
      <c r="H40" s="5">
        <f>VLOOKUP($A40,tropes!$A$4:$O$2428,8,FALSE)</f>
        <v>0</v>
      </c>
      <c r="I40" s="5">
        <f>VLOOKUP($A40,tropes!$A$4:$O$2428,9,FALSE)</f>
        <v>106</v>
      </c>
      <c r="J40" s="5">
        <f>VLOOKUP($A40,tropes!$A$4:$O$2428,10,FALSE)</f>
        <v>7</v>
      </c>
      <c r="K40" s="5" t="str">
        <f>VLOOKUP($A40,tropes!$A$4:$O$2428,11,FALSE)</f>
        <v>Mudd's Women</v>
      </c>
      <c r="L40" s="5">
        <f>VLOOKUP($A40,tropes!$A$4:$O$2428,12,FALSE)</f>
        <v>1</v>
      </c>
      <c r="M40" s="5">
        <f>VLOOKUP($A40,tropes!$A$4:$O$2428,13,FALSE)</f>
        <v>6</v>
      </c>
      <c r="N40" s="5">
        <f t="shared" si="0"/>
        <v>6</v>
      </c>
    </row>
    <row r="41" spans="1:14" x14ac:dyDescent="0.3">
      <c r="A41" s="14">
        <v>507</v>
      </c>
      <c r="B41" s="5" t="str">
        <f>VLOOKUP($A41,tropes!$A$4:$O$2428,2,FALSE)</f>
        <v>Freudian Trio</v>
      </c>
      <c r="C41" s="5" t="str">
        <f>VLOOKUP($A41,tropes!$A$4:$O$2428,3,FALSE)</f>
        <v>exposition</v>
      </c>
      <c r="D41" s="5" t="str">
        <f>VLOOKUP($A41,tropes!$A$4:$O$2428,4,FALSE)</f>
        <v>freudian_trio</v>
      </c>
      <c r="E41" s="5" t="str">
        <f>VLOOKUP($A41,tropes!$A$4:$O$2428,5,FALSE)</f>
        <v>Kirk, Spock, and McCoy discuss Harry Mudd and their situation.</v>
      </c>
      <c r="F41" s="5" t="str">
        <f>VLOOKUP($A41,tropes!$A$4:$O$2428,6,FALSE)</f>
        <v>trio</v>
      </c>
      <c r="G41" s="5">
        <f>VLOOKUP($A41,tropes!$A$4:$O$2428,7,FALSE)</f>
        <v>1</v>
      </c>
      <c r="H41" s="5">
        <f>VLOOKUP($A41,tropes!$A$4:$O$2428,8,FALSE)</f>
        <v>0</v>
      </c>
      <c r="I41" s="5">
        <f>VLOOKUP($A41,tropes!$A$4:$O$2428,9,FALSE)</f>
        <v>106</v>
      </c>
      <c r="J41" s="5">
        <f>VLOOKUP($A41,tropes!$A$4:$O$2428,10,FALSE)</f>
        <v>7</v>
      </c>
      <c r="K41" s="5" t="str">
        <f>VLOOKUP($A41,tropes!$A$4:$O$2428,11,FALSE)</f>
        <v>Mudd's Women</v>
      </c>
      <c r="L41" s="5">
        <f>VLOOKUP($A41,tropes!$A$4:$O$2428,12,FALSE)</f>
        <v>1</v>
      </c>
      <c r="M41" s="5">
        <f>VLOOKUP($A41,tropes!$A$4:$O$2428,13,FALSE)</f>
        <v>6</v>
      </c>
      <c r="N41" s="5">
        <f t="shared" si="0"/>
        <v>7</v>
      </c>
    </row>
    <row r="42" spans="1:14" x14ac:dyDescent="0.3">
      <c r="A42" s="14">
        <v>616</v>
      </c>
      <c r="B42" s="5" t="str">
        <f>VLOOKUP($A42,tropes!$A$4:$O$2428,2,FALSE)</f>
        <v>Captain's Log</v>
      </c>
      <c r="C42" s="5" t="str">
        <f>VLOOKUP($A42,tropes!$A$4:$O$2428,3,FALSE)</f>
        <v>exposition</v>
      </c>
      <c r="D42" s="5" t="str">
        <f>VLOOKUP($A42,tropes!$A$4:$O$2428,4,FALSE)</f>
        <v>log</v>
      </c>
      <c r="E42" s="5" t="str">
        <f>VLOOKUP($A42,tropes!$A$4:$O$2428,5,FALSE)</f>
        <v>Ship's Log-1 (Kirk): Stardate 2712.4. A signal from planet Exo 3. Doctor Roger Korby has been located, he and part of his expedition remaining alive due to the discovery of underground ruins left by the former inhabitants of this world.</v>
      </c>
      <c r="F42" s="5" t="str">
        <f>VLOOKUP($A42,tropes!$A$4:$O$2428,6,FALSE)</f>
        <v>kirk</v>
      </c>
      <c r="G42" s="5">
        <f>VLOOKUP($A42,tropes!$A$4:$O$2428,7,FALSE)</f>
        <v>1</v>
      </c>
      <c r="H42" s="5">
        <f>VLOOKUP($A42,tropes!$A$4:$O$2428,8,FALSE)</f>
        <v>0</v>
      </c>
      <c r="I42" s="5">
        <f>VLOOKUP($A42,tropes!$A$4:$O$2428,9,FALSE)</f>
        <v>107</v>
      </c>
      <c r="J42" s="5">
        <f>VLOOKUP($A42,tropes!$A$4:$O$2428,10,FALSE)</f>
        <v>8</v>
      </c>
      <c r="K42" s="5" t="str">
        <f>VLOOKUP($A42,tropes!$A$4:$O$2428,11,FALSE)</f>
        <v>What Are Little Girls Made Of?</v>
      </c>
      <c r="L42" s="5">
        <f>VLOOKUP($A42,tropes!$A$4:$O$2428,12,FALSE)</f>
        <v>1</v>
      </c>
      <c r="M42" s="5">
        <f>VLOOKUP($A42,tropes!$A$4:$O$2428,13,FALSE)</f>
        <v>7</v>
      </c>
      <c r="N42" s="5">
        <f t="shared" si="0"/>
        <v>0</v>
      </c>
    </row>
    <row r="43" spans="1:14" x14ac:dyDescent="0.3">
      <c r="A43" s="14">
        <v>634</v>
      </c>
      <c r="B43" s="5" t="str">
        <f>VLOOKUP($A43,tropes!$A$4:$O$2428,2,FALSE)</f>
        <v>Captain's Log</v>
      </c>
      <c r="C43" s="5" t="str">
        <f>VLOOKUP($A43,tropes!$A$4:$O$2428,3,FALSE)</f>
        <v>exposition</v>
      </c>
      <c r="D43" s="5" t="str">
        <f>VLOOKUP($A43,tropes!$A$4:$O$2428,4,FALSE)</f>
        <v>log</v>
      </c>
      <c r="E43" s="5" t="str">
        <f>VLOOKUP($A43,tropes!$A$4:$O$2428,5,FALSE)</f>
        <v>Ship's Log-1 (Kirk): Stardate 2713.5. In the distant reaches of our galaxy, we have made an astonishing discovery. Earth type radio signals coming from a planet which apparently is an exact duplicate of the Earth. It seems impossible, but there it is.</v>
      </c>
      <c r="F43" s="5" t="str">
        <f>VLOOKUP($A43,tropes!$A$4:$O$2428,6,FALSE)</f>
        <v>kirk</v>
      </c>
      <c r="G43" s="5">
        <f>VLOOKUP($A43,tropes!$A$4:$O$2428,7,FALSE)</f>
        <v>1</v>
      </c>
      <c r="H43" s="5">
        <f>VLOOKUP($A43,tropes!$A$4:$O$2428,8,FALSE)</f>
        <v>0</v>
      </c>
      <c r="I43" s="5">
        <f>VLOOKUP($A43,tropes!$A$4:$O$2428,9,FALSE)</f>
        <v>108</v>
      </c>
      <c r="J43" s="5">
        <f>VLOOKUP($A43,tropes!$A$4:$O$2428,10,FALSE)</f>
        <v>9</v>
      </c>
      <c r="K43" s="5" t="str">
        <f>VLOOKUP($A43,tropes!$A$4:$O$2428,11,FALSE)</f>
        <v>Miri</v>
      </c>
      <c r="L43" s="5">
        <f>VLOOKUP($A43,tropes!$A$4:$O$2428,12,FALSE)</f>
        <v>1</v>
      </c>
      <c r="M43" s="5">
        <f>VLOOKUP($A43,tropes!$A$4:$O$2428,13,FALSE)</f>
        <v>8</v>
      </c>
      <c r="N43" s="5">
        <f t="shared" si="0"/>
        <v>0</v>
      </c>
    </row>
    <row r="44" spans="1:14" x14ac:dyDescent="0.3">
      <c r="A44" s="14">
        <v>635</v>
      </c>
      <c r="B44" s="5" t="str">
        <f>VLOOKUP($A44,tropes!$A$4:$O$2428,2,FALSE)</f>
        <v>Captain's Log</v>
      </c>
      <c r="C44" s="5" t="str">
        <f>VLOOKUP($A44,tropes!$A$4:$O$2428,3,FALSE)</f>
        <v>exposition</v>
      </c>
      <c r="D44" s="5" t="str">
        <f>VLOOKUP($A44,tropes!$A$4:$O$2428,4,FALSE)</f>
        <v>log</v>
      </c>
      <c r="E44" s="5" t="str">
        <f>VLOOKUP($A44,tropes!$A$4:$O$2428,5,FALSE)</f>
        <v>Ship's Log-2 (Kirk): Stardate 2713.6. The building Miri led us to also housed an automatic transmission station, which sent out the signal that drew us to this planet. We also discovered something else. That the blues blotches, characteristic of the unknown disease had appeared on each of us, with the exception of Mister Spock. There was a well-equipped laboratory in the building. Doctor McCoy took tissue samples of each of us in an attempt to isolate the organism responsible.</v>
      </c>
      <c r="F44" s="5" t="str">
        <f>VLOOKUP($A44,tropes!$A$4:$O$2428,6,FALSE)</f>
        <v>kirk</v>
      </c>
      <c r="G44" s="5">
        <f>VLOOKUP($A44,tropes!$A$4:$O$2428,7,FALSE)</f>
        <v>1</v>
      </c>
      <c r="H44" s="5">
        <f>VLOOKUP($A44,tropes!$A$4:$O$2428,8,FALSE)</f>
        <v>0</v>
      </c>
      <c r="I44" s="5">
        <f>VLOOKUP($A44,tropes!$A$4:$O$2428,9,FALSE)</f>
        <v>108</v>
      </c>
      <c r="J44" s="5">
        <f>VLOOKUP($A44,tropes!$A$4:$O$2428,10,FALSE)</f>
        <v>9</v>
      </c>
      <c r="K44" s="5" t="str">
        <f>VLOOKUP($A44,tropes!$A$4:$O$2428,11,FALSE)</f>
        <v>Miri</v>
      </c>
      <c r="L44" s="5">
        <f>VLOOKUP($A44,tropes!$A$4:$O$2428,12,FALSE)</f>
        <v>1</v>
      </c>
      <c r="M44" s="5">
        <f>VLOOKUP($A44,tropes!$A$4:$O$2428,13,FALSE)</f>
        <v>8</v>
      </c>
      <c r="N44" s="5">
        <f t="shared" si="0"/>
        <v>1</v>
      </c>
    </row>
    <row r="45" spans="1:14" x14ac:dyDescent="0.3">
      <c r="A45" s="14">
        <v>636</v>
      </c>
      <c r="B45" s="5" t="str">
        <f>VLOOKUP($A45,tropes!$A$4:$O$2428,2,FALSE)</f>
        <v>Captain's Log</v>
      </c>
      <c r="C45" s="5" t="str">
        <f>VLOOKUP($A45,tropes!$A$4:$O$2428,3,FALSE)</f>
        <v>exposition</v>
      </c>
      <c r="D45" s="5" t="str">
        <f>VLOOKUP($A45,tropes!$A$4:$O$2428,4,FALSE)</f>
        <v>log</v>
      </c>
      <c r="E45" s="5" t="str">
        <f>VLOOKUP($A45,tropes!$A$4:$O$2428,5,FALSE)</f>
        <v>Ship's Log-3 (Kirk): Doctor McCoy's bio computer and a portable electronic microscope have been beamed down from the Enterprise. They will be used in conjunction with computer banks on-board ship.</v>
      </c>
      <c r="F45" s="5" t="str">
        <f>VLOOKUP($A45,tropes!$A$4:$O$2428,6,FALSE)</f>
        <v>kirk</v>
      </c>
      <c r="G45" s="5">
        <f>VLOOKUP($A45,tropes!$A$4:$O$2428,7,FALSE)</f>
        <v>1</v>
      </c>
      <c r="H45" s="5">
        <f>VLOOKUP($A45,tropes!$A$4:$O$2428,8,FALSE)</f>
        <v>0</v>
      </c>
      <c r="I45" s="5">
        <f>VLOOKUP($A45,tropes!$A$4:$O$2428,9,FALSE)</f>
        <v>108</v>
      </c>
      <c r="J45" s="5">
        <f>VLOOKUP($A45,tropes!$A$4:$O$2428,10,FALSE)</f>
        <v>9</v>
      </c>
      <c r="K45" s="5" t="str">
        <f>VLOOKUP($A45,tropes!$A$4:$O$2428,11,FALSE)</f>
        <v>Miri</v>
      </c>
      <c r="L45" s="5">
        <f>VLOOKUP($A45,tropes!$A$4:$O$2428,12,FALSE)</f>
        <v>1</v>
      </c>
      <c r="M45" s="5">
        <f>VLOOKUP($A45,tropes!$A$4:$O$2428,13,FALSE)</f>
        <v>8</v>
      </c>
      <c r="N45" s="5">
        <f t="shared" si="0"/>
        <v>2</v>
      </c>
    </row>
    <row r="46" spans="1:14" x14ac:dyDescent="0.3">
      <c r="A46" s="14">
        <v>637</v>
      </c>
      <c r="B46" s="5" t="str">
        <f>VLOOKUP($A46,tropes!$A$4:$O$2428,2,FALSE)</f>
        <v>Captain's Log</v>
      </c>
      <c r="C46" s="5" t="str">
        <f>VLOOKUP($A46,tropes!$A$4:$O$2428,3,FALSE)</f>
        <v>exposition</v>
      </c>
      <c r="D46" s="5" t="str">
        <f>VLOOKUP($A46,tropes!$A$4:$O$2428,4,FALSE)</f>
        <v>log</v>
      </c>
      <c r="E46" s="5" t="str">
        <f>VLOOKUP($A46,tropes!$A$4:$O$2428,5,FALSE)</f>
        <v>Ship's Log-4 (Kirk): supplement. This is the second day of the seven left to us. We've found nothing. Enterprise is standing by with labs and computers ready to assist us.</v>
      </c>
      <c r="F46" s="5" t="str">
        <f>VLOOKUP($A46,tropes!$A$4:$O$2428,6,FALSE)</f>
        <v>kirk</v>
      </c>
      <c r="G46" s="5">
        <f>VLOOKUP($A46,tropes!$A$4:$O$2428,7,FALSE)</f>
        <v>1</v>
      </c>
      <c r="H46" s="5">
        <f>VLOOKUP($A46,tropes!$A$4:$O$2428,8,FALSE)</f>
        <v>0</v>
      </c>
      <c r="I46" s="5">
        <f>VLOOKUP($A46,tropes!$A$4:$O$2428,9,FALSE)</f>
        <v>108</v>
      </c>
      <c r="J46" s="5">
        <f>VLOOKUP($A46,tropes!$A$4:$O$2428,10,FALSE)</f>
        <v>9</v>
      </c>
      <c r="K46" s="5" t="str">
        <f>VLOOKUP($A46,tropes!$A$4:$O$2428,11,FALSE)</f>
        <v>Miri</v>
      </c>
      <c r="L46" s="5">
        <f>VLOOKUP($A46,tropes!$A$4:$O$2428,12,FALSE)</f>
        <v>1</v>
      </c>
      <c r="M46" s="5">
        <f>VLOOKUP($A46,tropes!$A$4:$O$2428,13,FALSE)</f>
        <v>8</v>
      </c>
      <c r="N46" s="5">
        <f t="shared" si="0"/>
        <v>3</v>
      </c>
    </row>
    <row r="47" spans="1:14" x14ac:dyDescent="0.3">
      <c r="A47" s="14">
        <v>638</v>
      </c>
      <c r="B47" s="5" t="str">
        <f>VLOOKUP($A47,tropes!$A$4:$O$2428,2,FALSE)</f>
        <v>Captain's Log</v>
      </c>
      <c r="C47" s="5" t="str">
        <f>VLOOKUP($A47,tropes!$A$4:$O$2428,3,FALSE)</f>
        <v>exposition</v>
      </c>
      <c r="D47" s="5" t="str">
        <f>VLOOKUP($A47,tropes!$A$4:$O$2428,4,FALSE)</f>
        <v>log</v>
      </c>
      <c r="E47" s="5" t="str">
        <f>VLOOKUP($A47,tropes!$A$4:$O$2428,5,FALSE)</f>
        <v>Ship's Log-5 (Kirk): Stardate 2717.3. Three days, seven hours left to us. Investigation proves that the supply of food in the area is running dangerously low. Unless something is done, the children will starve in a few months. The disease is working on each of us according to Doctor McCoy's prediction. Our tempers are growing short, and we're no further along than we were two days ago.</v>
      </c>
      <c r="F47" s="5" t="str">
        <f>VLOOKUP($A47,tropes!$A$4:$O$2428,6,FALSE)</f>
        <v>kirk</v>
      </c>
      <c r="G47" s="5">
        <f>VLOOKUP($A47,tropes!$A$4:$O$2428,7,FALSE)</f>
        <v>1</v>
      </c>
      <c r="H47" s="5">
        <f>VLOOKUP($A47,tropes!$A$4:$O$2428,8,FALSE)</f>
        <v>0</v>
      </c>
      <c r="I47" s="5">
        <f>VLOOKUP($A47,tropes!$A$4:$O$2428,9,FALSE)</f>
        <v>108</v>
      </c>
      <c r="J47" s="5">
        <f>VLOOKUP($A47,tropes!$A$4:$O$2428,10,FALSE)</f>
        <v>9</v>
      </c>
      <c r="K47" s="5" t="str">
        <f>VLOOKUP($A47,tropes!$A$4:$O$2428,11,FALSE)</f>
        <v>Miri</v>
      </c>
      <c r="L47" s="5">
        <f>VLOOKUP($A47,tropes!$A$4:$O$2428,12,FALSE)</f>
        <v>1</v>
      </c>
      <c r="M47" s="5">
        <f>VLOOKUP($A47,tropes!$A$4:$O$2428,13,FALSE)</f>
        <v>8</v>
      </c>
      <c r="N47" s="5">
        <f t="shared" si="0"/>
        <v>4</v>
      </c>
    </row>
    <row r="48" spans="1:14" x14ac:dyDescent="0.3">
      <c r="A48" s="14">
        <v>508</v>
      </c>
      <c r="B48" s="5" t="str">
        <f>VLOOKUP($A48,tropes!$A$4:$O$2428,2,FALSE)</f>
        <v>Freudian Trio</v>
      </c>
      <c r="C48" s="5" t="str">
        <f>VLOOKUP($A48,tropes!$A$4:$O$2428,3,FALSE)</f>
        <v>exposition</v>
      </c>
      <c r="D48" s="5" t="str">
        <f>VLOOKUP($A48,tropes!$A$4:$O$2428,4,FALSE)</f>
        <v>freudian_trio</v>
      </c>
      <c r="E48" s="5" t="str">
        <f>VLOOKUP($A48,tropes!$A$4:$O$2428,5,FALSE)</f>
        <v>Kirk, Spock, and McCoy and Yeoman Rand discuss disease.</v>
      </c>
      <c r="F48" s="5" t="str">
        <f>VLOOKUP($A48,tropes!$A$4:$O$2428,6,FALSE)</f>
        <v>trio</v>
      </c>
      <c r="G48" s="5">
        <f>VLOOKUP($A48,tropes!$A$4:$O$2428,7,FALSE)</f>
        <v>1</v>
      </c>
      <c r="H48" s="5">
        <f>VLOOKUP($A48,tropes!$A$4:$O$2428,8,FALSE)</f>
        <v>0</v>
      </c>
      <c r="I48" s="5">
        <f>VLOOKUP($A48,tropes!$A$4:$O$2428,9,FALSE)</f>
        <v>108</v>
      </c>
      <c r="J48" s="5">
        <f>VLOOKUP($A48,tropes!$A$4:$O$2428,10,FALSE)</f>
        <v>9</v>
      </c>
      <c r="K48" s="5" t="str">
        <f>VLOOKUP($A48,tropes!$A$4:$O$2428,11,FALSE)</f>
        <v>Miri</v>
      </c>
      <c r="L48" s="5">
        <f>VLOOKUP($A48,tropes!$A$4:$O$2428,12,FALSE)</f>
        <v>1</v>
      </c>
      <c r="M48" s="5">
        <f>VLOOKUP($A48,tropes!$A$4:$O$2428,13,FALSE)</f>
        <v>8</v>
      </c>
      <c r="N48" s="5">
        <f t="shared" si="0"/>
        <v>5</v>
      </c>
    </row>
    <row r="49" spans="1:14" x14ac:dyDescent="0.3">
      <c r="A49" s="14">
        <v>648</v>
      </c>
      <c r="B49" s="5" t="str">
        <f>VLOOKUP($A49,tropes!$A$4:$O$2428,2,FALSE)</f>
        <v>Captain's Log</v>
      </c>
      <c r="C49" s="5" t="str">
        <f>VLOOKUP($A49,tropes!$A$4:$O$2428,3,FALSE)</f>
        <v>exposition</v>
      </c>
      <c r="D49" s="5" t="str">
        <f>VLOOKUP($A49,tropes!$A$4:$O$2428,4,FALSE)</f>
        <v>log</v>
      </c>
      <c r="E49" s="5" t="str">
        <f>VLOOKUP($A49,tropes!$A$4:$O$2428,5,FALSE)</f>
        <v>Ship's Log-1 (Kirk): Stardate 2715.1. Exchanged cargo with penal colony on Tantalus V. I've departed without going ashore.</v>
      </c>
      <c r="F49" s="5" t="str">
        <f>VLOOKUP($A49,tropes!$A$4:$O$2428,6,FALSE)</f>
        <v>kirk</v>
      </c>
      <c r="G49" s="5">
        <f>VLOOKUP($A49,tropes!$A$4:$O$2428,7,FALSE)</f>
        <v>1</v>
      </c>
      <c r="H49" s="5">
        <f>VLOOKUP($A49,tropes!$A$4:$O$2428,8,FALSE)</f>
        <v>0</v>
      </c>
      <c r="I49" s="5">
        <f>VLOOKUP($A49,tropes!$A$4:$O$2428,9,FALSE)</f>
        <v>109</v>
      </c>
      <c r="J49" s="5">
        <f>VLOOKUP($A49,tropes!$A$4:$O$2428,10,FALSE)</f>
        <v>10</v>
      </c>
      <c r="K49" s="5" t="str">
        <f>VLOOKUP($A49,tropes!$A$4:$O$2428,11,FALSE)</f>
        <v>Dagger of the Mind</v>
      </c>
      <c r="L49" s="5">
        <f>VLOOKUP($A49,tropes!$A$4:$O$2428,12,FALSE)</f>
        <v>1</v>
      </c>
      <c r="M49" s="5">
        <f>VLOOKUP($A49,tropes!$A$4:$O$2428,13,FALSE)</f>
        <v>9</v>
      </c>
      <c r="N49" s="5">
        <f t="shared" si="0"/>
        <v>0</v>
      </c>
    </row>
    <row r="50" spans="1:14" x14ac:dyDescent="0.3">
      <c r="A50" s="14">
        <v>1556</v>
      </c>
      <c r="B50" s="5" t="str">
        <f>VLOOKUP($A50,tropes!$A$4:$O$2428,2,FALSE)</f>
        <v>Captain's Log</v>
      </c>
      <c r="C50" s="5" t="str">
        <f>VLOOKUP($A50,tropes!$A$4:$O$2428,3,FALSE)</f>
        <v>exposition</v>
      </c>
      <c r="D50" s="5" t="str">
        <f>VLOOKUP($A50,tropes!$A$4:$O$2428,4,FALSE)</f>
        <v>log</v>
      </c>
      <c r="E50" s="5" t="str">
        <f>VLOOKUP($A50,tropes!$A$4:$O$2428,5,FALSE)</f>
        <v>Ship's Log-2 (McCoy): Made medical log regarding Dr. Van Gelder and possible situation. Kirk was then required to respond McCoy's log and went back to investigate Tantalus.</v>
      </c>
      <c r="F50" s="5" t="str">
        <f>VLOOKUP($A50,tropes!$A$4:$O$2428,6,FALSE)</f>
        <v>mccoy</v>
      </c>
      <c r="G50" s="5">
        <f>VLOOKUP($A50,tropes!$A$4:$O$2428,7,FALSE)</f>
        <v>0</v>
      </c>
      <c r="H50" s="5">
        <f>VLOOKUP($A50,tropes!$A$4:$O$2428,8,FALSE)</f>
        <v>1</v>
      </c>
      <c r="I50" s="5">
        <f>VLOOKUP($A50,tropes!$A$4:$O$2428,9,FALSE)</f>
        <v>109</v>
      </c>
      <c r="J50" s="5">
        <f>VLOOKUP($A50,tropes!$A$4:$O$2428,10,FALSE)</f>
        <v>10</v>
      </c>
      <c r="K50" s="5" t="str">
        <f>VLOOKUP($A50,tropes!$A$4:$O$2428,11,FALSE)</f>
        <v>Dagger of the Mind</v>
      </c>
      <c r="L50" s="5">
        <f>VLOOKUP($A50,tropes!$A$4:$O$2428,12,FALSE)</f>
        <v>1</v>
      </c>
      <c r="M50" s="5">
        <f>VLOOKUP($A50,tropes!$A$4:$O$2428,13,FALSE)</f>
        <v>9</v>
      </c>
      <c r="N50" s="5">
        <f t="shared" si="0"/>
        <v>1</v>
      </c>
    </row>
    <row r="51" spans="1:14" x14ac:dyDescent="0.3">
      <c r="A51" s="14">
        <v>649</v>
      </c>
      <c r="B51" s="5" t="str">
        <f>VLOOKUP($A51,tropes!$A$4:$O$2428,2,FALSE)</f>
        <v>Captain's Log</v>
      </c>
      <c r="C51" s="5" t="str">
        <f>VLOOKUP($A51,tropes!$A$4:$O$2428,3,FALSE)</f>
        <v>exposition</v>
      </c>
      <c r="D51" s="5" t="str">
        <f>VLOOKUP($A51,tropes!$A$4:$O$2428,4,FALSE)</f>
        <v>log</v>
      </c>
      <c r="E51" s="5" t="str">
        <f>VLOOKUP($A51,tropes!$A$4:$O$2428,5,FALSE)</f>
        <v>Ship's Log-3 (Kirk): Stardate 2715.2. Standard orbit, planet Tantalus V.</v>
      </c>
      <c r="F51" s="5" t="str">
        <f>VLOOKUP($A51,tropes!$A$4:$O$2428,6,FALSE)</f>
        <v>kirk</v>
      </c>
      <c r="G51" s="5">
        <f>VLOOKUP($A51,tropes!$A$4:$O$2428,7,FALSE)</f>
        <v>1</v>
      </c>
      <c r="H51" s="5">
        <f>VLOOKUP($A51,tropes!$A$4:$O$2428,8,FALSE)</f>
        <v>0</v>
      </c>
      <c r="I51" s="5">
        <f>VLOOKUP($A51,tropes!$A$4:$O$2428,9,FALSE)</f>
        <v>109</v>
      </c>
      <c r="J51" s="5">
        <f>VLOOKUP($A51,tropes!$A$4:$O$2428,10,FALSE)</f>
        <v>10</v>
      </c>
      <c r="K51" s="5" t="str">
        <f>VLOOKUP($A51,tropes!$A$4:$O$2428,11,FALSE)</f>
        <v>Dagger of the Mind</v>
      </c>
      <c r="L51" s="5">
        <f>VLOOKUP($A51,tropes!$A$4:$O$2428,12,FALSE)</f>
        <v>1</v>
      </c>
      <c r="M51" s="5">
        <f>VLOOKUP($A51,tropes!$A$4:$O$2428,13,FALSE)</f>
        <v>9</v>
      </c>
      <c r="N51" s="5">
        <f t="shared" si="0"/>
        <v>2</v>
      </c>
    </row>
    <row r="52" spans="1:14" x14ac:dyDescent="0.3">
      <c r="A52" s="14">
        <v>2073</v>
      </c>
      <c r="B52" s="5" t="str">
        <f>VLOOKUP($A52,tropes!$A$4:$O$2428,2,FALSE)</f>
        <v>Captain's Log</v>
      </c>
      <c r="C52" s="5" t="str">
        <f>VLOOKUP($A52,tropes!$A$4:$O$2428,3,FALSE)</f>
        <v>exposition</v>
      </c>
      <c r="D52" s="5" t="str">
        <f>VLOOKUP($A52,tropes!$A$4:$O$2428,4,FALSE)</f>
        <v>log</v>
      </c>
      <c r="E52" s="5" t="str">
        <f>VLOOKUP($A52,tropes!$A$4:$O$2428,5,FALSE)</f>
        <v>Ship's Log-4 (Spock): First officer Spock, acting captain. I must now use an ancient Vulcan technique to probe into Van Gelder's tortured mind.</v>
      </c>
      <c r="F52" s="5" t="str">
        <f>VLOOKUP($A52,tropes!$A$4:$O$2428,6,FALSE)</f>
        <v>spock</v>
      </c>
      <c r="G52" s="5">
        <f>VLOOKUP($A52,tropes!$A$4:$O$2428,7,FALSE)</f>
        <v>1</v>
      </c>
      <c r="H52" s="5">
        <f>VLOOKUP($A52,tropes!$A$4:$O$2428,8,FALSE)</f>
        <v>0</v>
      </c>
      <c r="I52" s="5">
        <f>VLOOKUP($A52,tropes!$A$4:$O$2428,9,FALSE)</f>
        <v>109</v>
      </c>
      <c r="J52" s="5">
        <f>VLOOKUP($A52,tropes!$A$4:$O$2428,10,FALSE)</f>
        <v>10</v>
      </c>
      <c r="K52" s="5" t="str">
        <f>VLOOKUP($A52,tropes!$A$4:$O$2428,11,FALSE)</f>
        <v>Dagger of the Mind</v>
      </c>
      <c r="L52" s="5">
        <f>VLOOKUP($A52,tropes!$A$4:$O$2428,12,FALSE)</f>
        <v>1</v>
      </c>
      <c r="M52" s="5">
        <f>VLOOKUP($A52,tropes!$A$4:$O$2428,13,FALSE)</f>
        <v>9</v>
      </c>
      <c r="N52" s="5">
        <f t="shared" si="0"/>
        <v>3</v>
      </c>
    </row>
    <row r="53" spans="1:14" x14ac:dyDescent="0.3">
      <c r="A53" s="14">
        <v>509</v>
      </c>
      <c r="B53" s="5" t="str">
        <f>VLOOKUP($A53,tropes!$A$4:$O$2428,2,FALSE)</f>
        <v>Freudian Trio</v>
      </c>
      <c r="C53" s="5" t="str">
        <f>VLOOKUP($A53,tropes!$A$4:$O$2428,3,FALSE)</f>
        <v>exposition</v>
      </c>
      <c r="D53" s="5" t="str">
        <f>VLOOKUP($A53,tropes!$A$4:$O$2428,4,FALSE)</f>
        <v>freudian_trio</v>
      </c>
      <c r="E53" s="5" t="str">
        <f>VLOOKUP($A53,tropes!$A$4:$O$2428,5,FALSE)</f>
        <v>Kirk, Spock, and McCoy discuss the situation on Tantalus.</v>
      </c>
      <c r="F53" s="5" t="str">
        <f>VLOOKUP($A53,tropes!$A$4:$O$2428,6,FALSE)</f>
        <v>trio</v>
      </c>
      <c r="G53" s="5">
        <f>VLOOKUP($A53,tropes!$A$4:$O$2428,7,FALSE)</f>
        <v>1</v>
      </c>
      <c r="H53" s="5">
        <f>VLOOKUP($A53,tropes!$A$4:$O$2428,8,FALSE)</f>
        <v>0</v>
      </c>
      <c r="I53" s="5">
        <f>VLOOKUP($A53,tropes!$A$4:$O$2428,9,FALSE)</f>
        <v>109</v>
      </c>
      <c r="J53" s="5">
        <f>VLOOKUP($A53,tropes!$A$4:$O$2428,10,FALSE)</f>
        <v>10</v>
      </c>
      <c r="K53" s="5" t="str">
        <f>VLOOKUP($A53,tropes!$A$4:$O$2428,11,FALSE)</f>
        <v>Dagger of the Mind</v>
      </c>
      <c r="L53" s="5">
        <f>VLOOKUP($A53,tropes!$A$4:$O$2428,12,FALSE)</f>
        <v>1</v>
      </c>
      <c r="M53" s="5">
        <f>VLOOKUP($A53,tropes!$A$4:$O$2428,13,FALSE)</f>
        <v>9</v>
      </c>
      <c r="N53" s="5">
        <f t="shared" si="0"/>
        <v>4</v>
      </c>
    </row>
    <row r="54" spans="1:14" x14ac:dyDescent="0.3">
      <c r="A54" s="14">
        <v>658</v>
      </c>
      <c r="B54" s="5" t="str">
        <f>VLOOKUP($A54,tropes!$A$4:$O$2428,2,FALSE)</f>
        <v>Captain's Log</v>
      </c>
      <c r="C54" s="5" t="str">
        <f>VLOOKUP($A54,tropes!$A$4:$O$2428,3,FALSE)</f>
        <v>exposition</v>
      </c>
      <c r="D54" s="5" t="str">
        <f>VLOOKUP($A54,tropes!$A$4:$O$2428,4,FALSE)</f>
        <v>log</v>
      </c>
      <c r="E54" s="5" t="str">
        <f>VLOOKUP($A54,tropes!$A$4:$O$2428,5,FALSE)</f>
        <v>Ship's Log-1 (Kirk): Stardate 1512.2. On our third day of star mapping, an unexplained cubical object blocked our vessel's path. On the Bridge, Mister Spock immediately ordered general alert. My location, Sickbay. Quarterly physical check.</v>
      </c>
      <c r="F54" s="5" t="str">
        <f>VLOOKUP($A54,tropes!$A$4:$O$2428,6,FALSE)</f>
        <v>kirk</v>
      </c>
      <c r="G54" s="5">
        <f>VLOOKUP($A54,tropes!$A$4:$O$2428,7,FALSE)</f>
        <v>1</v>
      </c>
      <c r="H54" s="5">
        <f>VLOOKUP($A54,tropes!$A$4:$O$2428,8,FALSE)</f>
        <v>0</v>
      </c>
      <c r="I54" s="5">
        <f>VLOOKUP($A54,tropes!$A$4:$O$2428,9,FALSE)</f>
        <v>110</v>
      </c>
      <c r="J54" s="5">
        <f>VLOOKUP($A54,tropes!$A$4:$O$2428,10,FALSE)</f>
        <v>11</v>
      </c>
      <c r="K54" s="5" t="str">
        <f>VLOOKUP($A54,tropes!$A$4:$O$2428,11,FALSE)</f>
        <v>The Corbomite Maneuver</v>
      </c>
      <c r="L54" s="5">
        <f>VLOOKUP($A54,tropes!$A$4:$O$2428,12,FALSE)</f>
        <v>1</v>
      </c>
      <c r="M54" s="5">
        <f>VLOOKUP($A54,tropes!$A$4:$O$2428,13,FALSE)</f>
        <v>10</v>
      </c>
      <c r="N54" s="5">
        <f t="shared" si="0"/>
        <v>0</v>
      </c>
    </row>
    <row r="55" spans="1:14" x14ac:dyDescent="0.3">
      <c r="A55" s="14">
        <v>659</v>
      </c>
      <c r="B55" s="5" t="str">
        <f>VLOOKUP($A55,tropes!$A$4:$O$2428,2,FALSE)</f>
        <v>Captain's Log</v>
      </c>
      <c r="C55" s="5" t="str">
        <f>VLOOKUP($A55,tropes!$A$4:$O$2428,3,FALSE)</f>
        <v>exposition</v>
      </c>
      <c r="D55" s="5" t="str">
        <f>VLOOKUP($A55,tropes!$A$4:$O$2428,4,FALSE)</f>
        <v>log</v>
      </c>
      <c r="E55" s="5" t="str">
        <f>VLOOKUP($A55,tropes!$A$4:$O$2428,5,FALSE)</f>
        <v>Ship's Log-2 (Kirk): Stardate 1513.8. Star maps reveal no indication of habitable planets nearby. Origin and purpose of the cube still unknown. We've been here, held motionless, for eighteen hours.</v>
      </c>
      <c r="F55" s="5" t="str">
        <f>VLOOKUP($A55,tropes!$A$4:$O$2428,6,FALSE)</f>
        <v>kirk</v>
      </c>
      <c r="G55" s="5">
        <f>VLOOKUP($A55,tropes!$A$4:$O$2428,7,FALSE)</f>
        <v>1</v>
      </c>
      <c r="H55" s="5">
        <f>VLOOKUP($A55,tropes!$A$4:$O$2428,8,FALSE)</f>
        <v>0</v>
      </c>
      <c r="I55" s="5">
        <f>VLOOKUP($A55,tropes!$A$4:$O$2428,9,FALSE)</f>
        <v>110</v>
      </c>
      <c r="J55" s="5">
        <f>VLOOKUP($A55,tropes!$A$4:$O$2428,10,FALSE)</f>
        <v>11</v>
      </c>
      <c r="K55" s="5" t="str">
        <f>VLOOKUP($A55,tropes!$A$4:$O$2428,11,FALSE)</f>
        <v>The Corbomite Maneuver</v>
      </c>
      <c r="L55" s="5">
        <f>VLOOKUP($A55,tropes!$A$4:$O$2428,12,FALSE)</f>
        <v>1</v>
      </c>
      <c r="M55" s="5">
        <f>VLOOKUP($A55,tropes!$A$4:$O$2428,13,FALSE)</f>
        <v>10</v>
      </c>
      <c r="N55" s="5">
        <f t="shared" si="0"/>
        <v>1</v>
      </c>
    </row>
    <row r="56" spans="1:14" x14ac:dyDescent="0.3">
      <c r="A56" s="14">
        <v>660</v>
      </c>
      <c r="B56" s="5" t="str">
        <f>VLOOKUP($A56,tropes!$A$4:$O$2428,2,FALSE)</f>
        <v>Captain's Log</v>
      </c>
      <c r="C56" s="5" t="str">
        <f>VLOOKUP($A56,tropes!$A$4:$O$2428,3,FALSE)</f>
        <v>exposition</v>
      </c>
      <c r="D56" s="5" t="str">
        <f>VLOOKUP($A56,tropes!$A$4:$O$2428,4,FALSE)</f>
        <v>log</v>
      </c>
      <c r="E56" s="5" t="str">
        <f>VLOOKUP($A56,tropes!$A$4:$O$2428,5,FALSE)</f>
        <v>Ship's Log-3 (Kirk): Stardate 1514.0. The cube has been destroyed. Ships damage minor but my next decision, major. Probe on ahead or turn back.</v>
      </c>
      <c r="F56" s="5" t="str">
        <f>VLOOKUP($A56,tropes!$A$4:$O$2428,6,FALSE)</f>
        <v>kirk</v>
      </c>
      <c r="G56" s="5">
        <f>VLOOKUP($A56,tropes!$A$4:$O$2428,7,FALSE)</f>
        <v>1</v>
      </c>
      <c r="H56" s="5">
        <f>VLOOKUP($A56,tropes!$A$4:$O$2428,8,FALSE)</f>
        <v>0</v>
      </c>
      <c r="I56" s="5">
        <f>VLOOKUP($A56,tropes!$A$4:$O$2428,9,FALSE)</f>
        <v>110</v>
      </c>
      <c r="J56" s="5">
        <f>VLOOKUP($A56,tropes!$A$4:$O$2428,10,FALSE)</f>
        <v>11</v>
      </c>
      <c r="K56" s="5" t="str">
        <f>VLOOKUP($A56,tropes!$A$4:$O$2428,11,FALSE)</f>
        <v>The Corbomite Maneuver</v>
      </c>
      <c r="L56" s="5">
        <f>VLOOKUP($A56,tropes!$A$4:$O$2428,12,FALSE)</f>
        <v>1</v>
      </c>
      <c r="M56" s="5">
        <f>VLOOKUP($A56,tropes!$A$4:$O$2428,13,FALSE)</f>
        <v>10</v>
      </c>
      <c r="N56" s="5">
        <f t="shared" si="0"/>
        <v>2</v>
      </c>
    </row>
    <row r="57" spans="1:14" x14ac:dyDescent="0.3">
      <c r="A57" s="14">
        <v>661</v>
      </c>
      <c r="B57" s="5" t="str">
        <f>VLOOKUP($A57,tropes!$A$4:$O$2428,2,FALSE)</f>
        <v>Captain's Log</v>
      </c>
      <c r="C57" s="5" t="str">
        <f>VLOOKUP($A57,tropes!$A$4:$O$2428,3,FALSE)</f>
        <v>exposition</v>
      </c>
      <c r="D57" s="5" t="str">
        <f>VLOOKUP($A57,tropes!$A$4:$O$2428,4,FALSE)</f>
        <v>log</v>
      </c>
      <c r="E57" s="5" t="str">
        <f>VLOOKUP($A57,tropes!$A$4:$O$2428,5,FALSE)</f>
        <v>Ship's Log-4 (Kirk): Stardate 1514.1. The Enterprise is in tow. To this point, no resistance has been offered. My plan? A show of resignation. Balok's tractor beam has to be a heavy drain of power on his small ship. Question. Will he grow careless?</v>
      </c>
      <c r="F57" s="5" t="str">
        <f>VLOOKUP($A57,tropes!$A$4:$O$2428,6,FALSE)</f>
        <v>kirk</v>
      </c>
      <c r="G57" s="5">
        <f>VLOOKUP($A57,tropes!$A$4:$O$2428,7,FALSE)</f>
        <v>1</v>
      </c>
      <c r="H57" s="5">
        <f>VLOOKUP($A57,tropes!$A$4:$O$2428,8,FALSE)</f>
        <v>0</v>
      </c>
      <c r="I57" s="5">
        <f>VLOOKUP($A57,tropes!$A$4:$O$2428,9,FALSE)</f>
        <v>110</v>
      </c>
      <c r="J57" s="5">
        <f>VLOOKUP($A57,tropes!$A$4:$O$2428,10,FALSE)</f>
        <v>11</v>
      </c>
      <c r="K57" s="5" t="str">
        <f>VLOOKUP($A57,tropes!$A$4:$O$2428,11,FALSE)</f>
        <v>The Corbomite Maneuver</v>
      </c>
      <c r="L57" s="5">
        <f>VLOOKUP($A57,tropes!$A$4:$O$2428,12,FALSE)</f>
        <v>1</v>
      </c>
      <c r="M57" s="5">
        <f>VLOOKUP($A57,tropes!$A$4:$O$2428,13,FALSE)</f>
        <v>10</v>
      </c>
      <c r="N57" s="5">
        <f t="shared" si="0"/>
        <v>3</v>
      </c>
    </row>
    <row r="58" spans="1:14" x14ac:dyDescent="0.3">
      <c r="A58" s="14">
        <v>510</v>
      </c>
      <c r="B58" s="5" t="str">
        <f>VLOOKUP($A58,tropes!$A$4:$O$2428,2,FALSE)</f>
        <v>Freudian Trio</v>
      </c>
      <c r="C58" s="5" t="str">
        <f>VLOOKUP($A58,tropes!$A$4:$O$2428,3,FALSE)</f>
        <v>exposition</v>
      </c>
      <c r="D58" s="5" t="str">
        <f>VLOOKUP($A58,tropes!$A$4:$O$2428,4,FALSE)</f>
        <v>freudian_trio</v>
      </c>
      <c r="E58" s="5" t="str">
        <f>VLOOKUP($A58,tropes!$A$4:$O$2428,5,FALSE)</f>
        <v>Kirk, Spock, and McCoy discuss Balok while waiting for Balok to do something.</v>
      </c>
      <c r="F58" s="5" t="str">
        <f>VLOOKUP($A58,tropes!$A$4:$O$2428,6,FALSE)</f>
        <v>trio</v>
      </c>
      <c r="G58" s="5">
        <f>VLOOKUP($A58,tropes!$A$4:$O$2428,7,FALSE)</f>
        <v>1</v>
      </c>
      <c r="H58" s="5">
        <f>VLOOKUP($A58,tropes!$A$4:$O$2428,8,FALSE)</f>
        <v>0</v>
      </c>
      <c r="I58" s="5">
        <f>VLOOKUP($A58,tropes!$A$4:$O$2428,9,FALSE)</f>
        <v>110</v>
      </c>
      <c r="J58" s="5">
        <f>VLOOKUP($A58,tropes!$A$4:$O$2428,10,FALSE)</f>
        <v>11</v>
      </c>
      <c r="K58" s="5" t="str">
        <f>VLOOKUP($A58,tropes!$A$4:$O$2428,11,FALSE)</f>
        <v>The Corbomite Maneuver</v>
      </c>
      <c r="L58" s="5">
        <f>VLOOKUP($A58,tropes!$A$4:$O$2428,12,FALSE)</f>
        <v>1</v>
      </c>
      <c r="M58" s="5">
        <f>VLOOKUP($A58,tropes!$A$4:$O$2428,13,FALSE)</f>
        <v>10</v>
      </c>
      <c r="N58" s="5">
        <f t="shared" si="0"/>
        <v>4</v>
      </c>
    </row>
    <row r="59" spans="1:14" x14ac:dyDescent="0.3">
      <c r="A59" s="14">
        <v>676</v>
      </c>
      <c r="B59" s="5" t="str">
        <f>VLOOKUP($A59,tropes!$A$4:$O$2428,2,FALSE)</f>
        <v>Captain's Log</v>
      </c>
      <c r="C59" s="5" t="str">
        <f>VLOOKUP($A59,tropes!$A$4:$O$2428,3,FALSE)</f>
        <v>exposition</v>
      </c>
      <c r="D59" s="5" t="str">
        <f>VLOOKUP($A59,tropes!$A$4:$O$2428,4,FALSE)</f>
        <v>log</v>
      </c>
      <c r="E59" s="5" t="str">
        <f>VLOOKUP($A59,tropes!$A$4:$O$2428,5,FALSE)</f>
        <v>Ship's Log-1 (Kirk): Stardate 3012.4. Despite our best efforts to disengage computers, the Enterprise is still locked on a heading for the mysterious planet Talos Four. Meanwhile, as required by Starfleet General Orders, a preliminary hearing on Lieutenant Commander Spock is being convened. And in all the years of my service, this is the most painful moment I've ever faced.</v>
      </c>
      <c r="F59" s="5" t="str">
        <f>VLOOKUP($A59,tropes!$A$4:$O$2428,6,FALSE)</f>
        <v>kirk</v>
      </c>
      <c r="G59" s="5">
        <f>VLOOKUP($A59,tropes!$A$4:$O$2428,7,FALSE)</f>
        <v>1</v>
      </c>
      <c r="H59" s="5">
        <f>VLOOKUP($A59,tropes!$A$4:$O$2428,8,FALSE)</f>
        <v>0</v>
      </c>
      <c r="I59" s="5">
        <f>VLOOKUP($A59,tropes!$A$4:$O$2428,9,FALSE)</f>
        <v>111</v>
      </c>
      <c r="J59" s="5">
        <f>VLOOKUP($A59,tropes!$A$4:$O$2428,10,FALSE)</f>
        <v>12</v>
      </c>
      <c r="K59" s="5" t="str">
        <f>VLOOKUP($A59,tropes!$A$4:$O$2428,11,FALSE)</f>
        <v>The Menagerie, Part I</v>
      </c>
      <c r="L59" s="5">
        <f>VLOOKUP($A59,tropes!$A$4:$O$2428,12,FALSE)</f>
        <v>1</v>
      </c>
      <c r="M59" s="5">
        <f>VLOOKUP($A59,tropes!$A$4:$O$2428,13,FALSE)</f>
        <v>11</v>
      </c>
      <c r="N59" s="5">
        <f t="shared" si="0"/>
        <v>0</v>
      </c>
    </row>
    <row r="60" spans="1:14" x14ac:dyDescent="0.3">
      <c r="A60" s="14">
        <v>677</v>
      </c>
      <c r="B60" s="5" t="str">
        <f>VLOOKUP($A60,tropes!$A$4:$O$2428,2,FALSE)</f>
        <v>Captain's Log</v>
      </c>
      <c r="C60" s="5" t="str">
        <f>VLOOKUP($A60,tropes!$A$4:$O$2428,3,FALSE)</f>
        <v>exposition</v>
      </c>
      <c r="D60" s="5" t="str">
        <f>VLOOKUP($A60,tropes!$A$4:$O$2428,4,FALSE)</f>
        <v>log</v>
      </c>
      <c r="E60" s="5" t="str">
        <f>VLOOKUP($A60,tropes!$A$4:$O$2428,5,FALSE)</f>
        <v>Ship's Log-2 (Kirk): Stardate 3012.6. General Court-Martial convened. Mister Spock has again waived counsel and has entered a plea of guilty.</v>
      </c>
      <c r="F60" s="5" t="str">
        <f>VLOOKUP($A60,tropes!$A$4:$O$2428,6,FALSE)</f>
        <v>kirk</v>
      </c>
      <c r="G60" s="5">
        <f>VLOOKUP($A60,tropes!$A$4:$O$2428,7,FALSE)</f>
        <v>1</v>
      </c>
      <c r="H60" s="5">
        <f>VLOOKUP($A60,tropes!$A$4:$O$2428,8,FALSE)</f>
        <v>0</v>
      </c>
      <c r="I60" s="5">
        <f>VLOOKUP($A60,tropes!$A$4:$O$2428,9,FALSE)</f>
        <v>111</v>
      </c>
      <c r="J60" s="5">
        <f>VLOOKUP($A60,tropes!$A$4:$O$2428,10,FALSE)</f>
        <v>12</v>
      </c>
      <c r="K60" s="5" t="str">
        <f>VLOOKUP($A60,tropes!$A$4:$O$2428,11,FALSE)</f>
        <v>The Menagerie, Part I</v>
      </c>
      <c r="L60" s="5">
        <f>VLOOKUP($A60,tropes!$A$4:$O$2428,12,FALSE)</f>
        <v>1</v>
      </c>
      <c r="M60" s="5">
        <f>VLOOKUP($A60,tropes!$A$4:$O$2428,13,FALSE)</f>
        <v>11</v>
      </c>
      <c r="N60" s="5">
        <f t="shared" si="0"/>
        <v>1</v>
      </c>
    </row>
    <row r="61" spans="1:14" x14ac:dyDescent="0.3">
      <c r="A61" s="14">
        <v>678</v>
      </c>
      <c r="B61" s="5" t="str">
        <f>VLOOKUP($A61,tropes!$A$4:$O$2428,2,FALSE)</f>
        <v>Captain's Log</v>
      </c>
      <c r="C61" s="5" t="str">
        <f>VLOOKUP($A61,tropes!$A$4:$O$2428,3,FALSE)</f>
        <v>exposition</v>
      </c>
      <c r="D61" s="5" t="str">
        <f>VLOOKUP($A61,tropes!$A$4:$O$2428,4,FALSE)</f>
        <v>log</v>
      </c>
      <c r="E61" s="5" t="str">
        <f>VLOOKUP($A61,tropes!$A$4:$O$2428,5,FALSE)</f>
        <v>Ship's Log-3 (Kirk): supplemental. Mister Spock, on trial for mutiny, has forced the court to accept unusual evidence. On our monitor screen, the voyage of Captain Pike and the Enterprise to the one forbidden world in all the galaxy.</v>
      </c>
      <c r="F61" s="5" t="str">
        <f>VLOOKUP($A61,tropes!$A$4:$O$2428,6,FALSE)</f>
        <v>kirk</v>
      </c>
      <c r="G61" s="5">
        <f>VLOOKUP($A61,tropes!$A$4:$O$2428,7,FALSE)</f>
        <v>1</v>
      </c>
      <c r="H61" s="5">
        <f>VLOOKUP($A61,tropes!$A$4:$O$2428,8,FALSE)</f>
        <v>0</v>
      </c>
      <c r="I61" s="5">
        <f>VLOOKUP($A61,tropes!$A$4:$O$2428,9,FALSE)</f>
        <v>111</v>
      </c>
      <c r="J61" s="5">
        <f>VLOOKUP($A61,tropes!$A$4:$O$2428,10,FALSE)</f>
        <v>12</v>
      </c>
      <c r="K61" s="5" t="str">
        <f>VLOOKUP($A61,tropes!$A$4:$O$2428,11,FALSE)</f>
        <v>The Menagerie, Part I</v>
      </c>
      <c r="L61" s="5">
        <f>VLOOKUP($A61,tropes!$A$4:$O$2428,12,FALSE)</f>
        <v>1</v>
      </c>
      <c r="M61" s="5">
        <f>VLOOKUP($A61,tropes!$A$4:$O$2428,13,FALSE)</f>
        <v>11</v>
      </c>
      <c r="N61" s="5">
        <f t="shared" si="0"/>
        <v>2</v>
      </c>
    </row>
    <row r="62" spans="1:14" x14ac:dyDescent="0.3">
      <c r="A62" s="14">
        <v>682</v>
      </c>
      <c r="B62" s="5" t="str">
        <f>VLOOKUP($A62,tropes!$A$4:$O$2428,2,FALSE)</f>
        <v>Captain's Log</v>
      </c>
      <c r="C62" s="5" t="str">
        <f>VLOOKUP($A62,tropes!$A$4:$O$2428,3,FALSE)</f>
        <v>exposition</v>
      </c>
      <c r="D62" s="5" t="str">
        <f>VLOOKUP($A62,tropes!$A$4:$O$2428,4,FALSE)</f>
        <v>log</v>
      </c>
      <c r="E62" s="5" t="str">
        <f>VLOOKUP($A62,tropes!$A$4:$O$2428,5,FALSE)</f>
        <v>Ship's Log-1 (Kirk-personal): Stardate 3013.1. I find it hard to believe the events of the past twenty four hours or the plea of Mister Spock standing general court-martial.</v>
      </c>
      <c r="F62" s="5" t="str">
        <f>VLOOKUP($A62,tropes!$A$4:$O$2428,6,FALSE)</f>
        <v>kirk</v>
      </c>
      <c r="G62" s="5">
        <f>VLOOKUP($A62,tropes!$A$4:$O$2428,7,FALSE)</f>
        <v>1</v>
      </c>
      <c r="H62" s="5">
        <f>VLOOKUP($A62,tropes!$A$4:$O$2428,8,FALSE)</f>
        <v>0</v>
      </c>
      <c r="I62" s="5">
        <f>VLOOKUP($A62,tropes!$A$4:$O$2428,9,FALSE)</f>
        <v>112</v>
      </c>
      <c r="J62" s="5">
        <f>VLOOKUP($A62,tropes!$A$4:$O$2428,10,FALSE)</f>
        <v>13</v>
      </c>
      <c r="K62" s="5" t="str">
        <f>VLOOKUP($A62,tropes!$A$4:$O$2428,11,FALSE)</f>
        <v>The Menagerie, Part II</v>
      </c>
      <c r="L62" s="5">
        <f>VLOOKUP($A62,tropes!$A$4:$O$2428,12,FALSE)</f>
        <v>1</v>
      </c>
      <c r="M62" s="5">
        <f>VLOOKUP($A62,tropes!$A$4:$O$2428,13,FALSE)</f>
        <v>12</v>
      </c>
      <c r="N62" s="5">
        <f t="shared" si="0"/>
        <v>0</v>
      </c>
    </row>
    <row r="63" spans="1:14" x14ac:dyDescent="0.3">
      <c r="A63" s="14">
        <v>683</v>
      </c>
      <c r="B63" s="5" t="str">
        <f>VLOOKUP($A63,tropes!$A$4:$O$2428,2,FALSE)</f>
        <v>Captain's Log</v>
      </c>
      <c r="C63" s="5" t="str">
        <f>VLOOKUP($A63,tropes!$A$4:$O$2428,3,FALSE)</f>
        <v>exposition</v>
      </c>
      <c r="D63" s="5" t="str">
        <f>VLOOKUP($A63,tropes!$A$4:$O$2428,4,FALSE)</f>
        <v>log</v>
      </c>
      <c r="E63" s="5" t="str">
        <f>VLOOKUP($A63,tropes!$A$4:$O$2428,5,FALSE)</f>
        <v>Ship's Log-2 (Kirk-personal): Stardate 3013.2. Reconvening court-martial of Mister Spock and the strangest trial evidence ever heard aboard a starship. From the mysterious planet now only one hour ahead of us, the story of Captain Pikes imprisonment there.</v>
      </c>
      <c r="F63" s="5" t="str">
        <f>VLOOKUP($A63,tropes!$A$4:$O$2428,6,FALSE)</f>
        <v>kirk</v>
      </c>
      <c r="G63" s="5">
        <f>VLOOKUP($A63,tropes!$A$4:$O$2428,7,FALSE)</f>
        <v>1</v>
      </c>
      <c r="H63" s="5">
        <f>VLOOKUP($A63,tropes!$A$4:$O$2428,8,FALSE)</f>
        <v>0</v>
      </c>
      <c r="I63" s="5">
        <f>VLOOKUP($A63,tropes!$A$4:$O$2428,9,FALSE)</f>
        <v>112</v>
      </c>
      <c r="J63" s="5">
        <f>VLOOKUP($A63,tropes!$A$4:$O$2428,10,FALSE)</f>
        <v>13</v>
      </c>
      <c r="K63" s="5" t="str">
        <f>VLOOKUP($A63,tropes!$A$4:$O$2428,11,FALSE)</f>
        <v>The Menagerie, Part II</v>
      </c>
      <c r="L63" s="5">
        <f>VLOOKUP($A63,tropes!$A$4:$O$2428,12,FALSE)</f>
        <v>1</v>
      </c>
      <c r="M63" s="5">
        <f>VLOOKUP($A63,tropes!$A$4:$O$2428,13,FALSE)</f>
        <v>12</v>
      </c>
      <c r="N63" s="5">
        <f t="shared" si="0"/>
        <v>1</v>
      </c>
    </row>
    <row r="64" spans="1:14" x14ac:dyDescent="0.3">
      <c r="A64" s="14">
        <v>685</v>
      </c>
      <c r="B64" s="5" t="str">
        <f>VLOOKUP($A64,tropes!$A$4:$O$2428,2,FALSE)</f>
        <v>Captain's Log</v>
      </c>
      <c r="C64" s="5" t="str">
        <f>VLOOKUP($A64,tropes!$A$4:$O$2428,3,FALSE)</f>
        <v>exposition</v>
      </c>
      <c r="D64" s="5" t="str">
        <f>VLOOKUP($A64,tropes!$A$4:$O$2428,4,FALSE)</f>
        <v>log</v>
      </c>
      <c r="E64" s="5" t="str">
        <f>VLOOKUP($A64,tropes!$A$4:$O$2428,5,FALSE)</f>
        <v>Ship's Log-1 (Kirk): Stardate 2817.6. Starship Enterprise diverted from scheduled course. Purpose, to confirm discover by Doctor Thomas Leighton of an extraordinary new synthetic food which would totally end the threat of famine on Cygnia Minor, a nearby Earth colony.</v>
      </c>
      <c r="F64" s="5" t="str">
        <f>VLOOKUP($A64,tropes!$A$4:$O$2428,6,FALSE)</f>
        <v>kirk</v>
      </c>
      <c r="G64" s="5">
        <f>VLOOKUP($A64,tropes!$A$4:$O$2428,7,FALSE)</f>
        <v>1</v>
      </c>
      <c r="H64" s="5">
        <f>VLOOKUP($A64,tropes!$A$4:$O$2428,8,FALSE)</f>
        <v>0</v>
      </c>
      <c r="I64" s="5">
        <f>VLOOKUP($A64,tropes!$A$4:$O$2428,9,FALSE)</f>
        <v>113</v>
      </c>
      <c r="J64" s="5">
        <f>VLOOKUP($A64,tropes!$A$4:$O$2428,10,FALSE)</f>
        <v>14</v>
      </c>
      <c r="K64" s="5" t="str">
        <f>VLOOKUP($A64,tropes!$A$4:$O$2428,11,FALSE)</f>
        <v>The Conscience of the King</v>
      </c>
      <c r="L64" s="5">
        <f>VLOOKUP($A64,tropes!$A$4:$O$2428,12,FALSE)</f>
        <v>1</v>
      </c>
      <c r="M64" s="5">
        <f>VLOOKUP($A64,tropes!$A$4:$O$2428,13,FALSE)</f>
        <v>13</v>
      </c>
      <c r="N64" s="5">
        <f t="shared" si="0"/>
        <v>0</v>
      </c>
    </row>
    <row r="65" spans="1:14" x14ac:dyDescent="0.3">
      <c r="A65" s="14">
        <v>686</v>
      </c>
      <c r="B65" s="5" t="str">
        <f>VLOOKUP($A65,tropes!$A$4:$O$2428,2,FALSE)</f>
        <v>Captain's Log</v>
      </c>
      <c r="C65" s="5" t="str">
        <f>VLOOKUP($A65,tropes!$A$4:$O$2428,3,FALSE)</f>
        <v>exposition</v>
      </c>
      <c r="D65" s="5" t="str">
        <f>VLOOKUP($A65,tropes!$A$4:$O$2428,4,FALSE)</f>
        <v>log</v>
      </c>
      <c r="E65" s="5" t="str">
        <f>VLOOKUP($A65,tropes!$A$4:$O$2428,5,FALSE)</f>
        <v>Ship's Log-2 (Kirk): Stardate 2818.9. There are many questions in my mind, too many, perhaps, about the actor Karidian and his daughter. For personal reasons, I'm almost afraid to learn the answers.</v>
      </c>
      <c r="F65" s="5" t="str">
        <f>VLOOKUP($A65,tropes!$A$4:$O$2428,6,FALSE)</f>
        <v>kirk</v>
      </c>
      <c r="G65" s="5">
        <f>VLOOKUP($A65,tropes!$A$4:$O$2428,7,FALSE)</f>
        <v>1</v>
      </c>
      <c r="H65" s="5">
        <f>VLOOKUP($A65,tropes!$A$4:$O$2428,8,FALSE)</f>
        <v>0</v>
      </c>
      <c r="I65" s="5">
        <f>VLOOKUP($A65,tropes!$A$4:$O$2428,9,FALSE)</f>
        <v>113</v>
      </c>
      <c r="J65" s="5">
        <f>VLOOKUP($A65,tropes!$A$4:$O$2428,10,FALSE)</f>
        <v>14</v>
      </c>
      <c r="K65" s="5" t="str">
        <f>VLOOKUP($A65,tropes!$A$4:$O$2428,11,FALSE)</f>
        <v>The Conscience of the King</v>
      </c>
      <c r="L65" s="5">
        <f>VLOOKUP($A65,tropes!$A$4:$O$2428,12,FALSE)</f>
        <v>1</v>
      </c>
      <c r="M65" s="5">
        <f>VLOOKUP($A65,tropes!$A$4:$O$2428,13,FALSE)</f>
        <v>13</v>
      </c>
      <c r="N65" s="5">
        <f t="shared" si="0"/>
        <v>1</v>
      </c>
    </row>
    <row r="66" spans="1:14" x14ac:dyDescent="0.3">
      <c r="A66" s="14">
        <v>687</v>
      </c>
      <c r="B66" s="5" t="str">
        <f>VLOOKUP($A66,tropes!$A$4:$O$2428,2,FALSE)</f>
        <v>Captain's Log</v>
      </c>
      <c r="C66" s="5" t="str">
        <f>VLOOKUP($A66,tropes!$A$4:$O$2428,3,FALSE)</f>
        <v>exposition</v>
      </c>
      <c r="D66" s="5" t="str">
        <f>VLOOKUP($A66,tropes!$A$4:$O$2428,4,FALSE)</f>
        <v>log</v>
      </c>
      <c r="E66" s="5" t="str">
        <f>VLOOKUP($A66,tropes!$A$4:$O$2428,5,FALSE)</f>
        <v>Ship's Log-3 (Kirk): Stardate 2819.1. Ships officer Riley's condition worsening. Doctor McCoy making lab analysis to determine cause and antidote. Entire crew deeply concerned.</v>
      </c>
      <c r="F66" s="5" t="str">
        <f>VLOOKUP($A66,tropes!$A$4:$O$2428,6,FALSE)</f>
        <v>kirk</v>
      </c>
      <c r="G66" s="5">
        <f>VLOOKUP($A66,tropes!$A$4:$O$2428,7,FALSE)</f>
        <v>1</v>
      </c>
      <c r="H66" s="5">
        <f>VLOOKUP($A66,tropes!$A$4:$O$2428,8,FALSE)</f>
        <v>0</v>
      </c>
      <c r="I66" s="5">
        <f>VLOOKUP($A66,tropes!$A$4:$O$2428,9,FALSE)</f>
        <v>113</v>
      </c>
      <c r="J66" s="5">
        <f>VLOOKUP($A66,tropes!$A$4:$O$2428,10,FALSE)</f>
        <v>14</v>
      </c>
      <c r="K66" s="5" t="str">
        <f>VLOOKUP($A66,tropes!$A$4:$O$2428,11,FALSE)</f>
        <v>The Conscience of the King</v>
      </c>
      <c r="L66" s="5">
        <f>VLOOKUP($A66,tropes!$A$4:$O$2428,12,FALSE)</f>
        <v>1</v>
      </c>
      <c r="M66" s="5">
        <f>VLOOKUP($A66,tropes!$A$4:$O$2428,13,FALSE)</f>
        <v>13</v>
      </c>
      <c r="N66" s="5">
        <f t="shared" si="0"/>
        <v>2</v>
      </c>
    </row>
    <row r="67" spans="1:14" x14ac:dyDescent="0.3">
      <c r="A67" s="14">
        <v>1561</v>
      </c>
      <c r="B67" s="5" t="str">
        <f>VLOOKUP($A67,tropes!$A$4:$O$2428,2,FALSE)</f>
        <v>Captain's Log</v>
      </c>
      <c r="C67" s="5" t="str">
        <f>VLOOKUP($A67,tropes!$A$4:$O$2428,3,FALSE)</f>
        <v>exposition</v>
      </c>
      <c r="D67" s="5" t="str">
        <f>VLOOKUP($A67,tropes!$A$4:$O$2428,4,FALSE)</f>
        <v>log</v>
      </c>
      <c r="E67" s="5" t="str">
        <f>VLOOKUP($A67,tropes!$A$4:$O$2428,5,FALSE)</f>
        <v>Ship's Log-4 (McCoy-Medical): Lieutenant Riley's sufficiently recovered to be discharged, but the Captains ordered him restricted to Sickbay to prevent contact with the passenger who calls himself Karidian and who's suspected of being Kodos the Executioner and of murdering the Lieutenant's family.</v>
      </c>
      <c r="F67" s="5" t="str">
        <f>VLOOKUP($A67,tropes!$A$4:$O$2428,6,FALSE)</f>
        <v>mccoy</v>
      </c>
      <c r="G67" s="5">
        <f>VLOOKUP($A67,tropes!$A$4:$O$2428,7,FALSE)</f>
        <v>0</v>
      </c>
      <c r="H67" s="5">
        <f>VLOOKUP($A67,tropes!$A$4:$O$2428,8,FALSE)</f>
        <v>1</v>
      </c>
      <c r="I67" s="5">
        <f>VLOOKUP($A67,tropes!$A$4:$O$2428,9,FALSE)</f>
        <v>113</v>
      </c>
      <c r="J67" s="5">
        <f>VLOOKUP($A67,tropes!$A$4:$O$2428,10,FALSE)</f>
        <v>14</v>
      </c>
      <c r="K67" s="5" t="str">
        <f>VLOOKUP($A67,tropes!$A$4:$O$2428,11,FALSE)</f>
        <v>The Conscience of the King</v>
      </c>
      <c r="L67" s="5">
        <f>VLOOKUP($A67,tropes!$A$4:$O$2428,12,FALSE)</f>
        <v>1</v>
      </c>
      <c r="M67" s="5">
        <f>VLOOKUP($A67,tropes!$A$4:$O$2428,13,FALSE)</f>
        <v>13</v>
      </c>
      <c r="N67" s="5">
        <f t="shared" si="0"/>
        <v>3</v>
      </c>
    </row>
    <row r="68" spans="1:14" x14ac:dyDescent="0.3">
      <c r="A68" s="14">
        <v>688</v>
      </c>
      <c r="B68" s="5" t="str">
        <f>VLOOKUP($A68,tropes!$A$4:$O$2428,2,FALSE)</f>
        <v>Captain's Log</v>
      </c>
      <c r="C68" s="5" t="str">
        <f>VLOOKUP($A68,tropes!$A$4:$O$2428,3,FALSE)</f>
        <v>exposition</v>
      </c>
      <c r="D68" s="5" t="str">
        <f>VLOOKUP($A68,tropes!$A$4:$O$2428,4,FALSE)</f>
        <v>log</v>
      </c>
      <c r="E68" s="5" t="str">
        <f>VLOOKUP($A68,tropes!$A$4:$O$2428,5,FALSE)</f>
        <v>Ship's Log-5 (Kirk): Stardate 2819.8. Suspect under surveillance. Strategic areas under double guard. Performance of the Karidian Players taking place as scheduled.</v>
      </c>
      <c r="F68" s="5" t="str">
        <f>VLOOKUP($A68,tropes!$A$4:$O$2428,6,FALSE)</f>
        <v>kirk</v>
      </c>
      <c r="G68" s="5">
        <f>VLOOKUP($A68,tropes!$A$4:$O$2428,7,FALSE)</f>
        <v>1</v>
      </c>
      <c r="H68" s="5">
        <f>VLOOKUP($A68,tropes!$A$4:$O$2428,8,FALSE)</f>
        <v>0</v>
      </c>
      <c r="I68" s="5">
        <f>VLOOKUP($A68,tropes!$A$4:$O$2428,9,FALSE)</f>
        <v>113</v>
      </c>
      <c r="J68" s="5">
        <f>VLOOKUP($A68,tropes!$A$4:$O$2428,10,FALSE)</f>
        <v>14</v>
      </c>
      <c r="K68" s="5" t="str">
        <f>VLOOKUP($A68,tropes!$A$4:$O$2428,11,FALSE)</f>
        <v>The Conscience of the King</v>
      </c>
      <c r="L68" s="5">
        <f>VLOOKUP($A68,tropes!$A$4:$O$2428,12,FALSE)</f>
        <v>1</v>
      </c>
      <c r="M68" s="5">
        <f>VLOOKUP($A68,tropes!$A$4:$O$2428,13,FALSE)</f>
        <v>13</v>
      </c>
      <c r="N68" s="5">
        <f t="shared" ref="N68:N131" si="1">IF(I68&lt;&gt;I67,0,N67+1)</f>
        <v>4</v>
      </c>
    </row>
    <row r="69" spans="1:14" x14ac:dyDescent="0.3">
      <c r="A69" s="14">
        <v>512</v>
      </c>
      <c r="B69" s="5" t="str">
        <f>VLOOKUP($A69,tropes!$A$4:$O$2428,2,FALSE)</f>
        <v>Freudian Trio</v>
      </c>
      <c r="C69" s="5" t="str">
        <f>VLOOKUP($A69,tropes!$A$4:$O$2428,3,FALSE)</f>
        <v>exposition</v>
      </c>
      <c r="D69" s="5" t="str">
        <f>VLOOKUP($A69,tropes!$A$4:$O$2428,4,FALSE)</f>
        <v>freudian_trio</v>
      </c>
      <c r="E69" s="5" t="str">
        <f>VLOOKUP($A69,tropes!$A$4:$O$2428,5,FALSE)</f>
        <v>Kirk, Spock, and McCoy discuss the possibility that Karidian is Kodos the Executioner.</v>
      </c>
      <c r="F69" s="5" t="str">
        <f>VLOOKUP($A69,tropes!$A$4:$O$2428,6,FALSE)</f>
        <v>trio</v>
      </c>
      <c r="G69" s="5">
        <f>VLOOKUP($A69,tropes!$A$4:$O$2428,7,FALSE)</f>
        <v>1</v>
      </c>
      <c r="H69" s="5">
        <f>VLOOKUP($A69,tropes!$A$4:$O$2428,8,FALSE)</f>
        <v>0</v>
      </c>
      <c r="I69" s="5">
        <f>VLOOKUP($A69,tropes!$A$4:$O$2428,9,FALSE)</f>
        <v>113</v>
      </c>
      <c r="J69" s="5">
        <f>VLOOKUP($A69,tropes!$A$4:$O$2428,10,FALSE)</f>
        <v>14</v>
      </c>
      <c r="K69" s="5" t="str">
        <f>VLOOKUP($A69,tropes!$A$4:$O$2428,11,FALSE)</f>
        <v>The Conscience of the King</v>
      </c>
      <c r="L69" s="5">
        <f>VLOOKUP($A69,tropes!$A$4:$O$2428,12,FALSE)</f>
        <v>1</v>
      </c>
      <c r="M69" s="5">
        <f>VLOOKUP($A69,tropes!$A$4:$O$2428,13,FALSE)</f>
        <v>13</v>
      </c>
      <c r="N69" s="5">
        <f t="shared" si="1"/>
        <v>5</v>
      </c>
    </row>
    <row r="70" spans="1:14" x14ac:dyDescent="0.3">
      <c r="A70" s="14">
        <v>696</v>
      </c>
      <c r="B70" s="5" t="str">
        <f>VLOOKUP($A70,tropes!$A$4:$O$2428,2,FALSE)</f>
        <v>Captain's Log</v>
      </c>
      <c r="C70" s="5" t="str">
        <f>VLOOKUP($A70,tropes!$A$4:$O$2428,3,FALSE)</f>
        <v>exposition</v>
      </c>
      <c r="D70" s="5" t="str">
        <f>VLOOKUP($A70,tropes!$A$4:$O$2428,4,FALSE)</f>
        <v>log</v>
      </c>
      <c r="E70" s="5" t="str">
        <f>VLOOKUP($A70,tropes!$A$4:$O$2428,5,FALSE)</f>
        <v>Ship's Log-1 (Kirk): Stardate 1709.2. Patrolling outposts guarding the neutral zone between planets Romulus and Remus and the rest of the galaxy, received emergency call from outpost 4. The U.S.S. Enterprise is moving to investigate and assist.</v>
      </c>
      <c r="F70" s="5" t="str">
        <f>VLOOKUP($A70,tropes!$A$4:$O$2428,6,FALSE)</f>
        <v>kirk</v>
      </c>
      <c r="G70" s="5">
        <f>VLOOKUP($A70,tropes!$A$4:$O$2428,7,FALSE)</f>
        <v>1</v>
      </c>
      <c r="H70" s="5">
        <f>VLOOKUP($A70,tropes!$A$4:$O$2428,8,FALSE)</f>
        <v>0</v>
      </c>
      <c r="I70" s="5">
        <f>VLOOKUP($A70,tropes!$A$4:$O$2428,9,FALSE)</f>
        <v>114</v>
      </c>
      <c r="J70" s="5">
        <f>VLOOKUP($A70,tropes!$A$4:$O$2428,10,FALSE)</f>
        <v>15</v>
      </c>
      <c r="K70" s="5" t="str">
        <f>VLOOKUP($A70,tropes!$A$4:$O$2428,11,FALSE)</f>
        <v>Balance of Terror</v>
      </c>
      <c r="L70" s="5">
        <f>VLOOKUP($A70,tropes!$A$4:$O$2428,12,FALSE)</f>
        <v>1</v>
      </c>
      <c r="M70" s="5">
        <f>VLOOKUP($A70,tropes!$A$4:$O$2428,13,FALSE)</f>
        <v>14</v>
      </c>
      <c r="N70" s="5">
        <f t="shared" si="1"/>
        <v>0</v>
      </c>
    </row>
    <row r="71" spans="1:14" x14ac:dyDescent="0.3">
      <c r="A71" s="14">
        <v>697</v>
      </c>
      <c r="B71" s="5" t="str">
        <f>VLOOKUP($A71,tropes!$A$4:$O$2428,2,FALSE)</f>
        <v>Captain's Log</v>
      </c>
      <c r="C71" s="5" t="str">
        <f>VLOOKUP($A71,tropes!$A$4:$O$2428,3,FALSE)</f>
        <v>exposition</v>
      </c>
      <c r="D71" s="5" t="str">
        <f>VLOOKUP($A71,tropes!$A$4:$O$2428,4,FALSE)</f>
        <v>log</v>
      </c>
      <c r="E71" s="5" t="str">
        <f>VLOOKUP($A71,tropes!$A$4:$O$2428,5,FALSE)</f>
        <v>Ship's Log-2 (Kirk): Stardate 1709.6. We are at the Neutral Zone. Have lost contact with the intruder. No reaction on our motion sensors but believe the Romulan vessel to be somewhere close by; With all engines and systems shut down, the Enterprise is also playing the silent waiting game in hope of regaining contact.</v>
      </c>
      <c r="F71" s="5" t="str">
        <f>VLOOKUP($A71,tropes!$A$4:$O$2428,6,FALSE)</f>
        <v>kirk</v>
      </c>
      <c r="G71" s="5">
        <f>VLOOKUP($A71,tropes!$A$4:$O$2428,7,FALSE)</f>
        <v>1</v>
      </c>
      <c r="H71" s="5">
        <f>VLOOKUP($A71,tropes!$A$4:$O$2428,8,FALSE)</f>
        <v>0</v>
      </c>
      <c r="I71" s="5">
        <f>VLOOKUP($A71,tropes!$A$4:$O$2428,9,FALSE)</f>
        <v>114</v>
      </c>
      <c r="J71" s="5">
        <f>VLOOKUP($A71,tropes!$A$4:$O$2428,10,FALSE)</f>
        <v>15</v>
      </c>
      <c r="K71" s="5" t="str">
        <f>VLOOKUP($A71,tropes!$A$4:$O$2428,11,FALSE)</f>
        <v>Balance of Terror</v>
      </c>
      <c r="L71" s="5">
        <f>VLOOKUP($A71,tropes!$A$4:$O$2428,12,FALSE)</f>
        <v>1</v>
      </c>
      <c r="M71" s="5">
        <f>VLOOKUP($A71,tropes!$A$4:$O$2428,13,FALSE)</f>
        <v>14</v>
      </c>
      <c r="N71" s="5">
        <f t="shared" si="1"/>
        <v>1</v>
      </c>
    </row>
    <row r="72" spans="1:14" x14ac:dyDescent="0.3">
      <c r="A72" s="14">
        <v>698</v>
      </c>
      <c r="B72" s="5" t="str">
        <f>VLOOKUP($A72,tropes!$A$4:$O$2428,2,FALSE)</f>
        <v>Captain's Log</v>
      </c>
      <c r="C72" s="5" t="str">
        <f>VLOOKUP($A72,tropes!$A$4:$O$2428,3,FALSE)</f>
        <v>exposition</v>
      </c>
      <c r="D72" s="5" t="str">
        <f>VLOOKUP($A72,tropes!$A$4:$O$2428,4,FALSE)</f>
        <v>log</v>
      </c>
      <c r="E72" s="5" t="str">
        <f>VLOOKUP($A72,tropes!$A$4:$O$2428,5,FALSE)</f>
        <v>Ship's Log-3 (Kirk): supplemental. Now motionless for nine hours, forty seven minutes.</v>
      </c>
      <c r="F72" s="5" t="str">
        <f>VLOOKUP($A72,tropes!$A$4:$O$2428,6,FALSE)</f>
        <v>kirk</v>
      </c>
      <c r="G72" s="5">
        <f>VLOOKUP($A72,tropes!$A$4:$O$2428,7,FALSE)</f>
        <v>1</v>
      </c>
      <c r="H72" s="5">
        <f>VLOOKUP($A72,tropes!$A$4:$O$2428,8,FALSE)</f>
        <v>0</v>
      </c>
      <c r="I72" s="5">
        <f>VLOOKUP($A72,tropes!$A$4:$O$2428,9,FALSE)</f>
        <v>114</v>
      </c>
      <c r="J72" s="5">
        <f>VLOOKUP($A72,tropes!$A$4:$O$2428,10,FALSE)</f>
        <v>15</v>
      </c>
      <c r="K72" s="5" t="str">
        <f>VLOOKUP($A72,tropes!$A$4:$O$2428,11,FALSE)</f>
        <v>Balance of Terror</v>
      </c>
      <c r="L72" s="5">
        <f>VLOOKUP($A72,tropes!$A$4:$O$2428,12,FALSE)</f>
        <v>1</v>
      </c>
      <c r="M72" s="5">
        <f>VLOOKUP($A72,tropes!$A$4:$O$2428,13,FALSE)</f>
        <v>14</v>
      </c>
      <c r="N72" s="5">
        <f t="shared" si="1"/>
        <v>2</v>
      </c>
    </row>
    <row r="73" spans="1:14" x14ac:dyDescent="0.3">
      <c r="A73" s="14">
        <v>706</v>
      </c>
      <c r="B73" s="5" t="str">
        <f>VLOOKUP($A73,tropes!$A$4:$O$2428,2,FALSE)</f>
        <v>Captain's Log</v>
      </c>
      <c r="C73" s="5" t="str">
        <f>VLOOKUP($A73,tropes!$A$4:$O$2428,3,FALSE)</f>
        <v>exposition</v>
      </c>
      <c r="D73" s="5" t="str">
        <f>VLOOKUP($A73,tropes!$A$4:$O$2428,4,FALSE)</f>
        <v>log</v>
      </c>
      <c r="E73" s="5" t="str">
        <f>VLOOKUP($A73,tropes!$A$4:$O$2428,5,FALSE)</f>
        <v>Ship's Log-1 (Kirk): Stardate 3025 er, point 3. We are orbiting an uninhabited planet in the Omicron Delta region. A planet remarkably like Earth, or how we remember Earth to be. Park-like, beautiful, green, flowers, trees, green lawn, quiet and restful. Almost too good to be true.</v>
      </c>
      <c r="F73" s="5" t="str">
        <f>VLOOKUP($A73,tropes!$A$4:$O$2428,6,FALSE)</f>
        <v>kirk</v>
      </c>
      <c r="G73" s="5">
        <f>VLOOKUP($A73,tropes!$A$4:$O$2428,7,FALSE)</f>
        <v>1</v>
      </c>
      <c r="H73" s="5">
        <f>VLOOKUP($A73,tropes!$A$4:$O$2428,8,FALSE)</f>
        <v>0</v>
      </c>
      <c r="I73" s="5">
        <f>VLOOKUP($A73,tropes!$A$4:$O$2428,9,FALSE)</f>
        <v>115</v>
      </c>
      <c r="J73" s="5">
        <f>VLOOKUP($A73,tropes!$A$4:$O$2428,10,FALSE)</f>
        <v>16</v>
      </c>
      <c r="K73" s="5" t="str">
        <f>VLOOKUP($A73,tropes!$A$4:$O$2428,11,FALSE)</f>
        <v>Shore Leave</v>
      </c>
      <c r="L73" s="5">
        <f>VLOOKUP($A73,tropes!$A$4:$O$2428,12,FALSE)</f>
        <v>1</v>
      </c>
      <c r="M73" s="5">
        <f>VLOOKUP($A73,tropes!$A$4:$O$2428,13,FALSE)</f>
        <v>15</v>
      </c>
      <c r="N73" s="5">
        <f t="shared" si="1"/>
        <v>0</v>
      </c>
    </row>
    <row r="74" spans="1:14" x14ac:dyDescent="0.3">
      <c r="A74" s="14">
        <v>707</v>
      </c>
      <c r="B74" s="5" t="str">
        <f>VLOOKUP($A74,tropes!$A$4:$O$2428,2,FALSE)</f>
        <v>Captain's Log</v>
      </c>
      <c r="C74" s="5" t="str">
        <f>VLOOKUP($A74,tropes!$A$4:$O$2428,3,FALSE)</f>
        <v>exposition</v>
      </c>
      <c r="D74" s="5" t="str">
        <f>VLOOKUP($A74,tropes!$A$4:$O$2428,4,FALSE)</f>
        <v>log</v>
      </c>
      <c r="E74" s="5" t="str">
        <f>VLOOKUP($A74,tropes!$A$4:$O$2428,5,FALSE)</f>
        <v>Ship's Log-2 (Kirk): Stardate 3025.8. Investigation of this increasingly unusual planet continues, and we are seeing things that cannot possibly exist, yet they are undeniably real.</v>
      </c>
      <c r="F74" s="5" t="str">
        <f>VLOOKUP($A74,tropes!$A$4:$O$2428,6,FALSE)</f>
        <v>kirk</v>
      </c>
      <c r="G74" s="5">
        <f>VLOOKUP($A74,tropes!$A$4:$O$2428,7,FALSE)</f>
        <v>1</v>
      </c>
      <c r="H74" s="5">
        <f>VLOOKUP($A74,tropes!$A$4:$O$2428,8,FALSE)</f>
        <v>0</v>
      </c>
      <c r="I74" s="5">
        <f>VLOOKUP($A74,tropes!$A$4:$O$2428,9,FALSE)</f>
        <v>115</v>
      </c>
      <c r="J74" s="5">
        <f>VLOOKUP($A74,tropes!$A$4:$O$2428,10,FALSE)</f>
        <v>16</v>
      </c>
      <c r="K74" s="5" t="str">
        <f>VLOOKUP($A74,tropes!$A$4:$O$2428,11,FALSE)</f>
        <v>Shore Leave</v>
      </c>
      <c r="L74" s="5">
        <f>VLOOKUP($A74,tropes!$A$4:$O$2428,12,FALSE)</f>
        <v>1</v>
      </c>
      <c r="M74" s="5">
        <f>VLOOKUP($A74,tropes!$A$4:$O$2428,13,FALSE)</f>
        <v>15</v>
      </c>
      <c r="N74" s="5">
        <f t="shared" si="1"/>
        <v>1</v>
      </c>
    </row>
    <row r="75" spans="1:14" x14ac:dyDescent="0.3">
      <c r="A75" s="14">
        <v>708</v>
      </c>
      <c r="B75" s="5" t="str">
        <f>VLOOKUP($A75,tropes!$A$4:$O$2428,2,FALSE)</f>
        <v>Captain's Log</v>
      </c>
      <c r="C75" s="5" t="str">
        <f>VLOOKUP($A75,tropes!$A$4:$O$2428,3,FALSE)</f>
        <v>exposition</v>
      </c>
      <c r="D75" s="5" t="str">
        <f>VLOOKUP($A75,tropes!$A$4:$O$2428,4,FALSE)</f>
        <v>log</v>
      </c>
      <c r="E75" s="5" t="str">
        <f>VLOOKUP($A75,tropes!$A$4:$O$2428,5,FALSE)</f>
        <v>Ship's Log-3 (Kirk): supplemental. All contact with the Enterprise has been lost. We're trapped here. Our ships surgeon, my personal friend, is dead. We're certain now that whatever were facing is terribly real.</v>
      </c>
      <c r="F75" s="5" t="str">
        <f>VLOOKUP($A75,tropes!$A$4:$O$2428,6,FALSE)</f>
        <v>kirk</v>
      </c>
      <c r="G75" s="5">
        <f>VLOOKUP($A75,tropes!$A$4:$O$2428,7,FALSE)</f>
        <v>1</v>
      </c>
      <c r="H75" s="5">
        <f>VLOOKUP($A75,tropes!$A$4:$O$2428,8,FALSE)</f>
        <v>0</v>
      </c>
      <c r="I75" s="5">
        <f>VLOOKUP($A75,tropes!$A$4:$O$2428,9,FALSE)</f>
        <v>115</v>
      </c>
      <c r="J75" s="5">
        <f>VLOOKUP($A75,tropes!$A$4:$O$2428,10,FALSE)</f>
        <v>16</v>
      </c>
      <c r="K75" s="5" t="str">
        <f>VLOOKUP($A75,tropes!$A$4:$O$2428,11,FALSE)</f>
        <v>Shore Leave</v>
      </c>
      <c r="L75" s="5">
        <f>VLOOKUP($A75,tropes!$A$4:$O$2428,12,FALSE)</f>
        <v>1</v>
      </c>
      <c r="M75" s="5">
        <f>VLOOKUP($A75,tropes!$A$4:$O$2428,13,FALSE)</f>
        <v>15</v>
      </c>
      <c r="N75" s="5">
        <f t="shared" si="1"/>
        <v>2</v>
      </c>
    </row>
    <row r="76" spans="1:14" x14ac:dyDescent="0.3">
      <c r="A76" s="14">
        <v>513</v>
      </c>
      <c r="B76" s="5" t="str">
        <f>VLOOKUP($A76,tropes!$A$4:$O$2428,2,FALSE)</f>
        <v>Freudian Trio</v>
      </c>
      <c r="C76" s="5" t="str">
        <f>VLOOKUP($A76,tropes!$A$4:$O$2428,3,FALSE)</f>
        <v>exposition</v>
      </c>
      <c r="D76" s="5" t="str">
        <f>VLOOKUP($A76,tropes!$A$4:$O$2428,4,FALSE)</f>
        <v>freudian_trio</v>
      </c>
      <c r="E76" s="5" t="str">
        <f>VLOOKUP($A76,tropes!$A$4:$O$2428,5,FALSE)</f>
        <v>Kirk, Spock, and McCoy discuss the fantastic situation.</v>
      </c>
      <c r="F76" s="5" t="str">
        <f>VLOOKUP($A76,tropes!$A$4:$O$2428,6,FALSE)</f>
        <v>trio</v>
      </c>
      <c r="G76" s="5">
        <f>VLOOKUP($A76,tropes!$A$4:$O$2428,7,FALSE)</f>
        <v>1</v>
      </c>
      <c r="H76" s="5">
        <f>VLOOKUP($A76,tropes!$A$4:$O$2428,8,FALSE)</f>
        <v>0</v>
      </c>
      <c r="I76" s="5">
        <f>VLOOKUP($A76,tropes!$A$4:$O$2428,9,FALSE)</f>
        <v>115</v>
      </c>
      <c r="J76" s="5">
        <f>VLOOKUP($A76,tropes!$A$4:$O$2428,10,FALSE)</f>
        <v>16</v>
      </c>
      <c r="K76" s="5" t="str">
        <f>VLOOKUP($A76,tropes!$A$4:$O$2428,11,FALSE)</f>
        <v>Shore Leave</v>
      </c>
      <c r="L76" s="5">
        <f>VLOOKUP($A76,tropes!$A$4:$O$2428,12,FALSE)</f>
        <v>1</v>
      </c>
      <c r="M76" s="5">
        <f>VLOOKUP($A76,tropes!$A$4:$O$2428,13,FALSE)</f>
        <v>15</v>
      </c>
      <c r="N76" s="5">
        <f t="shared" si="1"/>
        <v>3</v>
      </c>
    </row>
    <row r="77" spans="1:14" x14ac:dyDescent="0.3">
      <c r="A77" s="14">
        <v>721</v>
      </c>
      <c r="B77" s="5" t="str">
        <f>VLOOKUP($A77,tropes!$A$4:$O$2428,2,FALSE)</f>
        <v>Captain's Log</v>
      </c>
      <c r="C77" s="5" t="str">
        <f>VLOOKUP($A77,tropes!$A$4:$O$2428,3,FALSE)</f>
        <v>exposition</v>
      </c>
      <c r="D77" s="5" t="str">
        <f>VLOOKUP($A77,tropes!$A$4:$O$2428,4,FALSE)</f>
        <v>log</v>
      </c>
      <c r="E77" s="5" t="str">
        <f>VLOOKUP($A77,tropes!$A$4:$O$2428,5,FALSE)</f>
        <v>Ship's Log-1 (Kirk): Stardate 2821.5. On route to Makus Three with a cargo of medical supplies. Our course leads us past Murasaki 312, a quasar-like formation, vague, undefined. A priceless opportunity for scientific investigation. On board is Galactic High Commissioner Ferris, overseeing the deliver of the medicines to Makus Three.</v>
      </c>
      <c r="F77" s="5" t="str">
        <f>VLOOKUP($A77,tropes!$A$4:$O$2428,6,FALSE)</f>
        <v>kirk</v>
      </c>
      <c r="G77" s="5">
        <f>VLOOKUP($A77,tropes!$A$4:$O$2428,7,FALSE)</f>
        <v>1</v>
      </c>
      <c r="H77" s="5">
        <f>VLOOKUP($A77,tropes!$A$4:$O$2428,8,FALSE)</f>
        <v>0</v>
      </c>
      <c r="I77" s="5">
        <f>VLOOKUP($A77,tropes!$A$4:$O$2428,9,FALSE)</f>
        <v>116</v>
      </c>
      <c r="J77" s="5">
        <f>VLOOKUP($A77,tropes!$A$4:$O$2428,10,FALSE)</f>
        <v>17</v>
      </c>
      <c r="K77" s="5" t="str">
        <f>VLOOKUP($A77,tropes!$A$4:$O$2428,11,FALSE)</f>
        <v>The Galileo Seven</v>
      </c>
      <c r="L77" s="5">
        <f>VLOOKUP($A77,tropes!$A$4:$O$2428,12,FALSE)</f>
        <v>1</v>
      </c>
      <c r="M77" s="5">
        <f>VLOOKUP($A77,tropes!$A$4:$O$2428,13,FALSE)</f>
        <v>16</v>
      </c>
      <c r="N77" s="5">
        <f t="shared" si="1"/>
        <v>0</v>
      </c>
    </row>
    <row r="78" spans="1:14" x14ac:dyDescent="0.3">
      <c r="A78" s="14">
        <v>722</v>
      </c>
      <c r="B78" s="5" t="str">
        <f>VLOOKUP($A78,tropes!$A$4:$O$2428,2,FALSE)</f>
        <v>Captain's Log</v>
      </c>
      <c r="C78" s="5" t="str">
        <f>VLOOKUP($A78,tropes!$A$4:$O$2428,3,FALSE)</f>
        <v>exposition</v>
      </c>
      <c r="D78" s="5" t="str">
        <f>VLOOKUP($A78,tropes!$A$4:$O$2428,4,FALSE)</f>
        <v>log</v>
      </c>
      <c r="E78" s="5" t="str">
        <f>VLOOKUP($A78,tropes!$A$4:$O$2428,5,FALSE)</f>
        <v>Ship's Log-2 (Kirk): Stardate 2821.7. The electromagnetic phenomenon known as Murasaki Three Twelve whirls like some angry blight in space, a depressive reminder that seven shipmates still have not been heard from. Equally bad, the effect has rendered our normal searching systems useless. Without them, we are blind and almost helpless.</v>
      </c>
      <c r="F78" s="5" t="str">
        <f>VLOOKUP($A78,tropes!$A$4:$O$2428,6,FALSE)</f>
        <v>kirk</v>
      </c>
      <c r="G78" s="5">
        <f>VLOOKUP($A78,tropes!$A$4:$O$2428,7,FALSE)</f>
        <v>1</v>
      </c>
      <c r="H78" s="5">
        <f>VLOOKUP($A78,tropes!$A$4:$O$2428,8,FALSE)</f>
        <v>0</v>
      </c>
      <c r="I78" s="5">
        <f>VLOOKUP($A78,tropes!$A$4:$O$2428,9,FALSE)</f>
        <v>116</v>
      </c>
      <c r="J78" s="5">
        <f>VLOOKUP($A78,tropes!$A$4:$O$2428,10,FALSE)</f>
        <v>17</v>
      </c>
      <c r="K78" s="5" t="str">
        <f>VLOOKUP($A78,tropes!$A$4:$O$2428,11,FALSE)</f>
        <v>The Galileo Seven</v>
      </c>
      <c r="L78" s="5">
        <f>VLOOKUP($A78,tropes!$A$4:$O$2428,12,FALSE)</f>
        <v>1</v>
      </c>
      <c r="M78" s="5">
        <f>VLOOKUP($A78,tropes!$A$4:$O$2428,13,FALSE)</f>
        <v>16</v>
      </c>
      <c r="N78" s="5">
        <f t="shared" si="1"/>
        <v>1</v>
      </c>
    </row>
    <row r="79" spans="1:14" x14ac:dyDescent="0.3">
      <c r="A79" s="14">
        <v>723</v>
      </c>
      <c r="B79" s="5" t="str">
        <f>VLOOKUP($A79,tropes!$A$4:$O$2428,2,FALSE)</f>
        <v>Captain's Log</v>
      </c>
      <c r="C79" s="5" t="str">
        <f>VLOOKUP($A79,tropes!$A$4:$O$2428,3,FALSE)</f>
        <v>exposition</v>
      </c>
      <c r="D79" s="5" t="str">
        <f>VLOOKUP($A79,tropes!$A$4:$O$2428,4,FALSE)</f>
        <v>log</v>
      </c>
      <c r="E79" s="5" t="str">
        <f>VLOOKUP($A79,tropes!$A$4:$O$2428,5,FALSE)</f>
        <v>Ship's Log-3 (Kirk): Stardate 2822.3. We continue to search, but I find it more difficult each moment to ward off a sense of utter futility and great loss.</v>
      </c>
      <c r="F79" s="5" t="str">
        <f>VLOOKUP($A79,tropes!$A$4:$O$2428,6,FALSE)</f>
        <v>kirk</v>
      </c>
      <c r="G79" s="5">
        <f>VLOOKUP($A79,tropes!$A$4:$O$2428,7,FALSE)</f>
        <v>1</v>
      </c>
      <c r="H79" s="5">
        <f>VLOOKUP($A79,tropes!$A$4:$O$2428,8,FALSE)</f>
        <v>0</v>
      </c>
      <c r="I79" s="5">
        <f>VLOOKUP($A79,tropes!$A$4:$O$2428,9,FALSE)</f>
        <v>116</v>
      </c>
      <c r="J79" s="5">
        <f>VLOOKUP($A79,tropes!$A$4:$O$2428,10,FALSE)</f>
        <v>17</v>
      </c>
      <c r="K79" s="5" t="str">
        <f>VLOOKUP($A79,tropes!$A$4:$O$2428,11,FALSE)</f>
        <v>The Galileo Seven</v>
      </c>
      <c r="L79" s="5">
        <f>VLOOKUP($A79,tropes!$A$4:$O$2428,12,FALSE)</f>
        <v>1</v>
      </c>
      <c r="M79" s="5">
        <f>VLOOKUP($A79,tropes!$A$4:$O$2428,13,FALSE)</f>
        <v>16</v>
      </c>
      <c r="N79" s="5">
        <f t="shared" si="1"/>
        <v>2</v>
      </c>
    </row>
    <row r="80" spans="1:14" x14ac:dyDescent="0.3">
      <c r="A80" s="14">
        <v>724</v>
      </c>
      <c r="B80" s="5" t="str">
        <f>VLOOKUP($A80,tropes!$A$4:$O$2428,2,FALSE)</f>
        <v>Captain's Log</v>
      </c>
      <c r="C80" s="5" t="str">
        <f>VLOOKUP($A80,tropes!$A$4:$O$2428,3,FALSE)</f>
        <v>exposition</v>
      </c>
      <c r="D80" s="5" t="str">
        <f>VLOOKUP($A80,tropes!$A$4:$O$2428,4,FALSE)</f>
        <v>log</v>
      </c>
      <c r="E80" s="5" t="str">
        <f>VLOOKUP($A80,tropes!$A$4:$O$2428,5,FALSE)</f>
        <v>Ship's Log-4 (Kirk): Stardate 2823.1. Our landing parties are on the surface of Taurus Two. We continue to hope. Instruments are slowly returning to an operable condition as the ion storm slowly disperses. On the ship, we can only wait helplessly.</v>
      </c>
      <c r="F80" s="5" t="str">
        <f>VLOOKUP($A80,tropes!$A$4:$O$2428,6,FALSE)</f>
        <v>kirk</v>
      </c>
      <c r="G80" s="5">
        <f>VLOOKUP($A80,tropes!$A$4:$O$2428,7,FALSE)</f>
        <v>1</v>
      </c>
      <c r="H80" s="5">
        <f>VLOOKUP($A80,tropes!$A$4:$O$2428,8,FALSE)</f>
        <v>0</v>
      </c>
      <c r="I80" s="5">
        <f>VLOOKUP($A80,tropes!$A$4:$O$2428,9,FALSE)</f>
        <v>116</v>
      </c>
      <c r="J80" s="5">
        <f>VLOOKUP($A80,tropes!$A$4:$O$2428,10,FALSE)</f>
        <v>17</v>
      </c>
      <c r="K80" s="5" t="str">
        <f>VLOOKUP($A80,tropes!$A$4:$O$2428,11,FALSE)</f>
        <v>The Galileo Seven</v>
      </c>
      <c r="L80" s="5">
        <f>VLOOKUP($A80,tropes!$A$4:$O$2428,12,FALSE)</f>
        <v>1</v>
      </c>
      <c r="M80" s="5">
        <f>VLOOKUP($A80,tropes!$A$4:$O$2428,13,FALSE)</f>
        <v>16</v>
      </c>
      <c r="N80" s="5">
        <f t="shared" si="1"/>
        <v>3</v>
      </c>
    </row>
    <row r="81" spans="1:14" x14ac:dyDescent="0.3">
      <c r="A81" s="14">
        <v>725</v>
      </c>
      <c r="B81" s="5" t="str">
        <f>VLOOKUP($A81,tropes!$A$4:$O$2428,2,FALSE)</f>
        <v>Captain's Log</v>
      </c>
      <c r="C81" s="5" t="str">
        <f>VLOOKUP($A81,tropes!$A$4:$O$2428,3,FALSE)</f>
        <v>exposition</v>
      </c>
      <c r="D81" s="5" t="str">
        <f>VLOOKUP($A81,tropes!$A$4:$O$2428,4,FALSE)</f>
        <v>log</v>
      </c>
      <c r="E81" s="5" t="str">
        <f>VLOOKUP($A81,tropes!$A$4:$O$2428,5,FALSE)</f>
        <v>Ship's Log-5 (Kirk): supplement. The search parties have returned to the ship, and the Columbus is on its way back. I have been compelled to abandon the search.</v>
      </c>
      <c r="F81" s="5" t="str">
        <f>VLOOKUP($A81,tropes!$A$4:$O$2428,6,FALSE)</f>
        <v>kirk</v>
      </c>
      <c r="G81" s="5">
        <f>VLOOKUP($A81,tropes!$A$4:$O$2428,7,FALSE)</f>
        <v>1</v>
      </c>
      <c r="H81" s="5">
        <f>VLOOKUP($A81,tropes!$A$4:$O$2428,8,FALSE)</f>
        <v>0</v>
      </c>
      <c r="I81" s="5">
        <f>VLOOKUP($A81,tropes!$A$4:$O$2428,9,FALSE)</f>
        <v>116</v>
      </c>
      <c r="J81" s="5">
        <f>VLOOKUP($A81,tropes!$A$4:$O$2428,10,FALSE)</f>
        <v>17</v>
      </c>
      <c r="K81" s="5" t="str">
        <f>VLOOKUP($A81,tropes!$A$4:$O$2428,11,FALSE)</f>
        <v>The Galileo Seven</v>
      </c>
      <c r="L81" s="5">
        <f>VLOOKUP($A81,tropes!$A$4:$O$2428,12,FALSE)</f>
        <v>1</v>
      </c>
      <c r="M81" s="5">
        <f>VLOOKUP($A81,tropes!$A$4:$O$2428,13,FALSE)</f>
        <v>16</v>
      </c>
      <c r="N81" s="5">
        <f t="shared" si="1"/>
        <v>4</v>
      </c>
    </row>
    <row r="82" spans="1:14" x14ac:dyDescent="0.3">
      <c r="A82" s="14">
        <v>2099</v>
      </c>
      <c r="B82" s="5" t="str">
        <f>VLOOKUP($A82,tropes!$A$4:$O$2428,2,FALSE)</f>
        <v>Captain's Log</v>
      </c>
      <c r="C82" s="5" t="str">
        <f>VLOOKUP($A82,tropes!$A$4:$O$2428,3,FALSE)</f>
        <v>exposition</v>
      </c>
      <c r="D82" s="5" t="str">
        <f>VLOOKUP($A82,tropes!$A$4:$O$2428,4,FALSE)</f>
        <v>log</v>
      </c>
      <c r="E82" s="5" t="str">
        <f>VLOOKUP($A82,tropes!$A$4:$O$2428,5,FALSE)</f>
        <v>Ship's Log-1 (Spock): Stardate 2124.5. First Officer Spock reporting for Captain James Kirk. We are orbiting the lone unrecorded planet in the star desert. For four hours, we have made every possible instrument sweep, but Captain Kirk and Helmsman Sulu remain unaccounted for. I have placed the ship on red alert.</v>
      </c>
      <c r="F82" s="5" t="str">
        <f>VLOOKUP($A82,tropes!$A$4:$O$2428,6,FALSE)</f>
        <v>spock</v>
      </c>
      <c r="G82" s="5">
        <f>VLOOKUP($A82,tropes!$A$4:$O$2428,7,FALSE)</f>
        <v>1</v>
      </c>
      <c r="H82" s="5">
        <f>VLOOKUP($A82,tropes!$A$4:$O$2428,8,FALSE)</f>
        <v>0</v>
      </c>
      <c r="I82" s="5">
        <f>VLOOKUP($A82,tropes!$A$4:$O$2428,9,FALSE)</f>
        <v>117</v>
      </c>
      <c r="J82" s="5">
        <f>VLOOKUP($A82,tropes!$A$4:$O$2428,10,FALSE)</f>
        <v>18</v>
      </c>
      <c r="K82" s="5" t="str">
        <f>VLOOKUP($A82,tropes!$A$4:$O$2428,11,FALSE)</f>
        <v>The Squire of Gothos</v>
      </c>
      <c r="L82" s="5">
        <f>VLOOKUP($A82,tropes!$A$4:$O$2428,12,FALSE)</f>
        <v>1</v>
      </c>
      <c r="M82" s="5">
        <f>VLOOKUP($A82,tropes!$A$4:$O$2428,13,FALSE)</f>
        <v>17</v>
      </c>
      <c r="N82" s="5">
        <f t="shared" si="1"/>
        <v>0</v>
      </c>
    </row>
    <row r="83" spans="1:14" x14ac:dyDescent="0.3">
      <c r="A83" s="14">
        <v>730</v>
      </c>
      <c r="B83" s="5" t="str">
        <f>VLOOKUP($A83,tropes!$A$4:$O$2428,2,FALSE)</f>
        <v>Captain's Log</v>
      </c>
      <c r="C83" s="5" t="str">
        <f>VLOOKUP($A83,tropes!$A$4:$O$2428,3,FALSE)</f>
        <v>exposition</v>
      </c>
      <c r="D83" s="5" t="str">
        <f>VLOOKUP($A83,tropes!$A$4:$O$2428,4,FALSE)</f>
        <v>log</v>
      </c>
      <c r="E83" s="5" t="str">
        <f>VLOOKUP($A83,tropes!$A$4:$O$2428,5,FALSE)</f>
        <v>Ship's Log-2 (Kirk): Stardate 2126.1. Delayed report. The whole bridge crew are the unwilling guests of the creature who calls himself Trelane. We are weaponless, powerless, and our only hope of escape with the Enterprise lies in playing his games. I've decided to make my move with the field of honor game, and everything depends on my one chance with the ancient dueling pistol.</v>
      </c>
      <c r="F83" s="5" t="str">
        <f>VLOOKUP($A83,tropes!$A$4:$O$2428,6,FALSE)</f>
        <v>kirk</v>
      </c>
      <c r="G83" s="5">
        <f>VLOOKUP($A83,tropes!$A$4:$O$2428,7,FALSE)</f>
        <v>1</v>
      </c>
      <c r="H83" s="5">
        <f>VLOOKUP($A83,tropes!$A$4:$O$2428,8,FALSE)</f>
        <v>0</v>
      </c>
      <c r="I83" s="5">
        <f>VLOOKUP($A83,tropes!$A$4:$O$2428,9,FALSE)</f>
        <v>117</v>
      </c>
      <c r="J83" s="5">
        <f>VLOOKUP($A83,tropes!$A$4:$O$2428,10,FALSE)</f>
        <v>18</v>
      </c>
      <c r="K83" s="5" t="str">
        <f>VLOOKUP($A83,tropes!$A$4:$O$2428,11,FALSE)</f>
        <v>The Squire of Gothos</v>
      </c>
      <c r="L83" s="5">
        <f>VLOOKUP($A83,tropes!$A$4:$O$2428,12,FALSE)</f>
        <v>1</v>
      </c>
      <c r="M83" s="5">
        <f>VLOOKUP($A83,tropes!$A$4:$O$2428,13,FALSE)</f>
        <v>17</v>
      </c>
      <c r="N83" s="5">
        <f t="shared" si="1"/>
        <v>1</v>
      </c>
    </row>
    <row r="84" spans="1:14" x14ac:dyDescent="0.3">
      <c r="A84" s="14">
        <v>2100</v>
      </c>
      <c r="B84" s="5" t="str">
        <f>VLOOKUP($A84,tropes!$A$4:$O$2428,2,FALSE)</f>
        <v>Captain's Log</v>
      </c>
      <c r="C84" s="5" t="str">
        <f>VLOOKUP($A84,tropes!$A$4:$O$2428,3,FALSE)</f>
        <v>exposition</v>
      </c>
      <c r="D84" s="5" t="str">
        <f>VLOOKUP($A84,tropes!$A$4:$O$2428,4,FALSE)</f>
        <v>log</v>
      </c>
      <c r="E84" s="5" t="str">
        <f>VLOOKUP($A84,tropes!$A$4:$O$2428,5,FALSE)</f>
        <v>Ship's Log-2 (Spock): Stardate 2125.7. Science Officer Spock reporting for Captain Kirk. We have completed fourteenth orbit of this planet without establishing contact with our missing officers or the parties sent to find them. Subspace communications remain blocked. However, by diverting impulse power to our sensors, we have made them operable, and we have detected one small area on the surface which seems relatively stable.</v>
      </c>
      <c r="F84" s="5" t="str">
        <f>VLOOKUP($A84,tropes!$A$4:$O$2428,6,FALSE)</f>
        <v>spock</v>
      </c>
      <c r="G84" s="5">
        <f>VLOOKUP($A84,tropes!$A$4:$O$2428,7,FALSE)</f>
        <v>1</v>
      </c>
      <c r="H84" s="5">
        <f>VLOOKUP($A84,tropes!$A$4:$O$2428,8,FALSE)</f>
        <v>0</v>
      </c>
      <c r="I84" s="5">
        <f>VLOOKUP($A84,tropes!$A$4:$O$2428,9,FALSE)</f>
        <v>117</v>
      </c>
      <c r="J84" s="5">
        <f>VLOOKUP($A84,tropes!$A$4:$O$2428,10,FALSE)</f>
        <v>18</v>
      </c>
      <c r="K84" s="5" t="str">
        <f>VLOOKUP($A84,tropes!$A$4:$O$2428,11,FALSE)</f>
        <v>The Squire of Gothos</v>
      </c>
      <c r="L84" s="5">
        <f>VLOOKUP($A84,tropes!$A$4:$O$2428,12,FALSE)</f>
        <v>1</v>
      </c>
      <c r="M84" s="5">
        <f>VLOOKUP($A84,tropes!$A$4:$O$2428,13,FALSE)</f>
        <v>17</v>
      </c>
      <c r="N84" s="5">
        <f t="shared" si="1"/>
        <v>2</v>
      </c>
    </row>
    <row r="85" spans="1:14" x14ac:dyDescent="0.3">
      <c r="A85" s="14">
        <v>2101</v>
      </c>
      <c r="B85" s="5" t="str">
        <f>VLOOKUP($A85,tropes!$A$4:$O$2428,2,FALSE)</f>
        <v>Captain's Log</v>
      </c>
      <c r="C85" s="5" t="str">
        <f>VLOOKUP($A85,tropes!$A$4:$O$2428,3,FALSE)</f>
        <v>exposition</v>
      </c>
      <c r="D85" s="5" t="str">
        <f>VLOOKUP($A85,tropes!$A$4:$O$2428,4,FALSE)</f>
        <v>log</v>
      </c>
      <c r="E85" s="5" t="str">
        <f>VLOOKUP($A85,tropes!$A$4:$O$2428,5,FALSE)</f>
        <v>Ship's Log-3 (Spock): Stardate 2126.3. First Officer Spock reporting. Still no word from Captain Kirk on the surface below us. Waiting time is almost up. I will soon be forced to attempt departure as per instructions.</v>
      </c>
      <c r="F85" s="5" t="str">
        <f>VLOOKUP($A85,tropes!$A$4:$O$2428,6,FALSE)</f>
        <v>spock</v>
      </c>
      <c r="G85" s="5">
        <f>VLOOKUP($A85,tropes!$A$4:$O$2428,7,FALSE)</f>
        <v>1</v>
      </c>
      <c r="H85" s="5">
        <f>VLOOKUP($A85,tropes!$A$4:$O$2428,8,FALSE)</f>
        <v>0</v>
      </c>
      <c r="I85" s="5">
        <f>VLOOKUP($A85,tropes!$A$4:$O$2428,9,FALSE)</f>
        <v>117</v>
      </c>
      <c r="J85" s="5">
        <f>VLOOKUP($A85,tropes!$A$4:$O$2428,10,FALSE)</f>
        <v>18</v>
      </c>
      <c r="K85" s="5" t="str">
        <f>VLOOKUP($A85,tropes!$A$4:$O$2428,11,FALSE)</f>
        <v>The Squire of Gothos</v>
      </c>
      <c r="L85" s="5">
        <f>VLOOKUP($A85,tropes!$A$4:$O$2428,12,FALSE)</f>
        <v>1</v>
      </c>
      <c r="M85" s="5">
        <f>VLOOKUP($A85,tropes!$A$4:$O$2428,13,FALSE)</f>
        <v>17</v>
      </c>
      <c r="N85" s="5">
        <f t="shared" si="1"/>
        <v>3</v>
      </c>
    </row>
    <row r="86" spans="1:14" x14ac:dyDescent="0.3">
      <c r="A86" s="14">
        <v>740</v>
      </c>
      <c r="B86" s="5" t="str">
        <f>VLOOKUP($A86,tropes!$A$4:$O$2428,2,FALSE)</f>
        <v>The 'Reason You Suck' Speech</v>
      </c>
      <c r="C86" s="5" t="str">
        <f>VLOOKUP($A86,tropes!$A$4:$O$2428,3,FALSE)</f>
        <v>exposition</v>
      </c>
      <c r="D86" s="5" t="str">
        <f>VLOOKUP($A86,tropes!$A$4:$O$2428,4,FALSE)</f>
        <v>you_suck</v>
      </c>
      <c r="E86" s="5" t="str">
        <f>VLOOKUP($A86,tropes!$A$4:$O$2428,5,FALSE)</f>
        <v>Kirk dishes out a You Suck speech to Trelane, along with a couple of bitch slaps.</v>
      </c>
      <c r="F86" s="5" t="str">
        <f>VLOOKUP($A86,tropes!$A$4:$O$2428,6,FALSE)</f>
        <v>kirk</v>
      </c>
      <c r="G86" s="5">
        <f>VLOOKUP($A86,tropes!$A$4:$O$2428,7,FALSE)</f>
        <v>1</v>
      </c>
      <c r="H86" s="5">
        <f>VLOOKUP($A86,tropes!$A$4:$O$2428,8,FALSE)</f>
        <v>0</v>
      </c>
      <c r="I86" s="5">
        <f>VLOOKUP($A86,tropes!$A$4:$O$2428,9,FALSE)</f>
        <v>117</v>
      </c>
      <c r="J86" s="5">
        <f>VLOOKUP($A86,tropes!$A$4:$O$2428,10,FALSE)</f>
        <v>18</v>
      </c>
      <c r="K86" s="5" t="str">
        <f>VLOOKUP($A86,tropes!$A$4:$O$2428,11,FALSE)</f>
        <v>The Squire of Gothos</v>
      </c>
      <c r="L86" s="5">
        <f>VLOOKUP($A86,tropes!$A$4:$O$2428,12,FALSE)</f>
        <v>1</v>
      </c>
      <c r="M86" s="5">
        <f>VLOOKUP($A86,tropes!$A$4:$O$2428,13,FALSE)</f>
        <v>17</v>
      </c>
      <c r="N86" s="5">
        <f t="shared" si="1"/>
        <v>4</v>
      </c>
    </row>
    <row r="87" spans="1:14" x14ac:dyDescent="0.3">
      <c r="A87" s="14">
        <v>742</v>
      </c>
      <c r="B87" s="5" t="str">
        <f>VLOOKUP($A87,tropes!$A$4:$O$2428,2,FALSE)</f>
        <v>Captain's Log</v>
      </c>
      <c r="C87" s="5" t="str">
        <f>VLOOKUP($A87,tropes!$A$4:$O$2428,3,FALSE)</f>
        <v>exposition</v>
      </c>
      <c r="D87" s="5" t="str">
        <f>VLOOKUP($A87,tropes!$A$4:$O$2428,4,FALSE)</f>
        <v>log</v>
      </c>
      <c r="E87" s="5" t="str">
        <f>VLOOKUP($A87,tropes!$A$4:$O$2428,5,FALSE)</f>
        <v>Ship's Log-1 (Kirk): Stardate 3045.6 The Enterprise has responded to a call from Earth observation outpost on Cestus Three. On landing, we have discovered that the outpost has been destroyed.</v>
      </c>
      <c r="F87" s="5" t="str">
        <f>VLOOKUP($A87,tropes!$A$4:$O$2428,6,FALSE)</f>
        <v>kirk</v>
      </c>
      <c r="G87" s="5">
        <f>VLOOKUP($A87,tropes!$A$4:$O$2428,7,FALSE)</f>
        <v>1</v>
      </c>
      <c r="H87" s="5">
        <f>VLOOKUP($A87,tropes!$A$4:$O$2428,8,FALSE)</f>
        <v>0</v>
      </c>
      <c r="I87" s="5">
        <f>VLOOKUP($A87,tropes!$A$4:$O$2428,9,FALSE)</f>
        <v>118</v>
      </c>
      <c r="J87" s="5">
        <f>VLOOKUP($A87,tropes!$A$4:$O$2428,10,FALSE)</f>
        <v>19</v>
      </c>
      <c r="K87" s="5" t="str">
        <f>VLOOKUP($A87,tropes!$A$4:$O$2428,11,FALSE)</f>
        <v>Arena</v>
      </c>
      <c r="L87" s="5">
        <f>VLOOKUP($A87,tropes!$A$4:$O$2428,12,FALSE)</f>
        <v>1</v>
      </c>
      <c r="M87" s="5">
        <f>VLOOKUP($A87,tropes!$A$4:$O$2428,13,FALSE)</f>
        <v>18</v>
      </c>
      <c r="N87" s="5">
        <f t="shared" si="1"/>
        <v>0</v>
      </c>
    </row>
    <row r="88" spans="1:14" x14ac:dyDescent="0.3">
      <c r="A88" s="14">
        <v>743</v>
      </c>
      <c r="B88" s="5" t="str">
        <f>VLOOKUP($A88,tropes!$A$4:$O$2428,2,FALSE)</f>
        <v>Captain's Log</v>
      </c>
      <c r="C88" s="5" t="str">
        <f>VLOOKUP($A88,tropes!$A$4:$O$2428,3,FALSE)</f>
        <v>exposition</v>
      </c>
      <c r="D88" s="5" t="str">
        <f>VLOOKUP($A88,tropes!$A$4:$O$2428,4,FALSE)</f>
        <v>log</v>
      </c>
      <c r="E88" s="5" t="str">
        <f>VLOOKUP($A88,tropes!$A$4:$O$2428,5,FALSE)</f>
        <v>Ship's Log-2 (Kirk): supplement. We have beamed back to the Enterprise and immediately set out in pursuit of the alien vessel. It appears to be headed toward a largely unexplored section of the galaxy.</v>
      </c>
      <c r="F88" s="5" t="str">
        <f>VLOOKUP($A88,tropes!$A$4:$O$2428,6,FALSE)</f>
        <v>kirk</v>
      </c>
      <c r="G88" s="5">
        <f>VLOOKUP($A88,tropes!$A$4:$O$2428,7,FALSE)</f>
        <v>1</v>
      </c>
      <c r="H88" s="5">
        <f>VLOOKUP($A88,tropes!$A$4:$O$2428,8,FALSE)</f>
        <v>0</v>
      </c>
      <c r="I88" s="5">
        <f>VLOOKUP($A88,tropes!$A$4:$O$2428,9,FALSE)</f>
        <v>118</v>
      </c>
      <c r="J88" s="5">
        <f>VLOOKUP($A88,tropes!$A$4:$O$2428,10,FALSE)</f>
        <v>19</v>
      </c>
      <c r="K88" s="5" t="str">
        <f>VLOOKUP($A88,tropes!$A$4:$O$2428,11,FALSE)</f>
        <v>Arena</v>
      </c>
      <c r="L88" s="5">
        <f>VLOOKUP($A88,tropes!$A$4:$O$2428,12,FALSE)</f>
        <v>1</v>
      </c>
      <c r="M88" s="5">
        <f>VLOOKUP($A88,tropes!$A$4:$O$2428,13,FALSE)</f>
        <v>18</v>
      </c>
      <c r="N88" s="5">
        <f t="shared" si="1"/>
        <v>1</v>
      </c>
    </row>
    <row r="89" spans="1:14" x14ac:dyDescent="0.3">
      <c r="A89" s="14">
        <v>744</v>
      </c>
      <c r="B89" s="5" t="str">
        <f>VLOOKUP($A89,tropes!$A$4:$O$2428,2,FALSE)</f>
        <v>Captain's Log</v>
      </c>
      <c r="C89" s="5" t="str">
        <f>VLOOKUP($A89,tropes!$A$4:$O$2428,3,FALSE)</f>
        <v>exposition</v>
      </c>
      <c r="D89" s="5" t="str">
        <f>VLOOKUP($A89,tropes!$A$4:$O$2428,4,FALSE)</f>
        <v>log</v>
      </c>
      <c r="E89" s="5" t="str">
        <f>VLOOKUP($A89,tropes!$A$4:$O$2428,5,FALSE)</f>
        <v>Ship's Log-3 (Kirk): Stardate 3046.2. We are in hot pursuit of the alien vessel which destroyed the Earth outpost on Cestus Three.</v>
      </c>
      <c r="F89" s="5" t="str">
        <f>VLOOKUP($A89,tropes!$A$4:$O$2428,6,FALSE)</f>
        <v>kirk</v>
      </c>
      <c r="G89" s="5">
        <f>VLOOKUP($A89,tropes!$A$4:$O$2428,7,FALSE)</f>
        <v>1</v>
      </c>
      <c r="H89" s="5">
        <f>VLOOKUP($A89,tropes!$A$4:$O$2428,8,FALSE)</f>
        <v>0</v>
      </c>
      <c r="I89" s="5">
        <f>VLOOKUP($A89,tropes!$A$4:$O$2428,9,FALSE)</f>
        <v>118</v>
      </c>
      <c r="J89" s="5">
        <f>VLOOKUP($A89,tropes!$A$4:$O$2428,10,FALSE)</f>
        <v>19</v>
      </c>
      <c r="K89" s="5" t="str">
        <f>VLOOKUP($A89,tropes!$A$4:$O$2428,11,FALSE)</f>
        <v>Arena</v>
      </c>
      <c r="L89" s="5">
        <f>VLOOKUP($A89,tropes!$A$4:$O$2428,12,FALSE)</f>
        <v>1</v>
      </c>
      <c r="M89" s="5">
        <f>VLOOKUP($A89,tropes!$A$4:$O$2428,13,FALSE)</f>
        <v>18</v>
      </c>
      <c r="N89" s="5">
        <f t="shared" si="1"/>
        <v>2</v>
      </c>
    </row>
    <row r="90" spans="1:14" x14ac:dyDescent="0.3">
      <c r="A90" s="14">
        <v>758</v>
      </c>
      <c r="B90" s="5" t="str">
        <f>VLOOKUP($A90,tropes!$A$4:$O$2428,2,FALSE)</f>
        <v>Captain's Log</v>
      </c>
      <c r="C90" s="5" t="str">
        <f>VLOOKUP($A90,tropes!$A$4:$O$2428,3,FALSE)</f>
        <v>exposition</v>
      </c>
      <c r="D90" s="5" t="str">
        <f>VLOOKUP($A90,tropes!$A$4:$O$2428,4,FALSE)</f>
        <v>log</v>
      </c>
      <c r="E90" s="5" t="str">
        <f>VLOOKUP($A90,tropes!$A$4:$O$2428,5,FALSE)</f>
        <v>Ship's Log-1 (Kirk): Stardate 3113.2. We were en-route to Starbase 9 for resupply when a black star of high gravitational attraction began to drag us toward it. It required all warp power in reverse to pull us away from the star. But, like snapping a rubber band, the breakaway sent us plunging through space, out of control, to stop here, wherever we are.</v>
      </c>
      <c r="F90" s="5" t="str">
        <f>VLOOKUP($A90,tropes!$A$4:$O$2428,6,FALSE)</f>
        <v>kirk</v>
      </c>
      <c r="G90" s="5">
        <f>VLOOKUP($A90,tropes!$A$4:$O$2428,7,FALSE)</f>
        <v>1</v>
      </c>
      <c r="H90" s="5">
        <f>VLOOKUP($A90,tropes!$A$4:$O$2428,8,FALSE)</f>
        <v>0</v>
      </c>
      <c r="I90" s="5">
        <f>VLOOKUP($A90,tropes!$A$4:$O$2428,9,FALSE)</f>
        <v>119</v>
      </c>
      <c r="J90" s="5">
        <f>VLOOKUP($A90,tropes!$A$4:$O$2428,10,FALSE)</f>
        <v>20</v>
      </c>
      <c r="K90" s="5" t="str">
        <f>VLOOKUP($A90,tropes!$A$4:$O$2428,11,FALSE)</f>
        <v>Tomorrow Is Yesterday</v>
      </c>
      <c r="L90" s="5">
        <f>VLOOKUP($A90,tropes!$A$4:$O$2428,12,FALSE)</f>
        <v>1</v>
      </c>
      <c r="M90" s="5">
        <f>VLOOKUP($A90,tropes!$A$4:$O$2428,13,FALSE)</f>
        <v>19</v>
      </c>
      <c r="N90" s="5">
        <f t="shared" si="1"/>
        <v>0</v>
      </c>
    </row>
    <row r="91" spans="1:14" x14ac:dyDescent="0.3">
      <c r="A91" s="14">
        <v>759</v>
      </c>
      <c r="B91" s="5" t="str">
        <f>VLOOKUP($A91,tropes!$A$4:$O$2428,2,FALSE)</f>
        <v>Captain's Log</v>
      </c>
      <c r="C91" s="5" t="str">
        <f>VLOOKUP($A91,tropes!$A$4:$O$2428,3,FALSE)</f>
        <v>exposition</v>
      </c>
      <c r="D91" s="5" t="str">
        <f>VLOOKUP($A91,tropes!$A$4:$O$2428,4,FALSE)</f>
        <v>log</v>
      </c>
      <c r="E91" s="5" t="str">
        <f>VLOOKUP($A91,tropes!$A$4:$O$2428,5,FALSE)</f>
        <v>Ship's Log-2 (Kirk): supplemental. Engineering Officer Scott informs warp engines damaged, but can be made operational and reenergized.</v>
      </c>
      <c r="F91" s="5" t="str">
        <f>VLOOKUP($A91,tropes!$A$4:$O$2428,6,FALSE)</f>
        <v>kirk</v>
      </c>
      <c r="G91" s="5">
        <f>VLOOKUP($A91,tropes!$A$4:$O$2428,7,FALSE)</f>
        <v>1</v>
      </c>
      <c r="H91" s="5">
        <f>VLOOKUP($A91,tropes!$A$4:$O$2428,8,FALSE)</f>
        <v>0</v>
      </c>
      <c r="I91" s="5">
        <f>VLOOKUP($A91,tropes!$A$4:$O$2428,9,FALSE)</f>
        <v>119</v>
      </c>
      <c r="J91" s="5">
        <f>VLOOKUP($A91,tropes!$A$4:$O$2428,10,FALSE)</f>
        <v>20</v>
      </c>
      <c r="K91" s="5" t="str">
        <f>VLOOKUP($A91,tropes!$A$4:$O$2428,11,FALSE)</f>
        <v>Tomorrow Is Yesterday</v>
      </c>
      <c r="L91" s="5">
        <f>VLOOKUP($A91,tropes!$A$4:$O$2428,12,FALSE)</f>
        <v>1</v>
      </c>
      <c r="M91" s="5">
        <f>VLOOKUP($A91,tropes!$A$4:$O$2428,13,FALSE)</f>
        <v>19</v>
      </c>
      <c r="N91" s="5">
        <f t="shared" si="1"/>
        <v>1</v>
      </c>
    </row>
    <row r="92" spans="1:14" x14ac:dyDescent="0.3">
      <c r="A92" s="14">
        <v>760</v>
      </c>
      <c r="B92" s="5" t="str">
        <f>VLOOKUP($A92,tropes!$A$4:$O$2428,2,FALSE)</f>
        <v>Captain's Log</v>
      </c>
      <c r="C92" s="5" t="str">
        <f>VLOOKUP($A92,tropes!$A$4:$O$2428,3,FALSE)</f>
        <v>exposition</v>
      </c>
      <c r="D92" s="5" t="str">
        <f>VLOOKUP($A92,tropes!$A$4:$O$2428,4,FALSE)</f>
        <v>log</v>
      </c>
      <c r="E92" s="5" t="str">
        <f>VLOOKUP($A92,tropes!$A$4:$O$2428,5,FALSE)</f>
        <v>Ship's Log-3 (Kirk): Stardate 3113.7. Our engines are being repaired, but we are still locked in time, and we have aboard a passenger whom we do not want, and we cannot return.</v>
      </c>
      <c r="F92" s="5" t="str">
        <f>VLOOKUP($A92,tropes!$A$4:$O$2428,6,FALSE)</f>
        <v>kirk</v>
      </c>
      <c r="G92" s="5">
        <f>VLOOKUP($A92,tropes!$A$4:$O$2428,7,FALSE)</f>
        <v>1</v>
      </c>
      <c r="H92" s="5">
        <f>VLOOKUP($A92,tropes!$A$4:$O$2428,8,FALSE)</f>
        <v>0</v>
      </c>
      <c r="I92" s="5">
        <f>VLOOKUP($A92,tropes!$A$4:$O$2428,9,FALSE)</f>
        <v>119</v>
      </c>
      <c r="J92" s="5">
        <f>VLOOKUP($A92,tropes!$A$4:$O$2428,10,FALSE)</f>
        <v>20</v>
      </c>
      <c r="K92" s="5" t="str">
        <f>VLOOKUP($A92,tropes!$A$4:$O$2428,11,FALSE)</f>
        <v>Tomorrow Is Yesterday</v>
      </c>
      <c r="L92" s="5">
        <f>VLOOKUP($A92,tropes!$A$4:$O$2428,12,FALSE)</f>
        <v>1</v>
      </c>
      <c r="M92" s="5">
        <f>VLOOKUP($A92,tropes!$A$4:$O$2428,13,FALSE)</f>
        <v>19</v>
      </c>
      <c r="N92" s="5">
        <f t="shared" si="1"/>
        <v>2</v>
      </c>
    </row>
    <row r="93" spans="1:14" x14ac:dyDescent="0.3">
      <c r="A93" s="14">
        <v>2111</v>
      </c>
      <c r="B93" s="5" t="str">
        <f>VLOOKUP($A93,tropes!$A$4:$O$2428,2,FALSE)</f>
        <v>Captain's Log</v>
      </c>
      <c r="C93" s="5" t="str">
        <f>VLOOKUP($A93,tropes!$A$4:$O$2428,3,FALSE)</f>
        <v>exposition</v>
      </c>
      <c r="D93" s="5" t="str">
        <f>VLOOKUP($A93,tropes!$A$4:$O$2428,4,FALSE)</f>
        <v>log</v>
      </c>
      <c r="E93" s="5" t="str">
        <f>VLOOKUP($A93,tropes!$A$4:$O$2428,5,FALSE)</f>
        <v>Ship's Log-4 (Spock): Stardate 3113.9. First Officer Spock recording. Due to an unfortunate accident, we have taken aboard another unwanted passenger.</v>
      </c>
      <c r="F93" s="5" t="str">
        <f>VLOOKUP($A93,tropes!$A$4:$O$2428,6,FALSE)</f>
        <v>spock</v>
      </c>
      <c r="G93" s="5">
        <f>VLOOKUP($A93,tropes!$A$4:$O$2428,7,FALSE)</f>
        <v>1</v>
      </c>
      <c r="H93" s="5">
        <f>VLOOKUP($A93,tropes!$A$4:$O$2428,8,FALSE)</f>
        <v>0</v>
      </c>
      <c r="I93" s="5">
        <f>VLOOKUP($A93,tropes!$A$4:$O$2428,9,FALSE)</f>
        <v>119</v>
      </c>
      <c r="J93" s="5">
        <f>VLOOKUP($A93,tropes!$A$4:$O$2428,10,FALSE)</f>
        <v>20</v>
      </c>
      <c r="K93" s="5" t="str">
        <f>VLOOKUP($A93,tropes!$A$4:$O$2428,11,FALSE)</f>
        <v>Tomorrow Is Yesterday</v>
      </c>
      <c r="L93" s="5">
        <f>VLOOKUP($A93,tropes!$A$4:$O$2428,12,FALSE)</f>
        <v>1</v>
      </c>
      <c r="M93" s="5">
        <f>VLOOKUP($A93,tropes!$A$4:$O$2428,13,FALSE)</f>
        <v>19</v>
      </c>
      <c r="N93" s="5">
        <f t="shared" si="1"/>
        <v>3</v>
      </c>
    </row>
    <row r="94" spans="1:14" x14ac:dyDescent="0.3">
      <c r="A94" s="14">
        <v>761</v>
      </c>
      <c r="B94" s="5" t="str">
        <f>VLOOKUP($A94,tropes!$A$4:$O$2428,2,FALSE)</f>
        <v>Captain's Log</v>
      </c>
      <c r="C94" s="5" t="str">
        <f>VLOOKUP($A94,tropes!$A$4:$O$2428,3,FALSE)</f>
        <v>exposition</v>
      </c>
      <c r="D94" s="5" t="str">
        <f>VLOOKUP($A94,tropes!$A$4:$O$2428,4,FALSE)</f>
        <v>log</v>
      </c>
      <c r="E94" s="5" t="str">
        <f>VLOOKUP($A94,tropes!$A$4:$O$2428,5,FALSE)</f>
        <v>Ship's Log-5 (Kirk): Stardate 3114.1. We must make an attempt to break free of this time, or we and our reluctant passengers will remain its prisoners. All we have is a theory and a few facts.</v>
      </c>
      <c r="F94" s="5" t="str">
        <f>VLOOKUP($A94,tropes!$A$4:$O$2428,6,FALSE)</f>
        <v>kirk</v>
      </c>
      <c r="G94" s="5">
        <f>VLOOKUP($A94,tropes!$A$4:$O$2428,7,FALSE)</f>
        <v>1</v>
      </c>
      <c r="H94" s="5">
        <f>VLOOKUP($A94,tropes!$A$4:$O$2428,8,FALSE)</f>
        <v>0</v>
      </c>
      <c r="I94" s="5">
        <f>VLOOKUP($A94,tropes!$A$4:$O$2428,9,FALSE)</f>
        <v>119</v>
      </c>
      <c r="J94" s="5">
        <f>VLOOKUP($A94,tropes!$A$4:$O$2428,10,FALSE)</f>
        <v>20</v>
      </c>
      <c r="K94" s="5" t="str">
        <f>VLOOKUP($A94,tropes!$A$4:$O$2428,11,FALSE)</f>
        <v>Tomorrow Is Yesterday</v>
      </c>
      <c r="L94" s="5">
        <f>VLOOKUP($A94,tropes!$A$4:$O$2428,12,FALSE)</f>
        <v>1</v>
      </c>
      <c r="M94" s="5">
        <f>VLOOKUP($A94,tropes!$A$4:$O$2428,13,FALSE)</f>
        <v>19</v>
      </c>
      <c r="N94" s="5">
        <f t="shared" si="1"/>
        <v>4</v>
      </c>
    </row>
    <row r="95" spans="1:14" x14ac:dyDescent="0.3">
      <c r="A95" s="14">
        <v>514</v>
      </c>
      <c r="B95" s="5" t="str">
        <f>VLOOKUP($A95,tropes!$A$4:$O$2428,2,FALSE)</f>
        <v>Freudian Trio</v>
      </c>
      <c r="C95" s="5" t="str">
        <f>VLOOKUP($A95,tropes!$A$4:$O$2428,3,FALSE)</f>
        <v>exposition</v>
      </c>
      <c r="D95" s="5" t="str">
        <f>VLOOKUP($A95,tropes!$A$4:$O$2428,4,FALSE)</f>
        <v>freudian_trio</v>
      </c>
      <c r="E95" s="5" t="str">
        <f>VLOOKUP($A95,tropes!$A$4:$O$2428,5,FALSE)</f>
        <v>Kirk, Spock, and McCoy discuss Captain Christopher.</v>
      </c>
      <c r="F95" s="5" t="str">
        <f>VLOOKUP($A95,tropes!$A$4:$O$2428,6,FALSE)</f>
        <v>trio</v>
      </c>
      <c r="G95" s="5">
        <f>VLOOKUP($A95,tropes!$A$4:$O$2428,7,FALSE)</f>
        <v>1</v>
      </c>
      <c r="H95" s="5">
        <f>VLOOKUP($A95,tropes!$A$4:$O$2428,8,FALSE)</f>
        <v>0</v>
      </c>
      <c r="I95" s="5">
        <f>VLOOKUP($A95,tropes!$A$4:$O$2428,9,FALSE)</f>
        <v>119</v>
      </c>
      <c r="J95" s="5">
        <f>VLOOKUP($A95,tropes!$A$4:$O$2428,10,FALSE)</f>
        <v>20</v>
      </c>
      <c r="K95" s="5" t="str">
        <f>VLOOKUP($A95,tropes!$A$4:$O$2428,11,FALSE)</f>
        <v>Tomorrow Is Yesterday</v>
      </c>
      <c r="L95" s="5">
        <f>VLOOKUP($A95,tropes!$A$4:$O$2428,12,FALSE)</f>
        <v>1</v>
      </c>
      <c r="M95" s="5">
        <f>VLOOKUP($A95,tropes!$A$4:$O$2428,13,FALSE)</f>
        <v>19</v>
      </c>
      <c r="N95" s="5">
        <f t="shared" si="1"/>
        <v>5</v>
      </c>
    </row>
    <row r="96" spans="1:14" x14ac:dyDescent="0.3">
      <c r="A96" s="14">
        <v>770</v>
      </c>
      <c r="B96" s="5" t="str">
        <f>VLOOKUP($A96,tropes!$A$4:$O$2428,2,FALSE)</f>
        <v>Captain's Log</v>
      </c>
      <c r="C96" s="5" t="str">
        <f>VLOOKUP($A96,tropes!$A$4:$O$2428,3,FALSE)</f>
        <v>exposition</v>
      </c>
      <c r="D96" s="5" t="str">
        <f>VLOOKUP($A96,tropes!$A$4:$O$2428,4,FALSE)</f>
        <v>log</v>
      </c>
      <c r="E96" s="5" t="str">
        <f>VLOOKUP($A96,tropes!$A$4:$O$2428,5,FALSE)</f>
        <v>Ship's Log-1 (Kirk): Stardate 2947.3. We have been through a severe ion storm. One crewman is dead. Ships damage is considerable. I have ordered a non-scheduled layover on Starbase Eleven for repairs. A full report of damages was made to the commanding officer of Starbase Eleven, Commodore Stone.</v>
      </c>
      <c r="F96" s="5" t="str">
        <f>VLOOKUP($A96,tropes!$A$4:$O$2428,6,FALSE)</f>
        <v>kirk</v>
      </c>
      <c r="G96" s="5">
        <f>VLOOKUP($A96,tropes!$A$4:$O$2428,7,FALSE)</f>
        <v>1</v>
      </c>
      <c r="H96" s="5">
        <f>VLOOKUP($A96,tropes!$A$4:$O$2428,8,FALSE)</f>
        <v>0</v>
      </c>
      <c r="I96" s="5">
        <f>VLOOKUP($A96,tropes!$A$4:$O$2428,9,FALSE)</f>
        <v>120</v>
      </c>
      <c r="J96" s="5">
        <f>VLOOKUP($A96,tropes!$A$4:$O$2428,10,FALSE)</f>
        <v>21</v>
      </c>
      <c r="K96" s="5" t="str">
        <f>VLOOKUP($A96,tropes!$A$4:$O$2428,11,FALSE)</f>
        <v>Court Martial</v>
      </c>
      <c r="L96" s="5">
        <f>VLOOKUP($A96,tropes!$A$4:$O$2428,12,FALSE)</f>
        <v>1</v>
      </c>
      <c r="M96" s="5">
        <f>VLOOKUP($A96,tropes!$A$4:$O$2428,13,FALSE)</f>
        <v>20</v>
      </c>
      <c r="N96" s="5">
        <f t="shared" si="1"/>
        <v>0</v>
      </c>
    </row>
    <row r="97" spans="1:14" x14ac:dyDescent="0.3">
      <c r="A97" s="14">
        <v>771</v>
      </c>
      <c r="B97" s="5" t="str">
        <f>VLOOKUP($A97,tropes!$A$4:$O$2428,2,FALSE)</f>
        <v>Captain's Log</v>
      </c>
      <c r="C97" s="5" t="str">
        <f>VLOOKUP($A97,tropes!$A$4:$O$2428,3,FALSE)</f>
        <v>exposition</v>
      </c>
      <c r="D97" s="5" t="str">
        <f>VLOOKUP($A97,tropes!$A$4:$O$2428,4,FALSE)</f>
        <v>log</v>
      </c>
      <c r="E97" s="5" t="str">
        <f>VLOOKUP($A97,tropes!$A$4:$O$2428,5,FALSE)</f>
        <v>Ship's Log-2 (Kirk): Stardate 2948.5. Starship Enterprise remains in orbit around Starbase Eleven. Full repairs in progress. I've been ordered to stand by on Starbase Eleven until the inquiry into the death of Lieutenant Commander Finney can be conducted. I'm confident of the outcome.</v>
      </c>
      <c r="F97" s="5" t="str">
        <f>VLOOKUP($A97,tropes!$A$4:$O$2428,6,FALSE)</f>
        <v>kirk</v>
      </c>
      <c r="G97" s="5">
        <f>VLOOKUP($A97,tropes!$A$4:$O$2428,7,FALSE)</f>
        <v>1</v>
      </c>
      <c r="H97" s="5">
        <f>VLOOKUP($A97,tropes!$A$4:$O$2428,8,FALSE)</f>
        <v>0</v>
      </c>
      <c r="I97" s="5">
        <f>VLOOKUP($A97,tropes!$A$4:$O$2428,9,FALSE)</f>
        <v>120</v>
      </c>
      <c r="J97" s="5">
        <f>VLOOKUP($A97,tropes!$A$4:$O$2428,10,FALSE)</f>
        <v>21</v>
      </c>
      <c r="K97" s="5" t="str">
        <f>VLOOKUP($A97,tropes!$A$4:$O$2428,11,FALSE)</f>
        <v>Court Martial</v>
      </c>
      <c r="L97" s="5">
        <f>VLOOKUP($A97,tropes!$A$4:$O$2428,12,FALSE)</f>
        <v>1</v>
      </c>
      <c r="M97" s="5">
        <f>VLOOKUP($A97,tropes!$A$4:$O$2428,13,FALSE)</f>
        <v>20</v>
      </c>
      <c r="N97" s="5">
        <f t="shared" si="1"/>
        <v>1</v>
      </c>
    </row>
    <row r="98" spans="1:14" x14ac:dyDescent="0.3">
      <c r="A98" s="14">
        <v>772</v>
      </c>
      <c r="B98" s="5" t="str">
        <f>VLOOKUP($A98,tropes!$A$4:$O$2428,2,FALSE)</f>
        <v>Captain's Log</v>
      </c>
      <c r="C98" s="5" t="str">
        <f>VLOOKUP($A98,tropes!$A$4:$O$2428,3,FALSE)</f>
        <v>exposition</v>
      </c>
      <c r="D98" s="5" t="str">
        <f>VLOOKUP($A98,tropes!$A$4:$O$2428,4,FALSE)</f>
        <v>log</v>
      </c>
      <c r="E98" s="5" t="str">
        <f>VLOOKUP($A98,tropes!$A$4:$O$2428,5,FALSE)</f>
        <v>Ship's Log-3 (Kirk): Stardate 2948.9. The officers who will comprise my court-martial board are proceeding to Starbase Eleven. Meanwhile, repairs on the Enterprise are almost complete.</v>
      </c>
      <c r="F98" s="5" t="str">
        <f>VLOOKUP($A98,tropes!$A$4:$O$2428,6,FALSE)</f>
        <v>kirk</v>
      </c>
      <c r="G98" s="5">
        <f>VLOOKUP($A98,tropes!$A$4:$O$2428,7,FALSE)</f>
        <v>1</v>
      </c>
      <c r="H98" s="5">
        <f>VLOOKUP($A98,tropes!$A$4:$O$2428,8,FALSE)</f>
        <v>0</v>
      </c>
      <c r="I98" s="5">
        <f>VLOOKUP($A98,tropes!$A$4:$O$2428,9,FALSE)</f>
        <v>120</v>
      </c>
      <c r="J98" s="5">
        <f>VLOOKUP($A98,tropes!$A$4:$O$2428,10,FALSE)</f>
        <v>21</v>
      </c>
      <c r="K98" s="5" t="str">
        <f>VLOOKUP($A98,tropes!$A$4:$O$2428,11,FALSE)</f>
        <v>Court Martial</v>
      </c>
      <c r="L98" s="5">
        <f>VLOOKUP($A98,tropes!$A$4:$O$2428,12,FALSE)</f>
        <v>1</v>
      </c>
      <c r="M98" s="5">
        <f>VLOOKUP($A98,tropes!$A$4:$O$2428,13,FALSE)</f>
        <v>20</v>
      </c>
      <c r="N98" s="5">
        <f t="shared" si="1"/>
        <v>2</v>
      </c>
    </row>
    <row r="99" spans="1:14" x14ac:dyDescent="0.3">
      <c r="A99" s="14">
        <v>2116</v>
      </c>
      <c r="B99" s="5" t="str">
        <f>VLOOKUP($A99,tropes!$A$4:$O$2428,2,FALSE)</f>
        <v>Captain's Log</v>
      </c>
      <c r="C99" s="5" t="str">
        <f>VLOOKUP($A99,tropes!$A$4:$O$2428,3,FALSE)</f>
        <v>exposition</v>
      </c>
      <c r="D99" s="5" t="str">
        <f>VLOOKUP($A99,tropes!$A$4:$O$2428,4,FALSE)</f>
        <v>log</v>
      </c>
      <c r="E99" s="5" t="str">
        <f>VLOOKUP($A99,tropes!$A$4:$O$2428,5,FALSE)</f>
        <v>Ship's Log-4 (Spock): Stardate 2949.9. The evidence presented by the visual playback to my general court-martial was damning. I suspect even my attorney has begun to doubt me.</v>
      </c>
      <c r="F99" s="5" t="str">
        <f>VLOOKUP($A99,tropes!$A$4:$O$2428,6,FALSE)</f>
        <v>spock</v>
      </c>
      <c r="G99" s="5">
        <f>VLOOKUP($A99,tropes!$A$4:$O$2428,7,FALSE)</f>
        <v>1</v>
      </c>
      <c r="H99" s="5">
        <f>VLOOKUP($A99,tropes!$A$4:$O$2428,8,FALSE)</f>
        <v>0</v>
      </c>
      <c r="I99" s="5">
        <f>VLOOKUP($A99,tropes!$A$4:$O$2428,9,FALSE)</f>
        <v>120</v>
      </c>
      <c r="J99" s="5">
        <f>VLOOKUP($A99,tropes!$A$4:$O$2428,10,FALSE)</f>
        <v>21</v>
      </c>
      <c r="K99" s="5" t="str">
        <f>VLOOKUP($A99,tropes!$A$4:$O$2428,11,FALSE)</f>
        <v>Court Martial</v>
      </c>
      <c r="L99" s="5">
        <f>VLOOKUP($A99,tropes!$A$4:$O$2428,12,FALSE)</f>
        <v>1</v>
      </c>
      <c r="M99" s="5">
        <f>VLOOKUP($A99,tropes!$A$4:$O$2428,13,FALSE)</f>
        <v>20</v>
      </c>
      <c r="N99" s="5">
        <f t="shared" si="1"/>
        <v>3</v>
      </c>
    </row>
    <row r="100" spans="1:14" x14ac:dyDescent="0.3">
      <c r="A100" s="14">
        <v>773</v>
      </c>
      <c r="B100" s="5" t="str">
        <f>VLOOKUP($A100,tropes!$A$4:$O$2428,2,FALSE)</f>
        <v>Captain's Log</v>
      </c>
      <c r="C100" s="5" t="str">
        <f>VLOOKUP($A100,tropes!$A$4:$O$2428,3,FALSE)</f>
        <v>exposition</v>
      </c>
      <c r="D100" s="5" t="str">
        <f>VLOOKUP($A100,tropes!$A$4:$O$2428,4,FALSE)</f>
        <v>log</v>
      </c>
      <c r="E100" s="5" t="str">
        <f>VLOOKUP($A100,tropes!$A$4:$O$2428,5,FALSE)</f>
        <v>Ship's Log-5 (Kirk): Stardate 2950.1. After due consideration, the general court-martial has reconvened on board the Enterprise.</v>
      </c>
      <c r="F100" s="5" t="str">
        <f>VLOOKUP($A100,tropes!$A$4:$O$2428,6,FALSE)</f>
        <v>kirk</v>
      </c>
      <c r="G100" s="5">
        <f>VLOOKUP($A100,tropes!$A$4:$O$2428,7,FALSE)</f>
        <v>1</v>
      </c>
      <c r="H100" s="5">
        <f>VLOOKUP($A100,tropes!$A$4:$O$2428,8,FALSE)</f>
        <v>0</v>
      </c>
      <c r="I100" s="5">
        <f>VLOOKUP($A100,tropes!$A$4:$O$2428,9,FALSE)</f>
        <v>120</v>
      </c>
      <c r="J100" s="5">
        <f>VLOOKUP($A100,tropes!$A$4:$O$2428,10,FALSE)</f>
        <v>21</v>
      </c>
      <c r="K100" s="5" t="str">
        <f>VLOOKUP($A100,tropes!$A$4:$O$2428,11,FALSE)</f>
        <v>Court Martial</v>
      </c>
      <c r="L100" s="5">
        <f>VLOOKUP($A100,tropes!$A$4:$O$2428,12,FALSE)</f>
        <v>1</v>
      </c>
      <c r="M100" s="5">
        <f>VLOOKUP($A100,tropes!$A$4:$O$2428,13,FALSE)</f>
        <v>20</v>
      </c>
      <c r="N100" s="5">
        <f t="shared" si="1"/>
        <v>4</v>
      </c>
    </row>
    <row r="101" spans="1:14" x14ac:dyDescent="0.3">
      <c r="A101" s="14">
        <v>515</v>
      </c>
      <c r="B101" s="5" t="str">
        <f>VLOOKUP($A101,tropes!$A$4:$O$2428,2,FALSE)</f>
        <v>Freudian Trio</v>
      </c>
      <c r="C101" s="5" t="str">
        <f>VLOOKUP($A101,tropes!$A$4:$O$2428,3,FALSE)</f>
        <v>exposition</v>
      </c>
      <c r="D101" s="5" t="str">
        <f>VLOOKUP($A101,tropes!$A$4:$O$2428,4,FALSE)</f>
        <v>freudian_trio</v>
      </c>
      <c r="E101" s="5" t="str">
        <f>VLOOKUP($A101,tropes!$A$4:$O$2428,5,FALSE)</f>
        <v>Kirk, Spock, and McCoy discuss how the trial is going.</v>
      </c>
      <c r="F101" s="5" t="str">
        <f>VLOOKUP($A101,tropes!$A$4:$O$2428,6,FALSE)</f>
        <v>trio</v>
      </c>
      <c r="G101" s="5">
        <f>VLOOKUP($A101,tropes!$A$4:$O$2428,7,FALSE)</f>
        <v>1</v>
      </c>
      <c r="H101" s="5">
        <f>VLOOKUP($A101,tropes!$A$4:$O$2428,8,FALSE)</f>
        <v>0</v>
      </c>
      <c r="I101" s="5">
        <f>VLOOKUP($A101,tropes!$A$4:$O$2428,9,FALSE)</f>
        <v>120</v>
      </c>
      <c r="J101" s="5">
        <f>VLOOKUP($A101,tropes!$A$4:$O$2428,10,FALSE)</f>
        <v>21</v>
      </c>
      <c r="K101" s="5" t="str">
        <f>VLOOKUP($A101,tropes!$A$4:$O$2428,11,FALSE)</f>
        <v>Court Martial</v>
      </c>
      <c r="L101" s="5">
        <f>VLOOKUP($A101,tropes!$A$4:$O$2428,12,FALSE)</f>
        <v>1</v>
      </c>
      <c r="M101" s="5">
        <f>VLOOKUP($A101,tropes!$A$4:$O$2428,13,FALSE)</f>
        <v>20</v>
      </c>
      <c r="N101" s="5">
        <f t="shared" si="1"/>
        <v>5</v>
      </c>
    </row>
    <row r="102" spans="1:14" x14ac:dyDescent="0.3">
      <c r="A102" s="14">
        <v>780</v>
      </c>
      <c r="B102" s="5" t="str">
        <f>VLOOKUP($A102,tropes!$A$4:$O$2428,2,FALSE)</f>
        <v>Captain's Log</v>
      </c>
      <c r="C102" s="5" t="str">
        <f>VLOOKUP($A102,tropes!$A$4:$O$2428,3,FALSE)</f>
        <v>exposition</v>
      </c>
      <c r="D102" s="5" t="str">
        <f>VLOOKUP($A102,tropes!$A$4:$O$2428,4,FALSE)</f>
        <v>log</v>
      </c>
      <c r="E102" s="5" t="str">
        <f>VLOOKUP($A102,tropes!$A$4:$O$2428,5,FALSE)</f>
        <v>Ship's Log-1 (Kirk): Stardate 3156.2. While orbiting planet Beta Three trying to find some trace of the starship Archon that disappeared here a hundred years ago, a search party consisting of two Enterprise officers were sent to the planet below. Mister Sulu has returned, but in a highly agitated mental state. His condition requires I beam down with an additional search detail.</v>
      </c>
      <c r="F102" s="5" t="str">
        <f>VLOOKUP($A102,tropes!$A$4:$O$2428,6,FALSE)</f>
        <v>kirk</v>
      </c>
      <c r="G102" s="5">
        <f>VLOOKUP($A102,tropes!$A$4:$O$2428,7,FALSE)</f>
        <v>1</v>
      </c>
      <c r="H102" s="5">
        <f>VLOOKUP($A102,tropes!$A$4:$O$2428,8,FALSE)</f>
        <v>0</v>
      </c>
      <c r="I102" s="5">
        <f>VLOOKUP($A102,tropes!$A$4:$O$2428,9,FALSE)</f>
        <v>121</v>
      </c>
      <c r="J102" s="5">
        <f>VLOOKUP($A102,tropes!$A$4:$O$2428,10,FALSE)</f>
        <v>22</v>
      </c>
      <c r="K102" s="5" t="str">
        <f>VLOOKUP($A102,tropes!$A$4:$O$2428,11,FALSE)</f>
        <v>The Return of the Archons</v>
      </c>
      <c r="L102" s="5">
        <f>VLOOKUP($A102,tropes!$A$4:$O$2428,12,FALSE)</f>
        <v>1</v>
      </c>
      <c r="M102" s="5">
        <f>VLOOKUP($A102,tropes!$A$4:$O$2428,13,FALSE)</f>
        <v>21</v>
      </c>
      <c r="N102" s="5">
        <f t="shared" si="1"/>
        <v>0</v>
      </c>
    </row>
    <row r="103" spans="1:14" x14ac:dyDescent="0.3">
      <c r="A103" s="14">
        <v>781</v>
      </c>
      <c r="B103" s="5" t="str">
        <f>VLOOKUP($A103,tropes!$A$4:$O$2428,2,FALSE)</f>
        <v>Captain's Log</v>
      </c>
      <c r="C103" s="5" t="str">
        <f>VLOOKUP($A103,tropes!$A$4:$O$2428,3,FALSE)</f>
        <v>exposition</v>
      </c>
      <c r="D103" s="5" t="str">
        <f>VLOOKUP($A103,tropes!$A$4:$O$2428,4,FALSE)</f>
        <v>log</v>
      </c>
      <c r="E103" s="5" t="str">
        <f>VLOOKUP($A103,tropes!$A$4:$O$2428,5,FALSE)</f>
        <v>Ship's Log-2 (Kirk): stardate 3157.4. The Enterprise, still under attack by some sort of heat rays from the surface of Beta Three, is now being commanded by Engineering Officer Scott. The shore party has been taken by the creature called Landru.</v>
      </c>
      <c r="F103" s="5" t="str">
        <f>VLOOKUP($A103,tropes!$A$4:$O$2428,6,FALSE)</f>
        <v>kirk</v>
      </c>
      <c r="G103" s="5">
        <f>VLOOKUP($A103,tropes!$A$4:$O$2428,7,FALSE)</f>
        <v>1</v>
      </c>
      <c r="H103" s="5">
        <f>VLOOKUP($A103,tropes!$A$4:$O$2428,8,FALSE)</f>
        <v>0</v>
      </c>
      <c r="I103" s="5">
        <f>VLOOKUP($A103,tropes!$A$4:$O$2428,9,FALSE)</f>
        <v>121</v>
      </c>
      <c r="J103" s="5">
        <f>VLOOKUP($A103,tropes!$A$4:$O$2428,10,FALSE)</f>
        <v>22</v>
      </c>
      <c r="K103" s="5" t="str">
        <f>VLOOKUP($A103,tropes!$A$4:$O$2428,11,FALSE)</f>
        <v>The Return of the Archons</v>
      </c>
      <c r="L103" s="5">
        <f>VLOOKUP($A103,tropes!$A$4:$O$2428,12,FALSE)</f>
        <v>1</v>
      </c>
      <c r="M103" s="5">
        <f>VLOOKUP($A103,tropes!$A$4:$O$2428,13,FALSE)</f>
        <v>21</v>
      </c>
      <c r="N103" s="5">
        <f t="shared" si="1"/>
        <v>1</v>
      </c>
    </row>
    <row r="104" spans="1:14" x14ac:dyDescent="0.3">
      <c r="A104" s="14">
        <v>782</v>
      </c>
      <c r="B104" s="5" t="str">
        <f>VLOOKUP($A104,tropes!$A$4:$O$2428,2,FALSE)</f>
        <v>Captain's Log</v>
      </c>
      <c r="C104" s="5" t="str">
        <f>VLOOKUP($A104,tropes!$A$4:$O$2428,3,FALSE)</f>
        <v>exposition</v>
      </c>
      <c r="D104" s="5" t="str">
        <f>VLOOKUP($A104,tropes!$A$4:$O$2428,4,FALSE)</f>
        <v>log</v>
      </c>
      <c r="E104" s="5" t="str">
        <f>VLOOKUP($A104,tropes!$A$4:$O$2428,5,FALSE)</f>
        <v>Ship's Log-3 (Kirk): stardate 3158.7 The Enterprise is preparing to leave Beta Three in Star system C One Eleven. Sociologist Lindstrom is remaining behind with a party of experts who will help restore the planets culture to a human form.</v>
      </c>
      <c r="F104" s="5" t="str">
        <f>VLOOKUP($A104,tropes!$A$4:$O$2428,6,FALSE)</f>
        <v>kirk</v>
      </c>
      <c r="G104" s="5">
        <f>VLOOKUP($A104,tropes!$A$4:$O$2428,7,FALSE)</f>
        <v>1</v>
      </c>
      <c r="H104" s="5">
        <f>VLOOKUP($A104,tropes!$A$4:$O$2428,8,FALSE)</f>
        <v>0</v>
      </c>
      <c r="I104" s="5">
        <f>VLOOKUP($A104,tropes!$A$4:$O$2428,9,FALSE)</f>
        <v>121</v>
      </c>
      <c r="J104" s="5">
        <f>VLOOKUP($A104,tropes!$A$4:$O$2428,10,FALSE)</f>
        <v>22</v>
      </c>
      <c r="K104" s="5" t="str">
        <f>VLOOKUP($A104,tropes!$A$4:$O$2428,11,FALSE)</f>
        <v>The Return of the Archons</v>
      </c>
      <c r="L104" s="5">
        <f>VLOOKUP($A104,tropes!$A$4:$O$2428,12,FALSE)</f>
        <v>1</v>
      </c>
      <c r="M104" s="5">
        <f>VLOOKUP($A104,tropes!$A$4:$O$2428,13,FALSE)</f>
        <v>21</v>
      </c>
      <c r="N104" s="5">
        <f t="shared" si="1"/>
        <v>2</v>
      </c>
    </row>
    <row r="105" spans="1:14" x14ac:dyDescent="0.3">
      <c r="A105" s="14">
        <v>796</v>
      </c>
      <c r="B105" s="5" t="str">
        <f>VLOOKUP($A105,tropes!$A$4:$O$2428,2,FALSE)</f>
        <v>Captain's Log</v>
      </c>
      <c r="C105" s="5" t="str">
        <f>VLOOKUP($A105,tropes!$A$4:$O$2428,3,FALSE)</f>
        <v>exposition</v>
      </c>
      <c r="D105" s="5" t="str">
        <f>VLOOKUP($A105,tropes!$A$4:$O$2428,4,FALSE)</f>
        <v>log</v>
      </c>
      <c r="E105" s="5" t="str">
        <f>VLOOKUP($A105,tropes!$A$4:$O$2428,5,FALSE)</f>
        <v>Ship's Log-1 (Kirk): stardate 3141.9. A full hour has elapsed since interception of the strange vessel. Our presence alongside is still being completely ignored. Although our sensors continue to show signs of equipment and life aboard, there has been no indication of danger to us.</v>
      </c>
      <c r="F105" s="5" t="str">
        <f>VLOOKUP($A105,tropes!$A$4:$O$2428,6,FALSE)</f>
        <v>kirk</v>
      </c>
      <c r="G105" s="5">
        <f>VLOOKUP($A105,tropes!$A$4:$O$2428,7,FALSE)</f>
        <v>1</v>
      </c>
      <c r="H105" s="5">
        <f>VLOOKUP($A105,tropes!$A$4:$O$2428,8,FALSE)</f>
        <v>0</v>
      </c>
      <c r="I105" s="5">
        <f>VLOOKUP($A105,tropes!$A$4:$O$2428,9,FALSE)</f>
        <v>122</v>
      </c>
      <c r="J105" s="5">
        <f>VLOOKUP($A105,tropes!$A$4:$O$2428,10,FALSE)</f>
        <v>23</v>
      </c>
      <c r="K105" s="5" t="str">
        <f>VLOOKUP($A105,tropes!$A$4:$O$2428,11,FALSE)</f>
        <v>Space Seed</v>
      </c>
      <c r="L105" s="5">
        <f>VLOOKUP($A105,tropes!$A$4:$O$2428,12,FALSE)</f>
        <v>1</v>
      </c>
      <c r="M105" s="5">
        <f>VLOOKUP($A105,tropes!$A$4:$O$2428,13,FALSE)</f>
        <v>22</v>
      </c>
      <c r="N105" s="5">
        <f t="shared" si="1"/>
        <v>0</v>
      </c>
    </row>
    <row r="106" spans="1:14" x14ac:dyDescent="0.3">
      <c r="A106" s="14">
        <v>797</v>
      </c>
      <c r="B106" s="5" t="str">
        <f>VLOOKUP($A106,tropes!$A$4:$O$2428,2,FALSE)</f>
        <v>Captain's Log</v>
      </c>
      <c r="C106" s="5" t="str">
        <f>VLOOKUP($A106,tropes!$A$4:$O$2428,3,FALSE)</f>
        <v>exposition</v>
      </c>
      <c r="D106" s="5" t="str">
        <f>VLOOKUP($A106,tropes!$A$4:$O$2428,4,FALSE)</f>
        <v>log</v>
      </c>
      <c r="E106" s="5" t="str">
        <f>VLOOKUP($A106,tropes!$A$4:$O$2428,5,FALSE)</f>
        <v>Ship's Log-2 (Kirk): supplemental. Alongside the SS Botany Bay for ten hours now. A boarding party of engineering and medical specialists are now completing their examination of the mysterious vessel. Attempts to revive other sleepers await our success or failure with the casualty already beamed over. Doctor McCoy is frankly amazed at his physical and recuperative power.</v>
      </c>
      <c r="F106" s="5" t="str">
        <f>VLOOKUP($A106,tropes!$A$4:$O$2428,6,FALSE)</f>
        <v>kirk</v>
      </c>
      <c r="G106" s="5">
        <f>VLOOKUP($A106,tropes!$A$4:$O$2428,7,FALSE)</f>
        <v>1</v>
      </c>
      <c r="H106" s="5">
        <f>VLOOKUP($A106,tropes!$A$4:$O$2428,8,FALSE)</f>
        <v>0</v>
      </c>
      <c r="I106" s="5">
        <f>VLOOKUP($A106,tropes!$A$4:$O$2428,9,FALSE)</f>
        <v>122</v>
      </c>
      <c r="J106" s="5">
        <f>VLOOKUP($A106,tropes!$A$4:$O$2428,10,FALSE)</f>
        <v>23</v>
      </c>
      <c r="K106" s="5" t="str">
        <f>VLOOKUP($A106,tropes!$A$4:$O$2428,11,FALSE)</f>
        <v>Space Seed</v>
      </c>
      <c r="L106" s="5">
        <f>VLOOKUP($A106,tropes!$A$4:$O$2428,12,FALSE)</f>
        <v>1</v>
      </c>
      <c r="M106" s="5">
        <f>VLOOKUP($A106,tropes!$A$4:$O$2428,13,FALSE)</f>
        <v>22</v>
      </c>
      <c r="N106" s="5">
        <f t="shared" si="1"/>
        <v>1</v>
      </c>
    </row>
    <row r="107" spans="1:14" x14ac:dyDescent="0.3">
      <c r="A107" s="14">
        <v>798</v>
      </c>
      <c r="B107" s="5" t="str">
        <f>VLOOKUP($A107,tropes!$A$4:$O$2428,2,FALSE)</f>
        <v>Captain's Log</v>
      </c>
      <c r="C107" s="5" t="str">
        <f>VLOOKUP($A107,tropes!$A$4:$O$2428,3,FALSE)</f>
        <v>exposition</v>
      </c>
      <c r="D107" s="5" t="str">
        <f>VLOOKUP($A107,tropes!$A$4:$O$2428,4,FALSE)</f>
        <v>log</v>
      </c>
      <c r="E107" s="5" t="str">
        <f>VLOOKUP($A107,tropes!$A$4:$O$2428,5,FALSE)</f>
        <v>Ship's Log-3 (Kirk): Stardate 3143.3. Control of the Enterprise has been regained. I wish my next decisions were no more difficult. Khan and his people. What a waste to put them in a reorientation center. And what do I do about McGivers?</v>
      </c>
      <c r="F107" s="5" t="str">
        <f>VLOOKUP($A107,tropes!$A$4:$O$2428,6,FALSE)</f>
        <v>kirk</v>
      </c>
      <c r="G107" s="5">
        <f>VLOOKUP($A107,tropes!$A$4:$O$2428,7,FALSE)</f>
        <v>1</v>
      </c>
      <c r="H107" s="5">
        <f>VLOOKUP($A107,tropes!$A$4:$O$2428,8,FALSE)</f>
        <v>0</v>
      </c>
      <c r="I107" s="5">
        <f>VLOOKUP($A107,tropes!$A$4:$O$2428,9,FALSE)</f>
        <v>122</v>
      </c>
      <c r="J107" s="5">
        <f>VLOOKUP($A107,tropes!$A$4:$O$2428,10,FALSE)</f>
        <v>23</v>
      </c>
      <c r="K107" s="5" t="str">
        <f>VLOOKUP($A107,tropes!$A$4:$O$2428,11,FALSE)</f>
        <v>Space Seed</v>
      </c>
      <c r="L107" s="5">
        <f>VLOOKUP($A107,tropes!$A$4:$O$2428,12,FALSE)</f>
        <v>1</v>
      </c>
      <c r="M107" s="5">
        <f>VLOOKUP($A107,tropes!$A$4:$O$2428,13,FALSE)</f>
        <v>22</v>
      </c>
      <c r="N107" s="5">
        <f t="shared" si="1"/>
        <v>2</v>
      </c>
    </row>
    <row r="108" spans="1:14" x14ac:dyDescent="0.3">
      <c r="A108" s="14">
        <v>530</v>
      </c>
      <c r="B108" s="5" t="str">
        <f>VLOOKUP($A108,tropes!$A$4:$O$2428,2,FALSE)</f>
        <v>Downer Ending</v>
      </c>
      <c r="C108" s="5" t="str">
        <f>VLOOKUP($A108,tropes!$A$4:$O$2428,3,FALSE)</f>
        <v>exposition</v>
      </c>
      <c r="D108" s="5" t="str">
        <f>VLOOKUP($A108,tropes!$A$4:$O$2428,4,FALSE)</f>
        <v>freudian_trio</v>
      </c>
      <c r="E108" s="5" t="str">
        <f>VLOOKUP($A108,tropes!$A$4:$O$2428,5,FALSE)</f>
        <v>Kirk, Spock, and McCoy discuss visiting Ceti Alpha V (where Khan was left) in 100 years.</v>
      </c>
      <c r="F108" s="5" t="str">
        <f>VLOOKUP($A108,tropes!$A$4:$O$2428,6,FALSE)</f>
        <v>kirk</v>
      </c>
      <c r="G108" s="5">
        <f>VLOOKUP($A108,tropes!$A$4:$O$2428,7,FALSE)</f>
        <v>1</v>
      </c>
      <c r="H108" s="5">
        <f>VLOOKUP($A108,tropes!$A$4:$O$2428,8,FALSE)</f>
        <v>0</v>
      </c>
      <c r="I108" s="5">
        <f>VLOOKUP($A108,tropes!$A$4:$O$2428,9,FALSE)</f>
        <v>122</v>
      </c>
      <c r="J108" s="5">
        <f>VLOOKUP($A108,tropes!$A$4:$O$2428,10,FALSE)</f>
        <v>23</v>
      </c>
      <c r="K108" s="5" t="str">
        <f>VLOOKUP($A108,tropes!$A$4:$O$2428,11,FALSE)</f>
        <v>Space Seed</v>
      </c>
      <c r="L108" s="5">
        <f>VLOOKUP($A108,tropes!$A$4:$O$2428,12,FALSE)</f>
        <v>1</v>
      </c>
      <c r="M108" s="5">
        <f>VLOOKUP($A108,tropes!$A$4:$O$2428,13,FALSE)</f>
        <v>22</v>
      </c>
      <c r="N108" s="5">
        <f t="shared" si="1"/>
        <v>3</v>
      </c>
    </row>
    <row r="109" spans="1:14" x14ac:dyDescent="0.3">
      <c r="A109" s="14">
        <v>516</v>
      </c>
      <c r="B109" s="5" t="str">
        <f>VLOOKUP($A109,tropes!$A$4:$O$2428,2,FALSE)</f>
        <v>Freudian Trio</v>
      </c>
      <c r="C109" s="5" t="str">
        <f>VLOOKUP($A109,tropes!$A$4:$O$2428,3,FALSE)</f>
        <v>exposition</v>
      </c>
      <c r="D109" s="5" t="str">
        <f>VLOOKUP($A109,tropes!$A$4:$O$2428,4,FALSE)</f>
        <v>freudian_trio</v>
      </c>
      <c r="E109" s="5" t="str">
        <f>VLOOKUP($A109,tropes!$A$4:$O$2428,5,FALSE)</f>
        <v>Kirk, Spock, and McCoy discuss Khan.</v>
      </c>
      <c r="F109" s="5" t="str">
        <f>VLOOKUP($A109,tropes!$A$4:$O$2428,6,FALSE)</f>
        <v>trio</v>
      </c>
      <c r="G109" s="5">
        <f>VLOOKUP($A109,tropes!$A$4:$O$2428,7,FALSE)</f>
        <v>1</v>
      </c>
      <c r="H109" s="5">
        <f>VLOOKUP($A109,tropes!$A$4:$O$2428,8,FALSE)</f>
        <v>0</v>
      </c>
      <c r="I109" s="5">
        <f>VLOOKUP($A109,tropes!$A$4:$O$2428,9,FALSE)</f>
        <v>122</v>
      </c>
      <c r="J109" s="5">
        <f>VLOOKUP($A109,tropes!$A$4:$O$2428,10,FALSE)</f>
        <v>23</v>
      </c>
      <c r="K109" s="5" t="str">
        <f>VLOOKUP($A109,tropes!$A$4:$O$2428,11,FALSE)</f>
        <v>Space Seed</v>
      </c>
      <c r="L109" s="5">
        <f>VLOOKUP($A109,tropes!$A$4:$O$2428,12,FALSE)</f>
        <v>1</v>
      </c>
      <c r="M109" s="5">
        <f>VLOOKUP($A109,tropes!$A$4:$O$2428,13,FALSE)</f>
        <v>22</v>
      </c>
      <c r="N109" s="5">
        <f t="shared" si="1"/>
        <v>4</v>
      </c>
    </row>
    <row r="110" spans="1:14" x14ac:dyDescent="0.3">
      <c r="A110" s="14">
        <v>517</v>
      </c>
      <c r="B110" s="5" t="str">
        <f>VLOOKUP($A110,tropes!$A$4:$O$2428,2,FALSE)</f>
        <v>Freudian Trio</v>
      </c>
      <c r="C110" s="5" t="str">
        <f>VLOOKUP($A110,tropes!$A$4:$O$2428,3,FALSE)</f>
        <v>exposition</v>
      </c>
      <c r="D110" s="5" t="str">
        <f>VLOOKUP($A110,tropes!$A$4:$O$2428,4,FALSE)</f>
        <v>freudian_trio</v>
      </c>
      <c r="E110" s="5" t="str">
        <f>VLOOKUP($A110,tropes!$A$4:$O$2428,5,FALSE)</f>
        <v>Kirk, Spock, and McCoy discuss The Eugenics War.</v>
      </c>
      <c r="F110" s="5" t="str">
        <f>VLOOKUP($A110,tropes!$A$4:$O$2428,6,FALSE)</f>
        <v>trio</v>
      </c>
      <c r="G110" s="5">
        <f>VLOOKUP($A110,tropes!$A$4:$O$2428,7,FALSE)</f>
        <v>1</v>
      </c>
      <c r="H110" s="5">
        <f>VLOOKUP($A110,tropes!$A$4:$O$2428,8,FALSE)</f>
        <v>0</v>
      </c>
      <c r="I110" s="5">
        <f>VLOOKUP($A110,tropes!$A$4:$O$2428,9,FALSE)</f>
        <v>122</v>
      </c>
      <c r="J110" s="5">
        <f>VLOOKUP($A110,tropes!$A$4:$O$2428,10,FALSE)</f>
        <v>23</v>
      </c>
      <c r="K110" s="5" t="str">
        <f>VLOOKUP($A110,tropes!$A$4:$O$2428,11,FALSE)</f>
        <v>Space Seed</v>
      </c>
      <c r="L110" s="5">
        <f>VLOOKUP($A110,tropes!$A$4:$O$2428,12,FALSE)</f>
        <v>1</v>
      </c>
      <c r="M110" s="5">
        <f>VLOOKUP($A110,tropes!$A$4:$O$2428,13,FALSE)</f>
        <v>22</v>
      </c>
      <c r="N110" s="5">
        <f t="shared" si="1"/>
        <v>5</v>
      </c>
    </row>
    <row r="111" spans="1:14" x14ac:dyDescent="0.3">
      <c r="A111" s="14">
        <v>804</v>
      </c>
      <c r="B111" s="5" t="str">
        <f>VLOOKUP($A111,tropes!$A$4:$O$2428,2,FALSE)</f>
        <v>Captain's Log</v>
      </c>
      <c r="C111" s="5" t="str">
        <f>VLOOKUP($A111,tropes!$A$4:$O$2428,3,FALSE)</f>
        <v>exposition</v>
      </c>
      <c r="D111" s="5" t="str">
        <f>VLOOKUP($A111,tropes!$A$4:$O$2428,4,FALSE)</f>
        <v>log</v>
      </c>
      <c r="E111" s="5" t="str">
        <f>VLOOKUP($A111,tropes!$A$4:$O$2428,5,FALSE)</f>
        <v>Ship's Log-1 (Kirk): stardate 3192.1. The Enterprise is en route to star cluster NGC 321. Objective, to open diplomatic relations with the civilizations known to be there. We have sent a message to Eminiar Seven, principal planet of the star cluster, informing them of our friendly intentions. We are awaiting an answer.</v>
      </c>
      <c r="F111" s="5" t="str">
        <f>VLOOKUP($A111,tropes!$A$4:$O$2428,6,FALSE)</f>
        <v>kirk</v>
      </c>
      <c r="G111" s="5">
        <f>VLOOKUP($A111,tropes!$A$4:$O$2428,7,FALSE)</f>
        <v>1</v>
      </c>
      <c r="H111" s="5">
        <f>VLOOKUP($A111,tropes!$A$4:$O$2428,8,FALSE)</f>
        <v>0</v>
      </c>
      <c r="I111" s="5">
        <f>VLOOKUP($A111,tropes!$A$4:$O$2428,9,FALSE)</f>
        <v>123</v>
      </c>
      <c r="J111" s="5">
        <f>VLOOKUP($A111,tropes!$A$4:$O$2428,10,FALSE)</f>
        <v>24</v>
      </c>
      <c r="K111" s="5" t="str">
        <f>VLOOKUP($A111,tropes!$A$4:$O$2428,11,FALSE)</f>
        <v>A Taste of Armageddon</v>
      </c>
      <c r="L111" s="5">
        <f>VLOOKUP($A111,tropes!$A$4:$O$2428,12,FALSE)</f>
        <v>1</v>
      </c>
      <c r="M111" s="5">
        <f>VLOOKUP($A111,tropes!$A$4:$O$2428,13,FALSE)</f>
        <v>23</v>
      </c>
      <c r="N111" s="5">
        <f t="shared" si="1"/>
        <v>0</v>
      </c>
    </row>
    <row r="112" spans="1:14" x14ac:dyDescent="0.3">
      <c r="A112" s="14">
        <v>805</v>
      </c>
      <c r="B112" s="5" t="str">
        <f>VLOOKUP($A112,tropes!$A$4:$O$2428,2,FALSE)</f>
        <v>Captain's Log</v>
      </c>
      <c r="C112" s="5" t="str">
        <f>VLOOKUP($A112,tropes!$A$4:$O$2428,3,FALSE)</f>
        <v>exposition</v>
      </c>
      <c r="D112" s="5" t="str">
        <f>VLOOKUP($A112,tropes!$A$4:$O$2428,4,FALSE)</f>
        <v>log</v>
      </c>
      <c r="E112" s="5" t="str">
        <f>VLOOKUP($A112,tropes!$A$4:$O$2428,5,FALSE)</f>
        <v>Ship's Log-2 (Kirk): stardate 3192.5. Now in standard orbit around planet Eminiar Seven. My orders are clear. We must establish diplomatic relations at all cost. Preparing to beam down to planet surface.</v>
      </c>
      <c r="F112" s="5" t="str">
        <f>VLOOKUP($A112,tropes!$A$4:$O$2428,6,FALSE)</f>
        <v>kirk</v>
      </c>
      <c r="G112" s="5">
        <f>VLOOKUP($A112,tropes!$A$4:$O$2428,7,FALSE)</f>
        <v>1</v>
      </c>
      <c r="H112" s="5">
        <f>VLOOKUP($A112,tropes!$A$4:$O$2428,8,FALSE)</f>
        <v>0</v>
      </c>
      <c r="I112" s="5">
        <f>VLOOKUP($A112,tropes!$A$4:$O$2428,9,FALSE)</f>
        <v>123</v>
      </c>
      <c r="J112" s="5">
        <f>VLOOKUP($A112,tropes!$A$4:$O$2428,10,FALSE)</f>
        <v>24</v>
      </c>
      <c r="K112" s="5" t="str">
        <f>VLOOKUP($A112,tropes!$A$4:$O$2428,11,FALSE)</f>
        <v>A Taste of Armageddon</v>
      </c>
      <c r="L112" s="5">
        <f>VLOOKUP($A112,tropes!$A$4:$O$2428,12,FALSE)</f>
        <v>1</v>
      </c>
      <c r="M112" s="5">
        <f>VLOOKUP($A112,tropes!$A$4:$O$2428,13,FALSE)</f>
        <v>23</v>
      </c>
      <c r="N112" s="5">
        <f t="shared" si="1"/>
        <v>1</v>
      </c>
    </row>
    <row r="113" spans="1:14" x14ac:dyDescent="0.3">
      <c r="A113" s="14">
        <v>806</v>
      </c>
      <c r="B113" s="5" t="str">
        <f>VLOOKUP($A113,tropes!$A$4:$O$2428,2,FALSE)</f>
        <v>Captain's Log</v>
      </c>
      <c r="C113" s="5" t="str">
        <f>VLOOKUP($A113,tropes!$A$4:$O$2428,3,FALSE)</f>
        <v>exposition</v>
      </c>
      <c r="D113" s="5" t="str">
        <f>VLOOKUP($A113,tropes!$A$4:$O$2428,4,FALSE)</f>
        <v>log</v>
      </c>
      <c r="E113" s="5" t="str">
        <f>VLOOKUP($A113,tropes!$A$4:$O$2428,5,FALSE)</f>
        <v>Ship's Log-3 (Kirk): delayed. The Enterprise, in orbit about Eminiar Seven, has been declared a casualty of an incredible war fought by computers. I and my landing party, though apparently not included as casualties aboard the Enterprise, are confined on the planets surface, awaiting what?</v>
      </c>
      <c r="F113" s="5" t="str">
        <f>VLOOKUP($A113,tropes!$A$4:$O$2428,6,FALSE)</f>
        <v>kirk</v>
      </c>
      <c r="G113" s="5">
        <f>VLOOKUP($A113,tropes!$A$4:$O$2428,7,FALSE)</f>
        <v>1</v>
      </c>
      <c r="H113" s="5">
        <f>VLOOKUP($A113,tropes!$A$4:$O$2428,8,FALSE)</f>
        <v>0</v>
      </c>
      <c r="I113" s="5">
        <f>VLOOKUP($A113,tropes!$A$4:$O$2428,9,FALSE)</f>
        <v>123</v>
      </c>
      <c r="J113" s="5">
        <f>VLOOKUP($A113,tropes!$A$4:$O$2428,10,FALSE)</f>
        <v>24</v>
      </c>
      <c r="K113" s="5" t="str">
        <f>VLOOKUP($A113,tropes!$A$4:$O$2428,11,FALSE)</f>
        <v>A Taste of Armageddon</v>
      </c>
      <c r="L113" s="5">
        <f>VLOOKUP($A113,tropes!$A$4:$O$2428,12,FALSE)</f>
        <v>1</v>
      </c>
      <c r="M113" s="5">
        <f>VLOOKUP($A113,tropes!$A$4:$O$2428,13,FALSE)</f>
        <v>23</v>
      </c>
      <c r="N113" s="5">
        <f t="shared" si="1"/>
        <v>2</v>
      </c>
    </row>
    <row r="114" spans="1:14" x14ac:dyDescent="0.3">
      <c r="A114" s="14">
        <v>1970</v>
      </c>
      <c r="B114" s="5" t="str">
        <f>VLOOKUP($A114,tropes!$A$4:$O$2428,2,FALSE)</f>
        <v>Captain's Log</v>
      </c>
      <c r="C114" s="5" t="str">
        <f>VLOOKUP($A114,tropes!$A$4:$O$2428,3,FALSE)</f>
        <v>exposition</v>
      </c>
      <c r="D114" s="5" t="str">
        <f>VLOOKUP($A114,tropes!$A$4:$O$2428,4,FALSE)</f>
        <v>log</v>
      </c>
      <c r="E114" s="5" t="str">
        <f>VLOOKUP($A114,tropes!$A$4:$O$2428,5,FALSE)</f>
        <v>Ship's Log-4 (Scotty): stardate 3193.0. Chief Engineer Scott recording. The Captain and First Officer are overdue and missing on the surface of Eminiar Seven. I have taken standard precautionary measures while we continue our attempts to locate them.</v>
      </c>
      <c r="F114" s="5" t="str">
        <f>VLOOKUP($A114,tropes!$A$4:$O$2428,6,FALSE)</f>
        <v>scotty</v>
      </c>
      <c r="G114" s="5">
        <f>VLOOKUP($A114,tropes!$A$4:$O$2428,7,FALSE)</f>
        <v>0</v>
      </c>
      <c r="H114" s="5">
        <f>VLOOKUP($A114,tropes!$A$4:$O$2428,8,FALSE)</f>
        <v>1</v>
      </c>
      <c r="I114" s="5">
        <f>VLOOKUP($A114,tropes!$A$4:$O$2428,9,FALSE)</f>
        <v>123</v>
      </c>
      <c r="J114" s="5">
        <f>VLOOKUP($A114,tropes!$A$4:$O$2428,10,FALSE)</f>
        <v>24</v>
      </c>
      <c r="K114" s="5" t="str">
        <f>VLOOKUP($A114,tropes!$A$4:$O$2428,11,FALSE)</f>
        <v>A Taste of Armageddon</v>
      </c>
      <c r="L114" s="5">
        <f>VLOOKUP($A114,tropes!$A$4:$O$2428,12,FALSE)</f>
        <v>1</v>
      </c>
      <c r="M114" s="5">
        <f>VLOOKUP($A114,tropes!$A$4:$O$2428,13,FALSE)</f>
        <v>23</v>
      </c>
      <c r="N114" s="5">
        <f t="shared" si="1"/>
        <v>3</v>
      </c>
    </row>
    <row r="115" spans="1:14" x14ac:dyDescent="0.3">
      <c r="A115" s="14">
        <v>814</v>
      </c>
      <c r="B115" s="5" t="str">
        <f>VLOOKUP($A115,tropes!$A$4:$O$2428,2,FALSE)</f>
        <v>Kirk Summation</v>
      </c>
      <c r="C115" s="5" t="str">
        <f>VLOOKUP($A115,tropes!$A$4:$O$2428,3,FALSE)</f>
        <v>exposition</v>
      </c>
      <c r="D115" s="5" t="str">
        <f>VLOOKUP($A115,tropes!$A$4:$O$2428,4,FALSE)</f>
        <v>summation</v>
      </c>
      <c r="E115" s="5" t="str">
        <f>VLOOKUP($A115,tropes!$A$4:$O$2428,5,FALSE)</f>
        <v>Kirk talks about how wasteful and absurd the Eminiar computer war was.</v>
      </c>
      <c r="F115" s="5" t="str">
        <f>VLOOKUP($A115,tropes!$A$4:$O$2428,6,FALSE)</f>
        <v>kirk</v>
      </c>
      <c r="G115" s="5">
        <f>VLOOKUP($A115,tropes!$A$4:$O$2428,7,FALSE)</f>
        <v>1</v>
      </c>
      <c r="H115" s="5">
        <f>VLOOKUP($A115,tropes!$A$4:$O$2428,8,FALSE)</f>
        <v>0</v>
      </c>
      <c r="I115" s="5">
        <f>VLOOKUP($A115,tropes!$A$4:$O$2428,9,FALSE)</f>
        <v>123</v>
      </c>
      <c r="J115" s="5">
        <f>VLOOKUP($A115,tropes!$A$4:$O$2428,10,FALSE)</f>
        <v>24</v>
      </c>
      <c r="K115" s="5" t="str">
        <f>VLOOKUP($A115,tropes!$A$4:$O$2428,11,FALSE)</f>
        <v>A Taste of Armageddon</v>
      </c>
      <c r="L115" s="5">
        <f>VLOOKUP($A115,tropes!$A$4:$O$2428,12,FALSE)</f>
        <v>1</v>
      </c>
      <c r="M115" s="5">
        <f>VLOOKUP($A115,tropes!$A$4:$O$2428,13,FALSE)</f>
        <v>23</v>
      </c>
      <c r="N115" s="5">
        <f t="shared" si="1"/>
        <v>4</v>
      </c>
    </row>
    <row r="116" spans="1:14" x14ac:dyDescent="0.3">
      <c r="A116" s="14">
        <v>819</v>
      </c>
      <c r="B116" s="5" t="str">
        <f>VLOOKUP($A116,tropes!$A$4:$O$2428,2,FALSE)</f>
        <v>Captain's Log</v>
      </c>
      <c r="C116" s="5" t="str">
        <f>VLOOKUP($A116,tropes!$A$4:$O$2428,3,FALSE)</f>
        <v>exposition</v>
      </c>
      <c r="D116" s="5" t="str">
        <f>VLOOKUP($A116,tropes!$A$4:$O$2428,4,FALSE)</f>
        <v>log</v>
      </c>
      <c r="E116" s="5" t="str">
        <f>VLOOKUP($A116,tropes!$A$4:$O$2428,5,FALSE)</f>
        <v>Ship's Log-1 (Kirk): stardate 3417.3. We thought our mission to Omicron Ceti Three would be an unhappy one. We had expected to find no survivors of the agricultural colony there. Apparently, our information was incorrect.</v>
      </c>
      <c r="F116" s="5" t="str">
        <f>VLOOKUP($A116,tropes!$A$4:$O$2428,6,FALSE)</f>
        <v>kirk</v>
      </c>
      <c r="G116" s="5">
        <f>VLOOKUP($A116,tropes!$A$4:$O$2428,7,FALSE)</f>
        <v>1</v>
      </c>
      <c r="H116" s="5">
        <f>VLOOKUP($A116,tropes!$A$4:$O$2428,8,FALSE)</f>
        <v>0</v>
      </c>
      <c r="I116" s="5">
        <f>VLOOKUP($A116,tropes!$A$4:$O$2428,9,FALSE)</f>
        <v>124</v>
      </c>
      <c r="J116" s="5">
        <f>VLOOKUP($A116,tropes!$A$4:$O$2428,10,FALSE)</f>
        <v>25</v>
      </c>
      <c r="K116" s="5" t="str">
        <f>VLOOKUP($A116,tropes!$A$4:$O$2428,11,FALSE)</f>
        <v>This Side of Paradise</v>
      </c>
      <c r="L116" s="5">
        <f>VLOOKUP($A116,tropes!$A$4:$O$2428,12,FALSE)</f>
        <v>1</v>
      </c>
      <c r="M116" s="5">
        <f>VLOOKUP($A116,tropes!$A$4:$O$2428,13,FALSE)</f>
        <v>24</v>
      </c>
      <c r="N116" s="5">
        <f t="shared" si="1"/>
        <v>0</v>
      </c>
    </row>
    <row r="117" spans="1:14" x14ac:dyDescent="0.3">
      <c r="A117" s="14">
        <v>820</v>
      </c>
      <c r="B117" s="5" t="str">
        <f>VLOOKUP($A117,tropes!$A$4:$O$2428,2,FALSE)</f>
        <v>Captain's Log</v>
      </c>
      <c r="C117" s="5" t="str">
        <f>VLOOKUP($A117,tropes!$A$4:$O$2428,3,FALSE)</f>
        <v>exposition</v>
      </c>
      <c r="D117" s="5" t="str">
        <f>VLOOKUP($A117,tropes!$A$4:$O$2428,4,FALSE)</f>
        <v>log</v>
      </c>
      <c r="E117" s="5" t="str">
        <f>VLOOKUP($A117,tropes!$A$4:$O$2428,5,FALSE)</f>
        <v>Ship's Log-2 (Kirk): supplemental. We have been ordered by Starfleet Command to evacuate the colony on Omicron Three. However, the colony leader, Elias Sandoval, has refused all co-operation and will not listen to any arguments.</v>
      </c>
      <c r="F117" s="5" t="str">
        <f>VLOOKUP($A117,tropes!$A$4:$O$2428,6,FALSE)</f>
        <v>kirk</v>
      </c>
      <c r="G117" s="5">
        <f>VLOOKUP($A117,tropes!$A$4:$O$2428,7,FALSE)</f>
        <v>1</v>
      </c>
      <c r="H117" s="5">
        <f>VLOOKUP($A117,tropes!$A$4:$O$2428,8,FALSE)</f>
        <v>0</v>
      </c>
      <c r="I117" s="5">
        <f>VLOOKUP($A117,tropes!$A$4:$O$2428,9,FALSE)</f>
        <v>124</v>
      </c>
      <c r="J117" s="5">
        <f>VLOOKUP($A117,tropes!$A$4:$O$2428,10,FALSE)</f>
        <v>25</v>
      </c>
      <c r="K117" s="5" t="str">
        <f>VLOOKUP($A117,tropes!$A$4:$O$2428,11,FALSE)</f>
        <v>This Side of Paradise</v>
      </c>
      <c r="L117" s="5">
        <f>VLOOKUP($A117,tropes!$A$4:$O$2428,12,FALSE)</f>
        <v>1</v>
      </c>
      <c r="M117" s="5">
        <f>VLOOKUP($A117,tropes!$A$4:$O$2428,13,FALSE)</f>
        <v>24</v>
      </c>
      <c r="N117" s="5">
        <f t="shared" si="1"/>
        <v>1</v>
      </c>
    </row>
    <row r="118" spans="1:14" x14ac:dyDescent="0.3">
      <c r="A118" s="14">
        <v>821</v>
      </c>
      <c r="B118" s="5" t="str">
        <f>VLOOKUP($A118,tropes!$A$4:$O$2428,2,FALSE)</f>
        <v>Captain's Log</v>
      </c>
      <c r="C118" s="5" t="str">
        <f>VLOOKUP($A118,tropes!$A$4:$O$2428,3,FALSE)</f>
        <v>exposition</v>
      </c>
      <c r="D118" s="5" t="str">
        <f>VLOOKUP($A118,tropes!$A$4:$O$2428,4,FALSE)</f>
        <v>log</v>
      </c>
      <c r="E118" s="5" t="str">
        <f>VLOOKUP($A118,tropes!$A$4:$O$2428,5,FALSE)</f>
        <v>Ship's Log-3 (Kirk): Stardate 3417.5. The pod plants have spread spores throughout the ship, carried by the ventilation system. Under their influence, my crew is deserting to join the Omicron colony, and I can't stop them. I don't know why I have not been infected, nor can I get Doctor McCoy to explain the physical-psychological aspects of the infection.</v>
      </c>
      <c r="F118" s="5" t="str">
        <f>VLOOKUP($A118,tropes!$A$4:$O$2428,6,FALSE)</f>
        <v>kirk</v>
      </c>
      <c r="G118" s="5">
        <f>VLOOKUP($A118,tropes!$A$4:$O$2428,7,FALSE)</f>
        <v>1</v>
      </c>
      <c r="H118" s="5">
        <f>VLOOKUP($A118,tropes!$A$4:$O$2428,8,FALSE)</f>
        <v>0</v>
      </c>
      <c r="I118" s="5">
        <f>VLOOKUP($A118,tropes!$A$4:$O$2428,9,FALSE)</f>
        <v>124</v>
      </c>
      <c r="J118" s="5">
        <f>VLOOKUP($A118,tropes!$A$4:$O$2428,10,FALSE)</f>
        <v>25</v>
      </c>
      <c r="K118" s="5" t="str">
        <f>VLOOKUP($A118,tropes!$A$4:$O$2428,11,FALSE)</f>
        <v>This Side of Paradise</v>
      </c>
      <c r="L118" s="5">
        <f>VLOOKUP($A118,tropes!$A$4:$O$2428,12,FALSE)</f>
        <v>1</v>
      </c>
      <c r="M118" s="5">
        <f>VLOOKUP($A118,tropes!$A$4:$O$2428,13,FALSE)</f>
        <v>24</v>
      </c>
      <c r="N118" s="5">
        <f t="shared" si="1"/>
        <v>2</v>
      </c>
    </row>
    <row r="119" spans="1:14" x14ac:dyDescent="0.3">
      <c r="A119" s="14">
        <v>822</v>
      </c>
      <c r="B119" s="5" t="str">
        <f>VLOOKUP($A119,tropes!$A$4:$O$2428,2,FALSE)</f>
        <v>Captain's Log</v>
      </c>
      <c r="C119" s="5" t="str">
        <f>VLOOKUP($A119,tropes!$A$4:$O$2428,3,FALSE)</f>
        <v>exposition</v>
      </c>
      <c r="D119" s="5" t="str">
        <f>VLOOKUP($A119,tropes!$A$4:$O$2428,4,FALSE)</f>
        <v>log</v>
      </c>
      <c r="E119" s="5" t="str">
        <f>VLOOKUP($A119,tropes!$A$4:$O$2428,5,FALSE)</f>
        <v>Ship's Log-4 (Kirk): stardate 3417.7. Except for myself, all crew personnel have transported to the surface of the planet. Mutinied. Lieutenant Uhura has effectively sabotaged the communications station. I can only contact the surface of the planet. The ship can be maintained in orbit for several months, but even with automatic controls, I cannot pilot her alone. In effect, I am marooned here. I'm beginning to realize just how big this ship really is, how quiet. I don't know how to get my crew back, how to counteract the effect of the spores. I don't know what I can offer against paradise.</v>
      </c>
      <c r="F119" s="5" t="str">
        <f>VLOOKUP($A119,tropes!$A$4:$O$2428,6,FALSE)</f>
        <v>kirk</v>
      </c>
      <c r="G119" s="5">
        <f>VLOOKUP($A119,tropes!$A$4:$O$2428,7,FALSE)</f>
        <v>1</v>
      </c>
      <c r="H119" s="5">
        <f>VLOOKUP($A119,tropes!$A$4:$O$2428,8,FALSE)</f>
        <v>0</v>
      </c>
      <c r="I119" s="5">
        <f>VLOOKUP($A119,tropes!$A$4:$O$2428,9,FALSE)</f>
        <v>124</v>
      </c>
      <c r="J119" s="5">
        <f>VLOOKUP($A119,tropes!$A$4:$O$2428,10,FALSE)</f>
        <v>25</v>
      </c>
      <c r="K119" s="5" t="str">
        <f>VLOOKUP($A119,tropes!$A$4:$O$2428,11,FALSE)</f>
        <v>This Side of Paradise</v>
      </c>
      <c r="L119" s="5">
        <f>VLOOKUP($A119,tropes!$A$4:$O$2428,12,FALSE)</f>
        <v>1</v>
      </c>
      <c r="M119" s="5">
        <f>VLOOKUP($A119,tropes!$A$4:$O$2428,13,FALSE)</f>
        <v>24</v>
      </c>
      <c r="N119" s="5">
        <f t="shared" si="1"/>
        <v>3</v>
      </c>
    </row>
    <row r="120" spans="1:14" x14ac:dyDescent="0.3">
      <c r="A120" s="14">
        <v>823</v>
      </c>
      <c r="B120" s="5" t="str">
        <f>VLOOKUP($A120,tropes!$A$4:$O$2428,2,FALSE)</f>
        <v>Captain's Log</v>
      </c>
      <c r="C120" s="5" t="str">
        <f>VLOOKUP($A120,tropes!$A$4:$O$2428,3,FALSE)</f>
        <v>exposition</v>
      </c>
      <c r="D120" s="5" t="str">
        <f>VLOOKUP($A120,tropes!$A$4:$O$2428,4,FALSE)</f>
        <v>log</v>
      </c>
      <c r="E120" s="5" t="str">
        <f>VLOOKUP($A120,tropes!$A$4:$O$2428,5,FALSE)</f>
        <v>Ship's Log-5 (Kirk): supplemental. I think I've discovered the answer, but to carry out my plan entails considerable risk. Mister Spock is much stronger than the ordinary human being. Aroused, his great physical strength could kill. But its a risk Ill have to take.</v>
      </c>
      <c r="F120" s="5" t="str">
        <f>VLOOKUP($A120,tropes!$A$4:$O$2428,6,FALSE)</f>
        <v>kirk</v>
      </c>
      <c r="G120" s="5">
        <f>VLOOKUP($A120,tropes!$A$4:$O$2428,7,FALSE)</f>
        <v>1</v>
      </c>
      <c r="H120" s="5">
        <f>VLOOKUP($A120,tropes!$A$4:$O$2428,8,FALSE)</f>
        <v>0</v>
      </c>
      <c r="I120" s="5">
        <f>VLOOKUP($A120,tropes!$A$4:$O$2428,9,FALSE)</f>
        <v>124</v>
      </c>
      <c r="J120" s="5">
        <f>VLOOKUP($A120,tropes!$A$4:$O$2428,10,FALSE)</f>
        <v>25</v>
      </c>
      <c r="K120" s="5" t="str">
        <f>VLOOKUP($A120,tropes!$A$4:$O$2428,11,FALSE)</f>
        <v>This Side of Paradise</v>
      </c>
      <c r="L120" s="5">
        <f>VLOOKUP($A120,tropes!$A$4:$O$2428,12,FALSE)</f>
        <v>1</v>
      </c>
      <c r="M120" s="5">
        <f>VLOOKUP($A120,tropes!$A$4:$O$2428,13,FALSE)</f>
        <v>24</v>
      </c>
      <c r="N120" s="5">
        <f t="shared" si="1"/>
        <v>4</v>
      </c>
    </row>
    <row r="121" spans="1:14" x14ac:dyDescent="0.3">
      <c r="A121" s="14">
        <v>831</v>
      </c>
      <c r="B121" s="5" t="str">
        <f>VLOOKUP($A121,tropes!$A$4:$O$2428,2,FALSE)</f>
        <v>Kirk Summation</v>
      </c>
      <c r="C121" s="5" t="str">
        <f>VLOOKUP($A121,tropes!$A$4:$O$2428,3,FALSE)</f>
        <v>exposition</v>
      </c>
      <c r="D121" s="5" t="str">
        <f>VLOOKUP($A121,tropes!$A$4:$O$2428,4,FALSE)</f>
        <v>summation</v>
      </c>
      <c r="E121" s="5" t="str">
        <f>VLOOKUP($A121,tropes!$A$4:$O$2428,5,FALSE)</f>
        <v>Kirk: Man stagnates if he has no ambition, no desire to be more than he is.</v>
      </c>
      <c r="F121" s="5" t="str">
        <f>VLOOKUP($A121,tropes!$A$4:$O$2428,6,FALSE)</f>
        <v>kirk</v>
      </c>
      <c r="G121" s="5">
        <f>VLOOKUP($A121,tropes!$A$4:$O$2428,7,FALSE)</f>
        <v>1</v>
      </c>
      <c r="H121" s="5">
        <f>VLOOKUP($A121,tropes!$A$4:$O$2428,8,FALSE)</f>
        <v>0</v>
      </c>
      <c r="I121" s="5">
        <f>VLOOKUP($A121,tropes!$A$4:$O$2428,9,FALSE)</f>
        <v>124</v>
      </c>
      <c r="J121" s="5">
        <f>VLOOKUP($A121,tropes!$A$4:$O$2428,10,FALSE)</f>
        <v>25</v>
      </c>
      <c r="K121" s="5" t="str">
        <f>VLOOKUP($A121,tropes!$A$4:$O$2428,11,FALSE)</f>
        <v>This Side of Paradise</v>
      </c>
      <c r="L121" s="5">
        <f>VLOOKUP($A121,tropes!$A$4:$O$2428,12,FALSE)</f>
        <v>1</v>
      </c>
      <c r="M121" s="5">
        <f>VLOOKUP($A121,tropes!$A$4:$O$2428,13,FALSE)</f>
        <v>24</v>
      </c>
      <c r="N121" s="5">
        <f t="shared" si="1"/>
        <v>5</v>
      </c>
    </row>
    <row r="122" spans="1:14" x14ac:dyDescent="0.3">
      <c r="A122" s="14">
        <v>833</v>
      </c>
      <c r="B122" s="5" t="str">
        <f>VLOOKUP($A122,tropes!$A$4:$O$2428,2,FALSE)</f>
        <v>The 'Reason You Suck' Speech</v>
      </c>
      <c r="C122" s="5" t="str">
        <f>VLOOKUP($A122,tropes!$A$4:$O$2428,3,FALSE)</f>
        <v>exposition</v>
      </c>
      <c r="D122" s="5" t="str">
        <f>VLOOKUP($A122,tropes!$A$4:$O$2428,4,FALSE)</f>
        <v>you_suck</v>
      </c>
      <c r="E122" s="5" t="str">
        <f>VLOOKUP($A122,tropes!$A$4:$O$2428,5,FALSE)</f>
        <v>Kirk has to deal a vicious speech to Spock in order to piss him off enough to get over the spores influence. An unusual case in that he didn't actually mean it.</v>
      </c>
      <c r="F122" s="5" t="str">
        <f>VLOOKUP($A122,tropes!$A$4:$O$2428,6,FALSE)</f>
        <v>kirk</v>
      </c>
      <c r="G122" s="5">
        <f>VLOOKUP($A122,tropes!$A$4:$O$2428,7,FALSE)</f>
        <v>1</v>
      </c>
      <c r="H122" s="5">
        <f>VLOOKUP($A122,tropes!$A$4:$O$2428,8,FALSE)</f>
        <v>0</v>
      </c>
      <c r="I122" s="5">
        <f>VLOOKUP($A122,tropes!$A$4:$O$2428,9,FALSE)</f>
        <v>124</v>
      </c>
      <c r="J122" s="5">
        <f>VLOOKUP($A122,tropes!$A$4:$O$2428,10,FALSE)</f>
        <v>25</v>
      </c>
      <c r="K122" s="5" t="str">
        <f>VLOOKUP($A122,tropes!$A$4:$O$2428,11,FALSE)</f>
        <v>This Side of Paradise</v>
      </c>
      <c r="L122" s="5">
        <f>VLOOKUP($A122,tropes!$A$4:$O$2428,12,FALSE)</f>
        <v>1</v>
      </c>
      <c r="M122" s="5">
        <f>VLOOKUP($A122,tropes!$A$4:$O$2428,13,FALSE)</f>
        <v>24</v>
      </c>
      <c r="N122" s="5">
        <f t="shared" si="1"/>
        <v>6</v>
      </c>
    </row>
    <row r="123" spans="1:14" x14ac:dyDescent="0.3">
      <c r="A123" s="14">
        <v>834</v>
      </c>
      <c r="B123" s="5" t="str">
        <f>VLOOKUP($A123,tropes!$A$4:$O$2428,2,FALSE)</f>
        <v>Captain's Log</v>
      </c>
      <c r="C123" s="5" t="str">
        <f>VLOOKUP($A123,tropes!$A$4:$O$2428,3,FALSE)</f>
        <v>exposition</v>
      </c>
      <c r="D123" s="5" t="str">
        <f>VLOOKUP($A123,tropes!$A$4:$O$2428,4,FALSE)</f>
        <v>log</v>
      </c>
      <c r="E123" s="5" t="str">
        <f>VLOOKUP($A123,tropes!$A$4:$O$2428,5,FALSE)</f>
        <v>Ship's Log-1 (Kirk): stardate 3196.1. A distress call from the Pergium production station on Janus Six has brought the Enterprise to that long-established colony. Mister Spock, Doctor McCoy, and I have beamed down to meet with Chief Engineer Vanderberg, administrative head of Janus Six.</v>
      </c>
      <c r="F123" s="5" t="str">
        <f>VLOOKUP($A123,tropes!$A$4:$O$2428,6,FALSE)</f>
        <v>kirk</v>
      </c>
      <c r="G123" s="5">
        <f>VLOOKUP($A123,tropes!$A$4:$O$2428,7,FALSE)</f>
        <v>1</v>
      </c>
      <c r="H123" s="5">
        <f>VLOOKUP($A123,tropes!$A$4:$O$2428,8,FALSE)</f>
        <v>0</v>
      </c>
      <c r="I123" s="5">
        <f>VLOOKUP($A123,tropes!$A$4:$O$2428,9,FALSE)</f>
        <v>125</v>
      </c>
      <c r="J123" s="5">
        <f>VLOOKUP($A123,tropes!$A$4:$O$2428,10,FALSE)</f>
        <v>26</v>
      </c>
      <c r="K123" s="5" t="str">
        <f>VLOOKUP($A123,tropes!$A$4:$O$2428,11,FALSE)</f>
        <v>The Devil in the Dark</v>
      </c>
      <c r="L123" s="5">
        <f>VLOOKUP($A123,tropes!$A$4:$O$2428,12,FALSE)</f>
        <v>1</v>
      </c>
      <c r="M123" s="5">
        <f>VLOOKUP($A123,tropes!$A$4:$O$2428,13,FALSE)</f>
        <v>25</v>
      </c>
      <c r="N123" s="5">
        <f t="shared" si="1"/>
        <v>0</v>
      </c>
    </row>
    <row r="124" spans="1:14" x14ac:dyDescent="0.3">
      <c r="A124" s="14">
        <v>518</v>
      </c>
      <c r="B124" s="5" t="str">
        <f>VLOOKUP($A124,tropes!$A$4:$O$2428,2,FALSE)</f>
        <v>Freudian Trio</v>
      </c>
      <c r="C124" s="5" t="str">
        <f>VLOOKUP($A124,tropes!$A$4:$O$2428,3,FALSE)</f>
        <v>exposition</v>
      </c>
      <c r="D124" s="5" t="str">
        <f>VLOOKUP($A124,tropes!$A$4:$O$2428,4,FALSE)</f>
        <v>freudian_trio</v>
      </c>
      <c r="E124" s="5" t="str">
        <f>VLOOKUP($A124,tropes!$A$4:$O$2428,5,FALSE)</f>
        <v>Kirk, Spock, and McCoy discuss creature situation.</v>
      </c>
      <c r="F124" s="5" t="str">
        <f>VLOOKUP($A124,tropes!$A$4:$O$2428,6,FALSE)</f>
        <v>trio</v>
      </c>
      <c r="G124" s="5">
        <f>VLOOKUP($A124,tropes!$A$4:$O$2428,7,FALSE)</f>
        <v>1</v>
      </c>
      <c r="H124" s="5">
        <f>VLOOKUP($A124,tropes!$A$4:$O$2428,8,FALSE)</f>
        <v>0</v>
      </c>
      <c r="I124" s="5">
        <f>VLOOKUP($A124,tropes!$A$4:$O$2428,9,FALSE)</f>
        <v>125</v>
      </c>
      <c r="J124" s="5">
        <f>VLOOKUP($A124,tropes!$A$4:$O$2428,10,FALSE)</f>
        <v>26</v>
      </c>
      <c r="K124" s="5" t="str">
        <f>VLOOKUP($A124,tropes!$A$4:$O$2428,11,FALSE)</f>
        <v>The Devil in the Dark</v>
      </c>
      <c r="L124" s="5">
        <f>VLOOKUP($A124,tropes!$A$4:$O$2428,12,FALSE)</f>
        <v>1</v>
      </c>
      <c r="M124" s="5">
        <f>VLOOKUP($A124,tropes!$A$4:$O$2428,13,FALSE)</f>
        <v>25</v>
      </c>
      <c r="N124" s="5">
        <f t="shared" si="1"/>
        <v>1</v>
      </c>
    </row>
    <row r="125" spans="1:14" x14ac:dyDescent="0.3">
      <c r="A125" s="14">
        <v>519</v>
      </c>
      <c r="B125" s="5" t="str">
        <f>VLOOKUP($A125,tropes!$A$4:$O$2428,2,FALSE)</f>
        <v>Freudian Trio</v>
      </c>
      <c r="C125" s="5" t="str">
        <f>VLOOKUP($A125,tropes!$A$4:$O$2428,3,FALSE)</f>
        <v>exposition</v>
      </c>
      <c r="D125" s="5" t="str">
        <f>VLOOKUP($A125,tropes!$A$4:$O$2428,4,FALSE)</f>
        <v>freudian_trio</v>
      </c>
      <c r="E125" s="5" t="str">
        <f>VLOOKUP($A125,tropes!$A$4:$O$2428,5,FALSE)</f>
        <v>Kirk, Spock, and McCoy discuss human and Horta seeing the other as horrid looking.</v>
      </c>
      <c r="F125" s="5" t="str">
        <f>VLOOKUP($A125,tropes!$A$4:$O$2428,6,FALSE)</f>
        <v>trio</v>
      </c>
      <c r="G125" s="5">
        <f>VLOOKUP($A125,tropes!$A$4:$O$2428,7,FALSE)</f>
        <v>1</v>
      </c>
      <c r="H125" s="5">
        <f>VLOOKUP($A125,tropes!$A$4:$O$2428,8,FALSE)</f>
        <v>0</v>
      </c>
      <c r="I125" s="5">
        <f>VLOOKUP($A125,tropes!$A$4:$O$2428,9,FALSE)</f>
        <v>125</v>
      </c>
      <c r="J125" s="5">
        <f>VLOOKUP($A125,tropes!$A$4:$O$2428,10,FALSE)</f>
        <v>26</v>
      </c>
      <c r="K125" s="5" t="str">
        <f>VLOOKUP($A125,tropes!$A$4:$O$2428,11,FALSE)</f>
        <v>The Devil in the Dark</v>
      </c>
      <c r="L125" s="5">
        <f>VLOOKUP($A125,tropes!$A$4:$O$2428,12,FALSE)</f>
        <v>1</v>
      </c>
      <c r="M125" s="5">
        <f>VLOOKUP($A125,tropes!$A$4:$O$2428,13,FALSE)</f>
        <v>25</v>
      </c>
      <c r="N125" s="5">
        <f t="shared" si="1"/>
        <v>2</v>
      </c>
    </row>
    <row r="126" spans="1:14" x14ac:dyDescent="0.3">
      <c r="A126" s="14">
        <v>849</v>
      </c>
      <c r="B126" s="5" t="str">
        <f>VLOOKUP($A126,tropes!$A$4:$O$2428,2,FALSE)</f>
        <v>Captain's Log</v>
      </c>
      <c r="C126" s="5" t="str">
        <f>VLOOKUP($A126,tropes!$A$4:$O$2428,3,FALSE)</f>
        <v>exposition</v>
      </c>
      <c r="D126" s="5" t="str">
        <f>VLOOKUP($A126,tropes!$A$4:$O$2428,4,FALSE)</f>
        <v>log</v>
      </c>
      <c r="E126" s="5" t="str">
        <f>VLOOKUP($A126,tropes!$A$4:$O$2428,5,FALSE)</f>
        <v>Ship's Log-1 (Kirk): stardate 3198.4. We have reached Organia and established standard orbit. No signs of hostile activities in this area.</v>
      </c>
      <c r="F126" s="5" t="str">
        <f>VLOOKUP($A126,tropes!$A$4:$O$2428,6,FALSE)</f>
        <v>kirk</v>
      </c>
      <c r="G126" s="5">
        <f>VLOOKUP($A126,tropes!$A$4:$O$2428,7,FALSE)</f>
        <v>1</v>
      </c>
      <c r="H126" s="5">
        <f>VLOOKUP($A126,tropes!$A$4:$O$2428,8,FALSE)</f>
        <v>0</v>
      </c>
      <c r="I126" s="5">
        <f>VLOOKUP($A126,tropes!$A$4:$O$2428,9,FALSE)</f>
        <v>126</v>
      </c>
      <c r="J126" s="5">
        <f>VLOOKUP($A126,tropes!$A$4:$O$2428,10,FALSE)</f>
        <v>27</v>
      </c>
      <c r="K126" s="5" t="str">
        <f>VLOOKUP($A126,tropes!$A$4:$O$2428,11,FALSE)</f>
        <v>Errand of Mercy</v>
      </c>
      <c r="L126" s="5">
        <f>VLOOKUP($A126,tropes!$A$4:$O$2428,12,FALSE)</f>
        <v>1</v>
      </c>
      <c r="M126" s="5">
        <f>VLOOKUP($A126,tropes!$A$4:$O$2428,13,FALSE)</f>
        <v>26</v>
      </c>
      <c r="N126" s="5">
        <f t="shared" si="1"/>
        <v>0</v>
      </c>
    </row>
    <row r="127" spans="1:14" x14ac:dyDescent="0.3">
      <c r="A127" s="14">
        <v>850</v>
      </c>
      <c r="B127" s="5" t="str">
        <f>VLOOKUP($A127,tropes!$A$4:$O$2428,2,FALSE)</f>
        <v>Captain's Log</v>
      </c>
      <c r="C127" s="5" t="str">
        <f>VLOOKUP($A127,tropes!$A$4:$O$2428,3,FALSE)</f>
        <v>exposition</v>
      </c>
      <c r="D127" s="5" t="str">
        <f>VLOOKUP($A127,tropes!$A$4:$O$2428,4,FALSE)</f>
        <v>log</v>
      </c>
      <c r="E127" s="5" t="str">
        <f>VLOOKUP($A127,tropes!$A$4:$O$2428,5,FALSE)</f>
        <v>Ship's Log-2 (Kirk): stardate 3201.7. Mister Spock and I are trapped on the planet Organia, which is in the process of being occupied by the forces of the Klingon Empire. The Organians have provided us with native clothing in the hopes we may be taken for Organians.</v>
      </c>
      <c r="F127" s="5" t="str">
        <f>VLOOKUP($A127,tropes!$A$4:$O$2428,6,FALSE)</f>
        <v>kirk</v>
      </c>
      <c r="G127" s="5">
        <f>VLOOKUP($A127,tropes!$A$4:$O$2428,7,FALSE)</f>
        <v>1</v>
      </c>
      <c r="H127" s="5">
        <f>VLOOKUP($A127,tropes!$A$4:$O$2428,8,FALSE)</f>
        <v>0</v>
      </c>
      <c r="I127" s="5">
        <f>VLOOKUP($A127,tropes!$A$4:$O$2428,9,FALSE)</f>
        <v>126</v>
      </c>
      <c r="J127" s="5">
        <f>VLOOKUP($A127,tropes!$A$4:$O$2428,10,FALSE)</f>
        <v>27</v>
      </c>
      <c r="K127" s="5" t="str">
        <f>VLOOKUP($A127,tropes!$A$4:$O$2428,11,FALSE)</f>
        <v>Errand of Mercy</v>
      </c>
      <c r="L127" s="5">
        <f>VLOOKUP($A127,tropes!$A$4:$O$2428,12,FALSE)</f>
        <v>1</v>
      </c>
      <c r="M127" s="5">
        <f>VLOOKUP($A127,tropes!$A$4:$O$2428,13,FALSE)</f>
        <v>26</v>
      </c>
      <c r="N127" s="5">
        <f t="shared" si="1"/>
        <v>1</v>
      </c>
    </row>
    <row r="128" spans="1:14" x14ac:dyDescent="0.3">
      <c r="A128" s="14">
        <v>863</v>
      </c>
      <c r="B128" s="5" t="str">
        <f>VLOOKUP($A128,tropes!$A$4:$O$2428,2,FALSE)</f>
        <v>Captain's Log</v>
      </c>
      <c r="C128" s="5" t="str">
        <f>VLOOKUP($A128,tropes!$A$4:$O$2428,3,FALSE)</f>
        <v>exposition</v>
      </c>
      <c r="D128" s="5" t="str">
        <f>VLOOKUP($A128,tropes!$A$4:$O$2428,4,FALSE)</f>
        <v>log</v>
      </c>
      <c r="E128" s="5" t="str">
        <f>VLOOKUP($A128,tropes!$A$4:$O$2428,5,FALSE)</f>
        <v>Ship's Log-1 (Kirk): stardate 3087.6. While investigating an uncharted planet, the Enterprise and at least this entire quadrant of space, has been subjected to violent, unexplained stress and force. Sensors have reported the presence of a human being on the planet below who might be connected with the phenomenon. With my first officer and a security team, I have set out in search of him.</v>
      </c>
      <c r="F128" s="5" t="str">
        <f>VLOOKUP($A128,tropes!$A$4:$O$2428,6,FALSE)</f>
        <v>kirk</v>
      </c>
      <c r="G128" s="5">
        <f>VLOOKUP($A128,tropes!$A$4:$O$2428,7,FALSE)</f>
        <v>1</v>
      </c>
      <c r="H128" s="5">
        <f>VLOOKUP($A128,tropes!$A$4:$O$2428,8,FALSE)</f>
        <v>0</v>
      </c>
      <c r="I128" s="5">
        <f>VLOOKUP($A128,tropes!$A$4:$O$2428,9,FALSE)</f>
        <v>127</v>
      </c>
      <c r="J128" s="5">
        <f>VLOOKUP($A128,tropes!$A$4:$O$2428,10,FALSE)</f>
        <v>28</v>
      </c>
      <c r="K128" s="5" t="str">
        <f>VLOOKUP($A128,tropes!$A$4:$O$2428,11,FALSE)</f>
        <v>The Alternative Factor</v>
      </c>
      <c r="L128" s="5">
        <f>VLOOKUP($A128,tropes!$A$4:$O$2428,12,FALSE)</f>
        <v>1</v>
      </c>
      <c r="M128" s="5">
        <f>VLOOKUP($A128,tropes!$A$4:$O$2428,13,FALSE)</f>
        <v>27</v>
      </c>
      <c r="N128" s="5">
        <f t="shared" si="1"/>
        <v>0</v>
      </c>
    </row>
    <row r="129" spans="1:14" x14ac:dyDescent="0.3">
      <c r="A129" s="14">
        <v>864</v>
      </c>
      <c r="B129" s="5" t="str">
        <f>VLOOKUP($A129,tropes!$A$4:$O$2428,2,FALSE)</f>
        <v>Captain's Log</v>
      </c>
      <c r="C129" s="5" t="str">
        <f>VLOOKUP($A129,tropes!$A$4:$O$2428,3,FALSE)</f>
        <v>exposition</v>
      </c>
      <c r="D129" s="5" t="str">
        <f>VLOOKUP($A129,tropes!$A$4:$O$2428,4,FALSE)</f>
        <v>log</v>
      </c>
      <c r="E129" s="5" t="str">
        <f>VLOOKUP($A129,tropes!$A$4:$O$2428,5,FALSE)</f>
        <v>Ship's Log-2 (Kirk): stardate 3088.3. We continue to orbit the dead planet, which seems to be the source of the phenomenon which has struck the Enterprise and all sections of the galaxy once again. As for Lazarus, the story he tells me about the humanoid continues to trouble me.</v>
      </c>
      <c r="F129" s="5" t="str">
        <f>VLOOKUP($A129,tropes!$A$4:$O$2428,6,FALSE)</f>
        <v>kirk</v>
      </c>
      <c r="G129" s="5">
        <f>VLOOKUP($A129,tropes!$A$4:$O$2428,7,FALSE)</f>
        <v>1</v>
      </c>
      <c r="H129" s="5">
        <f>VLOOKUP($A129,tropes!$A$4:$O$2428,8,FALSE)</f>
        <v>0</v>
      </c>
      <c r="I129" s="5">
        <f>VLOOKUP($A129,tropes!$A$4:$O$2428,9,FALSE)</f>
        <v>127</v>
      </c>
      <c r="J129" s="5">
        <f>VLOOKUP($A129,tropes!$A$4:$O$2428,10,FALSE)</f>
        <v>28</v>
      </c>
      <c r="K129" s="5" t="str">
        <f>VLOOKUP($A129,tropes!$A$4:$O$2428,11,FALSE)</f>
        <v>The Alternative Factor</v>
      </c>
      <c r="L129" s="5">
        <f>VLOOKUP($A129,tropes!$A$4:$O$2428,12,FALSE)</f>
        <v>1</v>
      </c>
      <c r="M129" s="5">
        <f>VLOOKUP($A129,tropes!$A$4:$O$2428,13,FALSE)</f>
        <v>27</v>
      </c>
      <c r="N129" s="5">
        <f t="shared" si="1"/>
        <v>1</v>
      </c>
    </row>
    <row r="130" spans="1:14" x14ac:dyDescent="0.3">
      <c r="A130" s="14">
        <v>865</v>
      </c>
      <c r="B130" s="5" t="str">
        <f>VLOOKUP($A130,tropes!$A$4:$O$2428,2,FALSE)</f>
        <v>Captain's Log</v>
      </c>
      <c r="C130" s="5" t="str">
        <f>VLOOKUP($A130,tropes!$A$4:$O$2428,3,FALSE)</f>
        <v>exposition</v>
      </c>
      <c r="D130" s="5" t="str">
        <f>VLOOKUP($A130,tropes!$A$4:$O$2428,4,FALSE)</f>
        <v>log</v>
      </c>
      <c r="E130" s="5" t="str">
        <f>VLOOKUP($A130,tropes!$A$4:$O$2428,5,FALSE)</f>
        <v>Ship's Log-3 (Kirk): stardate 3088.7. We are no closer to finding an answer to the strange phenomenon than we were at the beginning. Not only have two of my crewmen been attacked, two of our dilithium crystals are missing, and without them the Enterprise cannot operate at full power. They must be found.</v>
      </c>
      <c r="F130" s="5" t="str">
        <f>VLOOKUP($A130,tropes!$A$4:$O$2428,6,FALSE)</f>
        <v>kirk</v>
      </c>
      <c r="G130" s="5">
        <f>VLOOKUP($A130,tropes!$A$4:$O$2428,7,FALSE)</f>
        <v>1</v>
      </c>
      <c r="H130" s="5">
        <f>VLOOKUP($A130,tropes!$A$4:$O$2428,8,FALSE)</f>
        <v>0</v>
      </c>
      <c r="I130" s="5">
        <f>VLOOKUP($A130,tropes!$A$4:$O$2428,9,FALSE)</f>
        <v>127</v>
      </c>
      <c r="J130" s="5">
        <f>VLOOKUP($A130,tropes!$A$4:$O$2428,10,FALSE)</f>
        <v>28</v>
      </c>
      <c r="K130" s="5" t="str">
        <f>VLOOKUP($A130,tropes!$A$4:$O$2428,11,FALSE)</f>
        <v>The Alternative Factor</v>
      </c>
      <c r="L130" s="5">
        <f>VLOOKUP($A130,tropes!$A$4:$O$2428,12,FALSE)</f>
        <v>1</v>
      </c>
      <c r="M130" s="5">
        <f>VLOOKUP($A130,tropes!$A$4:$O$2428,13,FALSE)</f>
        <v>27</v>
      </c>
      <c r="N130" s="5">
        <f t="shared" si="1"/>
        <v>2</v>
      </c>
    </row>
    <row r="131" spans="1:14" x14ac:dyDescent="0.3">
      <c r="A131" s="14">
        <v>871</v>
      </c>
      <c r="B131" s="5" t="str">
        <f>VLOOKUP($A131,tropes!$A$4:$O$2428,2,FALSE)</f>
        <v>Captain's Log</v>
      </c>
      <c r="C131" s="5" t="str">
        <f>VLOOKUP($A131,tropes!$A$4:$O$2428,3,FALSE)</f>
        <v>exposition</v>
      </c>
      <c r="D131" s="5" t="str">
        <f>VLOOKUP($A131,tropes!$A$4:$O$2428,4,FALSE)</f>
        <v>log</v>
      </c>
      <c r="E131" s="5" t="str">
        <f>VLOOKUP($A131,tropes!$A$4:$O$2428,5,FALSE)</f>
        <v>Ship's Log-1 (Kirk): supplemental entry. Two drops of cordrazine can save a mans life. A hundred times that amount has just accidentally been pumped into Doctor McCoy's body. In a strange, wild frenzy, he has fled the ships Bridge. All connecting decks have been placed on alert. We have no way of knowing if the madness is permanent or temporary, or in what direction it will drive McCoy.</v>
      </c>
      <c r="F131" s="5" t="str">
        <f>VLOOKUP($A131,tropes!$A$4:$O$2428,6,FALSE)</f>
        <v>kirk</v>
      </c>
      <c r="G131" s="5">
        <f>VLOOKUP($A131,tropes!$A$4:$O$2428,7,FALSE)</f>
        <v>1</v>
      </c>
      <c r="H131" s="5">
        <f>VLOOKUP($A131,tropes!$A$4:$O$2428,8,FALSE)</f>
        <v>0</v>
      </c>
      <c r="I131" s="5">
        <f>VLOOKUP($A131,tropes!$A$4:$O$2428,9,FALSE)</f>
        <v>128</v>
      </c>
      <c r="J131" s="5">
        <f>VLOOKUP($A131,tropes!$A$4:$O$2428,10,FALSE)</f>
        <v>29</v>
      </c>
      <c r="K131" s="5" t="str">
        <f>VLOOKUP($A131,tropes!$A$4:$O$2428,11,FALSE)</f>
        <v>The City on the Edge of Forever</v>
      </c>
      <c r="L131" s="5">
        <f>VLOOKUP($A131,tropes!$A$4:$O$2428,12,FALSE)</f>
        <v>1</v>
      </c>
      <c r="M131" s="5">
        <f>VLOOKUP($A131,tropes!$A$4:$O$2428,13,FALSE)</f>
        <v>28</v>
      </c>
      <c r="N131" s="5">
        <f t="shared" si="1"/>
        <v>0</v>
      </c>
    </row>
    <row r="132" spans="1:14" x14ac:dyDescent="0.3">
      <c r="A132" s="14">
        <v>872</v>
      </c>
      <c r="B132" s="5" t="str">
        <f>VLOOKUP($A132,tropes!$A$4:$O$2428,2,FALSE)</f>
        <v>Captain's Log</v>
      </c>
      <c r="C132" s="5" t="str">
        <f>VLOOKUP($A132,tropes!$A$4:$O$2428,3,FALSE)</f>
        <v>exposition</v>
      </c>
      <c r="D132" s="5" t="str">
        <f>VLOOKUP($A132,tropes!$A$4:$O$2428,4,FALSE)</f>
        <v>log</v>
      </c>
      <c r="E132" s="5" t="str">
        <f>VLOOKUP($A132,tropes!$A$4:$O$2428,5,FALSE)</f>
        <v>Ship's Log-2 (Kirk): no stardate. For us, time does not exist. McCoy, back somewhere in the past, has effected a change in the course of time. All Earth history has been changed. There is no starship Enterprise. We have only one chance. We have asked the Guardian to show us Earths history again. Spock and I will go back into time ourselves and attempt to set right what ever it was that McCoy changed.</v>
      </c>
      <c r="F132" s="5" t="str">
        <f>VLOOKUP($A132,tropes!$A$4:$O$2428,6,FALSE)</f>
        <v>kirk</v>
      </c>
      <c r="G132" s="5">
        <f>VLOOKUP($A132,tropes!$A$4:$O$2428,7,FALSE)</f>
        <v>1</v>
      </c>
      <c r="H132" s="5">
        <f>VLOOKUP($A132,tropes!$A$4:$O$2428,8,FALSE)</f>
        <v>0</v>
      </c>
      <c r="I132" s="5">
        <f>VLOOKUP($A132,tropes!$A$4:$O$2428,9,FALSE)</f>
        <v>128</v>
      </c>
      <c r="J132" s="5">
        <f>VLOOKUP($A132,tropes!$A$4:$O$2428,10,FALSE)</f>
        <v>29</v>
      </c>
      <c r="K132" s="5" t="str">
        <f>VLOOKUP($A132,tropes!$A$4:$O$2428,11,FALSE)</f>
        <v>The City on the Edge of Forever</v>
      </c>
      <c r="L132" s="5">
        <f>VLOOKUP($A132,tropes!$A$4:$O$2428,12,FALSE)</f>
        <v>1</v>
      </c>
      <c r="M132" s="5">
        <f>VLOOKUP($A132,tropes!$A$4:$O$2428,13,FALSE)</f>
        <v>28</v>
      </c>
      <c r="N132" s="5">
        <f t="shared" ref="N132:N168" si="2">IF(I132&lt;&gt;I131,0,N131+1)</f>
        <v>1</v>
      </c>
    </row>
    <row r="133" spans="1:14" x14ac:dyDescent="0.3">
      <c r="A133" s="14">
        <v>875</v>
      </c>
      <c r="B133" s="5" t="str">
        <f>VLOOKUP($A133,tropes!$A$4:$O$2428,2,FALSE)</f>
        <v>Captain's Log</v>
      </c>
      <c r="C133" s="5" t="str">
        <f>VLOOKUP($A133,tropes!$A$4:$O$2428,3,FALSE)</f>
        <v>exposition</v>
      </c>
      <c r="D133" s="5" t="str">
        <f>VLOOKUP($A133,tropes!$A$4:$O$2428,4,FALSE)</f>
        <v>log</v>
      </c>
      <c r="E133" s="5" t="str">
        <f>VLOOKUP($A133,tropes!$A$4:$O$2428,5,FALSE)</f>
        <v>Ship's Log-1 (Kirk): stardate 3287.2. The mass insanity we have tracked across this section of the galaxy seems to have already touched Deneva. That planet, colonized over a century ago, is one of the most beautiful in the galaxy.</v>
      </c>
      <c r="F133" s="5" t="str">
        <f>VLOOKUP($A133,tropes!$A$4:$O$2428,6,FALSE)</f>
        <v>kirk</v>
      </c>
      <c r="G133" s="5">
        <f>VLOOKUP($A133,tropes!$A$4:$O$2428,7,FALSE)</f>
        <v>1</v>
      </c>
      <c r="H133" s="5">
        <f>VLOOKUP($A133,tropes!$A$4:$O$2428,8,FALSE)</f>
        <v>0</v>
      </c>
      <c r="I133" s="5">
        <f>VLOOKUP($A133,tropes!$A$4:$O$2428,9,FALSE)</f>
        <v>129</v>
      </c>
      <c r="J133" s="5">
        <f>VLOOKUP($A133,tropes!$A$4:$O$2428,10,FALSE)</f>
        <v>30</v>
      </c>
      <c r="K133" s="5" t="str">
        <f>VLOOKUP($A133,tropes!$A$4:$O$2428,11,FALSE)</f>
        <v>Operation: Annihilate!</v>
      </c>
      <c r="L133" s="5">
        <f>VLOOKUP($A133,tropes!$A$4:$O$2428,12,FALSE)</f>
        <v>1</v>
      </c>
      <c r="M133" s="5">
        <f>VLOOKUP($A133,tropes!$A$4:$O$2428,13,FALSE)</f>
        <v>29</v>
      </c>
      <c r="N133" s="5">
        <f t="shared" si="2"/>
        <v>0</v>
      </c>
    </row>
    <row r="134" spans="1:14" x14ac:dyDescent="0.3">
      <c r="A134" s="14">
        <v>876</v>
      </c>
      <c r="B134" s="5" t="str">
        <f>VLOOKUP($A134,tropes!$A$4:$O$2428,2,FALSE)</f>
        <v>Captain's Log</v>
      </c>
      <c r="C134" s="5" t="str">
        <f>VLOOKUP($A134,tropes!$A$4:$O$2428,3,FALSE)</f>
        <v>exposition</v>
      </c>
      <c r="D134" s="5" t="str">
        <f>VLOOKUP($A134,tropes!$A$4:$O$2428,4,FALSE)</f>
        <v>log</v>
      </c>
      <c r="E134" s="5" t="str">
        <f>VLOOKUP($A134,tropes!$A$4:$O$2428,5,FALSE)</f>
        <v>Ship's Log-2 (Kirk): supplemental. Whatever the creatures are, they have apparently taken over all the inhabitants of Deneva. Meanwhile, ships surgeon Doctor McCoy is examining a strange puncture wound left by one of the creatures on Mister Spock's back.</v>
      </c>
      <c r="F134" s="5" t="str">
        <f>VLOOKUP($A134,tropes!$A$4:$O$2428,6,FALSE)</f>
        <v>kirk</v>
      </c>
      <c r="G134" s="5">
        <f>VLOOKUP($A134,tropes!$A$4:$O$2428,7,FALSE)</f>
        <v>1</v>
      </c>
      <c r="H134" s="5">
        <f>VLOOKUP($A134,tropes!$A$4:$O$2428,8,FALSE)</f>
        <v>0</v>
      </c>
      <c r="I134" s="5">
        <f>VLOOKUP($A134,tropes!$A$4:$O$2428,9,FALSE)</f>
        <v>129</v>
      </c>
      <c r="J134" s="5">
        <f>VLOOKUP($A134,tropes!$A$4:$O$2428,10,FALSE)</f>
        <v>30</v>
      </c>
      <c r="K134" s="5" t="str">
        <f>VLOOKUP($A134,tropes!$A$4:$O$2428,11,FALSE)</f>
        <v>Operation: Annihilate!</v>
      </c>
      <c r="L134" s="5">
        <f>VLOOKUP($A134,tropes!$A$4:$O$2428,12,FALSE)</f>
        <v>1</v>
      </c>
      <c r="M134" s="5">
        <f>VLOOKUP($A134,tropes!$A$4:$O$2428,13,FALSE)</f>
        <v>29</v>
      </c>
      <c r="N134" s="5">
        <f t="shared" si="2"/>
        <v>1</v>
      </c>
    </row>
    <row r="135" spans="1:14" x14ac:dyDescent="0.3">
      <c r="A135" s="14">
        <v>877</v>
      </c>
      <c r="B135" s="5" t="str">
        <f>VLOOKUP($A135,tropes!$A$4:$O$2428,2,FALSE)</f>
        <v>Captain's Log</v>
      </c>
      <c r="C135" s="5" t="str">
        <f>VLOOKUP($A135,tropes!$A$4:$O$2428,3,FALSE)</f>
        <v>exposition</v>
      </c>
      <c r="D135" s="5" t="str">
        <f>VLOOKUP($A135,tropes!$A$4:$O$2428,4,FALSE)</f>
        <v>log</v>
      </c>
      <c r="E135" s="5" t="str">
        <f>VLOOKUP($A135,tropes!$A$4:$O$2428,5,FALSE)</f>
        <v>Ship's Log-3 (Kirk): stardate 3289.8. I am faced with the most difficult decision of my life. Unless we find a way to destroy the creatures without killing their human hosts, my command responsibilities will force me to kill over a million people.</v>
      </c>
      <c r="F135" s="5" t="str">
        <f>VLOOKUP($A135,tropes!$A$4:$O$2428,6,FALSE)</f>
        <v>kirk</v>
      </c>
      <c r="G135" s="5">
        <f>VLOOKUP($A135,tropes!$A$4:$O$2428,7,FALSE)</f>
        <v>1</v>
      </c>
      <c r="H135" s="5">
        <f>VLOOKUP($A135,tropes!$A$4:$O$2428,8,FALSE)</f>
        <v>0</v>
      </c>
      <c r="I135" s="5">
        <f>VLOOKUP($A135,tropes!$A$4:$O$2428,9,FALSE)</f>
        <v>129</v>
      </c>
      <c r="J135" s="5">
        <f>VLOOKUP($A135,tropes!$A$4:$O$2428,10,FALSE)</f>
        <v>30</v>
      </c>
      <c r="K135" s="5" t="str">
        <f>VLOOKUP($A135,tropes!$A$4:$O$2428,11,FALSE)</f>
        <v>Operation: Annihilate!</v>
      </c>
      <c r="L135" s="5">
        <f>VLOOKUP($A135,tropes!$A$4:$O$2428,12,FALSE)</f>
        <v>1</v>
      </c>
      <c r="M135" s="5">
        <f>VLOOKUP($A135,tropes!$A$4:$O$2428,13,FALSE)</f>
        <v>29</v>
      </c>
      <c r="N135" s="5">
        <f t="shared" si="2"/>
        <v>2</v>
      </c>
    </row>
    <row r="136" spans="1:14" x14ac:dyDescent="0.3">
      <c r="A136" s="14">
        <v>521</v>
      </c>
      <c r="B136" s="5" t="str">
        <f>VLOOKUP($A136,tropes!$A$4:$O$2428,2,FALSE)</f>
        <v>Freudian Trio</v>
      </c>
      <c r="C136" s="5" t="str">
        <f>VLOOKUP($A136,tropes!$A$4:$O$2428,3,FALSE)</f>
        <v>exposition</v>
      </c>
      <c r="D136" s="5" t="str">
        <f>VLOOKUP($A136,tropes!$A$4:$O$2428,4,FALSE)</f>
        <v>freudian_trio</v>
      </c>
      <c r="E136" s="5" t="str">
        <f>VLOOKUP($A136,tropes!$A$4:$O$2428,5,FALSE)</f>
        <v>Kirk, Spock, and McCoy discuss how to kill aliens with killing host.</v>
      </c>
      <c r="F136" s="5" t="str">
        <f>VLOOKUP($A136,tropes!$A$4:$O$2428,6,FALSE)</f>
        <v>trio</v>
      </c>
      <c r="G136" s="5">
        <f>VLOOKUP($A136,tropes!$A$4:$O$2428,7,FALSE)</f>
        <v>1</v>
      </c>
      <c r="H136" s="5">
        <f>VLOOKUP($A136,tropes!$A$4:$O$2428,8,FALSE)</f>
        <v>0</v>
      </c>
      <c r="I136" s="5">
        <f>VLOOKUP($A136,tropes!$A$4:$O$2428,9,FALSE)</f>
        <v>129</v>
      </c>
      <c r="J136" s="5">
        <f>VLOOKUP($A136,tropes!$A$4:$O$2428,10,FALSE)</f>
        <v>30</v>
      </c>
      <c r="K136" s="5" t="str">
        <f>VLOOKUP($A136,tropes!$A$4:$O$2428,11,FALSE)</f>
        <v>Operation: Annihilate!</v>
      </c>
      <c r="L136" s="5">
        <f>VLOOKUP($A136,tropes!$A$4:$O$2428,12,FALSE)</f>
        <v>1</v>
      </c>
      <c r="M136" s="5">
        <f>VLOOKUP($A136,tropes!$A$4:$O$2428,13,FALSE)</f>
        <v>29</v>
      </c>
      <c r="N136" s="5">
        <f t="shared" si="2"/>
        <v>3</v>
      </c>
    </row>
    <row r="137" spans="1:14" x14ac:dyDescent="0.3">
      <c r="A137" s="14">
        <v>522</v>
      </c>
      <c r="B137" s="5" t="str">
        <f>VLOOKUP($A137,tropes!$A$4:$O$2428,2,FALSE)</f>
        <v>Freudian Trio</v>
      </c>
      <c r="C137" s="5" t="str">
        <f>VLOOKUP($A137,tropes!$A$4:$O$2428,3,FALSE)</f>
        <v>exposition</v>
      </c>
      <c r="D137" s="5" t="str">
        <f>VLOOKUP($A137,tropes!$A$4:$O$2428,4,FALSE)</f>
        <v>freudian_trio</v>
      </c>
      <c r="E137" s="5" t="str">
        <f>VLOOKUP($A137,tropes!$A$4:$O$2428,5,FALSE)</f>
        <v>Kirk, Spock, and McCoy discuss Spock and 1 million Deneva colonists.</v>
      </c>
      <c r="F137" s="5" t="str">
        <f>VLOOKUP($A137,tropes!$A$4:$O$2428,6,FALSE)</f>
        <v>trio</v>
      </c>
      <c r="G137" s="5">
        <f>VLOOKUP($A137,tropes!$A$4:$O$2428,7,FALSE)</f>
        <v>1</v>
      </c>
      <c r="H137" s="5">
        <f>VLOOKUP($A137,tropes!$A$4:$O$2428,8,FALSE)</f>
        <v>0</v>
      </c>
      <c r="I137" s="5">
        <f>VLOOKUP($A137,tropes!$A$4:$O$2428,9,FALSE)</f>
        <v>129</v>
      </c>
      <c r="J137" s="5">
        <f>VLOOKUP($A137,tropes!$A$4:$O$2428,10,FALSE)</f>
        <v>30</v>
      </c>
      <c r="K137" s="5" t="str">
        <f>VLOOKUP($A137,tropes!$A$4:$O$2428,11,FALSE)</f>
        <v>Operation: Annihilate!</v>
      </c>
      <c r="L137" s="5">
        <f>VLOOKUP($A137,tropes!$A$4:$O$2428,12,FALSE)</f>
        <v>1</v>
      </c>
      <c r="M137" s="5">
        <f>VLOOKUP($A137,tropes!$A$4:$O$2428,13,FALSE)</f>
        <v>29</v>
      </c>
      <c r="N137" s="5">
        <f t="shared" si="2"/>
        <v>4</v>
      </c>
    </row>
    <row r="138" spans="1:14" x14ac:dyDescent="0.3">
      <c r="A138" s="14">
        <v>523</v>
      </c>
      <c r="B138" s="5" t="str">
        <f>VLOOKUP($A138,tropes!$A$4:$O$2428,2,FALSE)</f>
        <v>Freudian Trio</v>
      </c>
      <c r="C138" s="5" t="str">
        <f>VLOOKUP($A138,tropes!$A$4:$O$2428,3,FALSE)</f>
        <v>exposition</v>
      </c>
      <c r="D138" s="5" t="str">
        <f>VLOOKUP($A138,tropes!$A$4:$O$2428,4,FALSE)</f>
        <v>freudian_trio</v>
      </c>
      <c r="E138" s="5" t="str">
        <f>VLOOKUP($A138,tropes!$A$4:$O$2428,5,FALSE)</f>
        <v>Kirk, Spock, and McCoy discuss Spock's eyelids.</v>
      </c>
      <c r="F138" s="5" t="str">
        <f>VLOOKUP($A138,tropes!$A$4:$O$2428,6,FALSE)</f>
        <v>trio</v>
      </c>
      <c r="G138" s="5">
        <f>VLOOKUP($A138,tropes!$A$4:$O$2428,7,FALSE)</f>
        <v>1</v>
      </c>
      <c r="H138" s="5">
        <f>VLOOKUP($A138,tropes!$A$4:$O$2428,8,FALSE)</f>
        <v>0</v>
      </c>
      <c r="I138" s="5">
        <f>VLOOKUP($A138,tropes!$A$4:$O$2428,9,FALSE)</f>
        <v>129</v>
      </c>
      <c r="J138" s="5">
        <f>VLOOKUP($A138,tropes!$A$4:$O$2428,10,FALSE)</f>
        <v>30</v>
      </c>
      <c r="K138" s="5" t="str">
        <f>VLOOKUP($A138,tropes!$A$4:$O$2428,11,FALSE)</f>
        <v>Operation: Annihilate!</v>
      </c>
      <c r="L138" s="5">
        <f>VLOOKUP($A138,tropes!$A$4:$O$2428,12,FALSE)</f>
        <v>1</v>
      </c>
      <c r="M138" s="5">
        <f>VLOOKUP($A138,tropes!$A$4:$O$2428,13,FALSE)</f>
        <v>29</v>
      </c>
      <c r="N138" s="5">
        <f t="shared" si="2"/>
        <v>5</v>
      </c>
    </row>
    <row r="139" spans="1:14" x14ac:dyDescent="0.3">
      <c r="A139" s="14">
        <v>886</v>
      </c>
      <c r="B139" s="5" t="str">
        <f>VLOOKUP($A139,tropes!$A$4:$O$2428,2,FALSE)</f>
        <v>Captain's Log</v>
      </c>
      <c r="C139" s="5" t="str">
        <f>VLOOKUP($A139,tropes!$A$4:$O$2428,3,FALSE)</f>
        <v>exposition</v>
      </c>
      <c r="D139" s="5" t="str">
        <f>VLOOKUP($A139,tropes!$A$4:$O$2428,4,FALSE)</f>
        <v>log</v>
      </c>
      <c r="E139" s="5" t="str">
        <f>VLOOKUP($A139,tropes!$A$4:$O$2428,5,FALSE)</f>
        <v>Ship's Log-1 (Kirk): stardate 3372.7. On course, on schedule, bound for Altair Six via Vulcan. First Officer Spock seems to be under stress. He has requested and been granted shore leave. Ship surgeon McCoy has him under medical surveillance.</v>
      </c>
      <c r="F139" s="5" t="str">
        <f>VLOOKUP($A139,tropes!$A$4:$O$2428,6,FALSE)</f>
        <v>kirk</v>
      </c>
      <c r="G139" s="5">
        <f>VLOOKUP($A139,tropes!$A$4:$O$2428,7,FALSE)</f>
        <v>1</v>
      </c>
      <c r="H139" s="5">
        <f>VLOOKUP($A139,tropes!$A$4:$O$2428,8,FALSE)</f>
        <v>0</v>
      </c>
      <c r="I139" s="5">
        <f>VLOOKUP($A139,tropes!$A$4:$O$2428,9,FALSE)</f>
        <v>201</v>
      </c>
      <c r="J139" s="5">
        <f>VLOOKUP($A139,tropes!$A$4:$O$2428,10,FALSE)</f>
        <v>31</v>
      </c>
      <c r="K139" s="5" t="str">
        <f>VLOOKUP($A139,tropes!$A$4:$O$2428,11,FALSE)</f>
        <v>Amok Time</v>
      </c>
      <c r="L139" s="5">
        <f>VLOOKUP($A139,tropes!$A$4:$O$2428,12,FALSE)</f>
        <v>2</v>
      </c>
      <c r="M139" s="5">
        <f>VLOOKUP($A139,tropes!$A$4:$O$2428,13,FALSE)</f>
        <v>1</v>
      </c>
      <c r="N139" s="5">
        <f t="shared" si="2"/>
        <v>0</v>
      </c>
    </row>
    <row r="140" spans="1:14" x14ac:dyDescent="0.3">
      <c r="A140" s="14">
        <v>524</v>
      </c>
      <c r="B140" s="5" t="str">
        <f>VLOOKUP($A140,tropes!$A$4:$O$2428,2,FALSE)</f>
        <v>Freudian Trio</v>
      </c>
      <c r="C140" s="5" t="str">
        <f>VLOOKUP($A140,tropes!$A$4:$O$2428,3,FALSE)</f>
        <v>exposition</v>
      </c>
      <c r="D140" s="5" t="str">
        <f>VLOOKUP($A140,tropes!$A$4:$O$2428,4,FALSE)</f>
        <v>freudian_trio</v>
      </c>
      <c r="E140" s="5" t="str">
        <f>VLOOKUP($A140,tropes!$A$4:$O$2428,5,FALSE)</f>
        <v>Kirk, Spock, and McCoy discuss going down to Vulcan with Spock.</v>
      </c>
      <c r="F140" s="5" t="str">
        <f>VLOOKUP($A140,tropes!$A$4:$O$2428,6,FALSE)</f>
        <v>trio</v>
      </c>
      <c r="G140" s="5">
        <f>VLOOKUP($A140,tropes!$A$4:$O$2428,7,FALSE)</f>
        <v>1</v>
      </c>
      <c r="H140" s="5">
        <f>VLOOKUP($A140,tropes!$A$4:$O$2428,8,FALSE)</f>
        <v>0</v>
      </c>
      <c r="I140" s="5">
        <f>VLOOKUP($A140,tropes!$A$4:$O$2428,9,FALSE)</f>
        <v>201</v>
      </c>
      <c r="J140" s="5">
        <f>VLOOKUP($A140,tropes!$A$4:$O$2428,10,FALSE)</f>
        <v>31</v>
      </c>
      <c r="K140" s="5" t="str">
        <f>VLOOKUP($A140,tropes!$A$4:$O$2428,11,FALSE)</f>
        <v>Amok Time</v>
      </c>
      <c r="L140" s="5">
        <f>VLOOKUP($A140,tropes!$A$4:$O$2428,12,FALSE)</f>
        <v>2</v>
      </c>
      <c r="M140" s="5">
        <f>VLOOKUP($A140,tropes!$A$4:$O$2428,13,FALSE)</f>
        <v>1</v>
      </c>
      <c r="N140" s="5">
        <f t="shared" si="2"/>
        <v>1</v>
      </c>
    </row>
    <row r="141" spans="1:14" x14ac:dyDescent="0.3">
      <c r="A141" s="14">
        <v>525</v>
      </c>
      <c r="B141" s="5" t="str">
        <f>VLOOKUP($A141,tropes!$A$4:$O$2428,2,FALSE)</f>
        <v>Freudian Trio</v>
      </c>
      <c r="C141" s="5" t="str">
        <f>VLOOKUP($A141,tropes!$A$4:$O$2428,3,FALSE)</f>
        <v>exposition</v>
      </c>
      <c r="D141" s="5" t="str">
        <f>VLOOKUP($A141,tropes!$A$4:$O$2428,4,FALSE)</f>
        <v>freudian_trio</v>
      </c>
      <c r="E141" s="5" t="str">
        <f>VLOOKUP($A141,tropes!$A$4:$O$2428,5,FALSE)</f>
        <v>Kirk, Spock, and McCoy discuss Spock getting emotional when he saw Kirk alive.</v>
      </c>
      <c r="F141" s="5" t="str">
        <f>VLOOKUP($A141,tropes!$A$4:$O$2428,6,FALSE)</f>
        <v>trio</v>
      </c>
      <c r="G141" s="5">
        <f>VLOOKUP($A141,tropes!$A$4:$O$2428,7,FALSE)</f>
        <v>1</v>
      </c>
      <c r="H141" s="5">
        <f>VLOOKUP($A141,tropes!$A$4:$O$2428,8,FALSE)</f>
        <v>0</v>
      </c>
      <c r="I141" s="5">
        <f>VLOOKUP($A141,tropes!$A$4:$O$2428,9,FALSE)</f>
        <v>201</v>
      </c>
      <c r="J141" s="5">
        <f>VLOOKUP($A141,tropes!$A$4:$O$2428,10,FALSE)</f>
        <v>31</v>
      </c>
      <c r="K141" s="5" t="str">
        <f>VLOOKUP($A141,tropes!$A$4:$O$2428,11,FALSE)</f>
        <v>Amok Time</v>
      </c>
      <c r="L141" s="5">
        <f>VLOOKUP($A141,tropes!$A$4:$O$2428,12,FALSE)</f>
        <v>2</v>
      </c>
      <c r="M141" s="5">
        <f>VLOOKUP($A141,tropes!$A$4:$O$2428,13,FALSE)</f>
        <v>1</v>
      </c>
      <c r="N141" s="5">
        <f t="shared" si="2"/>
        <v>2</v>
      </c>
    </row>
    <row r="142" spans="1:14" x14ac:dyDescent="0.3">
      <c r="A142" s="14">
        <v>893</v>
      </c>
      <c r="B142" s="5" t="str">
        <f>VLOOKUP($A142,tropes!$A$4:$O$2428,2,FALSE)</f>
        <v>Captain's Log</v>
      </c>
      <c r="C142" s="5" t="str">
        <f>VLOOKUP($A142,tropes!$A$4:$O$2428,3,FALSE)</f>
        <v>exposition</v>
      </c>
      <c r="D142" s="5" t="str">
        <f>VLOOKUP($A142,tropes!$A$4:$O$2428,4,FALSE)</f>
        <v>log</v>
      </c>
      <c r="E142" s="5" t="str">
        <f>VLOOKUP($A142,tropes!$A$4:$O$2428,5,FALSE)</f>
        <v>Ship's Log-1 (Kirk): stardate 3468.1. While approaching Pollux Four, a planet in the Beta Geminorum system, the Enterprise has been stopped in space by an unknown force of some kind.</v>
      </c>
      <c r="F142" s="5" t="str">
        <f>VLOOKUP($A142,tropes!$A$4:$O$2428,6,FALSE)</f>
        <v>kirk</v>
      </c>
      <c r="G142" s="5">
        <f>VLOOKUP($A142,tropes!$A$4:$O$2428,7,FALSE)</f>
        <v>1</v>
      </c>
      <c r="H142" s="5">
        <f>VLOOKUP($A142,tropes!$A$4:$O$2428,8,FALSE)</f>
        <v>0</v>
      </c>
      <c r="I142" s="5">
        <f>VLOOKUP($A142,tropes!$A$4:$O$2428,9,FALSE)</f>
        <v>202</v>
      </c>
      <c r="J142" s="5">
        <f>VLOOKUP($A142,tropes!$A$4:$O$2428,10,FALSE)</f>
        <v>32</v>
      </c>
      <c r="K142" s="5" t="str">
        <f>VLOOKUP($A142,tropes!$A$4:$O$2428,11,FALSE)</f>
        <v>Who Mourns for Adonais?</v>
      </c>
      <c r="L142" s="5">
        <f>VLOOKUP($A142,tropes!$A$4:$O$2428,12,FALSE)</f>
        <v>2</v>
      </c>
      <c r="M142" s="5">
        <f>VLOOKUP($A142,tropes!$A$4:$O$2428,13,FALSE)</f>
        <v>2</v>
      </c>
      <c r="N142" s="5">
        <f t="shared" si="2"/>
        <v>0</v>
      </c>
    </row>
    <row r="143" spans="1:14" x14ac:dyDescent="0.3">
      <c r="A143" s="14">
        <v>898</v>
      </c>
      <c r="B143" s="5" t="str">
        <f>VLOOKUP($A143,tropes!$A$4:$O$2428,2,FALSE)</f>
        <v>Kirk Summation</v>
      </c>
      <c r="C143" s="5" t="str">
        <f>VLOOKUP($A143,tropes!$A$4:$O$2428,3,FALSE)</f>
        <v>exposition</v>
      </c>
      <c r="D143" s="5" t="str">
        <f>VLOOKUP($A143,tropes!$A$4:$O$2428,4,FALSE)</f>
        <v>summation</v>
      </c>
      <c r="E143" s="5" t="str">
        <f>VLOOKUP($A143,tropes!$A$4:$O$2428,5,FALSE)</f>
        <v>Kirk speaks about not wanting it to have ended like that. Maybe they could have gathered a few laurel leaves.</v>
      </c>
      <c r="F143" s="5" t="str">
        <f>VLOOKUP($A143,tropes!$A$4:$O$2428,6,FALSE)</f>
        <v>kirk</v>
      </c>
      <c r="G143" s="5">
        <f>VLOOKUP($A143,tropes!$A$4:$O$2428,7,FALSE)</f>
        <v>1</v>
      </c>
      <c r="H143" s="5">
        <f>VLOOKUP($A143,tropes!$A$4:$O$2428,8,FALSE)</f>
        <v>0</v>
      </c>
      <c r="I143" s="5">
        <f>VLOOKUP($A143,tropes!$A$4:$O$2428,9,FALSE)</f>
        <v>202</v>
      </c>
      <c r="J143" s="5">
        <f>VLOOKUP($A143,tropes!$A$4:$O$2428,10,FALSE)</f>
        <v>32</v>
      </c>
      <c r="K143" s="5" t="str">
        <f>VLOOKUP($A143,tropes!$A$4:$O$2428,11,FALSE)</f>
        <v>Who Mourns for Adonais?</v>
      </c>
      <c r="L143" s="5">
        <f>VLOOKUP($A143,tropes!$A$4:$O$2428,12,FALSE)</f>
        <v>2</v>
      </c>
      <c r="M143" s="5">
        <f>VLOOKUP($A143,tropes!$A$4:$O$2428,13,FALSE)</f>
        <v>2</v>
      </c>
      <c r="N143" s="5">
        <f t="shared" si="2"/>
        <v>1</v>
      </c>
    </row>
    <row r="144" spans="1:14" x14ac:dyDescent="0.3">
      <c r="A144" s="14">
        <v>900</v>
      </c>
      <c r="B144" s="5" t="str">
        <f>VLOOKUP($A144,tropes!$A$4:$O$2428,2,FALSE)</f>
        <v>Captain's Log</v>
      </c>
      <c r="C144" s="5" t="str">
        <f>VLOOKUP($A144,tropes!$A$4:$O$2428,3,FALSE)</f>
        <v>exposition</v>
      </c>
      <c r="D144" s="5" t="str">
        <f>VLOOKUP($A144,tropes!$A$4:$O$2428,4,FALSE)</f>
        <v>log</v>
      </c>
      <c r="E144" s="5" t="str">
        <f>VLOOKUP($A144,tropes!$A$4:$O$2428,5,FALSE)</f>
        <v>Ship's Log-1 (Kirk): stardate 3541.9. The presence of Nomad aboard my ship has become nightmarish. Now it apparently means to return to Earth. Once there, it would automatically destroy all life.</v>
      </c>
      <c r="F144" s="5" t="str">
        <f>VLOOKUP($A144,tropes!$A$4:$O$2428,6,FALSE)</f>
        <v>kirk</v>
      </c>
      <c r="G144" s="5">
        <f>VLOOKUP($A144,tropes!$A$4:$O$2428,7,FALSE)</f>
        <v>1</v>
      </c>
      <c r="H144" s="5">
        <f>VLOOKUP($A144,tropes!$A$4:$O$2428,8,FALSE)</f>
        <v>0</v>
      </c>
      <c r="I144" s="5">
        <f>VLOOKUP($A144,tropes!$A$4:$O$2428,9,FALSE)</f>
        <v>203</v>
      </c>
      <c r="J144" s="5">
        <f>VLOOKUP($A144,tropes!$A$4:$O$2428,10,FALSE)</f>
        <v>33</v>
      </c>
      <c r="K144" s="5" t="str">
        <f>VLOOKUP($A144,tropes!$A$4:$O$2428,11,FALSE)</f>
        <v>The Changeling</v>
      </c>
      <c r="L144" s="5">
        <f>VLOOKUP($A144,tropes!$A$4:$O$2428,12,FALSE)</f>
        <v>2</v>
      </c>
      <c r="M144" s="5">
        <f>VLOOKUP($A144,tropes!$A$4:$O$2428,13,FALSE)</f>
        <v>3</v>
      </c>
      <c r="N144" s="5">
        <f t="shared" si="2"/>
        <v>0</v>
      </c>
    </row>
    <row r="145" spans="1:14" x14ac:dyDescent="0.3">
      <c r="A145" s="14">
        <v>903</v>
      </c>
      <c r="B145" s="5" t="str">
        <f>VLOOKUP($A145,tropes!$A$4:$O$2428,2,FALSE)</f>
        <v>Captain's Log</v>
      </c>
      <c r="C145" s="5" t="str">
        <f>VLOOKUP($A145,tropes!$A$4:$O$2428,3,FALSE)</f>
        <v>exposition</v>
      </c>
      <c r="D145" s="5" t="str">
        <f>VLOOKUP($A145,tropes!$A$4:$O$2428,4,FALSE)</f>
        <v>log</v>
      </c>
      <c r="E145" s="5" t="str">
        <f>VLOOKUP($A145,tropes!$A$4:$O$2428,5,FALSE)</f>
        <v>Ship's Log-1 (Kirk): stardate unknown. During an ion storm, my landing party has beamed back to the Enterprise and found it and the personnel aboard changed. The ship is subtly altered physically. Behavior and discipline has become brutal, savage.</v>
      </c>
      <c r="F145" s="5" t="str">
        <f>VLOOKUP($A145,tropes!$A$4:$O$2428,6,FALSE)</f>
        <v>kirk</v>
      </c>
      <c r="G145" s="5">
        <f>VLOOKUP($A145,tropes!$A$4:$O$2428,7,FALSE)</f>
        <v>1</v>
      </c>
      <c r="H145" s="5">
        <f>VLOOKUP($A145,tropes!$A$4:$O$2428,8,FALSE)</f>
        <v>0</v>
      </c>
      <c r="I145" s="5">
        <f>VLOOKUP($A145,tropes!$A$4:$O$2428,9,FALSE)</f>
        <v>204</v>
      </c>
      <c r="J145" s="5">
        <f>VLOOKUP($A145,tropes!$A$4:$O$2428,10,FALSE)</f>
        <v>34</v>
      </c>
      <c r="K145" s="5" t="str">
        <f>VLOOKUP($A145,tropes!$A$4:$O$2428,11,FALSE)</f>
        <v>Mirror, Mirror</v>
      </c>
      <c r="L145" s="5">
        <f>VLOOKUP($A145,tropes!$A$4:$O$2428,12,FALSE)</f>
        <v>2</v>
      </c>
      <c r="M145" s="5">
        <f>VLOOKUP($A145,tropes!$A$4:$O$2428,13,FALSE)</f>
        <v>4</v>
      </c>
      <c r="N145" s="5">
        <f t="shared" si="2"/>
        <v>0</v>
      </c>
    </row>
    <row r="146" spans="1:14" x14ac:dyDescent="0.3">
      <c r="A146" s="14">
        <v>904</v>
      </c>
      <c r="B146" s="5" t="str">
        <f>VLOOKUP($A146,tropes!$A$4:$O$2428,2,FALSE)</f>
        <v>Captain's Log</v>
      </c>
      <c r="C146" s="5" t="str">
        <f>VLOOKUP($A146,tropes!$A$4:$O$2428,3,FALSE)</f>
        <v>exposition</v>
      </c>
      <c r="D146" s="5" t="str">
        <f>VLOOKUP($A146,tropes!$A$4:$O$2428,4,FALSE)</f>
        <v>log</v>
      </c>
      <c r="E146" s="5" t="str">
        <f>VLOOKUP($A146,tropes!$A$4:$O$2428,5,FALSE)</f>
        <v>Ship's Log-2 (Kirk): supplemental. I command an Enterprise where officers apparently employ private henchmen among the crew, where assassination of superiors is a common means of advancing in rank.</v>
      </c>
      <c r="F146" s="5" t="str">
        <f>VLOOKUP($A146,tropes!$A$4:$O$2428,6,FALSE)</f>
        <v>kirk</v>
      </c>
      <c r="G146" s="5">
        <f>VLOOKUP($A146,tropes!$A$4:$O$2428,7,FALSE)</f>
        <v>1</v>
      </c>
      <c r="H146" s="5">
        <f>VLOOKUP($A146,tropes!$A$4:$O$2428,8,FALSE)</f>
        <v>0</v>
      </c>
      <c r="I146" s="5">
        <f>VLOOKUP($A146,tropes!$A$4:$O$2428,9,FALSE)</f>
        <v>204</v>
      </c>
      <c r="J146" s="5">
        <f>VLOOKUP($A146,tropes!$A$4:$O$2428,10,FALSE)</f>
        <v>34</v>
      </c>
      <c r="K146" s="5" t="str">
        <f>VLOOKUP($A146,tropes!$A$4:$O$2428,11,FALSE)</f>
        <v>Mirror, Mirror</v>
      </c>
      <c r="L146" s="5">
        <f>VLOOKUP($A146,tropes!$A$4:$O$2428,12,FALSE)</f>
        <v>2</v>
      </c>
      <c r="M146" s="5">
        <f>VLOOKUP($A146,tropes!$A$4:$O$2428,13,FALSE)</f>
        <v>4</v>
      </c>
      <c r="N146" s="5">
        <f t="shared" si="2"/>
        <v>1</v>
      </c>
    </row>
    <row r="147" spans="1:14" x14ac:dyDescent="0.3">
      <c r="A147" s="14">
        <v>905</v>
      </c>
      <c r="B147" s="5" t="str">
        <f>VLOOKUP($A147,tropes!$A$4:$O$2428,2,FALSE)</f>
        <v>Captain's Log</v>
      </c>
      <c r="C147" s="5" t="str">
        <f>VLOOKUP($A147,tropes!$A$4:$O$2428,3,FALSE)</f>
        <v>exposition</v>
      </c>
      <c r="D147" s="5" t="str">
        <f>VLOOKUP($A147,tropes!$A$4:$O$2428,4,FALSE)</f>
        <v>log</v>
      </c>
      <c r="E147" s="5" t="str">
        <f>VLOOKUP($A147,tropes!$A$4:$O$2428,5,FALSE)</f>
        <v>Ship's Log-3 (Kirk): stardate unknown. We are trapped in a savage, parallel universe from which we must escape within four hours, or I will face a death sentence at Mister Spock's hands.</v>
      </c>
      <c r="F147" s="5" t="str">
        <f>VLOOKUP($A147,tropes!$A$4:$O$2428,6,FALSE)</f>
        <v>kirk</v>
      </c>
      <c r="G147" s="5">
        <f>VLOOKUP($A147,tropes!$A$4:$O$2428,7,FALSE)</f>
        <v>1</v>
      </c>
      <c r="H147" s="5">
        <f>VLOOKUP($A147,tropes!$A$4:$O$2428,8,FALSE)</f>
        <v>0</v>
      </c>
      <c r="I147" s="5">
        <f>VLOOKUP($A147,tropes!$A$4:$O$2428,9,FALSE)</f>
        <v>204</v>
      </c>
      <c r="J147" s="5">
        <f>VLOOKUP($A147,tropes!$A$4:$O$2428,10,FALSE)</f>
        <v>34</v>
      </c>
      <c r="K147" s="5" t="str">
        <f>VLOOKUP($A147,tropes!$A$4:$O$2428,11,FALSE)</f>
        <v>Mirror, Mirror</v>
      </c>
      <c r="L147" s="5">
        <f>VLOOKUP($A147,tropes!$A$4:$O$2428,12,FALSE)</f>
        <v>2</v>
      </c>
      <c r="M147" s="5">
        <f>VLOOKUP($A147,tropes!$A$4:$O$2428,13,FALSE)</f>
        <v>4</v>
      </c>
      <c r="N147" s="5">
        <f t="shared" si="2"/>
        <v>2</v>
      </c>
    </row>
    <row r="148" spans="1:14" x14ac:dyDescent="0.3">
      <c r="A148" s="14">
        <v>913</v>
      </c>
      <c r="B148" s="5" t="str">
        <f>VLOOKUP($A148,tropes!$A$4:$O$2428,2,FALSE)</f>
        <v>Captain's Log</v>
      </c>
      <c r="C148" s="5" t="str">
        <f>VLOOKUP($A148,tropes!$A$4:$O$2428,3,FALSE)</f>
        <v>exposition</v>
      </c>
      <c r="D148" s="5" t="str">
        <f>VLOOKUP($A148,tropes!$A$4:$O$2428,4,FALSE)</f>
        <v>log</v>
      </c>
      <c r="E148" s="5" t="str">
        <f>VLOOKUP($A148,tropes!$A$4:$O$2428,5,FALSE)</f>
        <v>Ship's Log-1 (Kirk): stardate 3715.3. While making a routine exploration of the unexplored Gamma Trianguli Six, one of my men has been killed by a poisonous plant.</v>
      </c>
      <c r="F148" s="5" t="str">
        <f>VLOOKUP($A148,tropes!$A$4:$O$2428,6,FALSE)</f>
        <v>kirk</v>
      </c>
      <c r="G148" s="5">
        <f>VLOOKUP($A148,tropes!$A$4:$O$2428,7,FALSE)</f>
        <v>1</v>
      </c>
      <c r="H148" s="5">
        <f>VLOOKUP($A148,tropes!$A$4:$O$2428,8,FALSE)</f>
        <v>0</v>
      </c>
      <c r="I148" s="5">
        <f>VLOOKUP($A148,tropes!$A$4:$O$2428,9,FALSE)</f>
        <v>205</v>
      </c>
      <c r="J148" s="5">
        <f>VLOOKUP($A148,tropes!$A$4:$O$2428,10,FALSE)</f>
        <v>35</v>
      </c>
      <c r="K148" s="5" t="str">
        <f>VLOOKUP($A148,tropes!$A$4:$O$2428,11,FALSE)</f>
        <v>The Apple</v>
      </c>
      <c r="L148" s="5">
        <f>VLOOKUP($A148,tropes!$A$4:$O$2428,12,FALSE)</f>
        <v>2</v>
      </c>
      <c r="M148" s="5">
        <f>VLOOKUP($A148,tropes!$A$4:$O$2428,13,FALSE)</f>
        <v>5</v>
      </c>
      <c r="N148" s="5">
        <f t="shared" si="2"/>
        <v>0</v>
      </c>
    </row>
    <row r="149" spans="1:14" x14ac:dyDescent="0.3">
      <c r="A149" s="14">
        <v>914</v>
      </c>
      <c r="B149" s="5" t="str">
        <f>VLOOKUP($A149,tropes!$A$4:$O$2428,2,FALSE)</f>
        <v>Captain's Log</v>
      </c>
      <c r="C149" s="5" t="str">
        <f>VLOOKUP($A149,tropes!$A$4:$O$2428,3,FALSE)</f>
        <v>exposition</v>
      </c>
      <c r="D149" s="5" t="str">
        <f>VLOOKUP($A149,tropes!$A$4:$O$2428,4,FALSE)</f>
        <v>log</v>
      </c>
      <c r="E149" s="5" t="str">
        <f>VLOOKUP($A149,tropes!$A$4:$O$2428,5,FALSE)</f>
        <v>Ship's Log-2 (Kirk): supplementary, Our investigation of Gamma Trianguli Six has suddenly turned into a nightmare. We're being watched and followed, Mister Spock has been injured, and now we find we are unable to return to the ship.</v>
      </c>
      <c r="F149" s="5" t="str">
        <f>VLOOKUP($A149,tropes!$A$4:$O$2428,6,FALSE)</f>
        <v>kirk</v>
      </c>
      <c r="G149" s="5">
        <f>VLOOKUP($A149,tropes!$A$4:$O$2428,7,FALSE)</f>
        <v>1</v>
      </c>
      <c r="H149" s="5">
        <f>VLOOKUP($A149,tropes!$A$4:$O$2428,8,FALSE)</f>
        <v>0</v>
      </c>
      <c r="I149" s="5">
        <f>VLOOKUP($A149,tropes!$A$4:$O$2428,9,FALSE)</f>
        <v>205</v>
      </c>
      <c r="J149" s="5">
        <f>VLOOKUP($A149,tropes!$A$4:$O$2428,10,FALSE)</f>
        <v>35</v>
      </c>
      <c r="K149" s="5" t="str">
        <f>VLOOKUP($A149,tropes!$A$4:$O$2428,11,FALSE)</f>
        <v>The Apple</v>
      </c>
      <c r="L149" s="5">
        <f>VLOOKUP($A149,tropes!$A$4:$O$2428,12,FALSE)</f>
        <v>2</v>
      </c>
      <c r="M149" s="5">
        <f>VLOOKUP($A149,tropes!$A$4:$O$2428,13,FALSE)</f>
        <v>5</v>
      </c>
      <c r="N149" s="5">
        <f t="shared" si="2"/>
        <v>1</v>
      </c>
    </row>
    <row r="150" spans="1:14" x14ac:dyDescent="0.3">
      <c r="A150" s="14">
        <v>915</v>
      </c>
      <c r="B150" s="5" t="str">
        <f>VLOOKUP($A150,tropes!$A$4:$O$2428,2,FALSE)</f>
        <v>Captain's Log</v>
      </c>
      <c r="C150" s="5" t="str">
        <f>VLOOKUP($A150,tropes!$A$4:$O$2428,3,FALSE)</f>
        <v>exposition</v>
      </c>
      <c r="D150" s="5" t="str">
        <f>VLOOKUP($A150,tropes!$A$4:$O$2428,4,FALSE)</f>
        <v>log</v>
      </c>
      <c r="E150" s="5" t="str">
        <f>VLOOKUP($A150,tropes!$A$4:$O$2428,5,FALSE)</f>
        <v>Ship's Log-3 (Kirk): stardate 3715.6. We have been introduced to Vaal. Evidently the source of the planets power emanations and possibly the force that threatens both us and our ship.</v>
      </c>
      <c r="F150" s="5" t="str">
        <f>VLOOKUP($A150,tropes!$A$4:$O$2428,6,FALSE)</f>
        <v>kirk</v>
      </c>
      <c r="G150" s="5">
        <f>VLOOKUP($A150,tropes!$A$4:$O$2428,7,FALSE)</f>
        <v>1</v>
      </c>
      <c r="H150" s="5">
        <f>VLOOKUP($A150,tropes!$A$4:$O$2428,8,FALSE)</f>
        <v>0</v>
      </c>
      <c r="I150" s="5">
        <f>VLOOKUP($A150,tropes!$A$4:$O$2428,9,FALSE)</f>
        <v>205</v>
      </c>
      <c r="J150" s="5">
        <f>VLOOKUP($A150,tropes!$A$4:$O$2428,10,FALSE)</f>
        <v>35</v>
      </c>
      <c r="K150" s="5" t="str">
        <f>VLOOKUP($A150,tropes!$A$4:$O$2428,11,FALSE)</f>
        <v>The Apple</v>
      </c>
      <c r="L150" s="5">
        <f>VLOOKUP($A150,tropes!$A$4:$O$2428,12,FALSE)</f>
        <v>2</v>
      </c>
      <c r="M150" s="5">
        <f>VLOOKUP($A150,tropes!$A$4:$O$2428,13,FALSE)</f>
        <v>5</v>
      </c>
      <c r="N150" s="5">
        <f t="shared" si="2"/>
        <v>2</v>
      </c>
    </row>
    <row r="151" spans="1:14" x14ac:dyDescent="0.3">
      <c r="A151" s="14">
        <v>227</v>
      </c>
      <c r="B151" s="5" t="str">
        <f>VLOOKUP($A151,tropes!$A$4:$O$2428,2,FALSE)</f>
        <v>Captain's Log</v>
      </c>
      <c r="C151" s="5" t="str">
        <f>VLOOKUP($A151,tropes!$A$4:$O$2428,3,FALSE)</f>
        <v>exposition</v>
      </c>
      <c r="D151" s="5" t="str">
        <f>VLOOKUP($A151,tropes!$A$4:$O$2428,4,FALSE)</f>
        <v>log</v>
      </c>
      <c r="E151" s="5" t="str">
        <f>VLOOKUP($A151,tropes!$A$4:$O$2428,5,FALSE)</f>
        <v>Ship's Log-1 (Decker): stardate 4202.1. Exceptionally heavy subspace interference still prevents our contacting Starfleet to inform them of the destroyed solar systems we have encountered. We are now entering system L-374. Science Officer Masada reports the fourth planet seems to be breaking up. We are going to investigate.</v>
      </c>
      <c r="F151" s="5" t="str">
        <f>VLOOKUP($A151,tropes!$A$4:$O$2428,6,FALSE)</f>
        <v>goldshirt</v>
      </c>
      <c r="G151" s="5">
        <f>VLOOKUP($A151,tropes!$A$4:$O$2428,7,FALSE)</f>
        <v>0</v>
      </c>
      <c r="H151" s="5">
        <f>VLOOKUP($A151,tropes!$A$4:$O$2428,8,FALSE)</f>
        <v>0</v>
      </c>
      <c r="I151" s="5">
        <f>VLOOKUP($A151,tropes!$A$4:$O$2428,9,FALSE)</f>
        <v>206</v>
      </c>
      <c r="J151" s="5">
        <f>VLOOKUP($A151,tropes!$A$4:$O$2428,10,FALSE)</f>
        <v>36</v>
      </c>
      <c r="K151" s="5" t="str">
        <f>VLOOKUP($A151,tropes!$A$4:$O$2428,11,FALSE)</f>
        <v>The Doomsday Machine</v>
      </c>
      <c r="L151" s="5">
        <f>VLOOKUP($A151,tropes!$A$4:$O$2428,12,FALSE)</f>
        <v>2</v>
      </c>
      <c r="M151" s="5">
        <f>VLOOKUP($A151,tropes!$A$4:$O$2428,13,FALSE)</f>
        <v>6</v>
      </c>
      <c r="N151" s="5">
        <f t="shared" si="2"/>
        <v>0</v>
      </c>
    </row>
    <row r="152" spans="1:14" x14ac:dyDescent="0.3">
      <c r="A152" s="14">
        <v>949</v>
      </c>
      <c r="B152" s="5" t="str">
        <f>VLOOKUP($A152,tropes!$A$4:$O$2428,2,FALSE)</f>
        <v>Kirk Summation</v>
      </c>
      <c r="C152" s="5" t="str">
        <f>VLOOKUP($A152,tropes!$A$4:$O$2428,3,FALSE)</f>
        <v>exposition</v>
      </c>
      <c r="D152" s="5" t="str">
        <f>VLOOKUP($A152,tropes!$A$4:$O$2428,4,FALSE)</f>
        <v>summation</v>
      </c>
      <c r="E152" s="5" t="str">
        <f>VLOOKUP($A152,tropes!$A$4:$O$2428,5,FALSE)</f>
        <v>Kirk: Ironic, isn't it. Way back in the 20th century , the H-bomb was the ultimate weapon., their doomsday machine. And we used something like it to destroy another doomsday machine. Probably the first time a weapon has been used for constructive purposes.</v>
      </c>
      <c r="F152" s="5" t="str">
        <f>VLOOKUP($A152,tropes!$A$4:$O$2428,6,FALSE)</f>
        <v>kirk</v>
      </c>
      <c r="G152" s="5">
        <f>VLOOKUP($A152,tropes!$A$4:$O$2428,7,FALSE)</f>
        <v>1</v>
      </c>
      <c r="H152" s="5">
        <f>VLOOKUP($A152,tropes!$A$4:$O$2428,8,FALSE)</f>
        <v>0</v>
      </c>
      <c r="I152" s="5">
        <f>VLOOKUP($A152,tropes!$A$4:$O$2428,9,FALSE)</f>
        <v>206</v>
      </c>
      <c r="J152" s="5">
        <f>VLOOKUP($A152,tropes!$A$4:$O$2428,10,FALSE)</f>
        <v>36</v>
      </c>
      <c r="K152" s="5" t="str">
        <f>VLOOKUP($A152,tropes!$A$4:$O$2428,11,FALSE)</f>
        <v>The Doomsday Machine</v>
      </c>
      <c r="L152" s="5">
        <f>VLOOKUP($A152,tropes!$A$4:$O$2428,12,FALSE)</f>
        <v>2</v>
      </c>
      <c r="M152" s="5">
        <f>VLOOKUP($A152,tropes!$A$4:$O$2428,13,FALSE)</f>
        <v>6</v>
      </c>
      <c r="N152" s="5">
        <f t="shared" si="2"/>
        <v>1</v>
      </c>
    </row>
    <row r="153" spans="1:14" x14ac:dyDescent="0.3">
      <c r="A153" s="14">
        <v>954</v>
      </c>
      <c r="B153" s="5" t="str">
        <f>VLOOKUP($A153,tropes!$A$4:$O$2428,2,FALSE)</f>
        <v>Captain's Log</v>
      </c>
      <c r="C153" s="5" t="str">
        <f>VLOOKUP($A153,tropes!$A$4:$O$2428,3,FALSE)</f>
        <v>exposition</v>
      </c>
      <c r="D153" s="5" t="str">
        <f>VLOOKUP($A153,tropes!$A$4:$O$2428,4,FALSE)</f>
        <v>log</v>
      </c>
      <c r="E153" s="5" t="str">
        <f>VLOOKUP($A153,tropes!$A$4:$O$2428,5,FALSE)</f>
        <v>Ship's Log-1 (Kirk): Stardate 3018.2. Crewman Jackson is dead and there are no apparent physical causes. Mister Scott and Mister Sulu are still out of touch on the planet below. Leaving Assistant Chief Engineer DeSalle in command of the Enterprise, I'm beaming down to the planets surface to find my two missing crewmen and discover what killed Jackson.</v>
      </c>
      <c r="F153" s="5" t="str">
        <f>VLOOKUP($A153,tropes!$A$4:$O$2428,6,FALSE)</f>
        <v>kirk</v>
      </c>
      <c r="G153" s="5">
        <f>VLOOKUP($A153,tropes!$A$4:$O$2428,7,FALSE)</f>
        <v>1</v>
      </c>
      <c r="H153" s="5">
        <f>VLOOKUP($A153,tropes!$A$4:$O$2428,8,FALSE)</f>
        <v>0</v>
      </c>
      <c r="I153" s="5">
        <f>VLOOKUP($A153,tropes!$A$4:$O$2428,9,FALSE)</f>
        <v>207</v>
      </c>
      <c r="J153" s="5">
        <f>VLOOKUP($A153,tropes!$A$4:$O$2428,10,FALSE)</f>
        <v>37</v>
      </c>
      <c r="K153" s="5" t="str">
        <f>VLOOKUP($A153,tropes!$A$4:$O$2428,11,FALSE)</f>
        <v>Catspaw</v>
      </c>
      <c r="L153" s="5">
        <f>VLOOKUP($A153,tropes!$A$4:$O$2428,12,FALSE)</f>
        <v>2</v>
      </c>
      <c r="M153" s="5">
        <f>VLOOKUP($A153,tropes!$A$4:$O$2428,13,FALSE)</f>
        <v>7</v>
      </c>
      <c r="N153" s="5">
        <f t="shared" si="2"/>
        <v>0</v>
      </c>
    </row>
    <row r="154" spans="1:14" x14ac:dyDescent="0.3">
      <c r="A154" s="14">
        <v>960</v>
      </c>
      <c r="B154" s="5" t="str">
        <f>VLOOKUP($A154,tropes!$A$4:$O$2428,2,FALSE)</f>
        <v>Captain's Log</v>
      </c>
      <c r="C154" s="5" t="str">
        <f>VLOOKUP($A154,tropes!$A$4:$O$2428,3,FALSE)</f>
        <v>exposition</v>
      </c>
      <c r="D154" s="5" t="str">
        <f>VLOOKUP($A154,tropes!$A$4:$O$2428,4,FALSE)</f>
        <v>log</v>
      </c>
      <c r="E154" s="5" t="str">
        <f>VLOOKUP($A154,tropes!$A$4:$O$2428,5,FALSE)</f>
        <v>Ship's Log-1 (Kirk): Stardate 4513.3. After having been taken over by an android, the Enterprise has been under way at warp seven for four days. Now we are entering orbit around a planet which has never been charted.</v>
      </c>
      <c r="F154" s="5" t="str">
        <f>VLOOKUP($A154,tropes!$A$4:$O$2428,6,FALSE)</f>
        <v>kirk</v>
      </c>
      <c r="G154" s="5">
        <f>VLOOKUP($A154,tropes!$A$4:$O$2428,7,FALSE)</f>
        <v>1</v>
      </c>
      <c r="H154" s="5">
        <f>VLOOKUP($A154,tropes!$A$4:$O$2428,8,FALSE)</f>
        <v>0</v>
      </c>
      <c r="I154" s="5">
        <f>VLOOKUP($A154,tropes!$A$4:$O$2428,9,FALSE)</f>
        <v>208</v>
      </c>
      <c r="J154" s="5">
        <f>VLOOKUP($A154,tropes!$A$4:$O$2428,10,FALSE)</f>
        <v>38</v>
      </c>
      <c r="K154" s="5" t="str">
        <f>VLOOKUP($A154,tropes!$A$4:$O$2428,11,FALSE)</f>
        <v>I, Mudd</v>
      </c>
      <c r="L154" s="5">
        <f>VLOOKUP($A154,tropes!$A$4:$O$2428,12,FALSE)</f>
        <v>2</v>
      </c>
      <c r="M154" s="5">
        <f>VLOOKUP($A154,tropes!$A$4:$O$2428,13,FALSE)</f>
        <v>8</v>
      </c>
      <c r="N154" s="5">
        <f t="shared" si="2"/>
        <v>0</v>
      </c>
    </row>
    <row r="155" spans="1:14" x14ac:dyDescent="0.3">
      <c r="A155" s="14">
        <v>1998</v>
      </c>
      <c r="B155" s="5" t="str">
        <f>VLOOKUP($A155,tropes!$A$4:$O$2428,2,FALSE)</f>
        <v>Captain's Log</v>
      </c>
      <c r="C155" s="5" t="str">
        <f>VLOOKUP($A155,tropes!$A$4:$O$2428,3,FALSE)</f>
        <v>exposition</v>
      </c>
      <c r="D155" s="5" t="str">
        <f>VLOOKUP($A155,tropes!$A$4:$O$2428,4,FALSE)</f>
        <v>log</v>
      </c>
      <c r="E155" s="5" t="str">
        <f>VLOOKUP($A155,tropes!$A$4:$O$2428,5,FALSE)</f>
        <v>Ship's Log-1 (Scotty): Stardate 3219.8. Lieutenant Commander Scott recording in the absence of Captain Kirk. A shuttlecraft bearing the Captain, the first officer, Chief Surgeon McCoy, and Assistant Federation Commissioner Hedford is now definitely overdue for a rendezvous with the Enterprise. We are attempting to backtrack it.</v>
      </c>
      <c r="F155" s="5" t="str">
        <f>VLOOKUP($A155,tropes!$A$4:$O$2428,6,FALSE)</f>
        <v>scotty</v>
      </c>
      <c r="G155" s="5">
        <f>VLOOKUP($A155,tropes!$A$4:$O$2428,7,FALSE)</f>
        <v>0</v>
      </c>
      <c r="H155" s="5">
        <f>VLOOKUP($A155,tropes!$A$4:$O$2428,8,FALSE)</f>
        <v>1</v>
      </c>
      <c r="I155" s="5">
        <f>VLOOKUP($A155,tropes!$A$4:$O$2428,9,FALSE)</f>
        <v>209</v>
      </c>
      <c r="J155" s="5">
        <f>VLOOKUP($A155,tropes!$A$4:$O$2428,10,FALSE)</f>
        <v>39</v>
      </c>
      <c r="K155" s="5" t="str">
        <f>VLOOKUP($A155,tropes!$A$4:$O$2428,11,FALSE)</f>
        <v>Metamorphosis</v>
      </c>
      <c r="L155" s="5">
        <f>VLOOKUP($A155,tropes!$A$4:$O$2428,12,FALSE)</f>
        <v>2</v>
      </c>
      <c r="M155" s="5">
        <f>VLOOKUP($A155,tropes!$A$4:$O$2428,13,FALSE)</f>
        <v>9</v>
      </c>
      <c r="N155" s="5">
        <f t="shared" si="2"/>
        <v>0</v>
      </c>
    </row>
    <row r="156" spans="1:14" x14ac:dyDescent="0.3">
      <c r="A156" s="14">
        <v>1999</v>
      </c>
      <c r="B156" s="5" t="str">
        <f>VLOOKUP($A156,tropes!$A$4:$O$2428,2,FALSE)</f>
        <v>Captain's Log</v>
      </c>
      <c r="C156" s="5" t="str">
        <f>VLOOKUP($A156,tropes!$A$4:$O$2428,3,FALSE)</f>
        <v>exposition</v>
      </c>
      <c r="D156" s="5" t="str">
        <f>VLOOKUP($A156,tropes!$A$4:$O$2428,4,FALSE)</f>
        <v>log</v>
      </c>
      <c r="E156" s="5" t="str">
        <f>VLOOKUP($A156,tropes!$A$4:$O$2428,5,FALSE)</f>
        <v>Ship's Log-2 (Scotty): Stardate 3220.3. Lieutenant Commander Scott reporting in lieu of the Captain and the first officer. We are continuing our search for the missing shuttlecraft.</v>
      </c>
      <c r="F156" s="5" t="str">
        <f>VLOOKUP($A156,tropes!$A$4:$O$2428,6,FALSE)</f>
        <v>scotty</v>
      </c>
      <c r="G156" s="5">
        <f>VLOOKUP($A156,tropes!$A$4:$O$2428,7,FALSE)</f>
        <v>0</v>
      </c>
      <c r="H156" s="5">
        <f>VLOOKUP($A156,tropes!$A$4:$O$2428,8,FALSE)</f>
        <v>1</v>
      </c>
      <c r="I156" s="5">
        <f>VLOOKUP($A156,tropes!$A$4:$O$2428,9,FALSE)</f>
        <v>209</v>
      </c>
      <c r="J156" s="5">
        <f>VLOOKUP($A156,tropes!$A$4:$O$2428,10,FALSE)</f>
        <v>39</v>
      </c>
      <c r="K156" s="5" t="str">
        <f>VLOOKUP($A156,tropes!$A$4:$O$2428,11,FALSE)</f>
        <v>Metamorphosis</v>
      </c>
      <c r="L156" s="5">
        <f>VLOOKUP($A156,tropes!$A$4:$O$2428,12,FALSE)</f>
        <v>2</v>
      </c>
      <c r="M156" s="5">
        <f>VLOOKUP($A156,tropes!$A$4:$O$2428,13,FALSE)</f>
        <v>9</v>
      </c>
      <c r="N156" s="5">
        <f t="shared" si="2"/>
        <v>1</v>
      </c>
    </row>
    <row r="157" spans="1:14" x14ac:dyDescent="0.3">
      <c r="A157" s="14">
        <v>529</v>
      </c>
      <c r="B157" s="5" t="str">
        <f>VLOOKUP($A157,tropes!$A$4:$O$2428,2,FALSE)</f>
        <v>Freudian Trio</v>
      </c>
      <c r="C157" s="5" t="str">
        <f>VLOOKUP($A157,tropes!$A$4:$O$2428,3,FALSE)</f>
        <v>exposition</v>
      </c>
      <c r="D157" s="5" t="str">
        <f>VLOOKUP($A157,tropes!$A$4:$O$2428,4,FALSE)</f>
        <v>freudian_trio</v>
      </c>
      <c r="E157" s="5" t="str">
        <f>VLOOKUP($A157,tropes!$A$4:$O$2428,5,FALSE)</f>
        <v>Kirk, Spock, and McCoy discuss the Companion.</v>
      </c>
      <c r="F157" s="5" t="str">
        <f>VLOOKUP($A157,tropes!$A$4:$O$2428,6,FALSE)</f>
        <v>trio</v>
      </c>
      <c r="G157" s="5">
        <f>VLOOKUP($A157,tropes!$A$4:$O$2428,7,FALSE)</f>
        <v>1</v>
      </c>
      <c r="H157" s="5">
        <f>VLOOKUP($A157,tropes!$A$4:$O$2428,8,FALSE)</f>
        <v>0</v>
      </c>
      <c r="I157" s="5">
        <f>VLOOKUP($A157,tropes!$A$4:$O$2428,9,FALSE)</f>
        <v>209</v>
      </c>
      <c r="J157" s="5">
        <f>VLOOKUP($A157,tropes!$A$4:$O$2428,10,FALSE)</f>
        <v>39</v>
      </c>
      <c r="K157" s="5" t="str">
        <f>VLOOKUP($A157,tropes!$A$4:$O$2428,11,FALSE)</f>
        <v>Metamorphosis</v>
      </c>
      <c r="L157" s="5">
        <f>VLOOKUP($A157,tropes!$A$4:$O$2428,12,FALSE)</f>
        <v>2</v>
      </c>
      <c r="M157" s="5">
        <f>VLOOKUP($A157,tropes!$A$4:$O$2428,13,FALSE)</f>
        <v>9</v>
      </c>
      <c r="N157" s="5">
        <f t="shared" si="2"/>
        <v>2</v>
      </c>
    </row>
    <row r="158" spans="1:14" x14ac:dyDescent="0.3">
      <c r="A158" s="14">
        <v>966</v>
      </c>
      <c r="B158" s="5" t="str">
        <f>VLOOKUP($A158,tropes!$A$4:$O$2428,2,FALSE)</f>
        <v>Captain's Log</v>
      </c>
      <c r="C158" s="5" t="str">
        <f>VLOOKUP($A158,tropes!$A$4:$O$2428,3,FALSE)</f>
        <v>exposition</v>
      </c>
      <c r="D158" s="5" t="str">
        <f>VLOOKUP($A158,tropes!$A$4:$O$2428,4,FALSE)</f>
        <v>log</v>
      </c>
      <c r="E158" s="5" t="str">
        <f>VLOOKUP($A158,tropes!$A$4:$O$2428,5,FALSE)</f>
        <v>Ship's Log-1 (Kirk): Stardate 3842.3. We have departed Vulcan for the neutral planetoid code-named Babel. Since it is in our sector, the Enterprise has been assigned to transport ambassadors of Federation planets to this vitally important council. The issues of the council are politically complex, the passengers explosive.</v>
      </c>
      <c r="F158" s="5" t="str">
        <f>VLOOKUP($A158,tropes!$A$4:$O$2428,6,FALSE)</f>
        <v>kirk</v>
      </c>
      <c r="G158" s="5">
        <f>VLOOKUP($A158,tropes!$A$4:$O$2428,7,FALSE)</f>
        <v>1</v>
      </c>
      <c r="H158" s="5">
        <f>VLOOKUP($A158,tropes!$A$4:$O$2428,8,FALSE)</f>
        <v>0</v>
      </c>
      <c r="I158" s="5">
        <f>VLOOKUP($A158,tropes!$A$4:$O$2428,9,FALSE)</f>
        <v>210</v>
      </c>
      <c r="J158" s="5">
        <f>VLOOKUP($A158,tropes!$A$4:$O$2428,10,FALSE)</f>
        <v>40</v>
      </c>
      <c r="K158" s="5" t="str">
        <f>VLOOKUP($A158,tropes!$A$4:$O$2428,11,FALSE)</f>
        <v>Journey to Babel</v>
      </c>
      <c r="L158" s="5">
        <f>VLOOKUP($A158,tropes!$A$4:$O$2428,12,FALSE)</f>
        <v>2</v>
      </c>
      <c r="M158" s="5">
        <f>VLOOKUP($A158,tropes!$A$4:$O$2428,13,FALSE)</f>
        <v>10</v>
      </c>
      <c r="N158" s="5">
        <f t="shared" si="2"/>
        <v>0</v>
      </c>
    </row>
    <row r="159" spans="1:14" x14ac:dyDescent="0.3">
      <c r="A159" s="14">
        <v>967</v>
      </c>
      <c r="B159" s="5" t="str">
        <f>VLOOKUP($A159,tropes!$A$4:$O$2428,2,FALSE)</f>
        <v>Captain's Log</v>
      </c>
      <c r="C159" s="5" t="str">
        <f>VLOOKUP($A159,tropes!$A$4:$O$2428,3,FALSE)</f>
        <v>exposition</v>
      </c>
      <c r="D159" s="5" t="str">
        <f>VLOOKUP($A159,tropes!$A$4:$O$2428,4,FALSE)</f>
        <v>log</v>
      </c>
      <c r="E159" s="5" t="str">
        <f>VLOOKUP($A159,tropes!$A$4:$O$2428,5,FALSE)</f>
        <v>Ship's Log-2 (kirk): Stardate 3842.4. The interplanetary conference will consider the petition of the Coridan planets to be admitted to the Federation. The Coridan system has been claimed by some of the races now aboard our ship as delegates, races who have strong personal reasons for keeping Coridan out of the Federation. The most pressing problem aboard the Enterprise is to make sure open warfare doesn't break out among the delegates before the conference begins.</v>
      </c>
      <c r="F159" s="5" t="str">
        <f>VLOOKUP($A159,tropes!$A$4:$O$2428,6,FALSE)</f>
        <v>kirk</v>
      </c>
      <c r="G159" s="5">
        <f>VLOOKUP($A159,tropes!$A$4:$O$2428,7,FALSE)</f>
        <v>1</v>
      </c>
      <c r="H159" s="5">
        <f>VLOOKUP($A159,tropes!$A$4:$O$2428,8,FALSE)</f>
        <v>0</v>
      </c>
      <c r="I159" s="5">
        <f>VLOOKUP($A159,tropes!$A$4:$O$2428,9,FALSE)</f>
        <v>210</v>
      </c>
      <c r="J159" s="5">
        <f>VLOOKUP($A159,tropes!$A$4:$O$2428,10,FALSE)</f>
        <v>40</v>
      </c>
      <c r="K159" s="5" t="str">
        <f>VLOOKUP($A159,tropes!$A$4:$O$2428,11,FALSE)</f>
        <v>Journey to Babel</v>
      </c>
      <c r="L159" s="5">
        <f>VLOOKUP($A159,tropes!$A$4:$O$2428,12,FALSE)</f>
        <v>2</v>
      </c>
      <c r="M159" s="5">
        <f>VLOOKUP($A159,tropes!$A$4:$O$2428,13,FALSE)</f>
        <v>10</v>
      </c>
      <c r="N159" s="5">
        <f t="shared" si="2"/>
        <v>1</v>
      </c>
    </row>
    <row r="160" spans="1:14" x14ac:dyDescent="0.3">
      <c r="A160" s="14">
        <v>2282</v>
      </c>
      <c r="B160" s="5" t="str">
        <f>VLOOKUP($A160,tropes!$A$4:$O$2428,2,FALSE)</f>
        <v>Captain's Log</v>
      </c>
      <c r="C160" s="5" t="str">
        <f>VLOOKUP($A160,tropes!$A$4:$O$2428,3,FALSE)</f>
        <v>exposition</v>
      </c>
      <c r="D160" s="5" t="str">
        <f>VLOOKUP($A160,tropes!$A$4:$O$2428,4,FALSE)</f>
        <v>log</v>
      </c>
      <c r="E160" s="5" t="str">
        <f>VLOOKUP($A160,tropes!$A$4:$O$2428,5,FALSE)</f>
        <v>Ship's Log-3 (Spock): Stardate 3843.4. First Officer Spock in temporary command. The captain has been critically wounded by one of the delegates to the Babel conference. The ship is on alert status. We are still being followed by the intruder vessel.</v>
      </c>
      <c r="F160" s="5" t="str">
        <f>VLOOKUP($A160,tropes!$A$4:$O$2428,6,FALSE)</f>
        <v>spock</v>
      </c>
      <c r="G160" s="5">
        <f>VLOOKUP($A160,tropes!$A$4:$O$2428,7,FALSE)</f>
        <v>1</v>
      </c>
      <c r="H160" s="5">
        <f>VLOOKUP($A160,tropes!$A$4:$O$2428,8,FALSE)</f>
        <v>0</v>
      </c>
      <c r="I160" s="5">
        <f>VLOOKUP($A160,tropes!$A$4:$O$2428,9,FALSE)</f>
        <v>210</v>
      </c>
      <c r="J160" s="5">
        <f>VLOOKUP($A160,tropes!$A$4:$O$2428,10,FALSE)</f>
        <v>40</v>
      </c>
      <c r="K160" s="5" t="str">
        <f>VLOOKUP($A160,tropes!$A$4:$O$2428,11,FALSE)</f>
        <v>Journey to Babel</v>
      </c>
      <c r="L160" s="5">
        <f>VLOOKUP($A160,tropes!$A$4:$O$2428,12,FALSE)</f>
        <v>2</v>
      </c>
      <c r="M160" s="5">
        <f>VLOOKUP($A160,tropes!$A$4:$O$2428,13,FALSE)</f>
        <v>10</v>
      </c>
      <c r="N160" s="5">
        <f t="shared" si="2"/>
        <v>2</v>
      </c>
    </row>
    <row r="161" spans="1:14" x14ac:dyDescent="0.3">
      <c r="A161" s="14">
        <v>2940</v>
      </c>
      <c r="B161" s="5" t="str">
        <f>VLOOKUP($A161,tropes!$A$4:$O$2428,2,FALSE)</f>
        <v>Captain's Log</v>
      </c>
      <c r="C161" s="5" t="str">
        <f>VLOOKUP($A161,tropes!$A$4:$O$2428,3,FALSE)</f>
        <v>exposition</v>
      </c>
      <c r="D161" s="5" t="str">
        <f>VLOOKUP($A161,tropes!$A$4:$O$2428,4,FALSE)</f>
        <v>log</v>
      </c>
      <c r="E161" s="5" t="str">
        <f>VLOOKUP($A161,tropes!$A$4:$O$2428,5,FALSE)</f>
        <v>Ship's Log-1 (Kirk):</v>
      </c>
      <c r="F161" s="5" t="str">
        <f>VLOOKUP($A161,tropes!$A$4:$O$2428,6,FALSE)</f>
        <v>kirk</v>
      </c>
      <c r="G161" s="5">
        <f>VLOOKUP($A161,tropes!$A$4:$O$2428,7,FALSE)</f>
        <v>1</v>
      </c>
      <c r="H161" s="5">
        <f>VLOOKUP($A161,tropes!$A$4:$O$2428,8,FALSE)</f>
        <v>0</v>
      </c>
      <c r="I161" s="5">
        <f>VLOOKUP($A161,tropes!$A$4:$O$2428,9,FALSE)</f>
        <v>211</v>
      </c>
      <c r="J161" s="5">
        <f>VLOOKUP($A161,tropes!$A$4:$O$2428,10,FALSE)</f>
        <v>41</v>
      </c>
      <c r="K161" s="5" t="str">
        <f>VLOOKUP($A161,tropes!$A$4:$O$2428,11,FALSE)</f>
        <v>Friday's Child</v>
      </c>
      <c r="L161" s="5">
        <f>VLOOKUP($A161,tropes!$A$4:$O$2428,12,FALSE)</f>
        <v>2</v>
      </c>
      <c r="M161" s="5">
        <f>VLOOKUP($A161,tropes!$A$4:$O$2428,13,FALSE)</f>
        <v>11</v>
      </c>
      <c r="N161" s="5">
        <f t="shared" si="2"/>
        <v>0</v>
      </c>
    </row>
    <row r="162" spans="1:14" x14ac:dyDescent="0.3">
      <c r="A162" s="14">
        <v>2956</v>
      </c>
      <c r="B162" s="5" t="str">
        <f>VLOOKUP($A162,tropes!$A$4:$O$2428,2,FALSE)</f>
        <v>Captain's Log</v>
      </c>
      <c r="C162" s="5" t="str">
        <f>VLOOKUP($A162,tropes!$A$4:$O$2428,3,FALSE)</f>
        <v>exposition</v>
      </c>
      <c r="D162" s="5" t="str">
        <f>VLOOKUP($A162,tropes!$A$4:$O$2428,4,FALSE)</f>
        <v>log</v>
      </c>
      <c r="E162" s="5" t="str">
        <f>VLOOKUP($A162,tropes!$A$4:$O$2428,5,FALSE)</f>
        <v>Ship's Log-2 (Scotty):</v>
      </c>
      <c r="F162" s="5" t="str">
        <f>VLOOKUP($A162,tropes!$A$4:$O$2428,6,FALSE)</f>
        <v>scotty</v>
      </c>
      <c r="G162" s="5">
        <f>VLOOKUP($A162,tropes!$A$4:$O$2428,7,FALSE)</f>
        <v>0</v>
      </c>
      <c r="H162" s="5">
        <f>VLOOKUP($A162,tropes!$A$4:$O$2428,8,FALSE)</f>
        <v>1</v>
      </c>
      <c r="I162" s="5">
        <f>VLOOKUP($A162,tropes!$A$4:$O$2428,9,FALSE)</f>
        <v>211</v>
      </c>
      <c r="J162" s="5">
        <f>VLOOKUP($A162,tropes!$A$4:$O$2428,10,FALSE)</f>
        <v>41</v>
      </c>
      <c r="K162" s="5" t="str">
        <f>VLOOKUP($A162,tropes!$A$4:$O$2428,11,FALSE)</f>
        <v>Friday's Child</v>
      </c>
      <c r="L162" s="5">
        <f>VLOOKUP($A162,tropes!$A$4:$O$2428,12,FALSE)</f>
        <v>2</v>
      </c>
      <c r="M162" s="5">
        <f>VLOOKUP($A162,tropes!$A$4:$O$2428,13,FALSE)</f>
        <v>11</v>
      </c>
      <c r="N162" s="5">
        <f t="shared" si="2"/>
        <v>1</v>
      </c>
    </row>
    <row r="163" spans="1:14" x14ac:dyDescent="0.3">
      <c r="A163" s="14">
        <v>2964</v>
      </c>
      <c r="B163" s="5" t="str">
        <f>VLOOKUP($A163,tropes!$A$4:$O$2428,2,FALSE)</f>
        <v>Captain's Log</v>
      </c>
      <c r="C163" s="5" t="str">
        <f>VLOOKUP($A163,tropes!$A$4:$O$2428,3,FALSE)</f>
        <v>exposition</v>
      </c>
      <c r="D163" s="5" t="str">
        <f>VLOOKUP($A163,tropes!$A$4:$O$2428,4,FALSE)</f>
        <v>log</v>
      </c>
      <c r="E163" s="5" t="str">
        <f>VLOOKUP($A163,tropes!$A$4:$O$2428,5,FALSE)</f>
        <v>Ship's Log-3 (Kirk):</v>
      </c>
      <c r="F163" s="5" t="str">
        <f>VLOOKUP($A163,tropes!$A$4:$O$2428,6,FALSE)</f>
        <v>kirk</v>
      </c>
      <c r="G163" s="5">
        <f>VLOOKUP($A163,tropes!$A$4:$O$2428,7,FALSE)</f>
        <v>1</v>
      </c>
      <c r="H163" s="5">
        <f>VLOOKUP($A163,tropes!$A$4:$O$2428,8,FALSE)</f>
        <v>0</v>
      </c>
      <c r="I163" s="5">
        <f>VLOOKUP($A163,tropes!$A$4:$O$2428,9,FALSE)</f>
        <v>211</v>
      </c>
      <c r="J163" s="5">
        <f>VLOOKUP($A163,tropes!$A$4:$O$2428,10,FALSE)</f>
        <v>41</v>
      </c>
      <c r="K163" s="5" t="str">
        <f>VLOOKUP($A163,tropes!$A$4:$O$2428,11,FALSE)</f>
        <v>Friday's Child</v>
      </c>
      <c r="L163" s="5">
        <f>VLOOKUP($A163,tropes!$A$4:$O$2428,12,FALSE)</f>
        <v>2</v>
      </c>
      <c r="M163" s="5">
        <f>VLOOKUP($A163,tropes!$A$4:$O$2428,13,FALSE)</f>
        <v>11</v>
      </c>
      <c r="N163" s="5">
        <f t="shared" si="2"/>
        <v>2</v>
      </c>
    </row>
    <row r="164" spans="1:14" x14ac:dyDescent="0.3">
      <c r="A164" s="14">
        <v>3013</v>
      </c>
      <c r="B164" s="5" t="str">
        <f>VLOOKUP($A164,tropes!$A$4:$O$2428,2,FALSE)</f>
        <v>Everyone Laughs Except Spock</v>
      </c>
      <c r="C164" s="5" t="str">
        <f>VLOOKUP($A164,tropes!$A$4:$O$2428,3,FALSE)</f>
        <v>exposition</v>
      </c>
      <c r="D164" s="5" t="str">
        <f>VLOOKUP($A164,tropes!$A$4:$O$2428,4,FALSE)</f>
        <v>freudian_trio</v>
      </c>
      <c r="E164" s="5" t="str">
        <f>VLOOKUP($A164,tropes!$A$4:$O$2428,5,FALSE)</f>
        <v>Discussion of Leonard James Akaar, the new Teer of Capella</v>
      </c>
      <c r="F164" s="5" t="str">
        <f>VLOOKUP($A164,tropes!$A$4:$O$2428,6,FALSE)</f>
        <v>kirk</v>
      </c>
      <c r="G164" s="5">
        <f>VLOOKUP($A164,tropes!$A$4:$O$2428,7,FALSE)</f>
        <v>1</v>
      </c>
      <c r="H164" s="5">
        <f>VLOOKUP($A164,tropes!$A$4:$O$2428,8,FALSE)</f>
        <v>0</v>
      </c>
      <c r="I164" s="5">
        <f>VLOOKUP($A164,tropes!$A$4:$O$2428,9,FALSE)</f>
        <v>211</v>
      </c>
      <c r="J164" s="5">
        <f>VLOOKUP($A164,tropes!$A$4:$O$2428,10,FALSE)</f>
        <v>41</v>
      </c>
      <c r="K164" s="5" t="str">
        <f>VLOOKUP($A164,tropes!$A$4:$O$2428,11,FALSE)</f>
        <v>Friday's Child</v>
      </c>
      <c r="L164" s="5">
        <f>VLOOKUP($A164,tropes!$A$4:$O$2428,12,FALSE)</f>
        <v>2</v>
      </c>
      <c r="M164" s="5">
        <f>VLOOKUP($A164,tropes!$A$4:$O$2428,13,FALSE)</f>
        <v>11</v>
      </c>
      <c r="N164" s="5">
        <f t="shared" si="2"/>
        <v>3</v>
      </c>
    </row>
    <row r="165" spans="1:14" x14ac:dyDescent="0.3">
      <c r="A165" s="14">
        <v>2943</v>
      </c>
      <c r="B165" s="5" t="str">
        <f>VLOOKUP($A165,tropes!$A$4:$O$2428,2,FALSE)</f>
        <v>Freudian Trio</v>
      </c>
      <c r="C165" s="5" t="str">
        <f>VLOOKUP($A165,tropes!$A$4:$O$2428,3,FALSE)</f>
        <v>exposition</v>
      </c>
      <c r="D165" s="5" t="str">
        <f>VLOOKUP($A165,tropes!$A$4:$O$2428,4,FALSE)</f>
        <v>freudian_trio</v>
      </c>
      <c r="E165" s="5" t="str">
        <f>VLOOKUP($A165,tropes!$A$4:$O$2428,5,FALSE)</f>
        <v>Kirk, Spock, and McCoy discuss Klingon situation on Capella IV</v>
      </c>
      <c r="F165" s="5" t="str">
        <f>VLOOKUP($A165,tropes!$A$4:$O$2428,6,FALSE)</f>
        <v>kirk</v>
      </c>
      <c r="G165" s="5">
        <f>VLOOKUP($A165,tropes!$A$4:$O$2428,7,FALSE)</f>
        <v>1</v>
      </c>
      <c r="H165" s="5">
        <f>VLOOKUP($A165,tropes!$A$4:$O$2428,8,FALSE)</f>
        <v>0</v>
      </c>
      <c r="I165" s="5">
        <f>VLOOKUP($A165,tropes!$A$4:$O$2428,9,FALSE)</f>
        <v>211</v>
      </c>
      <c r="J165" s="5">
        <f>VLOOKUP($A165,tropes!$A$4:$O$2428,10,FALSE)</f>
        <v>41</v>
      </c>
      <c r="K165" s="5" t="str">
        <f>VLOOKUP($A165,tropes!$A$4:$O$2428,11,FALSE)</f>
        <v>Friday's Child</v>
      </c>
      <c r="L165" s="5">
        <f>VLOOKUP($A165,tropes!$A$4:$O$2428,12,FALSE)</f>
        <v>2</v>
      </c>
      <c r="M165" s="5">
        <f>VLOOKUP($A165,tropes!$A$4:$O$2428,13,FALSE)</f>
        <v>11</v>
      </c>
      <c r="N165" s="5">
        <f t="shared" si="2"/>
        <v>4</v>
      </c>
    </row>
    <row r="166" spans="1:14" x14ac:dyDescent="0.3">
      <c r="A166" s="14">
        <v>2989</v>
      </c>
      <c r="B166" s="5" t="str">
        <f>VLOOKUP($A166,tropes!$A$4:$O$2428,2,FALSE)</f>
        <v>Freudian Trio</v>
      </c>
      <c r="C166" s="5" t="str">
        <f>VLOOKUP($A166,tropes!$A$4:$O$2428,3,FALSE)</f>
        <v>exposition</v>
      </c>
      <c r="D166" s="5" t="str">
        <f>VLOOKUP($A166,tropes!$A$4:$O$2428,4,FALSE)</f>
        <v>freudian_trio</v>
      </c>
      <c r="E166" s="5" t="str">
        <f>VLOOKUP($A166,tropes!$A$4:$O$2428,5,FALSE)</f>
        <v>Kirk, Spock, and McCoy discuss McCoy's small patient.</v>
      </c>
      <c r="F166" s="5" t="str">
        <f>VLOOKUP($A166,tropes!$A$4:$O$2428,6,FALSE)</f>
        <v>kirk</v>
      </c>
      <c r="G166" s="5">
        <f>VLOOKUP($A166,tropes!$A$4:$O$2428,7,FALSE)</f>
        <v>1</v>
      </c>
      <c r="H166" s="5">
        <f>VLOOKUP($A166,tropes!$A$4:$O$2428,8,FALSE)</f>
        <v>0</v>
      </c>
      <c r="I166" s="5">
        <f>VLOOKUP($A166,tropes!$A$4:$O$2428,9,FALSE)</f>
        <v>211</v>
      </c>
      <c r="J166" s="5">
        <f>VLOOKUP($A166,tropes!$A$4:$O$2428,10,FALSE)</f>
        <v>41</v>
      </c>
      <c r="K166" s="5" t="str">
        <f>VLOOKUP($A166,tropes!$A$4:$O$2428,11,FALSE)</f>
        <v>Friday's Child</v>
      </c>
      <c r="L166" s="5">
        <f>VLOOKUP($A166,tropes!$A$4:$O$2428,12,FALSE)</f>
        <v>2</v>
      </c>
      <c r="M166" s="5">
        <f>VLOOKUP($A166,tropes!$A$4:$O$2428,13,FALSE)</f>
        <v>11</v>
      </c>
      <c r="N166" s="5">
        <f t="shared" si="2"/>
        <v>5</v>
      </c>
    </row>
    <row r="167" spans="1:14" x14ac:dyDescent="0.3">
      <c r="A167" s="14">
        <v>2966</v>
      </c>
      <c r="B167" s="5" t="str">
        <f>VLOOKUP($A167,tropes!$A$4:$O$2428,2,FALSE)</f>
        <v>Freudian Trio</v>
      </c>
      <c r="C167" s="5" t="str">
        <f>VLOOKUP($A167,tropes!$A$4:$O$2428,3,FALSE)</f>
        <v>exposition</v>
      </c>
      <c r="D167" s="5" t="str">
        <f>VLOOKUP($A167,tropes!$A$4:$O$2428,4,FALSE)</f>
        <v>freudian_trio</v>
      </c>
      <c r="E167" s="5" t="str">
        <f>VLOOKUP($A167,tropes!$A$4:$O$2428,5,FALSE)</f>
        <v>Kirk, Spock, and McCoy discuss why Eleen cals the baby "Our Child."</v>
      </c>
      <c r="F167" s="5" t="str">
        <f>VLOOKUP($A167,tropes!$A$4:$O$2428,6,FALSE)</f>
        <v>kirk</v>
      </c>
      <c r="G167" s="5">
        <f>VLOOKUP($A167,tropes!$A$4:$O$2428,7,FALSE)</f>
        <v>1</v>
      </c>
      <c r="H167" s="5">
        <f>VLOOKUP($A167,tropes!$A$4:$O$2428,8,FALSE)</f>
        <v>0</v>
      </c>
      <c r="I167" s="5">
        <f>VLOOKUP($A167,tropes!$A$4:$O$2428,9,FALSE)</f>
        <v>211</v>
      </c>
      <c r="J167" s="5">
        <f>VLOOKUP($A167,tropes!$A$4:$O$2428,10,FALSE)</f>
        <v>41</v>
      </c>
      <c r="K167" s="5" t="str">
        <f>VLOOKUP($A167,tropes!$A$4:$O$2428,11,FALSE)</f>
        <v>Friday's Child</v>
      </c>
      <c r="L167" s="5">
        <f>VLOOKUP($A167,tropes!$A$4:$O$2428,12,FALSE)</f>
        <v>2</v>
      </c>
      <c r="M167" s="5">
        <f>VLOOKUP($A167,tropes!$A$4:$O$2428,13,FALSE)</f>
        <v>11</v>
      </c>
      <c r="N167" s="5">
        <f t="shared" si="2"/>
        <v>6</v>
      </c>
    </row>
    <row r="168" spans="1:14" x14ac:dyDescent="0.3">
      <c r="A168" s="14">
        <v>2958</v>
      </c>
      <c r="B168" s="5" t="str">
        <f>VLOOKUP($A168,tropes!$A$4:$O$2428,2,FALSE)</f>
        <v>Freudian Trio</v>
      </c>
      <c r="C168" s="5" t="str">
        <f>VLOOKUP($A168,tropes!$A$4:$O$2428,3,FALSE)</f>
        <v>exposition</v>
      </c>
      <c r="D168" s="5" t="str">
        <f>VLOOKUP($A168,tropes!$A$4:$O$2428,4,FALSE)</f>
        <v>freudian_trio</v>
      </c>
      <c r="E168" s="5" t="str">
        <f>VLOOKUP($A168,tropes!$A$4:$O$2428,5,FALSE)</f>
        <v>Kirk, Spock, and McCoy plan escape from camp using McCoy examining Eleen which is against the law.</v>
      </c>
      <c r="F168" s="5" t="str">
        <f>VLOOKUP($A168,tropes!$A$4:$O$2428,6,FALSE)</f>
        <v>kirk</v>
      </c>
      <c r="G168" s="5">
        <f>VLOOKUP($A168,tropes!$A$4:$O$2428,7,FALSE)</f>
        <v>1</v>
      </c>
      <c r="H168" s="5">
        <f>VLOOKUP($A168,tropes!$A$4:$O$2428,8,FALSE)</f>
        <v>0</v>
      </c>
      <c r="I168" s="5">
        <f>VLOOKUP($A168,tropes!$A$4:$O$2428,9,FALSE)</f>
        <v>211</v>
      </c>
      <c r="J168" s="5">
        <f>VLOOKUP($A168,tropes!$A$4:$O$2428,10,FALSE)</f>
        <v>41</v>
      </c>
      <c r="K168" s="5" t="str">
        <f>VLOOKUP($A168,tropes!$A$4:$O$2428,11,FALSE)</f>
        <v>Friday's Child</v>
      </c>
      <c r="L168" s="5">
        <f>VLOOKUP($A168,tropes!$A$4:$O$2428,12,FALSE)</f>
        <v>2</v>
      </c>
      <c r="M168" s="5">
        <f>VLOOKUP($A168,tropes!$A$4:$O$2428,13,FALSE)</f>
        <v>11</v>
      </c>
      <c r="N168" s="5">
        <f t="shared" si="2"/>
        <v>7</v>
      </c>
    </row>
  </sheetData>
  <sortState ref="A2:N168">
    <sortCondition ref="I2:I168"/>
    <sortCondition ref="B2:B168"/>
    <sortCondition ref="E2:E168"/>
  </sortState>
  <conditionalFormatting sqref="B1:C1">
    <cfRule type="expression" dxfId="21" priority="2">
      <formula>O1&gt;0</formula>
    </cfRule>
  </conditionalFormatting>
  <conditionalFormatting sqref="A2:A168">
    <cfRule type="containsBlanks" dxfId="20" priority="1">
      <formula>LEN(TRIM(A2))=0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CC"/>
  </sheetPr>
  <dimension ref="A1:N131"/>
  <sheetViews>
    <sheetView workbookViewId="0"/>
  </sheetViews>
  <sheetFormatPr defaultRowHeight="12" x14ac:dyDescent="0.3"/>
  <cols>
    <col min="1" max="1" width="7.33203125" bestFit="1" customWidth="1"/>
    <col min="2" max="2" width="27" bestFit="1" customWidth="1"/>
    <col min="3" max="3" width="8" bestFit="1" customWidth="1"/>
    <col min="4" max="4" width="14.33203125" bestFit="1" customWidth="1"/>
    <col min="5" max="5" width="114.77734375" bestFit="1" customWidth="1"/>
    <col min="6" max="6" width="9.44140625" bestFit="1" customWidth="1"/>
    <col min="7" max="7" width="7.109375" bestFit="1" customWidth="1"/>
    <col min="8" max="8" width="6.77734375" bestFit="1" customWidth="1"/>
    <col min="9" max="9" width="7.6640625" bestFit="1" customWidth="1"/>
    <col min="10" max="10" width="7.44140625" bestFit="1" customWidth="1"/>
    <col min="11" max="11" width="26.77734375" bestFit="1" customWidth="1"/>
    <col min="12" max="12" width="2.109375" bestFit="1" customWidth="1"/>
    <col min="13" max="13" width="3.109375" bestFit="1" customWidth="1"/>
    <col min="14" max="14" width="15.6640625" bestFit="1" customWidth="1"/>
  </cols>
  <sheetData>
    <row r="1" spans="1:14" x14ac:dyDescent="0.3">
      <c r="A1" s="5" t="s">
        <v>160</v>
      </c>
      <c r="B1" s="1" t="s">
        <v>3</v>
      </c>
      <c r="C1" s="1" t="s">
        <v>2601</v>
      </c>
      <c r="D1" s="1" t="s">
        <v>150</v>
      </c>
      <c r="E1" s="1" t="s">
        <v>164</v>
      </c>
      <c r="F1" s="1" t="s">
        <v>183</v>
      </c>
      <c r="G1" s="14" t="s">
        <v>744</v>
      </c>
      <c r="H1" s="14" t="s">
        <v>758</v>
      </c>
      <c r="I1" s="14" t="s">
        <v>161</v>
      </c>
      <c r="J1" s="15" t="s">
        <v>15</v>
      </c>
      <c r="K1" s="16" t="s">
        <v>16</v>
      </c>
      <c r="L1" s="16" t="s">
        <v>157</v>
      </c>
      <c r="M1" s="16" t="s">
        <v>158</v>
      </c>
      <c r="N1" s="14" t="s">
        <v>182</v>
      </c>
    </row>
    <row r="2" spans="1:14" x14ac:dyDescent="0.3">
      <c r="A2" s="14">
        <v>1849</v>
      </c>
      <c r="B2" s="5" t="str">
        <f>VLOOKUP($A2,tropes!$A$4:$O$2428,2,FALSE)</f>
        <v>Fight</v>
      </c>
      <c r="C2" s="5" t="str">
        <f>VLOOKUP($A2,tropes!$A$4:$O$2428,3,FALSE)</f>
        <v>fight</v>
      </c>
      <c r="D2" s="5" t="str">
        <f>VLOOKUP($A2,tropes!$A$4:$O$2428,4,FALSE)</f>
        <v>chivaulry</v>
      </c>
      <c r="E2" s="5" t="str">
        <f>VLOOKUP($A2,tropes!$A$4:$O$2428,5,FALSE)</f>
        <v>Pike stands in front of Vina to protect her during a dream sequence.</v>
      </c>
      <c r="F2" s="5" t="str">
        <f>VLOOKUP($A2,tropes!$A$4:$O$2428,6,FALSE)</f>
        <v>pike</v>
      </c>
      <c r="G2" s="5">
        <f>VLOOKUP($A2,tropes!$A$4:$O$2428,7,FALSE)</f>
        <v>0</v>
      </c>
      <c r="H2" s="5">
        <f>VLOOKUP($A2,tropes!$A$4:$O$2428,8,FALSE)</f>
        <v>0</v>
      </c>
      <c r="I2" s="5">
        <f>VLOOKUP($A2,tropes!$A$4:$O$2428,9,FALSE)</f>
        <v>100</v>
      </c>
      <c r="J2" s="5">
        <f>VLOOKUP($A2,tropes!$A$4:$O$2428,10,FALSE)</f>
        <v>1</v>
      </c>
      <c r="K2" s="5" t="str">
        <f>VLOOKUP($A2,tropes!$A$4:$O$2428,11,FALSE)</f>
        <v>The Cage</v>
      </c>
      <c r="L2" s="5">
        <f>VLOOKUP($A2,tropes!$A$4:$O$2428,12,FALSE)</f>
        <v>1</v>
      </c>
      <c r="M2" s="5">
        <f>VLOOKUP($A2,tropes!$A$4:$O$2428,13,FALSE)</f>
        <v>0</v>
      </c>
      <c r="N2" s="5">
        <v>0</v>
      </c>
    </row>
    <row r="3" spans="1:14" x14ac:dyDescent="0.3">
      <c r="A3" s="14">
        <v>2045</v>
      </c>
      <c r="B3" s="5" t="str">
        <f>VLOOKUP($A3,tropes!$A$4:$O$2428,2,FALSE)</f>
        <v>Curb Stomp Battle</v>
      </c>
      <c r="C3" s="5" t="str">
        <f>VLOOKUP($A3,tropes!$A$4:$O$2428,3,FALSE)</f>
        <v>fight</v>
      </c>
      <c r="D3" s="5">
        <f>VLOOKUP($A3,tropes!$A$4:$O$2428,4,FALSE)</f>
        <v>0</v>
      </c>
      <c r="E3" s="5" t="str">
        <f>VLOOKUP($A3,tropes!$A$4:$O$2428,5,FALSE)</f>
        <v>Spock beats on the Salt Creature to show McCoy its not Nancy Crater. The Salt Creatures bats Spock away with one hand.</v>
      </c>
      <c r="F3" s="5" t="str">
        <f>VLOOKUP($A3,tropes!$A$4:$O$2428,6,FALSE)</f>
        <v>spock</v>
      </c>
      <c r="G3" s="5">
        <f>VLOOKUP($A3,tropes!$A$4:$O$2428,7,FALSE)</f>
        <v>1</v>
      </c>
      <c r="H3" s="5">
        <f>VLOOKUP($A3,tropes!$A$4:$O$2428,8,FALSE)</f>
        <v>0</v>
      </c>
      <c r="I3" s="5">
        <f>VLOOKUP($A3,tropes!$A$4:$O$2428,9,FALSE)</f>
        <v>101</v>
      </c>
      <c r="J3" s="5">
        <f>VLOOKUP($A3,tropes!$A$4:$O$2428,10,FALSE)</f>
        <v>2</v>
      </c>
      <c r="K3" s="5" t="str">
        <f>VLOOKUP($A3,tropes!$A$4:$O$2428,11,FALSE)</f>
        <v>The Man Trap</v>
      </c>
      <c r="L3" s="5">
        <f>VLOOKUP($A3,tropes!$A$4:$O$2428,12,FALSE)</f>
        <v>1</v>
      </c>
      <c r="M3" s="5">
        <f>VLOOKUP($A3,tropes!$A$4:$O$2428,13,FALSE)</f>
        <v>1</v>
      </c>
      <c r="N3" s="5">
        <f>IF(I3&lt;&gt;I2,0,N2+1)</f>
        <v>0</v>
      </c>
    </row>
    <row r="4" spans="1:14" x14ac:dyDescent="0.3">
      <c r="A4" s="14">
        <v>2050</v>
      </c>
      <c r="B4" s="5" t="str">
        <f>VLOOKUP($A4,tropes!$A$4:$O$2428,2,FALSE)</f>
        <v>Straw Vulcan</v>
      </c>
      <c r="C4" s="5" t="str">
        <f>VLOOKUP($A4,tropes!$A$4:$O$2428,3,FALSE)</f>
        <v>catchphrase</v>
      </c>
      <c r="D4" s="5" t="str">
        <f>VLOOKUP($A4,tropes!$A$4:$O$2428,4,FALSE)</f>
        <v>spock</v>
      </c>
      <c r="E4" s="5" t="str">
        <f>VLOOKUP($A4,tropes!$A$4:$O$2428,5,FALSE)</f>
        <v>Spock gets over-emotional when reporting the ship's status.</v>
      </c>
      <c r="F4" s="5" t="str">
        <f>VLOOKUP($A4,tropes!$A$4:$O$2428,6,FALSE)</f>
        <v>spock</v>
      </c>
      <c r="G4" s="5">
        <f>VLOOKUP($A4,tropes!$A$4:$O$2428,7,FALSE)</f>
        <v>1</v>
      </c>
      <c r="H4" s="5">
        <f>VLOOKUP($A4,tropes!$A$4:$O$2428,8,FALSE)</f>
        <v>0</v>
      </c>
      <c r="I4" s="5">
        <f>VLOOKUP($A4,tropes!$A$4:$O$2428,9,FALSE)</f>
        <v>101</v>
      </c>
      <c r="J4" s="5">
        <f>VLOOKUP($A4,tropes!$A$4:$O$2428,10,FALSE)</f>
        <v>2</v>
      </c>
      <c r="K4" s="5" t="str">
        <f>VLOOKUP($A4,tropes!$A$4:$O$2428,11,FALSE)</f>
        <v>The Man Trap</v>
      </c>
      <c r="L4" s="5">
        <f>VLOOKUP($A4,tropes!$A$4:$O$2428,12,FALSE)</f>
        <v>1</v>
      </c>
      <c r="M4" s="5">
        <f>VLOOKUP($A4,tropes!$A$4:$O$2428,13,FALSE)</f>
        <v>1</v>
      </c>
      <c r="N4" s="5">
        <f t="shared" ref="N4:N67" si="0">IF(I4&lt;&gt;I3,0,N3+1)</f>
        <v>1</v>
      </c>
    </row>
    <row r="5" spans="1:14" x14ac:dyDescent="0.3">
      <c r="A5" s="14">
        <v>1115</v>
      </c>
      <c r="B5" s="5" t="str">
        <f>VLOOKUP($A5,tropes!$A$4:$O$2428,2,FALSE)</f>
        <v>Did You Just Punch Out Cthulhu</v>
      </c>
      <c r="C5" s="5" t="str">
        <f>VLOOKUP($A5,tropes!$A$4:$O$2428,3,FALSE)</f>
        <v>fight</v>
      </c>
      <c r="D5" s="5" t="str">
        <f>VLOOKUP($A5,tropes!$A$4:$O$2428,4,FALSE)</f>
        <v>cthulhu</v>
      </c>
      <c r="E5" s="5" t="str">
        <f>VLOOKUP($A5,tropes!$A$4:$O$2428,5,FALSE)</f>
        <v>Kirk kills a nearly omnipotent being (Lt. Cmdr. Gary Mitchell) during their fight on Delta Vega.</v>
      </c>
      <c r="F5" s="5" t="str">
        <f>VLOOKUP($A5,tropes!$A$4:$O$2428,6,FALSE)</f>
        <v>kirk</v>
      </c>
      <c r="G5" s="5">
        <f>VLOOKUP($A5,tropes!$A$4:$O$2428,7,FALSE)</f>
        <v>1</v>
      </c>
      <c r="H5" s="5">
        <f>VLOOKUP($A5,tropes!$A$4:$O$2428,8,FALSE)</f>
        <v>0</v>
      </c>
      <c r="I5" s="5">
        <f>VLOOKUP($A5,tropes!$A$4:$O$2428,9,FALSE)</f>
        <v>103</v>
      </c>
      <c r="J5" s="5">
        <f>VLOOKUP($A5,tropes!$A$4:$O$2428,10,FALSE)</f>
        <v>4</v>
      </c>
      <c r="K5" s="5" t="str">
        <f>VLOOKUP($A5,tropes!$A$4:$O$2428,11,FALSE)</f>
        <v>Where No Man Has Gone Before</v>
      </c>
      <c r="L5" s="5">
        <f>VLOOKUP($A5,tropes!$A$4:$O$2428,12,FALSE)</f>
        <v>1</v>
      </c>
      <c r="M5" s="5">
        <f>VLOOKUP($A5,tropes!$A$4:$O$2428,13,FALSE)</f>
        <v>3</v>
      </c>
      <c r="N5" s="5">
        <f t="shared" si="0"/>
        <v>0</v>
      </c>
    </row>
    <row r="6" spans="1:14" x14ac:dyDescent="0.3">
      <c r="A6" s="14">
        <v>1117</v>
      </c>
      <c r="B6" s="5" t="str">
        <f>VLOOKUP($A6,tropes!$A$4:$O$2428,2,FALSE)</f>
        <v>Fighting Your Friend</v>
      </c>
      <c r="C6" s="5" t="str">
        <f>VLOOKUP($A6,tropes!$A$4:$O$2428,3,FALSE)</f>
        <v>fight</v>
      </c>
      <c r="D6" s="5" t="str">
        <f>VLOOKUP($A6,tropes!$A$4:$O$2428,4,FALSE)</f>
        <v>friend</v>
      </c>
      <c r="E6" s="5" t="str">
        <f>VLOOKUP($A6,tropes!$A$4:$O$2428,5,FALSE)</f>
        <v>Kirk and Lt. Cmdr. Gary Mitchell fight on surface of Delta Vega.</v>
      </c>
      <c r="F6" s="5" t="str">
        <f>VLOOKUP($A6,tropes!$A$4:$O$2428,6,FALSE)</f>
        <v>kirk</v>
      </c>
      <c r="G6" s="5">
        <f>VLOOKUP($A6,tropes!$A$4:$O$2428,7,FALSE)</f>
        <v>1</v>
      </c>
      <c r="H6" s="5">
        <f>VLOOKUP($A6,tropes!$A$4:$O$2428,8,FALSE)</f>
        <v>0</v>
      </c>
      <c r="I6" s="5">
        <f>VLOOKUP($A6,tropes!$A$4:$O$2428,9,FALSE)</f>
        <v>103</v>
      </c>
      <c r="J6" s="5">
        <f>VLOOKUP($A6,tropes!$A$4:$O$2428,10,FALSE)</f>
        <v>4</v>
      </c>
      <c r="K6" s="5" t="str">
        <f>VLOOKUP($A6,tropes!$A$4:$O$2428,11,FALSE)</f>
        <v>Where No Man Has Gone Before</v>
      </c>
      <c r="L6" s="5">
        <f>VLOOKUP($A6,tropes!$A$4:$O$2428,12,FALSE)</f>
        <v>1</v>
      </c>
      <c r="M6" s="5">
        <f>VLOOKUP($A6,tropes!$A$4:$O$2428,13,FALSE)</f>
        <v>3</v>
      </c>
      <c r="N6" s="5">
        <f t="shared" si="0"/>
        <v>1</v>
      </c>
    </row>
    <row r="7" spans="1:14" x14ac:dyDescent="0.3">
      <c r="A7" s="14">
        <v>1255</v>
      </c>
      <c r="B7" s="5" t="str">
        <f>VLOOKUP($A7,tropes!$A$4:$O$2428,2,FALSE)</f>
        <v>Fighting Your Friend</v>
      </c>
      <c r="C7" s="5" t="str">
        <f>VLOOKUP($A7,tropes!$A$4:$O$2428,3,FALSE)</f>
        <v>fight</v>
      </c>
      <c r="D7" s="5" t="str">
        <f>VLOOKUP($A7,tropes!$A$4:$O$2428,4,FALSE)</f>
        <v>friend</v>
      </c>
      <c r="E7" s="5" t="str">
        <f>VLOOKUP($A7,tropes!$A$4:$O$2428,5,FALSE)</f>
        <v>Kirk helps restrain Lt. Cmdr. Gary Mitchell when he attempts to leave sick bay.</v>
      </c>
      <c r="F7" s="5" t="str">
        <f>VLOOKUP($A7,tropes!$A$4:$O$2428,6,FALSE)</f>
        <v>kirk</v>
      </c>
      <c r="G7" s="5">
        <f>VLOOKUP($A7,tropes!$A$4:$O$2428,7,FALSE)</f>
        <v>1</v>
      </c>
      <c r="H7" s="5">
        <f>VLOOKUP($A7,tropes!$A$4:$O$2428,8,FALSE)</f>
        <v>0</v>
      </c>
      <c r="I7" s="5">
        <f>VLOOKUP($A7,tropes!$A$4:$O$2428,9,FALSE)</f>
        <v>103</v>
      </c>
      <c r="J7" s="5">
        <f>VLOOKUP($A7,tropes!$A$4:$O$2428,10,FALSE)</f>
        <v>4</v>
      </c>
      <c r="K7" s="5" t="str">
        <f>VLOOKUP($A7,tropes!$A$4:$O$2428,11,FALSE)</f>
        <v>Where No Man Has Gone Before</v>
      </c>
      <c r="L7" s="5">
        <f>VLOOKUP($A7,tropes!$A$4:$O$2428,12,FALSE)</f>
        <v>1</v>
      </c>
      <c r="M7" s="5">
        <f>VLOOKUP($A7,tropes!$A$4:$O$2428,13,FALSE)</f>
        <v>3</v>
      </c>
      <c r="N7" s="5">
        <f t="shared" si="0"/>
        <v>2</v>
      </c>
    </row>
    <row r="8" spans="1:14" x14ac:dyDescent="0.3">
      <c r="A8" s="14">
        <v>1257</v>
      </c>
      <c r="B8" s="5" t="str">
        <f>VLOOKUP($A8,tropes!$A$4:$O$2428,2,FALSE)</f>
        <v>Fighting Your Friend</v>
      </c>
      <c r="C8" s="5" t="str">
        <f>VLOOKUP($A8,tropes!$A$4:$O$2428,3,FALSE)</f>
        <v>fight</v>
      </c>
      <c r="D8" s="5" t="str">
        <f>VLOOKUP($A8,tropes!$A$4:$O$2428,4,FALSE)</f>
        <v>friend</v>
      </c>
      <c r="E8" s="5" t="str">
        <f>VLOOKUP($A8,tropes!$A$4:$O$2428,5,FALSE)</f>
        <v>Lt. Cmdr. Gary Mitchell restrained by Kirk, Spock, and others when Mitchell attempts to leave sick bay.</v>
      </c>
      <c r="F8" s="5" t="str">
        <f>VLOOKUP($A8,tropes!$A$4:$O$2428,6,FALSE)</f>
        <v>mitchell</v>
      </c>
      <c r="G8" s="5">
        <f>VLOOKUP($A8,tropes!$A$4:$O$2428,7,FALSE)</f>
        <v>0</v>
      </c>
      <c r="H8" s="5">
        <f>VLOOKUP($A8,tropes!$A$4:$O$2428,8,FALSE)</f>
        <v>0</v>
      </c>
      <c r="I8" s="5">
        <f>VLOOKUP($A8,tropes!$A$4:$O$2428,9,FALSE)</f>
        <v>103</v>
      </c>
      <c r="J8" s="5">
        <f>VLOOKUP($A8,tropes!$A$4:$O$2428,10,FALSE)</f>
        <v>4</v>
      </c>
      <c r="K8" s="5" t="str">
        <f>VLOOKUP($A8,tropes!$A$4:$O$2428,11,FALSE)</f>
        <v>Where No Man Has Gone Before</v>
      </c>
      <c r="L8" s="5">
        <f>VLOOKUP($A8,tropes!$A$4:$O$2428,12,FALSE)</f>
        <v>1</v>
      </c>
      <c r="M8" s="5">
        <f>VLOOKUP($A8,tropes!$A$4:$O$2428,13,FALSE)</f>
        <v>3</v>
      </c>
      <c r="N8" s="5">
        <f t="shared" si="0"/>
        <v>3</v>
      </c>
    </row>
    <row r="9" spans="1:14" x14ac:dyDescent="0.3">
      <c r="A9" s="14">
        <v>1256</v>
      </c>
      <c r="B9" s="5" t="str">
        <f>VLOOKUP($A9,tropes!$A$4:$O$2428,2,FALSE)</f>
        <v>Fighting Your Friend</v>
      </c>
      <c r="C9" s="5" t="str">
        <f>VLOOKUP($A9,tropes!$A$4:$O$2428,3,FALSE)</f>
        <v>fight</v>
      </c>
      <c r="D9" s="5" t="str">
        <f>VLOOKUP($A9,tropes!$A$4:$O$2428,4,FALSE)</f>
        <v>friend</v>
      </c>
      <c r="E9" s="5" t="str">
        <f>VLOOKUP($A9,tropes!$A$4:$O$2428,5,FALSE)</f>
        <v>Spock helps restrain Lt. Cmdr. Gary Mitchell when he attempts to leave sick bay.</v>
      </c>
      <c r="F9" s="5" t="str">
        <f>VLOOKUP($A9,tropes!$A$4:$O$2428,6,FALSE)</f>
        <v>spock</v>
      </c>
      <c r="G9" s="5">
        <f>VLOOKUP($A9,tropes!$A$4:$O$2428,7,FALSE)</f>
        <v>1</v>
      </c>
      <c r="H9" s="5">
        <f>VLOOKUP($A9,tropes!$A$4:$O$2428,8,FALSE)</f>
        <v>0</v>
      </c>
      <c r="I9" s="5">
        <f>VLOOKUP($A9,tropes!$A$4:$O$2428,9,FALSE)</f>
        <v>103</v>
      </c>
      <c r="J9" s="5">
        <f>VLOOKUP($A9,tropes!$A$4:$O$2428,10,FALSE)</f>
        <v>4</v>
      </c>
      <c r="K9" s="5" t="str">
        <f>VLOOKUP($A9,tropes!$A$4:$O$2428,11,FALSE)</f>
        <v>Where No Man Has Gone Before</v>
      </c>
      <c r="L9" s="5">
        <f>VLOOKUP($A9,tropes!$A$4:$O$2428,12,FALSE)</f>
        <v>1</v>
      </c>
      <c r="M9" s="5">
        <f>VLOOKUP($A9,tropes!$A$4:$O$2428,13,FALSE)</f>
        <v>3</v>
      </c>
      <c r="N9" s="5">
        <f t="shared" si="0"/>
        <v>4</v>
      </c>
    </row>
    <row r="10" spans="1:14" x14ac:dyDescent="0.3">
      <c r="A10" s="14">
        <v>2496</v>
      </c>
      <c r="B10" s="5" t="str">
        <f>VLOOKUP($A10,tropes!$A$4:$O$2428,2,FALSE)</f>
        <v>Fighting Your Friend</v>
      </c>
      <c r="C10" s="5" t="str">
        <f>VLOOKUP($A10,tropes!$A$4:$O$2428,3,FALSE)</f>
        <v>fight</v>
      </c>
      <c r="D10" s="5" t="str">
        <f>VLOOKUP($A10,tropes!$A$4:$O$2428,4,FALSE)</f>
        <v>friend</v>
      </c>
      <c r="E10" s="5" t="str">
        <f>VLOOKUP($A10,tropes!$A$4:$O$2428,5,FALSE)</f>
        <v>Lt. Tormolan attempts to commit suicide. Sulu and Riley try to stop him but in the struggle he stabs himself in the gut.</v>
      </c>
      <c r="F10" s="5" t="str">
        <f>VLOOKUP($A10,tropes!$A$4:$O$2428,6,FALSE)</f>
        <v>blueshirt</v>
      </c>
      <c r="G10" s="5">
        <f>VLOOKUP($A10,tropes!$A$4:$O$2428,7,FALSE)</f>
        <v>0</v>
      </c>
      <c r="H10" s="5">
        <f>VLOOKUP($A10,tropes!$A$4:$O$2428,8,FALSE)</f>
        <v>0</v>
      </c>
      <c r="I10" s="5">
        <f>VLOOKUP($A10,tropes!$A$4:$O$2428,9,FALSE)</f>
        <v>104</v>
      </c>
      <c r="J10" s="5">
        <f>VLOOKUP($A10,tropes!$A$4:$O$2428,10,FALSE)</f>
        <v>5</v>
      </c>
      <c r="K10" s="5" t="str">
        <f>VLOOKUP($A10,tropes!$A$4:$O$2428,11,FALSE)</f>
        <v>The Naked Time</v>
      </c>
      <c r="L10" s="5">
        <f>VLOOKUP($A10,tropes!$A$4:$O$2428,12,FALSE)</f>
        <v>1</v>
      </c>
      <c r="M10" s="5">
        <f>VLOOKUP($A10,tropes!$A$4:$O$2428,13,FALSE)</f>
        <v>4</v>
      </c>
      <c r="N10" s="5">
        <f t="shared" si="0"/>
        <v>0</v>
      </c>
    </row>
    <row r="11" spans="1:14" x14ac:dyDescent="0.3">
      <c r="A11" s="14">
        <v>2495</v>
      </c>
      <c r="B11" s="5" t="str">
        <f>VLOOKUP($A11,tropes!$A$4:$O$2428,2,FALSE)</f>
        <v>Fighting Your Friend</v>
      </c>
      <c r="C11" s="5" t="str">
        <f>VLOOKUP($A11,tropes!$A$4:$O$2428,3,FALSE)</f>
        <v>fight</v>
      </c>
      <c r="D11" s="5" t="str">
        <f>VLOOKUP($A11,tropes!$A$4:$O$2428,4,FALSE)</f>
        <v>friend</v>
      </c>
      <c r="E11" s="5" t="str">
        <f>VLOOKUP($A11,tropes!$A$4:$O$2428,5,FALSE)</f>
        <v>Riley and Sulu try to stop Lt. Tormolan from killing himself.</v>
      </c>
      <c r="F11" s="5" t="str">
        <f>VLOOKUP($A11,tropes!$A$4:$O$2428,6,FALSE)</f>
        <v>sulu</v>
      </c>
      <c r="G11" s="5">
        <f>VLOOKUP($A11,tropes!$A$4:$O$2428,7,FALSE)</f>
        <v>0</v>
      </c>
      <c r="H11" s="5">
        <f>VLOOKUP($A11,tropes!$A$4:$O$2428,8,FALSE)</f>
        <v>1</v>
      </c>
      <c r="I11" s="5">
        <f>VLOOKUP($A11,tropes!$A$4:$O$2428,9,FALSE)</f>
        <v>104</v>
      </c>
      <c r="J11" s="5">
        <f>VLOOKUP($A11,tropes!$A$4:$O$2428,10,FALSE)</f>
        <v>5</v>
      </c>
      <c r="K11" s="5" t="str">
        <f>VLOOKUP($A11,tropes!$A$4:$O$2428,11,FALSE)</f>
        <v>The Naked Time</v>
      </c>
      <c r="L11" s="5">
        <f>VLOOKUP($A11,tropes!$A$4:$O$2428,12,FALSE)</f>
        <v>1</v>
      </c>
      <c r="M11" s="5">
        <f>VLOOKUP($A11,tropes!$A$4:$O$2428,13,FALSE)</f>
        <v>4</v>
      </c>
      <c r="N11" s="5">
        <f t="shared" si="0"/>
        <v>1</v>
      </c>
    </row>
    <row r="12" spans="1:14" x14ac:dyDescent="0.3">
      <c r="A12" s="14">
        <v>2497</v>
      </c>
      <c r="B12" s="5" t="str">
        <f>VLOOKUP($A12,tropes!$A$4:$O$2428,2,FALSE)</f>
        <v>Fighting Your Friend</v>
      </c>
      <c r="C12" s="5" t="str">
        <f>VLOOKUP($A12,tropes!$A$4:$O$2428,3,FALSE)</f>
        <v>fight</v>
      </c>
      <c r="D12" s="5" t="str">
        <f>VLOOKUP($A12,tropes!$A$4:$O$2428,4,FALSE)</f>
        <v>friend</v>
      </c>
      <c r="E12" s="5" t="str">
        <f>VLOOKUP($A12,tropes!$A$4:$O$2428,5,FALSE)</f>
        <v>Sulu and Riley try to stop Lt. Tormolan from killing himself.</v>
      </c>
      <c r="F12" s="5" t="str">
        <f>VLOOKUP($A12,tropes!$A$4:$O$2428,6,FALSE)</f>
        <v>redshirt</v>
      </c>
      <c r="G12" s="5">
        <f>VLOOKUP($A12,tropes!$A$4:$O$2428,7,FALSE)</f>
        <v>0</v>
      </c>
      <c r="H12" s="5">
        <f>VLOOKUP($A12,tropes!$A$4:$O$2428,8,FALSE)</f>
        <v>0</v>
      </c>
      <c r="I12" s="5">
        <f>VLOOKUP($A12,tropes!$A$4:$O$2428,9,FALSE)</f>
        <v>104</v>
      </c>
      <c r="J12" s="5">
        <f>VLOOKUP($A12,tropes!$A$4:$O$2428,10,FALSE)</f>
        <v>5</v>
      </c>
      <c r="K12" s="5" t="str">
        <f>VLOOKUP($A12,tropes!$A$4:$O$2428,11,FALSE)</f>
        <v>The Naked Time</v>
      </c>
      <c r="L12" s="5">
        <f>VLOOKUP($A12,tropes!$A$4:$O$2428,12,FALSE)</f>
        <v>1</v>
      </c>
      <c r="M12" s="5">
        <f>VLOOKUP($A12,tropes!$A$4:$O$2428,13,FALSE)</f>
        <v>4</v>
      </c>
      <c r="N12" s="5">
        <f t="shared" si="0"/>
        <v>2</v>
      </c>
    </row>
    <row r="13" spans="1:14" x14ac:dyDescent="0.3">
      <c r="A13" s="14">
        <v>1021</v>
      </c>
      <c r="B13" s="5" t="str">
        <f>VLOOKUP($A13,tropes!$A$4:$O$2428,2,FALSE)</f>
        <v>Mirror Match</v>
      </c>
      <c r="C13" s="5" t="str">
        <f>VLOOKUP($A13,tropes!$A$4:$O$2428,3,FALSE)</f>
        <v>fight</v>
      </c>
      <c r="D13" s="5" t="str">
        <f>VLOOKUP($A13,tropes!$A$4:$O$2428,4,FALSE)</f>
        <v>doppelgänger</v>
      </c>
      <c r="E13" s="5" t="str">
        <f>VLOOKUP($A13,tropes!$A$4:$O$2428,5,FALSE)</f>
        <v>Kirk fights Evil-Kirk in engineering</v>
      </c>
      <c r="F13" s="5" t="str">
        <f>VLOOKUP($A13,tropes!$A$4:$O$2428,6,FALSE)</f>
        <v>kirk</v>
      </c>
      <c r="G13" s="5">
        <f>VLOOKUP($A13,tropes!$A$4:$O$2428,7,FALSE)</f>
        <v>1</v>
      </c>
      <c r="H13" s="5">
        <f>VLOOKUP($A13,tropes!$A$4:$O$2428,8,FALSE)</f>
        <v>0</v>
      </c>
      <c r="I13" s="5">
        <f>VLOOKUP($A13,tropes!$A$4:$O$2428,9,FALSE)</f>
        <v>105</v>
      </c>
      <c r="J13" s="5">
        <f>VLOOKUP($A13,tropes!$A$4:$O$2428,10,FALSE)</f>
        <v>6</v>
      </c>
      <c r="K13" s="5" t="str">
        <f>VLOOKUP($A13,tropes!$A$4:$O$2428,11,FALSE)</f>
        <v>The Enemy Within</v>
      </c>
      <c r="L13" s="5">
        <f>VLOOKUP($A13,tropes!$A$4:$O$2428,12,FALSE)</f>
        <v>1</v>
      </c>
      <c r="M13" s="5">
        <f>VLOOKUP($A13,tropes!$A$4:$O$2428,13,FALSE)</f>
        <v>5</v>
      </c>
      <c r="N13" s="5">
        <f t="shared" si="0"/>
        <v>0</v>
      </c>
    </row>
    <row r="14" spans="1:14" x14ac:dyDescent="0.3">
      <c r="A14" s="14">
        <v>199</v>
      </c>
      <c r="B14" s="5" t="str">
        <f>VLOOKUP($A14,tropes!$A$4:$O$2428,2,FALSE)</f>
        <v>Fight</v>
      </c>
      <c r="C14" s="5" t="str">
        <f>VLOOKUP($A14,tropes!$A$4:$O$2428,3,FALSE)</f>
        <v>fight</v>
      </c>
      <c r="D14" s="5" t="str">
        <f>VLOOKUP($A14,tropes!$A$4:$O$2428,4,FALSE)</f>
        <v>evil-twin</v>
      </c>
      <c r="E14" s="5" t="str">
        <f>VLOOKUP($A14,tropes!$A$4:$O$2428,5,FALSE)</f>
        <v>Evil-Kirk attacks security officer in Enterprise corridor.</v>
      </c>
      <c r="F14" s="5" t="str">
        <f>VLOOKUP($A14,tropes!$A$4:$O$2428,6,FALSE)</f>
        <v>evil_kirk</v>
      </c>
      <c r="G14" s="5">
        <f>VLOOKUP($A14,tropes!$A$4:$O$2428,7,FALSE)</f>
        <v>0</v>
      </c>
      <c r="H14" s="5">
        <f>VLOOKUP($A14,tropes!$A$4:$O$2428,8,FALSE)</f>
        <v>0</v>
      </c>
      <c r="I14" s="5">
        <f>VLOOKUP($A14,tropes!$A$4:$O$2428,9,FALSE)</f>
        <v>105</v>
      </c>
      <c r="J14" s="5">
        <f>VLOOKUP($A14,tropes!$A$4:$O$2428,10,FALSE)</f>
        <v>6</v>
      </c>
      <c r="K14" s="5" t="str">
        <f>VLOOKUP($A14,tropes!$A$4:$O$2428,11,FALSE)</f>
        <v>The Enemy Within</v>
      </c>
      <c r="L14" s="5">
        <f>VLOOKUP($A14,tropes!$A$4:$O$2428,12,FALSE)</f>
        <v>1</v>
      </c>
      <c r="M14" s="5">
        <f>VLOOKUP($A14,tropes!$A$4:$O$2428,13,FALSE)</f>
        <v>5</v>
      </c>
      <c r="N14" s="5">
        <f t="shared" si="0"/>
        <v>1</v>
      </c>
    </row>
    <row r="15" spans="1:14" x14ac:dyDescent="0.3">
      <c r="A15" s="14">
        <v>201</v>
      </c>
      <c r="B15" s="5" t="str">
        <f>VLOOKUP($A15,tropes!$A$4:$O$2428,2,FALSE)</f>
        <v>Fight</v>
      </c>
      <c r="C15" s="5" t="str">
        <f>VLOOKUP($A15,tropes!$A$4:$O$2428,3,FALSE)</f>
        <v>fight</v>
      </c>
      <c r="D15" s="5" t="str">
        <f>VLOOKUP($A15,tropes!$A$4:$O$2428,4,FALSE)</f>
        <v>evil-twin</v>
      </c>
      <c r="E15" s="5" t="str">
        <f>VLOOKUP($A15,tropes!$A$4:$O$2428,5,FALSE)</f>
        <v>Evil-Kirk attacks technician in transporter room.</v>
      </c>
      <c r="F15" s="5" t="str">
        <f>VLOOKUP($A15,tropes!$A$4:$O$2428,6,FALSE)</f>
        <v>evil_kirk</v>
      </c>
      <c r="G15" s="5">
        <f>VLOOKUP($A15,tropes!$A$4:$O$2428,7,FALSE)</f>
        <v>0</v>
      </c>
      <c r="H15" s="5">
        <f>VLOOKUP($A15,tropes!$A$4:$O$2428,8,FALSE)</f>
        <v>0</v>
      </c>
      <c r="I15" s="5">
        <f>VLOOKUP($A15,tropes!$A$4:$O$2428,9,FALSE)</f>
        <v>105</v>
      </c>
      <c r="J15" s="5">
        <f>VLOOKUP($A15,tropes!$A$4:$O$2428,10,FALSE)</f>
        <v>6</v>
      </c>
      <c r="K15" s="5" t="str">
        <f>VLOOKUP($A15,tropes!$A$4:$O$2428,11,FALSE)</f>
        <v>The Enemy Within</v>
      </c>
      <c r="L15" s="5">
        <f>VLOOKUP($A15,tropes!$A$4:$O$2428,12,FALSE)</f>
        <v>1</v>
      </c>
      <c r="M15" s="5">
        <f>VLOOKUP($A15,tropes!$A$4:$O$2428,13,FALSE)</f>
        <v>5</v>
      </c>
      <c r="N15" s="5">
        <f t="shared" si="0"/>
        <v>2</v>
      </c>
    </row>
    <row r="16" spans="1:14" x14ac:dyDescent="0.3">
      <c r="A16" s="14">
        <v>200</v>
      </c>
      <c r="B16" s="5" t="str">
        <f>VLOOKUP($A16,tropes!$A$4:$O$2428,2,FALSE)</f>
        <v>Fight</v>
      </c>
      <c r="C16" s="5" t="str">
        <f>VLOOKUP($A16,tropes!$A$4:$O$2428,3,FALSE)</f>
        <v>fight</v>
      </c>
      <c r="D16" s="5" t="str">
        <f>VLOOKUP($A16,tropes!$A$4:$O$2428,4,FALSE)</f>
        <v>outmatched</v>
      </c>
      <c r="E16" s="5" t="str">
        <f>VLOOKUP($A16,tropes!$A$4:$O$2428,5,FALSE)</f>
        <v>Redshirt knocked out by Evil-Kirk in corridor</v>
      </c>
      <c r="F16" s="5" t="str">
        <f>VLOOKUP($A16,tropes!$A$4:$O$2428,6,FALSE)</f>
        <v>redshirt</v>
      </c>
      <c r="G16" s="5">
        <f>VLOOKUP($A16,tropes!$A$4:$O$2428,7,FALSE)</f>
        <v>0</v>
      </c>
      <c r="H16" s="5">
        <f>VLOOKUP($A16,tropes!$A$4:$O$2428,8,FALSE)</f>
        <v>0</v>
      </c>
      <c r="I16" s="5">
        <f>VLOOKUP($A16,tropes!$A$4:$O$2428,9,FALSE)</f>
        <v>105</v>
      </c>
      <c r="J16" s="5">
        <f>VLOOKUP($A16,tropes!$A$4:$O$2428,10,FALSE)</f>
        <v>6</v>
      </c>
      <c r="K16" s="5" t="str">
        <f>VLOOKUP($A16,tropes!$A$4:$O$2428,11,FALSE)</f>
        <v>The Enemy Within</v>
      </c>
      <c r="L16" s="5">
        <f>VLOOKUP($A16,tropes!$A$4:$O$2428,12,FALSE)</f>
        <v>1</v>
      </c>
      <c r="M16" s="5">
        <f>VLOOKUP($A16,tropes!$A$4:$O$2428,13,FALSE)</f>
        <v>5</v>
      </c>
      <c r="N16" s="5">
        <f t="shared" si="0"/>
        <v>3</v>
      </c>
    </row>
    <row r="17" spans="1:14" x14ac:dyDescent="0.3">
      <c r="A17" s="14">
        <v>202</v>
      </c>
      <c r="B17" s="5" t="str">
        <f>VLOOKUP($A17,tropes!$A$4:$O$2428,2,FALSE)</f>
        <v>Fight</v>
      </c>
      <c r="C17" s="5" t="str">
        <f>VLOOKUP($A17,tropes!$A$4:$O$2428,3,FALSE)</f>
        <v>fight</v>
      </c>
      <c r="D17" s="5" t="str">
        <f>VLOOKUP($A17,tropes!$A$4:$O$2428,4,FALSE)</f>
        <v>outmatched</v>
      </c>
      <c r="E17" s="5" t="str">
        <f>VLOOKUP($A17,tropes!$A$4:$O$2428,5,FALSE)</f>
        <v>Technician knocked out by Evil-Kirk in corridor.</v>
      </c>
      <c r="F17" s="5" t="str">
        <f>VLOOKUP($A17,tropes!$A$4:$O$2428,6,FALSE)</f>
        <v>technician</v>
      </c>
      <c r="G17" s="5">
        <f>VLOOKUP($A17,tropes!$A$4:$O$2428,7,FALSE)</f>
        <v>0</v>
      </c>
      <c r="H17" s="5">
        <f>VLOOKUP($A17,tropes!$A$4:$O$2428,8,FALSE)</f>
        <v>0</v>
      </c>
      <c r="I17" s="5">
        <f>VLOOKUP($A17,tropes!$A$4:$O$2428,9,FALSE)</f>
        <v>105</v>
      </c>
      <c r="J17" s="5">
        <f>VLOOKUP($A17,tropes!$A$4:$O$2428,10,FALSE)</f>
        <v>6</v>
      </c>
      <c r="K17" s="5" t="str">
        <f>VLOOKUP($A17,tropes!$A$4:$O$2428,11,FALSE)</f>
        <v>The Enemy Within</v>
      </c>
      <c r="L17" s="5">
        <f>VLOOKUP($A17,tropes!$A$4:$O$2428,12,FALSE)</f>
        <v>1</v>
      </c>
      <c r="M17" s="5">
        <f>VLOOKUP($A17,tropes!$A$4:$O$2428,13,FALSE)</f>
        <v>5</v>
      </c>
      <c r="N17" s="5">
        <f t="shared" si="0"/>
        <v>4</v>
      </c>
    </row>
    <row r="18" spans="1:14" x14ac:dyDescent="0.3">
      <c r="A18" s="14">
        <v>2339</v>
      </c>
      <c r="B18" s="5" t="str">
        <f>VLOOKUP($A18,tropes!$A$4:$O$2428,2,FALSE)</f>
        <v>Pressure Point</v>
      </c>
      <c r="C18" s="5" t="str">
        <f>VLOOKUP($A18,tropes!$A$4:$O$2428,3,FALSE)</f>
        <v>fight</v>
      </c>
      <c r="D18" s="5" t="str">
        <f>VLOOKUP($A18,tropes!$A$4:$O$2428,4,FALSE)</f>
        <v>vulcan_neck_pinch</v>
      </c>
      <c r="E18" s="5" t="str">
        <f>VLOOKUP($A18,tropes!$A$4:$O$2428,5,FALSE)</f>
        <v>Spock uses neck pinch on Evil-Kirk just as he was about to kill Kirk with a phaser. Instead, evil-Kirk blasts a hole in tubing with transporter controls.</v>
      </c>
      <c r="F18" s="5" t="str">
        <f>VLOOKUP($A18,tropes!$A$4:$O$2428,6,FALSE)</f>
        <v>spock</v>
      </c>
      <c r="G18" s="5">
        <f>VLOOKUP($A18,tropes!$A$4:$O$2428,7,FALSE)</f>
        <v>1</v>
      </c>
      <c r="H18" s="5">
        <f>VLOOKUP($A18,tropes!$A$4:$O$2428,8,FALSE)</f>
        <v>0</v>
      </c>
      <c r="I18" s="5">
        <f>VLOOKUP($A18,tropes!$A$4:$O$2428,9,FALSE)</f>
        <v>105</v>
      </c>
      <c r="J18" s="5">
        <f>VLOOKUP($A18,tropes!$A$4:$O$2428,10,FALSE)</f>
        <v>6</v>
      </c>
      <c r="K18" s="5" t="str">
        <f>VLOOKUP($A18,tropes!$A$4:$O$2428,11,FALSE)</f>
        <v>The Enemy Within</v>
      </c>
      <c r="L18" s="5">
        <f>VLOOKUP($A18,tropes!$A$4:$O$2428,12,FALSE)</f>
        <v>1</v>
      </c>
      <c r="M18" s="5">
        <f>VLOOKUP($A18,tropes!$A$4:$O$2428,13,FALSE)</f>
        <v>5</v>
      </c>
      <c r="N18" s="5">
        <f t="shared" si="0"/>
        <v>5</v>
      </c>
    </row>
    <row r="19" spans="1:14" x14ac:dyDescent="0.3">
      <c r="A19" s="14">
        <v>626</v>
      </c>
      <c r="B19" s="5" t="str">
        <f>VLOOKUP($A19,tropes!$A$4:$O$2428,2,FALSE)</f>
        <v>Fight Robot</v>
      </c>
      <c r="C19" s="5" t="str">
        <f>VLOOKUP($A19,tropes!$A$4:$O$2428,3,FALSE)</f>
        <v>fight</v>
      </c>
      <c r="D19" s="5" t="str">
        <f>VLOOKUP($A19,tropes!$A$4:$O$2428,4,FALSE)</f>
        <v>outmatched</v>
      </c>
      <c r="E19" s="5" t="str">
        <f>VLOOKUP($A19,tropes!$A$4:$O$2428,5,FALSE)</f>
        <v>Kirk chokes Dr. Korby with rope.</v>
      </c>
      <c r="F19" s="5" t="str">
        <f>VLOOKUP($A19,tropes!$A$4:$O$2428,6,FALSE)</f>
        <v>kirk</v>
      </c>
      <c r="G19" s="5">
        <f>VLOOKUP($A19,tropes!$A$4:$O$2428,7,FALSE)</f>
        <v>1</v>
      </c>
      <c r="H19" s="5">
        <f>VLOOKUP($A19,tropes!$A$4:$O$2428,8,FALSE)</f>
        <v>0</v>
      </c>
      <c r="I19" s="5">
        <f>VLOOKUP($A19,tropes!$A$4:$O$2428,9,FALSE)</f>
        <v>107</v>
      </c>
      <c r="J19" s="5">
        <f>VLOOKUP($A19,tropes!$A$4:$O$2428,10,FALSE)</f>
        <v>8</v>
      </c>
      <c r="K19" s="5" t="str">
        <f>VLOOKUP($A19,tropes!$A$4:$O$2428,11,FALSE)</f>
        <v>What Are Little Girls Made Of?</v>
      </c>
      <c r="L19" s="5">
        <f>VLOOKUP($A19,tropes!$A$4:$O$2428,12,FALSE)</f>
        <v>1</v>
      </c>
      <c r="M19" s="5">
        <f>VLOOKUP($A19,tropes!$A$4:$O$2428,13,FALSE)</f>
        <v>7</v>
      </c>
      <c r="N19" s="5">
        <f t="shared" si="0"/>
        <v>0</v>
      </c>
    </row>
    <row r="20" spans="1:14" x14ac:dyDescent="0.3">
      <c r="A20" s="14">
        <v>627</v>
      </c>
      <c r="B20" s="5" t="str">
        <f>VLOOKUP($A20,tropes!$A$4:$O$2428,2,FALSE)</f>
        <v>Fight Robot</v>
      </c>
      <c r="C20" s="5" t="str">
        <f>VLOOKUP($A20,tropes!$A$4:$O$2428,3,FALSE)</f>
        <v>fight</v>
      </c>
      <c r="D20" s="5" t="str">
        <f>VLOOKUP($A20,tropes!$A$4:$O$2428,4,FALSE)</f>
        <v>outmatched</v>
      </c>
      <c r="E20" s="5" t="str">
        <f>VLOOKUP($A20,tropes!$A$4:$O$2428,5,FALSE)</f>
        <v>Kirk fights Dr. Korby.</v>
      </c>
      <c r="F20" s="5" t="str">
        <f>VLOOKUP($A20,tropes!$A$4:$O$2428,6,FALSE)</f>
        <v>kirk</v>
      </c>
      <c r="G20" s="5">
        <f>VLOOKUP($A20,tropes!$A$4:$O$2428,7,FALSE)</f>
        <v>1</v>
      </c>
      <c r="H20" s="5">
        <f>VLOOKUP($A20,tropes!$A$4:$O$2428,8,FALSE)</f>
        <v>0</v>
      </c>
      <c r="I20" s="5">
        <f>VLOOKUP($A20,tropes!$A$4:$O$2428,9,FALSE)</f>
        <v>107</v>
      </c>
      <c r="J20" s="5">
        <f>VLOOKUP($A20,tropes!$A$4:$O$2428,10,FALSE)</f>
        <v>8</v>
      </c>
      <c r="K20" s="5" t="str">
        <f>VLOOKUP($A20,tropes!$A$4:$O$2428,11,FALSE)</f>
        <v>What Are Little Girls Made Of?</v>
      </c>
      <c r="L20" s="5">
        <f>VLOOKUP($A20,tropes!$A$4:$O$2428,12,FALSE)</f>
        <v>1</v>
      </c>
      <c r="M20" s="5">
        <f>VLOOKUP($A20,tropes!$A$4:$O$2428,13,FALSE)</f>
        <v>7</v>
      </c>
      <c r="N20" s="5">
        <f t="shared" si="0"/>
        <v>1</v>
      </c>
    </row>
    <row r="21" spans="1:14" x14ac:dyDescent="0.3">
      <c r="A21" s="14">
        <v>620</v>
      </c>
      <c r="B21" s="5" t="str">
        <f>VLOOKUP($A21,tropes!$A$4:$O$2428,2,FALSE)</f>
        <v>Curb Stomp Battle</v>
      </c>
      <c r="C21" s="5" t="str">
        <f>VLOOKUP($A21,tropes!$A$4:$O$2428,3,FALSE)</f>
        <v>fight</v>
      </c>
      <c r="D21" s="5" t="str">
        <f>VLOOKUP($A21,tropes!$A$4:$O$2428,4,FALSE)</f>
        <v>outmatched</v>
      </c>
      <c r="E21" s="5" t="str">
        <f>VLOOKUP($A21,tropes!$A$4:$O$2428,5,FALSE)</f>
        <v>Kirk fights Ruk. Kirk loses. (1)</v>
      </c>
      <c r="F21" s="5" t="str">
        <f>VLOOKUP($A21,tropes!$A$4:$O$2428,6,FALSE)</f>
        <v>kirk</v>
      </c>
      <c r="G21" s="5">
        <f>VLOOKUP($A21,tropes!$A$4:$O$2428,7,FALSE)</f>
        <v>1</v>
      </c>
      <c r="H21" s="5">
        <f>VLOOKUP($A21,tropes!$A$4:$O$2428,8,FALSE)</f>
        <v>0</v>
      </c>
      <c r="I21" s="5">
        <f>VLOOKUP($A21,tropes!$A$4:$O$2428,9,FALSE)</f>
        <v>107</v>
      </c>
      <c r="J21" s="5">
        <f>VLOOKUP($A21,tropes!$A$4:$O$2428,10,FALSE)</f>
        <v>8</v>
      </c>
      <c r="K21" s="5" t="str">
        <f>VLOOKUP($A21,tropes!$A$4:$O$2428,11,FALSE)</f>
        <v>What Are Little Girls Made Of?</v>
      </c>
      <c r="L21" s="5">
        <f>VLOOKUP($A21,tropes!$A$4:$O$2428,12,FALSE)</f>
        <v>1</v>
      </c>
      <c r="M21" s="5">
        <f>VLOOKUP($A21,tropes!$A$4:$O$2428,13,FALSE)</f>
        <v>7</v>
      </c>
      <c r="N21" s="5">
        <f t="shared" si="0"/>
        <v>2</v>
      </c>
    </row>
    <row r="22" spans="1:14" x14ac:dyDescent="0.3">
      <c r="A22" s="14">
        <v>621</v>
      </c>
      <c r="B22" s="5" t="str">
        <f>VLOOKUP($A22,tropes!$A$4:$O$2428,2,FALSE)</f>
        <v>Curb Stomp Battle</v>
      </c>
      <c r="C22" s="5" t="str">
        <f>VLOOKUP($A22,tropes!$A$4:$O$2428,3,FALSE)</f>
        <v>fight</v>
      </c>
      <c r="D22" s="5" t="str">
        <f>VLOOKUP($A22,tropes!$A$4:$O$2428,4,FALSE)</f>
        <v>outmatched</v>
      </c>
      <c r="E22" s="5" t="str">
        <f>VLOOKUP($A22,tropes!$A$4:$O$2428,5,FALSE)</f>
        <v>Kirk fights Ruk. Kirk loses. (2)</v>
      </c>
      <c r="F22" s="5" t="str">
        <f>VLOOKUP($A22,tropes!$A$4:$O$2428,6,FALSE)</f>
        <v>kirk</v>
      </c>
      <c r="G22" s="5">
        <f>VLOOKUP($A22,tropes!$A$4:$O$2428,7,FALSE)</f>
        <v>1</v>
      </c>
      <c r="H22" s="5">
        <f>VLOOKUP($A22,tropes!$A$4:$O$2428,8,FALSE)</f>
        <v>0</v>
      </c>
      <c r="I22" s="5">
        <f>VLOOKUP($A22,tropes!$A$4:$O$2428,9,FALSE)</f>
        <v>107</v>
      </c>
      <c r="J22" s="5">
        <f>VLOOKUP($A22,tropes!$A$4:$O$2428,10,FALSE)</f>
        <v>8</v>
      </c>
      <c r="K22" s="5" t="str">
        <f>VLOOKUP($A22,tropes!$A$4:$O$2428,11,FALSE)</f>
        <v>What Are Little Girls Made Of?</v>
      </c>
      <c r="L22" s="5">
        <f>VLOOKUP($A22,tropes!$A$4:$O$2428,12,FALSE)</f>
        <v>1</v>
      </c>
      <c r="M22" s="5">
        <f>VLOOKUP($A22,tropes!$A$4:$O$2428,13,FALSE)</f>
        <v>7</v>
      </c>
      <c r="N22" s="5">
        <f t="shared" si="0"/>
        <v>3</v>
      </c>
    </row>
    <row r="23" spans="1:14" x14ac:dyDescent="0.3">
      <c r="A23" s="14">
        <v>622</v>
      </c>
      <c r="B23" s="5" t="str">
        <f>VLOOKUP($A23,tropes!$A$4:$O$2428,2,FALSE)</f>
        <v>Curb Stomp Battle</v>
      </c>
      <c r="C23" s="5" t="str">
        <f>VLOOKUP($A23,tropes!$A$4:$O$2428,3,FALSE)</f>
        <v>fight</v>
      </c>
      <c r="D23" s="5" t="str">
        <f>VLOOKUP($A23,tropes!$A$4:$O$2428,4,FALSE)</f>
        <v>outmatched</v>
      </c>
      <c r="E23" s="5" t="str">
        <f>VLOOKUP($A23,tropes!$A$4:$O$2428,5,FALSE)</f>
        <v>Kirk fights Ruk. Kirk loses. (3)</v>
      </c>
      <c r="F23" s="5" t="str">
        <f>VLOOKUP($A23,tropes!$A$4:$O$2428,6,FALSE)</f>
        <v>kirk</v>
      </c>
      <c r="G23" s="5">
        <f>VLOOKUP($A23,tropes!$A$4:$O$2428,7,FALSE)</f>
        <v>1</v>
      </c>
      <c r="H23" s="5">
        <f>VLOOKUP($A23,tropes!$A$4:$O$2428,8,FALSE)</f>
        <v>0</v>
      </c>
      <c r="I23" s="5">
        <f>VLOOKUP($A23,tropes!$A$4:$O$2428,9,FALSE)</f>
        <v>107</v>
      </c>
      <c r="J23" s="5">
        <f>VLOOKUP($A23,tropes!$A$4:$O$2428,10,FALSE)</f>
        <v>8</v>
      </c>
      <c r="K23" s="5" t="str">
        <f>VLOOKUP($A23,tropes!$A$4:$O$2428,11,FALSE)</f>
        <v>What Are Little Girls Made Of?</v>
      </c>
      <c r="L23" s="5">
        <f>VLOOKUP($A23,tropes!$A$4:$O$2428,12,FALSE)</f>
        <v>1</v>
      </c>
      <c r="M23" s="5">
        <f>VLOOKUP($A23,tropes!$A$4:$O$2428,13,FALSE)</f>
        <v>7</v>
      </c>
      <c r="N23" s="5">
        <f t="shared" si="0"/>
        <v>4</v>
      </c>
    </row>
    <row r="24" spans="1:14" x14ac:dyDescent="0.3">
      <c r="A24" s="14">
        <v>644</v>
      </c>
      <c r="B24" s="5" t="str">
        <f>VLOOKUP($A24,tropes!$A$4:$O$2428,2,FALSE)</f>
        <v>Fight</v>
      </c>
      <c r="C24" s="5" t="str">
        <f>VLOOKUP($A24,tropes!$A$4:$O$2428,3,FALSE)</f>
        <v>fight</v>
      </c>
      <c r="D24" s="5" t="str">
        <f>VLOOKUP($A24,tropes!$A$4:$O$2428,4,FALSE)</f>
        <v>outmatched</v>
      </c>
      <c r="E24" s="5" t="str">
        <f>VLOOKUP($A24,tropes!$A$4:$O$2428,5,FALSE)</f>
        <v>Kirk fights diseased girl in deserted building.</v>
      </c>
      <c r="F24" s="5" t="str">
        <f>VLOOKUP($A24,tropes!$A$4:$O$2428,6,FALSE)</f>
        <v>kirk</v>
      </c>
      <c r="G24" s="5">
        <f>VLOOKUP($A24,tropes!$A$4:$O$2428,7,FALSE)</f>
        <v>1</v>
      </c>
      <c r="H24" s="5">
        <f>VLOOKUP($A24,tropes!$A$4:$O$2428,8,FALSE)</f>
        <v>0</v>
      </c>
      <c r="I24" s="5">
        <f>VLOOKUP($A24,tropes!$A$4:$O$2428,9,FALSE)</f>
        <v>108</v>
      </c>
      <c r="J24" s="5">
        <f>VLOOKUP($A24,tropes!$A$4:$O$2428,10,FALSE)</f>
        <v>9</v>
      </c>
      <c r="K24" s="5" t="str">
        <f>VLOOKUP($A24,tropes!$A$4:$O$2428,11,FALSE)</f>
        <v>Miri</v>
      </c>
      <c r="L24" s="5">
        <f>VLOOKUP($A24,tropes!$A$4:$O$2428,12,FALSE)</f>
        <v>1</v>
      </c>
      <c r="M24" s="5">
        <f>VLOOKUP($A24,tropes!$A$4:$O$2428,13,FALSE)</f>
        <v>8</v>
      </c>
      <c r="N24" s="5">
        <f t="shared" si="0"/>
        <v>0</v>
      </c>
    </row>
    <row r="25" spans="1:14" x14ac:dyDescent="0.3">
      <c r="A25" s="14">
        <v>641</v>
      </c>
      <c r="B25" s="5" t="str">
        <f>VLOOKUP($A25,tropes!$A$4:$O$2428,2,FALSE)</f>
        <v>Curb Stomp Battle</v>
      </c>
      <c r="C25" s="5" t="str">
        <f>VLOOKUP($A25,tropes!$A$4:$O$2428,3,FALSE)</f>
        <v>fight</v>
      </c>
      <c r="D25" s="5" t="str">
        <f>VLOOKUP($A25,tropes!$A$4:$O$2428,4,FALSE)</f>
        <v>outmatched</v>
      </c>
      <c r="E25" s="5" t="str">
        <f>VLOOKUP($A25,tropes!$A$4:$O$2428,5,FALSE)</f>
        <v>Kirk punches diseased boy in street who attacked McCoy after he touched the bike. Kirk punches him several times in face.</v>
      </c>
      <c r="F25" s="5" t="str">
        <f>VLOOKUP($A25,tropes!$A$4:$O$2428,6,FALSE)</f>
        <v>kirk</v>
      </c>
      <c r="G25" s="5">
        <f>VLOOKUP($A25,tropes!$A$4:$O$2428,7,FALSE)</f>
        <v>1</v>
      </c>
      <c r="H25" s="5">
        <f>VLOOKUP($A25,tropes!$A$4:$O$2428,8,FALSE)</f>
        <v>0</v>
      </c>
      <c r="I25" s="5">
        <f>VLOOKUP($A25,tropes!$A$4:$O$2428,9,FALSE)</f>
        <v>108</v>
      </c>
      <c r="J25" s="5">
        <f>VLOOKUP($A25,tropes!$A$4:$O$2428,10,FALSE)</f>
        <v>9</v>
      </c>
      <c r="K25" s="5" t="str">
        <f>VLOOKUP($A25,tropes!$A$4:$O$2428,11,FALSE)</f>
        <v>Miri</v>
      </c>
      <c r="L25" s="5">
        <f>VLOOKUP($A25,tropes!$A$4:$O$2428,12,FALSE)</f>
        <v>1</v>
      </c>
      <c r="M25" s="5">
        <f>VLOOKUP($A25,tropes!$A$4:$O$2428,13,FALSE)</f>
        <v>8</v>
      </c>
      <c r="N25" s="5">
        <f t="shared" si="0"/>
        <v>1</v>
      </c>
    </row>
    <row r="26" spans="1:14" x14ac:dyDescent="0.3">
      <c r="A26" s="14">
        <v>269</v>
      </c>
      <c r="B26" s="5" t="str">
        <f>VLOOKUP($A26,tropes!$A$4:$O$2428,2,FALSE)</f>
        <v>Insane Equals Violent</v>
      </c>
      <c r="C26" s="5" t="str">
        <f>VLOOKUP($A26,tropes!$A$4:$O$2428,3,FALSE)</f>
        <v>fight</v>
      </c>
      <c r="D26" s="5" t="str">
        <f>VLOOKUP($A26,tropes!$A$4:$O$2428,4,FALSE)</f>
        <v>insane</v>
      </c>
      <c r="E26" s="5" t="str">
        <f>VLOOKUP($A26,tropes!$A$4:$O$2428,5,FALSE)</f>
        <v>Dr. Van Gelder attacks a technician in transporter room.</v>
      </c>
      <c r="F26" s="5" t="str">
        <f>VLOOKUP($A26,tropes!$A$4:$O$2428,6,FALSE)</f>
        <v>human</v>
      </c>
      <c r="G26" s="5">
        <f>VLOOKUP($A26,tropes!$A$4:$O$2428,7,FALSE)</f>
        <v>0</v>
      </c>
      <c r="H26" s="5">
        <f>VLOOKUP($A26,tropes!$A$4:$O$2428,8,FALSE)</f>
        <v>0</v>
      </c>
      <c r="I26" s="5">
        <f>VLOOKUP($A26,tropes!$A$4:$O$2428,9,FALSE)</f>
        <v>109</v>
      </c>
      <c r="J26" s="5">
        <f>VLOOKUP($A26,tropes!$A$4:$O$2428,10,FALSE)</f>
        <v>10</v>
      </c>
      <c r="K26" s="5" t="str">
        <f>VLOOKUP($A26,tropes!$A$4:$O$2428,11,FALSE)</f>
        <v>Dagger of the Mind</v>
      </c>
      <c r="L26" s="5">
        <f>VLOOKUP($A26,tropes!$A$4:$O$2428,12,FALSE)</f>
        <v>1</v>
      </c>
      <c r="M26" s="5">
        <f>VLOOKUP($A26,tropes!$A$4:$O$2428,13,FALSE)</f>
        <v>9</v>
      </c>
      <c r="N26" s="5">
        <f t="shared" si="0"/>
        <v>0</v>
      </c>
    </row>
    <row r="27" spans="1:14" x14ac:dyDescent="0.3">
      <c r="A27" s="14">
        <v>655</v>
      </c>
      <c r="B27" s="5" t="str">
        <f>VLOOKUP($A27,tropes!$A$4:$O$2428,2,FALSE)</f>
        <v>Insane Equals Violent</v>
      </c>
      <c r="C27" s="5" t="str">
        <f>VLOOKUP($A27,tropes!$A$4:$O$2428,3,FALSE)</f>
        <v>fight</v>
      </c>
      <c r="D27" s="5" t="str">
        <f>VLOOKUP($A27,tropes!$A$4:$O$2428,4,FALSE)</f>
        <v>insane</v>
      </c>
      <c r="E27" s="5" t="str">
        <f>VLOOKUP($A27,tropes!$A$4:$O$2428,5,FALSE)</f>
        <v>Kirk and Dr. Van Gelder fight on bridge.</v>
      </c>
      <c r="F27" s="5" t="str">
        <f>VLOOKUP($A27,tropes!$A$4:$O$2428,6,FALSE)</f>
        <v>kirk</v>
      </c>
      <c r="G27" s="5">
        <f>VLOOKUP($A27,tropes!$A$4:$O$2428,7,FALSE)</f>
        <v>1</v>
      </c>
      <c r="H27" s="5">
        <f>VLOOKUP($A27,tropes!$A$4:$O$2428,8,FALSE)</f>
        <v>0</v>
      </c>
      <c r="I27" s="5">
        <f>VLOOKUP($A27,tropes!$A$4:$O$2428,9,FALSE)</f>
        <v>109</v>
      </c>
      <c r="J27" s="5">
        <f>VLOOKUP($A27,tropes!$A$4:$O$2428,10,FALSE)</f>
        <v>10</v>
      </c>
      <c r="K27" s="5" t="str">
        <f>VLOOKUP($A27,tropes!$A$4:$O$2428,11,FALSE)</f>
        <v>Dagger of the Mind</v>
      </c>
      <c r="L27" s="5">
        <f>VLOOKUP($A27,tropes!$A$4:$O$2428,12,FALSE)</f>
        <v>1</v>
      </c>
      <c r="M27" s="5">
        <f>VLOOKUP($A27,tropes!$A$4:$O$2428,13,FALSE)</f>
        <v>9</v>
      </c>
      <c r="N27" s="5">
        <f t="shared" si="0"/>
        <v>1</v>
      </c>
    </row>
    <row r="28" spans="1:14" x14ac:dyDescent="0.3">
      <c r="A28" s="14">
        <v>2077</v>
      </c>
      <c r="B28" s="5" t="str">
        <f>VLOOKUP($A28,tropes!$A$4:$O$2428,2,FALSE)</f>
        <v>Pressure Point</v>
      </c>
      <c r="C28" s="5" t="str">
        <f>VLOOKUP($A28,tropes!$A$4:$O$2428,3,FALSE)</f>
        <v>fight</v>
      </c>
      <c r="D28" s="5" t="str">
        <f>VLOOKUP($A28,tropes!$A$4:$O$2428,4,FALSE)</f>
        <v>vulcan_neck_pinch</v>
      </c>
      <c r="E28" s="5" t="str">
        <f>VLOOKUP($A28,tropes!$A$4:$O$2428,5,FALSE)</f>
        <v>Spock uses neck pinch to subdue Dr. Van Gelder when he threatens to disable the Enterprise.</v>
      </c>
      <c r="F28" s="5" t="str">
        <f>VLOOKUP($A28,tropes!$A$4:$O$2428,6,FALSE)</f>
        <v>spock</v>
      </c>
      <c r="G28" s="5">
        <f>VLOOKUP($A28,tropes!$A$4:$O$2428,7,FALSE)</f>
        <v>1</v>
      </c>
      <c r="H28" s="5">
        <f>VLOOKUP($A28,tropes!$A$4:$O$2428,8,FALSE)</f>
        <v>0</v>
      </c>
      <c r="I28" s="5">
        <f>VLOOKUP($A28,tropes!$A$4:$O$2428,9,FALSE)</f>
        <v>109</v>
      </c>
      <c r="J28" s="5">
        <f>VLOOKUP($A28,tropes!$A$4:$O$2428,10,FALSE)</f>
        <v>10</v>
      </c>
      <c r="K28" s="5" t="str">
        <f>VLOOKUP($A28,tropes!$A$4:$O$2428,11,FALSE)</f>
        <v>Dagger of the Mind</v>
      </c>
      <c r="L28" s="5">
        <f>VLOOKUP($A28,tropes!$A$4:$O$2428,12,FALSE)</f>
        <v>1</v>
      </c>
      <c r="M28" s="5">
        <f>VLOOKUP($A28,tropes!$A$4:$O$2428,13,FALSE)</f>
        <v>9</v>
      </c>
      <c r="N28" s="5">
        <f t="shared" si="0"/>
        <v>2</v>
      </c>
    </row>
    <row r="29" spans="1:14" x14ac:dyDescent="0.3">
      <c r="A29" s="14">
        <v>2084</v>
      </c>
      <c r="B29" s="5" t="str">
        <f>VLOOKUP($A29,tropes!$A$4:$O$2428,2,FALSE)</f>
        <v>Pressure Point</v>
      </c>
      <c r="C29" s="5" t="str">
        <f>VLOOKUP($A29,tropes!$A$4:$O$2428,3,FALSE)</f>
        <v>fight</v>
      </c>
      <c r="D29" s="5" t="str">
        <f>VLOOKUP($A29,tropes!$A$4:$O$2428,4,FALSE)</f>
        <v>vulcan_neck_pinch</v>
      </c>
      <c r="E29" s="5" t="str">
        <f>VLOOKUP($A29,tropes!$A$4:$O$2428,5,FALSE)</f>
        <v>Spock uses neck pinch on another computer technician.</v>
      </c>
      <c r="F29" s="5" t="str">
        <f>VLOOKUP($A29,tropes!$A$4:$O$2428,6,FALSE)</f>
        <v>spock</v>
      </c>
      <c r="G29" s="5">
        <f>VLOOKUP($A29,tropes!$A$4:$O$2428,7,FALSE)</f>
        <v>1</v>
      </c>
      <c r="H29" s="5">
        <f>VLOOKUP($A29,tropes!$A$4:$O$2428,8,FALSE)</f>
        <v>0</v>
      </c>
      <c r="I29" s="5">
        <f>VLOOKUP($A29,tropes!$A$4:$O$2428,9,FALSE)</f>
        <v>111</v>
      </c>
      <c r="J29" s="5">
        <f>VLOOKUP($A29,tropes!$A$4:$O$2428,10,FALSE)</f>
        <v>12</v>
      </c>
      <c r="K29" s="5" t="str">
        <f>VLOOKUP($A29,tropes!$A$4:$O$2428,11,FALSE)</f>
        <v>The Menagerie, Part I</v>
      </c>
      <c r="L29" s="5">
        <f>VLOOKUP($A29,tropes!$A$4:$O$2428,12,FALSE)</f>
        <v>1</v>
      </c>
      <c r="M29" s="5">
        <f>VLOOKUP($A29,tropes!$A$4:$O$2428,13,FALSE)</f>
        <v>11</v>
      </c>
      <c r="N29" s="5">
        <f t="shared" si="0"/>
        <v>0</v>
      </c>
    </row>
    <row r="30" spans="1:14" x14ac:dyDescent="0.3">
      <c r="A30" s="14">
        <v>2085</v>
      </c>
      <c r="B30" s="5" t="str">
        <f>VLOOKUP($A30,tropes!$A$4:$O$2428,2,FALSE)</f>
        <v>Pressure Point</v>
      </c>
      <c r="C30" s="5" t="str">
        <f>VLOOKUP($A30,tropes!$A$4:$O$2428,3,FALSE)</f>
        <v>fight</v>
      </c>
      <c r="D30" s="5" t="str">
        <f>VLOOKUP($A30,tropes!$A$4:$O$2428,4,FALSE)</f>
        <v>vulcan_neck_pinch</v>
      </c>
      <c r="E30" s="5" t="str">
        <f>VLOOKUP($A30,tropes!$A$4:$O$2428,5,FALSE)</f>
        <v>Spock uses neck pinch on computer technician.</v>
      </c>
      <c r="F30" s="5" t="str">
        <f>VLOOKUP($A30,tropes!$A$4:$O$2428,6,FALSE)</f>
        <v>spock</v>
      </c>
      <c r="G30" s="5">
        <f>VLOOKUP($A30,tropes!$A$4:$O$2428,7,FALSE)</f>
        <v>1</v>
      </c>
      <c r="H30" s="5">
        <f>VLOOKUP($A30,tropes!$A$4:$O$2428,8,FALSE)</f>
        <v>0</v>
      </c>
      <c r="I30" s="5">
        <f>VLOOKUP($A30,tropes!$A$4:$O$2428,9,FALSE)</f>
        <v>111</v>
      </c>
      <c r="J30" s="5">
        <f>VLOOKUP($A30,tropes!$A$4:$O$2428,10,FALSE)</f>
        <v>12</v>
      </c>
      <c r="K30" s="5" t="str">
        <f>VLOOKUP($A30,tropes!$A$4:$O$2428,11,FALSE)</f>
        <v>The Menagerie, Part I</v>
      </c>
      <c r="L30" s="5">
        <f>VLOOKUP($A30,tropes!$A$4:$O$2428,12,FALSE)</f>
        <v>1</v>
      </c>
      <c r="M30" s="5">
        <f>VLOOKUP($A30,tropes!$A$4:$O$2428,13,FALSE)</f>
        <v>11</v>
      </c>
      <c r="N30" s="5">
        <f t="shared" si="0"/>
        <v>1</v>
      </c>
    </row>
    <row r="31" spans="1:14" x14ac:dyDescent="0.3">
      <c r="A31" s="14">
        <v>2438</v>
      </c>
      <c r="B31" s="5" t="str">
        <f>VLOOKUP($A31,tropes!$A$4:$O$2428,2,FALSE)</f>
        <v>Hopelessly Outmatched</v>
      </c>
      <c r="C31" s="5" t="str">
        <f>VLOOKUP($A31,tropes!$A$4:$O$2428,3,FALSE)</f>
        <v>fight</v>
      </c>
      <c r="D31" s="5" t="str">
        <f>VLOOKUP($A31,tropes!$A$4:$O$2428,4,FALSE)</f>
        <v>outmatched</v>
      </c>
      <c r="E31" s="5" t="str">
        <f>VLOOKUP($A31,tropes!$A$4:$O$2428,5,FALSE)</f>
        <v>Samurai attacks Sulu.</v>
      </c>
      <c r="F31" s="5" t="str">
        <f>VLOOKUP($A31,tropes!$A$4:$O$2428,6,FALSE)</f>
        <v>sulu</v>
      </c>
      <c r="G31" s="5">
        <f>VLOOKUP($A31,tropes!$A$4:$O$2428,7,FALSE)</f>
        <v>0</v>
      </c>
      <c r="H31" s="5">
        <f>VLOOKUP($A31,tropes!$A$4:$O$2428,8,FALSE)</f>
        <v>1</v>
      </c>
      <c r="I31" s="5">
        <f>VLOOKUP($A31,tropes!$A$4:$O$2428,9,FALSE)</f>
        <v>115</v>
      </c>
      <c r="J31" s="5">
        <f>VLOOKUP($A31,tropes!$A$4:$O$2428,10,FALSE)</f>
        <v>16</v>
      </c>
      <c r="K31" s="5" t="str">
        <f>VLOOKUP($A31,tropes!$A$4:$O$2428,11,FALSE)</f>
        <v>Shore Leave</v>
      </c>
      <c r="L31" s="5">
        <f>VLOOKUP($A31,tropes!$A$4:$O$2428,12,FALSE)</f>
        <v>1</v>
      </c>
      <c r="M31" s="5">
        <f>VLOOKUP($A31,tropes!$A$4:$O$2428,13,FALSE)</f>
        <v>15</v>
      </c>
      <c r="N31" s="5">
        <f t="shared" si="0"/>
        <v>0</v>
      </c>
    </row>
    <row r="32" spans="1:14" x14ac:dyDescent="0.3">
      <c r="A32" s="14">
        <v>383</v>
      </c>
      <c r="B32" s="5" t="str">
        <f>VLOOKUP($A32,tropes!$A$4:$O$2428,2,FALSE)</f>
        <v>The Bully</v>
      </c>
      <c r="C32" s="5" t="str">
        <f>VLOOKUP($A32,tropes!$A$4:$O$2428,3,FALSE)</f>
        <v>fight</v>
      </c>
      <c r="D32" s="5" t="str">
        <f>VLOOKUP($A32,tropes!$A$4:$O$2428,4,FALSE)</f>
        <v>the_bully</v>
      </c>
      <c r="E32" s="5" t="str">
        <f>VLOOKUP($A32,tropes!$A$4:$O$2428,5,FALSE)</f>
        <v>Finnegan was an academy classmate of Kirk's who razed Kirk and picked a lot of fights.</v>
      </c>
      <c r="F32" s="5" t="str">
        <f>VLOOKUP($A32,tropes!$A$4:$O$2428,6,FALSE)</f>
        <v>human</v>
      </c>
      <c r="G32" s="5">
        <f>VLOOKUP($A32,tropes!$A$4:$O$2428,7,FALSE)</f>
        <v>0</v>
      </c>
      <c r="H32" s="5">
        <f>VLOOKUP($A32,tropes!$A$4:$O$2428,8,FALSE)</f>
        <v>0</v>
      </c>
      <c r="I32" s="5">
        <f>VLOOKUP($A32,tropes!$A$4:$O$2428,9,FALSE)</f>
        <v>115</v>
      </c>
      <c r="J32" s="5">
        <f>VLOOKUP($A32,tropes!$A$4:$O$2428,10,FALSE)</f>
        <v>16</v>
      </c>
      <c r="K32" s="5" t="str">
        <f>VLOOKUP($A32,tropes!$A$4:$O$2428,11,FALSE)</f>
        <v>Shore Leave</v>
      </c>
      <c r="L32" s="5">
        <f>VLOOKUP($A32,tropes!$A$4:$O$2428,12,FALSE)</f>
        <v>1</v>
      </c>
      <c r="M32" s="5">
        <f>VLOOKUP($A32,tropes!$A$4:$O$2428,13,FALSE)</f>
        <v>15</v>
      </c>
      <c r="N32" s="5">
        <f t="shared" si="0"/>
        <v>1</v>
      </c>
    </row>
    <row r="33" spans="1:14" x14ac:dyDescent="0.3">
      <c r="A33" s="14">
        <v>738</v>
      </c>
      <c r="B33" s="5" t="str">
        <f>VLOOKUP($A33,tropes!$A$4:$O$2428,2,FALSE)</f>
        <v>Fight Cthulhu</v>
      </c>
      <c r="C33" s="5" t="str">
        <f>VLOOKUP($A33,tropes!$A$4:$O$2428,3,FALSE)</f>
        <v>fight</v>
      </c>
      <c r="D33" s="5" t="str">
        <f>VLOOKUP($A33,tropes!$A$4:$O$2428,4,FALSE)</f>
        <v>outmatched</v>
      </c>
      <c r="E33" s="5" t="str">
        <f>VLOOKUP($A33,tropes!$A$4:$O$2428,5,FALSE)</f>
        <v>Kirk and Trelane square off with dueling pistols after Kirk challenges Trelane.</v>
      </c>
      <c r="F33" s="5" t="str">
        <f>VLOOKUP($A33,tropes!$A$4:$O$2428,6,FALSE)</f>
        <v>kirk</v>
      </c>
      <c r="G33" s="5">
        <f>VLOOKUP($A33,tropes!$A$4:$O$2428,7,FALSE)</f>
        <v>1</v>
      </c>
      <c r="H33" s="5">
        <f>VLOOKUP($A33,tropes!$A$4:$O$2428,8,FALSE)</f>
        <v>0</v>
      </c>
      <c r="I33" s="5">
        <f>VLOOKUP($A33,tropes!$A$4:$O$2428,9,FALSE)</f>
        <v>117</v>
      </c>
      <c r="J33" s="5">
        <f>VLOOKUP($A33,tropes!$A$4:$O$2428,10,FALSE)</f>
        <v>18</v>
      </c>
      <c r="K33" s="5" t="str">
        <f>VLOOKUP($A33,tropes!$A$4:$O$2428,11,FALSE)</f>
        <v>The Squire of Gothos</v>
      </c>
      <c r="L33" s="5">
        <f>VLOOKUP($A33,tropes!$A$4:$O$2428,12,FALSE)</f>
        <v>1</v>
      </c>
      <c r="M33" s="5">
        <f>VLOOKUP($A33,tropes!$A$4:$O$2428,13,FALSE)</f>
        <v>17</v>
      </c>
      <c r="N33" s="5">
        <f t="shared" si="0"/>
        <v>0</v>
      </c>
    </row>
    <row r="34" spans="1:14" x14ac:dyDescent="0.3">
      <c r="A34" s="14">
        <v>976</v>
      </c>
      <c r="B34" s="5" t="str">
        <f>VLOOKUP($A34,tropes!$A$4:$O$2428,2,FALSE)</f>
        <v>Fight Cthulhu</v>
      </c>
      <c r="C34" s="5" t="str">
        <f>VLOOKUP($A34,tropes!$A$4:$O$2428,3,FALSE)</f>
        <v>fight</v>
      </c>
      <c r="D34" s="5" t="str">
        <f>VLOOKUP($A34,tropes!$A$4:$O$2428,4,FALSE)</f>
        <v>outmatched</v>
      </c>
      <c r="E34" s="5" t="str">
        <f>VLOOKUP($A34,tropes!$A$4:$O$2428,5,FALSE)</f>
        <v>Kirk fights Trelane during his hunt.</v>
      </c>
      <c r="F34" s="5" t="str">
        <f>VLOOKUP($A34,tropes!$A$4:$O$2428,6,FALSE)</f>
        <v>kirk</v>
      </c>
      <c r="G34" s="5">
        <f>VLOOKUP($A34,tropes!$A$4:$O$2428,7,FALSE)</f>
        <v>1</v>
      </c>
      <c r="H34" s="5">
        <f>VLOOKUP($A34,tropes!$A$4:$O$2428,8,FALSE)</f>
        <v>0</v>
      </c>
      <c r="I34" s="5">
        <f>VLOOKUP($A34,tropes!$A$4:$O$2428,9,FALSE)</f>
        <v>117</v>
      </c>
      <c r="J34" s="5">
        <f>VLOOKUP($A34,tropes!$A$4:$O$2428,10,FALSE)</f>
        <v>18</v>
      </c>
      <c r="K34" s="5" t="str">
        <f>VLOOKUP($A34,tropes!$A$4:$O$2428,11,FALSE)</f>
        <v>The Squire of Gothos</v>
      </c>
      <c r="L34" s="5">
        <f>VLOOKUP($A34,tropes!$A$4:$O$2428,12,FALSE)</f>
        <v>1</v>
      </c>
      <c r="M34" s="5">
        <f>VLOOKUP($A34,tropes!$A$4:$O$2428,13,FALSE)</f>
        <v>17</v>
      </c>
      <c r="N34" s="5">
        <f t="shared" si="0"/>
        <v>1</v>
      </c>
    </row>
    <row r="35" spans="1:14" x14ac:dyDescent="0.3">
      <c r="A35" s="14">
        <v>979</v>
      </c>
      <c r="B35" s="5" t="str">
        <f>VLOOKUP($A35,tropes!$A$4:$O$2428,2,FALSE)</f>
        <v>Fight Cthulhu</v>
      </c>
      <c r="C35" s="5" t="str">
        <f>VLOOKUP($A35,tropes!$A$4:$O$2428,3,FALSE)</f>
        <v>fight</v>
      </c>
      <c r="D35" s="5" t="str">
        <f>VLOOKUP($A35,tropes!$A$4:$O$2428,4,FALSE)</f>
        <v>outmatched</v>
      </c>
      <c r="E35" s="5" t="str">
        <f>VLOOKUP($A35,tropes!$A$4:$O$2428,5,FALSE)</f>
        <v>Trelane fights Kirk during his hunt.</v>
      </c>
      <c r="F35" s="5" t="str">
        <f>VLOOKUP($A35,tropes!$A$4:$O$2428,6,FALSE)</f>
        <v>alien</v>
      </c>
      <c r="G35" s="5">
        <f>VLOOKUP($A35,tropes!$A$4:$O$2428,7,FALSE)</f>
        <v>0</v>
      </c>
      <c r="H35" s="5">
        <f>VLOOKUP($A35,tropes!$A$4:$O$2428,8,FALSE)</f>
        <v>0</v>
      </c>
      <c r="I35" s="5">
        <f>VLOOKUP($A35,tropes!$A$4:$O$2428,9,FALSE)</f>
        <v>117</v>
      </c>
      <c r="J35" s="5">
        <f>VLOOKUP($A35,tropes!$A$4:$O$2428,10,FALSE)</f>
        <v>18</v>
      </c>
      <c r="K35" s="5" t="str">
        <f>VLOOKUP($A35,tropes!$A$4:$O$2428,11,FALSE)</f>
        <v>The Squire of Gothos</v>
      </c>
      <c r="L35" s="5">
        <f>VLOOKUP($A35,tropes!$A$4:$O$2428,12,FALSE)</f>
        <v>1</v>
      </c>
      <c r="M35" s="5">
        <f>VLOOKUP($A35,tropes!$A$4:$O$2428,13,FALSE)</f>
        <v>17</v>
      </c>
      <c r="N35" s="5">
        <f t="shared" si="0"/>
        <v>2</v>
      </c>
    </row>
    <row r="36" spans="1:14" x14ac:dyDescent="0.3">
      <c r="A36" s="14">
        <v>757</v>
      </c>
      <c r="B36" s="5" t="str">
        <f>VLOOKUP($A36,tropes!$A$4:$O$2428,2,FALSE)</f>
        <v>Trying To Catch Me Fighting Dirty</v>
      </c>
      <c r="C36" s="5" t="str">
        <f>VLOOKUP($A36,tropes!$A$4:$O$2428,3,FALSE)</f>
        <v>fight</v>
      </c>
      <c r="D36" s="5" t="str">
        <f>VLOOKUP($A36,tropes!$A$4:$O$2428,4,FALSE)</f>
        <v>dirty</v>
      </c>
      <c r="E36" s="5" t="str">
        <f>VLOOKUP($A36,tropes!$A$4:$O$2428,5,FALSE)</f>
        <v>Kirk pushes a big rock on Gorn but it has little effect.</v>
      </c>
      <c r="F36" s="5" t="str">
        <f>VLOOKUP($A36,tropes!$A$4:$O$2428,6,FALSE)</f>
        <v>kirk</v>
      </c>
      <c r="G36" s="5">
        <f>VLOOKUP($A36,tropes!$A$4:$O$2428,7,FALSE)</f>
        <v>1</v>
      </c>
      <c r="H36" s="5">
        <f>VLOOKUP($A36,tropes!$A$4:$O$2428,8,FALSE)</f>
        <v>0</v>
      </c>
      <c r="I36" s="5">
        <f>VLOOKUP($A36,tropes!$A$4:$O$2428,9,FALSE)</f>
        <v>118</v>
      </c>
      <c r="J36" s="5">
        <f>VLOOKUP($A36,tropes!$A$4:$O$2428,10,FALSE)</f>
        <v>19</v>
      </c>
      <c r="K36" s="5" t="str">
        <f>VLOOKUP($A36,tropes!$A$4:$O$2428,11,FALSE)</f>
        <v>Arena</v>
      </c>
      <c r="L36" s="5">
        <f>VLOOKUP($A36,tropes!$A$4:$O$2428,12,FALSE)</f>
        <v>1</v>
      </c>
      <c r="M36" s="5">
        <f>VLOOKUP($A36,tropes!$A$4:$O$2428,13,FALSE)</f>
        <v>18</v>
      </c>
      <c r="N36" s="5">
        <f t="shared" si="0"/>
        <v>0</v>
      </c>
    </row>
    <row r="37" spans="1:14" x14ac:dyDescent="0.3">
      <c r="A37" s="14">
        <v>21</v>
      </c>
      <c r="B37" s="5" t="str">
        <f>VLOOKUP($A37,tropes!$A$4:$O$2428,2,FALSE)</f>
        <v>Forced Prize Fight</v>
      </c>
      <c r="C37" s="5" t="str">
        <f>VLOOKUP($A37,tropes!$A$4:$O$2428,3,FALSE)</f>
        <v>fight</v>
      </c>
      <c r="D37" s="5" t="str">
        <f>VLOOKUP($A37,tropes!$A$4:$O$2428,4,FALSE)</f>
        <v>forced_fight</v>
      </c>
      <c r="E37" s="5" t="str">
        <f>VLOOKUP($A37,tropes!$A$4:$O$2428,5,FALSE)</f>
        <v>Metrons declare they will kill the loser and destroy his ship.</v>
      </c>
      <c r="F37" s="5" t="str">
        <f>VLOOKUP($A37,tropes!$A$4:$O$2428,6,FALSE)</f>
        <v>alien</v>
      </c>
      <c r="G37" s="5">
        <f>VLOOKUP($A37,tropes!$A$4:$O$2428,7,FALSE)</f>
        <v>0</v>
      </c>
      <c r="H37" s="5">
        <f>VLOOKUP($A37,tropes!$A$4:$O$2428,8,FALSE)</f>
        <v>0</v>
      </c>
      <c r="I37" s="5">
        <f>VLOOKUP($A37,tropes!$A$4:$O$2428,9,FALSE)</f>
        <v>118</v>
      </c>
      <c r="J37" s="5">
        <f>VLOOKUP($A37,tropes!$A$4:$O$2428,10,FALSE)</f>
        <v>19</v>
      </c>
      <c r="K37" s="5" t="str">
        <f>VLOOKUP($A37,tropes!$A$4:$O$2428,11,FALSE)</f>
        <v>Arena</v>
      </c>
      <c r="L37" s="5">
        <f>VLOOKUP($A37,tropes!$A$4:$O$2428,12,FALSE)</f>
        <v>1</v>
      </c>
      <c r="M37" s="5">
        <f>VLOOKUP($A37,tropes!$A$4:$O$2428,13,FALSE)</f>
        <v>18</v>
      </c>
      <c r="N37" s="5">
        <f t="shared" si="0"/>
        <v>1</v>
      </c>
    </row>
    <row r="38" spans="1:14" x14ac:dyDescent="0.3">
      <c r="A38" s="14">
        <v>753</v>
      </c>
      <c r="B38" s="5" t="str">
        <f>VLOOKUP($A38,tropes!$A$4:$O$2428,2,FALSE)</f>
        <v>Hopelessly Outmatched</v>
      </c>
      <c r="C38" s="5" t="str">
        <f>VLOOKUP($A38,tropes!$A$4:$O$2428,3,FALSE)</f>
        <v>fight</v>
      </c>
      <c r="D38" s="5" t="str">
        <f>VLOOKUP($A38,tropes!$A$4:$O$2428,4,FALSE)</f>
        <v>outmatched</v>
      </c>
      <c r="E38" s="5" t="str">
        <f>VLOOKUP($A38,tropes!$A$4:$O$2428,5,FALSE)</f>
        <v>Kirk and Gorn fight. Kirk is totally outmatched in strength and stamina.</v>
      </c>
      <c r="F38" s="5" t="str">
        <f>VLOOKUP($A38,tropes!$A$4:$O$2428,6,FALSE)</f>
        <v>kirk</v>
      </c>
      <c r="G38" s="5">
        <f>VLOOKUP($A38,tropes!$A$4:$O$2428,7,FALSE)</f>
        <v>1</v>
      </c>
      <c r="H38" s="5">
        <f>VLOOKUP($A38,tropes!$A$4:$O$2428,8,FALSE)</f>
        <v>0</v>
      </c>
      <c r="I38" s="5">
        <f>VLOOKUP($A38,tropes!$A$4:$O$2428,9,FALSE)</f>
        <v>118</v>
      </c>
      <c r="J38" s="5">
        <f>VLOOKUP($A38,tropes!$A$4:$O$2428,10,FALSE)</f>
        <v>19</v>
      </c>
      <c r="K38" s="5" t="str">
        <f>VLOOKUP($A38,tropes!$A$4:$O$2428,11,FALSE)</f>
        <v>Arena</v>
      </c>
      <c r="L38" s="5">
        <f>VLOOKUP($A38,tropes!$A$4:$O$2428,12,FALSE)</f>
        <v>1</v>
      </c>
      <c r="M38" s="5">
        <f>VLOOKUP($A38,tropes!$A$4:$O$2428,13,FALSE)</f>
        <v>18</v>
      </c>
      <c r="N38" s="5">
        <f t="shared" si="0"/>
        <v>2</v>
      </c>
    </row>
    <row r="39" spans="1:14" x14ac:dyDescent="0.3">
      <c r="A39" s="14">
        <v>766</v>
      </c>
      <c r="B39" s="5" t="str">
        <f>VLOOKUP($A39,tropes!$A$4:$O$2428,2,FALSE)</f>
        <v>Fight</v>
      </c>
      <c r="C39" s="5" t="str">
        <f>VLOOKUP($A39,tropes!$A$4:$O$2428,3,FALSE)</f>
        <v>fight</v>
      </c>
      <c r="D39" s="5">
        <f>VLOOKUP($A39,tropes!$A$4:$O$2428,4,FALSE)</f>
        <v>0</v>
      </c>
      <c r="E39" s="5" t="str">
        <f>VLOOKUP($A39,tropes!$A$4:$O$2428,5,FALSE)</f>
        <v>Kirk fights USAF base Security Captain.</v>
      </c>
      <c r="F39" s="5" t="str">
        <f>VLOOKUP($A39,tropes!$A$4:$O$2428,6,FALSE)</f>
        <v>kirk</v>
      </c>
      <c r="G39" s="5">
        <f>VLOOKUP($A39,tropes!$A$4:$O$2428,7,FALSE)</f>
        <v>1</v>
      </c>
      <c r="H39" s="5">
        <f>VLOOKUP($A39,tropes!$A$4:$O$2428,8,FALSE)</f>
        <v>0</v>
      </c>
      <c r="I39" s="5">
        <f>VLOOKUP($A39,tropes!$A$4:$O$2428,9,FALSE)</f>
        <v>119</v>
      </c>
      <c r="J39" s="5">
        <f>VLOOKUP($A39,tropes!$A$4:$O$2428,10,FALSE)</f>
        <v>20</v>
      </c>
      <c r="K39" s="5" t="str">
        <f>VLOOKUP($A39,tropes!$A$4:$O$2428,11,FALSE)</f>
        <v>Tomorrow Is Yesterday</v>
      </c>
      <c r="L39" s="5">
        <f>VLOOKUP($A39,tropes!$A$4:$O$2428,12,FALSE)</f>
        <v>1</v>
      </c>
      <c r="M39" s="5">
        <f>VLOOKUP($A39,tropes!$A$4:$O$2428,13,FALSE)</f>
        <v>19</v>
      </c>
      <c r="N39" s="5">
        <f t="shared" si="0"/>
        <v>0</v>
      </c>
    </row>
    <row r="40" spans="1:14" x14ac:dyDescent="0.3">
      <c r="A40" s="14">
        <v>767</v>
      </c>
      <c r="B40" s="5" t="str">
        <f>VLOOKUP($A40,tropes!$A$4:$O$2428,2,FALSE)</f>
        <v>Fight</v>
      </c>
      <c r="C40" s="5" t="str">
        <f>VLOOKUP($A40,tropes!$A$4:$O$2428,3,FALSE)</f>
        <v>fight</v>
      </c>
      <c r="D40" s="5">
        <f>VLOOKUP($A40,tropes!$A$4:$O$2428,4,FALSE)</f>
        <v>0</v>
      </c>
      <c r="E40" s="5" t="str">
        <f>VLOOKUP($A40,tropes!$A$4:$O$2428,5,FALSE)</f>
        <v>Kirk knocks out Captain Christopher.</v>
      </c>
      <c r="F40" s="5" t="str">
        <f>VLOOKUP($A40,tropes!$A$4:$O$2428,6,FALSE)</f>
        <v>kirk</v>
      </c>
      <c r="G40" s="5">
        <f>VLOOKUP($A40,tropes!$A$4:$O$2428,7,FALSE)</f>
        <v>1</v>
      </c>
      <c r="H40" s="5">
        <f>VLOOKUP($A40,tropes!$A$4:$O$2428,8,FALSE)</f>
        <v>0</v>
      </c>
      <c r="I40" s="5">
        <f>VLOOKUP($A40,tropes!$A$4:$O$2428,9,FALSE)</f>
        <v>119</v>
      </c>
      <c r="J40" s="5">
        <f>VLOOKUP($A40,tropes!$A$4:$O$2428,10,FALSE)</f>
        <v>20</v>
      </c>
      <c r="K40" s="5" t="str">
        <f>VLOOKUP($A40,tropes!$A$4:$O$2428,11,FALSE)</f>
        <v>Tomorrow Is Yesterday</v>
      </c>
      <c r="L40" s="5">
        <f>VLOOKUP($A40,tropes!$A$4:$O$2428,12,FALSE)</f>
        <v>1</v>
      </c>
      <c r="M40" s="5">
        <f>VLOOKUP($A40,tropes!$A$4:$O$2428,13,FALSE)</f>
        <v>19</v>
      </c>
      <c r="N40" s="5">
        <f t="shared" si="0"/>
        <v>1</v>
      </c>
    </row>
    <row r="41" spans="1:14" x14ac:dyDescent="0.3">
      <c r="A41" s="14">
        <v>2447</v>
      </c>
      <c r="B41" s="5" t="str">
        <f>VLOOKUP($A41,tropes!$A$4:$O$2428,2,FALSE)</f>
        <v>Fight</v>
      </c>
      <c r="C41" s="5" t="str">
        <f>VLOOKUP($A41,tropes!$A$4:$O$2428,3,FALSE)</f>
        <v>fight</v>
      </c>
      <c r="D41" s="5">
        <f>VLOOKUP($A41,tropes!$A$4:$O$2428,4,FALSE)</f>
        <v>0</v>
      </c>
      <c r="E41" s="5" t="str">
        <f>VLOOKUP($A41,tropes!$A$4:$O$2428,5,FALSE)</f>
        <v>Sulu uses karate chop to knock USAF guard unconscious.</v>
      </c>
      <c r="F41" s="5" t="str">
        <f>VLOOKUP($A41,tropes!$A$4:$O$2428,6,FALSE)</f>
        <v>sulu</v>
      </c>
      <c r="G41" s="5">
        <f>VLOOKUP($A41,tropes!$A$4:$O$2428,7,FALSE)</f>
        <v>0</v>
      </c>
      <c r="H41" s="5">
        <f>VLOOKUP($A41,tropes!$A$4:$O$2428,8,FALSE)</f>
        <v>1</v>
      </c>
      <c r="I41" s="5">
        <f>VLOOKUP($A41,tropes!$A$4:$O$2428,9,FALSE)</f>
        <v>119</v>
      </c>
      <c r="J41" s="5">
        <f>VLOOKUP($A41,tropes!$A$4:$O$2428,10,FALSE)</f>
        <v>20</v>
      </c>
      <c r="K41" s="5" t="str">
        <f>VLOOKUP($A41,tropes!$A$4:$O$2428,11,FALSE)</f>
        <v>Tomorrow Is Yesterday</v>
      </c>
      <c r="L41" s="5">
        <f>VLOOKUP($A41,tropes!$A$4:$O$2428,12,FALSE)</f>
        <v>1</v>
      </c>
      <c r="M41" s="5">
        <f>VLOOKUP($A41,tropes!$A$4:$O$2428,13,FALSE)</f>
        <v>19</v>
      </c>
      <c r="N41" s="5">
        <f t="shared" si="0"/>
        <v>2</v>
      </c>
    </row>
    <row r="42" spans="1:14" x14ac:dyDescent="0.3">
      <c r="A42" s="14">
        <v>768</v>
      </c>
      <c r="B42" s="5" t="str">
        <f>VLOOKUP($A42,tropes!$A$4:$O$2428,2,FALSE)</f>
        <v>I Like Those Odds</v>
      </c>
      <c r="C42" s="5" t="str">
        <f>VLOOKUP($A42,tropes!$A$4:$O$2428,3,FALSE)</f>
        <v>fight</v>
      </c>
      <c r="D42" s="5" t="str">
        <f>VLOOKUP($A42,tropes!$A$4:$O$2428,4,FALSE)</f>
        <v>outmatched</v>
      </c>
      <c r="E42" s="5" t="str">
        <f>VLOOKUP($A42,tropes!$A$4:$O$2428,5,FALSE)</f>
        <v>Kirk attacks three USAF guards to give Sulu chance to escape with the evidence.</v>
      </c>
      <c r="F42" s="5" t="str">
        <f>VLOOKUP($A42,tropes!$A$4:$O$2428,6,FALSE)</f>
        <v>kirk</v>
      </c>
      <c r="G42" s="5">
        <f>VLOOKUP($A42,tropes!$A$4:$O$2428,7,FALSE)</f>
        <v>1</v>
      </c>
      <c r="H42" s="5">
        <f>VLOOKUP($A42,tropes!$A$4:$O$2428,8,FALSE)</f>
        <v>0</v>
      </c>
      <c r="I42" s="5">
        <f>VLOOKUP($A42,tropes!$A$4:$O$2428,9,FALSE)</f>
        <v>119</v>
      </c>
      <c r="J42" s="5">
        <f>VLOOKUP($A42,tropes!$A$4:$O$2428,10,FALSE)</f>
        <v>20</v>
      </c>
      <c r="K42" s="5" t="str">
        <f>VLOOKUP($A42,tropes!$A$4:$O$2428,11,FALSE)</f>
        <v>Tomorrow Is Yesterday</v>
      </c>
      <c r="L42" s="5">
        <f>VLOOKUP($A42,tropes!$A$4:$O$2428,12,FALSE)</f>
        <v>1</v>
      </c>
      <c r="M42" s="5">
        <f>VLOOKUP($A42,tropes!$A$4:$O$2428,13,FALSE)</f>
        <v>19</v>
      </c>
      <c r="N42" s="5">
        <f t="shared" si="0"/>
        <v>3</v>
      </c>
    </row>
    <row r="43" spans="1:14" x14ac:dyDescent="0.3">
      <c r="A43" s="14">
        <v>2112</v>
      </c>
      <c r="B43" s="5" t="str">
        <f>VLOOKUP($A43,tropes!$A$4:$O$2428,2,FALSE)</f>
        <v>Pressure Point</v>
      </c>
      <c r="C43" s="5" t="str">
        <f>VLOOKUP($A43,tropes!$A$4:$O$2428,3,FALSE)</f>
        <v>fight</v>
      </c>
      <c r="D43" s="5" t="str">
        <f>VLOOKUP($A43,tropes!$A$4:$O$2428,4,FALSE)</f>
        <v>vulcan_neck_pinch</v>
      </c>
      <c r="E43" s="5" t="str">
        <f>VLOOKUP($A43,tropes!$A$4:$O$2428,5,FALSE)</f>
        <v>Spock uses neck pinch on Captain Christopher.</v>
      </c>
      <c r="F43" s="5" t="str">
        <f>VLOOKUP($A43,tropes!$A$4:$O$2428,6,FALSE)</f>
        <v>spock</v>
      </c>
      <c r="G43" s="5">
        <f>VLOOKUP($A43,tropes!$A$4:$O$2428,7,FALSE)</f>
        <v>1</v>
      </c>
      <c r="H43" s="5">
        <f>VLOOKUP($A43,tropes!$A$4:$O$2428,8,FALSE)</f>
        <v>0</v>
      </c>
      <c r="I43" s="5">
        <f>VLOOKUP($A43,tropes!$A$4:$O$2428,9,FALSE)</f>
        <v>119</v>
      </c>
      <c r="J43" s="5">
        <f>VLOOKUP($A43,tropes!$A$4:$O$2428,10,FALSE)</f>
        <v>20</v>
      </c>
      <c r="K43" s="5" t="str">
        <f>VLOOKUP($A43,tropes!$A$4:$O$2428,11,FALSE)</f>
        <v>Tomorrow Is Yesterday</v>
      </c>
      <c r="L43" s="5">
        <f>VLOOKUP($A43,tropes!$A$4:$O$2428,12,FALSE)</f>
        <v>1</v>
      </c>
      <c r="M43" s="5">
        <f>VLOOKUP($A43,tropes!$A$4:$O$2428,13,FALSE)</f>
        <v>19</v>
      </c>
      <c r="N43" s="5">
        <f t="shared" si="0"/>
        <v>4</v>
      </c>
    </row>
    <row r="44" spans="1:14" x14ac:dyDescent="0.3">
      <c r="A44" s="14">
        <v>2113</v>
      </c>
      <c r="B44" s="5" t="str">
        <f>VLOOKUP($A44,tropes!$A$4:$O$2428,2,FALSE)</f>
        <v>Pressure Point</v>
      </c>
      <c r="C44" s="5" t="str">
        <f>VLOOKUP($A44,tropes!$A$4:$O$2428,3,FALSE)</f>
        <v>fight</v>
      </c>
      <c r="D44" s="5" t="str">
        <f>VLOOKUP($A44,tropes!$A$4:$O$2428,4,FALSE)</f>
        <v>vulcan_neck_pinch</v>
      </c>
      <c r="E44" s="5" t="str">
        <f>VLOOKUP($A44,tropes!$A$4:$O$2428,5,FALSE)</f>
        <v>Spock uses neck pinch on USAF guard.</v>
      </c>
      <c r="F44" s="5" t="str">
        <f>VLOOKUP($A44,tropes!$A$4:$O$2428,6,FALSE)</f>
        <v>spock</v>
      </c>
      <c r="G44" s="5">
        <f>VLOOKUP($A44,tropes!$A$4:$O$2428,7,FALSE)</f>
        <v>1</v>
      </c>
      <c r="H44" s="5">
        <f>VLOOKUP($A44,tropes!$A$4:$O$2428,8,FALSE)</f>
        <v>0</v>
      </c>
      <c r="I44" s="5">
        <f>VLOOKUP($A44,tropes!$A$4:$O$2428,9,FALSE)</f>
        <v>119</v>
      </c>
      <c r="J44" s="5">
        <f>VLOOKUP($A44,tropes!$A$4:$O$2428,10,FALSE)</f>
        <v>20</v>
      </c>
      <c r="K44" s="5" t="str">
        <f>VLOOKUP($A44,tropes!$A$4:$O$2428,11,FALSE)</f>
        <v>Tomorrow Is Yesterday</v>
      </c>
      <c r="L44" s="5">
        <f>VLOOKUP($A44,tropes!$A$4:$O$2428,12,FALSE)</f>
        <v>1</v>
      </c>
      <c r="M44" s="5">
        <f>VLOOKUP($A44,tropes!$A$4:$O$2428,13,FALSE)</f>
        <v>19</v>
      </c>
      <c r="N44" s="5">
        <f t="shared" si="0"/>
        <v>5</v>
      </c>
    </row>
    <row r="45" spans="1:14" x14ac:dyDescent="0.3">
      <c r="A45" s="14">
        <v>778</v>
      </c>
      <c r="B45" s="5" t="str">
        <f>VLOOKUP($A45,tropes!$A$4:$O$2428,2,FALSE)</f>
        <v>Fighting Your Friend</v>
      </c>
      <c r="C45" s="5" t="str">
        <f>VLOOKUP($A45,tropes!$A$4:$O$2428,3,FALSE)</f>
        <v>fight</v>
      </c>
      <c r="D45" s="5" t="str">
        <f>VLOOKUP($A45,tropes!$A$4:$O$2428,4,FALSE)</f>
        <v>friend</v>
      </c>
      <c r="E45" s="5" t="str">
        <f>VLOOKUP($A45,tropes!$A$4:$O$2428,5,FALSE)</f>
        <v>Kirk fights Lt. Finney in engineering.</v>
      </c>
      <c r="F45" s="5" t="str">
        <f>VLOOKUP($A45,tropes!$A$4:$O$2428,6,FALSE)</f>
        <v>kirk</v>
      </c>
      <c r="G45" s="5">
        <f>VLOOKUP($A45,tropes!$A$4:$O$2428,7,FALSE)</f>
        <v>1</v>
      </c>
      <c r="H45" s="5">
        <f>VLOOKUP($A45,tropes!$A$4:$O$2428,8,FALSE)</f>
        <v>0</v>
      </c>
      <c r="I45" s="5">
        <f>VLOOKUP($A45,tropes!$A$4:$O$2428,9,FALSE)</f>
        <v>120</v>
      </c>
      <c r="J45" s="5">
        <f>VLOOKUP($A45,tropes!$A$4:$O$2428,10,FALSE)</f>
        <v>21</v>
      </c>
      <c r="K45" s="5" t="str">
        <f>VLOOKUP($A45,tropes!$A$4:$O$2428,11,FALSE)</f>
        <v>Court Martial</v>
      </c>
      <c r="L45" s="5">
        <f>VLOOKUP($A45,tropes!$A$4:$O$2428,12,FALSE)</f>
        <v>1</v>
      </c>
      <c r="M45" s="5">
        <f>VLOOKUP($A45,tropes!$A$4:$O$2428,13,FALSE)</f>
        <v>20</v>
      </c>
      <c r="N45" s="5">
        <f t="shared" si="0"/>
        <v>0</v>
      </c>
    </row>
    <row r="46" spans="1:14" x14ac:dyDescent="0.3">
      <c r="A46" s="14">
        <v>787</v>
      </c>
      <c r="B46" s="5" t="str">
        <f>VLOOKUP($A46,tropes!$A$4:$O$2428,2,FALSE)</f>
        <v>Fight</v>
      </c>
      <c r="C46" s="5" t="str">
        <f>VLOOKUP($A46,tropes!$A$4:$O$2428,3,FALSE)</f>
        <v>fight</v>
      </c>
      <c r="D46" s="5">
        <f>VLOOKUP($A46,tropes!$A$4:$O$2428,4,FALSE)</f>
        <v>0</v>
      </c>
      <c r="E46" s="5" t="str">
        <f>VLOOKUP($A46,tropes!$A$4:$O$2428,5,FALSE)</f>
        <v>Kirk knocks out minion.</v>
      </c>
      <c r="F46" s="5" t="str">
        <f>VLOOKUP($A46,tropes!$A$4:$O$2428,6,FALSE)</f>
        <v>kirk</v>
      </c>
      <c r="G46" s="5">
        <f>VLOOKUP($A46,tropes!$A$4:$O$2428,7,FALSE)</f>
        <v>1</v>
      </c>
      <c r="H46" s="5">
        <f>VLOOKUP($A46,tropes!$A$4:$O$2428,8,FALSE)</f>
        <v>0</v>
      </c>
      <c r="I46" s="5">
        <f>VLOOKUP($A46,tropes!$A$4:$O$2428,9,FALSE)</f>
        <v>121</v>
      </c>
      <c r="J46" s="5">
        <f>VLOOKUP($A46,tropes!$A$4:$O$2428,10,FALSE)</f>
        <v>22</v>
      </c>
      <c r="K46" s="5" t="str">
        <f>VLOOKUP($A46,tropes!$A$4:$O$2428,11,FALSE)</f>
        <v>The Return of the Archons</v>
      </c>
      <c r="L46" s="5">
        <f>VLOOKUP($A46,tropes!$A$4:$O$2428,12,FALSE)</f>
        <v>1</v>
      </c>
      <c r="M46" s="5">
        <f>VLOOKUP($A46,tropes!$A$4:$O$2428,13,FALSE)</f>
        <v>21</v>
      </c>
      <c r="N46" s="5">
        <f t="shared" si="0"/>
        <v>0</v>
      </c>
    </row>
    <row r="47" spans="1:14" x14ac:dyDescent="0.3">
      <c r="A47" s="14">
        <v>2128</v>
      </c>
      <c r="B47" s="5" t="str">
        <f>VLOOKUP($A47,tropes!$A$4:$O$2428,2,FALSE)</f>
        <v>Never Hurt The Innocent</v>
      </c>
      <c r="C47" s="5" t="str">
        <f>VLOOKUP($A47,tropes!$A$4:$O$2428,3,FALSE)</f>
        <v>fight</v>
      </c>
      <c r="D47" s="5">
        <f>VLOOKUP($A47,tropes!$A$4:$O$2428,4,FALSE)</f>
        <v>0</v>
      </c>
      <c r="E47" s="5" t="str">
        <f>VLOOKUP($A47,tropes!$A$4:$O$2428,5,FALSE)</f>
        <v>Spock knocks out Landru minion.</v>
      </c>
      <c r="F47" s="5" t="str">
        <f>VLOOKUP($A47,tropes!$A$4:$O$2428,6,FALSE)</f>
        <v>spock</v>
      </c>
      <c r="G47" s="5">
        <f>VLOOKUP($A47,tropes!$A$4:$O$2428,7,FALSE)</f>
        <v>1</v>
      </c>
      <c r="H47" s="5">
        <f>VLOOKUP($A47,tropes!$A$4:$O$2428,8,FALSE)</f>
        <v>0</v>
      </c>
      <c r="I47" s="5">
        <f>VLOOKUP($A47,tropes!$A$4:$O$2428,9,FALSE)</f>
        <v>121</v>
      </c>
      <c r="J47" s="5">
        <f>VLOOKUP($A47,tropes!$A$4:$O$2428,10,FALSE)</f>
        <v>22</v>
      </c>
      <c r="K47" s="5" t="str">
        <f>VLOOKUP($A47,tropes!$A$4:$O$2428,11,FALSE)</f>
        <v>The Return of the Archons</v>
      </c>
      <c r="L47" s="5">
        <f>VLOOKUP($A47,tropes!$A$4:$O$2428,12,FALSE)</f>
        <v>1</v>
      </c>
      <c r="M47" s="5">
        <f>VLOOKUP($A47,tropes!$A$4:$O$2428,13,FALSE)</f>
        <v>21</v>
      </c>
      <c r="N47" s="5">
        <f t="shared" si="0"/>
        <v>1</v>
      </c>
    </row>
    <row r="48" spans="1:14" x14ac:dyDescent="0.3">
      <c r="A48" s="14">
        <v>385</v>
      </c>
      <c r="B48" s="5" t="str">
        <f>VLOOKUP($A48,tropes!$A$4:$O$2428,2,FALSE)</f>
        <v>Never Hurt The Innocent</v>
      </c>
      <c r="C48" s="5" t="str">
        <f>VLOOKUP($A48,tropes!$A$4:$O$2428,3,FALSE)</f>
        <v>fight</v>
      </c>
      <c r="D48" s="5" t="str">
        <f>VLOOKUP($A48,tropes!$A$4:$O$2428,4,FALSE)</f>
        <v>avoided</v>
      </c>
      <c r="E48" s="5" t="str">
        <f>VLOOKUP($A48,tropes!$A$4:$O$2428,5,FALSE)</f>
        <v>Averted: Landing party ends up in street at red hour. Avoids getting involved in the rioting.</v>
      </c>
      <c r="F48" s="5" t="str">
        <f>VLOOKUP($A48,tropes!$A$4:$O$2428,6,FALSE)</f>
        <v>human</v>
      </c>
      <c r="G48" s="5">
        <f>VLOOKUP($A48,tropes!$A$4:$O$2428,7,FALSE)</f>
        <v>0</v>
      </c>
      <c r="H48" s="5">
        <f>VLOOKUP($A48,tropes!$A$4:$O$2428,8,FALSE)</f>
        <v>0</v>
      </c>
      <c r="I48" s="5">
        <f>VLOOKUP($A48,tropes!$A$4:$O$2428,9,FALSE)</f>
        <v>121</v>
      </c>
      <c r="J48" s="5">
        <f>VLOOKUP($A48,tropes!$A$4:$O$2428,10,FALSE)</f>
        <v>22</v>
      </c>
      <c r="K48" s="5" t="str">
        <f>VLOOKUP($A48,tropes!$A$4:$O$2428,11,FALSE)</f>
        <v>The Return of the Archons</v>
      </c>
      <c r="L48" s="5">
        <f>VLOOKUP($A48,tropes!$A$4:$O$2428,12,FALSE)</f>
        <v>1</v>
      </c>
      <c r="M48" s="5">
        <f>VLOOKUP($A48,tropes!$A$4:$O$2428,13,FALSE)</f>
        <v>21</v>
      </c>
      <c r="N48" s="5">
        <f t="shared" si="0"/>
        <v>2</v>
      </c>
    </row>
    <row r="49" spans="1:14" x14ac:dyDescent="0.3">
      <c r="A49" s="14">
        <v>1051</v>
      </c>
      <c r="B49" s="5" t="str">
        <f>VLOOKUP($A49,tropes!$A$4:$O$2428,2,FALSE)</f>
        <v>Fighting Your Friend</v>
      </c>
      <c r="C49" s="5" t="str">
        <f>VLOOKUP($A49,tropes!$A$4:$O$2428,3,FALSE)</f>
        <v>fight</v>
      </c>
      <c r="D49" s="5" t="str">
        <f>VLOOKUP($A49,tropes!$A$4:$O$2428,4,FALSE)</f>
        <v>friend</v>
      </c>
      <c r="E49" s="5" t="str">
        <f>VLOOKUP($A49,tropes!$A$4:$O$2428,5,FALSE)</f>
        <v>Kirk subdues McCoy who is conditioned by Landru as McCoy attempts to cry out for help.</v>
      </c>
      <c r="F49" s="5" t="str">
        <f>VLOOKUP($A49,tropes!$A$4:$O$2428,6,FALSE)</f>
        <v>kirk</v>
      </c>
      <c r="G49" s="5">
        <f>VLOOKUP($A49,tropes!$A$4:$O$2428,7,FALSE)</f>
        <v>1</v>
      </c>
      <c r="H49" s="5">
        <f>VLOOKUP($A49,tropes!$A$4:$O$2428,8,FALSE)</f>
        <v>0</v>
      </c>
      <c r="I49" s="5">
        <f>VLOOKUP($A49,tropes!$A$4:$O$2428,9,FALSE)</f>
        <v>121</v>
      </c>
      <c r="J49" s="5">
        <f>VLOOKUP($A49,tropes!$A$4:$O$2428,10,FALSE)</f>
        <v>22</v>
      </c>
      <c r="K49" s="5" t="str">
        <f>VLOOKUP($A49,tropes!$A$4:$O$2428,11,FALSE)</f>
        <v>The Return of the Archons</v>
      </c>
      <c r="L49" s="5">
        <f>VLOOKUP($A49,tropes!$A$4:$O$2428,12,FALSE)</f>
        <v>1</v>
      </c>
      <c r="M49" s="5">
        <f>VLOOKUP($A49,tropes!$A$4:$O$2428,13,FALSE)</f>
        <v>21</v>
      </c>
      <c r="N49" s="5">
        <f t="shared" si="0"/>
        <v>3</v>
      </c>
    </row>
    <row r="50" spans="1:14" x14ac:dyDescent="0.3">
      <c r="A50" s="14">
        <v>2125</v>
      </c>
      <c r="B50" s="5" t="str">
        <f>VLOOKUP($A50,tropes!$A$4:$O$2428,2,FALSE)</f>
        <v>Fighting Your Friend</v>
      </c>
      <c r="C50" s="5" t="str">
        <f>VLOOKUP($A50,tropes!$A$4:$O$2428,3,FALSE)</f>
        <v>fight</v>
      </c>
      <c r="D50" s="5" t="str">
        <f>VLOOKUP($A50,tropes!$A$4:$O$2428,4,FALSE)</f>
        <v>friend</v>
      </c>
      <c r="E50" s="5" t="str">
        <f>VLOOKUP($A50,tropes!$A$4:$O$2428,5,FALSE)</f>
        <v>Spock fights Mr. Leslie while imprisoned in cell.</v>
      </c>
      <c r="F50" s="5" t="str">
        <f>VLOOKUP($A50,tropes!$A$4:$O$2428,6,FALSE)</f>
        <v>spock</v>
      </c>
      <c r="G50" s="5">
        <f>VLOOKUP($A50,tropes!$A$4:$O$2428,7,FALSE)</f>
        <v>1</v>
      </c>
      <c r="H50" s="5">
        <f>VLOOKUP($A50,tropes!$A$4:$O$2428,8,FALSE)</f>
        <v>0</v>
      </c>
      <c r="I50" s="5">
        <f>VLOOKUP($A50,tropes!$A$4:$O$2428,9,FALSE)</f>
        <v>121</v>
      </c>
      <c r="J50" s="5">
        <f>VLOOKUP($A50,tropes!$A$4:$O$2428,10,FALSE)</f>
        <v>22</v>
      </c>
      <c r="K50" s="5" t="str">
        <f>VLOOKUP($A50,tropes!$A$4:$O$2428,11,FALSE)</f>
        <v>The Return of the Archons</v>
      </c>
      <c r="L50" s="5">
        <f>VLOOKUP($A50,tropes!$A$4:$O$2428,12,FALSE)</f>
        <v>1</v>
      </c>
      <c r="M50" s="5">
        <f>VLOOKUP($A50,tropes!$A$4:$O$2428,13,FALSE)</f>
        <v>21</v>
      </c>
      <c r="N50" s="5">
        <f t="shared" si="0"/>
        <v>4</v>
      </c>
    </row>
    <row r="51" spans="1:14" x14ac:dyDescent="0.3">
      <c r="A51" s="14">
        <v>2129</v>
      </c>
      <c r="B51" s="5" t="str">
        <f>VLOOKUP($A51,tropes!$A$4:$O$2428,2,FALSE)</f>
        <v>Pressure Point</v>
      </c>
      <c r="C51" s="5" t="str">
        <f>VLOOKUP($A51,tropes!$A$4:$O$2428,3,FALSE)</f>
        <v>fight</v>
      </c>
      <c r="D51" s="5" t="str">
        <f>VLOOKUP($A51,tropes!$A$4:$O$2428,4,FALSE)</f>
        <v>vulcan_neck_pinch</v>
      </c>
      <c r="E51" s="5" t="str">
        <f>VLOOKUP($A51,tropes!$A$4:$O$2428,5,FALSE)</f>
        <v>Spock uses neck pinch on Reger.</v>
      </c>
      <c r="F51" s="5" t="str">
        <f>VLOOKUP($A51,tropes!$A$4:$O$2428,6,FALSE)</f>
        <v>spock</v>
      </c>
      <c r="G51" s="5">
        <f>VLOOKUP($A51,tropes!$A$4:$O$2428,7,FALSE)</f>
        <v>1</v>
      </c>
      <c r="H51" s="5">
        <f>VLOOKUP($A51,tropes!$A$4:$O$2428,8,FALSE)</f>
        <v>0</v>
      </c>
      <c r="I51" s="5">
        <f>VLOOKUP($A51,tropes!$A$4:$O$2428,9,FALSE)</f>
        <v>121</v>
      </c>
      <c r="J51" s="5">
        <f>VLOOKUP($A51,tropes!$A$4:$O$2428,10,FALSE)</f>
        <v>22</v>
      </c>
      <c r="K51" s="5" t="str">
        <f>VLOOKUP($A51,tropes!$A$4:$O$2428,11,FALSE)</f>
        <v>The Return of the Archons</v>
      </c>
      <c r="L51" s="5">
        <f>VLOOKUP($A51,tropes!$A$4:$O$2428,12,FALSE)</f>
        <v>1</v>
      </c>
      <c r="M51" s="5">
        <f>VLOOKUP($A51,tropes!$A$4:$O$2428,13,FALSE)</f>
        <v>21</v>
      </c>
      <c r="N51" s="5">
        <f t="shared" si="0"/>
        <v>5</v>
      </c>
    </row>
    <row r="52" spans="1:14" x14ac:dyDescent="0.3">
      <c r="A52" s="14">
        <v>382</v>
      </c>
      <c r="B52" s="5" t="str">
        <f>VLOOKUP($A52,tropes!$A$4:$O$2428,2,FALSE)</f>
        <v>Fight</v>
      </c>
      <c r="C52" s="5" t="str">
        <f>VLOOKUP($A52,tropes!$A$4:$O$2428,3,FALSE)</f>
        <v>fight</v>
      </c>
      <c r="D52" s="5">
        <f>VLOOKUP($A52,tropes!$A$4:$O$2428,4,FALSE)</f>
        <v>0</v>
      </c>
      <c r="E52" s="5" t="str">
        <f>VLOOKUP($A52,tropes!$A$4:$O$2428,5,FALSE)</f>
        <v>Khans man fights Scotty. Scotty knocks him out.</v>
      </c>
      <c r="F52" s="5" t="str">
        <f>VLOOKUP($A52,tropes!$A$4:$O$2428,6,FALSE)</f>
        <v>human</v>
      </c>
      <c r="G52" s="5">
        <f>VLOOKUP($A52,tropes!$A$4:$O$2428,7,FALSE)</f>
        <v>0</v>
      </c>
      <c r="H52" s="5">
        <f>VLOOKUP($A52,tropes!$A$4:$O$2428,8,FALSE)</f>
        <v>0</v>
      </c>
      <c r="I52" s="5">
        <f>VLOOKUP($A52,tropes!$A$4:$O$2428,9,FALSE)</f>
        <v>122</v>
      </c>
      <c r="J52" s="5">
        <f>VLOOKUP($A52,tropes!$A$4:$O$2428,10,FALSE)</f>
        <v>23</v>
      </c>
      <c r="K52" s="5" t="str">
        <f>VLOOKUP($A52,tropes!$A$4:$O$2428,11,FALSE)</f>
        <v>Space Seed</v>
      </c>
      <c r="L52" s="5">
        <f>VLOOKUP($A52,tropes!$A$4:$O$2428,12,FALSE)</f>
        <v>1</v>
      </c>
      <c r="M52" s="5">
        <f>VLOOKUP($A52,tropes!$A$4:$O$2428,13,FALSE)</f>
        <v>22</v>
      </c>
      <c r="N52" s="5">
        <f t="shared" si="0"/>
        <v>0</v>
      </c>
    </row>
    <row r="53" spans="1:14" x14ac:dyDescent="0.3">
      <c r="A53" s="14">
        <v>800</v>
      </c>
      <c r="B53" s="5" t="str">
        <f>VLOOKUP($A53,tropes!$A$4:$O$2428,2,FALSE)</f>
        <v>Trying To Catch Me Fighting Dirty</v>
      </c>
      <c r="C53" s="5" t="str">
        <f>VLOOKUP($A53,tropes!$A$4:$O$2428,3,FALSE)</f>
        <v>fight</v>
      </c>
      <c r="D53" s="5" t="str">
        <f>VLOOKUP($A53,tropes!$A$4:$O$2428,4,FALSE)</f>
        <v>dirty</v>
      </c>
      <c r="E53" s="5" t="str">
        <f>VLOOKUP($A53,tropes!$A$4:$O$2428,5,FALSE)</f>
        <v>Kirk pulls out a metal rod from the control panel and beats on Khan till he's unconscious</v>
      </c>
      <c r="F53" s="5" t="str">
        <f>VLOOKUP($A53,tropes!$A$4:$O$2428,6,FALSE)</f>
        <v>kirk</v>
      </c>
      <c r="G53" s="5">
        <f>VLOOKUP($A53,tropes!$A$4:$O$2428,7,FALSE)</f>
        <v>1</v>
      </c>
      <c r="H53" s="5">
        <f>VLOOKUP($A53,tropes!$A$4:$O$2428,8,FALSE)</f>
        <v>0</v>
      </c>
      <c r="I53" s="5">
        <f>VLOOKUP($A53,tropes!$A$4:$O$2428,9,FALSE)</f>
        <v>122</v>
      </c>
      <c r="J53" s="5">
        <f>VLOOKUP($A53,tropes!$A$4:$O$2428,10,FALSE)</f>
        <v>23</v>
      </c>
      <c r="K53" s="5" t="str">
        <f>VLOOKUP($A53,tropes!$A$4:$O$2428,11,FALSE)</f>
        <v>Space Seed</v>
      </c>
      <c r="L53" s="5">
        <f>VLOOKUP($A53,tropes!$A$4:$O$2428,12,FALSE)</f>
        <v>1</v>
      </c>
      <c r="M53" s="5">
        <f>VLOOKUP($A53,tropes!$A$4:$O$2428,13,FALSE)</f>
        <v>22</v>
      </c>
      <c r="N53" s="5">
        <f t="shared" si="0"/>
        <v>1</v>
      </c>
    </row>
    <row r="54" spans="1:14" x14ac:dyDescent="0.3">
      <c r="A54" s="14">
        <v>422</v>
      </c>
      <c r="B54" s="5" t="str">
        <f>VLOOKUP($A54,tropes!$A$4:$O$2428,2,FALSE)</f>
        <v>Curb Stomp Battle</v>
      </c>
      <c r="C54" s="5" t="str">
        <f>VLOOKUP($A54,tropes!$A$4:$O$2428,3,FALSE)</f>
        <v>fight</v>
      </c>
      <c r="D54" s="5" t="str">
        <f>VLOOKUP($A54,tropes!$A$4:$O$2428,4,FALSE)</f>
        <v>outmatched</v>
      </c>
      <c r="E54" s="5" t="str">
        <f>VLOOKUP($A54,tropes!$A$4:$O$2428,5,FALSE)</f>
        <v>Khan escapes quarters and knock out guard.</v>
      </c>
      <c r="F54" s="5" t="str">
        <f>VLOOKUP($A54,tropes!$A$4:$O$2428,6,FALSE)</f>
        <v>khan</v>
      </c>
      <c r="G54" s="5">
        <f>VLOOKUP($A54,tropes!$A$4:$O$2428,7,FALSE)</f>
        <v>0</v>
      </c>
      <c r="H54" s="5">
        <f>VLOOKUP($A54,tropes!$A$4:$O$2428,8,FALSE)</f>
        <v>0</v>
      </c>
      <c r="I54" s="5">
        <f>VLOOKUP($A54,tropes!$A$4:$O$2428,9,FALSE)</f>
        <v>122</v>
      </c>
      <c r="J54" s="5">
        <f>VLOOKUP($A54,tropes!$A$4:$O$2428,10,FALSE)</f>
        <v>23</v>
      </c>
      <c r="K54" s="5" t="str">
        <f>VLOOKUP($A54,tropes!$A$4:$O$2428,11,FALSE)</f>
        <v>Space Seed</v>
      </c>
      <c r="L54" s="5">
        <f>VLOOKUP($A54,tropes!$A$4:$O$2428,12,FALSE)</f>
        <v>1</v>
      </c>
      <c r="M54" s="5">
        <f>VLOOKUP($A54,tropes!$A$4:$O$2428,13,FALSE)</f>
        <v>22</v>
      </c>
      <c r="N54" s="5">
        <f t="shared" si="0"/>
        <v>2</v>
      </c>
    </row>
    <row r="55" spans="1:14" x14ac:dyDescent="0.3">
      <c r="A55" s="14">
        <v>1032</v>
      </c>
      <c r="B55" s="5" t="str">
        <f>VLOOKUP($A55,tropes!$A$4:$O$2428,2,FALSE)</f>
        <v>Hopelessly Outmatched</v>
      </c>
      <c r="C55" s="5" t="str">
        <f>VLOOKUP($A55,tropes!$A$4:$O$2428,3,FALSE)</f>
        <v>fight</v>
      </c>
      <c r="D55" s="5" t="str">
        <f>VLOOKUP($A55,tropes!$A$4:$O$2428,4,FALSE)</f>
        <v>outmatched</v>
      </c>
      <c r="E55" s="5" t="str">
        <f>VLOOKUP($A55,tropes!$A$4:$O$2428,5,FALSE)</f>
        <v>Kirk and Khan fight in engineering.</v>
      </c>
      <c r="F55" s="5" t="str">
        <f>VLOOKUP($A55,tropes!$A$4:$O$2428,6,FALSE)</f>
        <v>khan</v>
      </c>
      <c r="G55" s="5">
        <f>VLOOKUP($A55,tropes!$A$4:$O$2428,7,FALSE)</f>
        <v>0</v>
      </c>
      <c r="H55" s="5">
        <f>VLOOKUP($A55,tropes!$A$4:$O$2428,8,FALSE)</f>
        <v>0</v>
      </c>
      <c r="I55" s="5">
        <f>VLOOKUP($A55,tropes!$A$4:$O$2428,9,FALSE)</f>
        <v>122</v>
      </c>
      <c r="J55" s="5">
        <f>VLOOKUP($A55,tropes!$A$4:$O$2428,10,FALSE)</f>
        <v>23</v>
      </c>
      <c r="K55" s="5" t="str">
        <f>VLOOKUP($A55,tropes!$A$4:$O$2428,11,FALSE)</f>
        <v>Space Seed</v>
      </c>
      <c r="L55" s="5">
        <f>VLOOKUP($A55,tropes!$A$4:$O$2428,12,FALSE)</f>
        <v>1</v>
      </c>
      <c r="M55" s="5">
        <f>VLOOKUP($A55,tropes!$A$4:$O$2428,13,FALSE)</f>
        <v>22</v>
      </c>
      <c r="N55" s="5">
        <f t="shared" si="0"/>
        <v>3</v>
      </c>
    </row>
    <row r="56" spans="1:14" x14ac:dyDescent="0.3">
      <c r="A56" s="14">
        <v>2135</v>
      </c>
      <c r="B56" s="5" t="str">
        <f>VLOOKUP($A56,tropes!$A$4:$O$2428,2,FALSE)</f>
        <v>Pressure Point</v>
      </c>
      <c r="C56" s="5" t="str">
        <f>VLOOKUP($A56,tropes!$A$4:$O$2428,3,FALSE)</f>
        <v>fight</v>
      </c>
      <c r="D56" s="5" t="str">
        <f>VLOOKUP($A56,tropes!$A$4:$O$2428,4,FALSE)</f>
        <v>vulcan_neck_pinch</v>
      </c>
      <c r="E56" s="5" t="str">
        <f>VLOOKUP($A56,tropes!$A$4:$O$2428,5,FALSE)</f>
        <v>Spock uses neck pinch on Khans man.</v>
      </c>
      <c r="F56" s="5" t="str">
        <f>VLOOKUP($A56,tropes!$A$4:$O$2428,6,FALSE)</f>
        <v>spock</v>
      </c>
      <c r="G56" s="5">
        <f>VLOOKUP($A56,tropes!$A$4:$O$2428,7,FALSE)</f>
        <v>1</v>
      </c>
      <c r="H56" s="5">
        <f>VLOOKUP($A56,tropes!$A$4:$O$2428,8,FALSE)</f>
        <v>0</v>
      </c>
      <c r="I56" s="5">
        <f>VLOOKUP($A56,tropes!$A$4:$O$2428,9,FALSE)</f>
        <v>122</v>
      </c>
      <c r="J56" s="5">
        <f>VLOOKUP($A56,tropes!$A$4:$O$2428,10,FALSE)</f>
        <v>23</v>
      </c>
      <c r="K56" s="5" t="str">
        <f>VLOOKUP($A56,tropes!$A$4:$O$2428,11,FALSE)</f>
        <v>Space Seed</v>
      </c>
      <c r="L56" s="5">
        <f>VLOOKUP($A56,tropes!$A$4:$O$2428,12,FALSE)</f>
        <v>1</v>
      </c>
      <c r="M56" s="5">
        <f>VLOOKUP($A56,tropes!$A$4:$O$2428,13,FALSE)</f>
        <v>22</v>
      </c>
      <c r="N56" s="5">
        <f t="shared" si="0"/>
        <v>4</v>
      </c>
    </row>
    <row r="57" spans="1:14" x14ac:dyDescent="0.3">
      <c r="A57" s="14">
        <v>811</v>
      </c>
      <c r="B57" s="5" t="str">
        <f>VLOOKUP($A57,tropes!$A$4:$O$2428,2,FALSE)</f>
        <v>Fight</v>
      </c>
      <c r="C57" s="5" t="str">
        <f>VLOOKUP($A57,tropes!$A$4:$O$2428,3,FALSE)</f>
        <v>fight</v>
      </c>
      <c r="D57" s="5">
        <f>VLOOKUP($A57,tropes!$A$4:$O$2428,4,FALSE)</f>
        <v>0</v>
      </c>
      <c r="E57" s="5" t="str">
        <f>VLOOKUP($A57,tropes!$A$4:$O$2428,5,FALSE)</f>
        <v>Kirk knocks out Eminiar guard.</v>
      </c>
      <c r="F57" s="5" t="str">
        <f>VLOOKUP($A57,tropes!$A$4:$O$2428,6,FALSE)</f>
        <v>kirk</v>
      </c>
      <c r="G57" s="5">
        <f>VLOOKUP($A57,tropes!$A$4:$O$2428,7,FALSE)</f>
        <v>1</v>
      </c>
      <c r="H57" s="5">
        <f>VLOOKUP($A57,tropes!$A$4:$O$2428,8,FALSE)</f>
        <v>0</v>
      </c>
      <c r="I57" s="5">
        <f>VLOOKUP($A57,tropes!$A$4:$O$2428,9,FALSE)</f>
        <v>123</v>
      </c>
      <c r="J57" s="5">
        <f>VLOOKUP($A57,tropes!$A$4:$O$2428,10,FALSE)</f>
        <v>24</v>
      </c>
      <c r="K57" s="5" t="str">
        <f>VLOOKUP($A57,tropes!$A$4:$O$2428,11,FALSE)</f>
        <v>A Taste of Armageddon</v>
      </c>
      <c r="L57" s="5">
        <f>VLOOKUP($A57,tropes!$A$4:$O$2428,12,FALSE)</f>
        <v>1</v>
      </c>
      <c r="M57" s="5">
        <f>VLOOKUP($A57,tropes!$A$4:$O$2428,13,FALSE)</f>
        <v>23</v>
      </c>
      <c r="N57" s="5">
        <f t="shared" si="0"/>
        <v>0</v>
      </c>
    </row>
    <row r="58" spans="1:14" x14ac:dyDescent="0.3">
      <c r="A58" s="14">
        <v>812</v>
      </c>
      <c r="B58" s="5" t="str">
        <f>VLOOKUP($A58,tropes!$A$4:$O$2428,2,FALSE)</f>
        <v>I Like Those Odds</v>
      </c>
      <c r="C58" s="5" t="str">
        <f>VLOOKUP($A58,tropes!$A$4:$O$2428,3,FALSE)</f>
        <v>fight</v>
      </c>
      <c r="D58" s="5" t="str">
        <f>VLOOKUP($A58,tropes!$A$4:$O$2428,4,FALSE)</f>
        <v>outmatched</v>
      </c>
      <c r="E58" s="5" t="str">
        <f>VLOOKUP($A58,tropes!$A$4:$O$2428,5,FALSE)</f>
        <v>Kirk fights four guards then grabs disrupter and holds them at bay.</v>
      </c>
      <c r="F58" s="5" t="str">
        <f>VLOOKUP($A58,tropes!$A$4:$O$2428,6,FALSE)</f>
        <v>kirk</v>
      </c>
      <c r="G58" s="5">
        <f>VLOOKUP($A58,tropes!$A$4:$O$2428,7,FALSE)</f>
        <v>1</v>
      </c>
      <c r="H58" s="5">
        <f>VLOOKUP($A58,tropes!$A$4:$O$2428,8,FALSE)</f>
        <v>0</v>
      </c>
      <c r="I58" s="5">
        <f>VLOOKUP($A58,tropes!$A$4:$O$2428,9,FALSE)</f>
        <v>123</v>
      </c>
      <c r="J58" s="5">
        <f>VLOOKUP($A58,tropes!$A$4:$O$2428,10,FALSE)</f>
        <v>24</v>
      </c>
      <c r="K58" s="5" t="str">
        <f>VLOOKUP($A58,tropes!$A$4:$O$2428,11,FALSE)</f>
        <v>A Taste of Armageddon</v>
      </c>
      <c r="L58" s="5">
        <f>VLOOKUP($A58,tropes!$A$4:$O$2428,12,FALSE)</f>
        <v>1</v>
      </c>
      <c r="M58" s="5">
        <f>VLOOKUP($A58,tropes!$A$4:$O$2428,13,FALSE)</f>
        <v>23</v>
      </c>
      <c r="N58" s="5">
        <f t="shared" si="0"/>
        <v>1</v>
      </c>
    </row>
    <row r="59" spans="1:14" x14ac:dyDescent="0.3">
      <c r="A59" s="14">
        <v>813</v>
      </c>
      <c r="B59" s="5" t="str">
        <f>VLOOKUP($A59,tropes!$A$4:$O$2428,2,FALSE)</f>
        <v>I Like Those Odds</v>
      </c>
      <c r="C59" s="5" t="str">
        <f>VLOOKUP($A59,tropes!$A$4:$O$2428,3,FALSE)</f>
        <v>fight</v>
      </c>
      <c r="D59" s="5" t="str">
        <f>VLOOKUP($A59,tropes!$A$4:$O$2428,4,FALSE)</f>
        <v>outmatched</v>
      </c>
      <c r="E59" s="5" t="str">
        <f>VLOOKUP($A59,tropes!$A$4:$O$2428,5,FALSE)</f>
        <v>Kirk fights three Eminiar guards but gets knocked out.</v>
      </c>
      <c r="F59" s="5" t="str">
        <f>VLOOKUP($A59,tropes!$A$4:$O$2428,6,FALSE)</f>
        <v>kirk</v>
      </c>
      <c r="G59" s="5">
        <f>VLOOKUP($A59,tropes!$A$4:$O$2428,7,FALSE)</f>
        <v>1</v>
      </c>
      <c r="H59" s="5">
        <f>VLOOKUP($A59,tropes!$A$4:$O$2428,8,FALSE)</f>
        <v>0</v>
      </c>
      <c r="I59" s="5">
        <f>VLOOKUP($A59,tropes!$A$4:$O$2428,9,FALSE)</f>
        <v>123</v>
      </c>
      <c r="J59" s="5">
        <f>VLOOKUP($A59,tropes!$A$4:$O$2428,10,FALSE)</f>
        <v>24</v>
      </c>
      <c r="K59" s="5" t="str">
        <f>VLOOKUP($A59,tropes!$A$4:$O$2428,11,FALSE)</f>
        <v>A Taste of Armageddon</v>
      </c>
      <c r="L59" s="5">
        <f>VLOOKUP($A59,tropes!$A$4:$O$2428,12,FALSE)</f>
        <v>1</v>
      </c>
      <c r="M59" s="5">
        <f>VLOOKUP($A59,tropes!$A$4:$O$2428,13,FALSE)</f>
        <v>23</v>
      </c>
      <c r="N59" s="5">
        <f t="shared" si="0"/>
        <v>2</v>
      </c>
    </row>
    <row r="60" spans="1:14" x14ac:dyDescent="0.3">
      <c r="A60" s="14">
        <v>2140</v>
      </c>
      <c r="B60" s="5" t="str">
        <f>VLOOKUP($A60,tropes!$A$4:$O$2428,2,FALSE)</f>
        <v>Pressure Point</v>
      </c>
      <c r="C60" s="5" t="str">
        <f>VLOOKUP($A60,tropes!$A$4:$O$2428,3,FALSE)</f>
        <v>fight</v>
      </c>
      <c r="D60" s="5" t="str">
        <f>VLOOKUP($A60,tropes!$A$4:$O$2428,4,FALSE)</f>
        <v>vulcan_neck_pinch</v>
      </c>
      <c r="E60" s="5" t="str">
        <f>VLOOKUP($A60,tropes!$A$4:$O$2428,5,FALSE)</f>
        <v>Spock uses neck pinch on Eminiar guard.</v>
      </c>
      <c r="F60" s="5" t="str">
        <f>VLOOKUP($A60,tropes!$A$4:$O$2428,6,FALSE)</f>
        <v>spock</v>
      </c>
      <c r="G60" s="5">
        <f>VLOOKUP($A60,tropes!$A$4:$O$2428,7,FALSE)</f>
        <v>1</v>
      </c>
      <c r="H60" s="5">
        <f>VLOOKUP($A60,tropes!$A$4:$O$2428,8,FALSE)</f>
        <v>0</v>
      </c>
      <c r="I60" s="5">
        <f>VLOOKUP($A60,tropes!$A$4:$O$2428,9,FALSE)</f>
        <v>123</v>
      </c>
      <c r="J60" s="5">
        <f>VLOOKUP($A60,tropes!$A$4:$O$2428,10,FALSE)</f>
        <v>24</v>
      </c>
      <c r="K60" s="5" t="str">
        <f>VLOOKUP($A60,tropes!$A$4:$O$2428,11,FALSE)</f>
        <v>A Taste of Armageddon</v>
      </c>
      <c r="L60" s="5">
        <f>VLOOKUP($A60,tropes!$A$4:$O$2428,12,FALSE)</f>
        <v>1</v>
      </c>
      <c r="M60" s="5">
        <f>VLOOKUP($A60,tropes!$A$4:$O$2428,13,FALSE)</f>
        <v>23</v>
      </c>
      <c r="N60" s="5">
        <f t="shared" si="0"/>
        <v>3</v>
      </c>
    </row>
    <row r="61" spans="1:14" x14ac:dyDescent="0.3">
      <c r="A61" s="14">
        <v>1231</v>
      </c>
      <c r="B61" s="5" t="str">
        <f>VLOOKUP($A61,tropes!$A$4:$O$2428,2,FALSE)</f>
        <v>Fighting Your Friend</v>
      </c>
      <c r="C61" s="5" t="str">
        <f>VLOOKUP($A61,tropes!$A$4:$O$2428,3,FALSE)</f>
        <v>fight</v>
      </c>
      <c r="D61" s="5" t="str">
        <f>VLOOKUP($A61,tropes!$A$4:$O$2428,4,FALSE)</f>
        <v>friend</v>
      </c>
      <c r="E61" s="5" t="str">
        <f>VLOOKUP($A61,tropes!$A$4:$O$2428,5,FALSE)</f>
        <v>Kirk provokes reaction from Spock to get to fight hoping emotions will shake off spores hold.</v>
      </c>
      <c r="F61" s="5" t="str">
        <f>VLOOKUP($A61,tropes!$A$4:$O$2428,6,FALSE)</f>
        <v>kirk</v>
      </c>
      <c r="G61" s="5">
        <f>VLOOKUP($A61,tropes!$A$4:$O$2428,7,FALSE)</f>
        <v>1</v>
      </c>
      <c r="H61" s="5">
        <f>VLOOKUP($A61,tropes!$A$4:$O$2428,8,FALSE)</f>
        <v>0</v>
      </c>
      <c r="I61" s="5">
        <f>VLOOKUP($A61,tropes!$A$4:$O$2428,9,FALSE)</f>
        <v>124</v>
      </c>
      <c r="J61" s="5">
        <f>VLOOKUP($A61,tropes!$A$4:$O$2428,10,FALSE)</f>
        <v>25</v>
      </c>
      <c r="K61" s="5" t="str">
        <f>VLOOKUP($A61,tropes!$A$4:$O$2428,11,FALSE)</f>
        <v>This Side of Paradise</v>
      </c>
      <c r="L61" s="5">
        <f>VLOOKUP($A61,tropes!$A$4:$O$2428,12,FALSE)</f>
        <v>1</v>
      </c>
      <c r="M61" s="5">
        <f>VLOOKUP($A61,tropes!$A$4:$O$2428,13,FALSE)</f>
        <v>24</v>
      </c>
      <c r="N61" s="5">
        <f t="shared" si="0"/>
        <v>0</v>
      </c>
    </row>
    <row r="62" spans="1:14" x14ac:dyDescent="0.3">
      <c r="A62" s="14">
        <v>1232</v>
      </c>
      <c r="B62" s="5" t="str">
        <f>VLOOKUP($A62,tropes!$A$4:$O$2428,2,FALSE)</f>
        <v>Fighting Your Friend</v>
      </c>
      <c r="C62" s="5" t="str">
        <f>VLOOKUP($A62,tropes!$A$4:$O$2428,3,FALSE)</f>
        <v>fight</v>
      </c>
      <c r="D62" s="5" t="str">
        <f>VLOOKUP($A62,tropes!$A$4:$O$2428,4,FALSE)</f>
        <v>friend</v>
      </c>
      <c r="E62" s="5" t="str">
        <f>VLOOKUP($A62,tropes!$A$4:$O$2428,5,FALSE)</f>
        <v>Spock (under the spore's influence) is provoked by Kirk's insults and starts a fight.</v>
      </c>
      <c r="F62" s="5" t="str">
        <f>VLOOKUP($A62,tropes!$A$4:$O$2428,6,FALSE)</f>
        <v>spock</v>
      </c>
      <c r="G62" s="5">
        <f>VLOOKUP($A62,tropes!$A$4:$O$2428,7,FALSE)</f>
        <v>1</v>
      </c>
      <c r="H62" s="5">
        <f>VLOOKUP($A62,tropes!$A$4:$O$2428,8,FALSE)</f>
        <v>0</v>
      </c>
      <c r="I62" s="5">
        <f>VLOOKUP($A62,tropes!$A$4:$O$2428,9,FALSE)</f>
        <v>124</v>
      </c>
      <c r="J62" s="5">
        <f>VLOOKUP($A62,tropes!$A$4:$O$2428,10,FALSE)</f>
        <v>25</v>
      </c>
      <c r="K62" s="5" t="str">
        <f>VLOOKUP($A62,tropes!$A$4:$O$2428,11,FALSE)</f>
        <v>This Side of Paradise</v>
      </c>
      <c r="L62" s="5">
        <f>VLOOKUP($A62,tropes!$A$4:$O$2428,12,FALSE)</f>
        <v>1</v>
      </c>
      <c r="M62" s="5">
        <f>VLOOKUP($A62,tropes!$A$4:$O$2428,13,FALSE)</f>
        <v>24</v>
      </c>
      <c r="N62" s="5">
        <f t="shared" si="0"/>
        <v>1</v>
      </c>
    </row>
    <row r="63" spans="1:14" x14ac:dyDescent="0.3">
      <c r="A63" s="14">
        <v>322</v>
      </c>
      <c r="B63" s="5" t="str">
        <f>VLOOKUP($A63,tropes!$A$4:$O$2428,2,FALSE)</f>
        <v>Fight</v>
      </c>
      <c r="C63" s="5" t="str">
        <f>VLOOKUP($A63,tropes!$A$4:$O$2428,3,FALSE)</f>
        <v>fight</v>
      </c>
      <c r="D63" s="5">
        <f>VLOOKUP($A63,tropes!$A$4:$O$2428,4,FALSE)</f>
        <v>0</v>
      </c>
      <c r="E63" s="5" t="str">
        <f>VLOOKUP($A63,tropes!$A$4:$O$2428,5,FALSE)</f>
        <v>Miners attack Redshirts to get past them to kill the Horta.</v>
      </c>
      <c r="F63" s="5" t="str">
        <f>VLOOKUP($A63,tropes!$A$4:$O$2428,6,FALSE)</f>
        <v>human</v>
      </c>
      <c r="G63" s="5">
        <f>VLOOKUP($A63,tropes!$A$4:$O$2428,7,FALSE)</f>
        <v>0</v>
      </c>
      <c r="H63" s="5">
        <f>VLOOKUP($A63,tropes!$A$4:$O$2428,8,FALSE)</f>
        <v>0</v>
      </c>
      <c r="I63" s="5">
        <f>VLOOKUP($A63,tropes!$A$4:$O$2428,9,FALSE)</f>
        <v>125</v>
      </c>
      <c r="J63" s="5">
        <f>VLOOKUP($A63,tropes!$A$4:$O$2428,10,FALSE)</f>
        <v>26</v>
      </c>
      <c r="K63" s="5" t="str">
        <f>VLOOKUP($A63,tropes!$A$4:$O$2428,11,FALSE)</f>
        <v>The Devil in the Dark</v>
      </c>
      <c r="L63" s="5">
        <f>VLOOKUP($A63,tropes!$A$4:$O$2428,12,FALSE)</f>
        <v>1</v>
      </c>
      <c r="M63" s="5">
        <f>VLOOKUP($A63,tropes!$A$4:$O$2428,13,FALSE)</f>
        <v>25</v>
      </c>
      <c r="N63" s="5">
        <f t="shared" si="0"/>
        <v>0</v>
      </c>
    </row>
    <row r="64" spans="1:14" x14ac:dyDescent="0.3">
      <c r="A64" s="14">
        <v>2170</v>
      </c>
      <c r="B64" s="5" t="str">
        <f>VLOOKUP($A64,tropes!$A$4:$O$2428,2,FALSE)</f>
        <v>Fight</v>
      </c>
      <c r="C64" s="5" t="str">
        <f>VLOOKUP($A64,tropes!$A$4:$O$2428,3,FALSE)</f>
        <v>fight</v>
      </c>
      <c r="D64" s="5">
        <f>VLOOKUP($A64,tropes!$A$4:$O$2428,4,FALSE)</f>
        <v>0</v>
      </c>
      <c r="E64" s="5" t="str">
        <f>VLOOKUP($A64,tropes!$A$4:$O$2428,5,FALSE)</f>
        <v>Averted: Spock stops Kirk from fighting a Klingon in street.</v>
      </c>
      <c r="F64" s="5" t="str">
        <f>VLOOKUP($A64,tropes!$A$4:$O$2428,6,FALSE)</f>
        <v>spock</v>
      </c>
      <c r="G64" s="5">
        <f>VLOOKUP($A64,tropes!$A$4:$O$2428,7,FALSE)</f>
        <v>1</v>
      </c>
      <c r="H64" s="5">
        <f>VLOOKUP($A64,tropes!$A$4:$O$2428,8,FALSE)</f>
        <v>0</v>
      </c>
      <c r="I64" s="5">
        <f>VLOOKUP($A64,tropes!$A$4:$O$2428,9,FALSE)</f>
        <v>126</v>
      </c>
      <c r="J64" s="5">
        <f>VLOOKUP($A64,tropes!$A$4:$O$2428,10,FALSE)</f>
        <v>27</v>
      </c>
      <c r="K64" s="5" t="str">
        <f>VLOOKUP($A64,tropes!$A$4:$O$2428,11,FALSE)</f>
        <v>Errand of Mercy</v>
      </c>
      <c r="L64" s="5">
        <f>VLOOKUP($A64,tropes!$A$4:$O$2428,12,FALSE)</f>
        <v>1</v>
      </c>
      <c r="M64" s="5">
        <f>VLOOKUP($A64,tropes!$A$4:$O$2428,13,FALSE)</f>
        <v>26</v>
      </c>
      <c r="N64" s="5">
        <f t="shared" si="0"/>
        <v>0</v>
      </c>
    </row>
    <row r="65" spans="1:14" x14ac:dyDescent="0.3">
      <c r="A65" s="14">
        <v>855</v>
      </c>
      <c r="B65" s="5" t="str">
        <f>VLOOKUP($A65,tropes!$A$4:$O$2428,2,FALSE)</f>
        <v>Fight</v>
      </c>
      <c r="C65" s="5" t="str">
        <f>VLOOKUP($A65,tropes!$A$4:$O$2428,3,FALSE)</f>
        <v>fight</v>
      </c>
      <c r="D65" s="5">
        <f>VLOOKUP($A65,tropes!$A$4:$O$2428,4,FALSE)</f>
        <v>0</v>
      </c>
      <c r="E65" s="5" t="str">
        <f>VLOOKUP($A65,tropes!$A$4:$O$2428,5,FALSE)</f>
        <v>Kirk garrotes Klingon while performing sabotage.</v>
      </c>
      <c r="F65" s="5" t="str">
        <f>VLOOKUP($A65,tropes!$A$4:$O$2428,6,FALSE)</f>
        <v>kirk</v>
      </c>
      <c r="G65" s="5">
        <f>VLOOKUP($A65,tropes!$A$4:$O$2428,7,FALSE)</f>
        <v>1</v>
      </c>
      <c r="H65" s="5">
        <f>VLOOKUP($A65,tropes!$A$4:$O$2428,8,FALSE)</f>
        <v>0</v>
      </c>
      <c r="I65" s="5">
        <f>VLOOKUP($A65,tropes!$A$4:$O$2428,9,FALSE)</f>
        <v>126</v>
      </c>
      <c r="J65" s="5">
        <f>VLOOKUP($A65,tropes!$A$4:$O$2428,10,FALSE)</f>
        <v>27</v>
      </c>
      <c r="K65" s="5" t="str">
        <f>VLOOKUP($A65,tropes!$A$4:$O$2428,11,FALSE)</f>
        <v>Errand of Mercy</v>
      </c>
      <c r="L65" s="5">
        <f>VLOOKUP($A65,tropes!$A$4:$O$2428,12,FALSE)</f>
        <v>1</v>
      </c>
      <c r="M65" s="5">
        <f>VLOOKUP($A65,tropes!$A$4:$O$2428,13,FALSE)</f>
        <v>26</v>
      </c>
      <c r="N65" s="5">
        <f t="shared" si="0"/>
        <v>1</v>
      </c>
    </row>
    <row r="66" spans="1:14" x14ac:dyDescent="0.3">
      <c r="A66" s="14">
        <v>856</v>
      </c>
      <c r="B66" s="5" t="str">
        <f>VLOOKUP($A66,tropes!$A$4:$O$2428,2,FALSE)</f>
        <v>Fight</v>
      </c>
      <c r="C66" s="5" t="str">
        <f>VLOOKUP($A66,tropes!$A$4:$O$2428,3,FALSE)</f>
        <v>fight</v>
      </c>
      <c r="D66" s="5">
        <f>VLOOKUP($A66,tropes!$A$4:$O$2428,4,FALSE)</f>
        <v>0</v>
      </c>
      <c r="E66" s="5" t="str">
        <f>VLOOKUP($A66,tropes!$A$4:$O$2428,5,FALSE)</f>
        <v>Kirk knocks out Klingon during act of sabotage.</v>
      </c>
      <c r="F66" s="5" t="str">
        <f>VLOOKUP($A66,tropes!$A$4:$O$2428,6,FALSE)</f>
        <v>kirk</v>
      </c>
      <c r="G66" s="5">
        <f>VLOOKUP($A66,tropes!$A$4:$O$2428,7,FALSE)</f>
        <v>1</v>
      </c>
      <c r="H66" s="5">
        <f>VLOOKUP($A66,tropes!$A$4:$O$2428,8,FALSE)</f>
        <v>0</v>
      </c>
      <c r="I66" s="5">
        <f>VLOOKUP($A66,tropes!$A$4:$O$2428,9,FALSE)</f>
        <v>126</v>
      </c>
      <c r="J66" s="5">
        <f>VLOOKUP($A66,tropes!$A$4:$O$2428,10,FALSE)</f>
        <v>27</v>
      </c>
      <c r="K66" s="5" t="str">
        <f>VLOOKUP($A66,tropes!$A$4:$O$2428,11,FALSE)</f>
        <v>Errand of Mercy</v>
      </c>
      <c r="L66" s="5">
        <f>VLOOKUP($A66,tropes!$A$4:$O$2428,12,FALSE)</f>
        <v>1</v>
      </c>
      <c r="M66" s="5">
        <f>VLOOKUP($A66,tropes!$A$4:$O$2428,13,FALSE)</f>
        <v>26</v>
      </c>
      <c r="N66" s="5">
        <f t="shared" si="0"/>
        <v>2</v>
      </c>
    </row>
    <row r="67" spans="1:14" x14ac:dyDescent="0.3">
      <c r="A67" s="14">
        <v>2885</v>
      </c>
      <c r="B67" s="5" t="str">
        <f>VLOOKUP($A67,tropes!$A$4:$O$2428,2,FALSE)</f>
        <v>This Means War</v>
      </c>
      <c r="C67" s="5" t="str">
        <f>VLOOKUP($A67,tropes!$A$4:$O$2428,3,FALSE)</f>
        <v>fight</v>
      </c>
      <c r="D67" s="5">
        <f>VLOOKUP($A67,tropes!$A$4:$O$2428,4,FALSE)</f>
        <v>0</v>
      </c>
      <c r="E67" s="5" t="str">
        <f>VLOOKUP($A67,tropes!$A$4:$O$2428,5,FALSE)</f>
        <v>Subverted: The Federation and the Klingons decide to fight a war. The Organians prevent the war.</v>
      </c>
      <c r="F67" s="5" t="str">
        <f>VLOOKUP($A67,tropes!$A$4:$O$2428,6,FALSE)</f>
        <v>xxx</v>
      </c>
      <c r="G67" s="5">
        <f>VLOOKUP($A67,tropes!$A$4:$O$2428,7,FALSE)</f>
        <v>0</v>
      </c>
      <c r="H67" s="5">
        <f>VLOOKUP($A67,tropes!$A$4:$O$2428,8,FALSE)</f>
        <v>0</v>
      </c>
      <c r="I67" s="5">
        <f>VLOOKUP($A67,tropes!$A$4:$O$2428,9,FALSE)</f>
        <v>126</v>
      </c>
      <c r="J67" s="5">
        <f>VLOOKUP($A67,tropes!$A$4:$O$2428,10,FALSE)</f>
        <v>27</v>
      </c>
      <c r="K67" s="5" t="str">
        <f>VLOOKUP($A67,tropes!$A$4:$O$2428,11,FALSE)</f>
        <v>Errand of Mercy</v>
      </c>
      <c r="L67" s="5">
        <f>VLOOKUP($A67,tropes!$A$4:$O$2428,12,FALSE)</f>
        <v>1</v>
      </c>
      <c r="M67" s="5">
        <f>VLOOKUP($A67,tropes!$A$4:$O$2428,13,FALSE)</f>
        <v>26</v>
      </c>
      <c r="N67" s="5">
        <f t="shared" si="0"/>
        <v>3</v>
      </c>
    </row>
    <row r="68" spans="1:14" x14ac:dyDescent="0.3">
      <c r="A68" s="14">
        <v>2172</v>
      </c>
      <c r="B68" s="5" t="str">
        <f>VLOOKUP($A68,tropes!$A$4:$O$2428,2,FALSE)</f>
        <v>Pressure Point</v>
      </c>
      <c r="C68" s="5" t="str">
        <f>VLOOKUP($A68,tropes!$A$4:$O$2428,3,FALSE)</f>
        <v>fight</v>
      </c>
      <c r="D68" s="5" t="str">
        <f>VLOOKUP($A68,tropes!$A$4:$O$2428,4,FALSE)</f>
        <v>vulcan_neck_pinch</v>
      </c>
      <c r="E68" s="5" t="str">
        <f>VLOOKUP($A68,tropes!$A$4:$O$2428,5,FALSE)</f>
        <v>Spock uses neck pinch on Klingon.</v>
      </c>
      <c r="F68" s="5" t="str">
        <f>VLOOKUP($A68,tropes!$A$4:$O$2428,6,FALSE)</f>
        <v>spock</v>
      </c>
      <c r="G68" s="5">
        <f>VLOOKUP($A68,tropes!$A$4:$O$2428,7,FALSE)</f>
        <v>1</v>
      </c>
      <c r="H68" s="5">
        <f>VLOOKUP($A68,tropes!$A$4:$O$2428,8,FALSE)</f>
        <v>0</v>
      </c>
      <c r="I68" s="5">
        <f>VLOOKUP($A68,tropes!$A$4:$O$2428,9,FALSE)</f>
        <v>126</v>
      </c>
      <c r="J68" s="5">
        <f>VLOOKUP($A68,tropes!$A$4:$O$2428,10,FALSE)</f>
        <v>27</v>
      </c>
      <c r="K68" s="5" t="str">
        <f>VLOOKUP($A68,tropes!$A$4:$O$2428,11,FALSE)</f>
        <v>Errand of Mercy</v>
      </c>
      <c r="L68" s="5">
        <f>VLOOKUP($A68,tropes!$A$4:$O$2428,12,FALSE)</f>
        <v>1</v>
      </c>
      <c r="M68" s="5">
        <f>VLOOKUP($A68,tropes!$A$4:$O$2428,13,FALSE)</f>
        <v>26</v>
      </c>
      <c r="N68" s="5">
        <f t="shared" ref="N68:N131" si="1">IF(I68&lt;&gt;I67,0,N67+1)</f>
        <v>4</v>
      </c>
    </row>
    <row r="69" spans="1:14" x14ac:dyDescent="0.3">
      <c r="A69" s="14">
        <v>867</v>
      </c>
      <c r="B69" s="5" t="str">
        <f>VLOOKUP($A69,tropes!$A$4:$O$2428,2,FALSE)</f>
        <v>Fight</v>
      </c>
      <c r="C69" s="5" t="str">
        <f>VLOOKUP($A69,tropes!$A$4:$O$2428,3,FALSE)</f>
        <v>fight</v>
      </c>
      <c r="D69" s="5">
        <f>VLOOKUP($A69,tropes!$A$4:$O$2428,4,FALSE)</f>
        <v>0</v>
      </c>
      <c r="E69" s="5" t="str">
        <f>VLOOKUP($A69,tropes!$A$4:$O$2428,5,FALSE)</f>
        <v>Kirk throws Lazarus into inter-dimensional corridor to meet up with anti-matter Lazarus.</v>
      </c>
      <c r="F69" s="5" t="str">
        <f>VLOOKUP($A69,tropes!$A$4:$O$2428,6,FALSE)</f>
        <v>kirk</v>
      </c>
      <c r="G69" s="5">
        <f>VLOOKUP($A69,tropes!$A$4:$O$2428,7,FALSE)</f>
        <v>1</v>
      </c>
      <c r="H69" s="5">
        <f>VLOOKUP($A69,tropes!$A$4:$O$2428,8,FALSE)</f>
        <v>0</v>
      </c>
      <c r="I69" s="5">
        <f>VLOOKUP($A69,tropes!$A$4:$O$2428,9,FALSE)</f>
        <v>127</v>
      </c>
      <c r="J69" s="5">
        <f>VLOOKUP($A69,tropes!$A$4:$O$2428,10,FALSE)</f>
        <v>28</v>
      </c>
      <c r="K69" s="5" t="str">
        <f>VLOOKUP($A69,tropes!$A$4:$O$2428,11,FALSE)</f>
        <v>The Alternative Factor</v>
      </c>
      <c r="L69" s="5">
        <f>VLOOKUP($A69,tropes!$A$4:$O$2428,12,FALSE)</f>
        <v>1</v>
      </c>
      <c r="M69" s="5">
        <f>VLOOKUP($A69,tropes!$A$4:$O$2428,13,FALSE)</f>
        <v>27</v>
      </c>
      <c r="N69" s="5">
        <f t="shared" si="1"/>
        <v>0</v>
      </c>
    </row>
    <row r="70" spans="1:14" x14ac:dyDescent="0.3">
      <c r="A70" s="14">
        <v>330</v>
      </c>
      <c r="B70" s="5" t="str">
        <f>VLOOKUP($A70,tropes!$A$4:$O$2428,2,FALSE)</f>
        <v>Fight</v>
      </c>
      <c r="C70" s="5" t="str">
        <f>VLOOKUP($A70,tropes!$A$4:$O$2428,3,FALSE)</f>
        <v>fight</v>
      </c>
      <c r="D70" s="5">
        <f>VLOOKUP($A70,tropes!$A$4:$O$2428,4,FALSE)</f>
        <v>0</v>
      </c>
      <c r="E70" s="5" t="str">
        <f>VLOOKUP($A70,tropes!$A$4:$O$2428,5,FALSE)</f>
        <v>Lazarus knock out transport officer.</v>
      </c>
      <c r="F70" s="5" t="str">
        <f>VLOOKUP($A70,tropes!$A$4:$O$2428,6,FALSE)</f>
        <v>human</v>
      </c>
      <c r="G70" s="5">
        <f>VLOOKUP($A70,tropes!$A$4:$O$2428,7,FALSE)</f>
        <v>0</v>
      </c>
      <c r="H70" s="5">
        <f>VLOOKUP($A70,tropes!$A$4:$O$2428,8,FALSE)</f>
        <v>0</v>
      </c>
      <c r="I70" s="5">
        <f>VLOOKUP($A70,tropes!$A$4:$O$2428,9,FALSE)</f>
        <v>127</v>
      </c>
      <c r="J70" s="5">
        <f>VLOOKUP($A70,tropes!$A$4:$O$2428,10,FALSE)</f>
        <v>28</v>
      </c>
      <c r="K70" s="5" t="str">
        <f>VLOOKUP($A70,tropes!$A$4:$O$2428,11,FALSE)</f>
        <v>The Alternative Factor</v>
      </c>
      <c r="L70" s="5">
        <f>VLOOKUP($A70,tropes!$A$4:$O$2428,12,FALSE)</f>
        <v>1</v>
      </c>
      <c r="M70" s="5">
        <f>VLOOKUP($A70,tropes!$A$4:$O$2428,13,FALSE)</f>
        <v>27</v>
      </c>
      <c r="N70" s="5">
        <f t="shared" si="1"/>
        <v>1</v>
      </c>
    </row>
    <row r="71" spans="1:14" x14ac:dyDescent="0.3">
      <c r="A71" s="14">
        <v>331</v>
      </c>
      <c r="B71" s="5" t="str">
        <f>VLOOKUP($A71,tropes!$A$4:$O$2428,2,FALSE)</f>
        <v>Fight</v>
      </c>
      <c r="C71" s="5" t="str">
        <f>VLOOKUP($A71,tropes!$A$4:$O$2428,3,FALSE)</f>
        <v>fight</v>
      </c>
      <c r="D71" s="5">
        <f>VLOOKUP($A71,tropes!$A$4:$O$2428,4,FALSE)</f>
        <v>0</v>
      </c>
      <c r="E71" s="5" t="str">
        <f>VLOOKUP($A71,tropes!$A$4:$O$2428,5,FALSE)</f>
        <v>Lazarus uses knockout gas in engineering on Lt. Charlene Masters and engineering Redshirt to steal dilithium crystals.</v>
      </c>
      <c r="F71" s="5" t="str">
        <f>VLOOKUP($A71,tropes!$A$4:$O$2428,6,FALSE)</f>
        <v>human</v>
      </c>
      <c r="G71" s="5">
        <f>VLOOKUP($A71,tropes!$A$4:$O$2428,7,FALSE)</f>
        <v>0</v>
      </c>
      <c r="H71" s="5">
        <f>VLOOKUP($A71,tropes!$A$4:$O$2428,8,FALSE)</f>
        <v>0</v>
      </c>
      <c r="I71" s="5">
        <f>VLOOKUP($A71,tropes!$A$4:$O$2428,9,FALSE)</f>
        <v>127</v>
      </c>
      <c r="J71" s="5">
        <f>VLOOKUP($A71,tropes!$A$4:$O$2428,10,FALSE)</f>
        <v>28</v>
      </c>
      <c r="K71" s="5" t="str">
        <f>VLOOKUP($A71,tropes!$A$4:$O$2428,11,FALSE)</f>
        <v>The Alternative Factor</v>
      </c>
      <c r="L71" s="5">
        <f>VLOOKUP($A71,tropes!$A$4:$O$2428,12,FALSE)</f>
        <v>1</v>
      </c>
      <c r="M71" s="5">
        <f>VLOOKUP($A71,tropes!$A$4:$O$2428,13,FALSE)</f>
        <v>27</v>
      </c>
      <c r="N71" s="5">
        <f t="shared" si="1"/>
        <v>2</v>
      </c>
    </row>
    <row r="72" spans="1:14" x14ac:dyDescent="0.3">
      <c r="A72" s="14">
        <v>336</v>
      </c>
      <c r="B72" s="5" t="str">
        <f>VLOOKUP($A72,tropes!$A$4:$O$2428,2,FALSE)</f>
        <v>Mirror Match</v>
      </c>
      <c r="C72" s="5" t="str">
        <f>VLOOKUP($A72,tropes!$A$4:$O$2428,3,FALSE)</f>
        <v>fight</v>
      </c>
      <c r="D72" s="5" t="str">
        <f>VLOOKUP($A72,tropes!$A$4:$O$2428,4,FALSE)</f>
        <v>doppelgänger</v>
      </c>
      <c r="E72" s="5" t="str">
        <f>VLOOKUP($A72,tropes!$A$4:$O$2428,5,FALSE)</f>
        <v>Both Lazarus fight in negative space. (1)</v>
      </c>
      <c r="F72" s="5" t="str">
        <f>VLOOKUP($A72,tropes!$A$4:$O$2428,6,FALSE)</f>
        <v>human</v>
      </c>
      <c r="G72" s="5">
        <f>VLOOKUP($A72,tropes!$A$4:$O$2428,7,FALSE)</f>
        <v>0</v>
      </c>
      <c r="H72" s="5">
        <f>VLOOKUP($A72,tropes!$A$4:$O$2428,8,FALSE)</f>
        <v>0</v>
      </c>
      <c r="I72" s="5">
        <f>VLOOKUP($A72,tropes!$A$4:$O$2428,9,FALSE)</f>
        <v>127</v>
      </c>
      <c r="J72" s="5">
        <f>VLOOKUP($A72,tropes!$A$4:$O$2428,10,FALSE)</f>
        <v>28</v>
      </c>
      <c r="K72" s="5" t="str">
        <f>VLOOKUP($A72,tropes!$A$4:$O$2428,11,FALSE)</f>
        <v>The Alternative Factor</v>
      </c>
      <c r="L72" s="5">
        <f>VLOOKUP($A72,tropes!$A$4:$O$2428,12,FALSE)</f>
        <v>1</v>
      </c>
      <c r="M72" s="5">
        <f>VLOOKUP($A72,tropes!$A$4:$O$2428,13,FALSE)</f>
        <v>27</v>
      </c>
      <c r="N72" s="5">
        <f t="shared" si="1"/>
        <v>3</v>
      </c>
    </row>
    <row r="73" spans="1:14" x14ac:dyDescent="0.3">
      <c r="A73" s="14">
        <v>337</v>
      </c>
      <c r="B73" s="5" t="str">
        <f>VLOOKUP($A73,tropes!$A$4:$O$2428,2,FALSE)</f>
        <v>Mirror Match</v>
      </c>
      <c r="C73" s="5" t="str">
        <f>VLOOKUP($A73,tropes!$A$4:$O$2428,3,FALSE)</f>
        <v>fight</v>
      </c>
      <c r="D73" s="5" t="str">
        <f>VLOOKUP($A73,tropes!$A$4:$O$2428,4,FALSE)</f>
        <v>doppelgänger</v>
      </c>
      <c r="E73" s="5" t="str">
        <f>VLOOKUP($A73,tropes!$A$4:$O$2428,5,FALSE)</f>
        <v>Both Lazarus fight in negative space. (2)</v>
      </c>
      <c r="F73" s="5" t="str">
        <f>VLOOKUP($A73,tropes!$A$4:$O$2428,6,FALSE)</f>
        <v>human</v>
      </c>
      <c r="G73" s="5">
        <f>VLOOKUP($A73,tropes!$A$4:$O$2428,7,FALSE)</f>
        <v>0</v>
      </c>
      <c r="H73" s="5">
        <f>VLOOKUP($A73,tropes!$A$4:$O$2428,8,FALSE)</f>
        <v>0</v>
      </c>
      <c r="I73" s="5">
        <f>VLOOKUP($A73,tropes!$A$4:$O$2428,9,FALSE)</f>
        <v>127</v>
      </c>
      <c r="J73" s="5">
        <f>VLOOKUP($A73,tropes!$A$4:$O$2428,10,FALSE)</f>
        <v>28</v>
      </c>
      <c r="K73" s="5" t="str">
        <f>VLOOKUP($A73,tropes!$A$4:$O$2428,11,FALSE)</f>
        <v>The Alternative Factor</v>
      </c>
      <c r="L73" s="5">
        <f>VLOOKUP($A73,tropes!$A$4:$O$2428,12,FALSE)</f>
        <v>1</v>
      </c>
      <c r="M73" s="5">
        <f>VLOOKUP($A73,tropes!$A$4:$O$2428,13,FALSE)</f>
        <v>27</v>
      </c>
      <c r="N73" s="5">
        <f t="shared" si="1"/>
        <v>4</v>
      </c>
    </row>
    <row r="74" spans="1:14" x14ac:dyDescent="0.3">
      <c r="A74" s="14">
        <v>338</v>
      </c>
      <c r="B74" s="5" t="str">
        <f>VLOOKUP($A74,tropes!$A$4:$O$2428,2,FALSE)</f>
        <v>Mirror Match</v>
      </c>
      <c r="C74" s="5" t="str">
        <f>VLOOKUP($A74,tropes!$A$4:$O$2428,3,FALSE)</f>
        <v>fight</v>
      </c>
      <c r="D74" s="5" t="str">
        <f>VLOOKUP($A74,tropes!$A$4:$O$2428,4,FALSE)</f>
        <v>doppelgänger</v>
      </c>
      <c r="E74" s="5" t="str">
        <f>VLOOKUP($A74,tropes!$A$4:$O$2428,5,FALSE)</f>
        <v>Both Lazarus fight in negative space. (3)</v>
      </c>
      <c r="F74" s="5" t="str">
        <f>VLOOKUP($A74,tropes!$A$4:$O$2428,6,FALSE)</f>
        <v>human</v>
      </c>
      <c r="G74" s="5">
        <f>VLOOKUP($A74,tropes!$A$4:$O$2428,7,FALSE)</f>
        <v>0</v>
      </c>
      <c r="H74" s="5">
        <f>VLOOKUP($A74,tropes!$A$4:$O$2428,8,FALSE)</f>
        <v>0</v>
      </c>
      <c r="I74" s="5">
        <f>VLOOKUP($A74,tropes!$A$4:$O$2428,9,FALSE)</f>
        <v>127</v>
      </c>
      <c r="J74" s="5">
        <f>VLOOKUP($A74,tropes!$A$4:$O$2428,10,FALSE)</f>
        <v>28</v>
      </c>
      <c r="K74" s="5" t="str">
        <f>VLOOKUP($A74,tropes!$A$4:$O$2428,11,FALSE)</f>
        <v>The Alternative Factor</v>
      </c>
      <c r="L74" s="5">
        <f>VLOOKUP($A74,tropes!$A$4:$O$2428,12,FALSE)</f>
        <v>1</v>
      </c>
      <c r="M74" s="5">
        <f>VLOOKUP($A74,tropes!$A$4:$O$2428,13,FALSE)</f>
        <v>27</v>
      </c>
      <c r="N74" s="5">
        <f t="shared" si="1"/>
        <v>5</v>
      </c>
    </row>
    <row r="75" spans="1:14" x14ac:dyDescent="0.3">
      <c r="A75" s="14">
        <v>339</v>
      </c>
      <c r="B75" s="5" t="str">
        <f>VLOOKUP($A75,tropes!$A$4:$O$2428,2,FALSE)</f>
        <v>Mirror Match</v>
      </c>
      <c r="C75" s="5" t="str">
        <f>VLOOKUP($A75,tropes!$A$4:$O$2428,3,FALSE)</f>
        <v>fight</v>
      </c>
      <c r="D75" s="5" t="str">
        <f>VLOOKUP($A75,tropes!$A$4:$O$2428,4,FALSE)</f>
        <v>doppelgänger</v>
      </c>
      <c r="E75" s="5" t="str">
        <f>VLOOKUP($A75,tropes!$A$4:$O$2428,5,FALSE)</f>
        <v>Both Lazarus fight in negative space. (4)</v>
      </c>
      <c r="F75" s="5" t="str">
        <f>VLOOKUP($A75,tropes!$A$4:$O$2428,6,FALSE)</f>
        <v>human</v>
      </c>
      <c r="G75" s="5">
        <f>VLOOKUP($A75,tropes!$A$4:$O$2428,7,FALSE)</f>
        <v>0</v>
      </c>
      <c r="H75" s="5">
        <f>VLOOKUP($A75,tropes!$A$4:$O$2428,8,FALSE)</f>
        <v>0</v>
      </c>
      <c r="I75" s="5">
        <f>VLOOKUP($A75,tropes!$A$4:$O$2428,9,FALSE)</f>
        <v>127</v>
      </c>
      <c r="J75" s="5">
        <f>VLOOKUP($A75,tropes!$A$4:$O$2428,10,FALSE)</f>
        <v>28</v>
      </c>
      <c r="K75" s="5" t="str">
        <f>VLOOKUP($A75,tropes!$A$4:$O$2428,11,FALSE)</f>
        <v>The Alternative Factor</v>
      </c>
      <c r="L75" s="5">
        <f>VLOOKUP($A75,tropes!$A$4:$O$2428,12,FALSE)</f>
        <v>1</v>
      </c>
      <c r="M75" s="5">
        <f>VLOOKUP($A75,tropes!$A$4:$O$2428,13,FALSE)</f>
        <v>27</v>
      </c>
      <c r="N75" s="5">
        <f t="shared" si="1"/>
        <v>6</v>
      </c>
    </row>
    <row r="76" spans="1:14" x14ac:dyDescent="0.3">
      <c r="A76" s="14">
        <v>340</v>
      </c>
      <c r="B76" s="5" t="str">
        <f>VLOOKUP($A76,tropes!$A$4:$O$2428,2,FALSE)</f>
        <v>Mirror Match</v>
      </c>
      <c r="C76" s="5" t="str">
        <f>VLOOKUP($A76,tropes!$A$4:$O$2428,3,FALSE)</f>
        <v>fight</v>
      </c>
      <c r="D76" s="5" t="str">
        <f>VLOOKUP($A76,tropes!$A$4:$O$2428,4,FALSE)</f>
        <v>doppelgänger</v>
      </c>
      <c r="E76" s="5" t="str">
        <f>VLOOKUP($A76,tropes!$A$4:$O$2428,5,FALSE)</f>
        <v>Both Lazarus fight no negative space, just a switch.</v>
      </c>
      <c r="F76" s="5" t="str">
        <f>VLOOKUP($A76,tropes!$A$4:$O$2428,6,FALSE)</f>
        <v>human</v>
      </c>
      <c r="G76" s="5">
        <f>VLOOKUP($A76,tropes!$A$4:$O$2428,7,FALSE)</f>
        <v>0</v>
      </c>
      <c r="H76" s="5">
        <f>VLOOKUP($A76,tropes!$A$4:$O$2428,8,FALSE)</f>
        <v>0</v>
      </c>
      <c r="I76" s="5">
        <f>VLOOKUP($A76,tropes!$A$4:$O$2428,9,FALSE)</f>
        <v>127</v>
      </c>
      <c r="J76" s="5">
        <f>VLOOKUP($A76,tropes!$A$4:$O$2428,10,FALSE)</f>
        <v>28</v>
      </c>
      <c r="K76" s="5" t="str">
        <f>VLOOKUP($A76,tropes!$A$4:$O$2428,11,FALSE)</f>
        <v>The Alternative Factor</v>
      </c>
      <c r="L76" s="5">
        <f>VLOOKUP($A76,tropes!$A$4:$O$2428,12,FALSE)</f>
        <v>1</v>
      </c>
      <c r="M76" s="5">
        <f>VLOOKUP($A76,tropes!$A$4:$O$2428,13,FALSE)</f>
        <v>27</v>
      </c>
      <c r="N76" s="5">
        <f t="shared" si="1"/>
        <v>7</v>
      </c>
    </row>
    <row r="77" spans="1:14" x14ac:dyDescent="0.3">
      <c r="A77" s="14">
        <v>1613</v>
      </c>
      <c r="B77" s="5" t="str">
        <f>VLOOKUP($A77,tropes!$A$4:$O$2428,2,FALSE)</f>
        <v>Fighting Your Friend</v>
      </c>
      <c r="C77" s="5" t="str">
        <f>VLOOKUP($A77,tropes!$A$4:$O$2428,3,FALSE)</f>
        <v>fight</v>
      </c>
      <c r="D77" s="5" t="str">
        <f>VLOOKUP($A77,tropes!$A$4:$O$2428,4,FALSE)</f>
        <v>friend</v>
      </c>
      <c r="E77" s="5" t="str">
        <f>VLOOKUP($A77,tropes!$A$4:$O$2428,5,FALSE)</f>
        <v>McCoy karate chops transport officer (in torso) out.</v>
      </c>
      <c r="F77" s="5" t="str">
        <f>VLOOKUP($A77,tropes!$A$4:$O$2428,6,FALSE)</f>
        <v>mccoy</v>
      </c>
      <c r="G77" s="5">
        <f>VLOOKUP($A77,tropes!$A$4:$O$2428,7,FALSE)</f>
        <v>0</v>
      </c>
      <c r="H77" s="5">
        <f>VLOOKUP($A77,tropes!$A$4:$O$2428,8,FALSE)</f>
        <v>1</v>
      </c>
      <c r="I77" s="5">
        <f>VLOOKUP($A77,tropes!$A$4:$O$2428,9,FALSE)</f>
        <v>128</v>
      </c>
      <c r="J77" s="5">
        <f>VLOOKUP($A77,tropes!$A$4:$O$2428,10,FALSE)</f>
        <v>29</v>
      </c>
      <c r="K77" s="5" t="str">
        <f>VLOOKUP($A77,tropes!$A$4:$O$2428,11,FALSE)</f>
        <v>The City on the Edge of Forever</v>
      </c>
      <c r="L77" s="5">
        <f>VLOOKUP($A77,tropes!$A$4:$O$2428,12,FALSE)</f>
        <v>1</v>
      </c>
      <c r="M77" s="5">
        <f>VLOOKUP($A77,tropes!$A$4:$O$2428,13,FALSE)</f>
        <v>28</v>
      </c>
      <c r="N77" s="5">
        <f t="shared" si="1"/>
        <v>0</v>
      </c>
    </row>
    <row r="78" spans="1:14" x14ac:dyDescent="0.3">
      <c r="A78" s="14">
        <v>2371</v>
      </c>
      <c r="B78" s="5" t="str">
        <f>VLOOKUP($A78,tropes!$A$4:$O$2428,2,FALSE)</f>
        <v>Pressure Point</v>
      </c>
      <c r="C78" s="5" t="str">
        <f>VLOOKUP($A78,tropes!$A$4:$O$2428,3,FALSE)</f>
        <v>fight</v>
      </c>
      <c r="D78" s="5" t="str">
        <f>VLOOKUP($A78,tropes!$A$4:$O$2428,4,FALSE)</f>
        <v>vulcan_neck_pinch</v>
      </c>
      <c r="E78" s="5" t="str">
        <f>VLOOKUP($A78,tropes!$A$4:$O$2428,5,FALSE)</f>
        <v>Spock uses neck pinch on distressed McCoy.</v>
      </c>
      <c r="F78" s="5" t="str">
        <f>VLOOKUP($A78,tropes!$A$4:$O$2428,6,FALSE)</f>
        <v>spock</v>
      </c>
      <c r="G78" s="5">
        <f>VLOOKUP($A78,tropes!$A$4:$O$2428,7,FALSE)</f>
        <v>1</v>
      </c>
      <c r="H78" s="5">
        <f>VLOOKUP($A78,tropes!$A$4:$O$2428,8,FALSE)</f>
        <v>0</v>
      </c>
      <c r="I78" s="5">
        <f>VLOOKUP($A78,tropes!$A$4:$O$2428,9,FALSE)</f>
        <v>128</v>
      </c>
      <c r="J78" s="5">
        <f>VLOOKUP($A78,tropes!$A$4:$O$2428,10,FALSE)</f>
        <v>29</v>
      </c>
      <c r="K78" s="5" t="str">
        <f>VLOOKUP($A78,tropes!$A$4:$O$2428,11,FALSE)</f>
        <v>The City on the Edge of Forever</v>
      </c>
      <c r="L78" s="5">
        <f>VLOOKUP($A78,tropes!$A$4:$O$2428,12,FALSE)</f>
        <v>1</v>
      </c>
      <c r="M78" s="5">
        <f>VLOOKUP($A78,tropes!$A$4:$O$2428,13,FALSE)</f>
        <v>28</v>
      </c>
      <c r="N78" s="5">
        <f t="shared" si="1"/>
        <v>1</v>
      </c>
    </row>
    <row r="79" spans="1:14" x14ac:dyDescent="0.3">
      <c r="A79" s="14">
        <v>2194</v>
      </c>
      <c r="B79" s="5" t="str">
        <f>VLOOKUP($A79,tropes!$A$4:$O$2428,2,FALSE)</f>
        <v>Pressure Point</v>
      </c>
      <c r="C79" s="5" t="str">
        <f>VLOOKUP($A79,tropes!$A$4:$O$2428,3,FALSE)</f>
        <v>fight</v>
      </c>
      <c r="D79" s="5" t="str">
        <f>VLOOKUP($A79,tropes!$A$4:$O$2428,4,FALSE)</f>
        <v>vulcan_neck_pinch</v>
      </c>
      <c r="E79" s="5" t="str">
        <f>VLOOKUP($A79,tropes!$A$4:$O$2428,5,FALSE)</f>
        <v>Spock uses neck pinch on police officer.</v>
      </c>
      <c r="F79" s="5" t="str">
        <f>VLOOKUP($A79,tropes!$A$4:$O$2428,6,FALSE)</f>
        <v>spock</v>
      </c>
      <c r="G79" s="5">
        <f>VLOOKUP($A79,tropes!$A$4:$O$2428,7,FALSE)</f>
        <v>1</v>
      </c>
      <c r="H79" s="5">
        <f>VLOOKUP($A79,tropes!$A$4:$O$2428,8,FALSE)</f>
        <v>0</v>
      </c>
      <c r="I79" s="5">
        <f>VLOOKUP($A79,tropes!$A$4:$O$2428,9,FALSE)</f>
        <v>128</v>
      </c>
      <c r="J79" s="5">
        <f>VLOOKUP($A79,tropes!$A$4:$O$2428,10,FALSE)</f>
        <v>29</v>
      </c>
      <c r="K79" s="5" t="str">
        <f>VLOOKUP($A79,tropes!$A$4:$O$2428,11,FALSE)</f>
        <v>The City on the Edge of Forever</v>
      </c>
      <c r="L79" s="5">
        <f>VLOOKUP($A79,tropes!$A$4:$O$2428,12,FALSE)</f>
        <v>1</v>
      </c>
      <c r="M79" s="5">
        <f>VLOOKUP($A79,tropes!$A$4:$O$2428,13,FALSE)</f>
        <v>28</v>
      </c>
      <c r="N79" s="5">
        <f t="shared" si="1"/>
        <v>2</v>
      </c>
    </row>
    <row r="80" spans="1:14" x14ac:dyDescent="0.3">
      <c r="A80" s="14">
        <v>2204</v>
      </c>
      <c r="B80" s="5" t="str">
        <f>VLOOKUP($A80,tropes!$A$4:$O$2428,2,FALSE)</f>
        <v>Fight</v>
      </c>
      <c r="C80" s="5" t="str">
        <f>VLOOKUP($A80,tropes!$A$4:$O$2428,3,FALSE)</f>
        <v>fight</v>
      </c>
      <c r="D80" s="5">
        <f>VLOOKUP($A80,tropes!$A$4:$O$2428,4,FALSE)</f>
        <v>0</v>
      </c>
      <c r="E80" s="5" t="str">
        <f>VLOOKUP($A80,tropes!$A$4:$O$2428,5,FALSE)</f>
        <v>Spock encounters Denevian intent on killing him.</v>
      </c>
      <c r="F80" s="5" t="str">
        <f>VLOOKUP($A80,tropes!$A$4:$O$2428,6,FALSE)</f>
        <v>spock</v>
      </c>
      <c r="G80" s="5">
        <f>VLOOKUP($A80,tropes!$A$4:$O$2428,7,FALSE)</f>
        <v>1</v>
      </c>
      <c r="H80" s="5">
        <f>VLOOKUP($A80,tropes!$A$4:$O$2428,8,FALSE)</f>
        <v>0</v>
      </c>
      <c r="I80" s="5">
        <f>VLOOKUP($A80,tropes!$A$4:$O$2428,9,FALSE)</f>
        <v>129</v>
      </c>
      <c r="J80" s="5">
        <f>VLOOKUP($A80,tropes!$A$4:$O$2428,10,FALSE)</f>
        <v>30</v>
      </c>
      <c r="K80" s="5" t="str">
        <f>VLOOKUP($A80,tropes!$A$4:$O$2428,11,FALSE)</f>
        <v>Operation: Annihilate!</v>
      </c>
      <c r="L80" s="5">
        <f>VLOOKUP($A80,tropes!$A$4:$O$2428,12,FALSE)</f>
        <v>1</v>
      </c>
      <c r="M80" s="5">
        <f>VLOOKUP($A80,tropes!$A$4:$O$2428,13,FALSE)</f>
        <v>29</v>
      </c>
      <c r="N80" s="5">
        <f t="shared" si="1"/>
        <v>0</v>
      </c>
    </row>
    <row r="81" spans="1:14" x14ac:dyDescent="0.3">
      <c r="A81" s="14">
        <v>2205</v>
      </c>
      <c r="B81" s="5" t="str">
        <f>VLOOKUP($A81,tropes!$A$4:$O$2428,2,FALSE)</f>
        <v>Fighting Your Friend</v>
      </c>
      <c r="C81" s="5" t="str">
        <f>VLOOKUP($A81,tropes!$A$4:$O$2428,3,FALSE)</f>
        <v>fight</v>
      </c>
      <c r="D81" s="5" t="str">
        <f>VLOOKUP($A81,tropes!$A$4:$O$2428,4,FALSE)</f>
        <v>friend</v>
      </c>
      <c r="E81" s="5" t="str">
        <f>VLOOKUP($A81,tropes!$A$4:$O$2428,5,FALSE)</f>
        <v>Spock fights Scotty and transporter officer to beam back to Deneva to collect alien specimen.</v>
      </c>
      <c r="F81" s="5" t="str">
        <f>VLOOKUP($A81,tropes!$A$4:$O$2428,6,FALSE)</f>
        <v>spock</v>
      </c>
      <c r="G81" s="5">
        <f>VLOOKUP($A81,tropes!$A$4:$O$2428,7,FALSE)</f>
        <v>1</v>
      </c>
      <c r="H81" s="5">
        <f>VLOOKUP($A81,tropes!$A$4:$O$2428,8,FALSE)</f>
        <v>0</v>
      </c>
      <c r="I81" s="5">
        <f>VLOOKUP($A81,tropes!$A$4:$O$2428,9,FALSE)</f>
        <v>129</v>
      </c>
      <c r="J81" s="5">
        <f>VLOOKUP($A81,tropes!$A$4:$O$2428,10,FALSE)</f>
        <v>30</v>
      </c>
      <c r="K81" s="5" t="str">
        <f>VLOOKUP($A81,tropes!$A$4:$O$2428,11,FALSE)</f>
        <v>Operation: Annihilate!</v>
      </c>
      <c r="L81" s="5">
        <f>VLOOKUP($A81,tropes!$A$4:$O$2428,12,FALSE)</f>
        <v>1</v>
      </c>
      <c r="M81" s="5">
        <f>VLOOKUP($A81,tropes!$A$4:$O$2428,13,FALSE)</f>
        <v>29</v>
      </c>
      <c r="N81" s="5">
        <f t="shared" si="1"/>
        <v>1</v>
      </c>
    </row>
    <row r="82" spans="1:14" x14ac:dyDescent="0.3">
      <c r="A82" s="14">
        <v>2206</v>
      </c>
      <c r="B82" s="5" t="str">
        <f>VLOOKUP($A82,tropes!$A$4:$O$2428,2,FALSE)</f>
        <v>Fighting Your Friend</v>
      </c>
      <c r="C82" s="5" t="str">
        <f>VLOOKUP($A82,tropes!$A$4:$O$2428,3,FALSE)</f>
        <v>fight</v>
      </c>
      <c r="D82" s="5" t="str">
        <f>VLOOKUP($A82,tropes!$A$4:$O$2428,4,FALSE)</f>
        <v>friend</v>
      </c>
      <c r="E82" s="5" t="str">
        <f>VLOOKUP($A82,tropes!$A$4:$O$2428,5,FALSE)</f>
        <v>Spock goes crazy on bridge trying to seize it and everyone one has to subdue him.</v>
      </c>
      <c r="F82" s="5" t="str">
        <f>VLOOKUP($A82,tropes!$A$4:$O$2428,6,FALSE)</f>
        <v>spock</v>
      </c>
      <c r="G82" s="5">
        <f>VLOOKUP($A82,tropes!$A$4:$O$2428,7,FALSE)</f>
        <v>1</v>
      </c>
      <c r="H82" s="5">
        <f>VLOOKUP($A82,tropes!$A$4:$O$2428,8,FALSE)</f>
        <v>0</v>
      </c>
      <c r="I82" s="5">
        <f>VLOOKUP($A82,tropes!$A$4:$O$2428,9,FALSE)</f>
        <v>129</v>
      </c>
      <c r="J82" s="5">
        <f>VLOOKUP($A82,tropes!$A$4:$O$2428,10,FALSE)</f>
        <v>30</v>
      </c>
      <c r="K82" s="5" t="str">
        <f>VLOOKUP($A82,tropes!$A$4:$O$2428,11,FALSE)</f>
        <v>Operation: Annihilate!</v>
      </c>
      <c r="L82" s="5">
        <f>VLOOKUP($A82,tropes!$A$4:$O$2428,12,FALSE)</f>
        <v>1</v>
      </c>
      <c r="M82" s="5">
        <f>VLOOKUP($A82,tropes!$A$4:$O$2428,13,FALSE)</f>
        <v>29</v>
      </c>
      <c r="N82" s="5">
        <f t="shared" si="1"/>
        <v>2</v>
      </c>
    </row>
    <row r="83" spans="1:14" x14ac:dyDescent="0.3">
      <c r="A83" s="14">
        <v>2208</v>
      </c>
      <c r="B83" s="5" t="str">
        <f>VLOOKUP($A83,tropes!$A$4:$O$2428,2,FALSE)</f>
        <v>Pressure Point</v>
      </c>
      <c r="C83" s="5" t="str">
        <f>VLOOKUP($A83,tropes!$A$4:$O$2428,3,FALSE)</f>
        <v>fight</v>
      </c>
      <c r="D83" s="5" t="str">
        <f>VLOOKUP($A83,tropes!$A$4:$O$2428,4,FALSE)</f>
        <v>vulcan_neck_pinch</v>
      </c>
      <c r="E83" s="5" t="str">
        <f>VLOOKUP($A83,tropes!$A$4:$O$2428,5,FALSE)</f>
        <v>Spock uses neck pinch on Denevian.</v>
      </c>
      <c r="F83" s="5" t="str">
        <f>VLOOKUP($A83,tropes!$A$4:$O$2428,6,FALSE)</f>
        <v>spock</v>
      </c>
      <c r="G83" s="5">
        <f>VLOOKUP($A83,tropes!$A$4:$O$2428,7,FALSE)</f>
        <v>1</v>
      </c>
      <c r="H83" s="5">
        <f>VLOOKUP($A83,tropes!$A$4:$O$2428,8,FALSE)</f>
        <v>0</v>
      </c>
      <c r="I83" s="5">
        <f>VLOOKUP($A83,tropes!$A$4:$O$2428,9,FALSE)</f>
        <v>129</v>
      </c>
      <c r="J83" s="5">
        <f>VLOOKUP($A83,tropes!$A$4:$O$2428,10,FALSE)</f>
        <v>30</v>
      </c>
      <c r="K83" s="5" t="str">
        <f>VLOOKUP($A83,tropes!$A$4:$O$2428,11,FALSE)</f>
        <v>Operation: Annihilate!</v>
      </c>
      <c r="L83" s="5">
        <f>VLOOKUP($A83,tropes!$A$4:$O$2428,12,FALSE)</f>
        <v>1</v>
      </c>
      <c r="M83" s="5">
        <f>VLOOKUP($A83,tropes!$A$4:$O$2428,13,FALSE)</f>
        <v>29</v>
      </c>
      <c r="N83" s="5">
        <f t="shared" si="1"/>
        <v>3</v>
      </c>
    </row>
    <row r="84" spans="1:14" x14ac:dyDescent="0.3">
      <c r="A84" s="14">
        <v>2209</v>
      </c>
      <c r="B84" s="5" t="str">
        <f>VLOOKUP($A84,tropes!$A$4:$O$2428,2,FALSE)</f>
        <v>Pressure Point</v>
      </c>
      <c r="C84" s="5" t="str">
        <f>VLOOKUP($A84,tropes!$A$4:$O$2428,3,FALSE)</f>
        <v>fight</v>
      </c>
      <c r="D84" s="5" t="str">
        <f>VLOOKUP($A84,tropes!$A$4:$O$2428,4,FALSE)</f>
        <v>vulcan_neck_pinch</v>
      </c>
      <c r="E84" s="5" t="str">
        <f>VLOOKUP($A84,tropes!$A$4:$O$2428,5,FALSE)</f>
        <v>Spock uses neck pinch on transporter officer.</v>
      </c>
      <c r="F84" s="5" t="str">
        <f>VLOOKUP($A84,tropes!$A$4:$O$2428,6,FALSE)</f>
        <v>spock</v>
      </c>
      <c r="G84" s="5">
        <f>VLOOKUP($A84,tropes!$A$4:$O$2428,7,FALSE)</f>
        <v>1</v>
      </c>
      <c r="H84" s="5">
        <f>VLOOKUP($A84,tropes!$A$4:$O$2428,8,FALSE)</f>
        <v>0</v>
      </c>
      <c r="I84" s="5">
        <f>VLOOKUP($A84,tropes!$A$4:$O$2428,9,FALSE)</f>
        <v>129</v>
      </c>
      <c r="J84" s="5">
        <f>VLOOKUP($A84,tropes!$A$4:$O$2428,10,FALSE)</f>
        <v>30</v>
      </c>
      <c r="K84" s="5" t="str">
        <f>VLOOKUP($A84,tropes!$A$4:$O$2428,11,FALSE)</f>
        <v>Operation: Annihilate!</v>
      </c>
      <c r="L84" s="5">
        <f>VLOOKUP($A84,tropes!$A$4:$O$2428,12,FALSE)</f>
        <v>1</v>
      </c>
      <c r="M84" s="5">
        <f>VLOOKUP($A84,tropes!$A$4:$O$2428,13,FALSE)</f>
        <v>29</v>
      </c>
      <c r="N84" s="5">
        <f t="shared" si="1"/>
        <v>4</v>
      </c>
    </row>
    <row r="85" spans="1:14" x14ac:dyDescent="0.3">
      <c r="A85" s="14">
        <v>2342</v>
      </c>
      <c r="B85" s="5" t="str">
        <f>VLOOKUP($A85,tropes!$A$4:$O$2428,2,FALSE)</f>
        <v>Let's You And Him Fight</v>
      </c>
      <c r="C85" s="5" t="str">
        <f>VLOOKUP($A85,tropes!$A$4:$O$2428,3,FALSE)</f>
        <v>fight</v>
      </c>
      <c r="D85" s="5">
        <f>VLOOKUP($A85,tropes!$A$4:$O$2428,4,FALSE)</f>
        <v>0</v>
      </c>
      <c r="E85" s="5" t="str">
        <f>VLOOKUP($A85,tropes!$A$4:$O$2428,5,FALSE)</f>
        <v>Kirk fights Spock in the Koon-Ut-Kal-If-Fee. T'Pau presides over Spock's wedding.</v>
      </c>
      <c r="F85" s="5" t="str">
        <f>VLOOKUP($A85,tropes!$A$4:$O$2428,6,FALSE)</f>
        <v>kirk</v>
      </c>
      <c r="G85" s="5">
        <f>VLOOKUP($A85,tropes!$A$4:$O$2428,7,FALSE)</f>
        <v>1</v>
      </c>
      <c r="H85" s="5">
        <f>VLOOKUP($A85,tropes!$A$4:$O$2428,8,FALSE)</f>
        <v>0</v>
      </c>
      <c r="I85" s="5">
        <f>VLOOKUP($A85,tropes!$A$4:$O$2428,9,FALSE)</f>
        <v>201</v>
      </c>
      <c r="J85" s="5">
        <f>VLOOKUP($A85,tropes!$A$4:$O$2428,10,FALSE)</f>
        <v>31</v>
      </c>
      <c r="K85" s="5" t="str">
        <f>VLOOKUP($A85,tropes!$A$4:$O$2428,11,FALSE)</f>
        <v>Amok Time</v>
      </c>
      <c r="L85" s="5">
        <f>VLOOKUP($A85,tropes!$A$4:$O$2428,12,FALSE)</f>
        <v>2</v>
      </c>
      <c r="M85" s="5">
        <f>VLOOKUP($A85,tropes!$A$4:$O$2428,13,FALSE)</f>
        <v>1</v>
      </c>
      <c r="N85" s="5">
        <f t="shared" si="1"/>
        <v>0</v>
      </c>
    </row>
    <row r="86" spans="1:14" x14ac:dyDescent="0.3">
      <c r="A86" s="14">
        <v>2341</v>
      </c>
      <c r="B86" s="5" t="str">
        <f>VLOOKUP($A86,tropes!$A$4:$O$2428,2,FALSE)</f>
        <v>Let's You And Him Fight</v>
      </c>
      <c r="C86" s="5" t="str">
        <f>VLOOKUP($A86,tropes!$A$4:$O$2428,3,FALSE)</f>
        <v>fight</v>
      </c>
      <c r="D86" s="5">
        <f>VLOOKUP($A86,tropes!$A$4:$O$2428,4,FALSE)</f>
        <v>0</v>
      </c>
      <c r="E86" s="5" t="str">
        <f>VLOOKUP($A86,tropes!$A$4:$O$2428,5,FALSE)</f>
        <v>Spock fights Kirk in the Koon-Ut-Kal-If-Fee. T'Pau presides over Spock's wedding.</v>
      </c>
      <c r="F86" s="5" t="str">
        <f>VLOOKUP($A86,tropes!$A$4:$O$2428,6,FALSE)</f>
        <v>spock</v>
      </c>
      <c r="G86" s="5">
        <f>VLOOKUP($A86,tropes!$A$4:$O$2428,7,FALSE)</f>
        <v>1</v>
      </c>
      <c r="H86" s="5">
        <f>VLOOKUP($A86,tropes!$A$4:$O$2428,8,FALSE)</f>
        <v>0</v>
      </c>
      <c r="I86" s="5">
        <f>VLOOKUP($A86,tropes!$A$4:$O$2428,9,FALSE)</f>
        <v>201</v>
      </c>
      <c r="J86" s="5">
        <f>VLOOKUP($A86,tropes!$A$4:$O$2428,10,FALSE)</f>
        <v>31</v>
      </c>
      <c r="K86" s="5" t="str">
        <f>VLOOKUP($A86,tropes!$A$4:$O$2428,11,FALSE)</f>
        <v>Amok Time</v>
      </c>
      <c r="L86" s="5">
        <f>VLOOKUP($A86,tropes!$A$4:$O$2428,12,FALSE)</f>
        <v>2</v>
      </c>
      <c r="M86" s="5">
        <f>VLOOKUP($A86,tropes!$A$4:$O$2428,13,FALSE)</f>
        <v>1</v>
      </c>
      <c r="N86" s="5">
        <f t="shared" si="1"/>
        <v>1</v>
      </c>
    </row>
    <row r="87" spans="1:14" x14ac:dyDescent="0.3">
      <c r="A87" s="14">
        <v>1981</v>
      </c>
      <c r="B87" s="5" t="str">
        <f>VLOOKUP($A87,tropes!$A$4:$O$2428,2,FALSE)</f>
        <v>Fight Cthulhu</v>
      </c>
      <c r="C87" s="5" t="str">
        <f>VLOOKUP($A87,tropes!$A$4:$O$2428,3,FALSE)</f>
        <v>fight</v>
      </c>
      <c r="D87" s="5" t="str">
        <f>VLOOKUP($A87,tropes!$A$4:$O$2428,4,FALSE)</f>
        <v>outmatched</v>
      </c>
      <c r="E87" s="5" t="str">
        <f>VLOOKUP($A87,tropes!$A$4:$O$2428,5,FALSE)</f>
        <v>Scotty attacks Apollo and gets shocked to the ground.</v>
      </c>
      <c r="F87" s="5" t="str">
        <f>VLOOKUP($A87,tropes!$A$4:$O$2428,6,FALSE)</f>
        <v>scotty</v>
      </c>
      <c r="G87" s="5">
        <f>VLOOKUP($A87,tropes!$A$4:$O$2428,7,FALSE)</f>
        <v>0</v>
      </c>
      <c r="H87" s="5">
        <f>VLOOKUP($A87,tropes!$A$4:$O$2428,8,FALSE)</f>
        <v>1</v>
      </c>
      <c r="I87" s="5">
        <f>VLOOKUP($A87,tropes!$A$4:$O$2428,9,FALSE)</f>
        <v>202</v>
      </c>
      <c r="J87" s="5">
        <f>VLOOKUP($A87,tropes!$A$4:$O$2428,10,FALSE)</f>
        <v>32</v>
      </c>
      <c r="K87" s="5" t="str">
        <f>VLOOKUP($A87,tropes!$A$4:$O$2428,11,FALSE)</f>
        <v>Who Mourns for Adonais?</v>
      </c>
      <c r="L87" s="5">
        <f>VLOOKUP($A87,tropes!$A$4:$O$2428,12,FALSE)</f>
        <v>2</v>
      </c>
      <c r="M87" s="5">
        <f>VLOOKUP($A87,tropes!$A$4:$O$2428,13,FALSE)</f>
        <v>2</v>
      </c>
      <c r="N87" s="5">
        <f t="shared" si="1"/>
        <v>0</v>
      </c>
    </row>
    <row r="88" spans="1:14" x14ac:dyDescent="0.3">
      <c r="A88" s="14">
        <v>2002</v>
      </c>
      <c r="B88" s="5" t="str">
        <f>VLOOKUP($A88,tropes!$A$4:$O$2428,2,FALSE)</f>
        <v>Curb Stomp Battle</v>
      </c>
      <c r="C88" s="5" t="str">
        <f>VLOOKUP($A88,tropes!$A$4:$O$2428,3,FALSE)</f>
        <v>fight</v>
      </c>
      <c r="D88" s="5" t="str">
        <f>VLOOKUP($A88,tropes!$A$4:$O$2428,4,FALSE)</f>
        <v>outmatched</v>
      </c>
      <c r="E88" s="5" t="str">
        <f>VLOOKUP($A88,tropes!$A$4:$O$2428,5,FALSE)</f>
        <v>Scotty rushes Apollo to protect Lt. Carolyn Palamas and gets knocked on his ass by a lightning bolt</v>
      </c>
      <c r="F88" s="5" t="str">
        <f>VLOOKUP($A88,tropes!$A$4:$O$2428,6,FALSE)</f>
        <v>scotty</v>
      </c>
      <c r="G88" s="5">
        <f>VLOOKUP($A88,tropes!$A$4:$O$2428,7,FALSE)</f>
        <v>0</v>
      </c>
      <c r="H88" s="5">
        <f>VLOOKUP($A88,tropes!$A$4:$O$2428,8,FALSE)</f>
        <v>1</v>
      </c>
      <c r="I88" s="5">
        <f>VLOOKUP($A88,tropes!$A$4:$O$2428,9,FALSE)</f>
        <v>202</v>
      </c>
      <c r="J88" s="5">
        <f>VLOOKUP($A88,tropes!$A$4:$O$2428,10,FALSE)</f>
        <v>32</v>
      </c>
      <c r="K88" s="5" t="str">
        <f>VLOOKUP($A88,tropes!$A$4:$O$2428,11,FALSE)</f>
        <v>Who Mourns for Adonais?</v>
      </c>
      <c r="L88" s="5">
        <f>VLOOKUP($A88,tropes!$A$4:$O$2428,12,FALSE)</f>
        <v>2</v>
      </c>
      <c r="M88" s="5">
        <f>VLOOKUP($A88,tropes!$A$4:$O$2428,13,FALSE)</f>
        <v>2</v>
      </c>
      <c r="N88" s="5">
        <f t="shared" si="1"/>
        <v>1</v>
      </c>
    </row>
    <row r="89" spans="1:14" x14ac:dyDescent="0.3">
      <c r="A89" s="14">
        <v>2017</v>
      </c>
      <c r="B89" s="5" t="str">
        <f>VLOOKUP($A89,tropes!$A$4:$O$2428,2,FALSE)</f>
        <v>Curb Stomp Battle</v>
      </c>
      <c r="C89" s="5" t="str">
        <f>VLOOKUP($A89,tropes!$A$4:$O$2428,3,FALSE)</f>
        <v>fight</v>
      </c>
      <c r="D89" s="5" t="str">
        <f>VLOOKUP($A89,tropes!$A$4:$O$2428,4,FALSE)</f>
        <v>robot</v>
      </c>
      <c r="E89" s="5" t="str">
        <f>VLOOKUP($A89,tropes!$A$4:$O$2428,5,FALSE)</f>
        <v>Nomad fires energy bolt at Scotty that throws him back against the wall.</v>
      </c>
      <c r="F89" s="5" t="str">
        <f>VLOOKUP($A89,tropes!$A$4:$O$2428,6,FALSE)</f>
        <v>robot</v>
      </c>
      <c r="G89" s="5">
        <f>VLOOKUP($A89,tropes!$A$4:$O$2428,7,FALSE)</f>
        <v>0</v>
      </c>
      <c r="H89" s="5">
        <f>VLOOKUP($A89,tropes!$A$4:$O$2428,8,FALSE)</f>
        <v>0</v>
      </c>
      <c r="I89" s="5">
        <f>VLOOKUP($A89,tropes!$A$4:$O$2428,9,FALSE)</f>
        <v>203</v>
      </c>
      <c r="J89" s="5">
        <f>VLOOKUP($A89,tropes!$A$4:$O$2428,10,FALSE)</f>
        <v>33</v>
      </c>
      <c r="K89" s="5" t="str">
        <f>VLOOKUP($A89,tropes!$A$4:$O$2428,11,FALSE)</f>
        <v>The Changeling</v>
      </c>
      <c r="L89" s="5">
        <f>VLOOKUP($A89,tropes!$A$4:$O$2428,12,FALSE)</f>
        <v>2</v>
      </c>
      <c r="M89" s="5">
        <f>VLOOKUP($A89,tropes!$A$4:$O$2428,13,FALSE)</f>
        <v>3</v>
      </c>
      <c r="N89" s="5">
        <f t="shared" si="1"/>
        <v>0</v>
      </c>
    </row>
    <row r="90" spans="1:14" x14ac:dyDescent="0.3">
      <c r="A90" s="14">
        <v>2016</v>
      </c>
      <c r="B90" s="5" t="str">
        <f>VLOOKUP($A90,tropes!$A$4:$O$2428,2,FALSE)</f>
        <v>Curb Stomp Battle</v>
      </c>
      <c r="C90" s="5" t="str">
        <f>VLOOKUP($A90,tropes!$A$4:$O$2428,3,FALSE)</f>
        <v>fight</v>
      </c>
      <c r="D90" s="5" t="str">
        <f>VLOOKUP($A90,tropes!$A$4:$O$2428,4,FALSE)</f>
        <v>robot</v>
      </c>
      <c r="E90" s="5" t="str">
        <f>VLOOKUP($A90,tropes!$A$4:$O$2428,5,FALSE)</f>
        <v>Scotty attacks Nomad, gets thrown back by energy bolt.</v>
      </c>
      <c r="F90" s="5" t="str">
        <f>VLOOKUP($A90,tropes!$A$4:$O$2428,6,FALSE)</f>
        <v>scotty</v>
      </c>
      <c r="G90" s="5">
        <f>VLOOKUP($A90,tropes!$A$4:$O$2428,7,FALSE)</f>
        <v>0</v>
      </c>
      <c r="H90" s="5">
        <f>VLOOKUP($A90,tropes!$A$4:$O$2428,8,FALSE)</f>
        <v>1</v>
      </c>
      <c r="I90" s="5">
        <f>VLOOKUP($A90,tropes!$A$4:$O$2428,9,FALSE)</f>
        <v>203</v>
      </c>
      <c r="J90" s="5">
        <f>VLOOKUP($A90,tropes!$A$4:$O$2428,10,FALSE)</f>
        <v>33</v>
      </c>
      <c r="K90" s="5" t="str">
        <f>VLOOKUP($A90,tropes!$A$4:$O$2428,11,FALSE)</f>
        <v>The Changeling</v>
      </c>
      <c r="L90" s="5">
        <f>VLOOKUP($A90,tropes!$A$4:$O$2428,12,FALSE)</f>
        <v>2</v>
      </c>
      <c r="M90" s="5">
        <f>VLOOKUP($A90,tropes!$A$4:$O$2428,13,FALSE)</f>
        <v>3</v>
      </c>
      <c r="N90" s="5">
        <f t="shared" si="1"/>
        <v>1</v>
      </c>
    </row>
    <row r="91" spans="1:14" x14ac:dyDescent="0.3">
      <c r="A91" s="14">
        <v>910</v>
      </c>
      <c r="B91" s="5" t="str">
        <f>VLOOKUP($A91,tropes!$A$4:$O$2428,2,FALSE)</f>
        <v>Fight</v>
      </c>
      <c r="C91" s="5" t="str">
        <f>VLOOKUP($A91,tropes!$A$4:$O$2428,3,FALSE)</f>
        <v>fight</v>
      </c>
      <c r="D91" s="5">
        <f>VLOOKUP($A91,tropes!$A$4:$O$2428,4,FALSE)</f>
        <v>0</v>
      </c>
      <c r="E91" s="5" t="str">
        <f>VLOOKUP($A91,tropes!$A$4:$O$2428,5,FALSE)</f>
        <v>Kirk saved by double crossing henchman against Mirror Chekov.</v>
      </c>
      <c r="F91" s="5" t="str">
        <f>VLOOKUP($A91,tropes!$A$4:$O$2428,6,FALSE)</f>
        <v>kirk</v>
      </c>
      <c r="G91" s="5">
        <f>VLOOKUP($A91,tropes!$A$4:$O$2428,7,FALSE)</f>
        <v>1</v>
      </c>
      <c r="H91" s="5">
        <f>VLOOKUP($A91,tropes!$A$4:$O$2428,8,FALSE)</f>
        <v>0</v>
      </c>
      <c r="I91" s="5">
        <f>VLOOKUP($A91,tropes!$A$4:$O$2428,9,FALSE)</f>
        <v>204</v>
      </c>
      <c r="J91" s="5">
        <f>VLOOKUP($A91,tropes!$A$4:$O$2428,10,FALSE)</f>
        <v>34</v>
      </c>
      <c r="K91" s="5" t="str">
        <f>VLOOKUP($A91,tropes!$A$4:$O$2428,11,FALSE)</f>
        <v>Mirror, Mirror</v>
      </c>
      <c r="L91" s="5">
        <f>VLOOKUP($A91,tropes!$A$4:$O$2428,12,FALSE)</f>
        <v>2</v>
      </c>
      <c r="M91" s="5">
        <f>VLOOKUP($A91,tropes!$A$4:$O$2428,13,FALSE)</f>
        <v>4</v>
      </c>
      <c r="N91" s="5">
        <f t="shared" si="1"/>
        <v>0</v>
      </c>
    </row>
    <row r="92" spans="1:14" x14ac:dyDescent="0.3">
      <c r="A92" s="14">
        <v>2455</v>
      </c>
      <c r="B92" s="5" t="str">
        <f>VLOOKUP($A92,tropes!$A$4:$O$2428,2,FALSE)</f>
        <v>Show Some Leg</v>
      </c>
      <c r="C92" s="5" t="str">
        <f>VLOOKUP($A92,tropes!$A$4:$O$2428,3,FALSE)</f>
        <v>fight</v>
      </c>
      <c r="D92" s="5" t="str">
        <f>VLOOKUP($A92,tropes!$A$4:$O$2428,4,FALSE)</f>
        <v>distraction</v>
      </c>
      <c r="E92" s="5" t="str">
        <f>VLOOKUP($A92,tropes!$A$4:$O$2428,5,FALSE)</f>
        <v>Mirror Sulu advances on Uhura during Uhura's playful distraction. Uhura pulls a knife on him..</v>
      </c>
      <c r="F92" s="5" t="str">
        <f>VLOOKUP($A92,tropes!$A$4:$O$2428,6,FALSE)</f>
        <v>sulu</v>
      </c>
      <c r="G92" s="5">
        <f>VLOOKUP($A92,tropes!$A$4:$O$2428,7,FALSE)</f>
        <v>0</v>
      </c>
      <c r="H92" s="5">
        <f>VLOOKUP($A92,tropes!$A$4:$O$2428,8,FALSE)</f>
        <v>1</v>
      </c>
      <c r="I92" s="5">
        <f>VLOOKUP($A92,tropes!$A$4:$O$2428,9,FALSE)</f>
        <v>204</v>
      </c>
      <c r="J92" s="5">
        <f>VLOOKUP($A92,tropes!$A$4:$O$2428,10,FALSE)</f>
        <v>34</v>
      </c>
      <c r="K92" s="5" t="str">
        <f>VLOOKUP($A92,tropes!$A$4:$O$2428,11,FALSE)</f>
        <v>Mirror, Mirror</v>
      </c>
      <c r="L92" s="5">
        <f>VLOOKUP($A92,tropes!$A$4:$O$2428,12,FALSE)</f>
        <v>2</v>
      </c>
      <c r="M92" s="5">
        <f>VLOOKUP($A92,tropes!$A$4:$O$2428,13,FALSE)</f>
        <v>4</v>
      </c>
      <c r="N92" s="5">
        <f t="shared" si="1"/>
        <v>1</v>
      </c>
    </row>
    <row r="93" spans="1:14" x14ac:dyDescent="0.3">
      <c r="A93" s="14">
        <v>1343</v>
      </c>
      <c r="B93" s="5" t="str">
        <f>VLOOKUP($A93,tropes!$A$4:$O$2428,2,FALSE)</f>
        <v>Fight a Doppelgänger</v>
      </c>
      <c r="C93" s="5" t="str">
        <f>VLOOKUP($A93,tropes!$A$4:$O$2428,3,FALSE)</f>
        <v>fight</v>
      </c>
      <c r="D93" s="5" t="str">
        <f>VLOOKUP($A93,tropes!$A$4:$O$2428,4,FALSE)</f>
        <v>doppelgänger</v>
      </c>
      <c r="E93" s="5" t="str">
        <f>VLOOKUP($A93,tropes!$A$4:$O$2428,5,FALSE)</f>
        <v>Kirk fights Mirror Sulu after his three henchmen suddenly disappear.</v>
      </c>
      <c r="F93" s="5" t="str">
        <f>VLOOKUP($A93,tropes!$A$4:$O$2428,6,FALSE)</f>
        <v>sulu</v>
      </c>
      <c r="G93" s="5">
        <f>VLOOKUP($A93,tropes!$A$4:$O$2428,7,FALSE)</f>
        <v>0</v>
      </c>
      <c r="H93" s="5">
        <f>VLOOKUP($A93,tropes!$A$4:$O$2428,8,FALSE)</f>
        <v>1</v>
      </c>
      <c r="I93" s="5">
        <f>VLOOKUP($A93,tropes!$A$4:$O$2428,9,FALSE)</f>
        <v>204</v>
      </c>
      <c r="J93" s="5">
        <f>VLOOKUP($A93,tropes!$A$4:$O$2428,10,FALSE)</f>
        <v>34</v>
      </c>
      <c r="K93" s="5" t="str">
        <f>VLOOKUP($A93,tropes!$A$4:$O$2428,11,FALSE)</f>
        <v>Mirror, Mirror</v>
      </c>
      <c r="L93" s="5">
        <f>VLOOKUP($A93,tropes!$A$4:$O$2428,12,FALSE)</f>
        <v>2</v>
      </c>
      <c r="M93" s="5">
        <f>VLOOKUP($A93,tropes!$A$4:$O$2428,13,FALSE)</f>
        <v>4</v>
      </c>
      <c r="N93" s="5">
        <f t="shared" si="1"/>
        <v>2</v>
      </c>
    </row>
    <row r="94" spans="1:14" x14ac:dyDescent="0.3">
      <c r="A94" s="14">
        <v>1077</v>
      </c>
      <c r="B94" s="5" t="str">
        <f>VLOOKUP($A94,tropes!$A$4:$O$2428,2,FALSE)</f>
        <v>Fight a Doppelgänger</v>
      </c>
      <c r="C94" s="5" t="str">
        <f>VLOOKUP($A94,tropes!$A$4:$O$2428,3,FALSE)</f>
        <v>fight</v>
      </c>
      <c r="D94" s="5" t="str">
        <f>VLOOKUP($A94,tropes!$A$4:$O$2428,4,FALSE)</f>
        <v>doppelgänger</v>
      </c>
      <c r="E94" s="5" t="str">
        <f>VLOOKUP($A94,tropes!$A$4:$O$2428,5,FALSE)</f>
        <v>Kirk, McCoy, Scotty, and Uhura fight Mirror Spock in sick bay.</v>
      </c>
      <c r="F94" s="5" t="str">
        <f>VLOOKUP($A94,tropes!$A$4:$O$2428,6,FALSE)</f>
        <v>kirk</v>
      </c>
      <c r="G94" s="5">
        <f>VLOOKUP($A94,tropes!$A$4:$O$2428,7,FALSE)</f>
        <v>1</v>
      </c>
      <c r="H94" s="5">
        <f>VLOOKUP($A94,tropes!$A$4:$O$2428,8,FALSE)</f>
        <v>0</v>
      </c>
      <c r="I94" s="5">
        <f>VLOOKUP($A94,tropes!$A$4:$O$2428,9,FALSE)</f>
        <v>204</v>
      </c>
      <c r="J94" s="5">
        <f>VLOOKUP($A94,tropes!$A$4:$O$2428,10,FALSE)</f>
        <v>34</v>
      </c>
      <c r="K94" s="5" t="str">
        <f>VLOOKUP($A94,tropes!$A$4:$O$2428,11,FALSE)</f>
        <v>Mirror, Mirror</v>
      </c>
      <c r="L94" s="5">
        <f>VLOOKUP($A94,tropes!$A$4:$O$2428,12,FALSE)</f>
        <v>2</v>
      </c>
      <c r="M94" s="5">
        <f>VLOOKUP($A94,tropes!$A$4:$O$2428,13,FALSE)</f>
        <v>4</v>
      </c>
      <c r="N94" s="5">
        <f t="shared" si="1"/>
        <v>3</v>
      </c>
    </row>
    <row r="95" spans="1:14" x14ac:dyDescent="0.3">
      <c r="A95" s="14">
        <v>139</v>
      </c>
      <c r="B95" s="5" t="str">
        <f>VLOOKUP($A95,tropes!$A$4:$O$2428,2,FALSE)</f>
        <v>Fight</v>
      </c>
      <c r="C95" s="5" t="str">
        <f>VLOOKUP($A95,tropes!$A$4:$O$2428,3,FALSE)</f>
        <v>fight</v>
      </c>
      <c r="D95" s="5" t="str">
        <f>VLOOKUP($A95,tropes!$A$4:$O$2428,4,FALSE)</f>
        <v>doppelgänger</v>
      </c>
      <c r="E95" s="5" t="str">
        <f>VLOOKUP($A95,tropes!$A$4:$O$2428,5,FALSE)</f>
        <v>Mirror Chekov and thugs jump Kirk to kill him for disobeying orders to obliterate the Halkans.</v>
      </c>
      <c r="F95" s="5" t="str">
        <f>VLOOKUP($A95,tropes!$A$4:$O$2428,6,FALSE)</f>
        <v>chekov</v>
      </c>
      <c r="G95" s="5">
        <f>VLOOKUP($A95,tropes!$A$4:$O$2428,7,FALSE)</f>
        <v>0</v>
      </c>
      <c r="H95" s="5">
        <f>VLOOKUP($A95,tropes!$A$4:$O$2428,8,FALSE)</f>
        <v>2</v>
      </c>
      <c r="I95" s="5">
        <f>VLOOKUP($A95,tropes!$A$4:$O$2428,9,FALSE)</f>
        <v>204</v>
      </c>
      <c r="J95" s="5">
        <f>VLOOKUP($A95,tropes!$A$4:$O$2428,10,FALSE)</f>
        <v>34</v>
      </c>
      <c r="K95" s="5" t="str">
        <f>VLOOKUP($A95,tropes!$A$4:$O$2428,11,FALSE)</f>
        <v>Mirror, Mirror</v>
      </c>
      <c r="L95" s="5">
        <f>VLOOKUP($A95,tropes!$A$4:$O$2428,12,FALSE)</f>
        <v>2</v>
      </c>
      <c r="M95" s="5">
        <f>VLOOKUP($A95,tropes!$A$4:$O$2428,13,FALSE)</f>
        <v>4</v>
      </c>
      <c r="N95" s="5">
        <f t="shared" si="1"/>
        <v>4</v>
      </c>
    </row>
    <row r="96" spans="1:14" x14ac:dyDescent="0.3">
      <c r="A96" s="14">
        <v>1342</v>
      </c>
      <c r="B96" s="5" t="str">
        <f>VLOOKUP($A96,tropes!$A$4:$O$2428,2,FALSE)</f>
        <v>Fight a Doppelgänger</v>
      </c>
      <c r="C96" s="5" t="str">
        <f>VLOOKUP($A96,tropes!$A$4:$O$2428,3,FALSE)</f>
        <v>fight</v>
      </c>
      <c r="D96" s="5" t="str">
        <f>VLOOKUP($A96,tropes!$A$4:$O$2428,4,FALSE)</f>
        <v>doppelgänger</v>
      </c>
      <c r="E96" s="5" t="str">
        <f>VLOOKUP($A96,tropes!$A$4:$O$2428,5,FALSE)</f>
        <v>Mirror Sulu fights fights after his three henchmen suddenly disappear.</v>
      </c>
      <c r="F96" s="5" t="str">
        <f>VLOOKUP($A96,tropes!$A$4:$O$2428,6,FALSE)</f>
        <v>kirk</v>
      </c>
      <c r="G96" s="5">
        <f>VLOOKUP($A96,tropes!$A$4:$O$2428,7,FALSE)</f>
        <v>1</v>
      </c>
      <c r="H96" s="5">
        <f>VLOOKUP($A96,tropes!$A$4:$O$2428,8,FALSE)</f>
        <v>0</v>
      </c>
      <c r="I96" s="5">
        <f>VLOOKUP($A96,tropes!$A$4:$O$2428,9,FALSE)</f>
        <v>204</v>
      </c>
      <c r="J96" s="5">
        <f>VLOOKUP($A96,tropes!$A$4:$O$2428,10,FALSE)</f>
        <v>34</v>
      </c>
      <c r="K96" s="5" t="str">
        <f>VLOOKUP($A96,tropes!$A$4:$O$2428,11,FALSE)</f>
        <v>Mirror, Mirror</v>
      </c>
      <c r="L96" s="5">
        <f>VLOOKUP($A96,tropes!$A$4:$O$2428,12,FALSE)</f>
        <v>2</v>
      </c>
      <c r="M96" s="5">
        <f>VLOOKUP($A96,tropes!$A$4:$O$2428,13,FALSE)</f>
        <v>4</v>
      </c>
      <c r="N96" s="5">
        <f t="shared" si="1"/>
        <v>5</v>
      </c>
    </row>
    <row r="97" spans="1:14" x14ac:dyDescent="0.3">
      <c r="A97" s="14">
        <v>2688</v>
      </c>
      <c r="B97" s="5" t="str">
        <f>VLOOKUP($A97,tropes!$A$4:$O$2428,2,FALSE)</f>
        <v>Designated Girl Fight</v>
      </c>
      <c r="C97" s="5" t="str">
        <f>VLOOKUP($A97,tropes!$A$4:$O$2428,3,FALSE)</f>
        <v>fight</v>
      </c>
      <c r="D97" s="5" t="str">
        <f>VLOOKUP($A97,tropes!$A$4:$O$2428,4,FALSE)</f>
        <v>girl_fight</v>
      </c>
      <c r="E97" s="5" t="str">
        <f>VLOOKUP($A97,tropes!$A$4:$O$2428,5,FALSE)</f>
        <v>Uhura steps in to disarm Marlena Moreau when Marlena pulls a knife. (can't have any of the boys hitting a girl.)</v>
      </c>
      <c r="F97" s="5" t="str">
        <f>VLOOKUP($A97,tropes!$A$4:$O$2428,6,FALSE)</f>
        <v>uhura</v>
      </c>
      <c r="G97" s="5">
        <f>VLOOKUP($A97,tropes!$A$4:$O$2428,7,FALSE)</f>
        <v>1</v>
      </c>
      <c r="H97" s="5">
        <f>VLOOKUP($A97,tropes!$A$4:$O$2428,8,FALSE)</f>
        <v>0</v>
      </c>
      <c r="I97" s="5">
        <f>VLOOKUP($A97,tropes!$A$4:$O$2428,9,FALSE)</f>
        <v>204</v>
      </c>
      <c r="J97" s="5">
        <f>VLOOKUP($A97,tropes!$A$4:$O$2428,10,FALSE)</f>
        <v>34</v>
      </c>
      <c r="K97" s="5" t="str">
        <f>VLOOKUP($A97,tropes!$A$4:$O$2428,11,FALSE)</f>
        <v>Mirror, Mirror</v>
      </c>
      <c r="L97" s="5">
        <f>VLOOKUP($A97,tropes!$A$4:$O$2428,12,FALSE)</f>
        <v>2</v>
      </c>
      <c r="M97" s="5">
        <f>VLOOKUP($A97,tropes!$A$4:$O$2428,13,FALSE)</f>
        <v>4</v>
      </c>
      <c r="N97" s="5">
        <f t="shared" si="1"/>
        <v>6</v>
      </c>
    </row>
    <row r="98" spans="1:14" x14ac:dyDescent="0.3">
      <c r="A98" s="14">
        <v>930</v>
      </c>
      <c r="B98" s="5" t="str">
        <f>VLOOKUP($A98,tropes!$A$4:$O$2428,2,FALSE)</f>
        <v>Never Hurt The Innocent</v>
      </c>
      <c r="C98" s="5" t="str">
        <f>VLOOKUP($A98,tropes!$A$4:$O$2428,3,FALSE)</f>
        <v>fight</v>
      </c>
      <c r="D98" s="5" t="str">
        <f>VLOOKUP($A98,tropes!$A$4:$O$2428,4,FALSE)</f>
        <v>innocent</v>
      </c>
      <c r="E98" s="5" t="str">
        <f>VLOOKUP($A98,tropes!$A$4:$O$2428,5,FALSE)</f>
        <v>Kirk punches Akuta, the native who doesn't fight back. Kirk apologizes for hitting him.</v>
      </c>
      <c r="F98" s="5" t="str">
        <f>VLOOKUP($A98,tropes!$A$4:$O$2428,6,FALSE)</f>
        <v>kirk</v>
      </c>
      <c r="G98" s="5">
        <f>VLOOKUP($A98,tropes!$A$4:$O$2428,7,FALSE)</f>
        <v>1</v>
      </c>
      <c r="H98" s="5">
        <f>VLOOKUP($A98,tropes!$A$4:$O$2428,8,FALSE)</f>
        <v>0</v>
      </c>
      <c r="I98" s="5">
        <f>VLOOKUP($A98,tropes!$A$4:$O$2428,9,FALSE)</f>
        <v>205</v>
      </c>
      <c r="J98" s="5">
        <f>VLOOKUP($A98,tropes!$A$4:$O$2428,10,FALSE)</f>
        <v>35</v>
      </c>
      <c r="K98" s="5" t="str">
        <f>VLOOKUP($A98,tropes!$A$4:$O$2428,11,FALSE)</f>
        <v>The Apple</v>
      </c>
      <c r="L98" s="5">
        <f>VLOOKUP($A98,tropes!$A$4:$O$2428,12,FALSE)</f>
        <v>2</v>
      </c>
      <c r="M98" s="5">
        <f>VLOOKUP($A98,tropes!$A$4:$O$2428,13,FALSE)</f>
        <v>5</v>
      </c>
      <c r="N98" s="5">
        <f t="shared" si="1"/>
        <v>0</v>
      </c>
    </row>
    <row r="99" spans="1:14" x14ac:dyDescent="0.3">
      <c r="A99" s="14">
        <v>417</v>
      </c>
      <c r="B99" s="5" t="str">
        <f>VLOOKUP($A99,tropes!$A$4:$O$2428,2,FALSE)</f>
        <v>Torches and Pitchforks</v>
      </c>
      <c r="C99" s="5" t="str">
        <f>VLOOKUP($A99,tropes!$A$4:$O$2428,3,FALSE)</f>
        <v>fight</v>
      </c>
      <c r="D99" s="5" t="str">
        <f>VLOOKUP($A99,tropes!$A$4:$O$2428,4,FALSE)</f>
        <v>restless_natives</v>
      </c>
      <c r="E99" s="5" t="str">
        <f>VLOOKUP($A99,tropes!$A$4:$O$2428,5,FALSE)</f>
        <v>Natives attack landing party.</v>
      </c>
      <c r="F99" s="5" t="str">
        <f>VLOOKUP($A99,tropes!$A$4:$O$2428,6,FALSE)</f>
        <v>humanoid</v>
      </c>
      <c r="G99" s="5">
        <f>VLOOKUP($A99,tropes!$A$4:$O$2428,7,FALSE)</f>
        <v>0</v>
      </c>
      <c r="H99" s="5">
        <f>VLOOKUP($A99,tropes!$A$4:$O$2428,8,FALSE)</f>
        <v>0</v>
      </c>
      <c r="I99" s="5">
        <f>VLOOKUP($A99,tropes!$A$4:$O$2428,9,FALSE)</f>
        <v>205</v>
      </c>
      <c r="J99" s="5">
        <f>VLOOKUP($A99,tropes!$A$4:$O$2428,10,FALSE)</f>
        <v>35</v>
      </c>
      <c r="K99" s="5" t="str">
        <f>VLOOKUP($A99,tropes!$A$4:$O$2428,11,FALSE)</f>
        <v>The Apple</v>
      </c>
      <c r="L99" s="5">
        <f>VLOOKUP($A99,tropes!$A$4:$O$2428,12,FALSE)</f>
        <v>2</v>
      </c>
      <c r="M99" s="5">
        <f>VLOOKUP($A99,tropes!$A$4:$O$2428,13,FALSE)</f>
        <v>5</v>
      </c>
      <c r="N99" s="5">
        <f t="shared" si="1"/>
        <v>1</v>
      </c>
    </row>
    <row r="100" spans="1:14" x14ac:dyDescent="0.3">
      <c r="A100" s="14">
        <v>2254</v>
      </c>
      <c r="B100" s="5" t="str">
        <f>VLOOKUP($A100,tropes!$A$4:$O$2428,2,FALSE)</f>
        <v>Pressure Point</v>
      </c>
      <c r="C100" s="5" t="str">
        <f>VLOOKUP($A100,tropes!$A$4:$O$2428,3,FALSE)</f>
        <v>fight</v>
      </c>
      <c r="D100" s="5" t="str">
        <f>VLOOKUP($A100,tropes!$A$4:$O$2428,4,FALSE)</f>
        <v>vulcan_neck_pinch</v>
      </c>
      <c r="E100" s="5" t="str">
        <f>VLOOKUP($A100,tropes!$A$4:$O$2428,5,FALSE)</f>
        <v>Spock uses neck pinch on attacking villager.</v>
      </c>
      <c r="F100" s="5" t="str">
        <f>VLOOKUP($A100,tropes!$A$4:$O$2428,6,FALSE)</f>
        <v>spock</v>
      </c>
      <c r="G100" s="5">
        <f>VLOOKUP($A100,tropes!$A$4:$O$2428,7,FALSE)</f>
        <v>1</v>
      </c>
      <c r="H100" s="5">
        <f>VLOOKUP($A100,tropes!$A$4:$O$2428,8,FALSE)</f>
        <v>0</v>
      </c>
      <c r="I100" s="5">
        <f>VLOOKUP($A100,tropes!$A$4:$O$2428,9,FALSE)</f>
        <v>205</v>
      </c>
      <c r="J100" s="5">
        <f>VLOOKUP($A100,tropes!$A$4:$O$2428,10,FALSE)</f>
        <v>35</v>
      </c>
      <c r="K100" s="5" t="str">
        <f>VLOOKUP($A100,tropes!$A$4:$O$2428,11,FALSE)</f>
        <v>The Apple</v>
      </c>
      <c r="L100" s="5">
        <f>VLOOKUP($A100,tropes!$A$4:$O$2428,12,FALSE)</f>
        <v>2</v>
      </c>
      <c r="M100" s="5">
        <f>VLOOKUP($A100,tropes!$A$4:$O$2428,13,FALSE)</f>
        <v>5</v>
      </c>
      <c r="N100" s="5">
        <f t="shared" si="1"/>
        <v>2</v>
      </c>
    </row>
    <row r="101" spans="1:14" x14ac:dyDescent="0.3">
      <c r="A101" s="14">
        <v>229</v>
      </c>
      <c r="B101" s="5" t="str">
        <f>VLOOKUP($A101,tropes!$A$4:$O$2428,2,FALSE)</f>
        <v>Fight</v>
      </c>
      <c r="C101" s="5" t="str">
        <f>VLOOKUP($A101,tropes!$A$4:$O$2428,3,FALSE)</f>
        <v>fight</v>
      </c>
      <c r="D101" s="5">
        <f>VLOOKUP($A101,tropes!$A$4:$O$2428,4,FALSE)</f>
        <v>0</v>
      </c>
      <c r="E101" s="5" t="str">
        <f>VLOOKUP($A101,tropes!$A$4:$O$2428,5,FALSE)</f>
        <v>Commodore Decker beats up Redshirt security Officer</v>
      </c>
      <c r="F101" s="5" t="str">
        <f>VLOOKUP($A101,tropes!$A$4:$O$2428,6,FALSE)</f>
        <v>goldshirt</v>
      </c>
      <c r="G101" s="5">
        <f>VLOOKUP($A101,tropes!$A$4:$O$2428,7,FALSE)</f>
        <v>0</v>
      </c>
      <c r="H101" s="5">
        <f>VLOOKUP($A101,tropes!$A$4:$O$2428,8,FALSE)</f>
        <v>0</v>
      </c>
      <c r="I101" s="5">
        <f>VLOOKUP($A101,tropes!$A$4:$O$2428,9,FALSE)</f>
        <v>206</v>
      </c>
      <c r="J101" s="5">
        <f>VLOOKUP($A101,tropes!$A$4:$O$2428,10,FALSE)</f>
        <v>36</v>
      </c>
      <c r="K101" s="5" t="str">
        <f>VLOOKUP($A101,tropes!$A$4:$O$2428,11,FALSE)</f>
        <v>The Doomsday Machine</v>
      </c>
      <c r="L101" s="5">
        <f>VLOOKUP($A101,tropes!$A$4:$O$2428,12,FALSE)</f>
        <v>2</v>
      </c>
      <c r="M101" s="5">
        <f>VLOOKUP($A101,tropes!$A$4:$O$2428,13,FALSE)</f>
        <v>6</v>
      </c>
      <c r="N101" s="5">
        <f t="shared" si="1"/>
        <v>0</v>
      </c>
    </row>
    <row r="102" spans="1:14" x14ac:dyDescent="0.3">
      <c r="A102" s="14">
        <v>1054</v>
      </c>
      <c r="B102" s="5" t="str">
        <f>VLOOKUP($A102,tropes!$A$4:$O$2428,2,FALSE)</f>
        <v>Fighting Your Friend</v>
      </c>
      <c r="C102" s="5" t="str">
        <f>VLOOKUP($A102,tropes!$A$4:$O$2428,3,FALSE)</f>
        <v>fight</v>
      </c>
      <c r="D102" s="5" t="str">
        <f>VLOOKUP($A102,tropes!$A$4:$O$2428,4,FALSE)</f>
        <v>friend</v>
      </c>
      <c r="E102" s="5" t="str">
        <f>VLOOKUP($A102,tropes!$A$4:$O$2428,5,FALSE)</f>
        <v>Kirk knocks out McCoy with punch to the face after being attacked by possessed McCoy carrying a mace.</v>
      </c>
      <c r="F102" s="5" t="str">
        <f>VLOOKUP($A102,tropes!$A$4:$O$2428,6,FALSE)</f>
        <v>kirk</v>
      </c>
      <c r="G102" s="5">
        <f>VLOOKUP($A102,tropes!$A$4:$O$2428,7,FALSE)</f>
        <v>1</v>
      </c>
      <c r="H102" s="5">
        <f>VLOOKUP($A102,tropes!$A$4:$O$2428,8,FALSE)</f>
        <v>0</v>
      </c>
      <c r="I102" s="5">
        <f>VLOOKUP($A102,tropes!$A$4:$O$2428,9,FALSE)</f>
        <v>207</v>
      </c>
      <c r="J102" s="5">
        <f>VLOOKUP($A102,tropes!$A$4:$O$2428,10,FALSE)</f>
        <v>37</v>
      </c>
      <c r="K102" s="5" t="str">
        <f>VLOOKUP($A102,tropes!$A$4:$O$2428,11,FALSE)</f>
        <v>Catspaw</v>
      </c>
      <c r="L102" s="5">
        <f>VLOOKUP($A102,tropes!$A$4:$O$2428,12,FALSE)</f>
        <v>2</v>
      </c>
      <c r="M102" s="5">
        <f>VLOOKUP($A102,tropes!$A$4:$O$2428,13,FALSE)</f>
        <v>7</v>
      </c>
      <c r="N102" s="5">
        <f t="shared" si="1"/>
        <v>0</v>
      </c>
    </row>
    <row r="103" spans="1:14" x14ac:dyDescent="0.3">
      <c r="A103" s="14">
        <v>2018</v>
      </c>
      <c r="B103" s="5" t="str">
        <f>VLOOKUP($A103,tropes!$A$4:$O$2428,2,FALSE)</f>
        <v>Fighting Your Friend</v>
      </c>
      <c r="C103" s="5" t="str">
        <f>VLOOKUP($A103,tropes!$A$4:$O$2428,3,FALSE)</f>
        <v>fight</v>
      </c>
      <c r="D103" s="5" t="str">
        <f>VLOOKUP($A103,tropes!$A$4:$O$2428,4,FALSE)</f>
        <v>friend</v>
      </c>
      <c r="E103" s="5" t="str">
        <f>VLOOKUP($A103,tropes!$A$4:$O$2428,5,FALSE)</f>
        <v>Spock pinches Scotty after being attacked with mace.</v>
      </c>
      <c r="F103" s="5" t="str">
        <f>VLOOKUP($A103,tropes!$A$4:$O$2428,6,FALSE)</f>
        <v>scotty</v>
      </c>
      <c r="G103" s="5">
        <f>VLOOKUP($A103,tropes!$A$4:$O$2428,7,FALSE)</f>
        <v>0</v>
      </c>
      <c r="H103" s="5">
        <f>VLOOKUP($A103,tropes!$A$4:$O$2428,8,FALSE)</f>
        <v>1</v>
      </c>
      <c r="I103" s="5">
        <f>VLOOKUP($A103,tropes!$A$4:$O$2428,9,FALSE)</f>
        <v>207</v>
      </c>
      <c r="J103" s="5">
        <f>VLOOKUP($A103,tropes!$A$4:$O$2428,10,FALSE)</f>
        <v>37</v>
      </c>
      <c r="K103" s="5" t="str">
        <f>VLOOKUP($A103,tropes!$A$4:$O$2428,11,FALSE)</f>
        <v>Catspaw</v>
      </c>
      <c r="L103" s="5">
        <f>VLOOKUP($A103,tropes!$A$4:$O$2428,12,FALSE)</f>
        <v>2</v>
      </c>
      <c r="M103" s="5">
        <f>VLOOKUP($A103,tropes!$A$4:$O$2428,13,FALSE)</f>
        <v>7</v>
      </c>
      <c r="N103" s="5">
        <f t="shared" si="1"/>
        <v>1</v>
      </c>
    </row>
    <row r="104" spans="1:14" x14ac:dyDescent="0.3">
      <c r="A104" s="14">
        <v>2456</v>
      </c>
      <c r="B104" s="5" t="str">
        <f>VLOOKUP($A104,tropes!$A$4:$O$2428,2,FALSE)</f>
        <v>Fighting Your Friend</v>
      </c>
      <c r="C104" s="5" t="str">
        <f>VLOOKUP($A104,tropes!$A$4:$O$2428,3,FALSE)</f>
        <v>fight</v>
      </c>
      <c r="D104" s="5" t="str">
        <f>VLOOKUP($A104,tropes!$A$4:$O$2428,4,FALSE)</f>
        <v>friend</v>
      </c>
      <c r="E104" s="5" t="str">
        <f>VLOOKUP($A104,tropes!$A$4:$O$2428,5,FALSE)</f>
        <v>Sulu attacks Kirk with karate. Kicks him and knocks his head into a wall.</v>
      </c>
      <c r="F104" s="5" t="str">
        <f>VLOOKUP($A104,tropes!$A$4:$O$2428,6,FALSE)</f>
        <v>sulu</v>
      </c>
      <c r="G104" s="5">
        <f>VLOOKUP($A104,tropes!$A$4:$O$2428,7,FALSE)</f>
        <v>0</v>
      </c>
      <c r="H104" s="5">
        <f>VLOOKUP($A104,tropes!$A$4:$O$2428,8,FALSE)</f>
        <v>1</v>
      </c>
      <c r="I104" s="5">
        <f>VLOOKUP($A104,tropes!$A$4:$O$2428,9,FALSE)</f>
        <v>207</v>
      </c>
      <c r="J104" s="5">
        <f>VLOOKUP($A104,tropes!$A$4:$O$2428,10,FALSE)</f>
        <v>37</v>
      </c>
      <c r="K104" s="5" t="str">
        <f>VLOOKUP($A104,tropes!$A$4:$O$2428,11,FALSE)</f>
        <v>Catspaw</v>
      </c>
      <c r="L104" s="5">
        <f>VLOOKUP($A104,tropes!$A$4:$O$2428,12,FALSE)</f>
        <v>2</v>
      </c>
      <c r="M104" s="5">
        <f>VLOOKUP($A104,tropes!$A$4:$O$2428,13,FALSE)</f>
        <v>7</v>
      </c>
      <c r="N104" s="5">
        <f t="shared" si="1"/>
        <v>2</v>
      </c>
    </row>
    <row r="105" spans="1:14" x14ac:dyDescent="0.3">
      <c r="A105" s="14">
        <v>2394</v>
      </c>
      <c r="B105" s="5" t="str">
        <f>VLOOKUP($A105,tropes!$A$4:$O$2428,2,FALSE)</f>
        <v>Pressure Point</v>
      </c>
      <c r="C105" s="5" t="str">
        <f>VLOOKUP($A105,tropes!$A$4:$O$2428,3,FALSE)</f>
        <v>fight</v>
      </c>
      <c r="D105" s="5" t="str">
        <f>VLOOKUP($A105,tropes!$A$4:$O$2428,4,FALSE)</f>
        <v>vulcan_neck_pinch</v>
      </c>
      <c r="E105" s="5" t="str">
        <f>VLOOKUP($A105,tropes!$A$4:$O$2428,5,FALSE)</f>
        <v>Spock uses neck pinch on Scotty.</v>
      </c>
      <c r="F105" s="5" t="str">
        <f>VLOOKUP($A105,tropes!$A$4:$O$2428,6,FALSE)</f>
        <v>spock</v>
      </c>
      <c r="G105" s="5">
        <f>VLOOKUP($A105,tropes!$A$4:$O$2428,7,FALSE)</f>
        <v>1</v>
      </c>
      <c r="H105" s="5">
        <f>VLOOKUP($A105,tropes!$A$4:$O$2428,8,FALSE)</f>
        <v>0</v>
      </c>
      <c r="I105" s="5">
        <f>VLOOKUP($A105,tropes!$A$4:$O$2428,9,FALSE)</f>
        <v>207</v>
      </c>
      <c r="J105" s="5">
        <f>VLOOKUP($A105,tropes!$A$4:$O$2428,10,FALSE)</f>
        <v>37</v>
      </c>
      <c r="K105" s="5" t="str">
        <f>VLOOKUP($A105,tropes!$A$4:$O$2428,11,FALSE)</f>
        <v>Catspaw</v>
      </c>
      <c r="L105" s="5">
        <f>VLOOKUP($A105,tropes!$A$4:$O$2428,12,FALSE)</f>
        <v>2</v>
      </c>
      <c r="M105" s="5">
        <f>VLOOKUP($A105,tropes!$A$4:$O$2428,13,FALSE)</f>
        <v>7</v>
      </c>
      <c r="N105" s="5">
        <f t="shared" si="1"/>
        <v>3</v>
      </c>
    </row>
    <row r="106" spans="1:14" x14ac:dyDescent="0.3">
      <c r="A106" s="14">
        <v>1932</v>
      </c>
      <c r="B106" s="5" t="str">
        <f>VLOOKUP($A106,tropes!$A$4:$O$2428,2,FALSE)</f>
        <v>Curb Stomp Battle</v>
      </c>
      <c r="C106" s="5" t="str">
        <f>VLOOKUP($A106,tropes!$A$4:$O$2428,3,FALSE)</f>
        <v>fight</v>
      </c>
      <c r="D106" s="5" t="str">
        <f>VLOOKUP($A106,tropes!$A$4:$O$2428,4,FALSE)</f>
        <v>outmatched</v>
      </c>
      <c r="E106" s="5" t="str">
        <f>VLOOKUP($A106,tropes!$A$4:$O$2428,5,FALSE)</f>
        <v>Norman the android knocks out Scotty and two technicians.</v>
      </c>
      <c r="F106" s="5" t="str">
        <f>VLOOKUP($A106,tropes!$A$4:$O$2428,6,FALSE)</f>
        <v>robot</v>
      </c>
      <c r="G106" s="5">
        <f>VLOOKUP($A106,tropes!$A$4:$O$2428,7,FALSE)</f>
        <v>0</v>
      </c>
      <c r="H106" s="5">
        <f>VLOOKUP($A106,tropes!$A$4:$O$2428,8,FALSE)</f>
        <v>0</v>
      </c>
      <c r="I106" s="5">
        <f>VLOOKUP($A106,tropes!$A$4:$O$2428,9,FALSE)</f>
        <v>208</v>
      </c>
      <c r="J106" s="5">
        <f>VLOOKUP($A106,tropes!$A$4:$O$2428,10,FALSE)</f>
        <v>38</v>
      </c>
      <c r="K106" s="5" t="str">
        <f>VLOOKUP($A106,tropes!$A$4:$O$2428,11,FALSE)</f>
        <v>I, Mudd</v>
      </c>
      <c r="L106" s="5">
        <f>VLOOKUP($A106,tropes!$A$4:$O$2428,12,FALSE)</f>
        <v>2</v>
      </c>
      <c r="M106" s="5">
        <f>VLOOKUP($A106,tropes!$A$4:$O$2428,13,FALSE)</f>
        <v>8</v>
      </c>
      <c r="N106" s="5">
        <f t="shared" si="1"/>
        <v>0</v>
      </c>
    </row>
    <row r="107" spans="1:14" x14ac:dyDescent="0.3">
      <c r="A107" s="14">
        <v>1933</v>
      </c>
      <c r="B107" s="5" t="str">
        <f>VLOOKUP($A107,tropes!$A$4:$O$2428,2,FALSE)</f>
        <v>Curb Stomp Battle</v>
      </c>
      <c r="C107" s="5" t="str">
        <f>VLOOKUP($A107,tropes!$A$4:$O$2428,3,FALSE)</f>
        <v>fight</v>
      </c>
      <c r="D107" s="5" t="str">
        <f>VLOOKUP($A107,tropes!$A$4:$O$2428,4,FALSE)</f>
        <v>outmatched</v>
      </c>
      <c r="E107" s="5" t="str">
        <f>VLOOKUP($A107,tropes!$A$4:$O$2428,5,FALSE)</f>
        <v>Norman the android knocks out technician in Auxiliary Control.</v>
      </c>
      <c r="F107" s="5" t="str">
        <f>VLOOKUP($A107,tropes!$A$4:$O$2428,6,FALSE)</f>
        <v>robot</v>
      </c>
      <c r="G107" s="5">
        <f>VLOOKUP($A107,tropes!$A$4:$O$2428,7,FALSE)</f>
        <v>0</v>
      </c>
      <c r="H107" s="5">
        <f>VLOOKUP($A107,tropes!$A$4:$O$2428,8,FALSE)</f>
        <v>0</v>
      </c>
      <c r="I107" s="5">
        <f>VLOOKUP($A107,tropes!$A$4:$O$2428,9,FALSE)</f>
        <v>208</v>
      </c>
      <c r="J107" s="5">
        <f>VLOOKUP($A107,tropes!$A$4:$O$2428,10,FALSE)</f>
        <v>38</v>
      </c>
      <c r="K107" s="5" t="str">
        <f>VLOOKUP($A107,tropes!$A$4:$O$2428,11,FALSE)</f>
        <v>I, Mudd</v>
      </c>
      <c r="L107" s="5">
        <f>VLOOKUP($A107,tropes!$A$4:$O$2428,12,FALSE)</f>
        <v>2</v>
      </c>
      <c r="M107" s="5">
        <f>VLOOKUP($A107,tropes!$A$4:$O$2428,13,FALSE)</f>
        <v>8</v>
      </c>
      <c r="N107" s="5">
        <f t="shared" si="1"/>
        <v>1</v>
      </c>
    </row>
    <row r="108" spans="1:14" x14ac:dyDescent="0.3">
      <c r="A108" s="14">
        <v>1934</v>
      </c>
      <c r="B108" s="5" t="str">
        <f>VLOOKUP($A108,tropes!$A$4:$O$2428,2,FALSE)</f>
        <v>Curb Stomp Battle</v>
      </c>
      <c r="C108" s="5" t="str">
        <f>VLOOKUP($A108,tropes!$A$4:$O$2428,3,FALSE)</f>
        <v>fight</v>
      </c>
      <c r="D108" s="5" t="str">
        <f>VLOOKUP($A108,tropes!$A$4:$O$2428,4,FALSE)</f>
        <v>outmatched</v>
      </c>
      <c r="E108" s="5" t="str">
        <f>VLOOKUP($A108,tropes!$A$4:$O$2428,5,FALSE)</f>
        <v>Norman the android knocks out technician in Engineering Override station</v>
      </c>
      <c r="F108" s="5" t="str">
        <f>VLOOKUP($A108,tropes!$A$4:$O$2428,6,FALSE)</f>
        <v>robot</v>
      </c>
      <c r="G108" s="5">
        <f>VLOOKUP($A108,tropes!$A$4:$O$2428,7,FALSE)</f>
        <v>0</v>
      </c>
      <c r="H108" s="5">
        <f>VLOOKUP($A108,tropes!$A$4:$O$2428,8,FALSE)</f>
        <v>0</v>
      </c>
      <c r="I108" s="5">
        <f>VLOOKUP($A108,tropes!$A$4:$O$2428,9,FALSE)</f>
        <v>208</v>
      </c>
      <c r="J108" s="5">
        <f>VLOOKUP($A108,tropes!$A$4:$O$2428,10,FALSE)</f>
        <v>38</v>
      </c>
      <c r="K108" s="5" t="str">
        <f>VLOOKUP($A108,tropes!$A$4:$O$2428,11,FALSE)</f>
        <v>I, Mudd</v>
      </c>
      <c r="L108" s="5">
        <f>VLOOKUP($A108,tropes!$A$4:$O$2428,12,FALSE)</f>
        <v>2</v>
      </c>
      <c r="M108" s="5">
        <f>VLOOKUP($A108,tropes!$A$4:$O$2428,13,FALSE)</f>
        <v>8</v>
      </c>
      <c r="N108" s="5">
        <f t="shared" si="1"/>
        <v>2</v>
      </c>
    </row>
    <row r="109" spans="1:14" x14ac:dyDescent="0.3">
      <c r="A109" s="14">
        <v>2272</v>
      </c>
      <c r="B109" s="5" t="str">
        <f>VLOOKUP($A109,tropes!$A$4:$O$2428,2,FALSE)</f>
        <v>Pressure Point</v>
      </c>
      <c r="C109" s="5" t="str">
        <f>VLOOKUP($A109,tropes!$A$4:$O$2428,3,FALSE)</f>
        <v>fight</v>
      </c>
      <c r="D109" s="5" t="str">
        <f>VLOOKUP($A109,tropes!$A$4:$O$2428,4,FALSE)</f>
        <v>vulcan_neck_pinch</v>
      </c>
      <c r="E109" s="5" t="str">
        <f>VLOOKUP($A109,tropes!$A$4:$O$2428,5,FALSE)</f>
        <v>Spock tests neck pinch on Alice 210. No effect.</v>
      </c>
      <c r="F109" s="5" t="str">
        <f>VLOOKUP($A109,tropes!$A$4:$O$2428,6,FALSE)</f>
        <v>spock</v>
      </c>
      <c r="G109" s="5">
        <f>VLOOKUP($A109,tropes!$A$4:$O$2428,7,FALSE)</f>
        <v>1</v>
      </c>
      <c r="H109" s="5">
        <f>VLOOKUP($A109,tropes!$A$4:$O$2428,8,FALSE)</f>
        <v>0</v>
      </c>
      <c r="I109" s="5">
        <f>VLOOKUP($A109,tropes!$A$4:$O$2428,9,FALSE)</f>
        <v>208</v>
      </c>
      <c r="J109" s="5">
        <f>VLOOKUP($A109,tropes!$A$4:$O$2428,10,FALSE)</f>
        <v>38</v>
      </c>
      <c r="K109" s="5" t="str">
        <f>VLOOKUP($A109,tropes!$A$4:$O$2428,11,FALSE)</f>
        <v>I, Mudd</v>
      </c>
      <c r="L109" s="5">
        <f>VLOOKUP($A109,tropes!$A$4:$O$2428,12,FALSE)</f>
        <v>2</v>
      </c>
      <c r="M109" s="5">
        <f>VLOOKUP($A109,tropes!$A$4:$O$2428,13,FALSE)</f>
        <v>8</v>
      </c>
      <c r="N109" s="5">
        <f t="shared" si="1"/>
        <v>3</v>
      </c>
    </row>
    <row r="110" spans="1:14" x14ac:dyDescent="0.3">
      <c r="A110" s="14">
        <v>2279</v>
      </c>
      <c r="B110" s="5" t="str">
        <f>VLOOKUP($A110,tropes!$A$4:$O$2428,2,FALSE)</f>
        <v>Hopelessly Outmatched</v>
      </c>
      <c r="C110" s="5" t="str">
        <f>VLOOKUP($A110,tropes!$A$4:$O$2428,3,FALSE)</f>
        <v>fight</v>
      </c>
      <c r="D110" s="5" t="str">
        <f>VLOOKUP($A110,tropes!$A$4:$O$2428,4,FALSE)</f>
        <v>outmatched</v>
      </c>
      <c r="E110" s="5" t="str">
        <f>VLOOKUP($A110,tropes!$A$4:$O$2428,5,FALSE)</f>
        <v>Spock touches the Companion and it attacks him and knocks him out.</v>
      </c>
      <c r="F110" s="5" t="str">
        <f>VLOOKUP($A110,tropes!$A$4:$O$2428,6,FALSE)</f>
        <v>spock</v>
      </c>
      <c r="G110" s="5">
        <f>VLOOKUP($A110,tropes!$A$4:$O$2428,7,FALSE)</f>
        <v>1</v>
      </c>
      <c r="H110" s="5">
        <f>VLOOKUP($A110,tropes!$A$4:$O$2428,8,FALSE)</f>
        <v>0</v>
      </c>
      <c r="I110" s="5">
        <f>VLOOKUP($A110,tropes!$A$4:$O$2428,9,FALSE)</f>
        <v>209</v>
      </c>
      <c r="J110" s="5">
        <f>VLOOKUP($A110,tropes!$A$4:$O$2428,10,FALSE)</f>
        <v>39</v>
      </c>
      <c r="K110" s="5" t="str">
        <f>VLOOKUP($A110,tropes!$A$4:$O$2428,11,FALSE)</f>
        <v>Metamorphosis</v>
      </c>
      <c r="L110" s="5">
        <f>VLOOKUP($A110,tropes!$A$4:$O$2428,12,FALSE)</f>
        <v>2</v>
      </c>
      <c r="M110" s="5">
        <f>VLOOKUP($A110,tropes!$A$4:$O$2428,13,FALSE)</f>
        <v>9</v>
      </c>
      <c r="N110" s="5">
        <f t="shared" si="1"/>
        <v>0</v>
      </c>
    </row>
    <row r="111" spans="1:14" x14ac:dyDescent="0.3">
      <c r="A111" s="14">
        <v>2280</v>
      </c>
      <c r="B111" s="5" t="str">
        <f>VLOOKUP($A111,tropes!$A$4:$O$2428,2,FALSE)</f>
        <v>Hopelessly Outmatched</v>
      </c>
      <c r="C111" s="5" t="str">
        <f>VLOOKUP($A111,tropes!$A$4:$O$2428,3,FALSE)</f>
        <v>fight</v>
      </c>
      <c r="D111" s="5" t="str">
        <f>VLOOKUP($A111,tropes!$A$4:$O$2428,4,FALSE)</f>
        <v>outmatched</v>
      </c>
      <c r="E111" s="5" t="str">
        <f>VLOOKUP($A111,tropes!$A$4:$O$2428,5,FALSE)</f>
        <v>Spock turns on the contraption and disrupts the Companion. But all it does is make it made. It turns and attacks Kirk and Spock.</v>
      </c>
      <c r="F111" s="5" t="str">
        <f>VLOOKUP($A111,tropes!$A$4:$O$2428,6,FALSE)</f>
        <v>spock</v>
      </c>
      <c r="G111" s="5">
        <f>VLOOKUP($A111,tropes!$A$4:$O$2428,7,FALSE)</f>
        <v>1</v>
      </c>
      <c r="H111" s="5">
        <f>VLOOKUP($A111,tropes!$A$4:$O$2428,8,FALSE)</f>
        <v>0</v>
      </c>
      <c r="I111" s="5">
        <f>VLOOKUP($A111,tropes!$A$4:$O$2428,9,FALSE)</f>
        <v>209</v>
      </c>
      <c r="J111" s="5">
        <f>VLOOKUP($A111,tropes!$A$4:$O$2428,10,FALSE)</f>
        <v>39</v>
      </c>
      <c r="K111" s="5" t="str">
        <f>VLOOKUP($A111,tropes!$A$4:$O$2428,11,FALSE)</f>
        <v>Metamorphosis</v>
      </c>
      <c r="L111" s="5">
        <f>VLOOKUP($A111,tropes!$A$4:$O$2428,12,FALSE)</f>
        <v>2</v>
      </c>
      <c r="M111" s="5">
        <f>VLOOKUP($A111,tropes!$A$4:$O$2428,13,FALSE)</f>
        <v>9</v>
      </c>
      <c r="N111" s="5">
        <f t="shared" si="1"/>
        <v>1</v>
      </c>
    </row>
    <row r="112" spans="1:14" x14ac:dyDescent="0.3">
      <c r="A112" s="14">
        <v>2291</v>
      </c>
      <c r="B112" s="5" t="str">
        <f>VLOOKUP($A112,tropes!$A$4:$O$2428,2,FALSE)</f>
        <v>Fight</v>
      </c>
      <c r="C112" s="5" t="str">
        <f>VLOOKUP($A112,tropes!$A$4:$O$2428,3,FALSE)</f>
        <v>fight</v>
      </c>
      <c r="D112" s="5">
        <f>VLOOKUP($A112,tropes!$A$4:$O$2428,4,FALSE)</f>
        <v>0</v>
      </c>
      <c r="E112" s="5" t="str">
        <f>VLOOKUP($A112,tropes!$A$4:$O$2428,5,FALSE)</f>
        <v>Amanda slaps Spock when he refuses to relinquish command and go give blood to his father.</v>
      </c>
      <c r="F112" s="5" t="str">
        <f>VLOOKUP($A112,tropes!$A$4:$O$2428,6,FALSE)</f>
        <v>spock</v>
      </c>
      <c r="G112" s="5">
        <f>VLOOKUP($A112,tropes!$A$4:$O$2428,7,FALSE)</f>
        <v>1</v>
      </c>
      <c r="H112" s="5">
        <f>VLOOKUP($A112,tropes!$A$4:$O$2428,8,FALSE)</f>
        <v>0</v>
      </c>
      <c r="I112" s="5">
        <f>VLOOKUP($A112,tropes!$A$4:$O$2428,9,FALSE)</f>
        <v>210</v>
      </c>
      <c r="J112" s="5">
        <f>VLOOKUP($A112,tropes!$A$4:$O$2428,10,FALSE)</f>
        <v>40</v>
      </c>
      <c r="K112" s="5" t="str">
        <f>VLOOKUP($A112,tropes!$A$4:$O$2428,11,FALSE)</f>
        <v>Journey to Babel</v>
      </c>
      <c r="L112" s="5">
        <f>VLOOKUP($A112,tropes!$A$4:$O$2428,12,FALSE)</f>
        <v>2</v>
      </c>
      <c r="M112" s="5">
        <f>VLOOKUP($A112,tropes!$A$4:$O$2428,13,FALSE)</f>
        <v>10</v>
      </c>
      <c r="N112" s="5">
        <f t="shared" si="1"/>
        <v>0</v>
      </c>
    </row>
    <row r="113" spans="1:14" x14ac:dyDescent="0.3">
      <c r="A113" s="14">
        <v>79</v>
      </c>
      <c r="B113" s="5" t="str">
        <f>VLOOKUP($A113,tropes!$A$4:$O$2428,2,FALSE)</f>
        <v>Fight</v>
      </c>
      <c r="C113" s="5" t="str">
        <f>VLOOKUP($A113,tropes!$A$4:$O$2428,3,FALSE)</f>
        <v>fight</v>
      </c>
      <c r="D113" s="5">
        <f>VLOOKUP($A113,tropes!$A$4:$O$2428,4,FALSE)</f>
        <v>0</v>
      </c>
      <c r="E113" s="5" t="str">
        <f>VLOOKUP($A113,tropes!$A$4:$O$2428,5,FALSE)</f>
        <v xml:space="preserve">Andorian prisoner attacks security when they search him. </v>
      </c>
      <c r="F113" s="5" t="str">
        <f>VLOOKUP($A113,tropes!$A$4:$O$2428,6,FALSE)</f>
        <v>andorian</v>
      </c>
      <c r="G113" s="5">
        <f>VLOOKUP($A113,tropes!$A$4:$O$2428,7,FALSE)</f>
        <v>0</v>
      </c>
      <c r="H113" s="5">
        <f>VLOOKUP($A113,tropes!$A$4:$O$2428,8,FALSE)</f>
        <v>0</v>
      </c>
      <c r="I113" s="5">
        <f>VLOOKUP($A113,tropes!$A$4:$O$2428,9,FALSE)</f>
        <v>210</v>
      </c>
      <c r="J113" s="5">
        <f>VLOOKUP($A113,tropes!$A$4:$O$2428,10,FALSE)</f>
        <v>40</v>
      </c>
      <c r="K113" s="5" t="str">
        <f>VLOOKUP($A113,tropes!$A$4:$O$2428,11,FALSE)</f>
        <v>Journey to Babel</v>
      </c>
      <c r="L113" s="5">
        <f>VLOOKUP($A113,tropes!$A$4:$O$2428,12,FALSE)</f>
        <v>2</v>
      </c>
      <c r="M113" s="5">
        <f>VLOOKUP($A113,tropes!$A$4:$O$2428,13,FALSE)</f>
        <v>10</v>
      </c>
      <c r="N113" s="5">
        <f t="shared" si="1"/>
        <v>1</v>
      </c>
    </row>
    <row r="114" spans="1:14" x14ac:dyDescent="0.3">
      <c r="A114" s="14">
        <v>80</v>
      </c>
      <c r="B114" s="5" t="str">
        <f>VLOOKUP($A114,tropes!$A$4:$O$2428,2,FALSE)</f>
        <v>Fight</v>
      </c>
      <c r="C114" s="5" t="str">
        <f>VLOOKUP($A114,tropes!$A$4:$O$2428,3,FALSE)</f>
        <v>fight</v>
      </c>
      <c r="D114" s="5">
        <f>VLOOKUP($A114,tropes!$A$4:$O$2428,4,FALSE)</f>
        <v>0</v>
      </c>
      <c r="E114" s="5" t="str">
        <f>VLOOKUP($A114,tropes!$A$4:$O$2428,5,FALSE)</f>
        <v>Kirk fights the Andorian spy on board the Enterprise. Kirk knocks out the Andorian but not before he gets stabbed in the back.</v>
      </c>
      <c r="F114" s="5" t="str">
        <f>VLOOKUP($A114,tropes!$A$4:$O$2428,6,FALSE)</f>
        <v>andorian</v>
      </c>
      <c r="G114" s="5">
        <f>VLOOKUP($A114,tropes!$A$4:$O$2428,7,FALSE)</f>
        <v>0</v>
      </c>
      <c r="H114" s="5">
        <f>VLOOKUP($A114,tropes!$A$4:$O$2428,8,FALSE)</f>
        <v>0</v>
      </c>
      <c r="I114" s="5">
        <f>VLOOKUP($A114,tropes!$A$4:$O$2428,9,FALSE)</f>
        <v>210</v>
      </c>
      <c r="J114" s="5">
        <f>VLOOKUP($A114,tropes!$A$4:$O$2428,10,FALSE)</f>
        <v>40</v>
      </c>
      <c r="K114" s="5" t="str">
        <f>VLOOKUP($A114,tropes!$A$4:$O$2428,11,FALSE)</f>
        <v>Journey to Babel</v>
      </c>
      <c r="L114" s="5">
        <f>VLOOKUP($A114,tropes!$A$4:$O$2428,12,FALSE)</f>
        <v>2</v>
      </c>
      <c r="M114" s="5">
        <f>VLOOKUP($A114,tropes!$A$4:$O$2428,13,FALSE)</f>
        <v>10</v>
      </c>
      <c r="N114" s="5">
        <f t="shared" si="1"/>
        <v>2</v>
      </c>
    </row>
    <row r="115" spans="1:14" x14ac:dyDescent="0.3">
      <c r="A115" s="14">
        <v>1482</v>
      </c>
      <c r="B115" s="5" t="str">
        <f>VLOOKUP($A115,tropes!$A$4:$O$2428,2,FALSE)</f>
        <v>Hopelessly Outmatched</v>
      </c>
      <c r="C115" s="5" t="str">
        <f>VLOOKUP($A115,tropes!$A$4:$O$2428,3,FALSE)</f>
        <v>fight</v>
      </c>
      <c r="D115" s="5" t="str">
        <f>VLOOKUP($A115,tropes!$A$4:$O$2428,4,FALSE)</f>
        <v>outmatched</v>
      </c>
      <c r="E115" s="5" t="str">
        <f>VLOOKUP($A115,tropes!$A$4:$O$2428,5,FALSE)</f>
        <v>Tellurite attacks Sarek and is pushed back into the wall</v>
      </c>
      <c r="F115" s="5" t="str">
        <f>VLOOKUP($A115,tropes!$A$4:$O$2428,6,FALSE)</f>
        <v>mccoy</v>
      </c>
      <c r="G115" s="5">
        <f>VLOOKUP($A115,tropes!$A$4:$O$2428,7,FALSE)</f>
        <v>0</v>
      </c>
      <c r="H115" s="5">
        <f>VLOOKUP($A115,tropes!$A$4:$O$2428,8,FALSE)</f>
        <v>1</v>
      </c>
      <c r="I115" s="5">
        <f>VLOOKUP($A115,tropes!$A$4:$O$2428,9,FALSE)</f>
        <v>210</v>
      </c>
      <c r="J115" s="5">
        <f>VLOOKUP($A115,tropes!$A$4:$O$2428,10,FALSE)</f>
        <v>40</v>
      </c>
      <c r="K115" s="5" t="str">
        <f>VLOOKUP($A115,tropes!$A$4:$O$2428,11,FALSE)</f>
        <v>Journey to Babel</v>
      </c>
      <c r="L115" s="5">
        <f>VLOOKUP($A115,tropes!$A$4:$O$2428,12,FALSE)</f>
        <v>2</v>
      </c>
      <c r="M115" s="5">
        <f>VLOOKUP($A115,tropes!$A$4:$O$2428,13,FALSE)</f>
        <v>10</v>
      </c>
      <c r="N115" s="5">
        <f t="shared" si="1"/>
        <v>3</v>
      </c>
    </row>
    <row r="116" spans="1:14" x14ac:dyDescent="0.3">
      <c r="A116" s="14">
        <v>2953</v>
      </c>
      <c r="B116" s="5" t="str">
        <f>VLOOKUP($A116,tropes!$A$4:$O$2428,2,FALSE)</f>
        <v>fight</v>
      </c>
      <c r="C116" s="5" t="str">
        <f>VLOOKUP($A116,tropes!$A$4:$O$2428,3,FALSE)</f>
        <v>fight</v>
      </c>
      <c r="D116" s="5">
        <f>VLOOKUP($A116,tropes!$A$4:$O$2428,4,FALSE)</f>
        <v>0</v>
      </c>
      <c r="E116" s="5" t="str">
        <f>VLOOKUP($A116,tropes!$A$4:$O$2428,5,FALSE)</f>
        <v>Akaar stabs soldier in front of his tent with sword.</v>
      </c>
      <c r="F116" s="5">
        <f>VLOOKUP($A116,tropes!$A$4:$O$2428,6,FALSE)</f>
        <v>0</v>
      </c>
      <c r="G116" s="5">
        <f>VLOOKUP($A116,tropes!$A$4:$O$2428,7,FALSE)</f>
        <v>0</v>
      </c>
      <c r="H116" s="5">
        <f>VLOOKUP($A116,tropes!$A$4:$O$2428,8,FALSE)</f>
        <v>0</v>
      </c>
      <c r="I116" s="5">
        <f>VLOOKUP($A116,tropes!$A$4:$O$2428,9,FALSE)</f>
        <v>211</v>
      </c>
      <c r="J116" s="5">
        <f>VLOOKUP($A116,tropes!$A$4:$O$2428,10,FALSE)</f>
        <v>41</v>
      </c>
      <c r="K116" s="5" t="str">
        <f>VLOOKUP($A116,tropes!$A$4:$O$2428,11,FALSE)</f>
        <v>Friday's Child</v>
      </c>
      <c r="L116" s="5">
        <f>VLOOKUP($A116,tropes!$A$4:$O$2428,12,FALSE)</f>
        <v>2</v>
      </c>
      <c r="M116" s="5">
        <f>VLOOKUP($A116,tropes!$A$4:$O$2428,13,FALSE)</f>
        <v>11</v>
      </c>
      <c r="N116" s="5">
        <f t="shared" si="1"/>
        <v>0</v>
      </c>
    </row>
    <row r="117" spans="1:14" x14ac:dyDescent="0.3">
      <c r="A117" s="14">
        <v>2987</v>
      </c>
      <c r="B117" s="5" t="str">
        <f>VLOOKUP($A117,tropes!$A$4:$O$2428,2,FALSE)</f>
        <v>Back Stab</v>
      </c>
      <c r="C117" s="5" t="str">
        <f>VLOOKUP($A117,tropes!$A$4:$O$2428,3,FALSE)</f>
        <v>fight</v>
      </c>
      <c r="D117" s="5">
        <f>VLOOKUP($A117,tropes!$A$4:$O$2428,4,FALSE)</f>
        <v>0</v>
      </c>
      <c r="E117" s="5" t="str">
        <f>VLOOKUP($A117,tropes!$A$4:$O$2428,5,FALSE)</f>
        <v>Eleen picks up a rock and smacks McCoy in the head while he's sleeping</v>
      </c>
      <c r="F117" s="5" t="str">
        <f>VLOOKUP($A117,tropes!$A$4:$O$2428,6,FALSE)</f>
        <v>eleen</v>
      </c>
      <c r="G117" s="5">
        <f>VLOOKUP($A117,tropes!$A$4:$O$2428,7,FALSE)</f>
        <v>0</v>
      </c>
      <c r="H117" s="5">
        <f>VLOOKUP($A117,tropes!$A$4:$O$2428,8,FALSE)</f>
        <v>0</v>
      </c>
      <c r="I117" s="5">
        <f>VLOOKUP($A117,tropes!$A$4:$O$2428,9,FALSE)</f>
        <v>211</v>
      </c>
      <c r="J117" s="5">
        <f>VLOOKUP($A117,tropes!$A$4:$O$2428,10,FALSE)</f>
        <v>41</v>
      </c>
      <c r="K117" s="5" t="str">
        <f>VLOOKUP($A117,tropes!$A$4:$O$2428,11,FALSE)</f>
        <v>Friday's Child</v>
      </c>
      <c r="L117" s="5">
        <f>VLOOKUP($A117,tropes!$A$4:$O$2428,12,FALSE)</f>
        <v>2</v>
      </c>
      <c r="M117" s="5">
        <f>VLOOKUP($A117,tropes!$A$4:$O$2428,13,FALSE)</f>
        <v>11</v>
      </c>
      <c r="N117" s="5">
        <f t="shared" si="1"/>
        <v>1</v>
      </c>
    </row>
    <row r="118" spans="1:14" x14ac:dyDescent="0.3">
      <c r="A118" s="14">
        <v>2949</v>
      </c>
      <c r="B118" s="5" t="str">
        <f>VLOOKUP($A118,tropes!$A$4:$O$2428,2,FALSE)</f>
        <v>fight</v>
      </c>
      <c r="C118" s="5" t="str">
        <f>VLOOKUP($A118,tropes!$A$4:$O$2428,3,FALSE)</f>
        <v>fight</v>
      </c>
      <c r="D118" s="5">
        <f>VLOOKUP($A118,tropes!$A$4:$O$2428,4,FALSE)</f>
        <v>0</v>
      </c>
      <c r="E118" s="5" t="str">
        <f>VLOOKUP($A118,tropes!$A$4:$O$2428,5,FALSE)</f>
        <v>Kirk fights Klingon in Akaar's tent while looking for weapons and communicators</v>
      </c>
      <c r="F118" s="5" t="str">
        <f>VLOOKUP($A118,tropes!$A$4:$O$2428,6,FALSE)</f>
        <v>kirk</v>
      </c>
      <c r="G118" s="5">
        <f>VLOOKUP($A118,tropes!$A$4:$O$2428,7,FALSE)</f>
        <v>1</v>
      </c>
      <c r="H118" s="5">
        <f>VLOOKUP($A118,tropes!$A$4:$O$2428,8,FALSE)</f>
        <v>0</v>
      </c>
      <c r="I118" s="5">
        <f>VLOOKUP($A118,tropes!$A$4:$O$2428,9,FALSE)</f>
        <v>211</v>
      </c>
      <c r="J118" s="5">
        <f>VLOOKUP($A118,tropes!$A$4:$O$2428,10,FALSE)</f>
        <v>41</v>
      </c>
      <c r="K118" s="5" t="str">
        <f>VLOOKUP($A118,tropes!$A$4:$O$2428,11,FALSE)</f>
        <v>Friday's Child</v>
      </c>
      <c r="L118" s="5">
        <f>VLOOKUP($A118,tropes!$A$4:$O$2428,12,FALSE)</f>
        <v>2</v>
      </c>
      <c r="M118" s="5">
        <f>VLOOKUP($A118,tropes!$A$4:$O$2428,13,FALSE)</f>
        <v>11</v>
      </c>
      <c r="N118" s="5">
        <f t="shared" si="1"/>
        <v>2</v>
      </c>
    </row>
    <row r="119" spans="1:14" x14ac:dyDescent="0.3">
      <c r="A119" s="14">
        <v>2952</v>
      </c>
      <c r="B119" s="5" t="str">
        <f>VLOOKUP($A119,tropes!$A$4:$O$2428,2,FALSE)</f>
        <v>fight</v>
      </c>
      <c r="C119" s="5" t="str">
        <f>VLOOKUP($A119,tropes!$A$4:$O$2428,3,FALSE)</f>
        <v>fight</v>
      </c>
      <c r="D119" s="5">
        <f>VLOOKUP($A119,tropes!$A$4:$O$2428,4,FALSE)</f>
        <v>0</v>
      </c>
      <c r="E119" s="5" t="str">
        <f>VLOOKUP($A119,tropes!$A$4:$O$2428,5,FALSE)</f>
        <v>Kirk fights one lf Maab's men and knocks him out in front of their tent.</v>
      </c>
      <c r="F119" s="5" t="str">
        <f>VLOOKUP($A119,tropes!$A$4:$O$2428,6,FALSE)</f>
        <v>kirk</v>
      </c>
      <c r="G119" s="5">
        <f>VLOOKUP($A119,tropes!$A$4:$O$2428,7,FALSE)</f>
        <v>1</v>
      </c>
      <c r="H119" s="5">
        <f>VLOOKUP($A119,tropes!$A$4:$O$2428,8,FALSE)</f>
        <v>0</v>
      </c>
      <c r="I119" s="5">
        <f>VLOOKUP($A119,tropes!$A$4:$O$2428,9,FALSE)</f>
        <v>211</v>
      </c>
      <c r="J119" s="5">
        <f>VLOOKUP($A119,tropes!$A$4:$O$2428,10,FALSE)</f>
        <v>41</v>
      </c>
      <c r="K119" s="5" t="str">
        <f>VLOOKUP($A119,tropes!$A$4:$O$2428,11,FALSE)</f>
        <v>Friday's Child</v>
      </c>
      <c r="L119" s="5">
        <f>VLOOKUP($A119,tropes!$A$4:$O$2428,12,FALSE)</f>
        <v>2</v>
      </c>
      <c r="M119" s="5">
        <f>VLOOKUP($A119,tropes!$A$4:$O$2428,13,FALSE)</f>
        <v>11</v>
      </c>
      <c r="N119" s="5">
        <f t="shared" si="1"/>
        <v>3</v>
      </c>
    </row>
    <row r="120" spans="1:14" x14ac:dyDescent="0.3">
      <c r="A120" s="14">
        <v>2999</v>
      </c>
      <c r="B120" s="5" t="str">
        <f>VLOOKUP($A120,tropes!$A$4:$O$2428,2,FALSE)</f>
        <v>fight</v>
      </c>
      <c r="C120" s="5" t="str">
        <f>VLOOKUP($A120,tropes!$A$4:$O$2428,3,FALSE)</f>
        <v>fight</v>
      </c>
      <c r="D120" s="5">
        <f>VLOOKUP($A120,tropes!$A$4:$O$2428,4,FALSE)</f>
        <v>0</v>
      </c>
      <c r="E120" s="5" t="str">
        <f>VLOOKUP($A120,tropes!$A$4:$O$2428,5,FALSE)</f>
        <v>Kirk fires arrow into guard's neck (killing him)</v>
      </c>
      <c r="F120" s="5" t="str">
        <f>VLOOKUP($A120,tropes!$A$4:$O$2428,6,FALSE)</f>
        <v>kirk</v>
      </c>
      <c r="G120" s="5">
        <f>VLOOKUP($A120,tropes!$A$4:$O$2428,7,FALSE)</f>
        <v>1</v>
      </c>
      <c r="H120" s="5">
        <f>VLOOKUP($A120,tropes!$A$4:$O$2428,8,FALSE)</f>
        <v>0</v>
      </c>
      <c r="I120" s="5">
        <f>VLOOKUP($A120,tropes!$A$4:$O$2428,9,FALSE)</f>
        <v>211</v>
      </c>
      <c r="J120" s="5">
        <f>VLOOKUP($A120,tropes!$A$4:$O$2428,10,FALSE)</f>
        <v>41</v>
      </c>
      <c r="K120" s="5" t="str">
        <f>VLOOKUP($A120,tropes!$A$4:$O$2428,11,FALSE)</f>
        <v>Friday's Child</v>
      </c>
      <c r="L120" s="5">
        <f>VLOOKUP($A120,tropes!$A$4:$O$2428,12,FALSE)</f>
        <v>2</v>
      </c>
      <c r="M120" s="5">
        <f>VLOOKUP($A120,tropes!$A$4:$O$2428,13,FALSE)</f>
        <v>11</v>
      </c>
      <c r="N120" s="5">
        <f t="shared" si="1"/>
        <v>4</v>
      </c>
    </row>
    <row r="121" spans="1:14" x14ac:dyDescent="0.3">
      <c r="A121" s="14">
        <v>2998</v>
      </c>
      <c r="B121" s="5" t="str">
        <f>VLOOKUP($A121,tropes!$A$4:$O$2428,2,FALSE)</f>
        <v>fight</v>
      </c>
      <c r="C121" s="5" t="str">
        <f>VLOOKUP($A121,tropes!$A$4:$O$2428,3,FALSE)</f>
        <v>fight</v>
      </c>
      <c r="D121" s="5">
        <f>VLOOKUP($A121,tropes!$A$4:$O$2428,4,FALSE)</f>
        <v>0</v>
      </c>
      <c r="E121" s="5" t="str">
        <f>VLOOKUP($A121,tropes!$A$4:$O$2428,5,FALSE)</f>
        <v>Kirk fires arrow into Klingon's leg.</v>
      </c>
      <c r="F121" s="5" t="str">
        <f>VLOOKUP($A121,tropes!$A$4:$O$2428,6,FALSE)</f>
        <v>kirk</v>
      </c>
      <c r="G121" s="5">
        <f>VLOOKUP($A121,tropes!$A$4:$O$2428,7,FALSE)</f>
        <v>1</v>
      </c>
      <c r="H121" s="5">
        <f>VLOOKUP($A121,tropes!$A$4:$O$2428,8,FALSE)</f>
        <v>0</v>
      </c>
      <c r="I121" s="5">
        <f>VLOOKUP($A121,tropes!$A$4:$O$2428,9,FALSE)</f>
        <v>211</v>
      </c>
      <c r="J121" s="5">
        <f>VLOOKUP($A121,tropes!$A$4:$O$2428,10,FALSE)</f>
        <v>41</v>
      </c>
      <c r="K121" s="5" t="str">
        <f>VLOOKUP($A121,tropes!$A$4:$O$2428,11,FALSE)</f>
        <v>Friday's Child</v>
      </c>
      <c r="L121" s="5">
        <f>VLOOKUP($A121,tropes!$A$4:$O$2428,12,FALSE)</f>
        <v>2</v>
      </c>
      <c r="M121" s="5">
        <f>VLOOKUP($A121,tropes!$A$4:$O$2428,13,FALSE)</f>
        <v>11</v>
      </c>
      <c r="N121" s="5">
        <f t="shared" si="1"/>
        <v>5</v>
      </c>
    </row>
    <row r="122" spans="1:14" x14ac:dyDescent="0.3">
      <c r="A122" s="14">
        <v>2962</v>
      </c>
      <c r="B122" s="5" t="str">
        <f>VLOOKUP($A122,tropes!$A$4:$O$2428,2,FALSE)</f>
        <v>fight</v>
      </c>
      <c r="C122" s="5" t="str">
        <f>VLOOKUP($A122,tropes!$A$4:$O$2428,3,FALSE)</f>
        <v>fight</v>
      </c>
      <c r="D122" s="5">
        <f>VLOOKUP($A122,tropes!$A$4:$O$2428,4,FALSE)</f>
        <v>0</v>
      </c>
      <c r="E122" s="5" t="str">
        <f>VLOOKUP($A122,tropes!$A$4:$O$2428,5,FALSE)</f>
        <v>Kirk knocks out after McCoy distracts them by touching Eleen.</v>
      </c>
      <c r="F122" s="5">
        <f>VLOOKUP($A122,tropes!$A$4:$O$2428,6,FALSE)</f>
        <v>0</v>
      </c>
      <c r="G122" s="5">
        <f>VLOOKUP($A122,tropes!$A$4:$O$2428,7,FALSE)</f>
        <v>1</v>
      </c>
      <c r="H122" s="5">
        <f>VLOOKUP($A122,tropes!$A$4:$O$2428,8,FALSE)</f>
        <v>0</v>
      </c>
      <c r="I122" s="5">
        <f>VLOOKUP($A122,tropes!$A$4:$O$2428,9,FALSE)</f>
        <v>211</v>
      </c>
      <c r="J122" s="5">
        <f>VLOOKUP($A122,tropes!$A$4:$O$2428,10,FALSE)</f>
        <v>41</v>
      </c>
      <c r="K122" s="5" t="str">
        <f>VLOOKUP($A122,tropes!$A$4:$O$2428,11,FALSE)</f>
        <v>Friday's Child</v>
      </c>
      <c r="L122" s="5">
        <f>VLOOKUP($A122,tropes!$A$4:$O$2428,12,FALSE)</f>
        <v>2</v>
      </c>
      <c r="M122" s="5">
        <f>VLOOKUP($A122,tropes!$A$4:$O$2428,13,FALSE)</f>
        <v>11</v>
      </c>
      <c r="N122" s="5">
        <f t="shared" si="1"/>
        <v>6</v>
      </c>
    </row>
    <row r="123" spans="1:14" x14ac:dyDescent="0.3">
      <c r="A123" s="14">
        <v>2951</v>
      </c>
      <c r="B123" s="5" t="str">
        <f>VLOOKUP($A123,tropes!$A$4:$O$2428,2,FALSE)</f>
        <v>The Coup</v>
      </c>
      <c r="C123" s="5" t="str">
        <f>VLOOKUP($A123,tropes!$A$4:$O$2428,3,FALSE)</f>
        <v>fight</v>
      </c>
      <c r="D123" s="5">
        <f>VLOOKUP($A123,tropes!$A$4:$O$2428,4,FALSE)</f>
        <v>0</v>
      </c>
      <c r="E123" s="5" t="str">
        <f>VLOOKUP($A123,tropes!$A$4:$O$2428,5,FALSE)</f>
        <v>Maab doesn't like dealing with the Earth people as has staged a coup on  Akaar, the Teer.</v>
      </c>
      <c r="F123" s="5">
        <f>VLOOKUP($A123,tropes!$A$4:$O$2428,6,FALSE)</f>
        <v>0</v>
      </c>
      <c r="G123" s="5">
        <f>VLOOKUP($A123,tropes!$A$4:$O$2428,7,FALSE)</f>
        <v>0</v>
      </c>
      <c r="H123" s="5">
        <f>VLOOKUP($A123,tropes!$A$4:$O$2428,8,FALSE)</f>
        <v>0</v>
      </c>
      <c r="I123" s="5">
        <f>VLOOKUP($A123,tropes!$A$4:$O$2428,9,FALSE)</f>
        <v>211</v>
      </c>
      <c r="J123" s="5">
        <f>VLOOKUP($A123,tropes!$A$4:$O$2428,10,FALSE)</f>
        <v>41</v>
      </c>
      <c r="K123" s="5" t="str">
        <f>VLOOKUP($A123,tropes!$A$4:$O$2428,11,FALSE)</f>
        <v>Friday's Child</v>
      </c>
      <c r="L123" s="5">
        <f>VLOOKUP($A123,tropes!$A$4:$O$2428,12,FALSE)</f>
        <v>2</v>
      </c>
      <c r="M123" s="5">
        <f>VLOOKUP($A123,tropes!$A$4:$O$2428,13,FALSE)</f>
        <v>11</v>
      </c>
      <c r="N123" s="5">
        <f t="shared" si="1"/>
        <v>7</v>
      </c>
    </row>
    <row r="124" spans="1:14" x14ac:dyDescent="0.3">
      <c r="A124" s="14">
        <v>2944</v>
      </c>
      <c r="B124" s="5" t="str">
        <f>VLOOKUP($A124,tropes!$A$4:$O$2428,2,FALSE)</f>
        <v>fight</v>
      </c>
      <c r="C124" s="5" t="str">
        <f>VLOOKUP($A124,tropes!$A$4:$O$2428,3,FALSE)</f>
        <v>fight</v>
      </c>
      <c r="D124" s="5">
        <f>VLOOKUP($A124,tropes!$A$4:$O$2428,4,FALSE)</f>
        <v>0</v>
      </c>
      <c r="E124" s="5" t="str">
        <f>VLOOKUP($A124,tropes!$A$4:$O$2428,5,FALSE)</f>
        <v>Maab kills Akaar</v>
      </c>
      <c r="F124" s="5">
        <f>VLOOKUP($A124,tropes!$A$4:$O$2428,6,FALSE)</f>
        <v>0</v>
      </c>
      <c r="G124" s="5">
        <f>VLOOKUP($A124,tropes!$A$4:$O$2428,7,FALSE)</f>
        <v>0</v>
      </c>
      <c r="H124" s="5">
        <f>VLOOKUP($A124,tropes!$A$4:$O$2428,8,FALSE)</f>
        <v>0</v>
      </c>
      <c r="I124" s="5">
        <f>VLOOKUP($A124,tropes!$A$4:$O$2428,9,FALSE)</f>
        <v>211</v>
      </c>
      <c r="J124" s="5">
        <f>VLOOKUP($A124,tropes!$A$4:$O$2428,10,FALSE)</f>
        <v>41</v>
      </c>
      <c r="K124" s="5" t="str">
        <f>VLOOKUP($A124,tropes!$A$4:$O$2428,11,FALSE)</f>
        <v>Friday's Child</v>
      </c>
      <c r="L124" s="5">
        <f>VLOOKUP($A124,tropes!$A$4:$O$2428,12,FALSE)</f>
        <v>2</v>
      </c>
      <c r="M124" s="5">
        <f>VLOOKUP($A124,tropes!$A$4:$O$2428,13,FALSE)</f>
        <v>11</v>
      </c>
      <c r="N124" s="5">
        <f t="shared" si="1"/>
        <v>8</v>
      </c>
    </row>
    <row r="125" spans="1:14" x14ac:dyDescent="0.3">
      <c r="A125" s="14">
        <v>2950</v>
      </c>
      <c r="B125" s="5" t="str">
        <f>VLOOKUP($A125,tropes!$A$4:$O$2428,2,FALSE)</f>
        <v>fight</v>
      </c>
      <c r="C125" s="5" t="str">
        <f>VLOOKUP($A125,tropes!$A$4:$O$2428,3,FALSE)</f>
        <v>fight</v>
      </c>
      <c r="D125" s="5">
        <f>VLOOKUP($A125,tropes!$A$4:$O$2428,4,FALSE)</f>
        <v>0</v>
      </c>
      <c r="E125" s="5" t="str">
        <f>VLOOKUP($A125,tropes!$A$4:$O$2428,5,FALSE)</f>
        <v>Maab stabs soldier in camp.</v>
      </c>
      <c r="F125" s="5">
        <f>VLOOKUP($A125,tropes!$A$4:$O$2428,6,FALSE)</f>
        <v>0</v>
      </c>
      <c r="G125" s="5">
        <f>VLOOKUP($A125,tropes!$A$4:$O$2428,7,FALSE)</f>
        <v>0</v>
      </c>
      <c r="H125" s="5">
        <f>VLOOKUP($A125,tropes!$A$4:$O$2428,8,FALSE)</f>
        <v>0</v>
      </c>
      <c r="I125" s="5">
        <f>VLOOKUP($A125,tropes!$A$4:$O$2428,9,FALSE)</f>
        <v>211</v>
      </c>
      <c r="J125" s="5">
        <f>VLOOKUP($A125,tropes!$A$4:$O$2428,10,FALSE)</f>
        <v>41</v>
      </c>
      <c r="K125" s="5" t="str">
        <f>VLOOKUP($A125,tropes!$A$4:$O$2428,11,FALSE)</f>
        <v>Friday's Child</v>
      </c>
      <c r="L125" s="5">
        <f>VLOOKUP($A125,tropes!$A$4:$O$2428,12,FALSE)</f>
        <v>2</v>
      </c>
      <c r="M125" s="5">
        <f>VLOOKUP($A125,tropes!$A$4:$O$2428,13,FALSE)</f>
        <v>11</v>
      </c>
      <c r="N125" s="5">
        <f t="shared" si="1"/>
        <v>9</v>
      </c>
    </row>
    <row r="126" spans="1:14" x14ac:dyDescent="0.3">
      <c r="A126" s="14">
        <v>2948</v>
      </c>
      <c r="B126" s="5" t="str">
        <f>VLOOKUP($A126,tropes!$A$4:$O$2428,2,FALSE)</f>
        <v>fight</v>
      </c>
      <c r="C126" s="5" t="str">
        <f>VLOOKUP($A126,tropes!$A$4:$O$2428,3,FALSE)</f>
        <v>fight</v>
      </c>
      <c r="D126" s="5">
        <f>VLOOKUP($A126,tropes!$A$4:$O$2428,4,FALSE)</f>
        <v>0</v>
      </c>
      <c r="E126" s="5" t="str">
        <f>VLOOKUP($A126,tropes!$A$4:$O$2428,5,FALSE)</f>
        <v>Maab throws kligot and kills solder.</v>
      </c>
      <c r="F126" s="5">
        <f>VLOOKUP($A126,tropes!$A$4:$O$2428,6,FALSE)</f>
        <v>0</v>
      </c>
      <c r="G126" s="5">
        <f>VLOOKUP($A126,tropes!$A$4:$O$2428,7,FALSE)</f>
        <v>0</v>
      </c>
      <c r="H126" s="5">
        <f>VLOOKUP($A126,tropes!$A$4:$O$2428,8,FALSE)</f>
        <v>0</v>
      </c>
      <c r="I126" s="5">
        <f>VLOOKUP($A126,tropes!$A$4:$O$2428,9,FALSE)</f>
        <v>211</v>
      </c>
      <c r="J126" s="5">
        <f>VLOOKUP($A126,tropes!$A$4:$O$2428,10,FALSE)</f>
        <v>41</v>
      </c>
      <c r="K126" s="5" t="str">
        <f>VLOOKUP($A126,tropes!$A$4:$O$2428,11,FALSE)</f>
        <v>Friday's Child</v>
      </c>
      <c r="L126" s="5">
        <f>VLOOKUP($A126,tropes!$A$4:$O$2428,12,FALSE)</f>
        <v>2</v>
      </c>
      <c r="M126" s="5">
        <f>VLOOKUP($A126,tropes!$A$4:$O$2428,13,FALSE)</f>
        <v>11</v>
      </c>
      <c r="N126" s="5">
        <f t="shared" si="1"/>
        <v>10</v>
      </c>
    </row>
    <row r="127" spans="1:14" x14ac:dyDescent="0.3">
      <c r="A127" s="14">
        <v>3005</v>
      </c>
      <c r="B127" s="5" t="str">
        <f>VLOOKUP($A127,tropes!$A$4:$O$2428,2,FALSE)</f>
        <v>fight</v>
      </c>
      <c r="C127" s="5" t="str">
        <f>VLOOKUP($A127,tropes!$A$4:$O$2428,3,FALSE)</f>
        <v>fight</v>
      </c>
      <c r="D127" s="5">
        <f>VLOOKUP($A127,tropes!$A$4:$O$2428,4,FALSE)</f>
        <v>0</v>
      </c>
      <c r="E127" s="5" t="str">
        <f>VLOOKUP($A127,tropes!$A$4:$O$2428,5,FALSE)</f>
        <v>Maab's soldier throws kligat while Maab distracts him at Klingon (killing him)</v>
      </c>
      <c r="F127" s="5" t="str">
        <f>VLOOKUP($A127,tropes!$A$4:$O$2428,6,FALSE)</f>
        <v>xxx</v>
      </c>
      <c r="G127" s="5">
        <f>VLOOKUP($A127,tropes!$A$4:$O$2428,7,FALSE)</f>
        <v>0</v>
      </c>
      <c r="H127" s="5">
        <f>VLOOKUP($A127,tropes!$A$4:$O$2428,8,FALSE)</f>
        <v>0</v>
      </c>
      <c r="I127" s="5">
        <f>VLOOKUP($A127,tropes!$A$4:$O$2428,9,FALSE)</f>
        <v>211</v>
      </c>
      <c r="J127" s="5">
        <f>VLOOKUP($A127,tropes!$A$4:$O$2428,10,FALSE)</f>
        <v>41</v>
      </c>
      <c r="K127" s="5" t="str">
        <f>VLOOKUP($A127,tropes!$A$4:$O$2428,11,FALSE)</f>
        <v>Friday's Child</v>
      </c>
      <c r="L127" s="5">
        <f>VLOOKUP($A127,tropes!$A$4:$O$2428,12,FALSE)</f>
        <v>2</v>
      </c>
      <c r="M127" s="5">
        <f>VLOOKUP($A127,tropes!$A$4:$O$2428,13,FALSE)</f>
        <v>11</v>
      </c>
      <c r="N127" s="5">
        <f t="shared" si="1"/>
        <v>11</v>
      </c>
    </row>
    <row r="128" spans="1:14" x14ac:dyDescent="0.3">
      <c r="A128" s="14">
        <v>3000</v>
      </c>
      <c r="B128" s="5" t="str">
        <f>VLOOKUP($A128,tropes!$A$4:$O$2428,2,FALSE)</f>
        <v>fight</v>
      </c>
      <c r="C128" s="5" t="str">
        <f>VLOOKUP($A128,tropes!$A$4:$O$2428,3,FALSE)</f>
        <v>fight</v>
      </c>
      <c r="D128" s="5">
        <f>VLOOKUP($A128,tropes!$A$4:$O$2428,4,FALSE)</f>
        <v>0</v>
      </c>
      <c r="E128" s="5" t="str">
        <f>VLOOKUP($A128,tropes!$A$4:$O$2428,5,FALSE)</f>
        <v>Spock fires arrow into guard's stomarch (killing him)</v>
      </c>
      <c r="F128" s="5" t="str">
        <f>VLOOKUP($A128,tropes!$A$4:$O$2428,6,FALSE)</f>
        <v>spock</v>
      </c>
      <c r="G128" s="5">
        <f>VLOOKUP($A128,tropes!$A$4:$O$2428,7,FALSE)</f>
        <v>1</v>
      </c>
      <c r="H128" s="5">
        <f>VLOOKUP($A128,tropes!$A$4:$O$2428,8,FALSE)</f>
        <v>0</v>
      </c>
      <c r="I128" s="5">
        <f>VLOOKUP($A128,tropes!$A$4:$O$2428,9,FALSE)</f>
        <v>211</v>
      </c>
      <c r="J128" s="5">
        <f>VLOOKUP($A128,tropes!$A$4:$O$2428,10,FALSE)</f>
        <v>41</v>
      </c>
      <c r="K128" s="5" t="str">
        <f>VLOOKUP($A128,tropes!$A$4:$O$2428,11,FALSE)</f>
        <v>Friday's Child</v>
      </c>
      <c r="L128" s="5">
        <f>VLOOKUP($A128,tropes!$A$4:$O$2428,12,FALSE)</f>
        <v>2</v>
      </c>
      <c r="M128" s="5">
        <f>VLOOKUP($A128,tropes!$A$4:$O$2428,13,FALSE)</f>
        <v>11</v>
      </c>
      <c r="N128" s="5">
        <f t="shared" si="1"/>
        <v>12</v>
      </c>
    </row>
    <row r="129" spans="1:14" x14ac:dyDescent="0.3">
      <c r="A129" s="14">
        <v>1669</v>
      </c>
      <c r="B129" s="5" t="str">
        <f>VLOOKUP($A129,tropes!$A$4:$O$2428,2,FALSE)</f>
        <v>Would Hit A Girl</v>
      </c>
      <c r="C129" s="5" t="str">
        <f>VLOOKUP($A129,tropes!$A$4:$O$2428,3,FALSE)</f>
        <v>fight</v>
      </c>
      <c r="D129" s="5" t="str">
        <f>VLOOKUP($A129,tropes!$A$4:$O$2428,4,FALSE)</f>
        <v>fight</v>
      </c>
      <c r="E129" s="5" t="str">
        <f>VLOOKUP($A129,tropes!$A$4:$O$2428,5,FALSE)</f>
        <v>McCoy has no problem slapping a pregnant woman across the face (but only to get her to cooperate).</v>
      </c>
      <c r="F129" s="5" t="str">
        <f>VLOOKUP($A129,tropes!$A$4:$O$2428,6,FALSE)</f>
        <v>mccoy</v>
      </c>
      <c r="G129" s="5">
        <f>VLOOKUP($A129,tropes!$A$4:$O$2428,7,FALSE)</f>
        <v>0</v>
      </c>
      <c r="H129" s="5">
        <f>VLOOKUP($A129,tropes!$A$4:$O$2428,8,FALSE)</f>
        <v>1</v>
      </c>
      <c r="I129" s="5">
        <f>VLOOKUP($A129,tropes!$A$4:$O$2428,9,FALSE)</f>
        <v>211</v>
      </c>
      <c r="J129" s="5">
        <f>VLOOKUP($A129,tropes!$A$4:$O$2428,10,FALSE)</f>
        <v>41</v>
      </c>
      <c r="K129" s="5" t="str">
        <f>VLOOKUP($A129,tropes!$A$4:$O$2428,11,FALSE)</f>
        <v>Friday's Child</v>
      </c>
      <c r="L129" s="5">
        <f>VLOOKUP($A129,tropes!$A$4:$O$2428,12,FALSE)</f>
        <v>2</v>
      </c>
      <c r="M129" s="5">
        <f>VLOOKUP($A129,tropes!$A$4:$O$2428,13,FALSE)</f>
        <v>11</v>
      </c>
      <c r="N129" s="5">
        <f t="shared" si="1"/>
        <v>13</v>
      </c>
    </row>
    <row r="130" spans="1:14" x14ac:dyDescent="0.3">
      <c r="A130" s="14">
        <v>2959</v>
      </c>
      <c r="B130" s="5" t="str">
        <f>VLOOKUP($A130,tropes!$A$4:$O$2428,2,FALSE)</f>
        <v>Pressure Point</v>
      </c>
      <c r="C130" s="5" t="str">
        <f>VLOOKUP($A130,tropes!$A$4:$O$2428,3,FALSE)</f>
        <v>fight</v>
      </c>
      <c r="D130" s="5" t="str">
        <f>VLOOKUP($A130,tropes!$A$4:$O$2428,4,FALSE)</f>
        <v>vulcan_neck_pinch</v>
      </c>
      <c r="E130" s="5" t="str">
        <f>VLOOKUP($A130,tropes!$A$4:$O$2428,5,FALSE)</f>
        <v>Spock renders guard unconscience with neck pinch</v>
      </c>
      <c r="F130" s="5" t="str">
        <f>VLOOKUP($A130,tropes!$A$4:$O$2428,6,FALSE)</f>
        <v>spock</v>
      </c>
      <c r="G130" s="5">
        <f>VLOOKUP($A130,tropes!$A$4:$O$2428,7,FALSE)</f>
        <v>1</v>
      </c>
      <c r="H130" s="5">
        <f>VLOOKUP($A130,tropes!$A$4:$O$2428,8,FALSE)</f>
        <v>0</v>
      </c>
      <c r="I130" s="5">
        <f>VLOOKUP($A130,tropes!$A$4:$O$2428,9,FALSE)</f>
        <v>211</v>
      </c>
      <c r="J130" s="5">
        <f>VLOOKUP($A130,tropes!$A$4:$O$2428,10,FALSE)</f>
        <v>41</v>
      </c>
      <c r="K130" s="5" t="str">
        <f>VLOOKUP($A130,tropes!$A$4:$O$2428,11,FALSE)</f>
        <v>Friday's Child</v>
      </c>
      <c r="L130" s="5">
        <f>VLOOKUP($A130,tropes!$A$4:$O$2428,12,FALSE)</f>
        <v>2</v>
      </c>
      <c r="M130" s="5">
        <f>VLOOKUP($A130,tropes!$A$4:$O$2428,13,FALSE)</f>
        <v>11</v>
      </c>
      <c r="N130" s="5">
        <f t="shared" si="1"/>
        <v>14</v>
      </c>
    </row>
    <row r="131" spans="1:14" x14ac:dyDescent="0.3">
      <c r="A131" s="14">
        <v>2546</v>
      </c>
      <c r="B131" s="5" t="str">
        <f>VLOOKUP($A131,tropes!$A$4:$O$2428,2,FALSE)</f>
        <v>Designated Girl Fight</v>
      </c>
      <c r="C131" s="5" t="str">
        <f>VLOOKUP($A131,tropes!$A$4:$O$2428,3,FALSE)</f>
        <v>fight</v>
      </c>
      <c r="D131" s="5" t="str">
        <f>VLOOKUP($A131,tropes!$A$4:$O$2428,4,FALSE)</f>
        <v>girl_fight</v>
      </c>
      <c r="E131" s="5" t="str">
        <f>VLOOKUP($A131,tropes!$A$4:$O$2428,5,FALSE)</f>
        <v>Kirk, Chekov, and Uhura face two male and two female gladiators. Kirk and Chekov take one male each, while Uhura has to fight both women.</v>
      </c>
      <c r="F131" s="5" t="str">
        <f>VLOOKUP($A131,tropes!$A$4:$O$2428,6,FALSE)</f>
        <v>uhura</v>
      </c>
      <c r="G131" s="5">
        <f>VLOOKUP($A131,tropes!$A$4:$O$2428,7,FALSE)</f>
        <v>1</v>
      </c>
      <c r="H131" s="5">
        <f>VLOOKUP($A131,tropes!$A$4:$O$2428,8,FALSE)</f>
        <v>0</v>
      </c>
      <c r="I131" s="5">
        <f>VLOOKUP($A131,tropes!$A$4:$O$2428,9,FALSE)</f>
        <v>216</v>
      </c>
      <c r="J131" s="5">
        <f>VLOOKUP($A131,tropes!$A$4:$O$2428,10,FALSE)</f>
        <v>46</v>
      </c>
      <c r="K131" s="5" t="str">
        <f>VLOOKUP($A131,tropes!$A$4:$O$2428,11,FALSE)</f>
        <v>The Gamesters of Triskelion</v>
      </c>
      <c r="L131" s="5">
        <f>VLOOKUP($A131,tropes!$A$4:$O$2428,12,FALSE)</f>
        <v>2</v>
      </c>
      <c r="M131" s="5">
        <f>VLOOKUP($A131,tropes!$A$4:$O$2428,13,FALSE)</f>
        <v>16</v>
      </c>
      <c r="N131" s="5">
        <f t="shared" si="1"/>
        <v>0</v>
      </c>
    </row>
  </sheetData>
  <sortState ref="A2:N131">
    <sortCondition ref="I2:I131"/>
    <sortCondition ref="D2:D131"/>
    <sortCondition ref="E2:E131"/>
  </sortState>
  <conditionalFormatting sqref="B1:C1">
    <cfRule type="expression" dxfId="17" priority="2">
      <formula>O1&gt;0</formula>
    </cfRule>
  </conditionalFormatting>
  <conditionalFormatting sqref="A2:A131">
    <cfRule type="containsBlanks" dxfId="16" priority="1">
      <formula>LEN(TRIM(A2))=0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CC"/>
  </sheetPr>
  <dimension ref="A1:N164"/>
  <sheetViews>
    <sheetView workbookViewId="0"/>
  </sheetViews>
  <sheetFormatPr defaultRowHeight="12" x14ac:dyDescent="0.3"/>
  <cols>
    <col min="1" max="1" width="7.33203125" bestFit="1" customWidth="1"/>
    <col min="2" max="2" width="9.6640625" bestFit="1" customWidth="1"/>
    <col min="3" max="3" width="16.109375" bestFit="1" customWidth="1"/>
    <col min="4" max="4" width="11.109375" bestFit="1" customWidth="1"/>
    <col min="5" max="5" width="91.6640625" bestFit="1" customWidth="1"/>
    <col min="6" max="6" width="5.109375" bestFit="1" customWidth="1"/>
    <col min="7" max="7" width="7.109375" bestFit="1" customWidth="1"/>
    <col min="8" max="8" width="6.77734375" bestFit="1" customWidth="1"/>
    <col min="9" max="9" width="7.6640625" bestFit="1" customWidth="1"/>
    <col min="10" max="10" width="7.44140625" bestFit="1" customWidth="1"/>
    <col min="11" max="11" width="26.77734375" bestFit="1" customWidth="1"/>
    <col min="12" max="12" width="2.109375" bestFit="1" customWidth="1"/>
    <col min="13" max="13" width="3.109375" bestFit="1" customWidth="1"/>
    <col min="14" max="14" width="15.6640625" bestFit="1" customWidth="1"/>
  </cols>
  <sheetData>
    <row r="1" spans="1:14" x14ac:dyDescent="0.3">
      <c r="A1" s="5" t="s">
        <v>2967</v>
      </c>
      <c r="B1" s="1" t="s">
        <v>3</v>
      </c>
      <c r="C1" s="1" t="s">
        <v>2601</v>
      </c>
      <c r="D1" s="1" t="s">
        <v>150</v>
      </c>
      <c r="E1" s="1" t="s">
        <v>164</v>
      </c>
      <c r="F1" s="1" t="s">
        <v>183</v>
      </c>
      <c r="G1" s="14" t="s">
        <v>744</v>
      </c>
      <c r="H1" s="14" t="s">
        <v>758</v>
      </c>
      <c r="I1" s="14" t="s">
        <v>161</v>
      </c>
      <c r="J1" s="15" t="s">
        <v>15</v>
      </c>
      <c r="K1" s="16" t="s">
        <v>16</v>
      </c>
      <c r="L1" s="16" t="s">
        <v>157</v>
      </c>
      <c r="M1" s="16" t="s">
        <v>158</v>
      </c>
      <c r="N1" s="14" t="s">
        <v>182</v>
      </c>
    </row>
    <row r="2" spans="1:14" x14ac:dyDescent="0.3">
      <c r="A2" s="14">
        <v>1791</v>
      </c>
      <c r="B2" s="5" t="str">
        <f>VLOOKUP($A2,tropes!$A$4:$O$2428,2,FALSE)</f>
        <v>Comm Link</v>
      </c>
      <c r="C2" s="5" t="str">
        <f>VLOOKUP($A2,tropes!$A$4:$O$2428,3,FALSE)</f>
        <v>flip_communicator</v>
      </c>
      <c r="D2" s="5" t="str">
        <f>VLOOKUP($A2,tropes!$A$4:$O$2428,4,FALSE)</f>
        <v>number_one</v>
      </c>
      <c r="E2" s="5" t="str">
        <f>VLOOKUP($A2,tropes!$A$4:$O$2428,5,FALSE)</f>
        <v>Number One calls Enterprise (1) (communicator is dead).</v>
      </c>
      <c r="F2" s="5">
        <f>VLOOKUP($A2,tropes!$A$4:$O$2428,6,FALSE)</f>
        <v>0</v>
      </c>
      <c r="G2" s="5">
        <f>VLOOKUP($A2,tropes!$A$4:$O$2428,7,FALSE)</f>
        <v>0</v>
      </c>
      <c r="H2" s="5">
        <f>VLOOKUP($A2,tropes!$A$4:$O$2428,8,FALSE)</f>
        <v>0</v>
      </c>
      <c r="I2" s="5">
        <f>VLOOKUP($A2,tropes!$A$4:$O$2428,9,FALSE)</f>
        <v>100</v>
      </c>
      <c r="J2" s="5">
        <f>VLOOKUP($A2,tropes!$A$4:$O$2428,10,FALSE)</f>
        <v>1</v>
      </c>
      <c r="K2" s="5" t="str">
        <f>VLOOKUP($A2,tropes!$A$4:$O$2428,11,FALSE)</f>
        <v>The Cage</v>
      </c>
      <c r="L2" s="5">
        <f>VLOOKUP($A2,tropes!$A$4:$O$2428,12,FALSE)</f>
        <v>1</v>
      </c>
      <c r="M2" s="5">
        <f>VLOOKUP($A2,tropes!$A$4:$O$2428,13,FALSE)</f>
        <v>0</v>
      </c>
      <c r="N2" s="5">
        <v>0</v>
      </c>
    </row>
    <row r="3" spans="1:14" x14ac:dyDescent="0.3">
      <c r="A3" s="14">
        <v>1792</v>
      </c>
      <c r="B3" s="5" t="str">
        <f>VLOOKUP($A3,tropes!$A$4:$O$2428,2,FALSE)</f>
        <v>Comm Link</v>
      </c>
      <c r="C3" s="5" t="str">
        <f>VLOOKUP($A3,tropes!$A$4:$O$2428,3,FALSE)</f>
        <v>flip_communicator</v>
      </c>
      <c r="D3" s="5" t="str">
        <f>VLOOKUP($A3,tropes!$A$4:$O$2428,4,FALSE)</f>
        <v>number_one</v>
      </c>
      <c r="E3" s="5" t="str">
        <f>VLOOKUP($A3,tropes!$A$4:$O$2428,5,FALSE)</f>
        <v>Number One calls Enterprise (2)</v>
      </c>
      <c r="F3" s="5">
        <f>VLOOKUP($A3,tropes!$A$4:$O$2428,6,FALSE)</f>
        <v>0</v>
      </c>
      <c r="G3" s="5">
        <f>VLOOKUP($A3,tropes!$A$4:$O$2428,7,FALSE)</f>
        <v>0</v>
      </c>
      <c r="H3" s="5">
        <f>VLOOKUP($A3,tropes!$A$4:$O$2428,8,FALSE)</f>
        <v>0</v>
      </c>
      <c r="I3" s="5">
        <f>VLOOKUP($A3,tropes!$A$4:$O$2428,9,FALSE)</f>
        <v>100</v>
      </c>
      <c r="J3" s="5">
        <f>VLOOKUP($A3,tropes!$A$4:$O$2428,10,FALSE)</f>
        <v>1</v>
      </c>
      <c r="K3" s="5" t="str">
        <f>VLOOKUP($A3,tropes!$A$4:$O$2428,11,FALSE)</f>
        <v>The Cage</v>
      </c>
      <c r="L3" s="5">
        <f>VLOOKUP($A3,tropes!$A$4:$O$2428,12,FALSE)</f>
        <v>1</v>
      </c>
      <c r="M3" s="5">
        <f>VLOOKUP($A3,tropes!$A$4:$O$2428,13,FALSE)</f>
        <v>0</v>
      </c>
      <c r="N3" s="5">
        <f>IF(I3&lt;&gt;I2,0,N2+1)</f>
        <v>1</v>
      </c>
    </row>
    <row r="4" spans="1:14" x14ac:dyDescent="0.3">
      <c r="A4" s="14">
        <v>1793</v>
      </c>
      <c r="B4" s="5" t="str">
        <f>VLOOKUP($A4,tropes!$A$4:$O$2428,2,FALSE)</f>
        <v>Comm Link</v>
      </c>
      <c r="C4" s="5" t="str">
        <f>VLOOKUP($A4,tropes!$A$4:$O$2428,3,FALSE)</f>
        <v>flip_communicator</v>
      </c>
      <c r="D4" s="5" t="str">
        <f>VLOOKUP($A4,tropes!$A$4:$O$2428,4,FALSE)</f>
        <v>number_one</v>
      </c>
      <c r="E4" s="5" t="str">
        <f>VLOOKUP($A4,tropes!$A$4:$O$2428,5,FALSE)</f>
        <v>Number One calls Enterprise (3)</v>
      </c>
      <c r="F4" s="5">
        <f>VLOOKUP($A4,tropes!$A$4:$O$2428,6,FALSE)</f>
        <v>0</v>
      </c>
      <c r="G4" s="5">
        <f>VLOOKUP($A4,tropes!$A$4:$O$2428,7,FALSE)</f>
        <v>0</v>
      </c>
      <c r="H4" s="5">
        <f>VLOOKUP($A4,tropes!$A$4:$O$2428,8,FALSE)</f>
        <v>0</v>
      </c>
      <c r="I4" s="5">
        <f>VLOOKUP($A4,tropes!$A$4:$O$2428,9,FALSE)</f>
        <v>100</v>
      </c>
      <c r="J4" s="5">
        <f>VLOOKUP($A4,tropes!$A$4:$O$2428,10,FALSE)</f>
        <v>1</v>
      </c>
      <c r="K4" s="5" t="str">
        <f>VLOOKUP($A4,tropes!$A$4:$O$2428,11,FALSE)</f>
        <v>The Cage</v>
      </c>
      <c r="L4" s="5">
        <f>VLOOKUP($A4,tropes!$A$4:$O$2428,12,FALSE)</f>
        <v>1</v>
      </c>
      <c r="M4" s="5">
        <f>VLOOKUP($A4,tropes!$A$4:$O$2428,13,FALSE)</f>
        <v>0</v>
      </c>
      <c r="N4" s="5">
        <f t="shared" ref="N4:N67" si="0">IF(I4&lt;&gt;I3,0,N3+1)</f>
        <v>2</v>
      </c>
    </row>
    <row r="5" spans="1:14" x14ac:dyDescent="0.3">
      <c r="A5" s="14">
        <v>1794</v>
      </c>
      <c r="B5" s="5" t="str">
        <f>VLOOKUP($A5,tropes!$A$4:$O$2428,2,FALSE)</f>
        <v>Comm Link</v>
      </c>
      <c r="C5" s="5" t="str">
        <f>VLOOKUP($A5,tropes!$A$4:$O$2428,3,FALSE)</f>
        <v>flip_communicator</v>
      </c>
      <c r="D5" s="5" t="str">
        <f>VLOOKUP($A5,tropes!$A$4:$O$2428,4,FALSE)</f>
        <v>number_one</v>
      </c>
      <c r="E5" s="5" t="str">
        <f>VLOOKUP($A5,tropes!$A$4:$O$2428,5,FALSE)</f>
        <v>Number One calls Enterprise (4)</v>
      </c>
      <c r="F5" s="5">
        <f>VLOOKUP($A5,tropes!$A$4:$O$2428,6,FALSE)</f>
        <v>0</v>
      </c>
      <c r="G5" s="5">
        <f>VLOOKUP($A5,tropes!$A$4:$O$2428,7,FALSE)</f>
        <v>0</v>
      </c>
      <c r="H5" s="5">
        <f>VLOOKUP($A5,tropes!$A$4:$O$2428,8,FALSE)</f>
        <v>0</v>
      </c>
      <c r="I5" s="5">
        <f>VLOOKUP($A5,tropes!$A$4:$O$2428,9,FALSE)</f>
        <v>100</v>
      </c>
      <c r="J5" s="5">
        <f>VLOOKUP($A5,tropes!$A$4:$O$2428,10,FALSE)</f>
        <v>1</v>
      </c>
      <c r="K5" s="5" t="str">
        <f>VLOOKUP($A5,tropes!$A$4:$O$2428,11,FALSE)</f>
        <v>The Cage</v>
      </c>
      <c r="L5" s="5">
        <f>VLOOKUP($A5,tropes!$A$4:$O$2428,12,FALSE)</f>
        <v>1</v>
      </c>
      <c r="M5" s="5">
        <f>VLOOKUP($A5,tropes!$A$4:$O$2428,13,FALSE)</f>
        <v>0</v>
      </c>
      <c r="N5" s="5">
        <f t="shared" si="0"/>
        <v>3</v>
      </c>
    </row>
    <row r="6" spans="1:14" x14ac:dyDescent="0.3">
      <c r="A6" s="14">
        <v>1823</v>
      </c>
      <c r="B6" s="5" t="str">
        <f>VLOOKUP($A6,tropes!$A$4:$O$2428,2,FALSE)</f>
        <v>Comm Link</v>
      </c>
      <c r="C6" s="5" t="str">
        <f>VLOOKUP($A6,tropes!$A$4:$O$2428,3,FALSE)</f>
        <v>flip_communicator</v>
      </c>
      <c r="D6" s="5" t="str">
        <f>VLOOKUP($A6,tropes!$A$4:$O$2428,4,FALSE)</f>
        <v>pike</v>
      </c>
      <c r="E6" s="5" t="str">
        <f>VLOOKUP($A6,tropes!$A$4:$O$2428,5,FALSE)</f>
        <v>Pike calls Dr. Boyce</v>
      </c>
      <c r="F6" s="5">
        <f>VLOOKUP($A6,tropes!$A$4:$O$2428,6,FALSE)</f>
        <v>0</v>
      </c>
      <c r="G6" s="5">
        <f>VLOOKUP($A6,tropes!$A$4:$O$2428,7,FALSE)</f>
        <v>0</v>
      </c>
      <c r="H6" s="5">
        <f>VLOOKUP($A6,tropes!$A$4:$O$2428,8,FALSE)</f>
        <v>0</v>
      </c>
      <c r="I6" s="5">
        <f>VLOOKUP($A6,tropes!$A$4:$O$2428,9,FALSE)</f>
        <v>100</v>
      </c>
      <c r="J6" s="5">
        <f>VLOOKUP($A6,tropes!$A$4:$O$2428,10,FALSE)</f>
        <v>1</v>
      </c>
      <c r="K6" s="5" t="str">
        <f>VLOOKUP($A6,tropes!$A$4:$O$2428,11,FALSE)</f>
        <v>The Cage</v>
      </c>
      <c r="L6" s="5">
        <f>VLOOKUP($A6,tropes!$A$4:$O$2428,12,FALSE)</f>
        <v>1</v>
      </c>
      <c r="M6" s="5">
        <f>VLOOKUP($A6,tropes!$A$4:$O$2428,13,FALSE)</f>
        <v>0</v>
      </c>
      <c r="N6" s="5">
        <f t="shared" si="0"/>
        <v>4</v>
      </c>
    </row>
    <row r="7" spans="1:14" x14ac:dyDescent="0.3">
      <c r="A7" s="14">
        <v>1824</v>
      </c>
      <c r="B7" s="5" t="str">
        <f>VLOOKUP($A7,tropes!$A$4:$O$2428,2,FALSE)</f>
        <v>Comm Link</v>
      </c>
      <c r="C7" s="5" t="str">
        <f>VLOOKUP($A7,tropes!$A$4:$O$2428,3,FALSE)</f>
        <v>flip_communicator</v>
      </c>
      <c r="D7" s="5" t="str">
        <f>VLOOKUP($A7,tropes!$A$4:$O$2428,4,FALSE)</f>
        <v>pike</v>
      </c>
      <c r="E7" s="5" t="str">
        <f>VLOOKUP($A7,tropes!$A$4:$O$2428,5,FALSE)</f>
        <v>Pike calls Enterprise</v>
      </c>
      <c r="F7" s="5">
        <f>VLOOKUP($A7,tropes!$A$4:$O$2428,6,FALSE)</f>
        <v>0</v>
      </c>
      <c r="G7" s="5">
        <f>VLOOKUP($A7,tropes!$A$4:$O$2428,7,FALSE)</f>
        <v>0</v>
      </c>
      <c r="H7" s="5">
        <f>VLOOKUP($A7,tropes!$A$4:$O$2428,8,FALSE)</f>
        <v>0</v>
      </c>
      <c r="I7" s="5">
        <f>VLOOKUP($A7,tropes!$A$4:$O$2428,9,FALSE)</f>
        <v>100</v>
      </c>
      <c r="J7" s="5">
        <f>VLOOKUP($A7,tropes!$A$4:$O$2428,10,FALSE)</f>
        <v>1</v>
      </c>
      <c r="K7" s="5" t="str">
        <f>VLOOKUP($A7,tropes!$A$4:$O$2428,11,FALSE)</f>
        <v>The Cage</v>
      </c>
      <c r="L7" s="5">
        <f>VLOOKUP($A7,tropes!$A$4:$O$2428,12,FALSE)</f>
        <v>1</v>
      </c>
      <c r="M7" s="5">
        <f>VLOOKUP($A7,tropes!$A$4:$O$2428,13,FALSE)</f>
        <v>0</v>
      </c>
      <c r="N7" s="5">
        <f t="shared" si="0"/>
        <v>5</v>
      </c>
    </row>
    <row r="8" spans="1:14" x14ac:dyDescent="0.3">
      <c r="A8" s="14">
        <v>2035</v>
      </c>
      <c r="B8" s="5" t="str">
        <f>VLOOKUP($A8,tropes!$A$4:$O$2428,2,FALSE)</f>
        <v>Comm Link</v>
      </c>
      <c r="C8" s="5" t="str">
        <f>VLOOKUP($A8,tropes!$A$4:$O$2428,3,FALSE)</f>
        <v>flip_communicator</v>
      </c>
      <c r="D8" s="5" t="str">
        <f>VLOOKUP($A8,tropes!$A$4:$O$2428,4,FALSE)</f>
        <v>spock</v>
      </c>
      <c r="E8" s="5" t="str">
        <f>VLOOKUP($A8,tropes!$A$4:$O$2428,5,FALSE)</f>
        <v>Spock calls Enterprise</v>
      </c>
      <c r="F8" s="5">
        <f>VLOOKUP($A8,tropes!$A$4:$O$2428,6,FALSE)</f>
        <v>0</v>
      </c>
      <c r="G8" s="5">
        <f>VLOOKUP($A8,tropes!$A$4:$O$2428,7,FALSE)</f>
        <v>1</v>
      </c>
      <c r="H8" s="5">
        <f>VLOOKUP($A8,tropes!$A$4:$O$2428,8,FALSE)</f>
        <v>0</v>
      </c>
      <c r="I8" s="5">
        <f>VLOOKUP($A8,tropes!$A$4:$O$2428,9,FALSE)</f>
        <v>100</v>
      </c>
      <c r="J8" s="5">
        <f>VLOOKUP($A8,tropes!$A$4:$O$2428,10,FALSE)</f>
        <v>1</v>
      </c>
      <c r="K8" s="5" t="str">
        <f>VLOOKUP($A8,tropes!$A$4:$O$2428,11,FALSE)</f>
        <v>The Cage</v>
      </c>
      <c r="L8" s="5">
        <f>VLOOKUP($A8,tropes!$A$4:$O$2428,12,FALSE)</f>
        <v>1</v>
      </c>
      <c r="M8" s="5">
        <f>VLOOKUP($A8,tropes!$A$4:$O$2428,13,FALSE)</f>
        <v>0</v>
      </c>
      <c r="N8" s="5">
        <f t="shared" si="0"/>
        <v>6</v>
      </c>
    </row>
    <row r="9" spans="1:14" x14ac:dyDescent="0.3">
      <c r="A9" s="14">
        <v>549</v>
      </c>
      <c r="B9" s="5" t="str">
        <f>VLOOKUP($A9,tropes!$A$4:$O$2428,2,FALSE)</f>
        <v>Comm Link</v>
      </c>
      <c r="C9" s="5" t="str">
        <f>VLOOKUP($A9,tropes!$A$4:$O$2428,3,FALSE)</f>
        <v>flip_communicator</v>
      </c>
      <c r="D9" s="5" t="str">
        <f>VLOOKUP($A9,tropes!$A$4:$O$2428,4,FALSE)</f>
        <v>kirk</v>
      </c>
      <c r="E9" s="5" t="str">
        <f>VLOOKUP($A9,tropes!$A$4:$O$2428,5,FALSE)</f>
        <v>Kirk calls Enterprise (1)</v>
      </c>
      <c r="F9" s="5">
        <f>VLOOKUP($A9,tropes!$A$4:$O$2428,6,FALSE)</f>
        <v>0</v>
      </c>
      <c r="G9" s="5">
        <f>VLOOKUP($A9,tropes!$A$4:$O$2428,7,FALSE)</f>
        <v>1</v>
      </c>
      <c r="H9" s="5">
        <f>VLOOKUP($A9,tropes!$A$4:$O$2428,8,FALSE)</f>
        <v>0</v>
      </c>
      <c r="I9" s="5">
        <f>VLOOKUP($A9,tropes!$A$4:$O$2428,9,FALSE)</f>
        <v>101</v>
      </c>
      <c r="J9" s="5">
        <f>VLOOKUP($A9,tropes!$A$4:$O$2428,10,FALSE)</f>
        <v>2</v>
      </c>
      <c r="K9" s="5" t="str">
        <f>VLOOKUP($A9,tropes!$A$4:$O$2428,11,FALSE)</f>
        <v>The Man Trap</v>
      </c>
      <c r="L9" s="5">
        <f>VLOOKUP($A9,tropes!$A$4:$O$2428,12,FALSE)</f>
        <v>1</v>
      </c>
      <c r="M9" s="5">
        <f>VLOOKUP($A9,tropes!$A$4:$O$2428,13,FALSE)</f>
        <v>1</v>
      </c>
      <c r="N9" s="5">
        <f t="shared" si="0"/>
        <v>0</v>
      </c>
    </row>
    <row r="10" spans="1:14" x14ac:dyDescent="0.3">
      <c r="A10" s="14">
        <v>550</v>
      </c>
      <c r="B10" s="5" t="str">
        <f>VLOOKUP($A10,tropes!$A$4:$O$2428,2,FALSE)</f>
        <v>Comm Link</v>
      </c>
      <c r="C10" s="5" t="str">
        <f>VLOOKUP($A10,tropes!$A$4:$O$2428,3,FALSE)</f>
        <v>flip_communicator</v>
      </c>
      <c r="D10" s="5" t="str">
        <f>VLOOKUP($A10,tropes!$A$4:$O$2428,4,FALSE)</f>
        <v>kirk</v>
      </c>
      <c r="E10" s="5" t="str">
        <f>VLOOKUP($A10,tropes!$A$4:$O$2428,5,FALSE)</f>
        <v>Kirk calls Enterprise (2)</v>
      </c>
      <c r="F10" s="5">
        <f>VLOOKUP($A10,tropes!$A$4:$O$2428,6,FALSE)</f>
        <v>0</v>
      </c>
      <c r="G10" s="5">
        <f>VLOOKUP($A10,tropes!$A$4:$O$2428,7,FALSE)</f>
        <v>1</v>
      </c>
      <c r="H10" s="5">
        <f>VLOOKUP($A10,tropes!$A$4:$O$2428,8,FALSE)</f>
        <v>0</v>
      </c>
      <c r="I10" s="5">
        <f>VLOOKUP($A10,tropes!$A$4:$O$2428,9,FALSE)</f>
        <v>101</v>
      </c>
      <c r="J10" s="5">
        <f>VLOOKUP($A10,tropes!$A$4:$O$2428,10,FALSE)</f>
        <v>2</v>
      </c>
      <c r="K10" s="5" t="str">
        <f>VLOOKUP($A10,tropes!$A$4:$O$2428,11,FALSE)</f>
        <v>The Man Trap</v>
      </c>
      <c r="L10" s="5">
        <f>VLOOKUP($A10,tropes!$A$4:$O$2428,12,FALSE)</f>
        <v>1</v>
      </c>
      <c r="M10" s="5">
        <f>VLOOKUP($A10,tropes!$A$4:$O$2428,13,FALSE)</f>
        <v>1</v>
      </c>
      <c r="N10" s="5">
        <f t="shared" si="0"/>
        <v>1</v>
      </c>
    </row>
    <row r="11" spans="1:14" x14ac:dyDescent="0.3">
      <c r="A11" s="14">
        <v>551</v>
      </c>
      <c r="B11" s="5" t="str">
        <f>VLOOKUP($A11,tropes!$A$4:$O$2428,2,FALSE)</f>
        <v>Comm Link</v>
      </c>
      <c r="C11" s="5" t="str">
        <f>VLOOKUP($A11,tropes!$A$4:$O$2428,3,FALSE)</f>
        <v>flip_communicator</v>
      </c>
      <c r="D11" s="5" t="str">
        <f>VLOOKUP($A11,tropes!$A$4:$O$2428,4,FALSE)</f>
        <v>kirk</v>
      </c>
      <c r="E11" s="5" t="str">
        <f>VLOOKUP($A11,tropes!$A$4:$O$2428,5,FALSE)</f>
        <v>Kirk calls Enterprise (3)</v>
      </c>
      <c r="F11" s="5">
        <f>VLOOKUP($A11,tropes!$A$4:$O$2428,6,FALSE)</f>
        <v>0</v>
      </c>
      <c r="G11" s="5">
        <f>VLOOKUP($A11,tropes!$A$4:$O$2428,7,FALSE)</f>
        <v>1</v>
      </c>
      <c r="H11" s="5">
        <f>VLOOKUP($A11,tropes!$A$4:$O$2428,8,FALSE)</f>
        <v>0</v>
      </c>
      <c r="I11" s="5">
        <f>VLOOKUP($A11,tropes!$A$4:$O$2428,9,FALSE)</f>
        <v>101</v>
      </c>
      <c r="J11" s="5">
        <f>VLOOKUP($A11,tropes!$A$4:$O$2428,10,FALSE)</f>
        <v>2</v>
      </c>
      <c r="K11" s="5" t="str">
        <f>VLOOKUP($A11,tropes!$A$4:$O$2428,11,FALSE)</f>
        <v>The Man Trap</v>
      </c>
      <c r="L11" s="5">
        <f>VLOOKUP($A11,tropes!$A$4:$O$2428,12,FALSE)</f>
        <v>1</v>
      </c>
      <c r="M11" s="5">
        <f>VLOOKUP($A11,tropes!$A$4:$O$2428,13,FALSE)</f>
        <v>1</v>
      </c>
      <c r="N11" s="5">
        <f t="shared" si="0"/>
        <v>2</v>
      </c>
    </row>
    <row r="12" spans="1:14" x14ac:dyDescent="0.3">
      <c r="A12" s="14">
        <v>552</v>
      </c>
      <c r="B12" s="5" t="str">
        <f>VLOOKUP($A12,tropes!$A$4:$O$2428,2,FALSE)</f>
        <v>Comm Link</v>
      </c>
      <c r="C12" s="5" t="str">
        <f>VLOOKUP($A12,tropes!$A$4:$O$2428,3,FALSE)</f>
        <v>flip_communicator</v>
      </c>
      <c r="D12" s="5" t="str">
        <f>VLOOKUP($A12,tropes!$A$4:$O$2428,4,FALSE)</f>
        <v>kirk</v>
      </c>
      <c r="E12" s="5" t="str">
        <f>VLOOKUP($A12,tropes!$A$4:$O$2428,5,FALSE)</f>
        <v>Kirk calls Enterprise (4)</v>
      </c>
      <c r="F12" s="5">
        <f>VLOOKUP($A12,tropes!$A$4:$O$2428,6,FALSE)</f>
        <v>0</v>
      </c>
      <c r="G12" s="5">
        <f>VLOOKUP($A12,tropes!$A$4:$O$2428,7,FALSE)</f>
        <v>1</v>
      </c>
      <c r="H12" s="5">
        <f>VLOOKUP($A12,tropes!$A$4:$O$2428,8,FALSE)</f>
        <v>0</v>
      </c>
      <c r="I12" s="5">
        <f>VLOOKUP($A12,tropes!$A$4:$O$2428,9,FALSE)</f>
        <v>101</v>
      </c>
      <c r="J12" s="5">
        <f>VLOOKUP($A12,tropes!$A$4:$O$2428,10,FALSE)</f>
        <v>2</v>
      </c>
      <c r="K12" s="5" t="str">
        <f>VLOOKUP($A12,tropes!$A$4:$O$2428,11,FALSE)</f>
        <v>The Man Trap</v>
      </c>
      <c r="L12" s="5">
        <f>VLOOKUP($A12,tropes!$A$4:$O$2428,12,FALSE)</f>
        <v>1</v>
      </c>
      <c r="M12" s="5">
        <f>VLOOKUP($A12,tropes!$A$4:$O$2428,13,FALSE)</f>
        <v>1</v>
      </c>
      <c r="N12" s="5">
        <f t="shared" si="0"/>
        <v>3</v>
      </c>
    </row>
    <row r="13" spans="1:14" x14ac:dyDescent="0.3">
      <c r="A13" s="14">
        <v>553</v>
      </c>
      <c r="B13" s="5" t="str">
        <f>VLOOKUP($A13,tropes!$A$4:$O$2428,2,FALSE)</f>
        <v>Comm Link</v>
      </c>
      <c r="C13" s="5" t="str">
        <f>VLOOKUP($A13,tropes!$A$4:$O$2428,3,FALSE)</f>
        <v>flip_communicator</v>
      </c>
      <c r="D13" s="5" t="str">
        <f>VLOOKUP($A13,tropes!$A$4:$O$2428,4,FALSE)</f>
        <v>kirk</v>
      </c>
      <c r="E13" s="5" t="str">
        <f>VLOOKUP($A13,tropes!$A$4:$O$2428,5,FALSE)</f>
        <v>Kirk calls Enterprise (5)</v>
      </c>
      <c r="F13" s="5">
        <f>VLOOKUP($A13,tropes!$A$4:$O$2428,6,FALSE)</f>
        <v>0</v>
      </c>
      <c r="G13" s="5">
        <f>VLOOKUP($A13,tropes!$A$4:$O$2428,7,FALSE)</f>
        <v>1</v>
      </c>
      <c r="H13" s="5">
        <f>VLOOKUP($A13,tropes!$A$4:$O$2428,8,FALSE)</f>
        <v>0</v>
      </c>
      <c r="I13" s="5">
        <f>VLOOKUP($A13,tropes!$A$4:$O$2428,9,FALSE)</f>
        <v>101</v>
      </c>
      <c r="J13" s="5">
        <f>VLOOKUP($A13,tropes!$A$4:$O$2428,10,FALSE)</f>
        <v>2</v>
      </c>
      <c r="K13" s="5" t="str">
        <f>VLOOKUP($A13,tropes!$A$4:$O$2428,11,FALSE)</f>
        <v>The Man Trap</v>
      </c>
      <c r="L13" s="5">
        <f>VLOOKUP($A13,tropes!$A$4:$O$2428,12,FALSE)</f>
        <v>1</v>
      </c>
      <c r="M13" s="5">
        <f>VLOOKUP($A13,tropes!$A$4:$O$2428,13,FALSE)</f>
        <v>1</v>
      </c>
      <c r="N13" s="5">
        <f t="shared" si="0"/>
        <v>4</v>
      </c>
    </row>
    <row r="14" spans="1:14" x14ac:dyDescent="0.3">
      <c r="A14" s="14">
        <v>554</v>
      </c>
      <c r="B14" s="5" t="str">
        <f>VLOOKUP($A14,tropes!$A$4:$O$2428,2,FALSE)</f>
        <v>Comm Link</v>
      </c>
      <c r="C14" s="5" t="str">
        <f>VLOOKUP($A14,tropes!$A$4:$O$2428,3,FALSE)</f>
        <v>flip_communicator</v>
      </c>
      <c r="D14" s="5" t="str">
        <f>VLOOKUP($A14,tropes!$A$4:$O$2428,4,FALSE)</f>
        <v>kirk</v>
      </c>
      <c r="E14" s="5" t="str">
        <f>VLOOKUP($A14,tropes!$A$4:$O$2428,5,FALSE)</f>
        <v>Kirk calls Spock</v>
      </c>
      <c r="F14" s="5">
        <f>VLOOKUP($A14,tropes!$A$4:$O$2428,6,FALSE)</f>
        <v>0</v>
      </c>
      <c r="G14" s="5">
        <f>VLOOKUP($A14,tropes!$A$4:$O$2428,7,FALSE)</f>
        <v>1</v>
      </c>
      <c r="H14" s="5">
        <f>VLOOKUP($A14,tropes!$A$4:$O$2428,8,FALSE)</f>
        <v>0</v>
      </c>
      <c r="I14" s="5">
        <f>VLOOKUP($A14,tropes!$A$4:$O$2428,9,FALSE)</f>
        <v>101</v>
      </c>
      <c r="J14" s="5">
        <f>VLOOKUP($A14,tropes!$A$4:$O$2428,10,FALSE)</f>
        <v>2</v>
      </c>
      <c r="K14" s="5" t="str">
        <f>VLOOKUP($A14,tropes!$A$4:$O$2428,11,FALSE)</f>
        <v>The Man Trap</v>
      </c>
      <c r="L14" s="5">
        <f>VLOOKUP($A14,tropes!$A$4:$O$2428,12,FALSE)</f>
        <v>1</v>
      </c>
      <c r="M14" s="5">
        <f>VLOOKUP($A14,tropes!$A$4:$O$2428,13,FALSE)</f>
        <v>1</v>
      </c>
      <c r="N14" s="5">
        <f t="shared" si="0"/>
        <v>5</v>
      </c>
    </row>
    <row r="15" spans="1:14" x14ac:dyDescent="0.3">
      <c r="A15" s="14">
        <v>555</v>
      </c>
      <c r="B15" s="5" t="str">
        <f>VLOOKUP($A15,tropes!$A$4:$O$2428,2,FALSE)</f>
        <v>Comm Link</v>
      </c>
      <c r="C15" s="5" t="str">
        <f>VLOOKUP($A15,tropes!$A$4:$O$2428,3,FALSE)</f>
        <v>flip_communicator</v>
      </c>
      <c r="D15" s="5" t="str">
        <f>VLOOKUP($A15,tropes!$A$4:$O$2428,4,FALSE)</f>
        <v>kirk</v>
      </c>
      <c r="E15" s="5" t="str">
        <f>VLOOKUP($A15,tropes!$A$4:$O$2428,5,FALSE)</f>
        <v>Kirk receives call from Enterprise</v>
      </c>
      <c r="F15" s="5">
        <f>VLOOKUP($A15,tropes!$A$4:$O$2428,6,FALSE)</f>
        <v>0</v>
      </c>
      <c r="G15" s="5">
        <f>VLOOKUP($A15,tropes!$A$4:$O$2428,7,FALSE)</f>
        <v>1</v>
      </c>
      <c r="H15" s="5">
        <f>VLOOKUP($A15,tropes!$A$4:$O$2428,8,FALSE)</f>
        <v>0</v>
      </c>
      <c r="I15" s="5">
        <f>VLOOKUP($A15,tropes!$A$4:$O$2428,9,FALSE)</f>
        <v>101</v>
      </c>
      <c r="J15" s="5">
        <f>VLOOKUP($A15,tropes!$A$4:$O$2428,10,FALSE)</f>
        <v>2</v>
      </c>
      <c r="K15" s="5" t="str">
        <f>VLOOKUP($A15,tropes!$A$4:$O$2428,11,FALSE)</f>
        <v>The Man Trap</v>
      </c>
      <c r="L15" s="5">
        <f>VLOOKUP($A15,tropes!$A$4:$O$2428,12,FALSE)</f>
        <v>1</v>
      </c>
      <c r="M15" s="5">
        <f>VLOOKUP($A15,tropes!$A$4:$O$2428,13,FALSE)</f>
        <v>1</v>
      </c>
      <c r="N15" s="5">
        <f t="shared" si="0"/>
        <v>6</v>
      </c>
    </row>
    <row r="16" spans="1:14" x14ac:dyDescent="0.3">
      <c r="A16" s="14">
        <v>2043</v>
      </c>
      <c r="B16" s="5" t="str">
        <f>VLOOKUP($A16,tropes!$A$4:$O$2428,2,FALSE)</f>
        <v>Comm Link</v>
      </c>
      <c r="C16" s="5" t="str">
        <f>VLOOKUP($A16,tropes!$A$4:$O$2428,3,FALSE)</f>
        <v>flip_communicator</v>
      </c>
      <c r="D16" s="5" t="str">
        <f>VLOOKUP($A16,tropes!$A$4:$O$2428,4,FALSE)</f>
        <v>spock</v>
      </c>
      <c r="E16" s="5" t="str">
        <f>VLOOKUP($A16,tropes!$A$4:$O$2428,5,FALSE)</f>
        <v>Spock calls Enterprise</v>
      </c>
      <c r="F16" s="5">
        <f>VLOOKUP($A16,tropes!$A$4:$O$2428,6,FALSE)</f>
        <v>0</v>
      </c>
      <c r="G16" s="5">
        <f>VLOOKUP($A16,tropes!$A$4:$O$2428,7,FALSE)</f>
        <v>1</v>
      </c>
      <c r="H16" s="5">
        <f>VLOOKUP($A16,tropes!$A$4:$O$2428,8,FALSE)</f>
        <v>0</v>
      </c>
      <c r="I16" s="5">
        <f>VLOOKUP($A16,tropes!$A$4:$O$2428,9,FALSE)</f>
        <v>101</v>
      </c>
      <c r="J16" s="5">
        <f>VLOOKUP($A16,tropes!$A$4:$O$2428,10,FALSE)</f>
        <v>2</v>
      </c>
      <c r="K16" s="5" t="str">
        <f>VLOOKUP($A16,tropes!$A$4:$O$2428,11,FALSE)</f>
        <v>The Man Trap</v>
      </c>
      <c r="L16" s="5">
        <f>VLOOKUP($A16,tropes!$A$4:$O$2428,12,FALSE)</f>
        <v>1</v>
      </c>
      <c r="M16" s="5">
        <f>VLOOKUP($A16,tropes!$A$4:$O$2428,13,FALSE)</f>
        <v>1</v>
      </c>
      <c r="N16" s="5">
        <f t="shared" si="0"/>
        <v>7</v>
      </c>
    </row>
    <row r="17" spans="1:14" x14ac:dyDescent="0.3">
      <c r="A17" s="14">
        <v>2044</v>
      </c>
      <c r="B17" s="5" t="str">
        <f>VLOOKUP($A17,tropes!$A$4:$O$2428,2,FALSE)</f>
        <v>Comm Link</v>
      </c>
      <c r="C17" s="5" t="str">
        <f>VLOOKUP($A17,tropes!$A$4:$O$2428,3,FALSE)</f>
        <v>flip_communicator</v>
      </c>
      <c r="D17" s="5" t="str">
        <f>VLOOKUP($A17,tropes!$A$4:$O$2428,4,FALSE)</f>
        <v>spock</v>
      </c>
      <c r="E17" s="5" t="str">
        <f>VLOOKUP($A17,tropes!$A$4:$O$2428,5,FALSE)</f>
        <v>Spock calls Kirk</v>
      </c>
      <c r="F17" s="5">
        <f>VLOOKUP($A17,tropes!$A$4:$O$2428,6,FALSE)</f>
        <v>0</v>
      </c>
      <c r="G17" s="5">
        <f>VLOOKUP($A17,tropes!$A$4:$O$2428,7,FALSE)</f>
        <v>1</v>
      </c>
      <c r="H17" s="5">
        <f>VLOOKUP($A17,tropes!$A$4:$O$2428,8,FALSE)</f>
        <v>0</v>
      </c>
      <c r="I17" s="5">
        <f>VLOOKUP($A17,tropes!$A$4:$O$2428,9,FALSE)</f>
        <v>101</v>
      </c>
      <c r="J17" s="5">
        <f>VLOOKUP($A17,tropes!$A$4:$O$2428,10,FALSE)</f>
        <v>2</v>
      </c>
      <c r="K17" s="5" t="str">
        <f>VLOOKUP($A17,tropes!$A$4:$O$2428,11,FALSE)</f>
        <v>The Man Trap</v>
      </c>
      <c r="L17" s="5">
        <f>VLOOKUP($A17,tropes!$A$4:$O$2428,12,FALSE)</f>
        <v>1</v>
      </c>
      <c r="M17" s="5">
        <f>VLOOKUP($A17,tropes!$A$4:$O$2428,13,FALSE)</f>
        <v>1</v>
      </c>
      <c r="N17" s="5">
        <f t="shared" si="0"/>
        <v>8</v>
      </c>
    </row>
    <row r="18" spans="1:14" x14ac:dyDescent="0.3">
      <c r="A18" s="14">
        <v>571</v>
      </c>
      <c r="B18" s="5" t="str">
        <f>VLOOKUP($A18,tropes!$A$4:$O$2428,2,FALSE)</f>
        <v>Comm Link</v>
      </c>
      <c r="C18" s="5" t="str">
        <f>VLOOKUP($A18,tropes!$A$4:$O$2428,3,FALSE)</f>
        <v>flip_communicator</v>
      </c>
      <c r="D18" s="5" t="str">
        <f>VLOOKUP($A18,tropes!$A$4:$O$2428,4,FALSE)</f>
        <v>kirk</v>
      </c>
      <c r="E18" s="5" t="str">
        <f>VLOOKUP($A18,tropes!$A$4:$O$2428,5,FALSE)</f>
        <v>Kirk calls Enterprise</v>
      </c>
      <c r="F18" s="5">
        <f>VLOOKUP($A18,tropes!$A$4:$O$2428,6,FALSE)</f>
        <v>0</v>
      </c>
      <c r="G18" s="5">
        <f>VLOOKUP($A18,tropes!$A$4:$O$2428,7,FALSE)</f>
        <v>1</v>
      </c>
      <c r="H18" s="5">
        <f>VLOOKUP($A18,tropes!$A$4:$O$2428,8,FALSE)</f>
        <v>0</v>
      </c>
      <c r="I18" s="5">
        <f>VLOOKUP($A18,tropes!$A$4:$O$2428,9,FALSE)</f>
        <v>103</v>
      </c>
      <c r="J18" s="5">
        <f>VLOOKUP($A18,tropes!$A$4:$O$2428,10,FALSE)</f>
        <v>4</v>
      </c>
      <c r="K18" s="5" t="str">
        <f>VLOOKUP($A18,tropes!$A$4:$O$2428,11,FALSE)</f>
        <v>Where No Man Has Gone Before</v>
      </c>
      <c r="L18" s="5">
        <f>VLOOKUP($A18,tropes!$A$4:$O$2428,12,FALSE)</f>
        <v>1</v>
      </c>
      <c r="M18" s="5">
        <f>VLOOKUP($A18,tropes!$A$4:$O$2428,13,FALSE)</f>
        <v>3</v>
      </c>
      <c r="N18" s="5">
        <f t="shared" si="0"/>
        <v>0</v>
      </c>
    </row>
    <row r="19" spans="1:14" x14ac:dyDescent="0.3">
      <c r="A19" s="14">
        <v>2428</v>
      </c>
      <c r="B19" s="5" t="str">
        <f>VLOOKUP($A19,tropes!$A$4:$O$2428,2,FALSE)</f>
        <v>Comm Link</v>
      </c>
      <c r="C19" s="5" t="str">
        <f>VLOOKUP($A19,tropes!$A$4:$O$2428,3,FALSE)</f>
        <v>flip_communicator</v>
      </c>
      <c r="D19" s="5" t="str">
        <f>VLOOKUP($A19,tropes!$A$4:$O$2428,4,FALSE)</f>
        <v>sulu</v>
      </c>
      <c r="E19" s="5" t="str">
        <f>VLOOKUP($A19,tropes!$A$4:$O$2428,5,FALSE)</f>
        <v>Sulu calls Enterprise from Alpha 177 (1)</v>
      </c>
      <c r="F19" s="5">
        <f>VLOOKUP($A19,tropes!$A$4:$O$2428,6,FALSE)</f>
        <v>0</v>
      </c>
      <c r="G19" s="5">
        <f>VLOOKUP($A19,tropes!$A$4:$O$2428,7,FALSE)</f>
        <v>0</v>
      </c>
      <c r="H19" s="5">
        <f>VLOOKUP($A19,tropes!$A$4:$O$2428,8,FALSE)</f>
        <v>1</v>
      </c>
      <c r="I19" s="5">
        <f>VLOOKUP($A19,tropes!$A$4:$O$2428,9,FALSE)</f>
        <v>105</v>
      </c>
      <c r="J19" s="5">
        <f>VLOOKUP($A19,tropes!$A$4:$O$2428,10,FALSE)</f>
        <v>6</v>
      </c>
      <c r="K19" s="5" t="str">
        <f>VLOOKUP($A19,tropes!$A$4:$O$2428,11,FALSE)</f>
        <v>The Enemy Within</v>
      </c>
      <c r="L19" s="5">
        <f>VLOOKUP($A19,tropes!$A$4:$O$2428,12,FALSE)</f>
        <v>1</v>
      </c>
      <c r="M19" s="5">
        <f>VLOOKUP($A19,tropes!$A$4:$O$2428,13,FALSE)</f>
        <v>5</v>
      </c>
      <c r="N19" s="5">
        <f t="shared" si="0"/>
        <v>0</v>
      </c>
    </row>
    <row r="20" spans="1:14" x14ac:dyDescent="0.3">
      <c r="A20" s="14">
        <v>2429</v>
      </c>
      <c r="B20" s="5" t="str">
        <f>VLOOKUP($A20,tropes!$A$4:$O$2428,2,FALSE)</f>
        <v>Comm Link</v>
      </c>
      <c r="C20" s="5" t="str">
        <f>VLOOKUP($A20,tropes!$A$4:$O$2428,3,FALSE)</f>
        <v>flip_communicator</v>
      </c>
      <c r="D20" s="5" t="str">
        <f>VLOOKUP($A20,tropes!$A$4:$O$2428,4,FALSE)</f>
        <v>sulu</v>
      </c>
      <c r="E20" s="5" t="str">
        <f>VLOOKUP($A20,tropes!$A$4:$O$2428,5,FALSE)</f>
        <v>Sulu calls Enterprise from Alpha 177 (2)</v>
      </c>
      <c r="F20" s="5">
        <f>VLOOKUP($A20,tropes!$A$4:$O$2428,6,FALSE)</f>
        <v>0</v>
      </c>
      <c r="G20" s="5">
        <f>VLOOKUP($A20,tropes!$A$4:$O$2428,7,FALSE)</f>
        <v>0</v>
      </c>
      <c r="H20" s="5">
        <f>VLOOKUP($A20,tropes!$A$4:$O$2428,8,FALSE)</f>
        <v>1</v>
      </c>
      <c r="I20" s="5">
        <f>VLOOKUP($A20,tropes!$A$4:$O$2428,9,FALSE)</f>
        <v>105</v>
      </c>
      <c r="J20" s="5">
        <f>VLOOKUP($A20,tropes!$A$4:$O$2428,10,FALSE)</f>
        <v>6</v>
      </c>
      <c r="K20" s="5" t="str">
        <f>VLOOKUP($A20,tropes!$A$4:$O$2428,11,FALSE)</f>
        <v>The Enemy Within</v>
      </c>
      <c r="L20" s="5">
        <f>VLOOKUP($A20,tropes!$A$4:$O$2428,12,FALSE)</f>
        <v>1</v>
      </c>
      <c r="M20" s="5">
        <f>VLOOKUP($A20,tropes!$A$4:$O$2428,13,FALSE)</f>
        <v>5</v>
      </c>
      <c r="N20" s="5">
        <f t="shared" si="0"/>
        <v>1</v>
      </c>
    </row>
    <row r="21" spans="1:14" x14ac:dyDescent="0.3">
      <c r="A21" s="14">
        <v>2430</v>
      </c>
      <c r="B21" s="5" t="str">
        <f>VLOOKUP($A21,tropes!$A$4:$O$2428,2,FALSE)</f>
        <v>Comm Link</v>
      </c>
      <c r="C21" s="5" t="str">
        <f>VLOOKUP($A21,tropes!$A$4:$O$2428,3,FALSE)</f>
        <v>flip_communicator</v>
      </c>
      <c r="D21" s="5" t="str">
        <f>VLOOKUP($A21,tropes!$A$4:$O$2428,4,FALSE)</f>
        <v>sulu</v>
      </c>
      <c r="E21" s="5" t="str">
        <f>VLOOKUP($A21,tropes!$A$4:$O$2428,5,FALSE)</f>
        <v>Sulu calls Enterprise from Alpha 177 (3)</v>
      </c>
      <c r="F21" s="5">
        <f>VLOOKUP($A21,tropes!$A$4:$O$2428,6,FALSE)</f>
        <v>0</v>
      </c>
      <c r="G21" s="5">
        <f>VLOOKUP($A21,tropes!$A$4:$O$2428,7,FALSE)</f>
        <v>0</v>
      </c>
      <c r="H21" s="5">
        <f>VLOOKUP($A21,tropes!$A$4:$O$2428,8,FALSE)</f>
        <v>1</v>
      </c>
      <c r="I21" s="5">
        <f>VLOOKUP($A21,tropes!$A$4:$O$2428,9,FALSE)</f>
        <v>105</v>
      </c>
      <c r="J21" s="5">
        <f>VLOOKUP($A21,tropes!$A$4:$O$2428,10,FALSE)</f>
        <v>6</v>
      </c>
      <c r="K21" s="5" t="str">
        <f>VLOOKUP($A21,tropes!$A$4:$O$2428,11,FALSE)</f>
        <v>The Enemy Within</v>
      </c>
      <c r="L21" s="5">
        <f>VLOOKUP($A21,tropes!$A$4:$O$2428,12,FALSE)</f>
        <v>1</v>
      </c>
      <c r="M21" s="5">
        <f>VLOOKUP($A21,tropes!$A$4:$O$2428,13,FALSE)</f>
        <v>5</v>
      </c>
      <c r="N21" s="5">
        <f t="shared" si="0"/>
        <v>2</v>
      </c>
    </row>
    <row r="22" spans="1:14" x14ac:dyDescent="0.3">
      <c r="A22" s="14">
        <v>2431</v>
      </c>
      <c r="B22" s="5" t="str">
        <f>VLOOKUP($A22,tropes!$A$4:$O$2428,2,FALSE)</f>
        <v>Comm Link</v>
      </c>
      <c r="C22" s="5" t="str">
        <f>VLOOKUP($A22,tropes!$A$4:$O$2428,3,FALSE)</f>
        <v>flip_communicator</v>
      </c>
      <c r="D22" s="5" t="str">
        <f>VLOOKUP($A22,tropes!$A$4:$O$2428,4,FALSE)</f>
        <v>sulu</v>
      </c>
      <c r="E22" s="5" t="str">
        <f>VLOOKUP($A22,tropes!$A$4:$O$2428,5,FALSE)</f>
        <v>Sulu calls Enterprise from Alpha 177 (4)</v>
      </c>
      <c r="F22" s="5">
        <f>VLOOKUP($A22,tropes!$A$4:$O$2428,6,FALSE)</f>
        <v>0</v>
      </c>
      <c r="G22" s="5">
        <f>VLOOKUP($A22,tropes!$A$4:$O$2428,7,FALSE)</f>
        <v>0</v>
      </c>
      <c r="H22" s="5">
        <f>VLOOKUP($A22,tropes!$A$4:$O$2428,8,FALSE)</f>
        <v>1</v>
      </c>
      <c r="I22" s="5">
        <f>VLOOKUP($A22,tropes!$A$4:$O$2428,9,FALSE)</f>
        <v>105</v>
      </c>
      <c r="J22" s="5">
        <f>VLOOKUP($A22,tropes!$A$4:$O$2428,10,FALSE)</f>
        <v>6</v>
      </c>
      <c r="K22" s="5" t="str">
        <f>VLOOKUP($A22,tropes!$A$4:$O$2428,11,FALSE)</f>
        <v>The Enemy Within</v>
      </c>
      <c r="L22" s="5">
        <f>VLOOKUP($A22,tropes!$A$4:$O$2428,12,FALSE)</f>
        <v>1</v>
      </c>
      <c r="M22" s="5">
        <f>VLOOKUP($A22,tropes!$A$4:$O$2428,13,FALSE)</f>
        <v>5</v>
      </c>
      <c r="N22" s="5">
        <f t="shared" si="0"/>
        <v>3</v>
      </c>
    </row>
    <row r="23" spans="1:14" x14ac:dyDescent="0.3">
      <c r="A23" s="14">
        <v>607</v>
      </c>
      <c r="B23" s="5" t="str">
        <f>VLOOKUP($A23,tropes!$A$4:$O$2428,2,FALSE)</f>
        <v>Comm Link</v>
      </c>
      <c r="C23" s="5" t="str">
        <f>VLOOKUP($A23,tropes!$A$4:$O$2428,3,FALSE)</f>
        <v>flip_communicator</v>
      </c>
      <c r="D23" s="5" t="str">
        <f>VLOOKUP($A23,tropes!$A$4:$O$2428,4,FALSE)</f>
        <v>kirk</v>
      </c>
      <c r="E23" s="5" t="str">
        <f>VLOOKUP($A23,tropes!$A$4:$O$2428,5,FALSE)</f>
        <v>Kirk calls the miners not knowing Harry Mudd has already contacted them and make his own deal.</v>
      </c>
      <c r="F23" s="5">
        <f>VLOOKUP($A23,tropes!$A$4:$O$2428,6,FALSE)</f>
        <v>0</v>
      </c>
      <c r="G23" s="5">
        <f>VLOOKUP($A23,tropes!$A$4:$O$2428,7,FALSE)</f>
        <v>1</v>
      </c>
      <c r="H23" s="5">
        <f>VLOOKUP($A23,tropes!$A$4:$O$2428,8,FALSE)</f>
        <v>0</v>
      </c>
      <c r="I23" s="5">
        <f>VLOOKUP($A23,tropes!$A$4:$O$2428,9,FALSE)</f>
        <v>106</v>
      </c>
      <c r="J23" s="5">
        <f>VLOOKUP($A23,tropes!$A$4:$O$2428,10,FALSE)</f>
        <v>7</v>
      </c>
      <c r="K23" s="5" t="str">
        <f>VLOOKUP($A23,tropes!$A$4:$O$2428,11,FALSE)</f>
        <v>Mudd's Women</v>
      </c>
      <c r="L23" s="5">
        <f>VLOOKUP($A23,tropes!$A$4:$O$2428,12,FALSE)</f>
        <v>1</v>
      </c>
      <c r="M23" s="5">
        <f>VLOOKUP($A23,tropes!$A$4:$O$2428,13,FALSE)</f>
        <v>6</v>
      </c>
      <c r="N23" s="5">
        <f t="shared" si="0"/>
        <v>0</v>
      </c>
    </row>
    <row r="24" spans="1:14" x14ac:dyDescent="0.3">
      <c r="A24" s="14">
        <v>1766</v>
      </c>
      <c r="B24" s="5" t="str">
        <f>VLOOKUP($A24,tropes!$A$4:$O$2428,2,FALSE)</f>
        <v>Comm Link</v>
      </c>
      <c r="C24" s="5" t="str">
        <f>VLOOKUP($A24,tropes!$A$4:$O$2428,3,FALSE)</f>
        <v>flip_communicator</v>
      </c>
      <c r="D24" s="5" t="str">
        <f>VLOOKUP($A24,tropes!$A$4:$O$2428,4,FALSE)</f>
        <v>mudd</v>
      </c>
      <c r="E24" s="5" t="str">
        <f>VLOOKUP($A24,tropes!$A$4:$O$2428,5,FALSE)</f>
        <v>Harry Mudd calls the miners on planet to make a deal with them.</v>
      </c>
      <c r="F24" s="5">
        <f>VLOOKUP($A24,tropes!$A$4:$O$2428,6,FALSE)</f>
        <v>0</v>
      </c>
      <c r="G24" s="5">
        <f>VLOOKUP($A24,tropes!$A$4:$O$2428,7,FALSE)</f>
        <v>0</v>
      </c>
      <c r="H24" s="5">
        <f>VLOOKUP($A24,tropes!$A$4:$O$2428,8,FALSE)</f>
        <v>0</v>
      </c>
      <c r="I24" s="5">
        <f>VLOOKUP($A24,tropes!$A$4:$O$2428,9,FALSE)</f>
        <v>106</v>
      </c>
      <c r="J24" s="5">
        <f>VLOOKUP($A24,tropes!$A$4:$O$2428,10,FALSE)</f>
        <v>7</v>
      </c>
      <c r="K24" s="5" t="str">
        <f>VLOOKUP($A24,tropes!$A$4:$O$2428,11,FALSE)</f>
        <v>Mudd's Women</v>
      </c>
      <c r="L24" s="5">
        <f>VLOOKUP($A24,tropes!$A$4:$O$2428,12,FALSE)</f>
        <v>1</v>
      </c>
      <c r="M24" s="5">
        <f>VLOOKUP($A24,tropes!$A$4:$O$2428,13,FALSE)</f>
        <v>6</v>
      </c>
      <c r="N24" s="5">
        <f t="shared" si="0"/>
        <v>1</v>
      </c>
    </row>
    <row r="25" spans="1:14" x14ac:dyDescent="0.3">
      <c r="A25" s="14">
        <v>617</v>
      </c>
      <c r="B25" s="5" t="str">
        <f>VLOOKUP($A25,tropes!$A$4:$O$2428,2,FALSE)</f>
        <v>Comm Link</v>
      </c>
      <c r="C25" s="5" t="str">
        <f>VLOOKUP($A25,tropes!$A$4:$O$2428,3,FALSE)</f>
        <v>flip_communicator</v>
      </c>
      <c r="D25" s="5" t="str">
        <f>VLOOKUP($A25,tropes!$A$4:$O$2428,4,FALSE)</f>
        <v>kirk</v>
      </c>
      <c r="E25" s="5" t="str">
        <f>VLOOKUP($A25,tropes!$A$4:$O$2428,5,FALSE)</f>
        <v>Kirk calls Enterprise (1)</v>
      </c>
      <c r="F25" s="5">
        <f>VLOOKUP($A25,tropes!$A$4:$O$2428,6,FALSE)</f>
        <v>0</v>
      </c>
      <c r="G25" s="5">
        <f>VLOOKUP($A25,tropes!$A$4:$O$2428,7,FALSE)</f>
        <v>1</v>
      </c>
      <c r="H25" s="5">
        <f>VLOOKUP($A25,tropes!$A$4:$O$2428,8,FALSE)</f>
        <v>0</v>
      </c>
      <c r="I25" s="5">
        <f>VLOOKUP($A25,tropes!$A$4:$O$2428,9,FALSE)</f>
        <v>107</v>
      </c>
      <c r="J25" s="5">
        <f>VLOOKUP($A25,tropes!$A$4:$O$2428,10,FALSE)</f>
        <v>8</v>
      </c>
      <c r="K25" s="5" t="str">
        <f>VLOOKUP($A25,tropes!$A$4:$O$2428,11,FALSE)</f>
        <v>What Are Little Girls Made Of?</v>
      </c>
      <c r="L25" s="5">
        <f>VLOOKUP($A25,tropes!$A$4:$O$2428,12,FALSE)</f>
        <v>1</v>
      </c>
      <c r="M25" s="5">
        <f>VLOOKUP($A25,tropes!$A$4:$O$2428,13,FALSE)</f>
        <v>7</v>
      </c>
      <c r="N25" s="5">
        <f t="shared" si="0"/>
        <v>0</v>
      </c>
    </row>
    <row r="26" spans="1:14" x14ac:dyDescent="0.3">
      <c r="A26" s="14">
        <v>618</v>
      </c>
      <c r="B26" s="5" t="str">
        <f>VLOOKUP($A26,tropes!$A$4:$O$2428,2,FALSE)</f>
        <v>Comm Link</v>
      </c>
      <c r="C26" s="5" t="str">
        <f>VLOOKUP($A26,tropes!$A$4:$O$2428,3,FALSE)</f>
        <v>flip_communicator</v>
      </c>
      <c r="D26" s="5" t="str">
        <f>VLOOKUP($A26,tropes!$A$4:$O$2428,4,FALSE)</f>
        <v>kirk</v>
      </c>
      <c r="E26" s="5" t="str">
        <f>VLOOKUP($A26,tropes!$A$4:$O$2428,5,FALSE)</f>
        <v>Kirk calls Enterprise (2)</v>
      </c>
      <c r="F26" s="5">
        <f>VLOOKUP($A26,tropes!$A$4:$O$2428,6,FALSE)</f>
        <v>0</v>
      </c>
      <c r="G26" s="5">
        <f>VLOOKUP($A26,tropes!$A$4:$O$2428,7,FALSE)</f>
        <v>1</v>
      </c>
      <c r="H26" s="5">
        <f>VLOOKUP($A26,tropes!$A$4:$O$2428,8,FALSE)</f>
        <v>0</v>
      </c>
      <c r="I26" s="5">
        <f>VLOOKUP($A26,tropes!$A$4:$O$2428,9,FALSE)</f>
        <v>107</v>
      </c>
      <c r="J26" s="5">
        <f>VLOOKUP($A26,tropes!$A$4:$O$2428,10,FALSE)</f>
        <v>8</v>
      </c>
      <c r="K26" s="5" t="str">
        <f>VLOOKUP($A26,tropes!$A$4:$O$2428,11,FALSE)</f>
        <v>What Are Little Girls Made Of?</v>
      </c>
      <c r="L26" s="5">
        <f>VLOOKUP($A26,tropes!$A$4:$O$2428,12,FALSE)</f>
        <v>1</v>
      </c>
      <c r="M26" s="5">
        <f>VLOOKUP($A26,tropes!$A$4:$O$2428,13,FALSE)</f>
        <v>7</v>
      </c>
      <c r="N26" s="5">
        <f t="shared" si="0"/>
        <v>1</v>
      </c>
    </row>
    <row r="27" spans="1:14" x14ac:dyDescent="0.3">
      <c r="A27" s="14">
        <v>619</v>
      </c>
      <c r="B27" s="5" t="str">
        <f>VLOOKUP($A27,tropes!$A$4:$O$2428,2,FALSE)</f>
        <v>Comm Link</v>
      </c>
      <c r="C27" s="5" t="str">
        <f>VLOOKUP($A27,tropes!$A$4:$O$2428,3,FALSE)</f>
        <v>flip_communicator</v>
      </c>
      <c r="D27" s="5" t="str">
        <f>VLOOKUP($A27,tropes!$A$4:$O$2428,4,FALSE)</f>
        <v>kirk</v>
      </c>
      <c r="E27" s="5" t="str">
        <f>VLOOKUP($A27,tropes!$A$4:$O$2428,5,FALSE)</f>
        <v>Kirk calls Rayburn</v>
      </c>
      <c r="F27" s="5">
        <f>VLOOKUP($A27,tropes!$A$4:$O$2428,6,FALSE)</f>
        <v>0</v>
      </c>
      <c r="G27" s="5">
        <f>VLOOKUP($A27,tropes!$A$4:$O$2428,7,FALSE)</f>
        <v>1</v>
      </c>
      <c r="H27" s="5">
        <f>VLOOKUP($A27,tropes!$A$4:$O$2428,8,FALSE)</f>
        <v>0</v>
      </c>
      <c r="I27" s="5">
        <f>VLOOKUP($A27,tropes!$A$4:$O$2428,9,FALSE)</f>
        <v>107</v>
      </c>
      <c r="J27" s="5">
        <f>VLOOKUP($A27,tropes!$A$4:$O$2428,10,FALSE)</f>
        <v>8</v>
      </c>
      <c r="K27" s="5" t="str">
        <f>VLOOKUP($A27,tropes!$A$4:$O$2428,11,FALSE)</f>
        <v>What Are Little Girls Made Of?</v>
      </c>
      <c r="L27" s="5">
        <f>VLOOKUP($A27,tropes!$A$4:$O$2428,12,FALSE)</f>
        <v>1</v>
      </c>
      <c r="M27" s="5">
        <f>VLOOKUP($A27,tropes!$A$4:$O$2428,13,FALSE)</f>
        <v>7</v>
      </c>
      <c r="N27" s="5">
        <f t="shared" si="0"/>
        <v>2</v>
      </c>
    </row>
    <row r="28" spans="1:14" x14ac:dyDescent="0.3">
      <c r="A28" s="14">
        <v>1916</v>
      </c>
      <c r="B28" s="5" t="str">
        <f>VLOOKUP($A28,tropes!$A$4:$O$2428,2,FALSE)</f>
        <v>Comm Link</v>
      </c>
      <c r="C28" s="5" t="str">
        <f>VLOOKUP($A28,tropes!$A$4:$O$2428,3,FALSE)</f>
        <v>flip_communicator</v>
      </c>
      <c r="D28" s="5" t="str">
        <f>VLOOKUP($A28,tropes!$A$4:$O$2428,4,FALSE)</f>
        <v>robot</v>
      </c>
      <c r="E28" s="5" t="str">
        <f>VLOOKUP($A28,tropes!$A$4:$O$2428,5,FALSE)</f>
        <v>Ruk calls Enterprise (posing as Kirk)</v>
      </c>
      <c r="F28" s="5">
        <f>VLOOKUP($A28,tropes!$A$4:$O$2428,6,FALSE)</f>
        <v>0</v>
      </c>
      <c r="G28" s="5">
        <f>VLOOKUP($A28,tropes!$A$4:$O$2428,7,FALSE)</f>
        <v>0</v>
      </c>
      <c r="H28" s="5">
        <f>VLOOKUP($A28,tropes!$A$4:$O$2428,8,FALSE)</f>
        <v>0</v>
      </c>
      <c r="I28" s="5">
        <f>VLOOKUP($A28,tropes!$A$4:$O$2428,9,FALSE)</f>
        <v>107</v>
      </c>
      <c r="J28" s="5">
        <f>VLOOKUP($A28,tropes!$A$4:$O$2428,10,FALSE)</f>
        <v>8</v>
      </c>
      <c r="K28" s="5" t="str">
        <f>VLOOKUP($A28,tropes!$A$4:$O$2428,11,FALSE)</f>
        <v>What Are Little Girls Made Of?</v>
      </c>
      <c r="L28" s="5">
        <f>VLOOKUP($A28,tropes!$A$4:$O$2428,12,FALSE)</f>
        <v>1</v>
      </c>
      <c r="M28" s="5">
        <f>VLOOKUP($A28,tropes!$A$4:$O$2428,13,FALSE)</f>
        <v>7</v>
      </c>
      <c r="N28" s="5">
        <f t="shared" si="0"/>
        <v>3</v>
      </c>
    </row>
    <row r="29" spans="1:14" x14ac:dyDescent="0.3">
      <c r="A29" s="14">
        <v>640</v>
      </c>
      <c r="B29" s="5" t="str">
        <f>VLOOKUP($A29,tropes!$A$4:$O$2428,2,FALSE)</f>
        <v>Comm Link</v>
      </c>
      <c r="C29" s="5" t="str">
        <f>VLOOKUP($A29,tropes!$A$4:$O$2428,3,FALSE)</f>
        <v>flip_communicator</v>
      </c>
      <c r="D29" s="5" t="str">
        <f>VLOOKUP($A29,tropes!$A$4:$O$2428,4,FALSE)</f>
        <v>kirk</v>
      </c>
      <c r="E29" s="5" t="str">
        <f>VLOOKUP($A29,tropes!$A$4:$O$2428,5,FALSE)</f>
        <v>Kirk calls Enterprise</v>
      </c>
      <c r="F29" s="5">
        <f>VLOOKUP($A29,tropes!$A$4:$O$2428,6,FALSE)</f>
        <v>0</v>
      </c>
      <c r="G29" s="5">
        <f>VLOOKUP($A29,tropes!$A$4:$O$2428,7,FALSE)</f>
        <v>1</v>
      </c>
      <c r="H29" s="5">
        <f>VLOOKUP($A29,tropes!$A$4:$O$2428,8,FALSE)</f>
        <v>0</v>
      </c>
      <c r="I29" s="5">
        <f>VLOOKUP($A29,tropes!$A$4:$O$2428,9,FALSE)</f>
        <v>108</v>
      </c>
      <c r="J29" s="5">
        <f>VLOOKUP($A29,tropes!$A$4:$O$2428,10,FALSE)</f>
        <v>9</v>
      </c>
      <c r="K29" s="5" t="str">
        <f>VLOOKUP($A29,tropes!$A$4:$O$2428,11,FALSE)</f>
        <v>Miri</v>
      </c>
      <c r="L29" s="5">
        <f>VLOOKUP($A29,tropes!$A$4:$O$2428,12,FALSE)</f>
        <v>1</v>
      </c>
      <c r="M29" s="5">
        <f>VLOOKUP($A29,tropes!$A$4:$O$2428,13,FALSE)</f>
        <v>8</v>
      </c>
      <c r="N29" s="5">
        <f t="shared" si="0"/>
        <v>0</v>
      </c>
    </row>
    <row r="30" spans="1:14" x14ac:dyDescent="0.3">
      <c r="A30" s="14">
        <v>1548</v>
      </c>
      <c r="B30" s="5" t="str">
        <f>VLOOKUP($A30,tropes!$A$4:$O$2428,2,FALSE)</f>
        <v>Comm Link</v>
      </c>
      <c r="C30" s="5" t="str">
        <f>VLOOKUP($A30,tropes!$A$4:$O$2428,3,FALSE)</f>
        <v>flip_communicator</v>
      </c>
      <c r="D30" s="5" t="str">
        <f>VLOOKUP($A30,tropes!$A$4:$O$2428,4,FALSE)</f>
        <v>mccoy</v>
      </c>
      <c r="E30" s="5" t="str">
        <f>VLOOKUP($A30,tropes!$A$4:$O$2428,5,FALSE)</f>
        <v>McCoy calls Enterprise (1)</v>
      </c>
      <c r="F30" s="5">
        <f>VLOOKUP($A30,tropes!$A$4:$O$2428,6,FALSE)</f>
        <v>0</v>
      </c>
      <c r="G30" s="5">
        <f>VLOOKUP($A30,tropes!$A$4:$O$2428,7,FALSE)</f>
        <v>0</v>
      </c>
      <c r="H30" s="5">
        <f>VLOOKUP($A30,tropes!$A$4:$O$2428,8,FALSE)</f>
        <v>1</v>
      </c>
      <c r="I30" s="5">
        <f>VLOOKUP($A30,tropes!$A$4:$O$2428,9,FALSE)</f>
        <v>108</v>
      </c>
      <c r="J30" s="5">
        <f>VLOOKUP($A30,tropes!$A$4:$O$2428,10,FALSE)</f>
        <v>9</v>
      </c>
      <c r="K30" s="5" t="str">
        <f>VLOOKUP($A30,tropes!$A$4:$O$2428,11,FALSE)</f>
        <v>Miri</v>
      </c>
      <c r="L30" s="5">
        <f>VLOOKUP($A30,tropes!$A$4:$O$2428,12,FALSE)</f>
        <v>1</v>
      </c>
      <c r="M30" s="5">
        <f>VLOOKUP($A30,tropes!$A$4:$O$2428,13,FALSE)</f>
        <v>8</v>
      </c>
      <c r="N30" s="5">
        <f t="shared" si="0"/>
        <v>1</v>
      </c>
    </row>
    <row r="31" spans="1:14" x14ac:dyDescent="0.3">
      <c r="A31" s="14">
        <v>1549</v>
      </c>
      <c r="B31" s="5" t="str">
        <f>VLOOKUP($A31,tropes!$A$4:$O$2428,2,FALSE)</f>
        <v>Comm Link</v>
      </c>
      <c r="C31" s="5" t="str">
        <f>VLOOKUP($A31,tropes!$A$4:$O$2428,3,FALSE)</f>
        <v>flip_communicator</v>
      </c>
      <c r="D31" s="5" t="str">
        <f>VLOOKUP($A31,tropes!$A$4:$O$2428,4,FALSE)</f>
        <v>mccoy</v>
      </c>
      <c r="E31" s="5" t="str">
        <f>VLOOKUP($A31,tropes!$A$4:$O$2428,5,FALSE)</f>
        <v>McCoy calls Enterprise (2)</v>
      </c>
      <c r="F31" s="5">
        <f>VLOOKUP($A31,tropes!$A$4:$O$2428,6,FALSE)</f>
        <v>0</v>
      </c>
      <c r="G31" s="5">
        <f>VLOOKUP($A31,tropes!$A$4:$O$2428,7,FALSE)</f>
        <v>0</v>
      </c>
      <c r="H31" s="5">
        <f>VLOOKUP($A31,tropes!$A$4:$O$2428,8,FALSE)</f>
        <v>1</v>
      </c>
      <c r="I31" s="5">
        <f>VLOOKUP($A31,tropes!$A$4:$O$2428,9,FALSE)</f>
        <v>108</v>
      </c>
      <c r="J31" s="5">
        <f>VLOOKUP($A31,tropes!$A$4:$O$2428,10,FALSE)</f>
        <v>9</v>
      </c>
      <c r="K31" s="5" t="str">
        <f>VLOOKUP($A31,tropes!$A$4:$O$2428,11,FALSE)</f>
        <v>Miri</v>
      </c>
      <c r="L31" s="5">
        <f>VLOOKUP($A31,tropes!$A$4:$O$2428,12,FALSE)</f>
        <v>1</v>
      </c>
      <c r="M31" s="5">
        <f>VLOOKUP($A31,tropes!$A$4:$O$2428,13,FALSE)</f>
        <v>8</v>
      </c>
      <c r="N31" s="5">
        <f t="shared" si="0"/>
        <v>2</v>
      </c>
    </row>
    <row r="32" spans="1:14" x14ac:dyDescent="0.3">
      <c r="A32" s="14">
        <v>2733</v>
      </c>
      <c r="B32" s="5" t="str">
        <f>VLOOKUP($A32,tropes!$A$4:$O$2428,2,FALSE)</f>
        <v>Comm Link</v>
      </c>
      <c r="C32" s="5" t="str">
        <f>VLOOKUP($A32,tropes!$A$4:$O$2428,3,FALSE)</f>
        <v>flip_communicator</v>
      </c>
      <c r="D32" s="5" t="str">
        <f>VLOOKUP($A32,tropes!$A$4:$O$2428,4,FALSE)</f>
        <v>xxx</v>
      </c>
      <c r="E32" s="5" t="str">
        <f>VLOOKUP($A32,tropes!$A$4:$O$2428,5,FALSE)</f>
        <v>Enterprise calls Spock.</v>
      </c>
      <c r="F32" s="5">
        <f>VLOOKUP($A32,tropes!$A$4:$O$2428,6,FALSE)</f>
        <v>0</v>
      </c>
      <c r="G32" s="5">
        <f>VLOOKUP($A32,tropes!$A$4:$O$2428,7,FALSE)</f>
        <v>0</v>
      </c>
      <c r="H32" s="5">
        <f>VLOOKUP($A32,tropes!$A$4:$O$2428,8,FALSE)</f>
        <v>0</v>
      </c>
      <c r="I32" s="5">
        <f>VLOOKUP($A32,tropes!$A$4:$O$2428,9,FALSE)</f>
        <v>108</v>
      </c>
      <c r="J32" s="5">
        <f>VLOOKUP($A32,tropes!$A$4:$O$2428,10,FALSE)</f>
        <v>9</v>
      </c>
      <c r="K32" s="5" t="str">
        <f>VLOOKUP($A32,tropes!$A$4:$O$2428,11,FALSE)</f>
        <v>Miri</v>
      </c>
      <c r="L32" s="5">
        <f>VLOOKUP($A32,tropes!$A$4:$O$2428,12,FALSE)</f>
        <v>1</v>
      </c>
      <c r="M32" s="5">
        <f>VLOOKUP($A32,tropes!$A$4:$O$2428,13,FALSE)</f>
        <v>8</v>
      </c>
      <c r="N32" s="5">
        <f t="shared" si="0"/>
        <v>3</v>
      </c>
    </row>
    <row r="33" spans="1:14" x14ac:dyDescent="0.3">
      <c r="A33" s="14">
        <v>650</v>
      </c>
      <c r="B33" s="5" t="str">
        <f>VLOOKUP($A33,tropes!$A$4:$O$2428,2,FALSE)</f>
        <v>Comm Link</v>
      </c>
      <c r="C33" s="5" t="str">
        <f>VLOOKUP($A33,tropes!$A$4:$O$2428,3,FALSE)</f>
        <v>flip_communicator</v>
      </c>
      <c r="D33" s="5" t="str">
        <f>VLOOKUP($A33,tropes!$A$4:$O$2428,4,FALSE)</f>
        <v>kirk</v>
      </c>
      <c r="E33" s="5" t="str">
        <f>VLOOKUP($A33,tropes!$A$4:$O$2428,5,FALSE)</f>
        <v>Kirk calls Enterprise (1)</v>
      </c>
      <c r="F33" s="5">
        <f>VLOOKUP($A33,tropes!$A$4:$O$2428,6,FALSE)</f>
        <v>0</v>
      </c>
      <c r="G33" s="5">
        <f>VLOOKUP($A33,tropes!$A$4:$O$2428,7,FALSE)</f>
        <v>1</v>
      </c>
      <c r="H33" s="5">
        <f>VLOOKUP($A33,tropes!$A$4:$O$2428,8,FALSE)</f>
        <v>0</v>
      </c>
      <c r="I33" s="5">
        <f>VLOOKUP($A33,tropes!$A$4:$O$2428,9,FALSE)</f>
        <v>109</v>
      </c>
      <c r="J33" s="5">
        <f>VLOOKUP($A33,tropes!$A$4:$O$2428,10,FALSE)</f>
        <v>10</v>
      </c>
      <c r="K33" s="5" t="str">
        <f>VLOOKUP($A33,tropes!$A$4:$O$2428,11,FALSE)</f>
        <v>Dagger of the Mind</v>
      </c>
      <c r="L33" s="5">
        <f>VLOOKUP($A33,tropes!$A$4:$O$2428,12,FALSE)</f>
        <v>1</v>
      </c>
      <c r="M33" s="5">
        <f>VLOOKUP($A33,tropes!$A$4:$O$2428,13,FALSE)</f>
        <v>9</v>
      </c>
      <c r="N33" s="5">
        <f t="shared" si="0"/>
        <v>0</v>
      </c>
    </row>
    <row r="34" spans="1:14" x14ac:dyDescent="0.3">
      <c r="A34" s="14">
        <v>651</v>
      </c>
      <c r="B34" s="5" t="str">
        <f>VLOOKUP($A34,tropes!$A$4:$O$2428,2,FALSE)</f>
        <v>Comm Link</v>
      </c>
      <c r="C34" s="5" t="str">
        <f>VLOOKUP($A34,tropes!$A$4:$O$2428,3,FALSE)</f>
        <v>flip_communicator</v>
      </c>
      <c r="D34" s="5" t="str">
        <f>VLOOKUP($A34,tropes!$A$4:$O$2428,4,FALSE)</f>
        <v>kirk</v>
      </c>
      <c r="E34" s="5" t="str">
        <f>VLOOKUP($A34,tropes!$A$4:$O$2428,5,FALSE)</f>
        <v>Kirk calls Enterprise (2)</v>
      </c>
      <c r="F34" s="5">
        <f>VLOOKUP($A34,tropes!$A$4:$O$2428,6,FALSE)</f>
        <v>0</v>
      </c>
      <c r="G34" s="5">
        <f>VLOOKUP($A34,tropes!$A$4:$O$2428,7,FALSE)</f>
        <v>1</v>
      </c>
      <c r="H34" s="5">
        <f>VLOOKUP($A34,tropes!$A$4:$O$2428,8,FALSE)</f>
        <v>0</v>
      </c>
      <c r="I34" s="5">
        <f>VLOOKUP($A34,tropes!$A$4:$O$2428,9,FALSE)</f>
        <v>109</v>
      </c>
      <c r="J34" s="5">
        <f>VLOOKUP($A34,tropes!$A$4:$O$2428,10,FALSE)</f>
        <v>10</v>
      </c>
      <c r="K34" s="5" t="str">
        <f>VLOOKUP($A34,tropes!$A$4:$O$2428,11,FALSE)</f>
        <v>Dagger of the Mind</v>
      </c>
      <c r="L34" s="5">
        <f>VLOOKUP($A34,tropes!$A$4:$O$2428,12,FALSE)</f>
        <v>1</v>
      </c>
      <c r="M34" s="5">
        <f>VLOOKUP($A34,tropes!$A$4:$O$2428,13,FALSE)</f>
        <v>9</v>
      </c>
      <c r="N34" s="5">
        <f t="shared" si="0"/>
        <v>1</v>
      </c>
    </row>
    <row r="35" spans="1:14" x14ac:dyDescent="0.3">
      <c r="A35" s="14">
        <v>689</v>
      </c>
      <c r="B35" s="5" t="str">
        <f>VLOOKUP($A35,tropes!$A$4:$O$2428,2,FALSE)</f>
        <v>Comm Link</v>
      </c>
      <c r="C35" s="5" t="str">
        <f>VLOOKUP($A35,tropes!$A$4:$O$2428,3,FALSE)</f>
        <v>flip_communicator</v>
      </c>
      <c r="D35" s="5" t="str">
        <f>VLOOKUP($A35,tropes!$A$4:$O$2428,4,FALSE)</f>
        <v>kirk</v>
      </c>
      <c r="E35" s="5" t="str">
        <f>VLOOKUP($A35,tropes!$A$4:$O$2428,5,FALSE)</f>
        <v>Kirk calls Enterprise.</v>
      </c>
      <c r="F35" s="5">
        <f>VLOOKUP($A35,tropes!$A$4:$O$2428,6,FALSE)</f>
        <v>0</v>
      </c>
      <c r="G35" s="5">
        <f>VLOOKUP($A35,tropes!$A$4:$O$2428,7,FALSE)</f>
        <v>1</v>
      </c>
      <c r="H35" s="5">
        <f>VLOOKUP($A35,tropes!$A$4:$O$2428,8,FALSE)</f>
        <v>0</v>
      </c>
      <c r="I35" s="5">
        <f>VLOOKUP($A35,tropes!$A$4:$O$2428,9,FALSE)</f>
        <v>113</v>
      </c>
      <c r="J35" s="5">
        <f>VLOOKUP($A35,tropes!$A$4:$O$2428,10,FALSE)</f>
        <v>14</v>
      </c>
      <c r="K35" s="5" t="str">
        <f>VLOOKUP($A35,tropes!$A$4:$O$2428,11,FALSE)</f>
        <v>The Conscience of the King</v>
      </c>
      <c r="L35" s="5">
        <f>VLOOKUP($A35,tropes!$A$4:$O$2428,12,FALSE)</f>
        <v>1</v>
      </c>
      <c r="M35" s="5">
        <f>VLOOKUP($A35,tropes!$A$4:$O$2428,13,FALSE)</f>
        <v>13</v>
      </c>
      <c r="N35" s="5">
        <f t="shared" si="0"/>
        <v>0</v>
      </c>
    </row>
    <row r="36" spans="1:14" x14ac:dyDescent="0.3">
      <c r="A36" s="14">
        <v>710</v>
      </c>
      <c r="B36" s="5" t="str">
        <f>VLOOKUP($A36,tropes!$A$4:$O$2428,2,FALSE)</f>
        <v>Comm Link</v>
      </c>
      <c r="C36" s="5" t="str">
        <f>VLOOKUP($A36,tropes!$A$4:$O$2428,3,FALSE)</f>
        <v>flip_communicator</v>
      </c>
      <c r="D36" s="5" t="str">
        <f>VLOOKUP($A36,tropes!$A$4:$O$2428,4,FALSE)</f>
        <v>kirk</v>
      </c>
      <c r="E36" s="5" t="str">
        <f>VLOOKUP($A36,tropes!$A$4:$O$2428,5,FALSE)</f>
        <v>Kirk calls Enterprise</v>
      </c>
      <c r="F36" s="5">
        <f>VLOOKUP($A36,tropes!$A$4:$O$2428,6,FALSE)</f>
        <v>0</v>
      </c>
      <c r="G36" s="5">
        <f>VLOOKUP($A36,tropes!$A$4:$O$2428,7,FALSE)</f>
        <v>1</v>
      </c>
      <c r="H36" s="5">
        <f>VLOOKUP($A36,tropes!$A$4:$O$2428,8,FALSE)</f>
        <v>0</v>
      </c>
      <c r="I36" s="5">
        <f>VLOOKUP($A36,tropes!$A$4:$O$2428,9,FALSE)</f>
        <v>115</v>
      </c>
      <c r="J36" s="5">
        <f>VLOOKUP($A36,tropes!$A$4:$O$2428,10,FALSE)</f>
        <v>16</v>
      </c>
      <c r="K36" s="5" t="str">
        <f>VLOOKUP($A36,tropes!$A$4:$O$2428,11,FALSE)</f>
        <v>Shore Leave</v>
      </c>
      <c r="L36" s="5">
        <f>VLOOKUP($A36,tropes!$A$4:$O$2428,12,FALSE)</f>
        <v>1</v>
      </c>
      <c r="M36" s="5">
        <f>VLOOKUP($A36,tropes!$A$4:$O$2428,13,FALSE)</f>
        <v>15</v>
      </c>
      <c r="N36" s="5">
        <f t="shared" si="0"/>
        <v>0</v>
      </c>
    </row>
    <row r="37" spans="1:14" x14ac:dyDescent="0.3">
      <c r="A37" s="14">
        <v>711</v>
      </c>
      <c r="B37" s="5" t="str">
        <f>VLOOKUP($A37,tropes!$A$4:$O$2428,2,FALSE)</f>
        <v>Comm Link</v>
      </c>
      <c r="C37" s="5" t="str">
        <f>VLOOKUP($A37,tropes!$A$4:$O$2428,3,FALSE)</f>
        <v>flip_communicator</v>
      </c>
      <c r="D37" s="5" t="str">
        <f>VLOOKUP($A37,tropes!$A$4:$O$2428,4,FALSE)</f>
        <v>kirk</v>
      </c>
      <c r="E37" s="5" t="str">
        <f>VLOOKUP($A37,tropes!$A$4:$O$2428,5,FALSE)</f>
        <v>Kirk calls McCoy</v>
      </c>
      <c r="F37" s="5">
        <f>VLOOKUP($A37,tropes!$A$4:$O$2428,6,FALSE)</f>
        <v>0</v>
      </c>
      <c r="G37" s="5">
        <f>VLOOKUP($A37,tropes!$A$4:$O$2428,7,FALSE)</f>
        <v>1</v>
      </c>
      <c r="H37" s="5">
        <f>VLOOKUP($A37,tropes!$A$4:$O$2428,8,FALSE)</f>
        <v>0</v>
      </c>
      <c r="I37" s="5">
        <f>VLOOKUP($A37,tropes!$A$4:$O$2428,9,FALSE)</f>
        <v>115</v>
      </c>
      <c r="J37" s="5">
        <f>VLOOKUP($A37,tropes!$A$4:$O$2428,10,FALSE)</f>
        <v>16</v>
      </c>
      <c r="K37" s="5" t="str">
        <f>VLOOKUP($A37,tropes!$A$4:$O$2428,11,FALSE)</f>
        <v>Shore Leave</v>
      </c>
      <c r="L37" s="5">
        <f>VLOOKUP($A37,tropes!$A$4:$O$2428,12,FALSE)</f>
        <v>1</v>
      </c>
      <c r="M37" s="5">
        <f>VLOOKUP($A37,tropes!$A$4:$O$2428,13,FALSE)</f>
        <v>15</v>
      </c>
      <c r="N37" s="5">
        <f t="shared" si="0"/>
        <v>1</v>
      </c>
    </row>
    <row r="38" spans="1:14" x14ac:dyDescent="0.3">
      <c r="A38" s="14">
        <v>712</v>
      </c>
      <c r="B38" s="5" t="str">
        <f>VLOOKUP($A38,tropes!$A$4:$O$2428,2,FALSE)</f>
        <v>Comm Link</v>
      </c>
      <c r="C38" s="5" t="str">
        <f>VLOOKUP($A38,tropes!$A$4:$O$2428,3,FALSE)</f>
        <v>flip_communicator</v>
      </c>
      <c r="D38" s="5" t="str">
        <f>VLOOKUP($A38,tropes!$A$4:$O$2428,4,FALSE)</f>
        <v>kirk</v>
      </c>
      <c r="E38" s="5" t="str">
        <f>VLOOKUP($A38,tropes!$A$4:$O$2428,5,FALSE)</f>
        <v>Kirk calls Rodriguez</v>
      </c>
      <c r="F38" s="5">
        <f>VLOOKUP($A38,tropes!$A$4:$O$2428,6,FALSE)</f>
        <v>0</v>
      </c>
      <c r="G38" s="5">
        <f>VLOOKUP($A38,tropes!$A$4:$O$2428,7,FALSE)</f>
        <v>1</v>
      </c>
      <c r="H38" s="5">
        <f>VLOOKUP($A38,tropes!$A$4:$O$2428,8,FALSE)</f>
        <v>0</v>
      </c>
      <c r="I38" s="5">
        <f>VLOOKUP($A38,tropes!$A$4:$O$2428,9,FALSE)</f>
        <v>115</v>
      </c>
      <c r="J38" s="5">
        <f>VLOOKUP($A38,tropes!$A$4:$O$2428,10,FALSE)</f>
        <v>16</v>
      </c>
      <c r="K38" s="5" t="str">
        <f>VLOOKUP($A38,tropes!$A$4:$O$2428,11,FALSE)</f>
        <v>Shore Leave</v>
      </c>
      <c r="L38" s="5">
        <f>VLOOKUP($A38,tropes!$A$4:$O$2428,12,FALSE)</f>
        <v>1</v>
      </c>
      <c r="M38" s="5">
        <f>VLOOKUP($A38,tropes!$A$4:$O$2428,13,FALSE)</f>
        <v>15</v>
      </c>
      <c r="N38" s="5">
        <f t="shared" si="0"/>
        <v>2</v>
      </c>
    </row>
    <row r="39" spans="1:14" x14ac:dyDescent="0.3">
      <c r="A39" s="14">
        <v>713</v>
      </c>
      <c r="B39" s="5" t="str">
        <f>VLOOKUP($A39,tropes!$A$4:$O$2428,2,FALSE)</f>
        <v>Comm Link</v>
      </c>
      <c r="C39" s="5" t="str">
        <f>VLOOKUP($A39,tropes!$A$4:$O$2428,3,FALSE)</f>
        <v>flip_communicator</v>
      </c>
      <c r="D39" s="5" t="str">
        <f>VLOOKUP($A39,tropes!$A$4:$O$2428,4,FALSE)</f>
        <v>kirk</v>
      </c>
      <c r="E39" s="5" t="str">
        <f>VLOOKUP($A39,tropes!$A$4:$O$2428,5,FALSE)</f>
        <v>Kirk calls Spock (1)</v>
      </c>
      <c r="F39" s="5">
        <f>VLOOKUP($A39,tropes!$A$4:$O$2428,6,FALSE)</f>
        <v>0</v>
      </c>
      <c r="G39" s="5">
        <f>VLOOKUP($A39,tropes!$A$4:$O$2428,7,FALSE)</f>
        <v>1</v>
      </c>
      <c r="H39" s="5">
        <f>VLOOKUP($A39,tropes!$A$4:$O$2428,8,FALSE)</f>
        <v>0</v>
      </c>
      <c r="I39" s="5">
        <f>VLOOKUP($A39,tropes!$A$4:$O$2428,9,FALSE)</f>
        <v>115</v>
      </c>
      <c r="J39" s="5">
        <f>VLOOKUP($A39,tropes!$A$4:$O$2428,10,FALSE)</f>
        <v>16</v>
      </c>
      <c r="K39" s="5" t="str">
        <f>VLOOKUP($A39,tropes!$A$4:$O$2428,11,FALSE)</f>
        <v>Shore Leave</v>
      </c>
      <c r="L39" s="5">
        <f>VLOOKUP($A39,tropes!$A$4:$O$2428,12,FALSE)</f>
        <v>1</v>
      </c>
      <c r="M39" s="5">
        <f>VLOOKUP($A39,tropes!$A$4:$O$2428,13,FALSE)</f>
        <v>15</v>
      </c>
      <c r="N39" s="5">
        <f t="shared" si="0"/>
        <v>3</v>
      </c>
    </row>
    <row r="40" spans="1:14" x14ac:dyDescent="0.3">
      <c r="A40" s="14">
        <v>714</v>
      </c>
      <c r="B40" s="5" t="str">
        <f>VLOOKUP($A40,tropes!$A$4:$O$2428,2,FALSE)</f>
        <v>Comm Link</v>
      </c>
      <c r="C40" s="5" t="str">
        <f>VLOOKUP($A40,tropes!$A$4:$O$2428,3,FALSE)</f>
        <v>flip_communicator</v>
      </c>
      <c r="D40" s="5" t="str">
        <f>VLOOKUP($A40,tropes!$A$4:$O$2428,4,FALSE)</f>
        <v>kirk</v>
      </c>
      <c r="E40" s="5" t="str">
        <f>VLOOKUP($A40,tropes!$A$4:$O$2428,5,FALSE)</f>
        <v>Kirk calls Spock (2)</v>
      </c>
      <c r="F40" s="5">
        <f>VLOOKUP($A40,tropes!$A$4:$O$2428,6,FALSE)</f>
        <v>0</v>
      </c>
      <c r="G40" s="5">
        <f>VLOOKUP($A40,tropes!$A$4:$O$2428,7,FALSE)</f>
        <v>1</v>
      </c>
      <c r="H40" s="5">
        <f>VLOOKUP($A40,tropes!$A$4:$O$2428,8,FALSE)</f>
        <v>0</v>
      </c>
      <c r="I40" s="5">
        <f>VLOOKUP($A40,tropes!$A$4:$O$2428,9,FALSE)</f>
        <v>115</v>
      </c>
      <c r="J40" s="5">
        <f>VLOOKUP($A40,tropes!$A$4:$O$2428,10,FALSE)</f>
        <v>16</v>
      </c>
      <c r="K40" s="5" t="str">
        <f>VLOOKUP($A40,tropes!$A$4:$O$2428,11,FALSE)</f>
        <v>Shore Leave</v>
      </c>
      <c r="L40" s="5">
        <f>VLOOKUP($A40,tropes!$A$4:$O$2428,12,FALSE)</f>
        <v>1</v>
      </c>
      <c r="M40" s="5">
        <f>VLOOKUP($A40,tropes!$A$4:$O$2428,13,FALSE)</f>
        <v>15</v>
      </c>
      <c r="N40" s="5">
        <f t="shared" si="0"/>
        <v>4</v>
      </c>
    </row>
    <row r="41" spans="1:14" x14ac:dyDescent="0.3">
      <c r="A41" s="14">
        <v>715</v>
      </c>
      <c r="B41" s="5" t="str">
        <f>VLOOKUP($A41,tropes!$A$4:$O$2428,2,FALSE)</f>
        <v>Comm Link</v>
      </c>
      <c r="C41" s="5" t="str">
        <f>VLOOKUP($A41,tropes!$A$4:$O$2428,3,FALSE)</f>
        <v>flip_communicator</v>
      </c>
      <c r="D41" s="5" t="str">
        <f>VLOOKUP($A41,tropes!$A$4:$O$2428,4,FALSE)</f>
        <v>kirk</v>
      </c>
      <c r="E41" s="5" t="str">
        <f>VLOOKUP($A41,tropes!$A$4:$O$2428,5,FALSE)</f>
        <v>Kirk receives call from Enterprise (1)</v>
      </c>
      <c r="F41" s="5">
        <f>VLOOKUP($A41,tropes!$A$4:$O$2428,6,FALSE)</f>
        <v>0</v>
      </c>
      <c r="G41" s="5">
        <f>VLOOKUP($A41,tropes!$A$4:$O$2428,7,FALSE)</f>
        <v>1</v>
      </c>
      <c r="H41" s="5">
        <f>VLOOKUP($A41,tropes!$A$4:$O$2428,8,FALSE)</f>
        <v>0</v>
      </c>
      <c r="I41" s="5">
        <f>VLOOKUP($A41,tropes!$A$4:$O$2428,9,FALSE)</f>
        <v>115</v>
      </c>
      <c r="J41" s="5">
        <f>VLOOKUP($A41,tropes!$A$4:$O$2428,10,FALSE)</f>
        <v>16</v>
      </c>
      <c r="K41" s="5" t="str">
        <f>VLOOKUP($A41,tropes!$A$4:$O$2428,11,FALSE)</f>
        <v>Shore Leave</v>
      </c>
      <c r="L41" s="5">
        <f>VLOOKUP($A41,tropes!$A$4:$O$2428,12,FALSE)</f>
        <v>1</v>
      </c>
      <c r="M41" s="5">
        <f>VLOOKUP($A41,tropes!$A$4:$O$2428,13,FALSE)</f>
        <v>15</v>
      </c>
      <c r="N41" s="5">
        <f t="shared" si="0"/>
        <v>5</v>
      </c>
    </row>
    <row r="42" spans="1:14" x14ac:dyDescent="0.3">
      <c r="A42" s="14">
        <v>716</v>
      </c>
      <c r="B42" s="5" t="str">
        <f>VLOOKUP($A42,tropes!$A$4:$O$2428,2,FALSE)</f>
        <v>Comm Link</v>
      </c>
      <c r="C42" s="5" t="str">
        <f>VLOOKUP($A42,tropes!$A$4:$O$2428,3,FALSE)</f>
        <v>flip_communicator</v>
      </c>
      <c r="D42" s="5" t="str">
        <f>VLOOKUP($A42,tropes!$A$4:$O$2428,4,FALSE)</f>
        <v>kirk</v>
      </c>
      <c r="E42" s="5" t="str">
        <f>VLOOKUP($A42,tropes!$A$4:$O$2428,5,FALSE)</f>
        <v>Kirk receives call from Enterprise (2)</v>
      </c>
      <c r="F42" s="5">
        <f>VLOOKUP($A42,tropes!$A$4:$O$2428,6,FALSE)</f>
        <v>0</v>
      </c>
      <c r="G42" s="5">
        <f>VLOOKUP($A42,tropes!$A$4:$O$2428,7,FALSE)</f>
        <v>1</v>
      </c>
      <c r="H42" s="5">
        <f>VLOOKUP($A42,tropes!$A$4:$O$2428,8,FALSE)</f>
        <v>0</v>
      </c>
      <c r="I42" s="5">
        <f>VLOOKUP($A42,tropes!$A$4:$O$2428,9,FALSE)</f>
        <v>115</v>
      </c>
      <c r="J42" s="5">
        <f>VLOOKUP($A42,tropes!$A$4:$O$2428,10,FALSE)</f>
        <v>16</v>
      </c>
      <c r="K42" s="5" t="str">
        <f>VLOOKUP($A42,tropes!$A$4:$O$2428,11,FALSE)</f>
        <v>Shore Leave</v>
      </c>
      <c r="L42" s="5">
        <f>VLOOKUP($A42,tropes!$A$4:$O$2428,12,FALSE)</f>
        <v>1</v>
      </c>
      <c r="M42" s="5">
        <f>VLOOKUP($A42,tropes!$A$4:$O$2428,13,FALSE)</f>
        <v>15</v>
      </c>
      <c r="N42" s="5">
        <f t="shared" si="0"/>
        <v>6</v>
      </c>
    </row>
    <row r="43" spans="1:14" x14ac:dyDescent="0.3">
      <c r="A43" s="14">
        <v>1568</v>
      </c>
      <c r="B43" s="5" t="str">
        <f>VLOOKUP($A43,tropes!$A$4:$O$2428,2,FALSE)</f>
        <v>Comm Link</v>
      </c>
      <c r="C43" s="5" t="str">
        <f>VLOOKUP($A43,tropes!$A$4:$O$2428,3,FALSE)</f>
        <v>flip_communicator</v>
      </c>
      <c r="D43" s="5" t="str">
        <f>VLOOKUP($A43,tropes!$A$4:$O$2428,4,FALSE)</f>
        <v>mccoy</v>
      </c>
      <c r="E43" s="5" t="str">
        <f>VLOOKUP($A43,tropes!$A$4:$O$2428,5,FALSE)</f>
        <v>McCoy calls Kirk</v>
      </c>
      <c r="F43" s="5">
        <f>VLOOKUP($A43,tropes!$A$4:$O$2428,6,FALSE)</f>
        <v>0</v>
      </c>
      <c r="G43" s="5">
        <f>VLOOKUP($A43,tropes!$A$4:$O$2428,7,FALSE)</f>
        <v>0</v>
      </c>
      <c r="H43" s="5">
        <f>VLOOKUP($A43,tropes!$A$4:$O$2428,8,FALSE)</f>
        <v>1</v>
      </c>
      <c r="I43" s="5">
        <f>VLOOKUP($A43,tropes!$A$4:$O$2428,9,FALSE)</f>
        <v>115</v>
      </c>
      <c r="J43" s="5">
        <f>VLOOKUP($A43,tropes!$A$4:$O$2428,10,FALSE)</f>
        <v>16</v>
      </c>
      <c r="K43" s="5" t="str">
        <f>VLOOKUP($A43,tropes!$A$4:$O$2428,11,FALSE)</f>
        <v>Shore Leave</v>
      </c>
      <c r="L43" s="5">
        <f>VLOOKUP($A43,tropes!$A$4:$O$2428,12,FALSE)</f>
        <v>1</v>
      </c>
      <c r="M43" s="5">
        <f>VLOOKUP($A43,tropes!$A$4:$O$2428,13,FALSE)</f>
        <v>15</v>
      </c>
      <c r="N43" s="5">
        <f t="shared" si="0"/>
        <v>7</v>
      </c>
    </row>
    <row r="44" spans="1:14" x14ac:dyDescent="0.3">
      <c r="A44" s="14">
        <v>1569</v>
      </c>
      <c r="B44" s="5" t="str">
        <f>VLOOKUP($A44,tropes!$A$4:$O$2428,2,FALSE)</f>
        <v>Comm Link</v>
      </c>
      <c r="C44" s="5" t="str">
        <f>VLOOKUP($A44,tropes!$A$4:$O$2428,3,FALSE)</f>
        <v>flip_communicator</v>
      </c>
      <c r="D44" s="5" t="str">
        <f>VLOOKUP($A44,tropes!$A$4:$O$2428,4,FALSE)</f>
        <v>mccoy</v>
      </c>
      <c r="E44" s="5" t="str">
        <f>VLOOKUP($A44,tropes!$A$4:$O$2428,5,FALSE)</f>
        <v>McCoy calls Rodriguez</v>
      </c>
      <c r="F44" s="5">
        <f>VLOOKUP($A44,tropes!$A$4:$O$2428,6,FALSE)</f>
        <v>0</v>
      </c>
      <c r="G44" s="5">
        <f>VLOOKUP($A44,tropes!$A$4:$O$2428,7,FALSE)</f>
        <v>0</v>
      </c>
      <c r="H44" s="5">
        <f>VLOOKUP($A44,tropes!$A$4:$O$2428,8,FALSE)</f>
        <v>1</v>
      </c>
      <c r="I44" s="5">
        <f>VLOOKUP($A44,tropes!$A$4:$O$2428,9,FALSE)</f>
        <v>115</v>
      </c>
      <c r="J44" s="5">
        <f>VLOOKUP($A44,tropes!$A$4:$O$2428,10,FALSE)</f>
        <v>16</v>
      </c>
      <c r="K44" s="5" t="str">
        <f>VLOOKUP($A44,tropes!$A$4:$O$2428,11,FALSE)</f>
        <v>Shore Leave</v>
      </c>
      <c r="L44" s="5">
        <f>VLOOKUP($A44,tropes!$A$4:$O$2428,12,FALSE)</f>
        <v>1</v>
      </c>
      <c r="M44" s="5">
        <f>VLOOKUP($A44,tropes!$A$4:$O$2428,13,FALSE)</f>
        <v>15</v>
      </c>
      <c r="N44" s="5">
        <f t="shared" si="0"/>
        <v>8</v>
      </c>
    </row>
    <row r="45" spans="1:14" x14ac:dyDescent="0.3">
      <c r="A45" s="14">
        <v>1736</v>
      </c>
      <c r="B45" s="5" t="str">
        <f>VLOOKUP($A45,tropes!$A$4:$O$2428,2,FALSE)</f>
        <v>Comm Link</v>
      </c>
      <c r="C45" s="5" t="str">
        <f>VLOOKUP($A45,tropes!$A$4:$O$2428,3,FALSE)</f>
        <v>flip_communicator</v>
      </c>
      <c r="D45" s="5" t="str">
        <f>VLOOKUP($A45,tropes!$A$4:$O$2428,4,FALSE)</f>
        <v>mears</v>
      </c>
      <c r="E45" s="5" t="str">
        <f>VLOOKUP($A45,tropes!$A$4:$O$2428,5,FALSE)</f>
        <v>Yeoman Mears: Nothing sir. Just Ionic interference.</v>
      </c>
      <c r="F45" s="5">
        <f>VLOOKUP($A45,tropes!$A$4:$O$2428,6,FALSE)</f>
        <v>0</v>
      </c>
      <c r="G45" s="5">
        <f>VLOOKUP($A45,tropes!$A$4:$O$2428,7,FALSE)</f>
        <v>0</v>
      </c>
      <c r="H45" s="5">
        <f>VLOOKUP($A45,tropes!$A$4:$O$2428,8,FALSE)</f>
        <v>0</v>
      </c>
      <c r="I45" s="5">
        <f>VLOOKUP($A45,tropes!$A$4:$O$2428,9,FALSE)</f>
        <v>116</v>
      </c>
      <c r="J45" s="5">
        <f>VLOOKUP($A45,tropes!$A$4:$O$2428,10,FALSE)</f>
        <v>17</v>
      </c>
      <c r="K45" s="5" t="str">
        <f>VLOOKUP($A45,tropes!$A$4:$O$2428,11,FALSE)</f>
        <v>The Galileo Seven</v>
      </c>
      <c r="L45" s="5">
        <f>VLOOKUP($A45,tropes!$A$4:$O$2428,12,FALSE)</f>
        <v>1</v>
      </c>
      <c r="M45" s="5">
        <f>VLOOKUP($A45,tropes!$A$4:$O$2428,13,FALSE)</f>
        <v>16</v>
      </c>
      <c r="N45" s="5">
        <f t="shared" si="0"/>
        <v>0</v>
      </c>
    </row>
    <row r="46" spans="1:14" x14ac:dyDescent="0.3">
      <c r="A46" s="14">
        <v>733</v>
      </c>
      <c r="B46" s="5" t="str">
        <f>VLOOKUP($A46,tropes!$A$4:$O$2428,2,FALSE)</f>
        <v>Comm Link</v>
      </c>
      <c r="C46" s="5" t="str">
        <f>VLOOKUP($A46,tropes!$A$4:$O$2428,3,FALSE)</f>
        <v>flip_communicator</v>
      </c>
      <c r="D46" s="5" t="str">
        <f>VLOOKUP($A46,tropes!$A$4:$O$2428,4,FALSE)</f>
        <v>kirk</v>
      </c>
      <c r="E46" s="5" t="str">
        <f>VLOOKUP($A46,tropes!$A$4:$O$2428,5,FALSE)</f>
        <v>Kirk calls Enterprise (1)</v>
      </c>
      <c r="F46" s="5">
        <f>VLOOKUP($A46,tropes!$A$4:$O$2428,6,FALSE)</f>
        <v>0</v>
      </c>
      <c r="G46" s="5">
        <f>VLOOKUP($A46,tropes!$A$4:$O$2428,7,FALSE)</f>
        <v>1</v>
      </c>
      <c r="H46" s="5">
        <f>VLOOKUP($A46,tropes!$A$4:$O$2428,8,FALSE)</f>
        <v>0</v>
      </c>
      <c r="I46" s="5">
        <f>VLOOKUP($A46,tropes!$A$4:$O$2428,9,FALSE)</f>
        <v>117</v>
      </c>
      <c r="J46" s="5">
        <f>VLOOKUP($A46,tropes!$A$4:$O$2428,10,FALSE)</f>
        <v>18</v>
      </c>
      <c r="K46" s="5" t="str">
        <f>VLOOKUP($A46,tropes!$A$4:$O$2428,11,FALSE)</f>
        <v>The Squire of Gothos</v>
      </c>
      <c r="L46" s="5">
        <f>VLOOKUP($A46,tropes!$A$4:$O$2428,12,FALSE)</f>
        <v>1</v>
      </c>
      <c r="M46" s="5">
        <f>VLOOKUP($A46,tropes!$A$4:$O$2428,13,FALSE)</f>
        <v>17</v>
      </c>
      <c r="N46" s="5">
        <f t="shared" si="0"/>
        <v>0</v>
      </c>
    </row>
    <row r="47" spans="1:14" x14ac:dyDescent="0.3">
      <c r="A47" s="14">
        <v>734</v>
      </c>
      <c r="B47" s="5" t="str">
        <f>VLOOKUP($A47,tropes!$A$4:$O$2428,2,FALSE)</f>
        <v>Comm Link</v>
      </c>
      <c r="C47" s="5" t="str">
        <f>VLOOKUP($A47,tropes!$A$4:$O$2428,3,FALSE)</f>
        <v>flip_communicator</v>
      </c>
      <c r="D47" s="5" t="str">
        <f>VLOOKUP($A47,tropes!$A$4:$O$2428,4,FALSE)</f>
        <v>kirk</v>
      </c>
      <c r="E47" s="5" t="str">
        <f>VLOOKUP($A47,tropes!$A$4:$O$2428,5,FALSE)</f>
        <v>Kirk calls Enterprise (2)</v>
      </c>
      <c r="F47" s="5">
        <f>VLOOKUP($A47,tropes!$A$4:$O$2428,6,FALSE)</f>
        <v>0</v>
      </c>
      <c r="G47" s="5">
        <f>VLOOKUP($A47,tropes!$A$4:$O$2428,7,FALSE)</f>
        <v>1</v>
      </c>
      <c r="H47" s="5">
        <f>VLOOKUP($A47,tropes!$A$4:$O$2428,8,FALSE)</f>
        <v>0</v>
      </c>
      <c r="I47" s="5">
        <f>VLOOKUP($A47,tropes!$A$4:$O$2428,9,FALSE)</f>
        <v>117</v>
      </c>
      <c r="J47" s="5">
        <f>VLOOKUP($A47,tropes!$A$4:$O$2428,10,FALSE)</f>
        <v>18</v>
      </c>
      <c r="K47" s="5" t="str">
        <f>VLOOKUP($A47,tropes!$A$4:$O$2428,11,FALSE)</f>
        <v>The Squire of Gothos</v>
      </c>
      <c r="L47" s="5">
        <f>VLOOKUP($A47,tropes!$A$4:$O$2428,12,FALSE)</f>
        <v>1</v>
      </c>
      <c r="M47" s="5">
        <f>VLOOKUP($A47,tropes!$A$4:$O$2428,13,FALSE)</f>
        <v>17</v>
      </c>
      <c r="N47" s="5">
        <f t="shared" si="0"/>
        <v>1</v>
      </c>
    </row>
    <row r="48" spans="1:14" x14ac:dyDescent="0.3">
      <c r="A48" s="14">
        <v>731</v>
      </c>
      <c r="B48" s="5" t="str">
        <f>VLOOKUP($A48,tropes!$A$4:$O$2428,2,FALSE)</f>
        <v>Comm Link</v>
      </c>
      <c r="C48" s="5" t="str">
        <f>VLOOKUP($A48,tropes!$A$4:$O$2428,3,FALSE)</f>
        <v>flip_communicator</v>
      </c>
      <c r="D48" s="5" t="str">
        <f>VLOOKUP($A48,tropes!$A$4:$O$2428,4,FALSE)</f>
        <v>kirk</v>
      </c>
      <c r="E48" s="5" t="str">
        <f>VLOOKUP($A48,tropes!$A$4:$O$2428,5,FALSE)</f>
        <v>Kirk calls Enterprise (unable to raise ship) (1)</v>
      </c>
      <c r="F48" s="5">
        <f>VLOOKUP($A48,tropes!$A$4:$O$2428,6,FALSE)</f>
        <v>0</v>
      </c>
      <c r="G48" s="5">
        <f>VLOOKUP($A48,tropes!$A$4:$O$2428,7,FALSE)</f>
        <v>1</v>
      </c>
      <c r="H48" s="5">
        <f>VLOOKUP($A48,tropes!$A$4:$O$2428,8,FALSE)</f>
        <v>0</v>
      </c>
      <c r="I48" s="5">
        <f>VLOOKUP($A48,tropes!$A$4:$O$2428,9,FALSE)</f>
        <v>117</v>
      </c>
      <c r="J48" s="5">
        <f>VLOOKUP($A48,tropes!$A$4:$O$2428,10,FALSE)</f>
        <v>18</v>
      </c>
      <c r="K48" s="5" t="str">
        <f>VLOOKUP($A48,tropes!$A$4:$O$2428,11,FALSE)</f>
        <v>The Squire of Gothos</v>
      </c>
      <c r="L48" s="5">
        <f>VLOOKUP($A48,tropes!$A$4:$O$2428,12,FALSE)</f>
        <v>1</v>
      </c>
      <c r="M48" s="5">
        <f>VLOOKUP($A48,tropes!$A$4:$O$2428,13,FALSE)</f>
        <v>17</v>
      </c>
      <c r="N48" s="5">
        <f t="shared" si="0"/>
        <v>2</v>
      </c>
    </row>
    <row r="49" spans="1:14" x14ac:dyDescent="0.3">
      <c r="A49" s="14">
        <v>732</v>
      </c>
      <c r="B49" s="5" t="str">
        <f>VLOOKUP($A49,tropes!$A$4:$O$2428,2,FALSE)</f>
        <v>Comm Link</v>
      </c>
      <c r="C49" s="5" t="str">
        <f>VLOOKUP($A49,tropes!$A$4:$O$2428,3,FALSE)</f>
        <v>flip_communicator</v>
      </c>
      <c r="D49" s="5" t="str">
        <f>VLOOKUP($A49,tropes!$A$4:$O$2428,4,FALSE)</f>
        <v>kirk</v>
      </c>
      <c r="E49" s="5" t="str">
        <f>VLOOKUP($A49,tropes!$A$4:$O$2428,5,FALSE)</f>
        <v>Kirk calls Enterprise (unable to raise ship) (2)</v>
      </c>
      <c r="F49" s="5">
        <f>VLOOKUP($A49,tropes!$A$4:$O$2428,6,FALSE)</f>
        <v>0</v>
      </c>
      <c r="G49" s="5">
        <f>VLOOKUP($A49,tropes!$A$4:$O$2428,7,FALSE)</f>
        <v>1</v>
      </c>
      <c r="H49" s="5">
        <f>VLOOKUP($A49,tropes!$A$4:$O$2428,8,FALSE)</f>
        <v>0</v>
      </c>
      <c r="I49" s="5">
        <f>VLOOKUP($A49,tropes!$A$4:$O$2428,9,FALSE)</f>
        <v>117</v>
      </c>
      <c r="J49" s="5">
        <f>VLOOKUP($A49,tropes!$A$4:$O$2428,10,FALSE)</f>
        <v>18</v>
      </c>
      <c r="K49" s="5" t="str">
        <f>VLOOKUP($A49,tropes!$A$4:$O$2428,11,FALSE)</f>
        <v>The Squire of Gothos</v>
      </c>
      <c r="L49" s="5">
        <f>VLOOKUP($A49,tropes!$A$4:$O$2428,12,FALSE)</f>
        <v>1</v>
      </c>
      <c r="M49" s="5">
        <f>VLOOKUP($A49,tropes!$A$4:$O$2428,13,FALSE)</f>
        <v>17</v>
      </c>
      <c r="N49" s="5">
        <f t="shared" si="0"/>
        <v>3</v>
      </c>
    </row>
    <row r="50" spans="1:14" x14ac:dyDescent="0.3">
      <c r="A50" s="14">
        <v>1575</v>
      </c>
      <c r="B50" s="5" t="str">
        <f>VLOOKUP($A50,tropes!$A$4:$O$2428,2,FALSE)</f>
        <v>Comm Link</v>
      </c>
      <c r="C50" s="5" t="str">
        <f>VLOOKUP($A50,tropes!$A$4:$O$2428,3,FALSE)</f>
        <v>flip_communicator</v>
      </c>
      <c r="D50" s="5" t="str">
        <f>VLOOKUP($A50,tropes!$A$4:$O$2428,4,FALSE)</f>
        <v>mccoy</v>
      </c>
      <c r="E50" s="5" t="str">
        <f>VLOOKUP($A50,tropes!$A$4:$O$2428,5,FALSE)</f>
        <v>McCoy calls Enterprise (Uhura)</v>
      </c>
      <c r="F50" s="5">
        <f>VLOOKUP($A50,tropes!$A$4:$O$2428,6,FALSE)</f>
        <v>0</v>
      </c>
      <c r="G50" s="5">
        <f>VLOOKUP($A50,tropes!$A$4:$O$2428,7,FALSE)</f>
        <v>0</v>
      </c>
      <c r="H50" s="5">
        <f>VLOOKUP($A50,tropes!$A$4:$O$2428,8,FALSE)</f>
        <v>1</v>
      </c>
      <c r="I50" s="5">
        <f>VLOOKUP($A50,tropes!$A$4:$O$2428,9,FALSE)</f>
        <v>117</v>
      </c>
      <c r="J50" s="5">
        <f>VLOOKUP($A50,tropes!$A$4:$O$2428,10,FALSE)</f>
        <v>18</v>
      </c>
      <c r="K50" s="5" t="str">
        <f>VLOOKUP($A50,tropes!$A$4:$O$2428,11,FALSE)</f>
        <v>The Squire of Gothos</v>
      </c>
      <c r="L50" s="5">
        <f>VLOOKUP($A50,tropes!$A$4:$O$2428,12,FALSE)</f>
        <v>1</v>
      </c>
      <c r="M50" s="5">
        <f>VLOOKUP($A50,tropes!$A$4:$O$2428,13,FALSE)</f>
        <v>17</v>
      </c>
      <c r="N50" s="5">
        <f t="shared" si="0"/>
        <v>4</v>
      </c>
    </row>
    <row r="51" spans="1:14" x14ac:dyDescent="0.3">
      <c r="A51" s="14">
        <v>745</v>
      </c>
      <c r="B51" s="5" t="str">
        <f>VLOOKUP($A51,tropes!$A$4:$O$2428,2,FALSE)</f>
        <v>Comm Link</v>
      </c>
      <c r="C51" s="5" t="str">
        <f>VLOOKUP($A51,tropes!$A$4:$O$2428,3,FALSE)</f>
        <v>flip_communicator</v>
      </c>
      <c r="D51" s="5" t="str">
        <f>VLOOKUP($A51,tropes!$A$4:$O$2428,4,FALSE)</f>
        <v>kirk</v>
      </c>
      <c r="E51" s="5" t="str">
        <f>VLOOKUP($A51,tropes!$A$4:$O$2428,5,FALSE)</f>
        <v>Kirk calls Enterprise (Scotty)</v>
      </c>
      <c r="F51" s="5">
        <f>VLOOKUP($A51,tropes!$A$4:$O$2428,6,FALSE)</f>
        <v>0</v>
      </c>
      <c r="G51" s="5">
        <f>VLOOKUP($A51,tropes!$A$4:$O$2428,7,FALSE)</f>
        <v>1</v>
      </c>
      <c r="H51" s="5">
        <f>VLOOKUP($A51,tropes!$A$4:$O$2428,8,FALSE)</f>
        <v>0</v>
      </c>
      <c r="I51" s="5">
        <f>VLOOKUP($A51,tropes!$A$4:$O$2428,9,FALSE)</f>
        <v>118</v>
      </c>
      <c r="J51" s="5">
        <f>VLOOKUP($A51,tropes!$A$4:$O$2428,10,FALSE)</f>
        <v>19</v>
      </c>
      <c r="K51" s="5" t="str">
        <f>VLOOKUP($A51,tropes!$A$4:$O$2428,11,FALSE)</f>
        <v>Arena</v>
      </c>
      <c r="L51" s="5">
        <f>VLOOKUP($A51,tropes!$A$4:$O$2428,12,FALSE)</f>
        <v>1</v>
      </c>
      <c r="M51" s="5">
        <f>VLOOKUP($A51,tropes!$A$4:$O$2428,13,FALSE)</f>
        <v>18</v>
      </c>
      <c r="N51" s="5">
        <f t="shared" si="0"/>
        <v>0</v>
      </c>
    </row>
    <row r="52" spans="1:14" x14ac:dyDescent="0.3">
      <c r="A52" s="14">
        <v>746</v>
      </c>
      <c r="B52" s="5" t="str">
        <f>VLOOKUP($A52,tropes!$A$4:$O$2428,2,FALSE)</f>
        <v>Comm Link</v>
      </c>
      <c r="C52" s="5" t="str">
        <f>VLOOKUP($A52,tropes!$A$4:$O$2428,3,FALSE)</f>
        <v>flip_communicator</v>
      </c>
      <c r="D52" s="5" t="str">
        <f>VLOOKUP($A52,tropes!$A$4:$O$2428,4,FALSE)</f>
        <v>kirk</v>
      </c>
      <c r="E52" s="5" t="str">
        <f>VLOOKUP($A52,tropes!$A$4:$O$2428,5,FALSE)</f>
        <v>Kirk calls Enterprise (Sulu) (1)</v>
      </c>
      <c r="F52" s="5">
        <f>VLOOKUP($A52,tropes!$A$4:$O$2428,6,FALSE)</f>
        <v>0</v>
      </c>
      <c r="G52" s="5">
        <f>VLOOKUP($A52,tropes!$A$4:$O$2428,7,FALSE)</f>
        <v>1</v>
      </c>
      <c r="H52" s="5">
        <f>VLOOKUP($A52,tropes!$A$4:$O$2428,8,FALSE)</f>
        <v>0</v>
      </c>
      <c r="I52" s="5">
        <f>VLOOKUP($A52,tropes!$A$4:$O$2428,9,FALSE)</f>
        <v>118</v>
      </c>
      <c r="J52" s="5">
        <f>VLOOKUP($A52,tropes!$A$4:$O$2428,10,FALSE)</f>
        <v>19</v>
      </c>
      <c r="K52" s="5" t="str">
        <f>VLOOKUP($A52,tropes!$A$4:$O$2428,11,FALSE)</f>
        <v>Arena</v>
      </c>
      <c r="L52" s="5">
        <f>VLOOKUP($A52,tropes!$A$4:$O$2428,12,FALSE)</f>
        <v>1</v>
      </c>
      <c r="M52" s="5">
        <f>VLOOKUP($A52,tropes!$A$4:$O$2428,13,FALSE)</f>
        <v>18</v>
      </c>
      <c r="N52" s="5">
        <f t="shared" si="0"/>
        <v>1</v>
      </c>
    </row>
    <row r="53" spans="1:14" x14ac:dyDescent="0.3">
      <c r="A53" s="14">
        <v>747</v>
      </c>
      <c r="B53" s="5" t="str">
        <f>VLOOKUP($A53,tropes!$A$4:$O$2428,2,FALSE)</f>
        <v>Comm Link</v>
      </c>
      <c r="C53" s="5" t="str">
        <f>VLOOKUP($A53,tropes!$A$4:$O$2428,3,FALSE)</f>
        <v>flip_communicator</v>
      </c>
      <c r="D53" s="5" t="str">
        <f>VLOOKUP($A53,tropes!$A$4:$O$2428,4,FALSE)</f>
        <v>kirk</v>
      </c>
      <c r="E53" s="5" t="str">
        <f>VLOOKUP($A53,tropes!$A$4:$O$2428,5,FALSE)</f>
        <v>Kirk calls Enterprise (Sulu) (2)</v>
      </c>
      <c r="F53" s="5">
        <f>VLOOKUP($A53,tropes!$A$4:$O$2428,6,FALSE)</f>
        <v>0</v>
      </c>
      <c r="G53" s="5">
        <f>VLOOKUP($A53,tropes!$A$4:$O$2428,7,FALSE)</f>
        <v>1</v>
      </c>
      <c r="H53" s="5">
        <f>VLOOKUP($A53,tropes!$A$4:$O$2428,8,FALSE)</f>
        <v>0</v>
      </c>
      <c r="I53" s="5">
        <f>VLOOKUP($A53,tropes!$A$4:$O$2428,9,FALSE)</f>
        <v>118</v>
      </c>
      <c r="J53" s="5">
        <f>VLOOKUP($A53,tropes!$A$4:$O$2428,10,FALSE)</f>
        <v>19</v>
      </c>
      <c r="K53" s="5" t="str">
        <f>VLOOKUP($A53,tropes!$A$4:$O$2428,11,FALSE)</f>
        <v>Arena</v>
      </c>
      <c r="L53" s="5">
        <f>VLOOKUP($A53,tropes!$A$4:$O$2428,12,FALSE)</f>
        <v>1</v>
      </c>
      <c r="M53" s="5">
        <f>VLOOKUP($A53,tropes!$A$4:$O$2428,13,FALSE)</f>
        <v>18</v>
      </c>
      <c r="N53" s="5">
        <f t="shared" si="0"/>
        <v>2</v>
      </c>
    </row>
    <row r="54" spans="1:14" x14ac:dyDescent="0.3">
      <c r="A54" s="14">
        <v>748</v>
      </c>
      <c r="B54" s="5" t="str">
        <f>VLOOKUP($A54,tropes!$A$4:$O$2428,2,FALSE)</f>
        <v>Comm Link</v>
      </c>
      <c r="C54" s="5" t="str">
        <f>VLOOKUP($A54,tropes!$A$4:$O$2428,3,FALSE)</f>
        <v>flip_communicator</v>
      </c>
      <c r="D54" s="5" t="str">
        <f>VLOOKUP($A54,tropes!$A$4:$O$2428,4,FALSE)</f>
        <v>kirk</v>
      </c>
      <c r="E54" s="5" t="str">
        <f>VLOOKUP($A54,tropes!$A$4:$O$2428,5,FALSE)</f>
        <v>Kirk calls Enterprise (Sulu) (3)</v>
      </c>
      <c r="F54" s="5">
        <f>VLOOKUP($A54,tropes!$A$4:$O$2428,6,FALSE)</f>
        <v>0</v>
      </c>
      <c r="G54" s="5">
        <f>VLOOKUP($A54,tropes!$A$4:$O$2428,7,FALSE)</f>
        <v>1</v>
      </c>
      <c r="H54" s="5">
        <f>VLOOKUP($A54,tropes!$A$4:$O$2428,8,FALSE)</f>
        <v>0</v>
      </c>
      <c r="I54" s="5">
        <f>VLOOKUP($A54,tropes!$A$4:$O$2428,9,FALSE)</f>
        <v>118</v>
      </c>
      <c r="J54" s="5">
        <f>VLOOKUP($A54,tropes!$A$4:$O$2428,10,FALSE)</f>
        <v>19</v>
      </c>
      <c r="K54" s="5" t="str">
        <f>VLOOKUP($A54,tropes!$A$4:$O$2428,11,FALSE)</f>
        <v>Arena</v>
      </c>
      <c r="L54" s="5">
        <f>VLOOKUP($A54,tropes!$A$4:$O$2428,12,FALSE)</f>
        <v>1</v>
      </c>
      <c r="M54" s="5">
        <f>VLOOKUP($A54,tropes!$A$4:$O$2428,13,FALSE)</f>
        <v>18</v>
      </c>
      <c r="N54" s="5">
        <f t="shared" si="0"/>
        <v>3</v>
      </c>
    </row>
    <row r="55" spans="1:14" x14ac:dyDescent="0.3">
      <c r="A55" s="14">
        <v>2441</v>
      </c>
      <c r="B55" s="5" t="str">
        <f>VLOOKUP($A55,tropes!$A$4:$O$2428,2,FALSE)</f>
        <v>Comm Link</v>
      </c>
      <c r="C55" s="5" t="str">
        <f>VLOOKUP($A55,tropes!$A$4:$O$2428,3,FALSE)</f>
        <v>flip_communicator</v>
      </c>
      <c r="D55" s="5" t="str">
        <f>VLOOKUP($A55,tropes!$A$4:$O$2428,4,FALSE)</f>
        <v>sulu</v>
      </c>
      <c r="E55" s="5" t="str">
        <f>VLOOKUP($A55,tropes!$A$4:$O$2428,5,FALSE)</f>
        <v>Sulu calls Enterprise (Kirk)</v>
      </c>
      <c r="F55" s="5">
        <f>VLOOKUP($A55,tropes!$A$4:$O$2428,6,FALSE)</f>
        <v>0</v>
      </c>
      <c r="G55" s="5">
        <f>VLOOKUP($A55,tropes!$A$4:$O$2428,7,FALSE)</f>
        <v>0</v>
      </c>
      <c r="H55" s="5">
        <f>VLOOKUP($A55,tropes!$A$4:$O$2428,8,FALSE)</f>
        <v>1</v>
      </c>
      <c r="I55" s="5">
        <f>VLOOKUP($A55,tropes!$A$4:$O$2428,9,FALSE)</f>
        <v>118</v>
      </c>
      <c r="J55" s="5">
        <f>VLOOKUP($A55,tropes!$A$4:$O$2428,10,FALSE)</f>
        <v>19</v>
      </c>
      <c r="K55" s="5" t="str">
        <f>VLOOKUP($A55,tropes!$A$4:$O$2428,11,FALSE)</f>
        <v>Arena</v>
      </c>
      <c r="L55" s="5">
        <f>VLOOKUP($A55,tropes!$A$4:$O$2428,12,FALSE)</f>
        <v>1</v>
      </c>
      <c r="M55" s="5">
        <f>VLOOKUP($A55,tropes!$A$4:$O$2428,13,FALSE)</f>
        <v>18</v>
      </c>
      <c r="N55" s="5">
        <f t="shared" si="0"/>
        <v>4</v>
      </c>
    </row>
    <row r="56" spans="1:14" x14ac:dyDescent="0.3">
      <c r="A56" s="14">
        <v>295</v>
      </c>
      <c r="B56" s="5" t="str">
        <f>VLOOKUP($A56,tropes!$A$4:$O$2428,2,FALSE)</f>
        <v>Comm Link</v>
      </c>
      <c r="C56" s="5" t="str">
        <f>VLOOKUP($A56,tropes!$A$4:$O$2428,3,FALSE)</f>
        <v>flip_communicator</v>
      </c>
      <c r="D56" s="5" t="str">
        <f>VLOOKUP($A56,tropes!$A$4:$O$2428,4,FALSE)</f>
        <v>human</v>
      </c>
      <c r="E56" s="5" t="str">
        <f>VLOOKUP($A56,tropes!$A$4:$O$2428,5,FALSE)</f>
        <v>USAF guard accidently triggers call to Enterprise.</v>
      </c>
      <c r="F56" s="5">
        <f>VLOOKUP($A56,tropes!$A$4:$O$2428,6,FALSE)</f>
        <v>0</v>
      </c>
      <c r="G56" s="5">
        <f>VLOOKUP($A56,tropes!$A$4:$O$2428,7,FALSE)</f>
        <v>0</v>
      </c>
      <c r="H56" s="5">
        <f>VLOOKUP($A56,tropes!$A$4:$O$2428,8,FALSE)</f>
        <v>0</v>
      </c>
      <c r="I56" s="5">
        <f>VLOOKUP($A56,tropes!$A$4:$O$2428,9,FALSE)</f>
        <v>119</v>
      </c>
      <c r="J56" s="5">
        <f>VLOOKUP($A56,tropes!$A$4:$O$2428,10,FALSE)</f>
        <v>20</v>
      </c>
      <c r="K56" s="5" t="str">
        <f>VLOOKUP($A56,tropes!$A$4:$O$2428,11,FALSE)</f>
        <v>Tomorrow Is Yesterday</v>
      </c>
      <c r="L56" s="5">
        <f>VLOOKUP($A56,tropes!$A$4:$O$2428,12,FALSE)</f>
        <v>1</v>
      </c>
      <c r="M56" s="5">
        <f>VLOOKUP($A56,tropes!$A$4:$O$2428,13,FALSE)</f>
        <v>19</v>
      </c>
      <c r="N56" s="5">
        <f t="shared" si="0"/>
        <v>0</v>
      </c>
    </row>
    <row r="57" spans="1:14" x14ac:dyDescent="0.3">
      <c r="A57" s="14">
        <v>762</v>
      </c>
      <c r="B57" s="5" t="str">
        <f>VLOOKUP($A57,tropes!$A$4:$O$2428,2,FALSE)</f>
        <v>Comm Link</v>
      </c>
      <c r="C57" s="5" t="str">
        <f>VLOOKUP($A57,tropes!$A$4:$O$2428,3,FALSE)</f>
        <v>flip_communicator</v>
      </c>
      <c r="D57" s="5" t="str">
        <f>VLOOKUP($A57,tropes!$A$4:$O$2428,4,FALSE)</f>
        <v>kirk</v>
      </c>
      <c r="E57" s="5" t="str">
        <f>VLOOKUP($A57,tropes!$A$4:$O$2428,5,FALSE)</f>
        <v>Kirk calls Spock</v>
      </c>
      <c r="F57" s="5">
        <f>VLOOKUP($A57,tropes!$A$4:$O$2428,6,FALSE)</f>
        <v>0</v>
      </c>
      <c r="G57" s="5">
        <f>VLOOKUP($A57,tropes!$A$4:$O$2428,7,FALSE)</f>
        <v>1</v>
      </c>
      <c r="H57" s="5">
        <f>VLOOKUP($A57,tropes!$A$4:$O$2428,8,FALSE)</f>
        <v>0</v>
      </c>
      <c r="I57" s="5">
        <f>VLOOKUP($A57,tropes!$A$4:$O$2428,9,FALSE)</f>
        <v>119</v>
      </c>
      <c r="J57" s="5">
        <f>VLOOKUP($A57,tropes!$A$4:$O$2428,10,FALSE)</f>
        <v>20</v>
      </c>
      <c r="K57" s="5" t="str">
        <f>VLOOKUP($A57,tropes!$A$4:$O$2428,11,FALSE)</f>
        <v>Tomorrow Is Yesterday</v>
      </c>
      <c r="L57" s="5">
        <f>VLOOKUP($A57,tropes!$A$4:$O$2428,12,FALSE)</f>
        <v>1</v>
      </c>
      <c r="M57" s="5">
        <f>VLOOKUP($A57,tropes!$A$4:$O$2428,13,FALSE)</f>
        <v>19</v>
      </c>
      <c r="N57" s="5">
        <f t="shared" si="0"/>
        <v>1</v>
      </c>
    </row>
    <row r="58" spans="1:14" x14ac:dyDescent="0.3">
      <c r="A58" s="14">
        <v>2442</v>
      </c>
      <c r="B58" s="5" t="str">
        <f>VLOOKUP($A58,tropes!$A$4:$O$2428,2,FALSE)</f>
        <v>Comm Link</v>
      </c>
      <c r="C58" s="5" t="str">
        <f>VLOOKUP($A58,tropes!$A$4:$O$2428,3,FALSE)</f>
        <v>flip_communicator</v>
      </c>
      <c r="D58" s="5" t="str">
        <f>VLOOKUP($A58,tropes!$A$4:$O$2428,4,FALSE)</f>
        <v>sulu</v>
      </c>
      <c r="E58" s="5" t="str">
        <f>VLOOKUP($A58,tropes!$A$4:$O$2428,5,FALSE)</f>
        <v>Sulu calls Enterprise (interrupted by guards entering room).</v>
      </c>
      <c r="F58" s="5">
        <f>VLOOKUP($A58,tropes!$A$4:$O$2428,6,FALSE)</f>
        <v>0</v>
      </c>
      <c r="G58" s="5">
        <f>VLOOKUP($A58,tropes!$A$4:$O$2428,7,FALSE)</f>
        <v>0</v>
      </c>
      <c r="H58" s="5">
        <f>VLOOKUP($A58,tropes!$A$4:$O$2428,8,FALSE)</f>
        <v>1</v>
      </c>
      <c r="I58" s="5">
        <f>VLOOKUP($A58,tropes!$A$4:$O$2428,9,FALSE)</f>
        <v>119</v>
      </c>
      <c r="J58" s="5">
        <f>VLOOKUP($A58,tropes!$A$4:$O$2428,10,FALSE)</f>
        <v>20</v>
      </c>
      <c r="K58" s="5" t="str">
        <f>VLOOKUP($A58,tropes!$A$4:$O$2428,11,FALSE)</f>
        <v>Tomorrow Is Yesterday</v>
      </c>
      <c r="L58" s="5">
        <f>VLOOKUP($A58,tropes!$A$4:$O$2428,12,FALSE)</f>
        <v>1</v>
      </c>
      <c r="M58" s="5">
        <f>VLOOKUP($A58,tropes!$A$4:$O$2428,13,FALSE)</f>
        <v>19</v>
      </c>
      <c r="N58" s="5">
        <f t="shared" si="0"/>
        <v>2</v>
      </c>
    </row>
    <row r="59" spans="1:14" x14ac:dyDescent="0.3">
      <c r="A59" s="14">
        <v>775</v>
      </c>
      <c r="B59" s="5" t="str">
        <f>VLOOKUP($A59,tropes!$A$4:$O$2428,2,FALSE)</f>
        <v>Comm Link</v>
      </c>
      <c r="C59" s="5" t="str">
        <f>VLOOKUP($A59,tropes!$A$4:$O$2428,3,FALSE)</f>
        <v>flip_communicator</v>
      </c>
      <c r="D59" s="5" t="str">
        <f>VLOOKUP($A59,tropes!$A$4:$O$2428,4,FALSE)</f>
        <v>kirk</v>
      </c>
      <c r="E59" s="5" t="str">
        <f>VLOOKUP($A59,tropes!$A$4:$O$2428,5,FALSE)</f>
        <v>Kirk calls Uhura</v>
      </c>
      <c r="F59" s="5">
        <f>VLOOKUP($A59,tropes!$A$4:$O$2428,6,FALSE)</f>
        <v>0</v>
      </c>
      <c r="G59" s="5">
        <f>VLOOKUP($A59,tropes!$A$4:$O$2428,7,FALSE)</f>
        <v>1</v>
      </c>
      <c r="H59" s="5">
        <f>VLOOKUP($A59,tropes!$A$4:$O$2428,8,FALSE)</f>
        <v>0</v>
      </c>
      <c r="I59" s="5">
        <f>VLOOKUP($A59,tropes!$A$4:$O$2428,9,FALSE)</f>
        <v>120</v>
      </c>
      <c r="J59" s="5">
        <f>VLOOKUP($A59,tropes!$A$4:$O$2428,10,FALSE)</f>
        <v>21</v>
      </c>
      <c r="K59" s="5" t="str">
        <f>VLOOKUP($A59,tropes!$A$4:$O$2428,11,FALSE)</f>
        <v>Court Martial</v>
      </c>
      <c r="L59" s="5">
        <f>VLOOKUP($A59,tropes!$A$4:$O$2428,12,FALSE)</f>
        <v>1</v>
      </c>
      <c r="M59" s="5">
        <f>VLOOKUP($A59,tropes!$A$4:$O$2428,13,FALSE)</f>
        <v>20</v>
      </c>
      <c r="N59" s="5">
        <f t="shared" si="0"/>
        <v>0</v>
      </c>
    </row>
    <row r="60" spans="1:14" x14ac:dyDescent="0.3">
      <c r="A60" s="14">
        <v>2118</v>
      </c>
      <c r="B60" s="5" t="str">
        <f>VLOOKUP($A60,tropes!$A$4:$O$2428,2,FALSE)</f>
        <v>Comm Link</v>
      </c>
      <c r="C60" s="5" t="str">
        <f>VLOOKUP($A60,tropes!$A$4:$O$2428,3,FALSE)</f>
        <v>flip_communicator</v>
      </c>
      <c r="D60" s="5" t="str">
        <f>VLOOKUP($A60,tropes!$A$4:$O$2428,4,FALSE)</f>
        <v>spock</v>
      </c>
      <c r="E60" s="5" t="str">
        <f>VLOOKUP($A60,tropes!$A$4:$O$2428,5,FALSE)</f>
        <v>Spock calls Kirk</v>
      </c>
      <c r="F60" s="5">
        <f>VLOOKUP($A60,tropes!$A$4:$O$2428,6,FALSE)</f>
        <v>0</v>
      </c>
      <c r="G60" s="5">
        <f>VLOOKUP($A60,tropes!$A$4:$O$2428,7,FALSE)</f>
        <v>1</v>
      </c>
      <c r="H60" s="5">
        <f>VLOOKUP($A60,tropes!$A$4:$O$2428,8,FALSE)</f>
        <v>0</v>
      </c>
      <c r="I60" s="5">
        <f>VLOOKUP($A60,tropes!$A$4:$O$2428,9,FALSE)</f>
        <v>120</v>
      </c>
      <c r="J60" s="5">
        <f>VLOOKUP($A60,tropes!$A$4:$O$2428,10,FALSE)</f>
        <v>21</v>
      </c>
      <c r="K60" s="5" t="str">
        <f>VLOOKUP($A60,tropes!$A$4:$O$2428,11,FALSE)</f>
        <v>Court Martial</v>
      </c>
      <c r="L60" s="5">
        <f>VLOOKUP($A60,tropes!$A$4:$O$2428,12,FALSE)</f>
        <v>1</v>
      </c>
      <c r="M60" s="5">
        <f>VLOOKUP($A60,tropes!$A$4:$O$2428,13,FALSE)</f>
        <v>20</v>
      </c>
      <c r="N60" s="5">
        <f t="shared" si="0"/>
        <v>1</v>
      </c>
    </row>
    <row r="61" spans="1:14" x14ac:dyDescent="0.3">
      <c r="A61" s="14">
        <v>783</v>
      </c>
      <c r="B61" s="5" t="str">
        <f>VLOOKUP($A61,tropes!$A$4:$O$2428,2,FALSE)</f>
        <v>Comm Link</v>
      </c>
      <c r="C61" s="5" t="str">
        <f>VLOOKUP($A61,tropes!$A$4:$O$2428,3,FALSE)</f>
        <v>flip_communicator</v>
      </c>
      <c r="D61" s="5" t="str">
        <f>VLOOKUP($A61,tropes!$A$4:$O$2428,4,FALSE)</f>
        <v>kirk</v>
      </c>
      <c r="E61" s="5" t="str">
        <f>VLOOKUP($A61,tropes!$A$4:$O$2428,5,FALSE)</f>
        <v>Kirk calls Enterprise (1)</v>
      </c>
      <c r="F61" s="5">
        <f>VLOOKUP($A61,tropes!$A$4:$O$2428,6,FALSE)</f>
        <v>0</v>
      </c>
      <c r="G61" s="5">
        <f>VLOOKUP($A61,tropes!$A$4:$O$2428,7,FALSE)</f>
        <v>1</v>
      </c>
      <c r="H61" s="5">
        <f>VLOOKUP($A61,tropes!$A$4:$O$2428,8,FALSE)</f>
        <v>0</v>
      </c>
      <c r="I61" s="5">
        <f>VLOOKUP($A61,tropes!$A$4:$O$2428,9,FALSE)</f>
        <v>121</v>
      </c>
      <c r="J61" s="5">
        <f>VLOOKUP($A61,tropes!$A$4:$O$2428,10,FALSE)</f>
        <v>22</v>
      </c>
      <c r="K61" s="5" t="str">
        <f>VLOOKUP($A61,tropes!$A$4:$O$2428,11,FALSE)</f>
        <v>The Return of the Archons</v>
      </c>
      <c r="L61" s="5">
        <f>VLOOKUP($A61,tropes!$A$4:$O$2428,12,FALSE)</f>
        <v>1</v>
      </c>
      <c r="M61" s="5">
        <f>VLOOKUP($A61,tropes!$A$4:$O$2428,13,FALSE)</f>
        <v>21</v>
      </c>
      <c r="N61" s="5">
        <f t="shared" si="0"/>
        <v>0</v>
      </c>
    </row>
    <row r="62" spans="1:14" x14ac:dyDescent="0.3">
      <c r="A62" s="14">
        <v>784</v>
      </c>
      <c r="B62" s="5" t="str">
        <f>VLOOKUP($A62,tropes!$A$4:$O$2428,2,FALSE)</f>
        <v>Comm Link</v>
      </c>
      <c r="C62" s="5" t="str">
        <f>VLOOKUP($A62,tropes!$A$4:$O$2428,3,FALSE)</f>
        <v>flip_communicator</v>
      </c>
      <c r="D62" s="5" t="str">
        <f>VLOOKUP($A62,tropes!$A$4:$O$2428,4,FALSE)</f>
        <v>kirk</v>
      </c>
      <c r="E62" s="5" t="str">
        <f>VLOOKUP($A62,tropes!$A$4:$O$2428,5,FALSE)</f>
        <v>Kirk calls Enterprise (2)</v>
      </c>
      <c r="F62" s="5">
        <f>VLOOKUP($A62,tropes!$A$4:$O$2428,6,FALSE)</f>
        <v>0</v>
      </c>
      <c r="G62" s="5">
        <f>VLOOKUP($A62,tropes!$A$4:$O$2428,7,FALSE)</f>
        <v>1</v>
      </c>
      <c r="H62" s="5">
        <f>VLOOKUP($A62,tropes!$A$4:$O$2428,8,FALSE)</f>
        <v>0</v>
      </c>
      <c r="I62" s="5">
        <f>VLOOKUP($A62,tropes!$A$4:$O$2428,9,FALSE)</f>
        <v>121</v>
      </c>
      <c r="J62" s="5">
        <f>VLOOKUP($A62,tropes!$A$4:$O$2428,10,FALSE)</f>
        <v>22</v>
      </c>
      <c r="K62" s="5" t="str">
        <f>VLOOKUP($A62,tropes!$A$4:$O$2428,11,FALSE)</f>
        <v>The Return of the Archons</v>
      </c>
      <c r="L62" s="5">
        <f>VLOOKUP($A62,tropes!$A$4:$O$2428,12,FALSE)</f>
        <v>1</v>
      </c>
      <c r="M62" s="5">
        <f>VLOOKUP($A62,tropes!$A$4:$O$2428,13,FALSE)</f>
        <v>21</v>
      </c>
      <c r="N62" s="5">
        <f t="shared" si="0"/>
        <v>1</v>
      </c>
    </row>
    <row r="63" spans="1:14" x14ac:dyDescent="0.3">
      <c r="A63" s="14">
        <v>785</v>
      </c>
      <c r="B63" s="5" t="str">
        <f>VLOOKUP($A63,tropes!$A$4:$O$2428,2,FALSE)</f>
        <v>Comm Link</v>
      </c>
      <c r="C63" s="5" t="str">
        <f>VLOOKUP($A63,tropes!$A$4:$O$2428,3,FALSE)</f>
        <v>flip_communicator</v>
      </c>
      <c r="D63" s="5" t="str">
        <f>VLOOKUP($A63,tropes!$A$4:$O$2428,4,FALSE)</f>
        <v>kirk</v>
      </c>
      <c r="E63" s="5" t="str">
        <f>VLOOKUP($A63,tropes!$A$4:$O$2428,5,FALSE)</f>
        <v>Kirk calls Enterprise (3)</v>
      </c>
      <c r="F63" s="5">
        <f>VLOOKUP($A63,tropes!$A$4:$O$2428,6,FALSE)</f>
        <v>0</v>
      </c>
      <c r="G63" s="5">
        <f>VLOOKUP($A63,tropes!$A$4:$O$2428,7,FALSE)</f>
        <v>1</v>
      </c>
      <c r="H63" s="5">
        <f>VLOOKUP($A63,tropes!$A$4:$O$2428,8,FALSE)</f>
        <v>0</v>
      </c>
      <c r="I63" s="5">
        <f>VLOOKUP($A63,tropes!$A$4:$O$2428,9,FALSE)</f>
        <v>121</v>
      </c>
      <c r="J63" s="5">
        <f>VLOOKUP($A63,tropes!$A$4:$O$2428,10,FALSE)</f>
        <v>22</v>
      </c>
      <c r="K63" s="5" t="str">
        <f>VLOOKUP($A63,tropes!$A$4:$O$2428,11,FALSE)</f>
        <v>The Return of the Archons</v>
      </c>
      <c r="L63" s="5">
        <f>VLOOKUP($A63,tropes!$A$4:$O$2428,12,FALSE)</f>
        <v>1</v>
      </c>
      <c r="M63" s="5">
        <f>VLOOKUP($A63,tropes!$A$4:$O$2428,13,FALSE)</f>
        <v>21</v>
      </c>
      <c r="N63" s="5">
        <f t="shared" si="0"/>
        <v>2</v>
      </c>
    </row>
    <row r="64" spans="1:14" x14ac:dyDescent="0.3">
      <c r="A64" s="14">
        <v>786</v>
      </c>
      <c r="B64" s="5" t="str">
        <f>VLOOKUP($A64,tropes!$A$4:$O$2428,2,FALSE)</f>
        <v>Comm Link</v>
      </c>
      <c r="C64" s="5" t="str">
        <f>VLOOKUP($A64,tropes!$A$4:$O$2428,3,FALSE)</f>
        <v>flip_communicator</v>
      </c>
      <c r="D64" s="5" t="str">
        <f>VLOOKUP($A64,tropes!$A$4:$O$2428,4,FALSE)</f>
        <v>kirk</v>
      </c>
      <c r="E64" s="5" t="str">
        <f>VLOOKUP($A64,tropes!$A$4:$O$2428,5,FALSE)</f>
        <v>Kirk calls Enterprise (4)</v>
      </c>
      <c r="F64" s="5">
        <f>VLOOKUP($A64,tropes!$A$4:$O$2428,6,FALSE)</f>
        <v>0</v>
      </c>
      <c r="G64" s="5">
        <f>VLOOKUP($A64,tropes!$A$4:$O$2428,7,FALSE)</f>
        <v>1</v>
      </c>
      <c r="H64" s="5">
        <f>VLOOKUP($A64,tropes!$A$4:$O$2428,8,FALSE)</f>
        <v>0</v>
      </c>
      <c r="I64" s="5">
        <f>VLOOKUP($A64,tropes!$A$4:$O$2428,9,FALSE)</f>
        <v>121</v>
      </c>
      <c r="J64" s="5">
        <f>VLOOKUP($A64,tropes!$A$4:$O$2428,10,FALSE)</f>
        <v>22</v>
      </c>
      <c r="K64" s="5" t="str">
        <f>VLOOKUP($A64,tropes!$A$4:$O$2428,11,FALSE)</f>
        <v>The Return of the Archons</v>
      </c>
      <c r="L64" s="5">
        <f>VLOOKUP($A64,tropes!$A$4:$O$2428,12,FALSE)</f>
        <v>1</v>
      </c>
      <c r="M64" s="5">
        <f>VLOOKUP($A64,tropes!$A$4:$O$2428,13,FALSE)</f>
        <v>21</v>
      </c>
      <c r="N64" s="5">
        <f t="shared" si="0"/>
        <v>3</v>
      </c>
    </row>
    <row r="65" spans="1:14" x14ac:dyDescent="0.3">
      <c r="A65" s="14">
        <v>2122</v>
      </c>
      <c r="B65" s="5" t="str">
        <f>VLOOKUP($A65,tropes!$A$4:$O$2428,2,FALSE)</f>
        <v>Comm Link</v>
      </c>
      <c r="C65" s="5" t="str">
        <f>VLOOKUP($A65,tropes!$A$4:$O$2428,3,FALSE)</f>
        <v>flip_communicator</v>
      </c>
      <c r="D65" s="5" t="str">
        <f>VLOOKUP($A65,tropes!$A$4:$O$2428,4,FALSE)</f>
        <v>spock</v>
      </c>
      <c r="E65" s="5" t="str">
        <f>VLOOKUP($A65,tropes!$A$4:$O$2428,5,FALSE)</f>
        <v>Spock calls Enterprise (Scotty)</v>
      </c>
      <c r="F65" s="5">
        <f>VLOOKUP($A65,tropes!$A$4:$O$2428,6,FALSE)</f>
        <v>0</v>
      </c>
      <c r="G65" s="5">
        <f>VLOOKUP($A65,tropes!$A$4:$O$2428,7,FALSE)</f>
        <v>1</v>
      </c>
      <c r="H65" s="5">
        <f>VLOOKUP($A65,tropes!$A$4:$O$2428,8,FALSE)</f>
        <v>0</v>
      </c>
      <c r="I65" s="5">
        <f>VLOOKUP($A65,tropes!$A$4:$O$2428,9,FALSE)</f>
        <v>121</v>
      </c>
      <c r="J65" s="5">
        <f>VLOOKUP($A65,tropes!$A$4:$O$2428,10,FALSE)</f>
        <v>22</v>
      </c>
      <c r="K65" s="5" t="str">
        <f>VLOOKUP($A65,tropes!$A$4:$O$2428,11,FALSE)</f>
        <v>The Return of the Archons</v>
      </c>
      <c r="L65" s="5">
        <f>VLOOKUP($A65,tropes!$A$4:$O$2428,12,FALSE)</f>
        <v>1</v>
      </c>
      <c r="M65" s="5">
        <f>VLOOKUP($A65,tropes!$A$4:$O$2428,13,FALSE)</f>
        <v>21</v>
      </c>
      <c r="N65" s="5">
        <f t="shared" si="0"/>
        <v>4</v>
      </c>
    </row>
    <row r="66" spans="1:14" x14ac:dyDescent="0.3">
      <c r="A66" s="14">
        <v>2449</v>
      </c>
      <c r="B66" s="5" t="str">
        <f>VLOOKUP($A66,tropes!$A$4:$O$2428,2,FALSE)</f>
        <v>Comm Link</v>
      </c>
      <c r="C66" s="5" t="str">
        <f>VLOOKUP($A66,tropes!$A$4:$O$2428,3,FALSE)</f>
        <v>flip_communicator</v>
      </c>
      <c r="D66" s="5" t="str">
        <f>VLOOKUP($A66,tropes!$A$4:$O$2428,4,FALSE)</f>
        <v>sulu</v>
      </c>
      <c r="E66" s="5" t="str">
        <f>VLOOKUP($A66,tropes!$A$4:$O$2428,5,FALSE)</f>
        <v>Sulu calls Enterprise as the natives surround him.</v>
      </c>
      <c r="F66" s="5">
        <f>VLOOKUP($A66,tropes!$A$4:$O$2428,6,FALSE)</f>
        <v>0</v>
      </c>
      <c r="G66" s="5">
        <f>VLOOKUP($A66,tropes!$A$4:$O$2428,7,FALSE)</f>
        <v>0</v>
      </c>
      <c r="H66" s="5">
        <f>VLOOKUP($A66,tropes!$A$4:$O$2428,8,FALSE)</f>
        <v>1</v>
      </c>
      <c r="I66" s="5">
        <f>VLOOKUP($A66,tropes!$A$4:$O$2428,9,FALSE)</f>
        <v>121</v>
      </c>
      <c r="J66" s="5">
        <f>VLOOKUP($A66,tropes!$A$4:$O$2428,10,FALSE)</f>
        <v>22</v>
      </c>
      <c r="K66" s="5" t="str">
        <f>VLOOKUP($A66,tropes!$A$4:$O$2428,11,FALSE)</f>
        <v>The Return of the Archons</v>
      </c>
      <c r="L66" s="5">
        <f>VLOOKUP($A66,tropes!$A$4:$O$2428,12,FALSE)</f>
        <v>1</v>
      </c>
      <c r="M66" s="5">
        <f>VLOOKUP($A66,tropes!$A$4:$O$2428,13,FALSE)</f>
        <v>21</v>
      </c>
      <c r="N66" s="5">
        <f t="shared" si="0"/>
        <v>5</v>
      </c>
    </row>
    <row r="67" spans="1:14" x14ac:dyDescent="0.3">
      <c r="A67" s="14">
        <v>799</v>
      </c>
      <c r="B67" s="5" t="str">
        <f>VLOOKUP($A67,tropes!$A$4:$O$2428,2,FALSE)</f>
        <v>Comm Link</v>
      </c>
      <c r="C67" s="5" t="str">
        <f>VLOOKUP($A67,tropes!$A$4:$O$2428,3,FALSE)</f>
        <v>flip_communicator</v>
      </c>
      <c r="D67" s="5" t="str">
        <f>VLOOKUP($A67,tropes!$A$4:$O$2428,4,FALSE)</f>
        <v>kirk</v>
      </c>
      <c r="E67" s="5" t="str">
        <f>VLOOKUP($A67,tropes!$A$4:$O$2428,5,FALSE)</f>
        <v>Kirk calls Enterprise</v>
      </c>
      <c r="F67" s="5">
        <f>VLOOKUP($A67,tropes!$A$4:$O$2428,6,FALSE)</f>
        <v>0</v>
      </c>
      <c r="G67" s="5">
        <f>VLOOKUP($A67,tropes!$A$4:$O$2428,7,FALSE)</f>
        <v>1</v>
      </c>
      <c r="H67" s="5">
        <f>VLOOKUP($A67,tropes!$A$4:$O$2428,8,FALSE)</f>
        <v>0</v>
      </c>
      <c r="I67" s="5">
        <f>VLOOKUP($A67,tropes!$A$4:$O$2428,9,FALSE)</f>
        <v>122</v>
      </c>
      <c r="J67" s="5">
        <f>VLOOKUP($A67,tropes!$A$4:$O$2428,10,FALSE)</f>
        <v>23</v>
      </c>
      <c r="K67" s="5" t="str">
        <f>VLOOKUP($A67,tropes!$A$4:$O$2428,11,FALSE)</f>
        <v>Space Seed</v>
      </c>
      <c r="L67" s="5">
        <f>VLOOKUP($A67,tropes!$A$4:$O$2428,12,FALSE)</f>
        <v>1</v>
      </c>
      <c r="M67" s="5">
        <f>VLOOKUP($A67,tropes!$A$4:$O$2428,13,FALSE)</f>
        <v>22</v>
      </c>
      <c r="N67" s="5">
        <f t="shared" si="0"/>
        <v>0</v>
      </c>
    </row>
    <row r="68" spans="1:14" x14ac:dyDescent="0.3">
      <c r="A68" s="14">
        <v>308</v>
      </c>
      <c r="B68" s="5" t="str">
        <f>VLOOKUP($A68,tropes!$A$4:$O$2428,2,FALSE)</f>
        <v>Comm Link</v>
      </c>
      <c r="C68" s="5" t="str">
        <f>VLOOKUP($A68,tropes!$A$4:$O$2428,3,FALSE)</f>
        <v>flip_communicator</v>
      </c>
      <c r="D68" s="5" t="str">
        <f>VLOOKUP($A68,tropes!$A$4:$O$2428,4,FALSE)</f>
        <v>human</v>
      </c>
      <c r="E68" s="5" t="str">
        <f>VLOOKUP($A68,tropes!$A$4:$O$2428,5,FALSE)</f>
        <v>Anan_7 calls Enterprise.</v>
      </c>
      <c r="F68" s="5">
        <f>VLOOKUP($A68,tropes!$A$4:$O$2428,6,FALSE)</f>
        <v>0</v>
      </c>
      <c r="G68" s="5">
        <f>VLOOKUP($A68,tropes!$A$4:$O$2428,7,FALSE)</f>
        <v>0</v>
      </c>
      <c r="H68" s="5">
        <f>VLOOKUP($A68,tropes!$A$4:$O$2428,8,FALSE)</f>
        <v>0</v>
      </c>
      <c r="I68" s="5">
        <f>VLOOKUP($A68,tropes!$A$4:$O$2428,9,FALSE)</f>
        <v>123</v>
      </c>
      <c r="J68" s="5">
        <f>VLOOKUP($A68,tropes!$A$4:$O$2428,10,FALSE)</f>
        <v>24</v>
      </c>
      <c r="K68" s="5" t="str">
        <f>VLOOKUP($A68,tropes!$A$4:$O$2428,11,FALSE)</f>
        <v>A Taste of Armageddon</v>
      </c>
      <c r="L68" s="5">
        <f>VLOOKUP($A68,tropes!$A$4:$O$2428,12,FALSE)</f>
        <v>1</v>
      </c>
      <c r="M68" s="5">
        <f>VLOOKUP($A68,tropes!$A$4:$O$2428,13,FALSE)</f>
        <v>23</v>
      </c>
      <c r="N68" s="5">
        <f t="shared" ref="N68:N131" si="1">IF(I68&lt;&gt;I67,0,N67+1)</f>
        <v>0</v>
      </c>
    </row>
    <row r="69" spans="1:14" x14ac:dyDescent="0.3">
      <c r="A69" s="14">
        <v>810</v>
      </c>
      <c r="B69" s="5" t="str">
        <f>VLOOKUP($A69,tropes!$A$4:$O$2428,2,FALSE)</f>
        <v>Comm Link</v>
      </c>
      <c r="C69" s="5" t="str">
        <f>VLOOKUP($A69,tropes!$A$4:$O$2428,3,FALSE)</f>
        <v>flip_communicator</v>
      </c>
      <c r="D69" s="5" t="str">
        <f>VLOOKUP($A69,tropes!$A$4:$O$2428,4,FALSE)</f>
        <v>kirk</v>
      </c>
      <c r="E69" s="5" t="str">
        <f>VLOOKUP($A69,tropes!$A$4:$O$2428,5,FALSE)</f>
        <v>Kirk calls Enterprise</v>
      </c>
      <c r="F69" s="5">
        <f>VLOOKUP($A69,tropes!$A$4:$O$2428,6,FALSE)</f>
        <v>0</v>
      </c>
      <c r="G69" s="5">
        <f>VLOOKUP($A69,tropes!$A$4:$O$2428,7,FALSE)</f>
        <v>1</v>
      </c>
      <c r="H69" s="5">
        <f>VLOOKUP($A69,tropes!$A$4:$O$2428,8,FALSE)</f>
        <v>0</v>
      </c>
      <c r="I69" s="5">
        <f>VLOOKUP($A69,tropes!$A$4:$O$2428,9,FALSE)</f>
        <v>123</v>
      </c>
      <c r="J69" s="5">
        <f>VLOOKUP($A69,tropes!$A$4:$O$2428,10,FALSE)</f>
        <v>24</v>
      </c>
      <c r="K69" s="5" t="str">
        <f>VLOOKUP($A69,tropes!$A$4:$O$2428,11,FALSE)</f>
        <v>A Taste of Armageddon</v>
      </c>
      <c r="L69" s="5">
        <f>VLOOKUP($A69,tropes!$A$4:$O$2428,12,FALSE)</f>
        <v>1</v>
      </c>
      <c r="M69" s="5">
        <f>VLOOKUP($A69,tropes!$A$4:$O$2428,13,FALSE)</f>
        <v>23</v>
      </c>
      <c r="N69" s="5">
        <f t="shared" si="1"/>
        <v>1</v>
      </c>
    </row>
    <row r="70" spans="1:14" x14ac:dyDescent="0.3">
      <c r="A70" s="14">
        <v>809</v>
      </c>
      <c r="B70" s="5" t="str">
        <f>VLOOKUP($A70,tropes!$A$4:$O$2428,2,FALSE)</f>
        <v>Comm Link</v>
      </c>
      <c r="C70" s="5" t="str">
        <f>VLOOKUP($A70,tropes!$A$4:$O$2428,3,FALSE)</f>
        <v>flip_communicator</v>
      </c>
      <c r="D70" s="5" t="str">
        <f>VLOOKUP($A70,tropes!$A$4:$O$2428,4,FALSE)</f>
        <v>kirk</v>
      </c>
      <c r="E70" s="5" t="str">
        <f>VLOOKUP($A70,tropes!$A$4:$O$2428,5,FALSE)</f>
        <v>Kirk calls Enterprise (Scotty)</v>
      </c>
      <c r="F70" s="5">
        <f>VLOOKUP($A70,tropes!$A$4:$O$2428,6,FALSE)</f>
        <v>0</v>
      </c>
      <c r="G70" s="5">
        <f>VLOOKUP($A70,tropes!$A$4:$O$2428,7,FALSE)</f>
        <v>1</v>
      </c>
      <c r="H70" s="5">
        <f>VLOOKUP($A70,tropes!$A$4:$O$2428,8,FALSE)</f>
        <v>0</v>
      </c>
      <c r="I70" s="5">
        <f>VLOOKUP($A70,tropes!$A$4:$O$2428,9,FALSE)</f>
        <v>123</v>
      </c>
      <c r="J70" s="5">
        <f>VLOOKUP($A70,tropes!$A$4:$O$2428,10,FALSE)</f>
        <v>24</v>
      </c>
      <c r="K70" s="5" t="str">
        <f>VLOOKUP($A70,tropes!$A$4:$O$2428,11,FALSE)</f>
        <v>A Taste of Armageddon</v>
      </c>
      <c r="L70" s="5">
        <f>VLOOKUP($A70,tropes!$A$4:$O$2428,12,FALSE)</f>
        <v>1</v>
      </c>
      <c r="M70" s="5">
        <f>VLOOKUP($A70,tropes!$A$4:$O$2428,13,FALSE)</f>
        <v>23</v>
      </c>
      <c r="N70" s="5">
        <f t="shared" si="1"/>
        <v>2</v>
      </c>
    </row>
    <row r="71" spans="1:14" x14ac:dyDescent="0.3">
      <c r="A71" s="14">
        <v>807</v>
      </c>
      <c r="B71" s="5" t="str">
        <f>VLOOKUP($A71,tropes!$A$4:$O$2428,2,FALSE)</f>
        <v>Comm Link</v>
      </c>
      <c r="C71" s="5" t="str">
        <f>VLOOKUP($A71,tropes!$A$4:$O$2428,3,FALSE)</f>
        <v>flip_communicator</v>
      </c>
      <c r="D71" s="5" t="str">
        <f>VLOOKUP($A71,tropes!$A$4:$O$2428,4,FALSE)</f>
        <v>kirk</v>
      </c>
      <c r="E71" s="5" t="str">
        <f>VLOOKUP($A71,tropes!$A$4:$O$2428,5,FALSE)</f>
        <v>Kirk calls Enterprise (Scotty) on Eminiar communicator. (1)</v>
      </c>
      <c r="F71" s="5">
        <f>VLOOKUP($A71,tropes!$A$4:$O$2428,6,FALSE)</f>
        <v>0</v>
      </c>
      <c r="G71" s="5">
        <f>VLOOKUP($A71,tropes!$A$4:$O$2428,7,FALSE)</f>
        <v>1</v>
      </c>
      <c r="H71" s="5">
        <f>VLOOKUP($A71,tropes!$A$4:$O$2428,8,FALSE)</f>
        <v>0</v>
      </c>
      <c r="I71" s="5">
        <f>VLOOKUP($A71,tropes!$A$4:$O$2428,9,FALSE)</f>
        <v>123</v>
      </c>
      <c r="J71" s="5">
        <f>VLOOKUP($A71,tropes!$A$4:$O$2428,10,FALSE)</f>
        <v>24</v>
      </c>
      <c r="K71" s="5" t="str">
        <f>VLOOKUP($A71,tropes!$A$4:$O$2428,11,FALSE)</f>
        <v>A Taste of Armageddon</v>
      </c>
      <c r="L71" s="5">
        <f>VLOOKUP($A71,tropes!$A$4:$O$2428,12,FALSE)</f>
        <v>1</v>
      </c>
      <c r="M71" s="5">
        <f>VLOOKUP($A71,tropes!$A$4:$O$2428,13,FALSE)</f>
        <v>23</v>
      </c>
      <c r="N71" s="5">
        <f t="shared" si="1"/>
        <v>3</v>
      </c>
    </row>
    <row r="72" spans="1:14" x14ac:dyDescent="0.3">
      <c r="A72" s="14">
        <v>808</v>
      </c>
      <c r="B72" s="5" t="str">
        <f>VLOOKUP($A72,tropes!$A$4:$O$2428,2,FALSE)</f>
        <v>Comm Link</v>
      </c>
      <c r="C72" s="5" t="str">
        <f>VLOOKUP($A72,tropes!$A$4:$O$2428,3,FALSE)</f>
        <v>flip_communicator</v>
      </c>
      <c r="D72" s="5" t="str">
        <f>VLOOKUP($A72,tropes!$A$4:$O$2428,4,FALSE)</f>
        <v>kirk</v>
      </c>
      <c r="E72" s="5" t="str">
        <f>VLOOKUP($A72,tropes!$A$4:$O$2428,5,FALSE)</f>
        <v>Kirk calls Enterprise (Scotty) on Eminiar communicator. (2)</v>
      </c>
      <c r="F72" s="5">
        <f>VLOOKUP($A72,tropes!$A$4:$O$2428,6,FALSE)</f>
        <v>0</v>
      </c>
      <c r="G72" s="5">
        <f>VLOOKUP($A72,tropes!$A$4:$O$2428,7,FALSE)</f>
        <v>1</v>
      </c>
      <c r="H72" s="5">
        <f>VLOOKUP($A72,tropes!$A$4:$O$2428,8,FALSE)</f>
        <v>0</v>
      </c>
      <c r="I72" s="5">
        <f>VLOOKUP($A72,tropes!$A$4:$O$2428,9,FALSE)</f>
        <v>123</v>
      </c>
      <c r="J72" s="5">
        <f>VLOOKUP($A72,tropes!$A$4:$O$2428,10,FALSE)</f>
        <v>24</v>
      </c>
      <c r="K72" s="5" t="str">
        <f>VLOOKUP($A72,tropes!$A$4:$O$2428,11,FALSE)</f>
        <v>A Taste of Armageddon</v>
      </c>
      <c r="L72" s="5">
        <f>VLOOKUP($A72,tropes!$A$4:$O$2428,12,FALSE)</f>
        <v>1</v>
      </c>
      <c r="M72" s="5">
        <f>VLOOKUP($A72,tropes!$A$4:$O$2428,13,FALSE)</f>
        <v>23</v>
      </c>
      <c r="N72" s="5">
        <f t="shared" si="1"/>
        <v>4</v>
      </c>
    </row>
    <row r="73" spans="1:14" x14ac:dyDescent="0.3">
      <c r="A73" s="14">
        <v>2136</v>
      </c>
      <c r="B73" s="5" t="str">
        <f>VLOOKUP($A73,tropes!$A$4:$O$2428,2,FALSE)</f>
        <v>Comm Link</v>
      </c>
      <c r="C73" s="5" t="str">
        <f>VLOOKUP($A73,tropes!$A$4:$O$2428,3,FALSE)</f>
        <v>flip_communicator</v>
      </c>
      <c r="D73" s="5" t="str">
        <f>VLOOKUP($A73,tropes!$A$4:$O$2428,4,FALSE)</f>
        <v>spock</v>
      </c>
      <c r="E73" s="5" t="str">
        <f>VLOOKUP($A73,tropes!$A$4:$O$2428,5,FALSE)</f>
        <v>Spock calls Enterprise on Eminiar communicator.</v>
      </c>
      <c r="F73" s="5">
        <f>VLOOKUP($A73,tropes!$A$4:$O$2428,6,FALSE)</f>
        <v>0</v>
      </c>
      <c r="G73" s="5">
        <f>VLOOKUP($A73,tropes!$A$4:$O$2428,7,FALSE)</f>
        <v>1</v>
      </c>
      <c r="H73" s="5">
        <f>VLOOKUP($A73,tropes!$A$4:$O$2428,8,FALSE)</f>
        <v>0</v>
      </c>
      <c r="I73" s="5">
        <f>VLOOKUP($A73,tropes!$A$4:$O$2428,9,FALSE)</f>
        <v>123</v>
      </c>
      <c r="J73" s="5">
        <f>VLOOKUP($A73,tropes!$A$4:$O$2428,10,FALSE)</f>
        <v>24</v>
      </c>
      <c r="K73" s="5" t="str">
        <f>VLOOKUP($A73,tropes!$A$4:$O$2428,11,FALSE)</f>
        <v>A Taste of Armageddon</v>
      </c>
      <c r="L73" s="5">
        <f>VLOOKUP($A73,tropes!$A$4:$O$2428,12,FALSE)</f>
        <v>1</v>
      </c>
      <c r="M73" s="5">
        <f>VLOOKUP($A73,tropes!$A$4:$O$2428,13,FALSE)</f>
        <v>23</v>
      </c>
      <c r="N73" s="5">
        <f t="shared" si="1"/>
        <v>5</v>
      </c>
    </row>
    <row r="74" spans="1:14" x14ac:dyDescent="0.3">
      <c r="A74" s="14">
        <v>824</v>
      </c>
      <c r="B74" s="5" t="str">
        <f>VLOOKUP($A74,tropes!$A$4:$O$2428,2,FALSE)</f>
        <v>Comm Link</v>
      </c>
      <c r="C74" s="5" t="str">
        <f>VLOOKUP($A74,tropes!$A$4:$O$2428,3,FALSE)</f>
        <v>flip_communicator</v>
      </c>
      <c r="D74" s="5" t="str">
        <f>VLOOKUP($A74,tropes!$A$4:$O$2428,4,FALSE)</f>
        <v>kirk</v>
      </c>
      <c r="E74" s="5" t="str">
        <f>VLOOKUP($A74,tropes!$A$4:$O$2428,5,FALSE)</f>
        <v>Kirk answers Spock.</v>
      </c>
      <c r="F74" s="5">
        <f>VLOOKUP($A74,tropes!$A$4:$O$2428,6,FALSE)</f>
        <v>0</v>
      </c>
      <c r="G74" s="5">
        <f>VLOOKUP($A74,tropes!$A$4:$O$2428,7,FALSE)</f>
        <v>1</v>
      </c>
      <c r="H74" s="5">
        <f>VLOOKUP($A74,tropes!$A$4:$O$2428,8,FALSE)</f>
        <v>0</v>
      </c>
      <c r="I74" s="5">
        <f>VLOOKUP($A74,tropes!$A$4:$O$2428,9,FALSE)</f>
        <v>124</v>
      </c>
      <c r="J74" s="5">
        <f>VLOOKUP($A74,tropes!$A$4:$O$2428,10,FALSE)</f>
        <v>25</v>
      </c>
      <c r="K74" s="5" t="str">
        <f>VLOOKUP($A74,tropes!$A$4:$O$2428,11,FALSE)</f>
        <v>This Side of Paradise</v>
      </c>
      <c r="L74" s="5">
        <f>VLOOKUP($A74,tropes!$A$4:$O$2428,12,FALSE)</f>
        <v>1</v>
      </c>
      <c r="M74" s="5">
        <f>VLOOKUP($A74,tropes!$A$4:$O$2428,13,FALSE)</f>
        <v>24</v>
      </c>
      <c r="N74" s="5">
        <f t="shared" si="1"/>
        <v>0</v>
      </c>
    </row>
    <row r="75" spans="1:14" x14ac:dyDescent="0.3">
      <c r="A75" s="14">
        <v>825</v>
      </c>
      <c r="B75" s="5" t="str">
        <f>VLOOKUP($A75,tropes!$A$4:$O$2428,2,FALSE)</f>
        <v>Comm Link</v>
      </c>
      <c r="C75" s="5" t="str">
        <f>VLOOKUP($A75,tropes!$A$4:$O$2428,3,FALSE)</f>
        <v>flip_communicator</v>
      </c>
      <c r="D75" s="5" t="str">
        <f>VLOOKUP($A75,tropes!$A$4:$O$2428,4,FALSE)</f>
        <v>kirk</v>
      </c>
      <c r="E75" s="5" t="str">
        <f>VLOOKUP($A75,tropes!$A$4:$O$2428,5,FALSE)</f>
        <v>Kirk calls McCoy</v>
      </c>
      <c r="F75" s="5">
        <f>VLOOKUP($A75,tropes!$A$4:$O$2428,6,FALSE)</f>
        <v>0</v>
      </c>
      <c r="G75" s="5">
        <f>VLOOKUP($A75,tropes!$A$4:$O$2428,7,FALSE)</f>
        <v>1</v>
      </c>
      <c r="H75" s="5">
        <f>VLOOKUP($A75,tropes!$A$4:$O$2428,8,FALSE)</f>
        <v>0</v>
      </c>
      <c r="I75" s="5">
        <f>VLOOKUP($A75,tropes!$A$4:$O$2428,9,FALSE)</f>
        <v>124</v>
      </c>
      <c r="J75" s="5">
        <f>VLOOKUP($A75,tropes!$A$4:$O$2428,10,FALSE)</f>
        <v>25</v>
      </c>
      <c r="K75" s="5" t="str">
        <f>VLOOKUP($A75,tropes!$A$4:$O$2428,11,FALSE)</f>
        <v>This Side of Paradise</v>
      </c>
      <c r="L75" s="5">
        <f>VLOOKUP($A75,tropes!$A$4:$O$2428,12,FALSE)</f>
        <v>1</v>
      </c>
      <c r="M75" s="5">
        <f>VLOOKUP($A75,tropes!$A$4:$O$2428,13,FALSE)</f>
        <v>24</v>
      </c>
      <c r="N75" s="5">
        <f t="shared" si="1"/>
        <v>1</v>
      </c>
    </row>
    <row r="76" spans="1:14" x14ac:dyDescent="0.3">
      <c r="A76" s="14">
        <v>828</v>
      </c>
      <c r="B76" s="5" t="str">
        <f>VLOOKUP($A76,tropes!$A$4:$O$2428,2,FALSE)</f>
        <v>Comm Link</v>
      </c>
      <c r="C76" s="5" t="str">
        <f>VLOOKUP($A76,tropes!$A$4:$O$2428,3,FALSE)</f>
        <v>flip_communicator</v>
      </c>
      <c r="D76" s="5" t="str">
        <f>VLOOKUP($A76,tropes!$A$4:$O$2428,4,FALSE)</f>
        <v>kirk</v>
      </c>
      <c r="E76" s="5" t="str">
        <f>VLOOKUP($A76,tropes!$A$4:$O$2428,5,FALSE)</f>
        <v>Kirk calls Spock</v>
      </c>
      <c r="F76" s="5">
        <f>VLOOKUP($A76,tropes!$A$4:$O$2428,6,FALSE)</f>
        <v>0</v>
      </c>
      <c r="G76" s="5">
        <f>VLOOKUP($A76,tropes!$A$4:$O$2428,7,FALSE)</f>
        <v>1</v>
      </c>
      <c r="H76" s="5">
        <f>VLOOKUP($A76,tropes!$A$4:$O$2428,8,FALSE)</f>
        <v>0</v>
      </c>
      <c r="I76" s="5">
        <f>VLOOKUP($A76,tropes!$A$4:$O$2428,9,FALSE)</f>
        <v>124</v>
      </c>
      <c r="J76" s="5">
        <f>VLOOKUP($A76,tropes!$A$4:$O$2428,10,FALSE)</f>
        <v>25</v>
      </c>
      <c r="K76" s="5" t="str">
        <f>VLOOKUP($A76,tropes!$A$4:$O$2428,11,FALSE)</f>
        <v>This Side of Paradise</v>
      </c>
      <c r="L76" s="5">
        <f>VLOOKUP($A76,tropes!$A$4:$O$2428,12,FALSE)</f>
        <v>1</v>
      </c>
      <c r="M76" s="5">
        <f>VLOOKUP($A76,tropes!$A$4:$O$2428,13,FALSE)</f>
        <v>24</v>
      </c>
      <c r="N76" s="5">
        <f t="shared" si="1"/>
        <v>2</v>
      </c>
    </row>
    <row r="77" spans="1:14" x14ac:dyDescent="0.3">
      <c r="A77" s="14">
        <v>826</v>
      </c>
      <c r="B77" s="5" t="str">
        <f>VLOOKUP($A77,tropes!$A$4:$O$2428,2,FALSE)</f>
        <v>Comm Link</v>
      </c>
      <c r="C77" s="5" t="str">
        <f>VLOOKUP($A77,tropes!$A$4:$O$2428,3,FALSE)</f>
        <v>flip_communicator</v>
      </c>
      <c r="D77" s="5" t="str">
        <f>VLOOKUP($A77,tropes!$A$4:$O$2428,4,FALSE)</f>
        <v>kirk</v>
      </c>
      <c r="E77" s="5" t="str">
        <f>VLOOKUP($A77,tropes!$A$4:$O$2428,5,FALSE)</f>
        <v>Kirk calls Spock (Spock doesn't answer) (1)</v>
      </c>
      <c r="F77" s="5">
        <f>VLOOKUP($A77,tropes!$A$4:$O$2428,6,FALSE)</f>
        <v>0</v>
      </c>
      <c r="G77" s="5">
        <f>VLOOKUP($A77,tropes!$A$4:$O$2428,7,FALSE)</f>
        <v>1</v>
      </c>
      <c r="H77" s="5">
        <f>VLOOKUP($A77,tropes!$A$4:$O$2428,8,FALSE)</f>
        <v>0</v>
      </c>
      <c r="I77" s="5">
        <f>VLOOKUP($A77,tropes!$A$4:$O$2428,9,FALSE)</f>
        <v>124</v>
      </c>
      <c r="J77" s="5">
        <f>VLOOKUP($A77,tropes!$A$4:$O$2428,10,FALSE)</f>
        <v>25</v>
      </c>
      <c r="K77" s="5" t="str">
        <f>VLOOKUP($A77,tropes!$A$4:$O$2428,11,FALSE)</f>
        <v>This Side of Paradise</v>
      </c>
      <c r="L77" s="5">
        <f>VLOOKUP($A77,tropes!$A$4:$O$2428,12,FALSE)</f>
        <v>1</v>
      </c>
      <c r="M77" s="5">
        <f>VLOOKUP($A77,tropes!$A$4:$O$2428,13,FALSE)</f>
        <v>24</v>
      </c>
      <c r="N77" s="5">
        <f t="shared" si="1"/>
        <v>3</v>
      </c>
    </row>
    <row r="78" spans="1:14" x14ac:dyDescent="0.3">
      <c r="A78" s="14">
        <v>827</v>
      </c>
      <c r="B78" s="5" t="str">
        <f>VLOOKUP($A78,tropes!$A$4:$O$2428,2,FALSE)</f>
        <v>Comm Link</v>
      </c>
      <c r="C78" s="5" t="str">
        <f>VLOOKUP($A78,tropes!$A$4:$O$2428,3,FALSE)</f>
        <v>flip_communicator</v>
      </c>
      <c r="D78" s="5" t="str">
        <f>VLOOKUP($A78,tropes!$A$4:$O$2428,4,FALSE)</f>
        <v>kirk</v>
      </c>
      <c r="E78" s="5" t="str">
        <f>VLOOKUP($A78,tropes!$A$4:$O$2428,5,FALSE)</f>
        <v>Kirk calls Spock (Spock doesn't answer) (2)</v>
      </c>
      <c r="F78" s="5">
        <f>VLOOKUP($A78,tropes!$A$4:$O$2428,6,FALSE)</f>
        <v>0</v>
      </c>
      <c r="G78" s="5">
        <f>VLOOKUP($A78,tropes!$A$4:$O$2428,7,FALSE)</f>
        <v>1</v>
      </c>
      <c r="H78" s="5">
        <f>VLOOKUP($A78,tropes!$A$4:$O$2428,8,FALSE)</f>
        <v>0</v>
      </c>
      <c r="I78" s="5">
        <f>VLOOKUP($A78,tropes!$A$4:$O$2428,9,FALSE)</f>
        <v>124</v>
      </c>
      <c r="J78" s="5">
        <f>VLOOKUP($A78,tropes!$A$4:$O$2428,10,FALSE)</f>
        <v>25</v>
      </c>
      <c r="K78" s="5" t="str">
        <f>VLOOKUP($A78,tropes!$A$4:$O$2428,11,FALSE)</f>
        <v>This Side of Paradise</v>
      </c>
      <c r="L78" s="5">
        <f>VLOOKUP($A78,tropes!$A$4:$O$2428,12,FALSE)</f>
        <v>1</v>
      </c>
      <c r="M78" s="5">
        <f>VLOOKUP($A78,tropes!$A$4:$O$2428,13,FALSE)</f>
        <v>24</v>
      </c>
      <c r="N78" s="5">
        <f t="shared" si="1"/>
        <v>4</v>
      </c>
    </row>
    <row r="79" spans="1:14" x14ac:dyDescent="0.3">
      <c r="A79" s="14">
        <v>1595</v>
      </c>
      <c r="B79" s="5" t="str">
        <f>VLOOKUP($A79,tropes!$A$4:$O$2428,2,FALSE)</f>
        <v>Comm Link</v>
      </c>
      <c r="C79" s="5" t="str">
        <f>VLOOKUP($A79,tropes!$A$4:$O$2428,3,FALSE)</f>
        <v>flip_communicator</v>
      </c>
      <c r="D79" s="5" t="str">
        <f>VLOOKUP($A79,tropes!$A$4:$O$2428,4,FALSE)</f>
        <v>mccoy</v>
      </c>
      <c r="E79" s="5" t="str">
        <f>VLOOKUP($A79,tropes!$A$4:$O$2428,5,FALSE)</f>
        <v>McCoy calls Enterprise (1)</v>
      </c>
      <c r="F79" s="5">
        <f>VLOOKUP($A79,tropes!$A$4:$O$2428,6,FALSE)</f>
        <v>0</v>
      </c>
      <c r="G79" s="5">
        <f>VLOOKUP($A79,tropes!$A$4:$O$2428,7,FALSE)</f>
        <v>0</v>
      </c>
      <c r="H79" s="5">
        <f>VLOOKUP($A79,tropes!$A$4:$O$2428,8,FALSE)</f>
        <v>1</v>
      </c>
      <c r="I79" s="5">
        <f>VLOOKUP($A79,tropes!$A$4:$O$2428,9,FALSE)</f>
        <v>124</v>
      </c>
      <c r="J79" s="5">
        <f>VLOOKUP($A79,tropes!$A$4:$O$2428,10,FALSE)</f>
        <v>25</v>
      </c>
      <c r="K79" s="5" t="str">
        <f>VLOOKUP($A79,tropes!$A$4:$O$2428,11,FALSE)</f>
        <v>This Side of Paradise</v>
      </c>
      <c r="L79" s="5">
        <f>VLOOKUP($A79,tropes!$A$4:$O$2428,12,FALSE)</f>
        <v>1</v>
      </c>
      <c r="M79" s="5">
        <f>VLOOKUP($A79,tropes!$A$4:$O$2428,13,FALSE)</f>
        <v>24</v>
      </c>
      <c r="N79" s="5">
        <f t="shared" si="1"/>
        <v>5</v>
      </c>
    </row>
    <row r="80" spans="1:14" x14ac:dyDescent="0.3">
      <c r="A80" s="14">
        <v>1596</v>
      </c>
      <c r="B80" s="5" t="str">
        <f>VLOOKUP($A80,tropes!$A$4:$O$2428,2,FALSE)</f>
        <v>Comm Link</v>
      </c>
      <c r="C80" s="5" t="str">
        <f>VLOOKUP($A80,tropes!$A$4:$O$2428,3,FALSE)</f>
        <v>flip_communicator</v>
      </c>
      <c r="D80" s="5" t="str">
        <f>VLOOKUP($A80,tropes!$A$4:$O$2428,4,FALSE)</f>
        <v>mccoy</v>
      </c>
      <c r="E80" s="5" t="str">
        <f>VLOOKUP($A80,tropes!$A$4:$O$2428,5,FALSE)</f>
        <v>McCoy calls Enterprise (2)</v>
      </c>
      <c r="F80" s="5">
        <f>VLOOKUP($A80,tropes!$A$4:$O$2428,6,FALSE)</f>
        <v>0</v>
      </c>
      <c r="G80" s="5">
        <f>VLOOKUP($A80,tropes!$A$4:$O$2428,7,FALSE)</f>
        <v>0</v>
      </c>
      <c r="H80" s="5">
        <f>VLOOKUP($A80,tropes!$A$4:$O$2428,8,FALSE)</f>
        <v>1</v>
      </c>
      <c r="I80" s="5">
        <f>VLOOKUP($A80,tropes!$A$4:$O$2428,9,FALSE)</f>
        <v>124</v>
      </c>
      <c r="J80" s="5">
        <f>VLOOKUP($A80,tropes!$A$4:$O$2428,10,FALSE)</f>
        <v>25</v>
      </c>
      <c r="K80" s="5" t="str">
        <f>VLOOKUP($A80,tropes!$A$4:$O$2428,11,FALSE)</f>
        <v>This Side of Paradise</v>
      </c>
      <c r="L80" s="5">
        <f>VLOOKUP($A80,tropes!$A$4:$O$2428,12,FALSE)</f>
        <v>1</v>
      </c>
      <c r="M80" s="5">
        <f>VLOOKUP($A80,tropes!$A$4:$O$2428,13,FALSE)</f>
        <v>24</v>
      </c>
      <c r="N80" s="5">
        <f t="shared" si="1"/>
        <v>6</v>
      </c>
    </row>
    <row r="81" spans="1:14" x14ac:dyDescent="0.3">
      <c r="A81" s="14">
        <v>1597</v>
      </c>
      <c r="B81" s="5" t="str">
        <f>VLOOKUP($A81,tropes!$A$4:$O$2428,2,FALSE)</f>
        <v>Comm Link</v>
      </c>
      <c r="C81" s="5" t="str">
        <f>VLOOKUP($A81,tropes!$A$4:$O$2428,3,FALSE)</f>
        <v>flip_communicator</v>
      </c>
      <c r="D81" s="5" t="str">
        <f>VLOOKUP($A81,tropes!$A$4:$O$2428,4,FALSE)</f>
        <v>mccoy</v>
      </c>
      <c r="E81" s="5" t="str">
        <f>VLOOKUP($A81,tropes!$A$4:$O$2428,5,FALSE)</f>
        <v>McCoy calls Enterprise (3)</v>
      </c>
      <c r="F81" s="5">
        <f>VLOOKUP($A81,tropes!$A$4:$O$2428,6,FALSE)</f>
        <v>0</v>
      </c>
      <c r="G81" s="5">
        <f>VLOOKUP($A81,tropes!$A$4:$O$2428,7,FALSE)</f>
        <v>0</v>
      </c>
      <c r="H81" s="5">
        <f>VLOOKUP($A81,tropes!$A$4:$O$2428,8,FALSE)</f>
        <v>1</v>
      </c>
      <c r="I81" s="5">
        <f>VLOOKUP($A81,tropes!$A$4:$O$2428,9,FALSE)</f>
        <v>124</v>
      </c>
      <c r="J81" s="5">
        <f>VLOOKUP($A81,tropes!$A$4:$O$2428,10,FALSE)</f>
        <v>25</v>
      </c>
      <c r="K81" s="5" t="str">
        <f>VLOOKUP($A81,tropes!$A$4:$O$2428,11,FALSE)</f>
        <v>This Side of Paradise</v>
      </c>
      <c r="L81" s="5">
        <f>VLOOKUP($A81,tropes!$A$4:$O$2428,12,FALSE)</f>
        <v>1</v>
      </c>
      <c r="M81" s="5">
        <f>VLOOKUP($A81,tropes!$A$4:$O$2428,13,FALSE)</f>
        <v>24</v>
      </c>
      <c r="N81" s="5">
        <f t="shared" si="1"/>
        <v>7</v>
      </c>
    </row>
    <row r="82" spans="1:14" x14ac:dyDescent="0.3">
      <c r="A82" s="14">
        <v>1598</v>
      </c>
      <c r="B82" s="5" t="str">
        <f>VLOOKUP($A82,tropes!$A$4:$O$2428,2,FALSE)</f>
        <v>Comm Link</v>
      </c>
      <c r="C82" s="5" t="str">
        <f>VLOOKUP($A82,tropes!$A$4:$O$2428,3,FALSE)</f>
        <v>flip_communicator</v>
      </c>
      <c r="D82" s="5" t="str">
        <f>VLOOKUP($A82,tropes!$A$4:$O$2428,4,FALSE)</f>
        <v>mccoy</v>
      </c>
      <c r="E82" s="5" t="str">
        <f>VLOOKUP($A82,tropes!$A$4:$O$2428,5,FALSE)</f>
        <v>McCoy calls Kirk</v>
      </c>
      <c r="F82" s="5">
        <f>VLOOKUP($A82,tropes!$A$4:$O$2428,6,FALSE)</f>
        <v>0</v>
      </c>
      <c r="G82" s="5">
        <f>VLOOKUP($A82,tropes!$A$4:$O$2428,7,FALSE)</f>
        <v>0</v>
      </c>
      <c r="H82" s="5">
        <f>VLOOKUP($A82,tropes!$A$4:$O$2428,8,FALSE)</f>
        <v>1</v>
      </c>
      <c r="I82" s="5">
        <f>VLOOKUP($A82,tropes!$A$4:$O$2428,9,FALSE)</f>
        <v>124</v>
      </c>
      <c r="J82" s="5">
        <f>VLOOKUP($A82,tropes!$A$4:$O$2428,10,FALSE)</f>
        <v>25</v>
      </c>
      <c r="K82" s="5" t="str">
        <f>VLOOKUP($A82,tropes!$A$4:$O$2428,11,FALSE)</f>
        <v>This Side of Paradise</v>
      </c>
      <c r="L82" s="5">
        <f>VLOOKUP($A82,tropes!$A$4:$O$2428,12,FALSE)</f>
        <v>1</v>
      </c>
      <c r="M82" s="5">
        <f>VLOOKUP($A82,tropes!$A$4:$O$2428,13,FALSE)</f>
        <v>24</v>
      </c>
      <c r="N82" s="5">
        <f t="shared" si="1"/>
        <v>8</v>
      </c>
    </row>
    <row r="83" spans="1:14" x14ac:dyDescent="0.3">
      <c r="A83" s="14">
        <v>2145</v>
      </c>
      <c r="B83" s="5" t="str">
        <f>VLOOKUP($A83,tropes!$A$4:$O$2428,2,FALSE)</f>
        <v>Comm Link</v>
      </c>
      <c r="C83" s="5" t="str">
        <f>VLOOKUP($A83,tropes!$A$4:$O$2428,3,FALSE)</f>
        <v>flip_communicator</v>
      </c>
      <c r="D83" s="5" t="str">
        <f>VLOOKUP($A83,tropes!$A$4:$O$2428,4,FALSE)</f>
        <v>spock</v>
      </c>
      <c r="E83" s="5" t="str">
        <f>VLOOKUP($A83,tropes!$A$4:$O$2428,5,FALSE)</f>
        <v>Spock calls Kirk</v>
      </c>
      <c r="F83" s="5">
        <f>VLOOKUP($A83,tropes!$A$4:$O$2428,6,FALSE)</f>
        <v>0</v>
      </c>
      <c r="G83" s="5">
        <f>VLOOKUP($A83,tropes!$A$4:$O$2428,7,FALSE)</f>
        <v>1</v>
      </c>
      <c r="H83" s="5">
        <f>VLOOKUP($A83,tropes!$A$4:$O$2428,8,FALSE)</f>
        <v>0</v>
      </c>
      <c r="I83" s="5">
        <f>VLOOKUP($A83,tropes!$A$4:$O$2428,9,FALSE)</f>
        <v>124</v>
      </c>
      <c r="J83" s="5">
        <f>VLOOKUP($A83,tropes!$A$4:$O$2428,10,FALSE)</f>
        <v>25</v>
      </c>
      <c r="K83" s="5" t="str">
        <f>VLOOKUP($A83,tropes!$A$4:$O$2428,11,FALSE)</f>
        <v>This Side of Paradise</v>
      </c>
      <c r="L83" s="5">
        <f>VLOOKUP($A83,tropes!$A$4:$O$2428,12,FALSE)</f>
        <v>1</v>
      </c>
      <c r="M83" s="5">
        <f>VLOOKUP($A83,tropes!$A$4:$O$2428,13,FALSE)</f>
        <v>24</v>
      </c>
      <c r="N83" s="5">
        <f t="shared" si="1"/>
        <v>9</v>
      </c>
    </row>
    <row r="84" spans="1:14" x14ac:dyDescent="0.3">
      <c r="A84" s="14">
        <v>836</v>
      </c>
      <c r="B84" s="5" t="str">
        <f>VLOOKUP($A84,tropes!$A$4:$O$2428,2,FALSE)</f>
        <v>Comm Link</v>
      </c>
      <c r="C84" s="5" t="str">
        <f>VLOOKUP($A84,tropes!$A$4:$O$2428,3,FALSE)</f>
        <v>flip_communicator</v>
      </c>
      <c r="D84" s="5" t="str">
        <f>VLOOKUP($A84,tropes!$A$4:$O$2428,4,FALSE)</f>
        <v>kirk</v>
      </c>
      <c r="E84" s="5" t="str">
        <f>VLOOKUP($A84,tropes!$A$4:$O$2428,5,FALSE)</f>
        <v>Kirk calls Enterprise (1)</v>
      </c>
      <c r="F84" s="5">
        <f>VLOOKUP($A84,tropes!$A$4:$O$2428,6,FALSE)</f>
        <v>0</v>
      </c>
      <c r="G84" s="5">
        <f>VLOOKUP($A84,tropes!$A$4:$O$2428,7,FALSE)</f>
        <v>1</v>
      </c>
      <c r="H84" s="5">
        <f>VLOOKUP($A84,tropes!$A$4:$O$2428,8,FALSE)</f>
        <v>0</v>
      </c>
      <c r="I84" s="5">
        <f>VLOOKUP($A84,tropes!$A$4:$O$2428,9,FALSE)</f>
        <v>125</v>
      </c>
      <c r="J84" s="5">
        <f>VLOOKUP($A84,tropes!$A$4:$O$2428,10,FALSE)</f>
        <v>26</v>
      </c>
      <c r="K84" s="5" t="str">
        <f>VLOOKUP($A84,tropes!$A$4:$O$2428,11,FALSE)</f>
        <v>The Devil in the Dark</v>
      </c>
      <c r="L84" s="5">
        <f>VLOOKUP($A84,tropes!$A$4:$O$2428,12,FALSE)</f>
        <v>1</v>
      </c>
      <c r="M84" s="5">
        <f>VLOOKUP($A84,tropes!$A$4:$O$2428,13,FALSE)</f>
        <v>25</v>
      </c>
      <c r="N84" s="5">
        <f t="shared" si="1"/>
        <v>0</v>
      </c>
    </row>
    <row r="85" spans="1:14" x14ac:dyDescent="0.3">
      <c r="A85" s="14">
        <v>837</v>
      </c>
      <c r="B85" s="5" t="str">
        <f>VLOOKUP($A85,tropes!$A$4:$O$2428,2,FALSE)</f>
        <v>Comm Link</v>
      </c>
      <c r="C85" s="5" t="str">
        <f>VLOOKUP($A85,tropes!$A$4:$O$2428,3,FALSE)</f>
        <v>flip_communicator</v>
      </c>
      <c r="D85" s="5" t="str">
        <f>VLOOKUP($A85,tropes!$A$4:$O$2428,4,FALSE)</f>
        <v>kirk</v>
      </c>
      <c r="E85" s="5" t="str">
        <f>VLOOKUP($A85,tropes!$A$4:$O$2428,5,FALSE)</f>
        <v>Kirk calls Enterprise (2)</v>
      </c>
      <c r="F85" s="5">
        <f>VLOOKUP($A85,tropes!$A$4:$O$2428,6,FALSE)</f>
        <v>0</v>
      </c>
      <c r="G85" s="5">
        <f>VLOOKUP($A85,tropes!$A$4:$O$2428,7,FALSE)</f>
        <v>1</v>
      </c>
      <c r="H85" s="5">
        <f>VLOOKUP($A85,tropes!$A$4:$O$2428,8,FALSE)</f>
        <v>0</v>
      </c>
      <c r="I85" s="5">
        <f>VLOOKUP($A85,tropes!$A$4:$O$2428,9,FALSE)</f>
        <v>125</v>
      </c>
      <c r="J85" s="5">
        <f>VLOOKUP($A85,tropes!$A$4:$O$2428,10,FALSE)</f>
        <v>26</v>
      </c>
      <c r="K85" s="5" t="str">
        <f>VLOOKUP($A85,tropes!$A$4:$O$2428,11,FALSE)</f>
        <v>The Devil in the Dark</v>
      </c>
      <c r="L85" s="5">
        <f>VLOOKUP($A85,tropes!$A$4:$O$2428,12,FALSE)</f>
        <v>1</v>
      </c>
      <c r="M85" s="5">
        <f>VLOOKUP($A85,tropes!$A$4:$O$2428,13,FALSE)</f>
        <v>25</v>
      </c>
      <c r="N85" s="5">
        <f t="shared" si="1"/>
        <v>1</v>
      </c>
    </row>
    <row r="86" spans="1:14" x14ac:dyDescent="0.3">
      <c r="A86" s="14">
        <v>835</v>
      </c>
      <c r="B86" s="5" t="str">
        <f>VLOOKUP($A86,tropes!$A$4:$O$2428,2,FALSE)</f>
        <v>Comm Link</v>
      </c>
      <c r="C86" s="5" t="str">
        <f>VLOOKUP($A86,tropes!$A$4:$O$2428,3,FALSE)</f>
        <v>flip_communicator</v>
      </c>
      <c r="D86" s="5" t="str">
        <f>VLOOKUP($A86,tropes!$A$4:$O$2428,4,FALSE)</f>
        <v>kirk</v>
      </c>
      <c r="E86" s="5" t="str">
        <f>VLOOKUP($A86,tropes!$A$4:$O$2428,5,FALSE)</f>
        <v>Kirk calls Enterprise (Scotty)</v>
      </c>
      <c r="F86" s="5">
        <f>VLOOKUP($A86,tropes!$A$4:$O$2428,6,FALSE)</f>
        <v>0</v>
      </c>
      <c r="G86" s="5">
        <f>VLOOKUP($A86,tropes!$A$4:$O$2428,7,FALSE)</f>
        <v>1</v>
      </c>
      <c r="H86" s="5">
        <f>VLOOKUP($A86,tropes!$A$4:$O$2428,8,FALSE)</f>
        <v>0</v>
      </c>
      <c r="I86" s="5">
        <f>VLOOKUP($A86,tropes!$A$4:$O$2428,9,FALSE)</f>
        <v>125</v>
      </c>
      <c r="J86" s="5">
        <f>VLOOKUP($A86,tropes!$A$4:$O$2428,10,FALSE)</f>
        <v>26</v>
      </c>
      <c r="K86" s="5" t="str">
        <f>VLOOKUP($A86,tropes!$A$4:$O$2428,11,FALSE)</f>
        <v>The Devil in the Dark</v>
      </c>
      <c r="L86" s="5">
        <f>VLOOKUP($A86,tropes!$A$4:$O$2428,12,FALSE)</f>
        <v>1</v>
      </c>
      <c r="M86" s="5">
        <f>VLOOKUP($A86,tropes!$A$4:$O$2428,13,FALSE)</f>
        <v>25</v>
      </c>
      <c r="N86" s="5">
        <f t="shared" si="1"/>
        <v>2</v>
      </c>
    </row>
    <row r="87" spans="1:14" x14ac:dyDescent="0.3">
      <c r="A87" s="14">
        <v>838</v>
      </c>
      <c r="B87" s="5" t="str">
        <f>VLOOKUP($A87,tropes!$A$4:$O$2428,2,FALSE)</f>
        <v>Comm Link</v>
      </c>
      <c r="C87" s="5" t="str">
        <f>VLOOKUP($A87,tropes!$A$4:$O$2428,3,FALSE)</f>
        <v>flip_communicator</v>
      </c>
      <c r="D87" s="5" t="str">
        <f>VLOOKUP($A87,tropes!$A$4:$O$2428,4,FALSE)</f>
        <v>kirk</v>
      </c>
      <c r="E87" s="5" t="str">
        <f>VLOOKUP($A87,tropes!$A$4:$O$2428,5,FALSE)</f>
        <v>Kirk calls Lt. Cmdr. Giotto</v>
      </c>
      <c r="F87" s="5">
        <f>VLOOKUP($A87,tropes!$A$4:$O$2428,6,FALSE)</f>
        <v>0</v>
      </c>
      <c r="G87" s="5">
        <f>VLOOKUP($A87,tropes!$A$4:$O$2428,7,FALSE)</f>
        <v>1</v>
      </c>
      <c r="H87" s="5">
        <f>VLOOKUP($A87,tropes!$A$4:$O$2428,8,FALSE)</f>
        <v>0</v>
      </c>
      <c r="I87" s="5">
        <f>VLOOKUP($A87,tropes!$A$4:$O$2428,9,FALSE)</f>
        <v>125</v>
      </c>
      <c r="J87" s="5">
        <f>VLOOKUP($A87,tropes!$A$4:$O$2428,10,FALSE)</f>
        <v>26</v>
      </c>
      <c r="K87" s="5" t="str">
        <f>VLOOKUP($A87,tropes!$A$4:$O$2428,11,FALSE)</f>
        <v>The Devil in the Dark</v>
      </c>
      <c r="L87" s="5">
        <f>VLOOKUP($A87,tropes!$A$4:$O$2428,12,FALSE)</f>
        <v>1</v>
      </c>
      <c r="M87" s="5">
        <f>VLOOKUP($A87,tropes!$A$4:$O$2428,13,FALSE)</f>
        <v>25</v>
      </c>
      <c r="N87" s="5">
        <f t="shared" si="1"/>
        <v>3</v>
      </c>
    </row>
    <row r="88" spans="1:14" x14ac:dyDescent="0.3">
      <c r="A88" s="14">
        <v>839</v>
      </c>
      <c r="B88" s="5" t="str">
        <f>VLOOKUP($A88,tropes!$A$4:$O$2428,2,FALSE)</f>
        <v>Comm Link</v>
      </c>
      <c r="C88" s="5" t="str">
        <f>VLOOKUP($A88,tropes!$A$4:$O$2428,3,FALSE)</f>
        <v>flip_communicator</v>
      </c>
      <c r="D88" s="5" t="str">
        <f>VLOOKUP($A88,tropes!$A$4:$O$2428,4,FALSE)</f>
        <v>kirk</v>
      </c>
      <c r="E88" s="5" t="str">
        <f>VLOOKUP($A88,tropes!$A$4:$O$2428,5,FALSE)</f>
        <v>Kirk calls McCoy</v>
      </c>
      <c r="F88" s="5">
        <f>VLOOKUP($A88,tropes!$A$4:$O$2428,6,FALSE)</f>
        <v>0</v>
      </c>
      <c r="G88" s="5">
        <f>VLOOKUP($A88,tropes!$A$4:$O$2428,7,FALSE)</f>
        <v>1</v>
      </c>
      <c r="H88" s="5">
        <f>VLOOKUP($A88,tropes!$A$4:$O$2428,8,FALSE)</f>
        <v>0</v>
      </c>
      <c r="I88" s="5">
        <f>VLOOKUP($A88,tropes!$A$4:$O$2428,9,FALSE)</f>
        <v>125</v>
      </c>
      <c r="J88" s="5">
        <f>VLOOKUP($A88,tropes!$A$4:$O$2428,10,FALSE)</f>
        <v>26</v>
      </c>
      <c r="K88" s="5" t="str">
        <f>VLOOKUP($A88,tropes!$A$4:$O$2428,11,FALSE)</f>
        <v>The Devil in the Dark</v>
      </c>
      <c r="L88" s="5">
        <f>VLOOKUP($A88,tropes!$A$4:$O$2428,12,FALSE)</f>
        <v>1</v>
      </c>
      <c r="M88" s="5">
        <f>VLOOKUP($A88,tropes!$A$4:$O$2428,13,FALSE)</f>
        <v>25</v>
      </c>
      <c r="N88" s="5">
        <f t="shared" si="1"/>
        <v>4</v>
      </c>
    </row>
    <row r="89" spans="1:14" x14ac:dyDescent="0.3">
      <c r="A89" s="14">
        <v>840</v>
      </c>
      <c r="B89" s="5" t="str">
        <f>VLOOKUP($A89,tropes!$A$4:$O$2428,2,FALSE)</f>
        <v>Comm Link</v>
      </c>
      <c r="C89" s="5" t="str">
        <f>VLOOKUP($A89,tropes!$A$4:$O$2428,3,FALSE)</f>
        <v>flip_communicator</v>
      </c>
      <c r="D89" s="5" t="str">
        <f>VLOOKUP($A89,tropes!$A$4:$O$2428,4,FALSE)</f>
        <v>kirk</v>
      </c>
      <c r="E89" s="5" t="str">
        <f>VLOOKUP($A89,tropes!$A$4:$O$2428,5,FALSE)</f>
        <v>Kirk calls Scotty</v>
      </c>
      <c r="F89" s="5">
        <f>VLOOKUP($A89,tropes!$A$4:$O$2428,6,FALSE)</f>
        <v>0</v>
      </c>
      <c r="G89" s="5">
        <f>VLOOKUP($A89,tropes!$A$4:$O$2428,7,FALSE)</f>
        <v>1</v>
      </c>
      <c r="H89" s="5">
        <f>VLOOKUP($A89,tropes!$A$4:$O$2428,8,FALSE)</f>
        <v>0</v>
      </c>
      <c r="I89" s="5">
        <f>VLOOKUP($A89,tropes!$A$4:$O$2428,9,FALSE)</f>
        <v>125</v>
      </c>
      <c r="J89" s="5">
        <f>VLOOKUP($A89,tropes!$A$4:$O$2428,10,FALSE)</f>
        <v>26</v>
      </c>
      <c r="K89" s="5" t="str">
        <f>VLOOKUP($A89,tropes!$A$4:$O$2428,11,FALSE)</f>
        <v>The Devil in the Dark</v>
      </c>
      <c r="L89" s="5">
        <f>VLOOKUP($A89,tropes!$A$4:$O$2428,12,FALSE)</f>
        <v>1</v>
      </c>
      <c r="M89" s="5">
        <f>VLOOKUP($A89,tropes!$A$4:$O$2428,13,FALSE)</f>
        <v>25</v>
      </c>
      <c r="N89" s="5">
        <f t="shared" si="1"/>
        <v>5</v>
      </c>
    </row>
    <row r="90" spans="1:14" x14ac:dyDescent="0.3">
      <c r="A90" s="14">
        <v>841</v>
      </c>
      <c r="B90" s="5" t="str">
        <f>VLOOKUP($A90,tropes!$A$4:$O$2428,2,FALSE)</f>
        <v>Comm Link</v>
      </c>
      <c r="C90" s="5" t="str">
        <f>VLOOKUP($A90,tropes!$A$4:$O$2428,3,FALSE)</f>
        <v>flip_communicator</v>
      </c>
      <c r="D90" s="5" t="str">
        <f>VLOOKUP($A90,tropes!$A$4:$O$2428,4,FALSE)</f>
        <v>kirk</v>
      </c>
      <c r="E90" s="5" t="str">
        <f>VLOOKUP($A90,tropes!$A$4:$O$2428,5,FALSE)</f>
        <v>Kirk calls Spock (1)</v>
      </c>
      <c r="F90" s="5">
        <f>VLOOKUP($A90,tropes!$A$4:$O$2428,6,FALSE)</f>
        <v>0</v>
      </c>
      <c r="G90" s="5">
        <f>VLOOKUP($A90,tropes!$A$4:$O$2428,7,FALSE)</f>
        <v>1</v>
      </c>
      <c r="H90" s="5">
        <f>VLOOKUP($A90,tropes!$A$4:$O$2428,8,FALSE)</f>
        <v>0</v>
      </c>
      <c r="I90" s="5">
        <f>VLOOKUP($A90,tropes!$A$4:$O$2428,9,FALSE)</f>
        <v>125</v>
      </c>
      <c r="J90" s="5">
        <f>VLOOKUP($A90,tropes!$A$4:$O$2428,10,FALSE)</f>
        <v>26</v>
      </c>
      <c r="K90" s="5" t="str">
        <f>VLOOKUP($A90,tropes!$A$4:$O$2428,11,FALSE)</f>
        <v>The Devil in the Dark</v>
      </c>
      <c r="L90" s="5">
        <f>VLOOKUP($A90,tropes!$A$4:$O$2428,12,FALSE)</f>
        <v>1</v>
      </c>
      <c r="M90" s="5">
        <f>VLOOKUP($A90,tropes!$A$4:$O$2428,13,FALSE)</f>
        <v>25</v>
      </c>
      <c r="N90" s="5">
        <f t="shared" si="1"/>
        <v>6</v>
      </c>
    </row>
    <row r="91" spans="1:14" x14ac:dyDescent="0.3">
      <c r="A91" s="14">
        <v>842</v>
      </c>
      <c r="B91" s="5" t="str">
        <f>VLOOKUP($A91,tropes!$A$4:$O$2428,2,FALSE)</f>
        <v>Comm Link</v>
      </c>
      <c r="C91" s="5" t="str">
        <f>VLOOKUP($A91,tropes!$A$4:$O$2428,3,FALSE)</f>
        <v>flip_communicator</v>
      </c>
      <c r="D91" s="5" t="str">
        <f>VLOOKUP($A91,tropes!$A$4:$O$2428,4,FALSE)</f>
        <v>kirk</v>
      </c>
      <c r="E91" s="5" t="str">
        <f>VLOOKUP($A91,tropes!$A$4:$O$2428,5,FALSE)</f>
        <v>Kirk calls Spock (2)</v>
      </c>
      <c r="F91" s="5">
        <f>VLOOKUP($A91,tropes!$A$4:$O$2428,6,FALSE)</f>
        <v>0</v>
      </c>
      <c r="G91" s="5">
        <f>VLOOKUP($A91,tropes!$A$4:$O$2428,7,FALSE)</f>
        <v>1</v>
      </c>
      <c r="H91" s="5">
        <f>VLOOKUP($A91,tropes!$A$4:$O$2428,8,FALSE)</f>
        <v>0</v>
      </c>
      <c r="I91" s="5">
        <f>VLOOKUP($A91,tropes!$A$4:$O$2428,9,FALSE)</f>
        <v>125</v>
      </c>
      <c r="J91" s="5">
        <f>VLOOKUP($A91,tropes!$A$4:$O$2428,10,FALSE)</f>
        <v>26</v>
      </c>
      <c r="K91" s="5" t="str">
        <f>VLOOKUP($A91,tropes!$A$4:$O$2428,11,FALSE)</f>
        <v>The Devil in the Dark</v>
      </c>
      <c r="L91" s="5">
        <f>VLOOKUP($A91,tropes!$A$4:$O$2428,12,FALSE)</f>
        <v>1</v>
      </c>
      <c r="M91" s="5">
        <f>VLOOKUP($A91,tropes!$A$4:$O$2428,13,FALSE)</f>
        <v>25</v>
      </c>
      <c r="N91" s="5">
        <f t="shared" si="1"/>
        <v>7</v>
      </c>
    </row>
    <row r="92" spans="1:14" x14ac:dyDescent="0.3">
      <c r="A92" s="14">
        <v>1605</v>
      </c>
      <c r="B92" s="5" t="str">
        <f>VLOOKUP($A92,tropes!$A$4:$O$2428,2,FALSE)</f>
        <v>Comm Link</v>
      </c>
      <c r="C92" s="5" t="str">
        <f>VLOOKUP($A92,tropes!$A$4:$O$2428,3,FALSE)</f>
        <v>flip_communicator</v>
      </c>
      <c r="D92" s="5" t="str">
        <f>VLOOKUP($A92,tropes!$A$4:$O$2428,4,FALSE)</f>
        <v>mccoy</v>
      </c>
      <c r="E92" s="5" t="str">
        <f>VLOOKUP($A92,tropes!$A$4:$O$2428,5,FALSE)</f>
        <v>McCoy calls Enterprise (McCoy asking for thermo concrete to use on Horta).</v>
      </c>
      <c r="F92" s="5">
        <f>VLOOKUP($A92,tropes!$A$4:$O$2428,6,FALSE)</f>
        <v>0</v>
      </c>
      <c r="G92" s="5">
        <f>VLOOKUP($A92,tropes!$A$4:$O$2428,7,FALSE)</f>
        <v>0</v>
      </c>
      <c r="H92" s="5">
        <f>VLOOKUP($A92,tropes!$A$4:$O$2428,8,FALSE)</f>
        <v>1</v>
      </c>
      <c r="I92" s="5">
        <f>VLOOKUP($A92,tropes!$A$4:$O$2428,9,FALSE)</f>
        <v>125</v>
      </c>
      <c r="J92" s="5">
        <f>VLOOKUP($A92,tropes!$A$4:$O$2428,10,FALSE)</f>
        <v>26</v>
      </c>
      <c r="K92" s="5" t="str">
        <f>VLOOKUP($A92,tropes!$A$4:$O$2428,11,FALSE)</f>
        <v>The Devil in the Dark</v>
      </c>
      <c r="L92" s="5">
        <f>VLOOKUP($A92,tropes!$A$4:$O$2428,12,FALSE)</f>
        <v>1</v>
      </c>
      <c r="M92" s="5">
        <f>VLOOKUP($A92,tropes!$A$4:$O$2428,13,FALSE)</f>
        <v>25</v>
      </c>
      <c r="N92" s="5">
        <f t="shared" si="1"/>
        <v>8</v>
      </c>
    </row>
    <row r="93" spans="1:14" x14ac:dyDescent="0.3">
      <c r="A93" s="14">
        <v>2155</v>
      </c>
      <c r="B93" s="5" t="str">
        <f>VLOOKUP($A93,tropes!$A$4:$O$2428,2,FALSE)</f>
        <v>Comm Link</v>
      </c>
      <c r="C93" s="5" t="str">
        <f>VLOOKUP($A93,tropes!$A$4:$O$2428,3,FALSE)</f>
        <v>flip_communicator</v>
      </c>
      <c r="D93" s="5" t="str">
        <f>VLOOKUP($A93,tropes!$A$4:$O$2428,4,FALSE)</f>
        <v>spock</v>
      </c>
      <c r="E93" s="5" t="str">
        <f>VLOOKUP($A93,tropes!$A$4:$O$2428,5,FALSE)</f>
        <v>Spock calls Kirk</v>
      </c>
      <c r="F93" s="5">
        <f>VLOOKUP($A93,tropes!$A$4:$O$2428,6,FALSE)</f>
        <v>0</v>
      </c>
      <c r="G93" s="5">
        <f>VLOOKUP($A93,tropes!$A$4:$O$2428,7,FALSE)</f>
        <v>1</v>
      </c>
      <c r="H93" s="5">
        <f>VLOOKUP($A93,tropes!$A$4:$O$2428,8,FALSE)</f>
        <v>0</v>
      </c>
      <c r="I93" s="5">
        <f>VLOOKUP($A93,tropes!$A$4:$O$2428,9,FALSE)</f>
        <v>125</v>
      </c>
      <c r="J93" s="5">
        <f>VLOOKUP($A93,tropes!$A$4:$O$2428,10,FALSE)</f>
        <v>26</v>
      </c>
      <c r="K93" s="5" t="str">
        <f>VLOOKUP($A93,tropes!$A$4:$O$2428,11,FALSE)</f>
        <v>The Devil in the Dark</v>
      </c>
      <c r="L93" s="5">
        <f>VLOOKUP($A93,tropes!$A$4:$O$2428,12,FALSE)</f>
        <v>1</v>
      </c>
      <c r="M93" s="5">
        <f>VLOOKUP($A93,tropes!$A$4:$O$2428,13,FALSE)</f>
        <v>25</v>
      </c>
      <c r="N93" s="5">
        <f t="shared" si="1"/>
        <v>9</v>
      </c>
    </row>
    <row r="94" spans="1:14" x14ac:dyDescent="0.3">
      <c r="A94" s="14">
        <v>852</v>
      </c>
      <c r="B94" s="5" t="str">
        <f>VLOOKUP($A94,tropes!$A$4:$O$2428,2,FALSE)</f>
        <v>Comm Link</v>
      </c>
      <c r="C94" s="5" t="str">
        <f>VLOOKUP($A94,tropes!$A$4:$O$2428,3,FALSE)</f>
        <v>flip_communicator</v>
      </c>
      <c r="D94" s="5" t="str">
        <f>VLOOKUP($A94,tropes!$A$4:$O$2428,4,FALSE)</f>
        <v>kirk</v>
      </c>
      <c r="E94" s="5" t="str">
        <f>VLOOKUP($A94,tropes!$A$4:$O$2428,5,FALSE)</f>
        <v>Kirk calls Enterprise (Sulu) (1)</v>
      </c>
      <c r="F94" s="5">
        <f>VLOOKUP($A94,tropes!$A$4:$O$2428,6,FALSE)</f>
        <v>0</v>
      </c>
      <c r="G94" s="5">
        <f>VLOOKUP($A94,tropes!$A$4:$O$2428,7,FALSE)</f>
        <v>1</v>
      </c>
      <c r="H94" s="5">
        <f>VLOOKUP($A94,tropes!$A$4:$O$2428,8,FALSE)</f>
        <v>0</v>
      </c>
      <c r="I94" s="5">
        <f>VLOOKUP($A94,tropes!$A$4:$O$2428,9,FALSE)</f>
        <v>126</v>
      </c>
      <c r="J94" s="5">
        <f>VLOOKUP($A94,tropes!$A$4:$O$2428,10,FALSE)</f>
        <v>27</v>
      </c>
      <c r="K94" s="5" t="str">
        <f>VLOOKUP($A94,tropes!$A$4:$O$2428,11,FALSE)</f>
        <v>Errand of Mercy</v>
      </c>
      <c r="L94" s="5">
        <f>VLOOKUP($A94,tropes!$A$4:$O$2428,12,FALSE)</f>
        <v>1</v>
      </c>
      <c r="M94" s="5">
        <f>VLOOKUP($A94,tropes!$A$4:$O$2428,13,FALSE)</f>
        <v>26</v>
      </c>
      <c r="N94" s="5">
        <f t="shared" si="1"/>
        <v>0</v>
      </c>
    </row>
    <row r="95" spans="1:14" x14ac:dyDescent="0.3">
      <c r="A95" s="14">
        <v>853</v>
      </c>
      <c r="B95" s="5" t="str">
        <f>VLOOKUP($A95,tropes!$A$4:$O$2428,2,FALSE)</f>
        <v>Comm Link</v>
      </c>
      <c r="C95" s="5" t="str">
        <f>VLOOKUP($A95,tropes!$A$4:$O$2428,3,FALSE)</f>
        <v>flip_communicator</v>
      </c>
      <c r="D95" s="5" t="str">
        <f>VLOOKUP($A95,tropes!$A$4:$O$2428,4,FALSE)</f>
        <v>kirk</v>
      </c>
      <c r="E95" s="5" t="str">
        <f>VLOOKUP($A95,tropes!$A$4:$O$2428,5,FALSE)</f>
        <v>Kirk calls Enterprise (Sulu) (2)</v>
      </c>
      <c r="F95" s="5">
        <f>VLOOKUP($A95,tropes!$A$4:$O$2428,6,FALSE)</f>
        <v>0</v>
      </c>
      <c r="G95" s="5">
        <f>VLOOKUP($A95,tropes!$A$4:$O$2428,7,FALSE)</f>
        <v>1</v>
      </c>
      <c r="H95" s="5">
        <f>VLOOKUP($A95,tropes!$A$4:$O$2428,8,FALSE)</f>
        <v>0</v>
      </c>
      <c r="I95" s="5">
        <f>VLOOKUP($A95,tropes!$A$4:$O$2428,9,FALSE)</f>
        <v>126</v>
      </c>
      <c r="J95" s="5">
        <f>VLOOKUP($A95,tropes!$A$4:$O$2428,10,FALSE)</f>
        <v>27</v>
      </c>
      <c r="K95" s="5" t="str">
        <f>VLOOKUP($A95,tropes!$A$4:$O$2428,11,FALSE)</f>
        <v>Errand of Mercy</v>
      </c>
      <c r="L95" s="5">
        <f>VLOOKUP($A95,tropes!$A$4:$O$2428,12,FALSE)</f>
        <v>1</v>
      </c>
      <c r="M95" s="5">
        <f>VLOOKUP($A95,tropes!$A$4:$O$2428,13,FALSE)</f>
        <v>26</v>
      </c>
      <c r="N95" s="5">
        <f t="shared" si="1"/>
        <v>1</v>
      </c>
    </row>
    <row r="96" spans="1:14" x14ac:dyDescent="0.3">
      <c r="A96" s="14">
        <v>1455</v>
      </c>
      <c r="B96" s="5" t="str">
        <f>VLOOKUP($A96,tropes!$A$4:$O$2428,2,FALSE)</f>
        <v>Comm Link</v>
      </c>
      <c r="C96" s="5" t="str">
        <f>VLOOKUP($A96,tropes!$A$4:$O$2428,3,FALSE)</f>
        <v>flip_communicator</v>
      </c>
      <c r="D96" s="5" t="str">
        <f>VLOOKUP($A96,tropes!$A$4:$O$2428,4,FALSE)</f>
        <v>klingon</v>
      </c>
      <c r="E96" s="5" t="str">
        <f>VLOOKUP($A96,tropes!$A$4:$O$2428,5,FALSE)</f>
        <v>Kor calls Klingon warship</v>
      </c>
      <c r="F96" s="5">
        <f>VLOOKUP($A96,tropes!$A$4:$O$2428,6,FALSE)</f>
        <v>0</v>
      </c>
      <c r="G96" s="5">
        <f>VLOOKUP($A96,tropes!$A$4:$O$2428,7,FALSE)</f>
        <v>0</v>
      </c>
      <c r="H96" s="5">
        <f>VLOOKUP($A96,tropes!$A$4:$O$2428,8,FALSE)</f>
        <v>0</v>
      </c>
      <c r="I96" s="5">
        <f>VLOOKUP($A96,tropes!$A$4:$O$2428,9,FALSE)</f>
        <v>126</v>
      </c>
      <c r="J96" s="5">
        <f>VLOOKUP($A96,tropes!$A$4:$O$2428,10,FALSE)</f>
        <v>27</v>
      </c>
      <c r="K96" s="5" t="str">
        <f>VLOOKUP($A96,tropes!$A$4:$O$2428,11,FALSE)</f>
        <v>Errand of Mercy</v>
      </c>
      <c r="L96" s="5">
        <f>VLOOKUP($A96,tropes!$A$4:$O$2428,12,FALSE)</f>
        <v>1</v>
      </c>
      <c r="M96" s="5">
        <f>VLOOKUP($A96,tropes!$A$4:$O$2428,13,FALSE)</f>
        <v>26</v>
      </c>
      <c r="N96" s="5">
        <f t="shared" si="1"/>
        <v>2</v>
      </c>
    </row>
    <row r="97" spans="1:14" x14ac:dyDescent="0.3">
      <c r="A97" s="14">
        <v>1973</v>
      </c>
      <c r="B97" s="5" t="str">
        <f>VLOOKUP($A97,tropes!$A$4:$O$2428,2,FALSE)</f>
        <v>Comm Link</v>
      </c>
      <c r="C97" s="5" t="str">
        <f>VLOOKUP($A97,tropes!$A$4:$O$2428,3,FALSE)</f>
        <v>flip_communicator</v>
      </c>
      <c r="D97" s="5" t="str">
        <f>VLOOKUP($A97,tropes!$A$4:$O$2428,4,FALSE)</f>
        <v>scotty</v>
      </c>
      <c r="E97" s="5" t="str">
        <f>VLOOKUP($A97,tropes!$A$4:$O$2428,5,FALSE)</f>
        <v>Scotty calls Enterprise (empty channel)</v>
      </c>
      <c r="F97" s="5">
        <f>VLOOKUP($A97,tropes!$A$4:$O$2428,6,FALSE)</f>
        <v>0</v>
      </c>
      <c r="G97" s="5">
        <f>VLOOKUP($A97,tropes!$A$4:$O$2428,7,FALSE)</f>
        <v>0</v>
      </c>
      <c r="H97" s="5">
        <f>VLOOKUP($A97,tropes!$A$4:$O$2428,8,FALSE)</f>
        <v>1</v>
      </c>
      <c r="I97" s="5">
        <f>VLOOKUP($A97,tropes!$A$4:$O$2428,9,FALSE)</f>
        <v>128</v>
      </c>
      <c r="J97" s="5">
        <f>VLOOKUP($A97,tropes!$A$4:$O$2428,10,FALSE)</f>
        <v>29</v>
      </c>
      <c r="K97" s="5" t="str">
        <f>VLOOKUP($A97,tropes!$A$4:$O$2428,11,FALSE)</f>
        <v>The City on the Edge of Forever</v>
      </c>
      <c r="L97" s="5">
        <f>VLOOKUP($A97,tropes!$A$4:$O$2428,12,FALSE)</f>
        <v>1</v>
      </c>
      <c r="M97" s="5">
        <f>VLOOKUP($A97,tropes!$A$4:$O$2428,13,FALSE)</f>
        <v>28</v>
      </c>
      <c r="N97" s="5">
        <f t="shared" si="1"/>
        <v>0</v>
      </c>
    </row>
    <row r="98" spans="1:14" x14ac:dyDescent="0.3">
      <c r="A98" s="14">
        <v>2518</v>
      </c>
      <c r="B98" s="5" t="str">
        <f>VLOOKUP($A98,tropes!$A$4:$O$2428,2,FALSE)</f>
        <v>Comm Link</v>
      </c>
      <c r="C98" s="5" t="str">
        <f>VLOOKUP($A98,tropes!$A$4:$O$2428,3,FALSE)</f>
        <v>flip_communicator</v>
      </c>
      <c r="D98" s="5" t="str">
        <f>VLOOKUP($A98,tropes!$A$4:$O$2428,4,FALSE)</f>
        <v>uhura</v>
      </c>
      <c r="E98" s="5" t="str">
        <f>VLOOKUP($A98,tropes!$A$4:$O$2428,5,FALSE)</f>
        <v>Enterprise calls Uhura (after Edith Keeler dies and Kirk, Spock, and McCoy return to the present).</v>
      </c>
      <c r="F98" s="5">
        <f>VLOOKUP($A98,tropes!$A$4:$O$2428,6,FALSE)</f>
        <v>0</v>
      </c>
      <c r="G98" s="5">
        <f>VLOOKUP($A98,tropes!$A$4:$O$2428,7,FALSE)</f>
        <v>1</v>
      </c>
      <c r="H98" s="5">
        <f>VLOOKUP($A98,tropes!$A$4:$O$2428,8,FALSE)</f>
        <v>0</v>
      </c>
      <c r="I98" s="5">
        <f>VLOOKUP($A98,tropes!$A$4:$O$2428,9,FALSE)</f>
        <v>128</v>
      </c>
      <c r="J98" s="5">
        <f>VLOOKUP($A98,tropes!$A$4:$O$2428,10,FALSE)</f>
        <v>29</v>
      </c>
      <c r="K98" s="5" t="str">
        <f>VLOOKUP($A98,tropes!$A$4:$O$2428,11,FALSE)</f>
        <v>The City on the Edge of Forever</v>
      </c>
      <c r="L98" s="5">
        <f>VLOOKUP($A98,tropes!$A$4:$O$2428,12,FALSE)</f>
        <v>1</v>
      </c>
      <c r="M98" s="5">
        <f>VLOOKUP($A98,tropes!$A$4:$O$2428,13,FALSE)</f>
        <v>28</v>
      </c>
      <c r="N98" s="5">
        <f t="shared" si="1"/>
        <v>1</v>
      </c>
    </row>
    <row r="99" spans="1:14" x14ac:dyDescent="0.3">
      <c r="A99" s="14">
        <v>2519</v>
      </c>
      <c r="B99" s="5" t="str">
        <f>VLOOKUP($A99,tropes!$A$4:$O$2428,2,FALSE)</f>
        <v>Comm Link</v>
      </c>
      <c r="C99" s="5" t="str">
        <f>VLOOKUP($A99,tropes!$A$4:$O$2428,3,FALSE)</f>
        <v>flip_communicator</v>
      </c>
      <c r="D99" s="5" t="str">
        <f>VLOOKUP($A99,tropes!$A$4:$O$2428,4,FALSE)</f>
        <v>uhura</v>
      </c>
      <c r="E99" s="5" t="str">
        <f>VLOOKUP($A99,tropes!$A$4:$O$2428,5,FALSE)</f>
        <v>Uhura calls and gets nothing but an empty channel.</v>
      </c>
      <c r="F99" s="5">
        <f>VLOOKUP($A99,tropes!$A$4:$O$2428,6,FALSE)</f>
        <v>0</v>
      </c>
      <c r="G99" s="5">
        <f>VLOOKUP($A99,tropes!$A$4:$O$2428,7,FALSE)</f>
        <v>1</v>
      </c>
      <c r="H99" s="5">
        <f>VLOOKUP($A99,tropes!$A$4:$O$2428,8,FALSE)</f>
        <v>0</v>
      </c>
      <c r="I99" s="5">
        <f>VLOOKUP($A99,tropes!$A$4:$O$2428,9,FALSE)</f>
        <v>128</v>
      </c>
      <c r="J99" s="5">
        <f>VLOOKUP($A99,tropes!$A$4:$O$2428,10,FALSE)</f>
        <v>29</v>
      </c>
      <c r="K99" s="5" t="str">
        <f>VLOOKUP($A99,tropes!$A$4:$O$2428,11,FALSE)</f>
        <v>The City on the Edge of Forever</v>
      </c>
      <c r="L99" s="5">
        <f>VLOOKUP($A99,tropes!$A$4:$O$2428,12,FALSE)</f>
        <v>1</v>
      </c>
      <c r="M99" s="5">
        <f>VLOOKUP($A99,tropes!$A$4:$O$2428,13,FALSE)</f>
        <v>28</v>
      </c>
      <c r="N99" s="5">
        <f t="shared" si="1"/>
        <v>2</v>
      </c>
    </row>
    <row r="100" spans="1:14" x14ac:dyDescent="0.3">
      <c r="A100" s="14">
        <v>2520</v>
      </c>
      <c r="B100" s="5" t="str">
        <f>VLOOKUP($A100,tropes!$A$4:$O$2428,2,FALSE)</f>
        <v>Comm Link</v>
      </c>
      <c r="C100" s="5" t="str">
        <f>VLOOKUP($A100,tropes!$A$4:$O$2428,3,FALSE)</f>
        <v>flip_communicator</v>
      </c>
      <c r="D100" s="5" t="str">
        <f>VLOOKUP($A100,tropes!$A$4:$O$2428,4,FALSE)</f>
        <v>uhura</v>
      </c>
      <c r="E100" s="5" t="str">
        <f>VLOOKUP($A100,tropes!$A$4:$O$2428,5,FALSE)</f>
        <v>Uhura calls Enterprise</v>
      </c>
      <c r="F100" s="5">
        <f>VLOOKUP($A100,tropes!$A$4:$O$2428,6,FALSE)</f>
        <v>0</v>
      </c>
      <c r="G100" s="5">
        <f>VLOOKUP($A100,tropes!$A$4:$O$2428,7,FALSE)</f>
        <v>1</v>
      </c>
      <c r="H100" s="5">
        <f>VLOOKUP($A100,tropes!$A$4:$O$2428,8,FALSE)</f>
        <v>0</v>
      </c>
      <c r="I100" s="5">
        <f>VLOOKUP($A100,tropes!$A$4:$O$2428,9,FALSE)</f>
        <v>128</v>
      </c>
      <c r="J100" s="5">
        <f>VLOOKUP($A100,tropes!$A$4:$O$2428,10,FALSE)</f>
        <v>29</v>
      </c>
      <c r="K100" s="5" t="str">
        <f>VLOOKUP($A100,tropes!$A$4:$O$2428,11,FALSE)</f>
        <v>The City on the Edge of Forever</v>
      </c>
      <c r="L100" s="5">
        <f>VLOOKUP($A100,tropes!$A$4:$O$2428,12,FALSE)</f>
        <v>1</v>
      </c>
      <c r="M100" s="5">
        <f>VLOOKUP($A100,tropes!$A$4:$O$2428,13,FALSE)</f>
        <v>28</v>
      </c>
      <c r="N100" s="5">
        <f t="shared" si="1"/>
        <v>3</v>
      </c>
    </row>
    <row r="101" spans="1:14" x14ac:dyDescent="0.3">
      <c r="A101" s="14">
        <v>1618</v>
      </c>
      <c r="B101" s="5" t="str">
        <f>VLOOKUP($A101,tropes!$A$4:$O$2428,2,FALSE)</f>
        <v>Comm Link</v>
      </c>
      <c r="C101" s="5" t="str">
        <f>VLOOKUP($A101,tropes!$A$4:$O$2428,3,FALSE)</f>
        <v>flip_communicator</v>
      </c>
      <c r="D101" s="5" t="str">
        <f>VLOOKUP($A101,tropes!$A$4:$O$2428,4,FALSE)</f>
        <v>mccoy</v>
      </c>
      <c r="E101" s="5" t="str">
        <f>VLOOKUP($A101,tropes!$A$4:$O$2428,5,FALSE)</f>
        <v>McCoy calls Enterprise</v>
      </c>
      <c r="F101" s="5">
        <f>VLOOKUP($A101,tropes!$A$4:$O$2428,6,FALSE)</f>
        <v>0</v>
      </c>
      <c r="G101" s="5">
        <f>VLOOKUP($A101,tropes!$A$4:$O$2428,7,FALSE)</f>
        <v>0</v>
      </c>
      <c r="H101" s="5">
        <f>VLOOKUP($A101,tropes!$A$4:$O$2428,8,FALSE)</f>
        <v>1</v>
      </c>
      <c r="I101" s="5">
        <f>VLOOKUP($A101,tropes!$A$4:$O$2428,9,FALSE)</f>
        <v>129</v>
      </c>
      <c r="J101" s="5">
        <f>VLOOKUP($A101,tropes!$A$4:$O$2428,10,FALSE)</f>
        <v>30</v>
      </c>
      <c r="K101" s="5" t="str">
        <f>VLOOKUP($A101,tropes!$A$4:$O$2428,11,FALSE)</f>
        <v>Operation: Annihilate!</v>
      </c>
      <c r="L101" s="5">
        <f>VLOOKUP($A101,tropes!$A$4:$O$2428,12,FALSE)</f>
        <v>1</v>
      </c>
      <c r="M101" s="5">
        <f>VLOOKUP($A101,tropes!$A$4:$O$2428,13,FALSE)</f>
        <v>29</v>
      </c>
      <c r="N101" s="5">
        <f t="shared" si="1"/>
        <v>0</v>
      </c>
    </row>
    <row r="102" spans="1:14" x14ac:dyDescent="0.3">
      <c r="A102" s="14">
        <v>1629</v>
      </c>
      <c r="B102" s="5" t="str">
        <f>VLOOKUP($A102,tropes!$A$4:$O$2428,2,FALSE)</f>
        <v>Comm Link</v>
      </c>
      <c r="C102" s="5" t="str">
        <f>VLOOKUP($A102,tropes!$A$4:$O$2428,3,FALSE)</f>
        <v>flip_communicator</v>
      </c>
      <c r="D102" s="5" t="str">
        <f>VLOOKUP($A102,tropes!$A$4:$O$2428,4,FALSE)</f>
        <v>mccoy</v>
      </c>
      <c r="E102" s="5" t="str">
        <f>VLOOKUP($A102,tropes!$A$4:$O$2428,5,FALSE)</f>
        <v>McCoy calls Enterprise (Uhura)</v>
      </c>
      <c r="F102" s="5">
        <f>VLOOKUP($A102,tropes!$A$4:$O$2428,6,FALSE)</f>
        <v>0</v>
      </c>
      <c r="G102" s="5">
        <f>VLOOKUP($A102,tropes!$A$4:$O$2428,7,FALSE)</f>
        <v>0</v>
      </c>
      <c r="H102" s="5">
        <f>VLOOKUP($A102,tropes!$A$4:$O$2428,8,FALSE)</f>
        <v>1</v>
      </c>
      <c r="I102" s="5">
        <f>VLOOKUP($A102,tropes!$A$4:$O$2428,9,FALSE)</f>
        <v>201</v>
      </c>
      <c r="J102" s="5">
        <f>VLOOKUP($A102,tropes!$A$4:$O$2428,10,FALSE)</f>
        <v>31</v>
      </c>
      <c r="K102" s="5" t="str">
        <f>VLOOKUP($A102,tropes!$A$4:$O$2428,11,FALSE)</f>
        <v>Amok Time</v>
      </c>
      <c r="L102" s="5">
        <f>VLOOKUP($A102,tropes!$A$4:$O$2428,12,FALSE)</f>
        <v>2</v>
      </c>
      <c r="M102" s="5">
        <f>VLOOKUP($A102,tropes!$A$4:$O$2428,13,FALSE)</f>
        <v>1</v>
      </c>
      <c r="N102" s="5">
        <f t="shared" si="1"/>
        <v>0</v>
      </c>
    </row>
    <row r="103" spans="1:14" x14ac:dyDescent="0.3">
      <c r="A103" s="14">
        <v>2219</v>
      </c>
      <c r="B103" s="5" t="str">
        <f>VLOOKUP($A103,tropes!$A$4:$O$2428,2,FALSE)</f>
        <v>Comm Link</v>
      </c>
      <c r="C103" s="5" t="str">
        <f>VLOOKUP($A103,tropes!$A$4:$O$2428,3,FALSE)</f>
        <v>flip_communicator</v>
      </c>
      <c r="D103" s="5" t="str">
        <f>VLOOKUP($A103,tropes!$A$4:$O$2428,4,FALSE)</f>
        <v>spock</v>
      </c>
      <c r="E103" s="5" t="str">
        <f>VLOOKUP($A103,tropes!$A$4:$O$2428,5,FALSE)</f>
        <v>Spock calls Enterprise (1)</v>
      </c>
      <c r="F103" s="5">
        <f>VLOOKUP($A103,tropes!$A$4:$O$2428,6,FALSE)</f>
        <v>0</v>
      </c>
      <c r="G103" s="5">
        <f>VLOOKUP($A103,tropes!$A$4:$O$2428,7,FALSE)</f>
        <v>1</v>
      </c>
      <c r="H103" s="5">
        <f>VLOOKUP($A103,tropes!$A$4:$O$2428,8,FALSE)</f>
        <v>0</v>
      </c>
      <c r="I103" s="5">
        <f>VLOOKUP($A103,tropes!$A$4:$O$2428,9,FALSE)</f>
        <v>201</v>
      </c>
      <c r="J103" s="5">
        <f>VLOOKUP($A103,tropes!$A$4:$O$2428,10,FALSE)</f>
        <v>31</v>
      </c>
      <c r="K103" s="5" t="str">
        <f>VLOOKUP($A103,tropes!$A$4:$O$2428,11,FALSE)</f>
        <v>Amok Time</v>
      </c>
      <c r="L103" s="5">
        <f>VLOOKUP($A103,tropes!$A$4:$O$2428,12,FALSE)</f>
        <v>2</v>
      </c>
      <c r="M103" s="5">
        <f>VLOOKUP($A103,tropes!$A$4:$O$2428,13,FALSE)</f>
        <v>1</v>
      </c>
      <c r="N103" s="5">
        <f t="shared" si="1"/>
        <v>1</v>
      </c>
    </row>
    <row r="104" spans="1:14" x14ac:dyDescent="0.3">
      <c r="A104" s="14">
        <v>2220</v>
      </c>
      <c r="B104" s="5" t="str">
        <f>VLOOKUP($A104,tropes!$A$4:$O$2428,2,FALSE)</f>
        <v>Comm Link</v>
      </c>
      <c r="C104" s="5" t="str">
        <f>VLOOKUP($A104,tropes!$A$4:$O$2428,3,FALSE)</f>
        <v>flip_communicator</v>
      </c>
      <c r="D104" s="5" t="str">
        <f>VLOOKUP($A104,tropes!$A$4:$O$2428,4,FALSE)</f>
        <v>spock</v>
      </c>
      <c r="E104" s="5" t="str">
        <f>VLOOKUP($A104,tropes!$A$4:$O$2428,5,FALSE)</f>
        <v>Spock calls Enterprise (2)</v>
      </c>
      <c r="F104" s="5">
        <f>VLOOKUP($A104,tropes!$A$4:$O$2428,6,FALSE)</f>
        <v>0</v>
      </c>
      <c r="G104" s="5">
        <f>VLOOKUP($A104,tropes!$A$4:$O$2428,7,FALSE)</f>
        <v>1</v>
      </c>
      <c r="H104" s="5">
        <f>VLOOKUP($A104,tropes!$A$4:$O$2428,8,FALSE)</f>
        <v>0</v>
      </c>
      <c r="I104" s="5">
        <f>VLOOKUP($A104,tropes!$A$4:$O$2428,9,FALSE)</f>
        <v>201</v>
      </c>
      <c r="J104" s="5">
        <f>VLOOKUP($A104,tropes!$A$4:$O$2428,10,FALSE)</f>
        <v>31</v>
      </c>
      <c r="K104" s="5" t="str">
        <f>VLOOKUP($A104,tropes!$A$4:$O$2428,11,FALSE)</f>
        <v>Amok Time</v>
      </c>
      <c r="L104" s="5">
        <f>VLOOKUP($A104,tropes!$A$4:$O$2428,12,FALSE)</f>
        <v>2</v>
      </c>
      <c r="M104" s="5">
        <f>VLOOKUP($A104,tropes!$A$4:$O$2428,13,FALSE)</f>
        <v>1</v>
      </c>
      <c r="N104" s="5">
        <f t="shared" si="1"/>
        <v>2</v>
      </c>
    </row>
    <row r="105" spans="1:14" x14ac:dyDescent="0.3">
      <c r="A105" s="14">
        <v>894</v>
      </c>
      <c r="B105" s="5" t="str">
        <f>VLOOKUP($A105,tropes!$A$4:$O$2428,2,FALSE)</f>
        <v>Comm Link</v>
      </c>
      <c r="C105" s="5" t="str">
        <f>VLOOKUP($A105,tropes!$A$4:$O$2428,3,FALSE)</f>
        <v>flip_communicator</v>
      </c>
      <c r="D105" s="5" t="str">
        <f>VLOOKUP($A105,tropes!$A$4:$O$2428,4,FALSE)</f>
        <v>kirk</v>
      </c>
      <c r="E105" s="5" t="str">
        <f>VLOOKUP($A105,tropes!$A$4:$O$2428,5,FALSE)</f>
        <v>Kirk calls Enterprise - no response.</v>
      </c>
      <c r="F105" s="5">
        <f>VLOOKUP($A105,tropes!$A$4:$O$2428,6,FALSE)</f>
        <v>0</v>
      </c>
      <c r="G105" s="5">
        <f>VLOOKUP($A105,tropes!$A$4:$O$2428,7,FALSE)</f>
        <v>1</v>
      </c>
      <c r="H105" s="5">
        <f>VLOOKUP($A105,tropes!$A$4:$O$2428,8,FALSE)</f>
        <v>0</v>
      </c>
      <c r="I105" s="5">
        <f>VLOOKUP($A105,tropes!$A$4:$O$2428,9,FALSE)</f>
        <v>202</v>
      </c>
      <c r="J105" s="5">
        <f>VLOOKUP($A105,tropes!$A$4:$O$2428,10,FALSE)</f>
        <v>32</v>
      </c>
      <c r="K105" s="5" t="str">
        <f>VLOOKUP($A105,tropes!$A$4:$O$2428,11,FALSE)</f>
        <v>Who Mourns for Adonais?</v>
      </c>
      <c r="L105" s="5">
        <f>VLOOKUP($A105,tropes!$A$4:$O$2428,12,FALSE)</f>
        <v>2</v>
      </c>
      <c r="M105" s="5">
        <f>VLOOKUP($A105,tropes!$A$4:$O$2428,13,FALSE)</f>
        <v>2</v>
      </c>
      <c r="N105" s="5">
        <f t="shared" si="1"/>
        <v>0</v>
      </c>
    </row>
    <row r="106" spans="1:14" x14ac:dyDescent="0.3">
      <c r="A106" s="14">
        <v>895</v>
      </c>
      <c r="B106" s="5" t="str">
        <f>VLOOKUP($A106,tropes!$A$4:$O$2428,2,FALSE)</f>
        <v>Comm Link</v>
      </c>
      <c r="C106" s="5" t="str">
        <f>VLOOKUP($A106,tropes!$A$4:$O$2428,3,FALSE)</f>
        <v>flip_communicator</v>
      </c>
      <c r="D106" s="5" t="str">
        <f>VLOOKUP($A106,tropes!$A$4:$O$2428,4,FALSE)</f>
        <v>kirk</v>
      </c>
      <c r="E106" s="5" t="str">
        <f>VLOOKUP($A106,tropes!$A$4:$O$2428,5,FALSE)</f>
        <v>Kirk calls Enterprise (Spock)</v>
      </c>
      <c r="F106" s="5">
        <f>VLOOKUP($A106,tropes!$A$4:$O$2428,6,FALSE)</f>
        <v>0</v>
      </c>
      <c r="G106" s="5">
        <f>VLOOKUP($A106,tropes!$A$4:$O$2428,7,FALSE)</f>
        <v>1</v>
      </c>
      <c r="H106" s="5">
        <f>VLOOKUP($A106,tropes!$A$4:$O$2428,8,FALSE)</f>
        <v>0</v>
      </c>
      <c r="I106" s="5">
        <f>VLOOKUP($A106,tropes!$A$4:$O$2428,9,FALSE)</f>
        <v>202</v>
      </c>
      <c r="J106" s="5">
        <f>VLOOKUP($A106,tropes!$A$4:$O$2428,10,FALSE)</f>
        <v>32</v>
      </c>
      <c r="K106" s="5" t="str">
        <f>VLOOKUP($A106,tropes!$A$4:$O$2428,11,FALSE)</f>
        <v>Who Mourns for Adonais?</v>
      </c>
      <c r="L106" s="5">
        <f>VLOOKUP($A106,tropes!$A$4:$O$2428,12,FALSE)</f>
        <v>2</v>
      </c>
      <c r="M106" s="5">
        <f>VLOOKUP($A106,tropes!$A$4:$O$2428,13,FALSE)</f>
        <v>2</v>
      </c>
      <c r="N106" s="5">
        <f t="shared" si="1"/>
        <v>1</v>
      </c>
    </row>
    <row r="107" spans="1:14" x14ac:dyDescent="0.3">
      <c r="A107" s="14">
        <v>896</v>
      </c>
      <c r="B107" s="5" t="str">
        <f>VLOOKUP($A107,tropes!$A$4:$O$2428,2,FALSE)</f>
        <v>Comm Link</v>
      </c>
      <c r="C107" s="5" t="str">
        <f>VLOOKUP($A107,tropes!$A$4:$O$2428,3,FALSE)</f>
        <v>flip_communicator</v>
      </c>
      <c r="D107" s="5" t="str">
        <f>VLOOKUP($A107,tropes!$A$4:$O$2428,4,FALSE)</f>
        <v>kirk</v>
      </c>
      <c r="E107" s="5" t="str">
        <f>VLOOKUP($A107,tropes!$A$4:$O$2428,5,FALSE)</f>
        <v>Kirk receives call from Enterprise (Spock)</v>
      </c>
      <c r="F107" s="5">
        <f>VLOOKUP($A107,tropes!$A$4:$O$2428,6,FALSE)</f>
        <v>0</v>
      </c>
      <c r="G107" s="5">
        <f>VLOOKUP($A107,tropes!$A$4:$O$2428,7,FALSE)</f>
        <v>1</v>
      </c>
      <c r="H107" s="5">
        <f>VLOOKUP($A107,tropes!$A$4:$O$2428,8,FALSE)</f>
        <v>0</v>
      </c>
      <c r="I107" s="5">
        <f>VLOOKUP($A107,tropes!$A$4:$O$2428,9,FALSE)</f>
        <v>202</v>
      </c>
      <c r="J107" s="5">
        <f>VLOOKUP($A107,tropes!$A$4:$O$2428,10,FALSE)</f>
        <v>32</v>
      </c>
      <c r="K107" s="5" t="str">
        <f>VLOOKUP($A107,tropes!$A$4:$O$2428,11,FALSE)</f>
        <v>Who Mourns for Adonais?</v>
      </c>
      <c r="L107" s="5">
        <f>VLOOKUP($A107,tropes!$A$4:$O$2428,12,FALSE)</f>
        <v>2</v>
      </c>
      <c r="M107" s="5">
        <f>VLOOKUP($A107,tropes!$A$4:$O$2428,13,FALSE)</f>
        <v>2</v>
      </c>
      <c r="N107" s="5">
        <f t="shared" si="1"/>
        <v>2</v>
      </c>
    </row>
    <row r="108" spans="1:14" x14ac:dyDescent="0.3">
      <c r="A108" s="14">
        <v>906</v>
      </c>
      <c r="B108" s="5" t="str">
        <f>VLOOKUP($A108,tropes!$A$4:$O$2428,2,FALSE)</f>
        <v>Comm Link</v>
      </c>
      <c r="C108" s="5" t="str">
        <f>VLOOKUP($A108,tropes!$A$4:$O$2428,3,FALSE)</f>
        <v>flip_communicator</v>
      </c>
      <c r="D108" s="5" t="str">
        <f>VLOOKUP($A108,tropes!$A$4:$O$2428,4,FALSE)</f>
        <v>kirk</v>
      </c>
      <c r="E108" s="5" t="str">
        <f>VLOOKUP($A108,tropes!$A$4:$O$2428,5,FALSE)</f>
        <v>Kirk calls Scotty</v>
      </c>
      <c r="F108" s="5">
        <f>VLOOKUP($A108,tropes!$A$4:$O$2428,6,FALSE)</f>
        <v>0</v>
      </c>
      <c r="G108" s="5">
        <f>VLOOKUP($A108,tropes!$A$4:$O$2428,7,FALSE)</f>
        <v>1</v>
      </c>
      <c r="H108" s="5">
        <f>VLOOKUP($A108,tropes!$A$4:$O$2428,8,FALSE)</f>
        <v>0</v>
      </c>
      <c r="I108" s="5">
        <f>VLOOKUP($A108,tropes!$A$4:$O$2428,9,FALSE)</f>
        <v>204</v>
      </c>
      <c r="J108" s="5">
        <f>VLOOKUP($A108,tropes!$A$4:$O$2428,10,FALSE)</f>
        <v>34</v>
      </c>
      <c r="K108" s="5" t="str">
        <f>VLOOKUP($A108,tropes!$A$4:$O$2428,11,FALSE)</f>
        <v>Mirror, Mirror</v>
      </c>
      <c r="L108" s="5">
        <f>VLOOKUP($A108,tropes!$A$4:$O$2428,12,FALSE)</f>
        <v>2</v>
      </c>
      <c r="M108" s="5">
        <f>VLOOKUP($A108,tropes!$A$4:$O$2428,13,FALSE)</f>
        <v>4</v>
      </c>
      <c r="N108" s="5">
        <f t="shared" si="1"/>
        <v>0</v>
      </c>
    </row>
    <row r="109" spans="1:14" x14ac:dyDescent="0.3">
      <c r="A109" s="14">
        <v>907</v>
      </c>
      <c r="B109" s="5" t="str">
        <f>VLOOKUP($A109,tropes!$A$4:$O$2428,2,FALSE)</f>
        <v>Comm Link</v>
      </c>
      <c r="C109" s="5" t="str">
        <f>VLOOKUP($A109,tropes!$A$4:$O$2428,3,FALSE)</f>
        <v>flip_communicator</v>
      </c>
      <c r="D109" s="5" t="str">
        <f>VLOOKUP($A109,tropes!$A$4:$O$2428,4,FALSE)</f>
        <v>kirk</v>
      </c>
      <c r="E109" s="5" t="str">
        <f>VLOOKUP($A109,tropes!$A$4:$O$2428,5,FALSE)</f>
        <v>Kirk calls Uhura</v>
      </c>
      <c r="F109" s="5">
        <f>VLOOKUP($A109,tropes!$A$4:$O$2428,6,FALSE)</f>
        <v>0</v>
      </c>
      <c r="G109" s="5">
        <f>VLOOKUP($A109,tropes!$A$4:$O$2428,7,FALSE)</f>
        <v>1</v>
      </c>
      <c r="H109" s="5">
        <f>VLOOKUP($A109,tropes!$A$4:$O$2428,8,FALSE)</f>
        <v>0</v>
      </c>
      <c r="I109" s="5">
        <f>VLOOKUP($A109,tropes!$A$4:$O$2428,9,FALSE)</f>
        <v>204</v>
      </c>
      <c r="J109" s="5">
        <f>VLOOKUP($A109,tropes!$A$4:$O$2428,10,FALSE)</f>
        <v>34</v>
      </c>
      <c r="K109" s="5" t="str">
        <f>VLOOKUP($A109,tropes!$A$4:$O$2428,11,FALSE)</f>
        <v>Mirror, Mirror</v>
      </c>
      <c r="L109" s="5">
        <f>VLOOKUP($A109,tropes!$A$4:$O$2428,12,FALSE)</f>
        <v>2</v>
      </c>
      <c r="M109" s="5">
        <f>VLOOKUP($A109,tropes!$A$4:$O$2428,13,FALSE)</f>
        <v>4</v>
      </c>
      <c r="N109" s="5">
        <f t="shared" si="1"/>
        <v>1</v>
      </c>
    </row>
    <row r="110" spans="1:14" x14ac:dyDescent="0.3">
      <c r="A110" s="14">
        <v>908</v>
      </c>
      <c r="B110" s="5" t="str">
        <f>VLOOKUP($A110,tropes!$A$4:$O$2428,2,FALSE)</f>
        <v>Comm Link</v>
      </c>
      <c r="C110" s="5" t="str">
        <f>VLOOKUP($A110,tropes!$A$4:$O$2428,3,FALSE)</f>
        <v>flip_communicator</v>
      </c>
      <c r="D110" s="5" t="str">
        <f>VLOOKUP($A110,tropes!$A$4:$O$2428,4,FALSE)</f>
        <v>kirk</v>
      </c>
      <c r="E110" s="5" t="str">
        <f>VLOOKUP($A110,tropes!$A$4:$O$2428,5,FALSE)</f>
        <v>Kirk receives call from Enterprise (Spock)</v>
      </c>
      <c r="F110" s="5">
        <f>VLOOKUP($A110,tropes!$A$4:$O$2428,6,FALSE)</f>
        <v>0</v>
      </c>
      <c r="G110" s="5">
        <f>VLOOKUP($A110,tropes!$A$4:$O$2428,7,FALSE)</f>
        <v>1</v>
      </c>
      <c r="H110" s="5">
        <f>VLOOKUP($A110,tropes!$A$4:$O$2428,8,FALSE)</f>
        <v>0</v>
      </c>
      <c r="I110" s="5">
        <f>VLOOKUP($A110,tropes!$A$4:$O$2428,9,FALSE)</f>
        <v>204</v>
      </c>
      <c r="J110" s="5">
        <f>VLOOKUP($A110,tropes!$A$4:$O$2428,10,FALSE)</f>
        <v>34</v>
      </c>
      <c r="K110" s="5" t="str">
        <f>VLOOKUP($A110,tropes!$A$4:$O$2428,11,FALSE)</f>
        <v>Mirror, Mirror</v>
      </c>
      <c r="L110" s="5">
        <f>VLOOKUP($A110,tropes!$A$4:$O$2428,12,FALSE)</f>
        <v>2</v>
      </c>
      <c r="M110" s="5">
        <f>VLOOKUP($A110,tropes!$A$4:$O$2428,13,FALSE)</f>
        <v>4</v>
      </c>
      <c r="N110" s="5">
        <f t="shared" si="1"/>
        <v>2</v>
      </c>
    </row>
    <row r="111" spans="1:14" x14ac:dyDescent="0.3">
      <c r="A111" s="14">
        <v>1642</v>
      </c>
      <c r="B111" s="5" t="str">
        <f>VLOOKUP($A111,tropes!$A$4:$O$2428,2,FALSE)</f>
        <v>Comm Link</v>
      </c>
      <c r="C111" s="5" t="str">
        <f>VLOOKUP($A111,tropes!$A$4:$O$2428,3,FALSE)</f>
        <v>flip_communicator</v>
      </c>
      <c r="D111" s="5" t="str">
        <f>VLOOKUP($A111,tropes!$A$4:$O$2428,4,FALSE)</f>
        <v>mccoy</v>
      </c>
      <c r="E111" s="5" t="str">
        <f>VLOOKUP($A111,tropes!$A$4:$O$2428,5,FALSE)</f>
        <v>McCoy receives call from Uhura</v>
      </c>
      <c r="F111" s="5">
        <f>VLOOKUP($A111,tropes!$A$4:$O$2428,6,FALSE)</f>
        <v>0</v>
      </c>
      <c r="G111" s="5">
        <f>VLOOKUP($A111,tropes!$A$4:$O$2428,7,FALSE)</f>
        <v>0</v>
      </c>
      <c r="H111" s="5">
        <f>VLOOKUP($A111,tropes!$A$4:$O$2428,8,FALSE)</f>
        <v>1</v>
      </c>
      <c r="I111" s="5">
        <f>VLOOKUP($A111,tropes!$A$4:$O$2428,9,FALSE)</f>
        <v>204</v>
      </c>
      <c r="J111" s="5">
        <f>VLOOKUP($A111,tropes!$A$4:$O$2428,10,FALSE)</f>
        <v>34</v>
      </c>
      <c r="K111" s="5" t="str">
        <f>VLOOKUP($A111,tropes!$A$4:$O$2428,11,FALSE)</f>
        <v>Mirror, Mirror</v>
      </c>
      <c r="L111" s="5">
        <f>VLOOKUP($A111,tropes!$A$4:$O$2428,12,FALSE)</f>
        <v>2</v>
      </c>
      <c r="M111" s="5">
        <f>VLOOKUP($A111,tropes!$A$4:$O$2428,13,FALSE)</f>
        <v>4</v>
      </c>
      <c r="N111" s="5">
        <f t="shared" si="1"/>
        <v>3</v>
      </c>
    </row>
    <row r="112" spans="1:14" x14ac:dyDescent="0.3">
      <c r="A112" s="14">
        <v>1985</v>
      </c>
      <c r="B112" s="5" t="str">
        <f>VLOOKUP($A112,tropes!$A$4:$O$2428,2,FALSE)</f>
        <v>Comm Link</v>
      </c>
      <c r="C112" s="5" t="str">
        <f>VLOOKUP($A112,tropes!$A$4:$O$2428,3,FALSE)</f>
        <v>flip_communicator</v>
      </c>
      <c r="D112" s="5" t="str">
        <f>VLOOKUP($A112,tropes!$A$4:$O$2428,4,FALSE)</f>
        <v>scotty</v>
      </c>
      <c r="E112" s="5" t="str">
        <f>VLOOKUP($A112,tropes!$A$4:$O$2428,5,FALSE)</f>
        <v>Scotty calls Uhura by sending beep on her the panel informing her its time to distract Mirror Sulu.</v>
      </c>
      <c r="F112" s="5">
        <f>VLOOKUP($A112,tropes!$A$4:$O$2428,6,FALSE)</f>
        <v>0</v>
      </c>
      <c r="G112" s="5">
        <f>VLOOKUP($A112,tropes!$A$4:$O$2428,7,FALSE)</f>
        <v>0</v>
      </c>
      <c r="H112" s="5">
        <f>VLOOKUP($A112,tropes!$A$4:$O$2428,8,FALSE)</f>
        <v>1</v>
      </c>
      <c r="I112" s="5">
        <f>VLOOKUP($A112,tropes!$A$4:$O$2428,9,FALSE)</f>
        <v>204</v>
      </c>
      <c r="J112" s="5">
        <f>VLOOKUP($A112,tropes!$A$4:$O$2428,10,FALSE)</f>
        <v>34</v>
      </c>
      <c r="K112" s="5" t="str">
        <f>VLOOKUP($A112,tropes!$A$4:$O$2428,11,FALSE)</f>
        <v>Mirror, Mirror</v>
      </c>
      <c r="L112" s="5">
        <f>VLOOKUP($A112,tropes!$A$4:$O$2428,12,FALSE)</f>
        <v>2</v>
      </c>
      <c r="M112" s="5">
        <f>VLOOKUP($A112,tropes!$A$4:$O$2428,13,FALSE)</f>
        <v>4</v>
      </c>
      <c r="N112" s="5">
        <f t="shared" si="1"/>
        <v>4</v>
      </c>
    </row>
    <row r="113" spans="1:14" x14ac:dyDescent="0.3">
      <c r="A113" s="14">
        <v>1986</v>
      </c>
      <c r="B113" s="5" t="str">
        <f>VLOOKUP($A113,tropes!$A$4:$O$2428,2,FALSE)</f>
        <v>Comm Link</v>
      </c>
      <c r="C113" s="5" t="str">
        <f>VLOOKUP($A113,tropes!$A$4:$O$2428,3,FALSE)</f>
        <v>flip_communicator</v>
      </c>
      <c r="D113" s="5" t="str">
        <f>VLOOKUP($A113,tropes!$A$4:$O$2428,4,FALSE)</f>
        <v>scotty</v>
      </c>
      <c r="E113" s="5" t="str">
        <f>VLOOKUP($A113,tropes!$A$4:$O$2428,5,FALSE)</f>
        <v>Scotty receives call from Kirk</v>
      </c>
      <c r="F113" s="5">
        <f>VLOOKUP($A113,tropes!$A$4:$O$2428,6,FALSE)</f>
        <v>0</v>
      </c>
      <c r="G113" s="5">
        <f>VLOOKUP($A113,tropes!$A$4:$O$2428,7,FALSE)</f>
        <v>0</v>
      </c>
      <c r="H113" s="5">
        <f>VLOOKUP($A113,tropes!$A$4:$O$2428,8,FALSE)</f>
        <v>1</v>
      </c>
      <c r="I113" s="5">
        <f>VLOOKUP($A113,tropes!$A$4:$O$2428,9,FALSE)</f>
        <v>204</v>
      </c>
      <c r="J113" s="5">
        <f>VLOOKUP($A113,tropes!$A$4:$O$2428,10,FALSE)</f>
        <v>34</v>
      </c>
      <c r="K113" s="5" t="str">
        <f>VLOOKUP($A113,tropes!$A$4:$O$2428,11,FALSE)</f>
        <v>Mirror, Mirror</v>
      </c>
      <c r="L113" s="5">
        <f>VLOOKUP($A113,tropes!$A$4:$O$2428,12,FALSE)</f>
        <v>2</v>
      </c>
      <c r="M113" s="5">
        <f>VLOOKUP($A113,tropes!$A$4:$O$2428,13,FALSE)</f>
        <v>4</v>
      </c>
      <c r="N113" s="5">
        <f t="shared" si="1"/>
        <v>5</v>
      </c>
    </row>
    <row r="114" spans="1:14" x14ac:dyDescent="0.3">
      <c r="A114" s="14">
        <v>2454</v>
      </c>
      <c r="B114" s="5" t="str">
        <f>VLOOKUP($A114,tropes!$A$4:$O$2428,2,FALSE)</f>
        <v>Comm Link</v>
      </c>
      <c r="C114" s="5" t="str">
        <f>VLOOKUP($A114,tropes!$A$4:$O$2428,3,FALSE)</f>
        <v>flip_communicator</v>
      </c>
      <c r="D114" s="5" t="str">
        <f>VLOOKUP($A114,tropes!$A$4:$O$2428,4,FALSE)</f>
        <v>sulu</v>
      </c>
      <c r="E114" s="5" t="str">
        <f>VLOOKUP($A114,tropes!$A$4:$O$2428,5,FALSE)</f>
        <v>Mirror Sulu receives call from Mirror Spock. | Spock: Why are you monitoring my communications Mr. Sulu?.</v>
      </c>
      <c r="F114" s="5">
        <f>VLOOKUP($A114,tropes!$A$4:$O$2428,6,FALSE)</f>
        <v>0</v>
      </c>
      <c r="G114" s="5">
        <f>VLOOKUP($A114,tropes!$A$4:$O$2428,7,FALSE)</f>
        <v>0</v>
      </c>
      <c r="H114" s="5">
        <f>VLOOKUP($A114,tropes!$A$4:$O$2428,8,FALSE)</f>
        <v>1</v>
      </c>
      <c r="I114" s="5">
        <f>VLOOKUP($A114,tropes!$A$4:$O$2428,9,FALSE)</f>
        <v>204</v>
      </c>
      <c r="J114" s="5">
        <f>VLOOKUP($A114,tropes!$A$4:$O$2428,10,FALSE)</f>
        <v>34</v>
      </c>
      <c r="K114" s="5" t="str">
        <f>VLOOKUP($A114,tropes!$A$4:$O$2428,11,FALSE)</f>
        <v>Mirror, Mirror</v>
      </c>
      <c r="L114" s="5">
        <f>VLOOKUP($A114,tropes!$A$4:$O$2428,12,FALSE)</f>
        <v>2</v>
      </c>
      <c r="M114" s="5">
        <f>VLOOKUP($A114,tropes!$A$4:$O$2428,13,FALSE)</f>
        <v>4</v>
      </c>
      <c r="N114" s="5">
        <f t="shared" si="1"/>
        <v>6</v>
      </c>
    </row>
    <row r="115" spans="1:14" x14ac:dyDescent="0.3">
      <c r="A115" s="14">
        <v>2535</v>
      </c>
      <c r="B115" s="5" t="str">
        <f>VLOOKUP($A115,tropes!$A$4:$O$2428,2,FALSE)</f>
        <v>Comm Link</v>
      </c>
      <c r="C115" s="5" t="str">
        <f>VLOOKUP($A115,tropes!$A$4:$O$2428,3,FALSE)</f>
        <v>flip_communicator</v>
      </c>
      <c r="D115" s="5" t="str">
        <f>VLOOKUP($A115,tropes!$A$4:$O$2428,4,FALSE)</f>
        <v>uhura</v>
      </c>
      <c r="E115" s="5" t="str">
        <f>VLOOKUP($A115,tropes!$A$4:$O$2428,5,FALSE)</f>
        <v>Uhura calls McCoy</v>
      </c>
      <c r="F115" s="5">
        <f>VLOOKUP($A115,tropes!$A$4:$O$2428,6,FALSE)</f>
        <v>0</v>
      </c>
      <c r="G115" s="5">
        <f>VLOOKUP($A115,tropes!$A$4:$O$2428,7,FALSE)</f>
        <v>1</v>
      </c>
      <c r="H115" s="5">
        <f>VLOOKUP($A115,tropes!$A$4:$O$2428,8,FALSE)</f>
        <v>0</v>
      </c>
      <c r="I115" s="5">
        <f>VLOOKUP($A115,tropes!$A$4:$O$2428,9,FALSE)</f>
        <v>204</v>
      </c>
      <c r="J115" s="5">
        <f>VLOOKUP($A115,tropes!$A$4:$O$2428,10,FALSE)</f>
        <v>34</v>
      </c>
      <c r="K115" s="5" t="str">
        <f>VLOOKUP($A115,tropes!$A$4:$O$2428,11,FALSE)</f>
        <v>Mirror, Mirror</v>
      </c>
      <c r="L115" s="5">
        <f>VLOOKUP($A115,tropes!$A$4:$O$2428,12,FALSE)</f>
        <v>2</v>
      </c>
      <c r="M115" s="5">
        <f>VLOOKUP($A115,tropes!$A$4:$O$2428,13,FALSE)</f>
        <v>4</v>
      </c>
      <c r="N115" s="5">
        <f t="shared" si="1"/>
        <v>7</v>
      </c>
    </row>
    <row r="116" spans="1:14" x14ac:dyDescent="0.3">
      <c r="A116" s="14">
        <v>2536</v>
      </c>
      <c r="B116" s="5" t="str">
        <f>VLOOKUP($A116,tropes!$A$4:$O$2428,2,FALSE)</f>
        <v>Comm Link</v>
      </c>
      <c r="C116" s="5" t="str">
        <f>VLOOKUP($A116,tropes!$A$4:$O$2428,3,FALSE)</f>
        <v>flip_communicator</v>
      </c>
      <c r="D116" s="5" t="str">
        <f>VLOOKUP($A116,tropes!$A$4:$O$2428,4,FALSE)</f>
        <v>uhura</v>
      </c>
      <c r="E116" s="5" t="str">
        <f>VLOOKUP($A116,tropes!$A$4:$O$2428,5,FALSE)</f>
        <v>Uhura receives call from Kirk</v>
      </c>
      <c r="F116" s="5">
        <f>VLOOKUP($A116,tropes!$A$4:$O$2428,6,FALSE)</f>
        <v>0</v>
      </c>
      <c r="G116" s="5">
        <f>VLOOKUP($A116,tropes!$A$4:$O$2428,7,FALSE)</f>
        <v>1</v>
      </c>
      <c r="H116" s="5">
        <f>VLOOKUP($A116,tropes!$A$4:$O$2428,8,FALSE)</f>
        <v>0</v>
      </c>
      <c r="I116" s="5">
        <f>VLOOKUP($A116,tropes!$A$4:$O$2428,9,FALSE)</f>
        <v>204</v>
      </c>
      <c r="J116" s="5">
        <f>VLOOKUP($A116,tropes!$A$4:$O$2428,10,FALSE)</f>
        <v>34</v>
      </c>
      <c r="K116" s="5" t="str">
        <f>VLOOKUP($A116,tropes!$A$4:$O$2428,11,FALSE)</f>
        <v>Mirror, Mirror</v>
      </c>
      <c r="L116" s="5">
        <f>VLOOKUP($A116,tropes!$A$4:$O$2428,12,FALSE)</f>
        <v>2</v>
      </c>
      <c r="M116" s="5">
        <f>VLOOKUP($A116,tropes!$A$4:$O$2428,13,FALSE)</f>
        <v>4</v>
      </c>
      <c r="N116" s="5">
        <f t="shared" si="1"/>
        <v>8</v>
      </c>
    </row>
    <row r="117" spans="1:14" x14ac:dyDescent="0.3">
      <c r="A117" s="14">
        <v>916</v>
      </c>
      <c r="B117" s="5" t="str">
        <f>VLOOKUP($A117,tropes!$A$4:$O$2428,2,FALSE)</f>
        <v>Comm Link</v>
      </c>
      <c r="C117" s="5" t="str">
        <f>VLOOKUP($A117,tropes!$A$4:$O$2428,3,FALSE)</f>
        <v>flip_communicator</v>
      </c>
      <c r="D117" s="5" t="str">
        <f>VLOOKUP($A117,tropes!$A$4:$O$2428,4,FALSE)</f>
        <v>kirk</v>
      </c>
      <c r="E117" s="5" t="str">
        <f>VLOOKUP($A117,tropes!$A$4:$O$2428,5,FALSE)</f>
        <v>Kirk calls Chekov.</v>
      </c>
      <c r="F117" s="5">
        <f>VLOOKUP($A117,tropes!$A$4:$O$2428,6,FALSE)</f>
        <v>0</v>
      </c>
      <c r="G117" s="5">
        <f>VLOOKUP($A117,tropes!$A$4:$O$2428,7,FALSE)</f>
        <v>1</v>
      </c>
      <c r="H117" s="5">
        <f>VLOOKUP($A117,tropes!$A$4:$O$2428,8,FALSE)</f>
        <v>0</v>
      </c>
      <c r="I117" s="5">
        <f>VLOOKUP($A117,tropes!$A$4:$O$2428,9,FALSE)</f>
        <v>205</v>
      </c>
      <c r="J117" s="5">
        <f>VLOOKUP($A117,tropes!$A$4:$O$2428,10,FALSE)</f>
        <v>35</v>
      </c>
      <c r="K117" s="5" t="str">
        <f>VLOOKUP($A117,tropes!$A$4:$O$2428,11,FALSE)</f>
        <v>The Apple</v>
      </c>
      <c r="L117" s="5">
        <f>VLOOKUP($A117,tropes!$A$4:$O$2428,12,FALSE)</f>
        <v>2</v>
      </c>
      <c r="M117" s="5">
        <f>VLOOKUP($A117,tropes!$A$4:$O$2428,13,FALSE)</f>
        <v>5</v>
      </c>
      <c r="N117" s="5">
        <f t="shared" si="1"/>
        <v>0</v>
      </c>
    </row>
    <row r="118" spans="1:14" x14ac:dyDescent="0.3">
      <c r="A118" s="14">
        <v>917</v>
      </c>
      <c r="B118" s="5" t="str">
        <f>VLOOKUP($A118,tropes!$A$4:$O$2428,2,FALSE)</f>
        <v>Comm Link</v>
      </c>
      <c r="C118" s="5" t="str">
        <f>VLOOKUP($A118,tropes!$A$4:$O$2428,3,FALSE)</f>
        <v>flip_communicator</v>
      </c>
      <c r="D118" s="5" t="str">
        <f>VLOOKUP($A118,tropes!$A$4:$O$2428,4,FALSE)</f>
        <v>kirk</v>
      </c>
      <c r="E118" s="5" t="str">
        <f>VLOOKUP($A118,tropes!$A$4:$O$2428,5,FALSE)</f>
        <v>Kirk calls Enterprise (Scotty) (1)</v>
      </c>
      <c r="F118" s="5">
        <f>VLOOKUP($A118,tropes!$A$4:$O$2428,6,FALSE)</f>
        <v>0</v>
      </c>
      <c r="G118" s="5">
        <f>VLOOKUP($A118,tropes!$A$4:$O$2428,7,FALSE)</f>
        <v>1</v>
      </c>
      <c r="H118" s="5">
        <f>VLOOKUP($A118,tropes!$A$4:$O$2428,8,FALSE)</f>
        <v>0</v>
      </c>
      <c r="I118" s="5">
        <f>VLOOKUP($A118,tropes!$A$4:$O$2428,9,FALSE)</f>
        <v>205</v>
      </c>
      <c r="J118" s="5">
        <f>VLOOKUP($A118,tropes!$A$4:$O$2428,10,FALSE)</f>
        <v>35</v>
      </c>
      <c r="K118" s="5" t="str">
        <f>VLOOKUP($A118,tropes!$A$4:$O$2428,11,FALSE)</f>
        <v>The Apple</v>
      </c>
      <c r="L118" s="5">
        <f>VLOOKUP($A118,tropes!$A$4:$O$2428,12,FALSE)</f>
        <v>2</v>
      </c>
      <c r="M118" s="5">
        <f>VLOOKUP($A118,tropes!$A$4:$O$2428,13,FALSE)</f>
        <v>5</v>
      </c>
      <c r="N118" s="5">
        <f t="shared" si="1"/>
        <v>1</v>
      </c>
    </row>
    <row r="119" spans="1:14" x14ac:dyDescent="0.3">
      <c r="A119" s="14">
        <v>918</v>
      </c>
      <c r="B119" s="5" t="str">
        <f>VLOOKUP($A119,tropes!$A$4:$O$2428,2,FALSE)</f>
        <v>Comm Link</v>
      </c>
      <c r="C119" s="5" t="str">
        <f>VLOOKUP($A119,tropes!$A$4:$O$2428,3,FALSE)</f>
        <v>flip_communicator</v>
      </c>
      <c r="D119" s="5" t="str">
        <f>VLOOKUP($A119,tropes!$A$4:$O$2428,4,FALSE)</f>
        <v>kirk</v>
      </c>
      <c r="E119" s="5" t="str">
        <f>VLOOKUP($A119,tropes!$A$4:$O$2428,5,FALSE)</f>
        <v>Kirk calls Enterprise (Scotty) (2)</v>
      </c>
      <c r="F119" s="5">
        <f>VLOOKUP($A119,tropes!$A$4:$O$2428,6,FALSE)</f>
        <v>0</v>
      </c>
      <c r="G119" s="5">
        <f>VLOOKUP($A119,tropes!$A$4:$O$2428,7,FALSE)</f>
        <v>1</v>
      </c>
      <c r="H119" s="5">
        <f>VLOOKUP($A119,tropes!$A$4:$O$2428,8,FALSE)</f>
        <v>0</v>
      </c>
      <c r="I119" s="5">
        <f>VLOOKUP($A119,tropes!$A$4:$O$2428,9,FALSE)</f>
        <v>205</v>
      </c>
      <c r="J119" s="5">
        <f>VLOOKUP($A119,tropes!$A$4:$O$2428,10,FALSE)</f>
        <v>35</v>
      </c>
      <c r="K119" s="5" t="str">
        <f>VLOOKUP($A119,tropes!$A$4:$O$2428,11,FALSE)</f>
        <v>The Apple</v>
      </c>
      <c r="L119" s="5">
        <f>VLOOKUP($A119,tropes!$A$4:$O$2428,12,FALSE)</f>
        <v>2</v>
      </c>
      <c r="M119" s="5">
        <f>VLOOKUP($A119,tropes!$A$4:$O$2428,13,FALSE)</f>
        <v>5</v>
      </c>
      <c r="N119" s="5">
        <f t="shared" si="1"/>
        <v>2</v>
      </c>
    </row>
    <row r="120" spans="1:14" x14ac:dyDescent="0.3">
      <c r="A120" s="14">
        <v>919</v>
      </c>
      <c r="B120" s="5" t="str">
        <f>VLOOKUP($A120,tropes!$A$4:$O$2428,2,FALSE)</f>
        <v>Comm Link</v>
      </c>
      <c r="C120" s="5" t="str">
        <f>VLOOKUP($A120,tropes!$A$4:$O$2428,3,FALSE)</f>
        <v>flip_communicator</v>
      </c>
      <c r="D120" s="5" t="str">
        <f>VLOOKUP($A120,tropes!$A$4:$O$2428,4,FALSE)</f>
        <v>kirk</v>
      </c>
      <c r="E120" s="5" t="str">
        <f>VLOOKUP($A120,tropes!$A$4:$O$2428,5,FALSE)</f>
        <v>Kirk calls Enterprise (Scotty) (3)</v>
      </c>
      <c r="F120" s="5">
        <f>VLOOKUP($A120,tropes!$A$4:$O$2428,6,FALSE)</f>
        <v>0</v>
      </c>
      <c r="G120" s="5">
        <f>VLOOKUP($A120,tropes!$A$4:$O$2428,7,FALSE)</f>
        <v>1</v>
      </c>
      <c r="H120" s="5">
        <f>VLOOKUP($A120,tropes!$A$4:$O$2428,8,FALSE)</f>
        <v>0</v>
      </c>
      <c r="I120" s="5">
        <f>VLOOKUP($A120,tropes!$A$4:$O$2428,9,FALSE)</f>
        <v>205</v>
      </c>
      <c r="J120" s="5">
        <f>VLOOKUP($A120,tropes!$A$4:$O$2428,10,FALSE)</f>
        <v>35</v>
      </c>
      <c r="K120" s="5" t="str">
        <f>VLOOKUP($A120,tropes!$A$4:$O$2428,11,FALSE)</f>
        <v>The Apple</v>
      </c>
      <c r="L120" s="5">
        <f>VLOOKUP($A120,tropes!$A$4:$O$2428,12,FALSE)</f>
        <v>2</v>
      </c>
      <c r="M120" s="5">
        <f>VLOOKUP($A120,tropes!$A$4:$O$2428,13,FALSE)</f>
        <v>5</v>
      </c>
      <c r="N120" s="5">
        <f t="shared" si="1"/>
        <v>3</v>
      </c>
    </row>
    <row r="121" spans="1:14" x14ac:dyDescent="0.3">
      <c r="A121" s="14">
        <v>920</v>
      </c>
      <c r="B121" s="5" t="str">
        <f>VLOOKUP($A121,tropes!$A$4:$O$2428,2,FALSE)</f>
        <v>Comm Link</v>
      </c>
      <c r="C121" s="5" t="str">
        <f>VLOOKUP($A121,tropes!$A$4:$O$2428,3,FALSE)</f>
        <v>flip_communicator</v>
      </c>
      <c r="D121" s="5" t="str">
        <f>VLOOKUP($A121,tropes!$A$4:$O$2428,4,FALSE)</f>
        <v>kirk</v>
      </c>
      <c r="E121" s="5" t="str">
        <f>VLOOKUP($A121,tropes!$A$4:$O$2428,5,FALSE)</f>
        <v>Kirk calls Enterprise (Scotty) (4)</v>
      </c>
      <c r="F121" s="5">
        <f>VLOOKUP($A121,tropes!$A$4:$O$2428,6,FALSE)</f>
        <v>0</v>
      </c>
      <c r="G121" s="5">
        <f>VLOOKUP($A121,tropes!$A$4:$O$2428,7,FALSE)</f>
        <v>1</v>
      </c>
      <c r="H121" s="5">
        <f>VLOOKUP($A121,tropes!$A$4:$O$2428,8,FALSE)</f>
        <v>0</v>
      </c>
      <c r="I121" s="5">
        <f>VLOOKUP($A121,tropes!$A$4:$O$2428,9,FALSE)</f>
        <v>205</v>
      </c>
      <c r="J121" s="5">
        <f>VLOOKUP($A121,tropes!$A$4:$O$2428,10,FALSE)</f>
        <v>35</v>
      </c>
      <c r="K121" s="5" t="str">
        <f>VLOOKUP($A121,tropes!$A$4:$O$2428,11,FALSE)</f>
        <v>The Apple</v>
      </c>
      <c r="L121" s="5">
        <f>VLOOKUP($A121,tropes!$A$4:$O$2428,12,FALSE)</f>
        <v>2</v>
      </c>
      <c r="M121" s="5">
        <f>VLOOKUP($A121,tropes!$A$4:$O$2428,13,FALSE)</f>
        <v>5</v>
      </c>
      <c r="N121" s="5">
        <f t="shared" si="1"/>
        <v>4</v>
      </c>
    </row>
    <row r="122" spans="1:14" x14ac:dyDescent="0.3">
      <c r="A122" s="14">
        <v>921</v>
      </c>
      <c r="B122" s="5" t="str">
        <f>VLOOKUP($A122,tropes!$A$4:$O$2428,2,FALSE)</f>
        <v>Comm Link</v>
      </c>
      <c r="C122" s="5" t="str">
        <f>VLOOKUP($A122,tropes!$A$4:$O$2428,3,FALSE)</f>
        <v>flip_communicator</v>
      </c>
      <c r="D122" s="5" t="str">
        <f>VLOOKUP($A122,tropes!$A$4:$O$2428,4,FALSE)</f>
        <v>kirk</v>
      </c>
      <c r="E122" s="5" t="str">
        <f>VLOOKUP($A122,tropes!$A$4:$O$2428,5,FALSE)</f>
        <v>Kirk calls Enterprise (Scotty) (5)</v>
      </c>
      <c r="F122" s="5">
        <f>VLOOKUP($A122,tropes!$A$4:$O$2428,6,FALSE)</f>
        <v>0</v>
      </c>
      <c r="G122" s="5">
        <f>VLOOKUP($A122,tropes!$A$4:$O$2428,7,FALSE)</f>
        <v>1</v>
      </c>
      <c r="H122" s="5">
        <f>VLOOKUP($A122,tropes!$A$4:$O$2428,8,FALSE)</f>
        <v>0</v>
      </c>
      <c r="I122" s="5">
        <f>VLOOKUP($A122,tropes!$A$4:$O$2428,9,FALSE)</f>
        <v>205</v>
      </c>
      <c r="J122" s="5">
        <f>VLOOKUP($A122,tropes!$A$4:$O$2428,10,FALSE)</f>
        <v>35</v>
      </c>
      <c r="K122" s="5" t="str">
        <f>VLOOKUP($A122,tropes!$A$4:$O$2428,11,FALSE)</f>
        <v>The Apple</v>
      </c>
      <c r="L122" s="5">
        <f>VLOOKUP($A122,tropes!$A$4:$O$2428,12,FALSE)</f>
        <v>2</v>
      </c>
      <c r="M122" s="5">
        <f>VLOOKUP($A122,tropes!$A$4:$O$2428,13,FALSE)</f>
        <v>5</v>
      </c>
      <c r="N122" s="5">
        <f t="shared" si="1"/>
        <v>5</v>
      </c>
    </row>
    <row r="123" spans="1:14" x14ac:dyDescent="0.3">
      <c r="A123" s="14">
        <v>922</v>
      </c>
      <c r="B123" s="5" t="str">
        <f>VLOOKUP($A123,tropes!$A$4:$O$2428,2,FALSE)</f>
        <v>Comm Link</v>
      </c>
      <c r="C123" s="5" t="str">
        <f>VLOOKUP($A123,tropes!$A$4:$O$2428,3,FALSE)</f>
        <v>flip_communicator</v>
      </c>
      <c r="D123" s="5" t="str">
        <f>VLOOKUP($A123,tropes!$A$4:$O$2428,4,FALSE)</f>
        <v>kirk</v>
      </c>
      <c r="E123" s="5" t="str">
        <f>VLOOKUP($A123,tropes!$A$4:$O$2428,5,FALSE)</f>
        <v>Kirk calls Enterprise (Scotty) (6)</v>
      </c>
      <c r="F123" s="5">
        <f>VLOOKUP($A123,tropes!$A$4:$O$2428,6,FALSE)</f>
        <v>0</v>
      </c>
      <c r="G123" s="5">
        <f>VLOOKUP($A123,tropes!$A$4:$O$2428,7,FALSE)</f>
        <v>1</v>
      </c>
      <c r="H123" s="5">
        <f>VLOOKUP($A123,tropes!$A$4:$O$2428,8,FALSE)</f>
        <v>0</v>
      </c>
      <c r="I123" s="5">
        <f>VLOOKUP($A123,tropes!$A$4:$O$2428,9,FALSE)</f>
        <v>205</v>
      </c>
      <c r="J123" s="5">
        <f>VLOOKUP($A123,tropes!$A$4:$O$2428,10,FALSE)</f>
        <v>35</v>
      </c>
      <c r="K123" s="5" t="str">
        <f>VLOOKUP($A123,tropes!$A$4:$O$2428,11,FALSE)</f>
        <v>The Apple</v>
      </c>
      <c r="L123" s="5">
        <f>VLOOKUP($A123,tropes!$A$4:$O$2428,12,FALSE)</f>
        <v>2</v>
      </c>
      <c r="M123" s="5">
        <f>VLOOKUP($A123,tropes!$A$4:$O$2428,13,FALSE)</f>
        <v>5</v>
      </c>
      <c r="N123" s="5">
        <f t="shared" si="1"/>
        <v>6</v>
      </c>
    </row>
    <row r="124" spans="1:14" x14ac:dyDescent="0.3">
      <c r="A124" s="14">
        <v>923</v>
      </c>
      <c r="B124" s="5" t="str">
        <f>VLOOKUP($A124,tropes!$A$4:$O$2428,2,FALSE)</f>
        <v>Comm Link</v>
      </c>
      <c r="C124" s="5" t="str">
        <f>VLOOKUP($A124,tropes!$A$4:$O$2428,3,FALSE)</f>
        <v>flip_communicator</v>
      </c>
      <c r="D124" s="5" t="str">
        <f>VLOOKUP($A124,tropes!$A$4:$O$2428,4,FALSE)</f>
        <v>kirk</v>
      </c>
      <c r="E124" s="5" t="str">
        <f>VLOOKUP($A124,tropes!$A$4:$O$2428,5,FALSE)</f>
        <v>Kirk calls Enterprise after failed transport.</v>
      </c>
      <c r="F124" s="5">
        <f>VLOOKUP($A124,tropes!$A$4:$O$2428,6,FALSE)</f>
        <v>0</v>
      </c>
      <c r="G124" s="5">
        <f>VLOOKUP($A124,tropes!$A$4:$O$2428,7,FALSE)</f>
        <v>1</v>
      </c>
      <c r="H124" s="5">
        <f>VLOOKUP($A124,tropes!$A$4:$O$2428,8,FALSE)</f>
        <v>0</v>
      </c>
      <c r="I124" s="5">
        <f>VLOOKUP($A124,tropes!$A$4:$O$2428,9,FALSE)</f>
        <v>205</v>
      </c>
      <c r="J124" s="5">
        <f>VLOOKUP($A124,tropes!$A$4:$O$2428,10,FALSE)</f>
        <v>35</v>
      </c>
      <c r="K124" s="5" t="str">
        <f>VLOOKUP($A124,tropes!$A$4:$O$2428,11,FALSE)</f>
        <v>The Apple</v>
      </c>
      <c r="L124" s="5">
        <f>VLOOKUP($A124,tropes!$A$4:$O$2428,12,FALSE)</f>
        <v>2</v>
      </c>
      <c r="M124" s="5">
        <f>VLOOKUP($A124,tropes!$A$4:$O$2428,13,FALSE)</f>
        <v>5</v>
      </c>
      <c r="N124" s="5">
        <f t="shared" si="1"/>
        <v>7</v>
      </c>
    </row>
    <row r="125" spans="1:14" x14ac:dyDescent="0.3">
      <c r="A125" s="14">
        <v>924</v>
      </c>
      <c r="B125" s="5" t="str">
        <f>VLOOKUP($A125,tropes!$A$4:$O$2428,2,FALSE)</f>
        <v>Comm Link</v>
      </c>
      <c r="C125" s="5" t="str">
        <f>VLOOKUP($A125,tropes!$A$4:$O$2428,3,FALSE)</f>
        <v>flip_communicator</v>
      </c>
      <c r="D125" s="5" t="str">
        <f>VLOOKUP($A125,tropes!$A$4:$O$2428,4,FALSE)</f>
        <v>kirk</v>
      </c>
      <c r="E125" s="5" t="str">
        <f>VLOOKUP($A125,tropes!$A$4:$O$2428,5,FALSE)</f>
        <v>Kirk receives call from Ensign Mallory</v>
      </c>
      <c r="F125" s="5">
        <f>VLOOKUP($A125,tropes!$A$4:$O$2428,6,FALSE)</f>
        <v>0</v>
      </c>
      <c r="G125" s="5">
        <f>VLOOKUP($A125,tropes!$A$4:$O$2428,7,FALSE)</f>
        <v>1</v>
      </c>
      <c r="H125" s="5">
        <f>VLOOKUP($A125,tropes!$A$4:$O$2428,8,FALSE)</f>
        <v>0</v>
      </c>
      <c r="I125" s="5">
        <f>VLOOKUP($A125,tropes!$A$4:$O$2428,9,FALSE)</f>
        <v>205</v>
      </c>
      <c r="J125" s="5">
        <f>VLOOKUP($A125,tropes!$A$4:$O$2428,10,FALSE)</f>
        <v>35</v>
      </c>
      <c r="K125" s="5" t="str">
        <f>VLOOKUP($A125,tropes!$A$4:$O$2428,11,FALSE)</f>
        <v>The Apple</v>
      </c>
      <c r="L125" s="5">
        <f>VLOOKUP($A125,tropes!$A$4:$O$2428,12,FALSE)</f>
        <v>2</v>
      </c>
      <c r="M125" s="5">
        <f>VLOOKUP($A125,tropes!$A$4:$O$2428,13,FALSE)</f>
        <v>5</v>
      </c>
      <c r="N125" s="5">
        <f t="shared" si="1"/>
        <v>8</v>
      </c>
    </row>
    <row r="126" spans="1:14" x14ac:dyDescent="0.3">
      <c r="A126" s="14">
        <v>925</v>
      </c>
      <c r="B126" s="5" t="str">
        <f>VLOOKUP($A126,tropes!$A$4:$O$2428,2,FALSE)</f>
        <v>Comm Link</v>
      </c>
      <c r="C126" s="5" t="str">
        <f>VLOOKUP($A126,tropes!$A$4:$O$2428,3,FALSE)</f>
        <v>flip_communicator</v>
      </c>
      <c r="D126" s="5" t="str">
        <f>VLOOKUP($A126,tropes!$A$4:$O$2428,4,FALSE)</f>
        <v>kirk</v>
      </c>
      <c r="E126" s="5" t="str">
        <f>VLOOKUP($A126,tropes!$A$4:$O$2428,5,FALSE)</f>
        <v>Kirk receives call from Enterprise (Scotty) (1)</v>
      </c>
      <c r="F126" s="5">
        <f>VLOOKUP($A126,tropes!$A$4:$O$2428,6,FALSE)</f>
        <v>0</v>
      </c>
      <c r="G126" s="5">
        <f>VLOOKUP($A126,tropes!$A$4:$O$2428,7,FALSE)</f>
        <v>1</v>
      </c>
      <c r="H126" s="5">
        <f>VLOOKUP($A126,tropes!$A$4:$O$2428,8,FALSE)</f>
        <v>0</v>
      </c>
      <c r="I126" s="5">
        <f>VLOOKUP($A126,tropes!$A$4:$O$2428,9,FALSE)</f>
        <v>205</v>
      </c>
      <c r="J126" s="5">
        <f>VLOOKUP($A126,tropes!$A$4:$O$2428,10,FALSE)</f>
        <v>35</v>
      </c>
      <c r="K126" s="5" t="str">
        <f>VLOOKUP($A126,tropes!$A$4:$O$2428,11,FALSE)</f>
        <v>The Apple</v>
      </c>
      <c r="L126" s="5">
        <f>VLOOKUP($A126,tropes!$A$4:$O$2428,12,FALSE)</f>
        <v>2</v>
      </c>
      <c r="M126" s="5">
        <f>VLOOKUP($A126,tropes!$A$4:$O$2428,13,FALSE)</f>
        <v>5</v>
      </c>
      <c r="N126" s="5">
        <f t="shared" si="1"/>
        <v>9</v>
      </c>
    </row>
    <row r="127" spans="1:14" x14ac:dyDescent="0.3">
      <c r="A127" s="14">
        <v>926</v>
      </c>
      <c r="B127" s="5" t="str">
        <f>VLOOKUP($A127,tropes!$A$4:$O$2428,2,FALSE)</f>
        <v>Comm Link</v>
      </c>
      <c r="C127" s="5" t="str">
        <f>VLOOKUP($A127,tropes!$A$4:$O$2428,3,FALSE)</f>
        <v>flip_communicator</v>
      </c>
      <c r="D127" s="5" t="str">
        <f>VLOOKUP($A127,tropes!$A$4:$O$2428,4,FALSE)</f>
        <v>kirk</v>
      </c>
      <c r="E127" s="5" t="str">
        <f>VLOOKUP($A127,tropes!$A$4:$O$2428,5,FALSE)</f>
        <v>Kirk receives call from Enterprise (Scotty) (2)</v>
      </c>
      <c r="F127" s="5">
        <f>VLOOKUP($A127,tropes!$A$4:$O$2428,6,FALSE)</f>
        <v>0</v>
      </c>
      <c r="G127" s="5">
        <f>VLOOKUP($A127,tropes!$A$4:$O$2428,7,FALSE)</f>
        <v>1</v>
      </c>
      <c r="H127" s="5">
        <f>VLOOKUP($A127,tropes!$A$4:$O$2428,8,FALSE)</f>
        <v>0</v>
      </c>
      <c r="I127" s="5">
        <f>VLOOKUP($A127,tropes!$A$4:$O$2428,9,FALSE)</f>
        <v>205</v>
      </c>
      <c r="J127" s="5">
        <f>VLOOKUP($A127,tropes!$A$4:$O$2428,10,FALSE)</f>
        <v>35</v>
      </c>
      <c r="K127" s="5" t="str">
        <f>VLOOKUP($A127,tropes!$A$4:$O$2428,11,FALSE)</f>
        <v>The Apple</v>
      </c>
      <c r="L127" s="5">
        <f>VLOOKUP($A127,tropes!$A$4:$O$2428,12,FALSE)</f>
        <v>2</v>
      </c>
      <c r="M127" s="5">
        <f>VLOOKUP($A127,tropes!$A$4:$O$2428,13,FALSE)</f>
        <v>5</v>
      </c>
      <c r="N127" s="5">
        <f t="shared" si="1"/>
        <v>10</v>
      </c>
    </row>
    <row r="128" spans="1:14" x14ac:dyDescent="0.3">
      <c r="A128" s="14">
        <v>927</v>
      </c>
      <c r="B128" s="5" t="str">
        <f>VLOOKUP($A128,tropes!$A$4:$O$2428,2,FALSE)</f>
        <v>Comm Link</v>
      </c>
      <c r="C128" s="5" t="str">
        <f>VLOOKUP($A128,tropes!$A$4:$O$2428,3,FALSE)</f>
        <v>flip_communicator</v>
      </c>
      <c r="D128" s="5" t="str">
        <f>VLOOKUP($A128,tropes!$A$4:$O$2428,4,FALSE)</f>
        <v>kirk</v>
      </c>
      <c r="E128" s="5" t="str">
        <f>VLOOKUP($A128,tropes!$A$4:$O$2428,5,FALSE)</f>
        <v>Kirk receives call from Enterprise (Scotty) (3)</v>
      </c>
      <c r="F128" s="5">
        <f>VLOOKUP($A128,tropes!$A$4:$O$2428,6,FALSE)</f>
        <v>0</v>
      </c>
      <c r="G128" s="5">
        <f>VLOOKUP($A128,tropes!$A$4:$O$2428,7,FALSE)</f>
        <v>1</v>
      </c>
      <c r="H128" s="5">
        <f>VLOOKUP($A128,tropes!$A$4:$O$2428,8,FALSE)</f>
        <v>0</v>
      </c>
      <c r="I128" s="5">
        <f>VLOOKUP($A128,tropes!$A$4:$O$2428,9,FALSE)</f>
        <v>205</v>
      </c>
      <c r="J128" s="5">
        <f>VLOOKUP($A128,tropes!$A$4:$O$2428,10,FALSE)</f>
        <v>35</v>
      </c>
      <c r="K128" s="5" t="str">
        <f>VLOOKUP($A128,tropes!$A$4:$O$2428,11,FALSE)</f>
        <v>The Apple</v>
      </c>
      <c r="L128" s="5">
        <f>VLOOKUP($A128,tropes!$A$4:$O$2428,12,FALSE)</f>
        <v>2</v>
      </c>
      <c r="M128" s="5">
        <f>VLOOKUP($A128,tropes!$A$4:$O$2428,13,FALSE)</f>
        <v>5</v>
      </c>
      <c r="N128" s="5">
        <f t="shared" si="1"/>
        <v>11</v>
      </c>
    </row>
    <row r="129" spans="1:14" x14ac:dyDescent="0.3">
      <c r="A129" s="14">
        <v>928</v>
      </c>
      <c r="B129" s="5" t="str">
        <f>VLOOKUP($A129,tropes!$A$4:$O$2428,2,FALSE)</f>
        <v>Comm Link</v>
      </c>
      <c r="C129" s="5" t="str">
        <f>VLOOKUP($A129,tropes!$A$4:$O$2428,3,FALSE)</f>
        <v>flip_communicator</v>
      </c>
      <c r="D129" s="5" t="str">
        <f>VLOOKUP($A129,tropes!$A$4:$O$2428,4,FALSE)</f>
        <v>kirk</v>
      </c>
      <c r="E129" s="5" t="str">
        <f>VLOOKUP($A129,tropes!$A$4:$O$2428,5,FALSE)</f>
        <v>Kirk receives call from Enterprise (Scotty) (4)</v>
      </c>
      <c r="F129" s="5">
        <f>VLOOKUP($A129,tropes!$A$4:$O$2428,6,FALSE)</f>
        <v>0</v>
      </c>
      <c r="G129" s="5">
        <f>VLOOKUP($A129,tropes!$A$4:$O$2428,7,FALSE)</f>
        <v>1</v>
      </c>
      <c r="H129" s="5">
        <f>VLOOKUP($A129,tropes!$A$4:$O$2428,8,FALSE)</f>
        <v>0</v>
      </c>
      <c r="I129" s="5">
        <f>VLOOKUP($A129,tropes!$A$4:$O$2428,9,FALSE)</f>
        <v>205</v>
      </c>
      <c r="J129" s="5">
        <f>VLOOKUP($A129,tropes!$A$4:$O$2428,10,FALSE)</f>
        <v>35</v>
      </c>
      <c r="K129" s="5" t="str">
        <f>VLOOKUP($A129,tropes!$A$4:$O$2428,11,FALSE)</f>
        <v>The Apple</v>
      </c>
      <c r="L129" s="5">
        <f>VLOOKUP($A129,tropes!$A$4:$O$2428,12,FALSE)</f>
        <v>2</v>
      </c>
      <c r="M129" s="5">
        <f>VLOOKUP($A129,tropes!$A$4:$O$2428,13,FALSE)</f>
        <v>5</v>
      </c>
      <c r="N129" s="5">
        <f t="shared" si="1"/>
        <v>12</v>
      </c>
    </row>
    <row r="130" spans="1:14" x14ac:dyDescent="0.3">
      <c r="A130" s="14">
        <v>1901</v>
      </c>
      <c r="B130" s="5" t="str">
        <f>VLOOKUP($A130,tropes!$A$4:$O$2428,2,FALSE)</f>
        <v>Comm Link</v>
      </c>
      <c r="C130" s="5" t="str">
        <f>VLOOKUP($A130,tropes!$A$4:$O$2428,3,FALSE)</f>
        <v>flip_communicator</v>
      </c>
      <c r="D130" s="5" t="str">
        <f>VLOOKUP($A130,tropes!$A$4:$O$2428,4,FALSE)</f>
        <v>redshirt</v>
      </c>
      <c r="E130" s="5" t="str">
        <f>VLOOKUP($A130,tropes!$A$4:$O$2428,5,FALSE)</f>
        <v>Ensign Mallory calls Kirk.</v>
      </c>
      <c r="F130" s="5">
        <f>VLOOKUP($A130,tropes!$A$4:$O$2428,6,FALSE)</f>
        <v>0</v>
      </c>
      <c r="G130" s="5">
        <f>VLOOKUP($A130,tropes!$A$4:$O$2428,7,FALSE)</f>
        <v>0</v>
      </c>
      <c r="H130" s="5">
        <f>VLOOKUP($A130,tropes!$A$4:$O$2428,8,FALSE)</f>
        <v>0</v>
      </c>
      <c r="I130" s="5">
        <f>VLOOKUP($A130,tropes!$A$4:$O$2428,9,FALSE)</f>
        <v>205</v>
      </c>
      <c r="J130" s="5">
        <f>VLOOKUP($A130,tropes!$A$4:$O$2428,10,FALSE)</f>
        <v>35</v>
      </c>
      <c r="K130" s="5" t="str">
        <f>VLOOKUP($A130,tropes!$A$4:$O$2428,11,FALSE)</f>
        <v>The Apple</v>
      </c>
      <c r="L130" s="5">
        <f>VLOOKUP($A130,tropes!$A$4:$O$2428,12,FALSE)</f>
        <v>2</v>
      </c>
      <c r="M130" s="5">
        <f>VLOOKUP($A130,tropes!$A$4:$O$2428,13,FALSE)</f>
        <v>5</v>
      </c>
      <c r="N130" s="5">
        <f t="shared" si="1"/>
        <v>13</v>
      </c>
    </row>
    <row r="131" spans="1:14" x14ac:dyDescent="0.3">
      <c r="A131" s="14">
        <v>2245</v>
      </c>
      <c r="B131" s="5" t="str">
        <f>VLOOKUP($A131,tropes!$A$4:$O$2428,2,FALSE)</f>
        <v>Comm Link</v>
      </c>
      <c r="C131" s="5" t="str">
        <f>VLOOKUP($A131,tropes!$A$4:$O$2428,3,FALSE)</f>
        <v>flip_communicator</v>
      </c>
      <c r="D131" s="5" t="str">
        <f>VLOOKUP($A131,tropes!$A$4:$O$2428,4,FALSE)</f>
        <v>spock</v>
      </c>
      <c r="E131" s="5" t="str">
        <f>VLOOKUP($A131,tropes!$A$4:$O$2428,5,FALSE)</f>
        <v>Spock calls Enterprise</v>
      </c>
      <c r="F131" s="5">
        <f>VLOOKUP($A131,tropes!$A$4:$O$2428,6,FALSE)</f>
        <v>0</v>
      </c>
      <c r="G131" s="5">
        <f>VLOOKUP($A131,tropes!$A$4:$O$2428,7,FALSE)</f>
        <v>1</v>
      </c>
      <c r="H131" s="5">
        <f>VLOOKUP($A131,tropes!$A$4:$O$2428,8,FALSE)</f>
        <v>0</v>
      </c>
      <c r="I131" s="5">
        <f>VLOOKUP($A131,tropes!$A$4:$O$2428,9,FALSE)</f>
        <v>205</v>
      </c>
      <c r="J131" s="5">
        <f>VLOOKUP($A131,tropes!$A$4:$O$2428,10,FALSE)</f>
        <v>35</v>
      </c>
      <c r="K131" s="5" t="str">
        <f>VLOOKUP($A131,tropes!$A$4:$O$2428,11,FALSE)</f>
        <v>The Apple</v>
      </c>
      <c r="L131" s="5">
        <f>VLOOKUP($A131,tropes!$A$4:$O$2428,12,FALSE)</f>
        <v>2</v>
      </c>
      <c r="M131" s="5">
        <f>VLOOKUP($A131,tropes!$A$4:$O$2428,13,FALSE)</f>
        <v>5</v>
      </c>
      <c r="N131" s="5">
        <f t="shared" si="1"/>
        <v>14</v>
      </c>
    </row>
    <row r="132" spans="1:14" x14ac:dyDescent="0.3">
      <c r="A132" s="14">
        <v>931</v>
      </c>
      <c r="B132" s="5" t="str">
        <f>VLOOKUP($A132,tropes!$A$4:$O$2428,2,FALSE)</f>
        <v>Comm Link</v>
      </c>
      <c r="C132" s="5" t="str">
        <f>VLOOKUP($A132,tropes!$A$4:$O$2428,3,FALSE)</f>
        <v>flip_communicator</v>
      </c>
      <c r="D132" s="5" t="str">
        <f>VLOOKUP($A132,tropes!$A$4:$O$2428,4,FALSE)</f>
        <v>kirk</v>
      </c>
      <c r="E132" s="5" t="str">
        <f>VLOOKUP($A132,tropes!$A$4:$O$2428,5,FALSE)</f>
        <v>Kirk calls Enterprise - no answer</v>
      </c>
      <c r="F132" s="5">
        <f>VLOOKUP($A132,tropes!$A$4:$O$2428,6,FALSE)</f>
        <v>0</v>
      </c>
      <c r="G132" s="5">
        <f>VLOOKUP($A132,tropes!$A$4:$O$2428,7,FALSE)</f>
        <v>1</v>
      </c>
      <c r="H132" s="5">
        <f>VLOOKUP($A132,tropes!$A$4:$O$2428,8,FALSE)</f>
        <v>0</v>
      </c>
      <c r="I132" s="5">
        <f>VLOOKUP($A132,tropes!$A$4:$O$2428,9,FALSE)</f>
        <v>206</v>
      </c>
      <c r="J132" s="5">
        <f>VLOOKUP($A132,tropes!$A$4:$O$2428,10,FALSE)</f>
        <v>36</v>
      </c>
      <c r="K132" s="5" t="str">
        <f>VLOOKUP($A132,tropes!$A$4:$O$2428,11,FALSE)</f>
        <v>The Doomsday Machine</v>
      </c>
      <c r="L132" s="5">
        <f>VLOOKUP($A132,tropes!$A$4:$O$2428,12,FALSE)</f>
        <v>2</v>
      </c>
      <c r="M132" s="5">
        <f>VLOOKUP($A132,tropes!$A$4:$O$2428,13,FALSE)</f>
        <v>6</v>
      </c>
      <c r="N132" s="5">
        <f t="shared" ref="N132:N164" si="2">IF(I132&lt;&gt;I131,0,N131+1)</f>
        <v>0</v>
      </c>
    </row>
    <row r="133" spans="1:14" x14ac:dyDescent="0.3">
      <c r="A133" s="14">
        <v>936</v>
      </c>
      <c r="B133" s="5" t="str">
        <f>VLOOKUP($A133,tropes!$A$4:$O$2428,2,FALSE)</f>
        <v>Comm Link</v>
      </c>
      <c r="C133" s="5" t="str">
        <f>VLOOKUP($A133,tropes!$A$4:$O$2428,3,FALSE)</f>
        <v>flip_communicator</v>
      </c>
      <c r="D133" s="5" t="str">
        <f>VLOOKUP($A133,tropes!$A$4:$O$2428,4,FALSE)</f>
        <v>kirk</v>
      </c>
      <c r="E133" s="5" t="str">
        <f>VLOOKUP($A133,tropes!$A$4:$O$2428,5,FALSE)</f>
        <v>Kirk calls Enterprise (1)</v>
      </c>
      <c r="F133" s="5">
        <f>VLOOKUP($A133,tropes!$A$4:$O$2428,6,FALSE)</f>
        <v>0</v>
      </c>
      <c r="G133" s="5">
        <f>VLOOKUP($A133,tropes!$A$4:$O$2428,7,FALSE)</f>
        <v>1</v>
      </c>
      <c r="H133" s="5">
        <f>VLOOKUP($A133,tropes!$A$4:$O$2428,8,FALSE)</f>
        <v>0</v>
      </c>
      <c r="I133" s="5">
        <f>VLOOKUP($A133,tropes!$A$4:$O$2428,9,FALSE)</f>
        <v>206</v>
      </c>
      <c r="J133" s="5">
        <f>VLOOKUP($A133,tropes!$A$4:$O$2428,10,FALSE)</f>
        <v>36</v>
      </c>
      <c r="K133" s="5" t="str">
        <f>VLOOKUP($A133,tropes!$A$4:$O$2428,11,FALSE)</f>
        <v>The Doomsday Machine</v>
      </c>
      <c r="L133" s="5">
        <f>VLOOKUP($A133,tropes!$A$4:$O$2428,12,FALSE)</f>
        <v>2</v>
      </c>
      <c r="M133" s="5">
        <f>VLOOKUP($A133,tropes!$A$4:$O$2428,13,FALSE)</f>
        <v>6</v>
      </c>
      <c r="N133" s="5">
        <f t="shared" si="2"/>
        <v>1</v>
      </c>
    </row>
    <row r="134" spans="1:14" x14ac:dyDescent="0.3">
      <c r="A134" s="14">
        <v>937</v>
      </c>
      <c r="B134" s="5" t="str">
        <f>VLOOKUP($A134,tropes!$A$4:$O$2428,2,FALSE)</f>
        <v>Comm Link</v>
      </c>
      <c r="C134" s="5" t="str">
        <f>VLOOKUP($A134,tropes!$A$4:$O$2428,3,FALSE)</f>
        <v>flip_communicator</v>
      </c>
      <c r="D134" s="5" t="str">
        <f>VLOOKUP($A134,tropes!$A$4:$O$2428,4,FALSE)</f>
        <v>kirk</v>
      </c>
      <c r="E134" s="5" t="str">
        <f>VLOOKUP($A134,tropes!$A$4:$O$2428,5,FALSE)</f>
        <v>Kirk calls Enterprise (2) Gets Commodore Decker in command.</v>
      </c>
      <c r="F134" s="5">
        <f>VLOOKUP($A134,tropes!$A$4:$O$2428,6,FALSE)</f>
        <v>0</v>
      </c>
      <c r="G134" s="5">
        <f>VLOOKUP($A134,tropes!$A$4:$O$2428,7,FALSE)</f>
        <v>1</v>
      </c>
      <c r="H134" s="5">
        <f>VLOOKUP($A134,tropes!$A$4:$O$2428,8,FALSE)</f>
        <v>0</v>
      </c>
      <c r="I134" s="5">
        <f>VLOOKUP($A134,tropes!$A$4:$O$2428,9,FALSE)</f>
        <v>206</v>
      </c>
      <c r="J134" s="5">
        <f>VLOOKUP($A134,tropes!$A$4:$O$2428,10,FALSE)</f>
        <v>36</v>
      </c>
      <c r="K134" s="5" t="str">
        <f>VLOOKUP($A134,tropes!$A$4:$O$2428,11,FALSE)</f>
        <v>The Doomsday Machine</v>
      </c>
      <c r="L134" s="5">
        <f>VLOOKUP($A134,tropes!$A$4:$O$2428,12,FALSE)</f>
        <v>2</v>
      </c>
      <c r="M134" s="5">
        <f>VLOOKUP($A134,tropes!$A$4:$O$2428,13,FALSE)</f>
        <v>6</v>
      </c>
      <c r="N134" s="5">
        <f t="shared" si="2"/>
        <v>2</v>
      </c>
    </row>
    <row r="135" spans="1:14" x14ac:dyDescent="0.3">
      <c r="A135" s="14">
        <v>935</v>
      </c>
      <c r="B135" s="5" t="str">
        <f>VLOOKUP($A135,tropes!$A$4:$O$2428,2,FALSE)</f>
        <v>Comm Link</v>
      </c>
      <c r="C135" s="5" t="str">
        <f>VLOOKUP($A135,tropes!$A$4:$O$2428,3,FALSE)</f>
        <v>flip_communicator</v>
      </c>
      <c r="D135" s="5" t="str">
        <f>VLOOKUP($A135,tropes!$A$4:$O$2428,4,FALSE)</f>
        <v>kirk</v>
      </c>
      <c r="E135" s="5" t="str">
        <f>VLOOKUP($A135,tropes!$A$4:$O$2428,5,FALSE)</f>
        <v>Kirk calls Enterprise (Spock)</v>
      </c>
      <c r="F135" s="5">
        <f>VLOOKUP($A135,tropes!$A$4:$O$2428,6,FALSE)</f>
        <v>0</v>
      </c>
      <c r="G135" s="5">
        <f>VLOOKUP($A135,tropes!$A$4:$O$2428,7,FALSE)</f>
        <v>1</v>
      </c>
      <c r="H135" s="5">
        <f>VLOOKUP($A135,tropes!$A$4:$O$2428,8,FALSE)</f>
        <v>0</v>
      </c>
      <c r="I135" s="5">
        <f>VLOOKUP($A135,tropes!$A$4:$O$2428,9,FALSE)</f>
        <v>206</v>
      </c>
      <c r="J135" s="5">
        <f>VLOOKUP($A135,tropes!$A$4:$O$2428,10,FALSE)</f>
        <v>36</v>
      </c>
      <c r="K135" s="5" t="str">
        <f>VLOOKUP($A135,tropes!$A$4:$O$2428,11,FALSE)</f>
        <v>The Doomsday Machine</v>
      </c>
      <c r="L135" s="5">
        <f>VLOOKUP($A135,tropes!$A$4:$O$2428,12,FALSE)</f>
        <v>2</v>
      </c>
      <c r="M135" s="5">
        <f>VLOOKUP($A135,tropes!$A$4:$O$2428,13,FALSE)</f>
        <v>6</v>
      </c>
      <c r="N135" s="5">
        <f t="shared" si="2"/>
        <v>3</v>
      </c>
    </row>
    <row r="136" spans="1:14" x14ac:dyDescent="0.3">
      <c r="A136" s="14">
        <v>932</v>
      </c>
      <c r="B136" s="5" t="str">
        <f>VLOOKUP($A136,tropes!$A$4:$O$2428,2,FALSE)</f>
        <v>Comm Link</v>
      </c>
      <c r="C136" s="5" t="str">
        <f>VLOOKUP($A136,tropes!$A$4:$O$2428,3,FALSE)</f>
        <v>flip_communicator</v>
      </c>
      <c r="D136" s="5" t="str">
        <f>VLOOKUP($A136,tropes!$A$4:$O$2428,4,FALSE)</f>
        <v>kirk</v>
      </c>
      <c r="E136" s="5" t="str">
        <f>VLOOKUP($A136,tropes!$A$4:$O$2428,5,FALSE)</f>
        <v>Kirk calls Enterprise (Spock) (1)</v>
      </c>
      <c r="F136" s="5">
        <f>VLOOKUP($A136,tropes!$A$4:$O$2428,6,FALSE)</f>
        <v>0</v>
      </c>
      <c r="G136" s="5">
        <f>VLOOKUP($A136,tropes!$A$4:$O$2428,7,FALSE)</f>
        <v>1</v>
      </c>
      <c r="H136" s="5">
        <f>VLOOKUP($A136,tropes!$A$4:$O$2428,8,FALSE)</f>
        <v>0</v>
      </c>
      <c r="I136" s="5">
        <f>VLOOKUP($A136,tropes!$A$4:$O$2428,9,FALSE)</f>
        <v>206</v>
      </c>
      <c r="J136" s="5">
        <f>VLOOKUP($A136,tropes!$A$4:$O$2428,10,FALSE)</f>
        <v>36</v>
      </c>
      <c r="K136" s="5" t="str">
        <f>VLOOKUP($A136,tropes!$A$4:$O$2428,11,FALSE)</f>
        <v>The Doomsday Machine</v>
      </c>
      <c r="L136" s="5">
        <f>VLOOKUP($A136,tropes!$A$4:$O$2428,12,FALSE)</f>
        <v>2</v>
      </c>
      <c r="M136" s="5">
        <f>VLOOKUP($A136,tropes!$A$4:$O$2428,13,FALSE)</f>
        <v>6</v>
      </c>
      <c r="N136" s="5">
        <f t="shared" si="2"/>
        <v>4</v>
      </c>
    </row>
    <row r="137" spans="1:14" x14ac:dyDescent="0.3">
      <c r="A137" s="14">
        <v>933</v>
      </c>
      <c r="B137" s="5" t="str">
        <f>VLOOKUP($A137,tropes!$A$4:$O$2428,2,FALSE)</f>
        <v>Comm Link</v>
      </c>
      <c r="C137" s="5" t="str">
        <f>VLOOKUP($A137,tropes!$A$4:$O$2428,3,FALSE)</f>
        <v>flip_communicator</v>
      </c>
      <c r="D137" s="5" t="str">
        <f>VLOOKUP($A137,tropes!$A$4:$O$2428,4,FALSE)</f>
        <v>kirk</v>
      </c>
      <c r="E137" s="5" t="str">
        <f>VLOOKUP($A137,tropes!$A$4:$O$2428,5,FALSE)</f>
        <v>Kirk calls Enterprise (Spock) (2)</v>
      </c>
      <c r="F137" s="5">
        <f>VLOOKUP($A137,tropes!$A$4:$O$2428,6,FALSE)</f>
        <v>0</v>
      </c>
      <c r="G137" s="5">
        <f>VLOOKUP($A137,tropes!$A$4:$O$2428,7,FALSE)</f>
        <v>1</v>
      </c>
      <c r="H137" s="5">
        <f>VLOOKUP($A137,tropes!$A$4:$O$2428,8,FALSE)</f>
        <v>0</v>
      </c>
      <c r="I137" s="5">
        <f>VLOOKUP($A137,tropes!$A$4:$O$2428,9,FALSE)</f>
        <v>206</v>
      </c>
      <c r="J137" s="5">
        <f>VLOOKUP($A137,tropes!$A$4:$O$2428,10,FALSE)</f>
        <v>36</v>
      </c>
      <c r="K137" s="5" t="str">
        <f>VLOOKUP($A137,tropes!$A$4:$O$2428,11,FALSE)</f>
        <v>The Doomsday Machine</v>
      </c>
      <c r="L137" s="5">
        <f>VLOOKUP($A137,tropes!$A$4:$O$2428,12,FALSE)</f>
        <v>2</v>
      </c>
      <c r="M137" s="5">
        <f>VLOOKUP($A137,tropes!$A$4:$O$2428,13,FALSE)</f>
        <v>6</v>
      </c>
      <c r="N137" s="5">
        <f t="shared" si="2"/>
        <v>5</v>
      </c>
    </row>
    <row r="138" spans="1:14" x14ac:dyDescent="0.3">
      <c r="A138" s="14">
        <v>934</v>
      </c>
      <c r="B138" s="5" t="str">
        <f>VLOOKUP($A138,tropes!$A$4:$O$2428,2,FALSE)</f>
        <v>Comm Link</v>
      </c>
      <c r="C138" s="5" t="str">
        <f>VLOOKUP($A138,tropes!$A$4:$O$2428,3,FALSE)</f>
        <v>flip_communicator</v>
      </c>
      <c r="D138" s="5" t="str">
        <f>VLOOKUP($A138,tropes!$A$4:$O$2428,4,FALSE)</f>
        <v>kirk</v>
      </c>
      <c r="E138" s="5" t="str">
        <f>VLOOKUP($A138,tropes!$A$4:$O$2428,5,FALSE)</f>
        <v>Kirk calls Enterprise (Spock) (3)</v>
      </c>
      <c r="F138" s="5">
        <f>VLOOKUP($A138,tropes!$A$4:$O$2428,6,FALSE)</f>
        <v>0</v>
      </c>
      <c r="G138" s="5">
        <f>VLOOKUP($A138,tropes!$A$4:$O$2428,7,FALSE)</f>
        <v>1</v>
      </c>
      <c r="H138" s="5">
        <f>VLOOKUP($A138,tropes!$A$4:$O$2428,8,FALSE)</f>
        <v>0</v>
      </c>
      <c r="I138" s="5">
        <f>VLOOKUP($A138,tropes!$A$4:$O$2428,9,FALSE)</f>
        <v>206</v>
      </c>
      <c r="J138" s="5">
        <f>VLOOKUP($A138,tropes!$A$4:$O$2428,10,FALSE)</f>
        <v>36</v>
      </c>
      <c r="K138" s="5" t="str">
        <f>VLOOKUP($A138,tropes!$A$4:$O$2428,11,FALSE)</f>
        <v>The Doomsday Machine</v>
      </c>
      <c r="L138" s="5">
        <f>VLOOKUP($A138,tropes!$A$4:$O$2428,12,FALSE)</f>
        <v>2</v>
      </c>
      <c r="M138" s="5">
        <f>VLOOKUP($A138,tropes!$A$4:$O$2428,13,FALSE)</f>
        <v>6</v>
      </c>
      <c r="N138" s="5">
        <f t="shared" si="2"/>
        <v>6</v>
      </c>
    </row>
    <row r="139" spans="1:14" x14ac:dyDescent="0.3">
      <c r="A139" s="14">
        <v>938</v>
      </c>
      <c r="B139" s="5" t="str">
        <f>VLOOKUP($A139,tropes!$A$4:$O$2428,2,FALSE)</f>
        <v>Comm Link</v>
      </c>
      <c r="C139" s="5" t="str">
        <f>VLOOKUP($A139,tropes!$A$4:$O$2428,3,FALSE)</f>
        <v>flip_communicator</v>
      </c>
      <c r="D139" s="5" t="str">
        <f>VLOOKUP($A139,tropes!$A$4:$O$2428,4,FALSE)</f>
        <v>kirk</v>
      </c>
      <c r="E139" s="5" t="str">
        <f>VLOOKUP($A139,tropes!$A$4:$O$2428,5,FALSE)</f>
        <v>Kirk calls Scotty (1)</v>
      </c>
      <c r="F139" s="5">
        <f>VLOOKUP($A139,tropes!$A$4:$O$2428,6,FALSE)</f>
        <v>0</v>
      </c>
      <c r="G139" s="5">
        <f>VLOOKUP($A139,tropes!$A$4:$O$2428,7,FALSE)</f>
        <v>1</v>
      </c>
      <c r="H139" s="5">
        <f>VLOOKUP($A139,tropes!$A$4:$O$2428,8,FALSE)</f>
        <v>0</v>
      </c>
      <c r="I139" s="5">
        <f>VLOOKUP($A139,tropes!$A$4:$O$2428,9,FALSE)</f>
        <v>206</v>
      </c>
      <c r="J139" s="5">
        <f>VLOOKUP($A139,tropes!$A$4:$O$2428,10,FALSE)</f>
        <v>36</v>
      </c>
      <c r="K139" s="5" t="str">
        <f>VLOOKUP($A139,tropes!$A$4:$O$2428,11,FALSE)</f>
        <v>The Doomsday Machine</v>
      </c>
      <c r="L139" s="5">
        <f>VLOOKUP($A139,tropes!$A$4:$O$2428,12,FALSE)</f>
        <v>2</v>
      </c>
      <c r="M139" s="5">
        <f>VLOOKUP($A139,tropes!$A$4:$O$2428,13,FALSE)</f>
        <v>6</v>
      </c>
      <c r="N139" s="5">
        <f t="shared" si="2"/>
        <v>7</v>
      </c>
    </row>
    <row r="140" spans="1:14" x14ac:dyDescent="0.3">
      <c r="A140" s="14">
        <v>939</v>
      </c>
      <c r="B140" s="5" t="str">
        <f>VLOOKUP($A140,tropes!$A$4:$O$2428,2,FALSE)</f>
        <v>Comm Link</v>
      </c>
      <c r="C140" s="5" t="str">
        <f>VLOOKUP($A140,tropes!$A$4:$O$2428,3,FALSE)</f>
        <v>flip_communicator</v>
      </c>
      <c r="D140" s="5" t="str">
        <f>VLOOKUP($A140,tropes!$A$4:$O$2428,4,FALSE)</f>
        <v>kirk</v>
      </c>
      <c r="E140" s="5" t="str">
        <f>VLOOKUP($A140,tropes!$A$4:$O$2428,5,FALSE)</f>
        <v>Kirk calls Scotty (2)</v>
      </c>
      <c r="F140" s="5">
        <f>VLOOKUP($A140,tropes!$A$4:$O$2428,6,FALSE)</f>
        <v>0</v>
      </c>
      <c r="G140" s="5">
        <f>VLOOKUP($A140,tropes!$A$4:$O$2428,7,FALSE)</f>
        <v>1</v>
      </c>
      <c r="H140" s="5">
        <f>VLOOKUP($A140,tropes!$A$4:$O$2428,8,FALSE)</f>
        <v>0</v>
      </c>
      <c r="I140" s="5">
        <f>VLOOKUP($A140,tropes!$A$4:$O$2428,9,FALSE)</f>
        <v>206</v>
      </c>
      <c r="J140" s="5">
        <f>VLOOKUP($A140,tropes!$A$4:$O$2428,10,FALSE)</f>
        <v>36</v>
      </c>
      <c r="K140" s="5" t="str">
        <f>VLOOKUP($A140,tropes!$A$4:$O$2428,11,FALSE)</f>
        <v>The Doomsday Machine</v>
      </c>
      <c r="L140" s="5">
        <f>VLOOKUP($A140,tropes!$A$4:$O$2428,12,FALSE)</f>
        <v>2</v>
      </c>
      <c r="M140" s="5">
        <f>VLOOKUP($A140,tropes!$A$4:$O$2428,13,FALSE)</f>
        <v>6</v>
      </c>
      <c r="N140" s="5">
        <f t="shared" si="2"/>
        <v>8</v>
      </c>
    </row>
    <row r="141" spans="1:14" x14ac:dyDescent="0.3">
      <c r="A141" s="14">
        <v>940</v>
      </c>
      <c r="B141" s="5" t="str">
        <f>VLOOKUP($A141,tropes!$A$4:$O$2428,2,FALSE)</f>
        <v>Comm Link</v>
      </c>
      <c r="C141" s="5" t="str">
        <f>VLOOKUP($A141,tropes!$A$4:$O$2428,3,FALSE)</f>
        <v>flip_communicator</v>
      </c>
      <c r="D141" s="5" t="str">
        <f>VLOOKUP($A141,tropes!$A$4:$O$2428,4,FALSE)</f>
        <v>kirk</v>
      </c>
      <c r="E141" s="5" t="str">
        <f>VLOOKUP($A141,tropes!$A$4:$O$2428,5,FALSE)</f>
        <v>Kirk calls Scotty (3)</v>
      </c>
      <c r="F141" s="5">
        <f>VLOOKUP($A141,tropes!$A$4:$O$2428,6,FALSE)</f>
        <v>0</v>
      </c>
      <c r="G141" s="5">
        <f>VLOOKUP($A141,tropes!$A$4:$O$2428,7,FALSE)</f>
        <v>1</v>
      </c>
      <c r="H141" s="5">
        <f>VLOOKUP($A141,tropes!$A$4:$O$2428,8,FALSE)</f>
        <v>0</v>
      </c>
      <c r="I141" s="5">
        <f>VLOOKUP($A141,tropes!$A$4:$O$2428,9,FALSE)</f>
        <v>206</v>
      </c>
      <c r="J141" s="5">
        <f>VLOOKUP($A141,tropes!$A$4:$O$2428,10,FALSE)</f>
        <v>36</v>
      </c>
      <c r="K141" s="5" t="str">
        <f>VLOOKUP($A141,tropes!$A$4:$O$2428,11,FALSE)</f>
        <v>The Doomsday Machine</v>
      </c>
      <c r="L141" s="5">
        <f>VLOOKUP($A141,tropes!$A$4:$O$2428,12,FALSE)</f>
        <v>2</v>
      </c>
      <c r="M141" s="5">
        <f>VLOOKUP($A141,tropes!$A$4:$O$2428,13,FALSE)</f>
        <v>6</v>
      </c>
      <c r="N141" s="5">
        <f t="shared" si="2"/>
        <v>9</v>
      </c>
    </row>
    <row r="142" spans="1:14" x14ac:dyDescent="0.3">
      <c r="A142" s="14">
        <v>941</v>
      </c>
      <c r="B142" s="5" t="str">
        <f>VLOOKUP($A142,tropes!$A$4:$O$2428,2,FALSE)</f>
        <v>Comm Link</v>
      </c>
      <c r="C142" s="5" t="str">
        <f>VLOOKUP($A142,tropes!$A$4:$O$2428,3,FALSE)</f>
        <v>flip_communicator</v>
      </c>
      <c r="D142" s="5" t="str">
        <f>VLOOKUP($A142,tropes!$A$4:$O$2428,4,FALSE)</f>
        <v>kirk</v>
      </c>
      <c r="E142" s="5" t="str">
        <f>VLOOKUP($A142,tropes!$A$4:$O$2428,5,FALSE)</f>
        <v>Kirk calls Scotty (4)</v>
      </c>
      <c r="F142" s="5">
        <f>VLOOKUP($A142,tropes!$A$4:$O$2428,6,FALSE)</f>
        <v>0</v>
      </c>
      <c r="G142" s="5">
        <f>VLOOKUP($A142,tropes!$A$4:$O$2428,7,FALSE)</f>
        <v>1</v>
      </c>
      <c r="H142" s="5">
        <f>VLOOKUP($A142,tropes!$A$4:$O$2428,8,FALSE)</f>
        <v>0</v>
      </c>
      <c r="I142" s="5">
        <f>VLOOKUP($A142,tropes!$A$4:$O$2428,9,FALSE)</f>
        <v>206</v>
      </c>
      <c r="J142" s="5">
        <f>VLOOKUP($A142,tropes!$A$4:$O$2428,10,FALSE)</f>
        <v>36</v>
      </c>
      <c r="K142" s="5" t="str">
        <f>VLOOKUP($A142,tropes!$A$4:$O$2428,11,FALSE)</f>
        <v>The Doomsday Machine</v>
      </c>
      <c r="L142" s="5">
        <f>VLOOKUP($A142,tropes!$A$4:$O$2428,12,FALSE)</f>
        <v>2</v>
      </c>
      <c r="M142" s="5">
        <f>VLOOKUP($A142,tropes!$A$4:$O$2428,13,FALSE)</f>
        <v>6</v>
      </c>
      <c r="N142" s="5">
        <f t="shared" si="2"/>
        <v>10</v>
      </c>
    </row>
    <row r="143" spans="1:14" x14ac:dyDescent="0.3">
      <c r="A143" s="14">
        <v>942</v>
      </c>
      <c r="B143" s="5" t="str">
        <f>VLOOKUP($A143,tropes!$A$4:$O$2428,2,FALSE)</f>
        <v>Comm Link</v>
      </c>
      <c r="C143" s="5" t="str">
        <f>VLOOKUP($A143,tropes!$A$4:$O$2428,3,FALSE)</f>
        <v>flip_communicator</v>
      </c>
      <c r="D143" s="5" t="str">
        <f>VLOOKUP($A143,tropes!$A$4:$O$2428,4,FALSE)</f>
        <v>kirk</v>
      </c>
      <c r="E143" s="5" t="str">
        <f>VLOOKUP($A143,tropes!$A$4:$O$2428,5,FALSE)</f>
        <v>Kirk calls shuttlecraft (Commodore Decker)</v>
      </c>
      <c r="F143" s="5">
        <f>VLOOKUP($A143,tropes!$A$4:$O$2428,6,FALSE)</f>
        <v>0</v>
      </c>
      <c r="G143" s="5">
        <f>VLOOKUP($A143,tropes!$A$4:$O$2428,7,FALSE)</f>
        <v>1</v>
      </c>
      <c r="H143" s="5">
        <f>VLOOKUP($A143,tropes!$A$4:$O$2428,8,FALSE)</f>
        <v>0</v>
      </c>
      <c r="I143" s="5">
        <f>VLOOKUP($A143,tropes!$A$4:$O$2428,9,FALSE)</f>
        <v>206</v>
      </c>
      <c r="J143" s="5">
        <f>VLOOKUP($A143,tropes!$A$4:$O$2428,10,FALSE)</f>
        <v>36</v>
      </c>
      <c r="K143" s="5" t="str">
        <f>VLOOKUP($A143,tropes!$A$4:$O$2428,11,FALSE)</f>
        <v>The Doomsday Machine</v>
      </c>
      <c r="L143" s="5">
        <f>VLOOKUP($A143,tropes!$A$4:$O$2428,12,FALSE)</f>
        <v>2</v>
      </c>
      <c r="M143" s="5">
        <f>VLOOKUP($A143,tropes!$A$4:$O$2428,13,FALSE)</f>
        <v>6</v>
      </c>
      <c r="N143" s="5">
        <f t="shared" si="2"/>
        <v>11</v>
      </c>
    </row>
    <row r="144" spans="1:14" x14ac:dyDescent="0.3">
      <c r="A144" s="14">
        <v>943</v>
      </c>
      <c r="B144" s="5" t="str">
        <f>VLOOKUP($A144,tropes!$A$4:$O$2428,2,FALSE)</f>
        <v>Comm Link</v>
      </c>
      <c r="C144" s="5" t="str">
        <f>VLOOKUP($A144,tropes!$A$4:$O$2428,3,FALSE)</f>
        <v>flip_communicator</v>
      </c>
      <c r="D144" s="5" t="str">
        <f>VLOOKUP($A144,tropes!$A$4:$O$2428,4,FALSE)</f>
        <v>kirk</v>
      </c>
      <c r="E144" s="5" t="str">
        <f>VLOOKUP($A144,tropes!$A$4:$O$2428,5,FALSE)</f>
        <v>Kirk receives call from Enterprise (Spock) (1)</v>
      </c>
      <c r="F144" s="5">
        <f>VLOOKUP($A144,tropes!$A$4:$O$2428,6,FALSE)</f>
        <v>0</v>
      </c>
      <c r="G144" s="5">
        <f>VLOOKUP($A144,tropes!$A$4:$O$2428,7,FALSE)</f>
        <v>1</v>
      </c>
      <c r="H144" s="5">
        <f>VLOOKUP($A144,tropes!$A$4:$O$2428,8,FALSE)</f>
        <v>0</v>
      </c>
      <c r="I144" s="5">
        <f>VLOOKUP($A144,tropes!$A$4:$O$2428,9,FALSE)</f>
        <v>206</v>
      </c>
      <c r="J144" s="5">
        <f>VLOOKUP($A144,tropes!$A$4:$O$2428,10,FALSE)</f>
        <v>36</v>
      </c>
      <c r="K144" s="5" t="str">
        <f>VLOOKUP($A144,tropes!$A$4:$O$2428,11,FALSE)</f>
        <v>The Doomsday Machine</v>
      </c>
      <c r="L144" s="5">
        <f>VLOOKUP($A144,tropes!$A$4:$O$2428,12,FALSE)</f>
        <v>2</v>
      </c>
      <c r="M144" s="5">
        <f>VLOOKUP($A144,tropes!$A$4:$O$2428,13,FALSE)</f>
        <v>6</v>
      </c>
      <c r="N144" s="5">
        <f t="shared" si="2"/>
        <v>12</v>
      </c>
    </row>
    <row r="145" spans="1:14" x14ac:dyDescent="0.3">
      <c r="A145" s="14">
        <v>944</v>
      </c>
      <c r="B145" s="5" t="str">
        <f>VLOOKUP($A145,tropes!$A$4:$O$2428,2,FALSE)</f>
        <v>Comm Link</v>
      </c>
      <c r="C145" s="5" t="str">
        <f>VLOOKUP($A145,tropes!$A$4:$O$2428,3,FALSE)</f>
        <v>flip_communicator</v>
      </c>
      <c r="D145" s="5" t="str">
        <f>VLOOKUP($A145,tropes!$A$4:$O$2428,4,FALSE)</f>
        <v>kirk</v>
      </c>
      <c r="E145" s="5" t="str">
        <f>VLOOKUP($A145,tropes!$A$4:$O$2428,5,FALSE)</f>
        <v>Kirk receives call from Enterprise (Spock) (2)</v>
      </c>
      <c r="F145" s="5">
        <f>VLOOKUP($A145,tropes!$A$4:$O$2428,6,FALSE)</f>
        <v>0</v>
      </c>
      <c r="G145" s="5">
        <f>VLOOKUP($A145,tropes!$A$4:$O$2428,7,FALSE)</f>
        <v>1</v>
      </c>
      <c r="H145" s="5">
        <f>VLOOKUP($A145,tropes!$A$4:$O$2428,8,FALSE)</f>
        <v>0</v>
      </c>
      <c r="I145" s="5">
        <f>VLOOKUP($A145,tropes!$A$4:$O$2428,9,FALSE)</f>
        <v>206</v>
      </c>
      <c r="J145" s="5">
        <f>VLOOKUP($A145,tropes!$A$4:$O$2428,10,FALSE)</f>
        <v>36</v>
      </c>
      <c r="K145" s="5" t="str">
        <f>VLOOKUP($A145,tropes!$A$4:$O$2428,11,FALSE)</f>
        <v>The Doomsday Machine</v>
      </c>
      <c r="L145" s="5">
        <f>VLOOKUP($A145,tropes!$A$4:$O$2428,12,FALSE)</f>
        <v>2</v>
      </c>
      <c r="M145" s="5">
        <f>VLOOKUP($A145,tropes!$A$4:$O$2428,13,FALSE)</f>
        <v>6</v>
      </c>
      <c r="N145" s="5">
        <f t="shared" si="2"/>
        <v>13</v>
      </c>
    </row>
    <row r="146" spans="1:14" x14ac:dyDescent="0.3">
      <c r="A146" s="14">
        <v>945</v>
      </c>
      <c r="B146" s="5" t="str">
        <f>VLOOKUP($A146,tropes!$A$4:$O$2428,2,FALSE)</f>
        <v>Comm Link</v>
      </c>
      <c r="C146" s="5" t="str">
        <f>VLOOKUP($A146,tropes!$A$4:$O$2428,3,FALSE)</f>
        <v>flip_communicator</v>
      </c>
      <c r="D146" s="5" t="str">
        <f>VLOOKUP($A146,tropes!$A$4:$O$2428,4,FALSE)</f>
        <v>kirk</v>
      </c>
      <c r="E146" s="5" t="str">
        <f>VLOOKUP($A146,tropes!$A$4:$O$2428,5,FALSE)</f>
        <v>Kirk receives call from Enterprise (Spock) (3)</v>
      </c>
      <c r="F146" s="5">
        <f>VLOOKUP($A146,tropes!$A$4:$O$2428,6,FALSE)</f>
        <v>0</v>
      </c>
      <c r="G146" s="5">
        <f>VLOOKUP($A146,tropes!$A$4:$O$2428,7,FALSE)</f>
        <v>1</v>
      </c>
      <c r="H146" s="5">
        <f>VLOOKUP($A146,tropes!$A$4:$O$2428,8,FALSE)</f>
        <v>0</v>
      </c>
      <c r="I146" s="5">
        <f>VLOOKUP($A146,tropes!$A$4:$O$2428,9,FALSE)</f>
        <v>206</v>
      </c>
      <c r="J146" s="5">
        <f>VLOOKUP($A146,tropes!$A$4:$O$2428,10,FALSE)</f>
        <v>36</v>
      </c>
      <c r="K146" s="5" t="str">
        <f>VLOOKUP($A146,tropes!$A$4:$O$2428,11,FALSE)</f>
        <v>The Doomsday Machine</v>
      </c>
      <c r="L146" s="5">
        <f>VLOOKUP($A146,tropes!$A$4:$O$2428,12,FALSE)</f>
        <v>2</v>
      </c>
      <c r="M146" s="5">
        <f>VLOOKUP($A146,tropes!$A$4:$O$2428,13,FALSE)</f>
        <v>6</v>
      </c>
      <c r="N146" s="5">
        <f t="shared" si="2"/>
        <v>14</v>
      </c>
    </row>
    <row r="147" spans="1:14" x14ac:dyDescent="0.3">
      <c r="A147" s="14">
        <v>946</v>
      </c>
      <c r="B147" s="5" t="str">
        <f>VLOOKUP($A147,tropes!$A$4:$O$2428,2,FALSE)</f>
        <v>Comm Link</v>
      </c>
      <c r="C147" s="5" t="str">
        <f>VLOOKUP($A147,tropes!$A$4:$O$2428,3,FALSE)</f>
        <v>flip_communicator</v>
      </c>
      <c r="D147" s="5" t="str">
        <f>VLOOKUP($A147,tropes!$A$4:$O$2428,4,FALSE)</f>
        <v>kirk</v>
      </c>
      <c r="E147" s="5" t="str">
        <f>VLOOKUP($A147,tropes!$A$4:$O$2428,5,FALSE)</f>
        <v>Kirk receives call from Enterprise (Spock) (4)</v>
      </c>
      <c r="F147" s="5">
        <f>VLOOKUP($A147,tropes!$A$4:$O$2428,6,FALSE)</f>
        <v>0</v>
      </c>
      <c r="G147" s="5">
        <f>VLOOKUP($A147,tropes!$A$4:$O$2428,7,FALSE)</f>
        <v>1</v>
      </c>
      <c r="H147" s="5">
        <f>VLOOKUP($A147,tropes!$A$4:$O$2428,8,FALSE)</f>
        <v>0</v>
      </c>
      <c r="I147" s="5">
        <f>VLOOKUP($A147,tropes!$A$4:$O$2428,9,FALSE)</f>
        <v>206</v>
      </c>
      <c r="J147" s="5">
        <f>VLOOKUP($A147,tropes!$A$4:$O$2428,10,FALSE)</f>
        <v>36</v>
      </c>
      <c r="K147" s="5" t="str">
        <f>VLOOKUP($A147,tropes!$A$4:$O$2428,11,FALSE)</f>
        <v>The Doomsday Machine</v>
      </c>
      <c r="L147" s="5">
        <f>VLOOKUP($A147,tropes!$A$4:$O$2428,12,FALSE)</f>
        <v>2</v>
      </c>
      <c r="M147" s="5">
        <f>VLOOKUP($A147,tropes!$A$4:$O$2428,13,FALSE)</f>
        <v>6</v>
      </c>
      <c r="N147" s="5">
        <f t="shared" si="2"/>
        <v>15</v>
      </c>
    </row>
    <row r="148" spans="1:14" x14ac:dyDescent="0.3">
      <c r="A148" s="14">
        <v>947</v>
      </c>
      <c r="B148" s="5" t="str">
        <f>VLOOKUP($A148,tropes!$A$4:$O$2428,2,FALSE)</f>
        <v>Comm Link</v>
      </c>
      <c r="C148" s="5" t="str">
        <f>VLOOKUP($A148,tropes!$A$4:$O$2428,3,FALSE)</f>
        <v>flip_communicator</v>
      </c>
      <c r="D148" s="5" t="str">
        <f>VLOOKUP($A148,tropes!$A$4:$O$2428,4,FALSE)</f>
        <v>kirk</v>
      </c>
      <c r="E148" s="5" t="str">
        <f>VLOOKUP($A148,tropes!$A$4:$O$2428,5,FALSE)</f>
        <v>Kirk receives call from Enterprise (Spock) (5)</v>
      </c>
      <c r="F148" s="5">
        <f>VLOOKUP($A148,tropes!$A$4:$O$2428,6,FALSE)</f>
        <v>0</v>
      </c>
      <c r="G148" s="5">
        <f>VLOOKUP($A148,tropes!$A$4:$O$2428,7,FALSE)</f>
        <v>1</v>
      </c>
      <c r="H148" s="5">
        <f>VLOOKUP($A148,tropes!$A$4:$O$2428,8,FALSE)</f>
        <v>0</v>
      </c>
      <c r="I148" s="5">
        <f>VLOOKUP($A148,tropes!$A$4:$O$2428,9,FALSE)</f>
        <v>206</v>
      </c>
      <c r="J148" s="5">
        <f>VLOOKUP($A148,tropes!$A$4:$O$2428,10,FALSE)</f>
        <v>36</v>
      </c>
      <c r="K148" s="5" t="str">
        <f>VLOOKUP($A148,tropes!$A$4:$O$2428,11,FALSE)</f>
        <v>The Doomsday Machine</v>
      </c>
      <c r="L148" s="5">
        <f>VLOOKUP($A148,tropes!$A$4:$O$2428,12,FALSE)</f>
        <v>2</v>
      </c>
      <c r="M148" s="5">
        <f>VLOOKUP($A148,tropes!$A$4:$O$2428,13,FALSE)</f>
        <v>6</v>
      </c>
      <c r="N148" s="5">
        <f t="shared" si="2"/>
        <v>16</v>
      </c>
    </row>
    <row r="149" spans="1:14" x14ac:dyDescent="0.3">
      <c r="A149" s="14">
        <v>948</v>
      </c>
      <c r="B149" s="5" t="str">
        <f>VLOOKUP($A149,tropes!$A$4:$O$2428,2,FALSE)</f>
        <v>Comm Link</v>
      </c>
      <c r="C149" s="5" t="str">
        <f>VLOOKUP($A149,tropes!$A$4:$O$2428,3,FALSE)</f>
        <v>flip_communicator</v>
      </c>
      <c r="D149" s="5" t="str">
        <f>VLOOKUP($A149,tropes!$A$4:$O$2428,4,FALSE)</f>
        <v>kirk</v>
      </c>
      <c r="E149" s="5" t="str">
        <f>VLOOKUP($A149,tropes!$A$4:$O$2428,5,FALSE)</f>
        <v>Kirk receives call from Scotty</v>
      </c>
      <c r="F149" s="5">
        <f>VLOOKUP($A149,tropes!$A$4:$O$2428,6,FALSE)</f>
        <v>0</v>
      </c>
      <c r="G149" s="5">
        <f>VLOOKUP($A149,tropes!$A$4:$O$2428,7,FALSE)</f>
        <v>1</v>
      </c>
      <c r="H149" s="5">
        <f>VLOOKUP($A149,tropes!$A$4:$O$2428,8,FALSE)</f>
        <v>0</v>
      </c>
      <c r="I149" s="5">
        <f>VLOOKUP($A149,tropes!$A$4:$O$2428,9,FALSE)</f>
        <v>206</v>
      </c>
      <c r="J149" s="5">
        <f>VLOOKUP($A149,tropes!$A$4:$O$2428,10,FALSE)</f>
        <v>36</v>
      </c>
      <c r="K149" s="5" t="str">
        <f>VLOOKUP($A149,tropes!$A$4:$O$2428,11,FALSE)</f>
        <v>The Doomsday Machine</v>
      </c>
      <c r="L149" s="5">
        <f>VLOOKUP($A149,tropes!$A$4:$O$2428,12,FALSE)</f>
        <v>2</v>
      </c>
      <c r="M149" s="5">
        <f>VLOOKUP($A149,tropes!$A$4:$O$2428,13,FALSE)</f>
        <v>6</v>
      </c>
      <c r="N149" s="5">
        <f t="shared" si="2"/>
        <v>17</v>
      </c>
    </row>
    <row r="150" spans="1:14" x14ac:dyDescent="0.3">
      <c r="A150" s="14">
        <v>1990</v>
      </c>
      <c r="B150" s="5" t="str">
        <f>VLOOKUP($A150,tropes!$A$4:$O$2428,2,FALSE)</f>
        <v>Comm Link</v>
      </c>
      <c r="C150" s="5" t="str">
        <f>VLOOKUP($A150,tropes!$A$4:$O$2428,3,FALSE)</f>
        <v>flip_communicator</v>
      </c>
      <c r="D150" s="5" t="str">
        <f>VLOOKUP($A150,tropes!$A$4:$O$2428,4,FALSE)</f>
        <v>scotty</v>
      </c>
      <c r="E150" s="5" t="str">
        <f>VLOOKUP($A150,tropes!$A$4:$O$2428,5,FALSE)</f>
        <v>Scotty calls Kirk</v>
      </c>
      <c r="F150" s="5">
        <f>VLOOKUP($A150,tropes!$A$4:$O$2428,6,FALSE)</f>
        <v>0</v>
      </c>
      <c r="G150" s="5">
        <f>VLOOKUP($A150,tropes!$A$4:$O$2428,7,FALSE)</f>
        <v>0</v>
      </c>
      <c r="H150" s="5">
        <f>VLOOKUP($A150,tropes!$A$4:$O$2428,8,FALSE)</f>
        <v>1</v>
      </c>
      <c r="I150" s="5">
        <f>VLOOKUP($A150,tropes!$A$4:$O$2428,9,FALSE)</f>
        <v>206</v>
      </c>
      <c r="J150" s="5">
        <f>VLOOKUP($A150,tropes!$A$4:$O$2428,10,FALSE)</f>
        <v>36</v>
      </c>
      <c r="K150" s="5" t="str">
        <f>VLOOKUP($A150,tropes!$A$4:$O$2428,11,FALSE)</f>
        <v>The Doomsday Machine</v>
      </c>
      <c r="L150" s="5">
        <f>VLOOKUP($A150,tropes!$A$4:$O$2428,12,FALSE)</f>
        <v>2</v>
      </c>
      <c r="M150" s="5">
        <f>VLOOKUP($A150,tropes!$A$4:$O$2428,13,FALSE)</f>
        <v>6</v>
      </c>
      <c r="N150" s="5">
        <f t="shared" si="2"/>
        <v>18</v>
      </c>
    </row>
    <row r="151" spans="1:14" x14ac:dyDescent="0.3">
      <c r="A151" s="14">
        <v>1991</v>
      </c>
      <c r="B151" s="5" t="str">
        <f>VLOOKUP($A151,tropes!$A$4:$O$2428,2,FALSE)</f>
        <v>Comm Link</v>
      </c>
      <c r="C151" s="5" t="str">
        <f>VLOOKUP($A151,tropes!$A$4:$O$2428,3,FALSE)</f>
        <v>flip_communicator</v>
      </c>
      <c r="D151" s="5" t="str">
        <f>VLOOKUP($A151,tropes!$A$4:$O$2428,4,FALSE)</f>
        <v>scotty</v>
      </c>
      <c r="E151" s="5" t="str">
        <f>VLOOKUP($A151,tropes!$A$4:$O$2428,5,FALSE)</f>
        <v>Scotty receives call from Kirk (1)</v>
      </c>
      <c r="F151" s="5">
        <f>VLOOKUP($A151,tropes!$A$4:$O$2428,6,FALSE)</f>
        <v>0</v>
      </c>
      <c r="G151" s="5">
        <f>VLOOKUP($A151,tropes!$A$4:$O$2428,7,FALSE)</f>
        <v>0</v>
      </c>
      <c r="H151" s="5">
        <f>VLOOKUP($A151,tropes!$A$4:$O$2428,8,FALSE)</f>
        <v>1</v>
      </c>
      <c r="I151" s="5">
        <f>VLOOKUP($A151,tropes!$A$4:$O$2428,9,FALSE)</f>
        <v>206</v>
      </c>
      <c r="J151" s="5">
        <f>VLOOKUP($A151,tropes!$A$4:$O$2428,10,FALSE)</f>
        <v>36</v>
      </c>
      <c r="K151" s="5" t="str">
        <f>VLOOKUP($A151,tropes!$A$4:$O$2428,11,FALSE)</f>
        <v>The Doomsday Machine</v>
      </c>
      <c r="L151" s="5">
        <f>VLOOKUP($A151,tropes!$A$4:$O$2428,12,FALSE)</f>
        <v>2</v>
      </c>
      <c r="M151" s="5">
        <f>VLOOKUP($A151,tropes!$A$4:$O$2428,13,FALSE)</f>
        <v>6</v>
      </c>
      <c r="N151" s="5">
        <f t="shared" si="2"/>
        <v>19</v>
      </c>
    </row>
    <row r="152" spans="1:14" x14ac:dyDescent="0.3">
      <c r="A152" s="14">
        <v>1992</v>
      </c>
      <c r="B152" s="5" t="str">
        <f>VLOOKUP($A152,tropes!$A$4:$O$2428,2,FALSE)</f>
        <v>Comm Link</v>
      </c>
      <c r="C152" s="5" t="str">
        <f>VLOOKUP($A152,tropes!$A$4:$O$2428,3,FALSE)</f>
        <v>flip_communicator</v>
      </c>
      <c r="D152" s="5" t="str">
        <f>VLOOKUP($A152,tropes!$A$4:$O$2428,4,FALSE)</f>
        <v>scotty</v>
      </c>
      <c r="E152" s="5" t="str">
        <f>VLOOKUP($A152,tropes!$A$4:$O$2428,5,FALSE)</f>
        <v>Scotty receives call from Kirk (2)</v>
      </c>
      <c r="F152" s="5">
        <f>VLOOKUP($A152,tropes!$A$4:$O$2428,6,FALSE)</f>
        <v>0</v>
      </c>
      <c r="G152" s="5">
        <f>VLOOKUP($A152,tropes!$A$4:$O$2428,7,FALSE)</f>
        <v>0</v>
      </c>
      <c r="H152" s="5">
        <f>VLOOKUP($A152,tropes!$A$4:$O$2428,8,FALSE)</f>
        <v>1</v>
      </c>
      <c r="I152" s="5">
        <f>VLOOKUP($A152,tropes!$A$4:$O$2428,9,FALSE)</f>
        <v>206</v>
      </c>
      <c r="J152" s="5">
        <f>VLOOKUP($A152,tropes!$A$4:$O$2428,10,FALSE)</f>
        <v>36</v>
      </c>
      <c r="K152" s="5" t="str">
        <f>VLOOKUP($A152,tropes!$A$4:$O$2428,11,FALSE)</f>
        <v>The Doomsday Machine</v>
      </c>
      <c r="L152" s="5">
        <f>VLOOKUP($A152,tropes!$A$4:$O$2428,12,FALSE)</f>
        <v>2</v>
      </c>
      <c r="M152" s="5">
        <f>VLOOKUP($A152,tropes!$A$4:$O$2428,13,FALSE)</f>
        <v>6</v>
      </c>
      <c r="N152" s="5">
        <f t="shared" si="2"/>
        <v>20</v>
      </c>
    </row>
    <row r="153" spans="1:14" x14ac:dyDescent="0.3">
      <c r="A153" s="14">
        <v>1993</v>
      </c>
      <c r="B153" s="5" t="str">
        <f>VLOOKUP($A153,tropes!$A$4:$O$2428,2,FALSE)</f>
        <v>Comm Link</v>
      </c>
      <c r="C153" s="5" t="str">
        <f>VLOOKUP($A153,tropes!$A$4:$O$2428,3,FALSE)</f>
        <v>flip_communicator</v>
      </c>
      <c r="D153" s="5" t="str">
        <f>VLOOKUP($A153,tropes!$A$4:$O$2428,4,FALSE)</f>
        <v>scotty</v>
      </c>
      <c r="E153" s="5" t="str">
        <f>VLOOKUP($A153,tropes!$A$4:$O$2428,5,FALSE)</f>
        <v>Scotty receives call from Kirk (3)</v>
      </c>
      <c r="F153" s="5">
        <f>VLOOKUP($A153,tropes!$A$4:$O$2428,6,FALSE)</f>
        <v>0</v>
      </c>
      <c r="G153" s="5">
        <f>VLOOKUP($A153,tropes!$A$4:$O$2428,7,FALSE)</f>
        <v>0</v>
      </c>
      <c r="H153" s="5">
        <f>VLOOKUP($A153,tropes!$A$4:$O$2428,8,FALSE)</f>
        <v>1</v>
      </c>
      <c r="I153" s="5">
        <f>VLOOKUP($A153,tropes!$A$4:$O$2428,9,FALSE)</f>
        <v>206</v>
      </c>
      <c r="J153" s="5">
        <f>VLOOKUP($A153,tropes!$A$4:$O$2428,10,FALSE)</f>
        <v>36</v>
      </c>
      <c r="K153" s="5" t="str">
        <f>VLOOKUP($A153,tropes!$A$4:$O$2428,11,FALSE)</f>
        <v>The Doomsday Machine</v>
      </c>
      <c r="L153" s="5">
        <f>VLOOKUP($A153,tropes!$A$4:$O$2428,12,FALSE)</f>
        <v>2</v>
      </c>
      <c r="M153" s="5">
        <f>VLOOKUP($A153,tropes!$A$4:$O$2428,13,FALSE)</f>
        <v>6</v>
      </c>
      <c r="N153" s="5">
        <f t="shared" si="2"/>
        <v>21</v>
      </c>
    </row>
    <row r="154" spans="1:14" x14ac:dyDescent="0.3">
      <c r="A154" s="14">
        <v>955</v>
      </c>
      <c r="B154" s="5" t="str">
        <f>VLOOKUP($A154,tropes!$A$4:$O$2428,2,FALSE)</f>
        <v>Comm Link</v>
      </c>
      <c r="C154" s="5" t="str">
        <f>VLOOKUP($A154,tropes!$A$4:$O$2428,3,FALSE)</f>
        <v>flip_communicator</v>
      </c>
      <c r="D154" s="5" t="str">
        <f>VLOOKUP($A154,tropes!$A$4:$O$2428,4,FALSE)</f>
        <v>kirk</v>
      </c>
      <c r="E154" s="5" t="str">
        <f>VLOOKUP($A154,tropes!$A$4:$O$2428,5,FALSE)</f>
        <v>Kirk calls Enterprise (Uhura) (1)</v>
      </c>
      <c r="F154" s="5">
        <f>VLOOKUP($A154,tropes!$A$4:$O$2428,6,FALSE)</f>
        <v>0</v>
      </c>
      <c r="G154" s="5">
        <f>VLOOKUP($A154,tropes!$A$4:$O$2428,7,FALSE)</f>
        <v>1</v>
      </c>
      <c r="H154" s="5">
        <f>VLOOKUP($A154,tropes!$A$4:$O$2428,8,FALSE)</f>
        <v>0</v>
      </c>
      <c r="I154" s="5">
        <f>VLOOKUP($A154,tropes!$A$4:$O$2428,9,FALSE)</f>
        <v>207</v>
      </c>
      <c r="J154" s="5">
        <f>VLOOKUP($A154,tropes!$A$4:$O$2428,10,FALSE)</f>
        <v>37</v>
      </c>
      <c r="K154" s="5" t="str">
        <f>VLOOKUP($A154,tropes!$A$4:$O$2428,11,FALSE)</f>
        <v>Catspaw</v>
      </c>
      <c r="L154" s="5">
        <f>VLOOKUP($A154,tropes!$A$4:$O$2428,12,FALSE)</f>
        <v>2</v>
      </c>
      <c r="M154" s="5">
        <f>VLOOKUP($A154,tropes!$A$4:$O$2428,13,FALSE)</f>
        <v>7</v>
      </c>
      <c r="N154" s="5">
        <f t="shared" si="2"/>
        <v>0</v>
      </c>
    </row>
    <row r="155" spans="1:14" x14ac:dyDescent="0.3">
      <c r="A155" s="14">
        <v>956</v>
      </c>
      <c r="B155" s="5" t="str">
        <f>VLOOKUP($A155,tropes!$A$4:$O$2428,2,FALSE)</f>
        <v>Comm Link</v>
      </c>
      <c r="C155" s="5" t="str">
        <f>VLOOKUP($A155,tropes!$A$4:$O$2428,3,FALSE)</f>
        <v>flip_communicator</v>
      </c>
      <c r="D155" s="5" t="str">
        <f>VLOOKUP($A155,tropes!$A$4:$O$2428,4,FALSE)</f>
        <v>kirk</v>
      </c>
      <c r="E155" s="5" t="str">
        <f>VLOOKUP($A155,tropes!$A$4:$O$2428,5,FALSE)</f>
        <v>Kirk calls Enterprise (Uhura) (2)</v>
      </c>
      <c r="F155" s="5">
        <f>VLOOKUP($A155,tropes!$A$4:$O$2428,6,FALSE)</f>
        <v>0</v>
      </c>
      <c r="G155" s="5">
        <f>VLOOKUP($A155,tropes!$A$4:$O$2428,7,FALSE)</f>
        <v>1</v>
      </c>
      <c r="H155" s="5">
        <f>VLOOKUP($A155,tropes!$A$4:$O$2428,8,FALSE)</f>
        <v>0</v>
      </c>
      <c r="I155" s="5">
        <f>VLOOKUP($A155,tropes!$A$4:$O$2428,9,FALSE)</f>
        <v>207</v>
      </c>
      <c r="J155" s="5">
        <f>VLOOKUP($A155,tropes!$A$4:$O$2428,10,FALSE)</f>
        <v>37</v>
      </c>
      <c r="K155" s="5" t="str">
        <f>VLOOKUP($A155,tropes!$A$4:$O$2428,11,FALSE)</f>
        <v>Catspaw</v>
      </c>
      <c r="L155" s="5">
        <f>VLOOKUP($A155,tropes!$A$4:$O$2428,12,FALSE)</f>
        <v>2</v>
      </c>
      <c r="M155" s="5">
        <f>VLOOKUP($A155,tropes!$A$4:$O$2428,13,FALSE)</f>
        <v>7</v>
      </c>
      <c r="N155" s="5">
        <f t="shared" si="2"/>
        <v>1</v>
      </c>
    </row>
    <row r="156" spans="1:14" x14ac:dyDescent="0.3">
      <c r="A156" s="14">
        <v>957</v>
      </c>
      <c r="B156" s="5" t="str">
        <f>VLOOKUP($A156,tropes!$A$4:$O$2428,2,FALSE)</f>
        <v>Comm Link</v>
      </c>
      <c r="C156" s="5" t="str">
        <f>VLOOKUP($A156,tropes!$A$4:$O$2428,3,FALSE)</f>
        <v>flip_communicator</v>
      </c>
      <c r="D156" s="5" t="str">
        <f>VLOOKUP($A156,tropes!$A$4:$O$2428,4,FALSE)</f>
        <v>kirk</v>
      </c>
      <c r="E156" s="5" t="str">
        <f>VLOOKUP($A156,tropes!$A$4:$O$2428,5,FALSE)</f>
        <v>Kirk calls Enterprise (Uhura) (3) | Interference cuts out communication.</v>
      </c>
      <c r="F156" s="5">
        <f>VLOOKUP($A156,tropes!$A$4:$O$2428,6,FALSE)</f>
        <v>0</v>
      </c>
      <c r="G156" s="5">
        <f>VLOOKUP($A156,tropes!$A$4:$O$2428,7,FALSE)</f>
        <v>1</v>
      </c>
      <c r="H156" s="5">
        <f>VLOOKUP($A156,tropes!$A$4:$O$2428,8,FALSE)</f>
        <v>0</v>
      </c>
      <c r="I156" s="5">
        <f>VLOOKUP($A156,tropes!$A$4:$O$2428,9,FALSE)</f>
        <v>207</v>
      </c>
      <c r="J156" s="5">
        <f>VLOOKUP($A156,tropes!$A$4:$O$2428,10,FALSE)</f>
        <v>37</v>
      </c>
      <c r="K156" s="5" t="str">
        <f>VLOOKUP($A156,tropes!$A$4:$O$2428,11,FALSE)</f>
        <v>Catspaw</v>
      </c>
      <c r="L156" s="5">
        <f>VLOOKUP($A156,tropes!$A$4:$O$2428,12,FALSE)</f>
        <v>2</v>
      </c>
      <c r="M156" s="5">
        <f>VLOOKUP($A156,tropes!$A$4:$O$2428,13,FALSE)</f>
        <v>7</v>
      </c>
      <c r="N156" s="5">
        <f t="shared" si="2"/>
        <v>2</v>
      </c>
    </row>
    <row r="157" spans="1:14" x14ac:dyDescent="0.3">
      <c r="A157" s="14">
        <v>958</v>
      </c>
      <c r="B157" s="5" t="str">
        <f>VLOOKUP($A157,tropes!$A$4:$O$2428,2,FALSE)</f>
        <v>Comm Link</v>
      </c>
      <c r="C157" s="5" t="str">
        <f>VLOOKUP($A157,tropes!$A$4:$O$2428,3,FALSE)</f>
        <v>flip_communicator</v>
      </c>
      <c r="D157" s="5" t="str">
        <f>VLOOKUP($A157,tropes!$A$4:$O$2428,4,FALSE)</f>
        <v>kirk</v>
      </c>
      <c r="E157" s="5" t="str">
        <f>VLOOKUP($A157,tropes!$A$4:$O$2428,5,FALSE)</f>
        <v>Kirk calls Enterprise. Still unable to raise the ship.</v>
      </c>
      <c r="F157" s="5">
        <f>VLOOKUP($A157,tropes!$A$4:$O$2428,6,FALSE)</f>
        <v>0</v>
      </c>
      <c r="G157" s="5">
        <f>VLOOKUP($A157,tropes!$A$4:$O$2428,7,FALSE)</f>
        <v>1</v>
      </c>
      <c r="H157" s="5">
        <f>VLOOKUP($A157,tropes!$A$4:$O$2428,8,FALSE)</f>
        <v>0</v>
      </c>
      <c r="I157" s="5">
        <f>VLOOKUP($A157,tropes!$A$4:$O$2428,9,FALSE)</f>
        <v>207</v>
      </c>
      <c r="J157" s="5">
        <f>VLOOKUP($A157,tropes!$A$4:$O$2428,10,FALSE)</f>
        <v>37</v>
      </c>
      <c r="K157" s="5" t="str">
        <f>VLOOKUP($A157,tropes!$A$4:$O$2428,11,FALSE)</f>
        <v>Catspaw</v>
      </c>
      <c r="L157" s="5">
        <f>VLOOKUP($A157,tropes!$A$4:$O$2428,12,FALSE)</f>
        <v>2</v>
      </c>
      <c r="M157" s="5">
        <f>VLOOKUP($A157,tropes!$A$4:$O$2428,13,FALSE)</f>
        <v>7</v>
      </c>
      <c r="N157" s="5">
        <f t="shared" si="2"/>
        <v>3</v>
      </c>
    </row>
    <row r="158" spans="1:14" x14ac:dyDescent="0.3">
      <c r="A158" s="14">
        <v>961</v>
      </c>
      <c r="B158" s="5" t="str">
        <f>VLOOKUP($A158,tropes!$A$4:$O$2428,2,FALSE)</f>
        <v>Comm Link</v>
      </c>
      <c r="C158" s="5" t="str">
        <f>VLOOKUP($A158,tropes!$A$4:$O$2428,3,FALSE)</f>
        <v>flip_communicator</v>
      </c>
      <c r="D158" s="5" t="str">
        <f>VLOOKUP($A158,tropes!$A$4:$O$2428,4,FALSE)</f>
        <v>kirk</v>
      </c>
      <c r="E158" s="5" t="str">
        <f>VLOOKUP($A158,tropes!$A$4:$O$2428,5,FALSE)</f>
        <v>Kirk calls Enterprise</v>
      </c>
      <c r="F158" s="5">
        <f>VLOOKUP($A158,tropes!$A$4:$O$2428,6,FALSE)</f>
        <v>0</v>
      </c>
      <c r="G158" s="5">
        <f>VLOOKUP($A158,tropes!$A$4:$O$2428,7,FALSE)</f>
        <v>1</v>
      </c>
      <c r="H158" s="5">
        <f>VLOOKUP($A158,tropes!$A$4:$O$2428,8,FALSE)</f>
        <v>0</v>
      </c>
      <c r="I158" s="5">
        <f>VLOOKUP($A158,tropes!$A$4:$O$2428,9,FALSE)</f>
        <v>208</v>
      </c>
      <c r="J158" s="5">
        <f>VLOOKUP($A158,tropes!$A$4:$O$2428,10,FALSE)</f>
        <v>38</v>
      </c>
      <c r="K158" s="5" t="str">
        <f>VLOOKUP($A158,tropes!$A$4:$O$2428,11,FALSE)</f>
        <v>I, Mudd</v>
      </c>
      <c r="L158" s="5">
        <f>VLOOKUP($A158,tropes!$A$4:$O$2428,12,FALSE)</f>
        <v>2</v>
      </c>
      <c r="M158" s="5">
        <f>VLOOKUP($A158,tropes!$A$4:$O$2428,13,FALSE)</f>
        <v>8</v>
      </c>
      <c r="N158" s="5">
        <f t="shared" si="2"/>
        <v>0</v>
      </c>
    </row>
    <row r="159" spans="1:14" x14ac:dyDescent="0.3">
      <c r="A159" s="14">
        <v>965</v>
      </c>
      <c r="B159" s="5" t="str">
        <f>VLOOKUP($A159,tropes!$A$4:$O$2428,2,FALSE)</f>
        <v>Comm Link</v>
      </c>
      <c r="C159" s="5" t="str">
        <f>VLOOKUP($A159,tropes!$A$4:$O$2428,3,FALSE)</f>
        <v>flip_communicator</v>
      </c>
      <c r="D159" s="5" t="str">
        <f>VLOOKUP($A159,tropes!$A$4:$O$2428,4,FALSE)</f>
        <v>kirk</v>
      </c>
      <c r="E159" s="5" t="str">
        <f>VLOOKUP($A159,tropes!$A$4:$O$2428,5,FALSE)</f>
        <v>Kirk calls Enterprise (Uhura/Scotty)</v>
      </c>
      <c r="F159" s="5">
        <f>VLOOKUP($A159,tropes!$A$4:$O$2428,6,FALSE)</f>
        <v>0</v>
      </c>
      <c r="G159" s="5">
        <f>VLOOKUP($A159,tropes!$A$4:$O$2428,7,FALSE)</f>
        <v>1</v>
      </c>
      <c r="H159" s="5">
        <f>VLOOKUP($A159,tropes!$A$4:$O$2428,8,FALSE)</f>
        <v>0</v>
      </c>
      <c r="I159" s="5">
        <f>VLOOKUP($A159,tropes!$A$4:$O$2428,9,FALSE)</f>
        <v>209</v>
      </c>
      <c r="J159" s="5">
        <f>VLOOKUP($A159,tropes!$A$4:$O$2428,10,FALSE)</f>
        <v>39</v>
      </c>
      <c r="K159" s="5" t="str">
        <f>VLOOKUP($A159,tropes!$A$4:$O$2428,11,FALSE)</f>
        <v>Metamorphosis</v>
      </c>
      <c r="L159" s="5">
        <f>VLOOKUP($A159,tropes!$A$4:$O$2428,12,FALSE)</f>
        <v>2</v>
      </c>
      <c r="M159" s="5">
        <f>VLOOKUP($A159,tropes!$A$4:$O$2428,13,FALSE)</f>
        <v>9</v>
      </c>
      <c r="N159" s="5">
        <f t="shared" si="2"/>
        <v>0</v>
      </c>
    </row>
    <row r="160" spans="1:14" x14ac:dyDescent="0.3">
      <c r="A160" s="14">
        <v>2980</v>
      </c>
      <c r="B160" s="5" t="str">
        <f>VLOOKUP($A160,tropes!$A$4:$O$2428,2,FALSE)</f>
        <v>Comm Link</v>
      </c>
      <c r="C160" s="5" t="str">
        <f>VLOOKUP($A160,tropes!$A$4:$O$2428,3,FALSE)</f>
        <v>flip_communicator</v>
      </c>
      <c r="D160" s="5" t="str">
        <f>VLOOKUP($A160,tropes!$A$4:$O$2428,4,FALSE)</f>
        <v>kirk</v>
      </c>
      <c r="E160" s="5" t="str">
        <f>VLOOKUP($A160,tropes!$A$4:$O$2428,5,FALSE)</f>
        <v>Kirk calls Enterprise. No answer (they've been decoyed away from the planet)</v>
      </c>
      <c r="F160" s="5">
        <f>VLOOKUP($A160,tropes!$A$4:$O$2428,6,FALSE)</f>
        <v>0</v>
      </c>
      <c r="G160" s="5">
        <f>VLOOKUP($A160,tropes!$A$4:$O$2428,7,FALSE)</f>
        <v>1</v>
      </c>
      <c r="H160" s="5">
        <f>VLOOKUP($A160,tropes!$A$4:$O$2428,8,FALSE)</f>
        <v>0</v>
      </c>
      <c r="I160" s="5">
        <f>VLOOKUP($A160,tropes!$A$4:$O$2428,9,FALSE)</f>
        <v>211</v>
      </c>
      <c r="J160" s="5">
        <f>VLOOKUP($A160,tropes!$A$4:$O$2428,10,FALSE)</f>
        <v>41</v>
      </c>
      <c r="K160" s="5" t="str">
        <f>VLOOKUP($A160,tropes!$A$4:$O$2428,11,FALSE)</f>
        <v>Friday's Child</v>
      </c>
      <c r="L160" s="5">
        <f>VLOOKUP($A160,tropes!$A$4:$O$2428,12,FALSE)</f>
        <v>2</v>
      </c>
      <c r="M160" s="5">
        <f>VLOOKUP($A160,tropes!$A$4:$O$2428,13,FALSE)</f>
        <v>11</v>
      </c>
      <c r="N160" s="5">
        <f t="shared" si="2"/>
        <v>0</v>
      </c>
    </row>
    <row r="161" spans="1:14" x14ac:dyDescent="0.3">
      <c r="A161" s="14">
        <v>2971</v>
      </c>
      <c r="B161" s="5" t="str">
        <f>VLOOKUP($A161,tropes!$A$4:$O$2428,2,FALSE)</f>
        <v>Comm Link</v>
      </c>
      <c r="C161" s="5" t="str">
        <f>VLOOKUP($A161,tropes!$A$4:$O$2428,3,FALSE)</f>
        <v>flip_communicator</v>
      </c>
      <c r="D161" s="5" t="str">
        <f>VLOOKUP($A161,tropes!$A$4:$O$2428,4,FALSE)</f>
        <v>kirk</v>
      </c>
      <c r="E161" s="5" t="str">
        <f>VLOOKUP($A161,tropes!$A$4:$O$2428,5,FALSE)</f>
        <v>Kirk flips open his communicator the same time as Spock to create a sonic disruption</v>
      </c>
      <c r="F161" s="5">
        <f>VLOOKUP($A161,tropes!$A$4:$O$2428,6,FALSE)</f>
        <v>0</v>
      </c>
      <c r="G161" s="5">
        <f>VLOOKUP($A161,tropes!$A$4:$O$2428,7,FALSE)</f>
        <v>1</v>
      </c>
      <c r="H161" s="5">
        <f>VLOOKUP($A161,tropes!$A$4:$O$2428,8,FALSE)</f>
        <v>0</v>
      </c>
      <c r="I161" s="5">
        <f>VLOOKUP($A161,tropes!$A$4:$O$2428,9,FALSE)</f>
        <v>211</v>
      </c>
      <c r="J161" s="5">
        <f>VLOOKUP($A161,tropes!$A$4:$O$2428,10,FALSE)</f>
        <v>41</v>
      </c>
      <c r="K161" s="5" t="str">
        <f>VLOOKUP($A161,tropes!$A$4:$O$2428,11,FALSE)</f>
        <v>Friday's Child</v>
      </c>
      <c r="L161" s="5">
        <f>VLOOKUP($A161,tropes!$A$4:$O$2428,12,FALSE)</f>
        <v>2</v>
      </c>
      <c r="M161" s="5">
        <f>VLOOKUP($A161,tropes!$A$4:$O$2428,13,FALSE)</f>
        <v>11</v>
      </c>
      <c r="N161" s="5">
        <f t="shared" si="2"/>
        <v>1</v>
      </c>
    </row>
    <row r="162" spans="1:14" x14ac:dyDescent="0.3">
      <c r="A162" s="14">
        <v>2970</v>
      </c>
      <c r="B162" s="5" t="str">
        <f>VLOOKUP($A162,tropes!$A$4:$O$2428,2,FALSE)</f>
        <v>Comm Link</v>
      </c>
      <c r="C162" s="5" t="str">
        <f>VLOOKUP($A162,tropes!$A$4:$O$2428,3,FALSE)</f>
        <v>flip_communicator</v>
      </c>
      <c r="D162" s="5" t="str">
        <f>VLOOKUP($A162,tropes!$A$4:$O$2428,4,FALSE)</f>
        <v>kirk</v>
      </c>
      <c r="E162" s="5" t="str">
        <f>VLOOKUP($A162,tropes!$A$4:$O$2428,5,FALSE)</f>
        <v>While planning their defense near the rock, Kirk pulls out the communicator, looks at it, and returns it to his belt</v>
      </c>
      <c r="F162" s="5">
        <f>VLOOKUP($A162,tropes!$A$4:$O$2428,6,FALSE)</f>
        <v>0</v>
      </c>
      <c r="G162" s="5">
        <f>VLOOKUP($A162,tropes!$A$4:$O$2428,7,FALSE)</f>
        <v>1</v>
      </c>
      <c r="H162" s="5">
        <f>VLOOKUP($A162,tropes!$A$4:$O$2428,8,FALSE)</f>
        <v>0</v>
      </c>
      <c r="I162" s="5">
        <f>VLOOKUP($A162,tropes!$A$4:$O$2428,9,FALSE)</f>
        <v>211</v>
      </c>
      <c r="J162" s="5">
        <f>VLOOKUP($A162,tropes!$A$4:$O$2428,10,FALSE)</f>
        <v>41</v>
      </c>
      <c r="K162" s="5" t="str">
        <f>VLOOKUP($A162,tropes!$A$4:$O$2428,11,FALSE)</f>
        <v>Friday's Child</v>
      </c>
      <c r="L162" s="5">
        <f>VLOOKUP($A162,tropes!$A$4:$O$2428,12,FALSE)</f>
        <v>2</v>
      </c>
      <c r="M162" s="5">
        <f>VLOOKUP($A162,tropes!$A$4:$O$2428,13,FALSE)</f>
        <v>11</v>
      </c>
      <c r="N162" s="5">
        <f t="shared" si="2"/>
        <v>2</v>
      </c>
    </row>
    <row r="163" spans="1:14" x14ac:dyDescent="0.3">
      <c r="A163" s="14">
        <v>3002</v>
      </c>
      <c r="B163" s="5" t="str">
        <f>VLOOKUP($A163,tropes!$A$4:$O$2428,2,FALSE)</f>
        <v>Comm Link</v>
      </c>
      <c r="C163" s="5" t="str">
        <f>VLOOKUP($A163,tropes!$A$4:$O$2428,3,FALSE)</f>
        <v>flip_communicator</v>
      </c>
      <c r="D163" s="5" t="str">
        <f>VLOOKUP($A163,tropes!$A$4:$O$2428,4,FALSE)</f>
        <v>spock</v>
      </c>
      <c r="E163" s="5" t="str">
        <f>VLOOKUP($A163,tropes!$A$4:$O$2428,5,FALSE)</f>
        <v>Spock calls Enterprise. No answer</v>
      </c>
      <c r="F163" s="5">
        <f>VLOOKUP($A163,tropes!$A$4:$O$2428,6,FALSE)</f>
        <v>0</v>
      </c>
      <c r="G163" s="5">
        <f>VLOOKUP($A163,tropes!$A$4:$O$2428,7,FALSE)</f>
        <v>1</v>
      </c>
      <c r="H163" s="5">
        <f>VLOOKUP($A163,tropes!$A$4:$O$2428,8,FALSE)</f>
        <v>0</v>
      </c>
      <c r="I163" s="5">
        <f>VLOOKUP($A163,tropes!$A$4:$O$2428,9,FALSE)</f>
        <v>211</v>
      </c>
      <c r="J163" s="5">
        <f>VLOOKUP($A163,tropes!$A$4:$O$2428,10,FALSE)</f>
        <v>41</v>
      </c>
      <c r="K163" s="5" t="str">
        <f>VLOOKUP($A163,tropes!$A$4:$O$2428,11,FALSE)</f>
        <v>Friday's Child</v>
      </c>
      <c r="L163" s="5">
        <f>VLOOKUP($A163,tropes!$A$4:$O$2428,12,FALSE)</f>
        <v>2</v>
      </c>
      <c r="M163" s="5">
        <f>VLOOKUP($A163,tropes!$A$4:$O$2428,13,FALSE)</f>
        <v>11</v>
      </c>
      <c r="N163" s="5">
        <f t="shared" si="2"/>
        <v>3</v>
      </c>
    </row>
    <row r="164" spans="1:14" x14ac:dyDescent="0.3">
      <c r="A164" s="14">
        <v>2972</v>
      </c>
      <c r="B164" s="5" t="str">
        <f>VLOOKUP($A164,tropes!$A$4:$O$2428,2,FALSE)</f>
        <v>Comm Link</v>
      </c>
      <c r="C164" s="5" t="str">
        <f>VLOOKUP($A164,tropes!$A$4:$O$2428,3,FALSE)</f>
        <v>flip_communicator</v>
      </c>
      <c r="D164" s="5" t="str">
        <f>VLOOKUP($A164,tropes!$A$4:$O$2428,4,FALSE)</f>
        <v>spock</v>
      </c>
      <c r="E164" s="5" t="str">
        <f>VLOOKUP($A164,tropes!$A$4:$O$2428,5,FALSE)</f>
        <v>Spock flips open his communicator the same time as Kirk to create a sonic disruption</v>
      </c>
      <c r="F164" s="5">
        <f>VLOOKUP($A164,tropes!$A$4:$O$2428,6,FALSE)</f>
        <v>0</v>
      </c>
      <c r="G164" s="5">
        <f>VLOOKUP($A164,tropes!$A$4:$O$2428,7,FALSE)</f>
        <v>1</v>
      </c>
      <c r="H164" s="5">
        <f>VLOOKUP($A164,tropes!$A$4:$O$2428,8,FALSE)</f>
        <v>0</v>
      </c>
      <c r="I164" s="5">
        <f>VLOOKUP($A164,tropes!$A$4:$O$2428,9,FALSE)</f>
        <v>211</v>
      </c>
      <c r="J164" s="5">
        <f>VLOOKUP($A164,tropes!$A$4:$O$2428,10,FALSE)</f>
        <v>41</v>
      </c>
      <c r="K164" s="5" t="str">
        <f>VLOOKUP($A164,tropes!$A$4:$O$2428,11,FALSE)</f>
        <v>Friday's Child</v>
      </c>
      <c r="L164" s="5">
        <f>VLOOKUP($A164,tropes!$A$4:$O$2428,12,FALSE)</f>
        <v>2</v>
      </c>
      <c r="M164" s="5">
        <f>VLOOKUP($A164,tropes!$A$4:$O$2428,13,FALSE)</f>
        <v>11</v>
      </c>
      <c r="N164" s="5">
        <f t="shared" si="2"/>
        <v>4</v>
      </c>
    </row>
  </sheetData>
  <sortState ref="A2:N164">
    <sortCondition ref="I2:I164"/>
    <sortCondition ref="D2:D164"/>
    <sortCondition ref="E2:E164"/>
  </sortState>
  <conditionalFormatting sqref="B1:C1">
    <cfRule type="expression" dxfId="13" priority="2">
      <formula>O1&gt;0</formula>
    </cfRule>
  </conditionalFormatting>
  <conditionalFormatting sqref="A2:A164">
    <cfRule type="containsBlanks" dxfId="12" priority="1">
      <formula>LEN(TRIM(A2))=0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CC"/>
  </sheetPr>
  <dimension ref="A1:N60"/>
  <sheetViews>
    <sheetView workbookViewId="0"/>
  </sheetViews>
  <sheetFormatPr defaultRowHeight="12" x14ac:dyDescent="0.3"/>
  <cols>
    <col min="1" max="1" width="7.33203125" bestFit="1" customWidth="1"/>
    <col min="2" max="2" width="23.44140625" bestFit="1" customWidth="1"/>
    <col min="3" max="3" width="10.109375" bestFit="1" customWidth="1"/>
    <col min="4" max="4" width="10.33203125" bestFit="1" customWidth="1"/>
    <col min="5" max="5" width="100.77734375" customWidth="1"/>
    <col min="6" max="6" width="11.44140625" bestFit="1" customWidth="1"/>
    <col min="7" max="7" width="7.109375" bestFit="1" customWidth="1"/>
    <col min="8" max="8" width="6.77734375" bestFit="1" customWidth="1"/>
    <col min="9" max="9" width="7.6640625" bestFit="1" customWidth="1"/>
    <col min="10" max="10" width="7.44140625" bestFit="1" customWidth="1"/>
    <col min="11" max="11" width="25.33203125" bestFit="1" customWidth="1"/>
    <col min="12" max="12" width="2.109375" bestFit="1" customWidth="1"/>
    <col min="13" max="13" width="3.109375" bestFit="1" customWidth="1"/>
    <col min="14" max="14" width="15.6640625" bestFit="1" customWidth="1"/>
  </cols>
  <sheetData>
    <row r="1" spans="1:14" x14ac:dyDescent="0.3">
      <c r="A1" s="5" t="s">
        <v>160</v>
      </c>
      <c r="B1" s="1" t="s">
        <v>3</v>
      </c>
      <c r="C1" s="1" t="s">
        <v>2601</v>
      </c>
      <c r="D1" s="1" t="s">
        <v>150</v>
      </c>
      <c r="E1" s="1" t="s">
        <v>164</v>
      </c>
      <c r="F1" s="1" t="s">
        <v>183</v>
      </c>
      <c r="G1" s="14" t="s">
        <v>744</v>
      </c>
      <c r="H1" s="14" t="s">
        <v>758</v>
      </c>
      <c r="I1" s="14" t="s">
        <v>161</v>
      </c>
      <c r="J1" s="15" t="s">
        <v>15</v>
      </c>
      <c r="K1" s="16" t="s">
        <v>16</v>
      </c>
      <c r="L1" s="16" t="s">
        <v>157</v>
      </c>
      <c r="M1" s="16" t="s">
        <v>158</v>
      </c>
      <c r="N1" s="14" t="s">
        <v>182</v>
      </c>
    </row>
    <row r="2" spans="1:14" x14ac:dyDescent="0.3">
      <c r="A2" s="14">
        <v>82</v>
      </c>
      <c r="B2" s="5" t="str">
        <f>VLOOKUP($A2,tropes!$A$4:$O$2428,2,FALSE)</f>
        <v>Kissing Under The Influence</v>
      </c>
      <c r="C2" s="5" t="str">
        <f>VLOOKUP($A2,tropes!$A$4:$O$2428,3,FALSE)</f>
        <v>hugAndKiss</v>
      </c>
      <c r="D2" s="5" t="str">
        <f>VLOOKUP($A2,tropes!$A$4:$O$2428,4,FALSE)</f>
        <v>kiss</v>
      </c>
      <c r="E2" s="5" t="str">
        <f>VLOOKUP($A2,tropes!$A$4:$O$2428,5,FALSE)</f>
        <v>Dr. Korby commands Andrea to kiss him. (Dr. Korby)</v>
      </c>
      <c r="F2" s="5" t="str">
        <f>VLOOKUP($A2,tropes!$A$4:$O$2428,6,FALSE)</f>
        <v>andreaRobot</v>
      </c>
      <c r="G2" s="5">
        <f>VLOOKUP($A2,tropes!$A$4:$O$2428,7,FALSE)</f>
        <v>0</v>
      </c>
      <c r="H2" s="5">
        <f>VLOOKUP($A2,tropes!$A$4:$O$2428,8,FALSE)</f>
        <v>0</v>
      </c>
      <c r="I2" s="5">
        <f>VLOOKUP($A2,tropes!$A$4:$O$2428,9,FALSE)</f>
        <v>107</v>
      </c>
      <c r="J2" s="5">
        <f>VLOOKUP($A2,tropes!$A$4:$O$2428,10,FALSE)</f>
        <v>8</v>
      </c>
      <c r="K2" s="5" t="str">
        <f>VLOOKUP($A2,tropes!$A$4:$O$2428,11,FALSE)</f>
        <v>What Are Little Girls Made Of?</v>
      </c>
      <c r="L2" s="5">
        <f>VLOOKUP($A2,tropes!$A$4:$O$2428,12,FALSE)</f>
        <v>1</v>
      </c>
      <c r="M2" s="5">
        <f>VLOOKUP($A2,tropes!$A$4:$O$2428,13,FALSE)</f>
        <v>7</v>
      </c>
      <c r="N2" s="5">
        <v>0</v>
      </c>
    </row>
    <row r="3" spans="1:14" x14ac:dyDescent="0.3">
      <c r="A3" s="14">
        <v>985</v>
      </c>
      <c r="B3" s="5" t="str">
        <f>VLOOKUP($A3,tropes!$A$4:$O$2428,2,FALSE)</f>
        <v>Kissing Under The Influence</v>
      </c>
      <c r="C3" s="5" t="str">
        <f>VLOOKUP($A3,tropes!$A$4:$O$2428,3,FALSE)</f>
        <v>hugAndKiss</v>
      </c>
      <c r="D3" s="5" t="str">
        <f>VLOOKUP($A3,tropes!$A$4:$O$2428,4,FALSE)</f>
        <v>kiss</v>
      </c>
      <c r="E3" s="5" t="str">
        <f>VLOOKUP($A3,tropes!$A$4:$O$2428,5,FALSE)</f>
        <v>Dr. Korby commands Andrea to kiss Kirk.</v>
      </c>
      <c r="F3" s="5" t="str">
        <f>VLOOKUP($A3,tropes!$A$4:$O$2428,6,FALSE)</f>
        <v>kirk</v>
      </c>
      <c r="G3" s="5">
        <f>VLOOKUP($A3,tropes!$A$4:$O$2428,7,FALSE)</f>
        <v>1</v>
      </c>
      <c r="H3" s="5">
        <f>VLOOKUP($A3,tropes!$A$4:$O$2428,8,FALSE)</f>
        <v>0</v>
      </c>
      <c r="I3" s="5">
        <f>VLOOKUP($A3,tropes!$A$4:$O$2428,9,FALSE)</f>
        <v>107</v>
      </c>
      <c r="J3" s="5">
        <f>VLOOKUP($A3,tropes!$A$4:$O$2428,10,FALSE)</f>
        <v>8</v>
      </c>
      <c r="K3" s="5" t="str">
        <f>VLOOKUP($A3,tropes!$A$4:$O$2428,11,FALSE)</f>
        <v>What Are Little Girls Made Of?</v>
      </c>
      <c r="L3" s="5">
        <f>VLOOKUP($A3,tropes!$A$4:$O$2428,12,FALSE)</f>
        <v>1</v>
      </c>
      <c r="M3" s="5">
        <f>VLOOKUP($A3,tropes!$A$4:$O$2428,13,FALSE)</f>
        <v>7</v>
      </c>
      <c r="N3" s="5">
        <f>IF(I3&lt;&gt;I2,0,N2+1)</f>
        <v>1</v>
      </c>
    </row>
    <row r="4" spans="1:14" x14ac:dyDescent="0.3">
      <c r="A4" s="14">
        <v>986</v>
      </c>
      <c r="B4" s="5" t="str">
        <f>VLOOKUP($A4,tropes!$A$4:$O$2428,2,FALSE)</f>
        <v>Forceful Kiss</v>
      </c>
      <c r="C4" s="5" t="str">
        <f>VLOOKUP($A4,tropes!$A$4:$O$2428,3,FALSE)</f>
        <v>hugAndKiss</v>
      </c>
      <c r="D4" s="5" t="str">
        <f>VLOOKUP($A4,tropes!$A$4:$O$2428,4,FALSE)</f>
        <v>kiss</v>
      </c>
      <c r="E4" s="5" t="str">
        <f>VLOOKUP($A4,tropes!$A$4:$O$2428,5,FALSE)</f>
        <v>Kirk kisses Andrea. She begins to have conflict between Kirk and Dr. Korby.</v>
      </c>
      <c r="F4" s="5" t="str">
        <f>VLOOKUP($A4,tropes!$A$4:$O$2428,6,FALSE)</f>
        <v>andrea</v>
      </c>
      <c r="G4" s="5">
        <f>VLOOKUP($A4,tropes!$A$4:$O$2428,7,FALSE)</f>
        <v>0</v>
      </c>
      <c r="H4" s="5">
        <f>VLOOKUP($A4,tropes!$A$4:$O$2428,8,FALSE)</f>
        <v>0</v>
      </c>
      <c r="I4" s="5">
        <f>VLOOKUP($A4,tropes!$A$4:$O$2428,9,FALSE)</f>
        <v>107</v>
      </c>
      <c r="J4" s="5">
        <f>VLOOKUP($A4,tropes!$A$4:$O$2428,10,FALSE)</f>
        <v>8</v>
      </c>
      <c r="K4" s="5" t="str">
        <f>VLOOKUP($A4,tropes!$A$4:$O$2428,11,FALSE)</f>
        <v>What Are Little Girls Made Of?</v>
      </c>
      <c r="L4" s="5">
        <f>VLOOKUP($A4,tropes!$A$4:$O$2428,12,FALSE)</f>
        <v>1</v>
      </c>
      <c r="M4" s="5">
        <f>VLOOKUP($A4,tropes!$A$4:$O$2428,13,FALSE)</f>
        <v>7</v>
      </c>
      <c r="N4" s="5">
        <f t="shared" ref="N4:N60" si="0">IF(I4&lt;&gt;I3,0,N3+1)</f>
        <v>2</v>
      </c>
    </row>
    <row r="5" spans="1:14" x14ac:dyDescent="0.3">
      <c r="A5" s="14">
        <v>119</v>
      </c>
      <c r="B5" s="5" t="str">
        <f>VLOOKUP($A5,tropes!$A$4:$O$2428,2,FALSE)</f>
        <v>Reunion Kiss</v>
      </c>
      <c r="C5" s="5" t="str">
        <f>VLOOKUP($A5,tropes!$A$4:$O$2428,3,FALSE)</f>
        <v>hugAndKiss</v>
      </c>
      <c r="D5" s="5" t="str">
        <f>VLOOKUP($A5,tropes!$A$4:$O$2428,4,FALSE)</f>
        <v>kiss</v>
      </c>
      <c r="E5" s="5" t="str">
        <f>VLOOKUP($A5,tropes!$A$4:$O$2428,5,FALSE)</f>
        <v>Nurse Chapel and Dr. Korby kiss deeply after being separated for many years ago.</v>
      </c>
      <c r="F5" s="5" t="str">
        <f>VLOOKUP($A5,tropes!$A$4:$O$2428,6,FALSE)</f>
        <v>chapel</v>
      </c>
      <c r="G5" s="5">
        <f>VLOOKUP($A5,tropes!$A$4:$O$2428,7,FALSE)</f>
        <v>0</v>
      </c>
      <c r="H5" s="5">
        <f>VLOOKUP($A5,tropes!$A$4:$O$2428,8,FALSE)</f>
        <v>2</v>
      </c>
      <c r="I5" s="5">
        <f>VLOOKUP($A5,tropes!$A$4:$O$2428,9,FALSE)</f>
        <v>107</v>
      </c>
      <c r="J5" s="5">
        <f>VLOOKUP($A5,tropes!$A$4:$O$2428,10,FALSE)</f>
        <v>8</v>
      </c>
      <c r="K5" s="5" t="str">
        <f>VLOOKUP($A5,tropes!$A$4:$O$2428,11,FALSE)</f>
        <v>What Are Little Girls Made Of?</v>
      </c>
      <c r="L5" s="5">
        <f>VLOOKUP($A5,tropes!$A$4:$O$2428,12,FALSE)</f>
        <v>1</v>
      </c>
      <c r="M5" s="5">
        <f>VLOOKUP($A5,tropes!$A$4:$O$2428,13,FALSE)</f>
        <v>7</v>
      </c>
      <c r="N5" s="5">
        <f t="shared" si="0"/>
        <v>3</v>
      </c>
    </row>
    <row r="6" spans="1:14" x14ac:dyDescent="0.3">
      <c r="A6" s="14">
        <v>1157</v>
      </c>
      <c r="B6" s="5" t="str">
        <f>VLOOKUP($A6,tropes!$A$4:$O$2428,2,FALSE)</f>
        <v>Cry Into Chest</v>
      </c>
      <c r="C6" s="5" t="str">
        <f>VLOOKUP($A6,tropes!$A$4:$O$2428,3,FALSE)</f>
        <v>hugAndKiss</v>
      </c>
      <c r="D6" s="5" t="str">
        <f>VLOOKUP($A6,tropes!$A$4:$O$2428,4,FALSE)</f>
        <v>hug</v>
      </c>
      <c r="E6" s="5" t="str">
        <f>VLOOKUP($A6,tropes!$A$4:$O$2428,5,FALSE)</f>
        <v>Kirk comforts Yeoman Rand after she shows him the spots on legs.</v>
      </c>
      <c r="F6" s="5" t="str">
        <f>VLOOKUP($A6,tropes!$A$4:$O$2428,6,FALSE)</f>
        <v>kirk</v>
      </c>
      <c r="G6" s="5">
        <f>VLOOKUP($A6,tropes!$A$4:$O$2428,7,FALSE)</f>
        <v>1</v>
      </c>
      <c r="H6" s="5">
        <f>VLOOKUP($A6,tropes!$A$4:$O$2428,8,FALSE)</f>
        <v>0</v>
      </c>
      <c r="I6" s="5">
        <f>VLOOKUP($A6,tropes!$A$4:$O$2428,9,FALSE)</f>
        <v>108</v>
      </c>
      <c r="J6" s="5">
        <f>VLOOKUP($A6,tropes!$A$4:$O$2428,10,FALSE)</f>
        <v>9</v>
      </c>
      <c r="K6" s="5" t="str">
        <f>VLOOKUP($A6,tropes!$A$4:$O$2428,11,FALSE)</f>
        <v>Miri</v>
      </c>
      <c r="L6" s="5">
        <f>VLOOKUP($A6,tropes!$A$4:$O$2428,12,FALSE)</f>
        <v>1</v>
      </c>
      <c r="M6" s="5">
        <f>VLOOKUP($A6,tropes!$A$4:$O$2428,13,FALSE)</f>
        <v>8</v>
      </c>
      <c r="N6" s="5">
        <f t="shared" si="0"/>
        <v>0</v>
      </c>
    </row>
    <row r="7" spans="1:14" x14ac:dyDescent="0.3">
      <c r="A7" s="14">
        <v>1169</v>
      </c>
      <c r="B7" s="5" t="str">
        <f>VLOOKUP($A7,tropes!$A$4:$O$2428,2,FALSE)</f>
        <v>Cuddle Bug</v>
      </c>
      <c r="C7" s="5" t="str">
        <f>VLOOKUP($A7,tropes!$A$4:$O$2428,3,FALSE)</f>
        <v>hugAndKiss</v>
      </c>
      <c r="D7" s="5" t="str">
        <f>VLOOKUP($A7,tropes!$A$4:$O$2428,4,FALSE)</f>
        <v>hug</v>
      </c>
      <c r="E7" s="5" t="str">
        <f>VLOOKUP($A7,tropes!$A$4:$O$2428,5,FALSE)</f>
        <v>McCoy: The disease, Captain, the one they created three hundred years ago. | Rand: There's a chance! | McCoy: A chance. At least it's a race now, and we've just wasted a minute. (Kirk turns to Yeoman Rand and hugs her.)</v>
      </c>
      <c r="F7" s="5" t="str">
        <f>VLOOKUP($A7,tropes!$A$4:$O$2428,6,FALSE)</f>
        <v>kirk</v>
      </c>
      <c r="G7" s="5">
        <f>VLOOKUP($A7,tropes!$A$4:$O$2428,7,FALSE)</f>
        <v>1</v>
      </c>
      <c r="H7" s="5">
        <f>VLOOKUP($A7,tropes!$A$4:$O$2428,8,FALSE)</f>
        <v>0</v>
      </c>
      <c r="I7" s="5">
        <f>VLOOKUP($A7,tropes!$A$4:$O$2428,9,FALSE)</f>
        <v>108</v>
      </c>
      <c r="J7" s="5">
        <f>VLOOKUP($A7,tropes!$A$4:$O$2428,10,FALSE)</f>
        <v>9</v>
      </c>
      <c r="K7" s="5" t="str">
        <f>VLOOKUP($A7,tropes!$A$4:$O$2428,11,FALSE)</f>
        <v>Miri</v>
      </c>
      <c r="L7" s="5">
        <f>VLOOKUP($A7,tropes!$A$4:$O$2428,12,FALSE)</f>
        <v>1</v>
      </c>
      <c r="M7" s="5">
        <f>VLOOKUP($A7,tropes!$A$4:$O$2428,13,FALSE)</f>
        <v>8</v>
      </c>
      <c r="N7" s="5">
        <f t="shared" si="0"/>
        <v>1</v>
      </c>
    </row>
    <row r="8" spans="1:14" x14ac:dyDescent="0.3">
      <c r="A8" s="14">
        <v>1108</v>
      </c>
      <c r="B8" s="5" t="str">
        <f>VLOOKUP($A8,tropes!$A$4:$O$2428,2,FALSE)</f>
        <v>Cuddle Bug</v>
      </c>
      <c r="C8" s="5" t="str">
        <f>VLOOKUP($A8,tropes!$A$4:$O$2428,3,FALSE)</f>
        <v>hugAndKiss</v>
      </c>
      <c r="D8" s="5" t="str">
        <f>VLOOKUP($A8,tropes!$A$4:$O$2428,4,FALSE)</f>
        <v>hug</v>
      </c>
      <c r="E8" s="5" t="str">
        <f>VLOOKUP($A8,tropes!$A$4:$O$2428,5,FALSE)</f>
        <v>Miri: Her name was Louise. She was just a little bit older than I am when it happened. Oh, Jim. | Miri gives Kirk a big hug.</v>
      </c>
      <c r="F8" s="5" t="str">
        <f>VLOOKUP($A8,tropes!$A$4:$O$2428,6,FALSE)</f>
        <v>kirk</v>
      </c>
      <c r="G8" s="5">
        <f>VLOOKUP($A8,tropes!$A$4:$O$2428,7,FALSE)</f>
        <v>1</v>
      </c>
      <c r="H8" s="5">
        <f>VLOOKUP($A8,tropes!$A$4:$O$2428,8,FALSE)</f>
        <v>0</v>
      </c>
      <c r="I8" s="5">
        <f>VLOOKUP($A8,tropes!$A$4:$O$2428,9,FALSE)</f>
        <v>108</v>
      </c>
      <c r="J8" s="5">
        <f>VLOOKUP($A8,tropes!$A$4:$O$2428,10,FALSE)</f>
        <v>9</v>
      </c>
      <c r="K8" s="5" t="str">
        <f>VLOOKUP($A8,tropes!$A$4:$O$2428,11,FALSE)</f>
        <v>Miri</v>
      </c>
      <c r="L8" s="5">
        <f>VLOOKUP($A8,tropes!$A$4:$O$2428,12,FALSE)</f>
        <v>1</v>
      </c>
      <c r="M8" s="5">
        <f>VLOOKUP($A8,tropes!$A$4:$O$2428,13,FALSE)</f>
        <v>8</v>
      </c>
      <c r="N8" s="5">
        <f t="shared" si="0"/>
        <v>2</v>
      </c>
    </row>
    <row r="9" spans="1:14" x14ac:dyDescent="0.3">
      <c r="A9" s="14">
        <v>1158</v>
      </c>
      <c r="B9" s="5" t="str">
        <f>VLOOKUP($A9,tropes!$A$4:$O$2428,2,FALSE)</f>
        <v>Cry Into Chest</v>
      </c>
      <c r="C9" s="5" t="str">
        <f>VLOOKUP($A9,tropes!$A$4:$O$2428,3,FALSE)</f>
        <v>hugAndKiss</v>
      </c>
      <c r="D9" s="5" t="str">
        <f>VLOOKUP($A9,tropes!$A$4:$O$2428,4,FALSE)</f>
        <v>hug</v>
      </c>
      <c r="E9" s="5" t="str">
        <f>VLOOKUP($A9,tropes!$A$4:$O$2428,5,FALSE)</f>
        <v>Yeoman Rand shows spots on legs to Kirk and cries into Kirks chest.</v>
      </c>
      <c r="F9" s="5" t="str">
        <f>VLOOKUP($A9,tropes!$A$4:$O$2428,6,FALSE)</f>
        <v>rand</v>
      </c>
      <c r="G9" s="5">
        <f>VLOOKUP($A9,tropes!$A$4:$O$2428,7,FALSE)</f>
        <v>0</v>
      </c>
      <c r="H9" s="5">
        <f>VLOOKUP($A9,tropes!$A$4:$O$2428,8,FALSE)</f>
        <v>2</v>
      </c>
      <c r="I9" s="5">
        <f>VLOOKUP($A9,tropes!$A$4:$O$2428,9,FALSE)</f>
        <v>108</v>
      </c>
      <c r="J9" s="5">
        <f>VLOOKUP($A9,tropes!$A$4:$O$2428,10,FALSE)</f>
        <v>9</v>
      </c>
      <c r="K9" s="5" t="str">
        <f>VLOOKUP($A9,tropes!$A$4:$O$2428,11,FALSE)</f>
        <v>Miri</v>
      </c>
      <c r="L9" s="5">
        <f>VLOOKUP($A9,tropes!$A$4:$O$2428,12,FALSE)</f>
        <v>1</v>
      </c>
      <c r="M9" s="5">
        <f>VLOOKUP($A9,tropes!$A$4:$O$2428,13,FALSE)</f>
        <v>8</v>
      </c>
      <c r="N9" s="5">
        <f t="shared" si="0"/>
        <v>3</v>
      </c>
    </row>
    <row r="10" spans="1:14" x14ac:dyDescent="0.3">
      <c r="A10" s="14">
        <v>1141</v>
      </c>
      <c r="B10" s="5" t="str">
        <f>VLOOKUP($A10,tropes!$A$4:$O$2428,2,FALSE)</f>
        <v>Accidental Hug</v>
      </c>
      <c r="C10" s="5" t="str">
        <f>VLOOKUP($A10,tropes!$A$4:$O$2428,3,FALSE)</f>
        <v>hugAndKiss</v>
      </c>
      <c r="D10" s="5" t="str">
        <f>VLOOKUP($A10,tropes!$A$4:$O$2428,4,FALSE)</f>
        <v>hug</v>
      </c>
      <c r="E10" s="5" t="str">
        <f>VLOOKUP($A10,tropes!$A$4:$O$2428,5,FALSE)</f>
        <v>Kirk and Dr. Helen Noel get jostled in the turbolift and fall into an uncomfortable hug.</v>
      </c>
      <c r="F10" s="5" t="str">
        <f>VLOOKUP($A10,tropes!$A$4:$O$2428,6,FALSE)</f>
        <v>kirk</v>
      </c>
      <c r="G10" s="5">
        <f>VLOOKUP($A10,tropes!$A$4:$O$2428,7,FALSE)</f>
        <v>1</v>
      </c>
      <c r="H10" s="5">
        <f>VLOOKUP($A10,tropes!$A$4:$O$2428,8,FALSE)</f>
        <v>0</v>
      </c>
      <c r="I10" s="5">
        <f>VLOOKUP($A10,tropes!$A$4:$O$2428,9,FALSE)</f>
        <v>109</v>
      </c>
      <c r="J10" s="5">
        <f>VLOOKUP($A10,tropes!$A$4:$O$2428,10,FALSE)</f>
        <v>10</v>
      </c>
      <c r="K10" s="5" t="str">
        <f>VLOOKUP($A10,tropes!$A$4:$O$2428,11,FALSE)</f>
        <v>Dagger of the Mind</v>
      </c>
      <c r="L10" s="5">
        <f>VLOOKUP($A10,tropes!$A$4:$O$2428,12,FALSE)</f>
        <v>1</v>
      </c>
      <c r="M10" s="5">
        <f>VLOOKUP($A10,tropes!$A$4:$O$2428,13,FALSE)</f>
        <v>9</v>
      </c>
      <c r="N10" s="5">
        <f t="shared" si="0"/>
        <v>0</v>
      </c>
    </row>
    <row r="11" spans="1:14" x14ac:dyDescent="0.3">
      <c r="A11" s="14">
        <v>1143</v>
      </c>
      <c r="B11" s="5" t="str">
        <f>VLOOKUP($A11,tropes!$A$4:$O$2428,2,FALSE)</f>
        <v>Big Damn Kiss</v>
      </c>
      <c r="C11" s="5" t="str">
        <f>VLOOKUP($A11,tropes!$A$4:$O$2428,3,FALSE)</f>
        <v>hugAndKiss</v>
      </c>
      <c r="D11" s="5" t="str">
        <f>VLOOKUP($A11,tropes!$A$4:$O$2428,4,FALSE)</f>
        <v>kiss</v>
      </c>
      <c r="E11" s="5" t="str">
        <f>VLOOKUP($A11,tropes!$A$4:$O$2428,5,FALSE)</f>
        <v>Kirk, after Dr. Helen Noel implants the suggestion in his mind with the Neural Neutralize, plants a big, wet kiss on Dr. Helen Noel.</v>
      </c>
      <c r="F11" s="5" t="str">
        <f>VLOOKUP($A11,tropes!$A$4:$O$2428,6,FALSE)</f>
        <v>kirk</v>
      </c>
      <c r="G11" s="5">
        <f>VLOOKUP($A11,tropes!$A$4:$O$2428,7,FALSE)</f>
        <v>1</v>
      </c>
      <c r="H11" s="5">
        <f>VLOOKUP($A11,tropes!$A$4:$O$2428,8,FALSE)</f>
        <v>0</v>
      </c>
      <c r="I11" s="5">
        <f>VLOOKUP($A11,tropes!$A$4:$O$2428,9,FALSE)</f>
        <v>109</v>
      </c>
      <c r="J11" s="5">
        <f>VLOOKUP($A11,tropes!$A$4:$O$2428,10,FALSE)</f>
        <v>10</v>
      </c>
      <c r="K11" s="5" t="str">
        <f>VLOOKUP($A11,tropes!$A$4:$O$2428,11,FALSE)</f>
        <v>Dagger of the Mind</v>
      </c>
      <c r="L11" s="5">
        <f>VLOOKUP($A11,tropes!$A$4:$O$2428,12,FALSE)</f>
        <v>1</v>
      </c>
      <c r="M11" s="5">
        <f>VLOOKUP($A11,tropes!$A$4:$O$2428,13,FALSE)</f>
        <v>9</v>
      </c>
      <c r="N11" s="5">
        <f t="shared" si="0"/>
        <v>1</v>
      </c>
    </row>
    <row r="12" spans="1:14" x14ac:dyDescent="0.3">
      <c r="A12" s="14">
        <v>1037</v>
      </c>
      <c r="B12" s="5" t="str">
        <f>VLOOKUP($A12,tropes!$A$4:$O$2428,2,FALSE)</f>
        <v>Holding Hands</v>
      </c>
      <c r="C12" s="5" t="str">
        <f>VLOOKUP($A12,tropes!$A$4:$O$2428,3,FALSE)</f>
        <v>hugAndKiss</v>
      </c>
      <c r="D12" s="5" t="str">
        <f>VLOOKUP($A12,tropes!$A$4:$O$2428,4,FALSE)</f>
        <v>hold_hands</v>
      </c>
      <c r="E12" s="5" t="str">
        <f>VLOOKUP($A12,tropes!$A$4:$O$2428,5,FALSE)</f>
        <v>Kirk and Lenore have a romantic stroll on the shuttle craft observation deck.</v>
      </c>
      <c r="F12" s="5" t="str">
        <f>VLOOKUP($A12,tropes!$A$4:$O$2428,6,FALSE)</f>
        <v>kirk</v>
      </c>
      <c r="G12" s="5">
        <f>VLOOKUP($A12,tropes!$A$4:$O$2428,7,FALSE)</f>
        <v>1</v>
      </c>
      <c r="H12" s="5">
        <f>VLOOKUP($A12,tropes!$A$4:$O$2428,8,FALSE)</f>
        <v>0</v>
      </c>
      <c r="I12" s="5">
        <f>VLOOKUP($A12,tropes!$A$4:$O$2428,9,FALSE)</f>
        <v>113</v>
      </c>
      <c r="J12" s="5">
        <f>VLOOKUP($A12,tropes!$A$4:$O$2428,10,FALSE)</f>
        <v>14</v>
      </c>
      <c r="K12" s="5" t="str">
        <f>VLOOKUP($A12,tropes!$A$4:$O$2428,11,FALSE)</f>
        <v>The Conscience of the King</v>
      </c>
      <c r="L12" s="5">
        <f>VLOOKUP($A12,tropes!$A$4:$O$2428,12,FALSE)</f>
        <v>1</v>
      </c>
      <c r="M12" s="5">
        <f>VLOOKUP($A12,tropes!$A$4:$O$2428,13,FALSE)</f>
        <v>13</v>
      </c>
      <c r="N12" s="5">
        <f t="shared" si="0"/>
        <v>0</v>
      </c>
    </row>
    <row r="13" spans="1:14" x14ac:dyDescent="0.3">
      <c r="A13" s="14">
        <v>690</v>
      </c>
      <c r="B13" s="5" t="str">
        <f>VLOOKUP($A13,tropes!$A$4:$O$2428,2,FALSE)</f>
        <v>Cry Into Chest</v>
      </c>
      <c r="C13" s="5" t="str">
        <f>VLOOKUP($A13,tropes!$A$4:$O$2428,3,FALSE)</f>
        <v>hugAndKiss</v>
      </c>
      <c r="D13" s="5" t="str">
        <f>VLOOKUP($A13,tropes!$A$4:$O$2428,4,FALSE)</f>
        <v>hug</v>
      </c>
      <c r="E13" s="5" t="str">
        <f>VLOOKUP($A13,tropes!$A$4:$O$2428,5,FALSE)</f>
        <v>Thomas Leighton's widow, Martha, briefly clings to Kirk as she weeps.</v>
      </c>
      <c r="F13" s="5" t="str">
        <f>VLOOKUP($A13,tropes!$A$4:$O$2428,6,FALSE)</f>
        <v>kirk</v>
      </c>
      <c r="G13" s="5">
        <f>VLOOKUP($A13,tropes!$A$4:$O$2428,7,FALSE)</f>
        <v>1</v>
      </c>
      <c r="H13" s="5">
        <f>VLOOKUP($A13,tropes!$A$4:$O$2428,8,FALSE)</f>
        <v>0</v>
      </c>
      <c r="I13" s="5">
        <f>VLOOKUP($A13,tropes!$A$4:$O$2428,9,FALSE)</f>
        <v>113</v>
      </c>
      <c r="J13" s="5">
        <f>VLOOKUP($A13,tropes!$A$4:$O$2428,10,FALSE)</f>
        <v>14</v>
      </c>
      <c r="K13" s="5" t="str">
        <f>VLOOKUP($A13,tropes!$A$4:$O$2428,11,FALSE)</f>
        <v>The Conscience of the King</v>
      </c>
      <c r="L13" s="5">
        <f>VLOOKUP($A13,tropes!$A$4:$O$2428,12,FALSE)</f>
        <v>1</v>
      </c>
      <c r="M13" s="5">
        <f>VLOOKUP($A13,tropes!$A$4:$O$2428,13,FALSE)</f>
        <v>13</v>
      </c>
      <c r="N13" s="5">
        <f t="shared" si="0"/>
        <v>1</v>
      </c>
    </row>
    <row r="14" spans="1:14" x14ac:dyDescent="0.3">
      <c r="A14" s="14">
        <v>1035</v>
      </c>
      <c r="B14" s="5" t="str">
        <f>VLOOKUP($A14,tropes!$A$4:$O$2428,2,FALSE)</f>
        <v>Almost Kiss</v>
      </c>
      <c r="C14" s="5" t="str">
        <f>VLOOKUP($A14,tropes!$A$4:$O$2428,3,FALSE)</f>
        <v>hugAndKiss</v>
      </c>
      <c r="D14" s="5" t="str">
        <f>VLOOKUP($A14,tropes!$A$4:$O$2428,4,FALSE)</f>
        <v>kiss</v>
      </c>
      <c r="E14" s="5" t="str">
        <f>VLOOKUP($A14,tropes!$A$4:$O$2428,5,FALSE)</f>
        <v>Kirk and Lenore ready to kiss but are interrupted by the find of a dead body.</v>
      </c>
      <c r="F14" s="5" t="str">
        <f>VLOOKUP($A14,tropes!$A$4:$O$2428,6,FALSE)</f>
        <v>kirk</v>
      </c>
      <c r="G14" s="5">
        <f>VLOOKUP($A14,tropes!$A$4:$O$2428,7,FALSE)</f>
        <v>1</v>
      </c>
      <c r="H14" s="5">
        <f>VLOOKUP($A14,tropes!$A$4:$O$2428,8,FALSE)</f>
        <v>0</v>
      </c>
      <c r="I14" s="5">
        <f>VLOOKUP($A14,tropes!$A$4:$O$2428,9,FALSE)</f>
        <v>113</v>
      </c>
      <c r="J14" s="5">
        <f>VLOOKUP($A14,tropes!$A$4:$O$2428,10,FALSE)</f>
        <v>14</v>
      </c>
      <c r="K14" s="5" t="str">
        <f>VLOOKUP($A14,tropes!$A$4:$O$2428,11,FALSE)</f>
        <v>The Conscience of the King</v>
      </c>
      <c r="L14" s="5">
        <f>VLOOKUP($A14,tropes!$A$4:$O$2428,12,FALSE)</f>
        <v>1</v>
      </c>
      <c r="M14" s="5">
        <f>VLOOKUP($A14,tropes!$A$4:$O$2428,13,FALSE)</f>
        <v>13</v>
      </c>
      <c r="N14" s="5">
        <f t="shared" si="0"/>
        <v>2</v>
      </c>
    </row>
    <row r="15" spans="1:14" x14ac:dyDescent="0.3">
      <c r="A15" s="14">
        <v>1165</v>
      </c>
      <c r="B15" s="5" t="str">
        <f>VLOOKUP($A15,tropes!$A$4:$O$2428,2,FALSE)</f>
        <v>Security Cling</v>
      </c>
      <c r="C15" s="5" t="str">
        <f>VLOOKUP($A15,tropes!$A$4:$O$2428,3,FALSE)</f>
        <v>hugAndKiss</v>
      </c>
      <c r="D15" s="5" t="str">
        <f>VLOOKUP($A15,tropes!$A$4:$O$2428,4,FALSE)</f>
        <v>hug</v>
      </c>
      <c r="E15" s="5" t="str">
        <f>VLOOKUP($A15,tropes!$A$4:$O$2428,5,FALSE)</f>
        <v>Kirk reaches for Yeoman Rand and they hold each other during dangerous time.</v>
      </c>
      <c r="F15" s="5" t="str">
        <f>VLOOKUP($A15,tropes!$A$4:$O$2428,6,FALSE)</f>
        <v>kirk</v>
      </c>
      <c r="G15" s="5">
        <f>VLOOKUP($A15,tropes!$A$4:$O$2428,7,FALSE)</f>
        <v>1</v>
      </c>
      <c r="H15" s="5">
        <f>VLOOKUP($A15,tropes!$A$4:$O$2428,8,FALSE)</f>
        <v>0</v>
      </c>
      <c r="I15" s="5">
        <f>VLOOKUP($A15,tropes!$A$4:$O$2428,9,FALSE)</f>
        <v>114</v>
      </c>
      <c r="J15" s="5">
        <f>VLOOKUP($A15,tropes!$A$4:$O$2428,10,FALSE)</f>
        <v>15</v>
      </c>
      <c r="K15" s="5" t="str">
        <f>VLOOKUP($A15,tropes!$A$4:$O$2428,11,FALSE)</f>
        <v>Balance of Terror</v>
      </c>
      <c r="L15" s="5">
        <f>VLOOKUP($A15,tropes!$A$4:$O$2428,12,FALSE)</f>
        <v>1</v>
      </c>
      <c r="M15" s="5">
        <f>VLOOKUP($A15,tropes!$A$4:$O$2428,13,FALSE)</f>
        <v>14</v>
      </c>
      <c r="N15" s="5">
        <f t="shared" si="0"/>
        <v>0</v>
      </c>
    </row>
    <row r="16" spans="1:14" x14ac:dyDescent="0.3">
      <c r="A16" s="14">
        <v>1047</v>
      </c>
      <c r="B16" s="5" t="str">
        <f>VLOOKUP($A16,tropes!$A$4:$O$2428,2,FALSE)</f>
        <v>Cry Into Chest</v>
      </c>
      <c r="C16" s="5" t="str">
        <f>VLOOKUP($A16,tropes!$A$4:$O$2428,3,FALSE)</f>
        <v>hugAndKiss</v>
      </c>
      <c r="D16" s="5" t="str">
        <f>VLOOKUP($A16,tropes!$A$4:$O$2428,4,FALSE)</f>
        <v>hug</v>
      </c>
      <c r="E16" s="5" t="str">
        <f>VLOOKUP($A16,tropes!$A$4:$O$2428,5,FALSE)</f>
        <v>Lt. Angela Martinez cries into Kirks chest after death of her fiancé.</v>
      </c>
      <c r="F16" s="5" t="str">
        <f>VLOOKUP($A16,tropes!$A$4:$O$2428,6,FALSE)</f>
        <v>kirk</v>
      </c>
      <c r="G16" s="5">
        <f>VLOOKUP($A16,tropes!$A$4:$O$2428,7,FALSE)</f>
        <v>1</v>
      </c>
      <c r="H16" s="5">
        <f>VLOOKUP($A16,tropes!$A$4:$O$2428,8,FALSE)</f>
        <v>0</v>
      </c>
      <c r="I16" s="5">
        <f>VLOOKUP($A16,tropes!$A$4:$O$2428,9,FALSE)</f>
        <v>114</v>
      </c>
      <c r="J16" s="5">
        <f>VLOOKUP($A16,tropes!$A$4:$O$2428,10,FALSE)</f>
        <v>15</v>
      </c>
      <c r="K16" s="5" t="str">
        <f>VLOOKUP($A16,tropes!$A$4:$O$2428,11,FALSE)</f>
        <v>Balance of Terror</v>
      </c>
      <c r="L16" s="5">
        <f>VLOOKUP($A16,tropes!$A$4:$O$2428,12,FALSE)</f>
        <v>1</v>
      </c>
      <c r="M16" s="5">
        <f>VLOOKUP($A16,tropes!$A$4:$O$2428,13,FALSE)</f>
        <v>14</v>
      </c>
      <c r="N16" s="5">
        <f t="shared" si="0"/>
        <v>1</v>
      </c>
    </row>
    <row r="17" spans="1:14" x14ac:dyDescent="0.3">
      <c r="A17" s="14">
        <v>1680</v>
      </c>
      <c r="B17" s="5" t="str">
        <f>VLOOKUP($A17,tropes!$A$4:$O$2428,2,FALSE)</f>
        <v>Holding Hands</v>
      </c>
      <c r="C17" s="5" t="str">
        <f>VLOOKUP($A17,tropes!$A$4:$O$2428,3,FALSE)</f>
        <v>hugAndKiss</v>
      </c>
      <c r="D17" s="5" t="str">
        <f>VLOOKUP($A17,tropes!$A$4:$O$2428,4,FALSE)</f>
        <v>hold_hands</v>
      </c>
      <c r="E17" s="5" t="str">
        <f>VLOOKUP($A17,tropes!$A$4:$O$2428,5,FALSE)</f>
        <v>McCoy and Yeoman Barrows walk arm in arm in forest.</v>
      </c>
      <c r="F17" s="5" t="str">
        <f>VLOOKUP($A17,tropes!$A$4:$O$2428,6,FALSE)</f>
        <v>mccoy</v>
      </c>
      <c r="G17" s="5">
        <f>VLOOKUP($A17,tropes!$A$4:$O$2428,7,FALSE)</f>
        <v>0</v>
      </c>
      <c r="H17" s="5">
        <f>VLOOKUP($A17,tropes!$A$4:$O$2428,8,FALSE)</f>
        <v>1</v>
      </c>
      <c r="I17" s="5">
        <f>VLOOKUP($A17,tropes!$A$4:$O$2428,9,FALSE)</f>
        <v>115</v>
      </c>
      <c r="J17" s="5">
        <f>VLOOKUP($A17,tropes!$A$4:$O$2428,10,FALSE)</f>
        <v>16</v>
      </c>
      <c r="K17" s="5" t="str">
        <f>VLOOKUP($A17,tropes!$A$4:$O$2428,11,FALSE)</f>
        <v>Shore Leave</v>
      </c>
      <c r="L17" s="5">
        <f>VLOOKUP($A17,tropes!$A$4:$O$2428,12,FALSE)</f>
        <v>1</v>
      </c>
      <c r="M17" s="5">
        <f>VLOOKUP($A17,tropes!$A$4:$O$2428,13,FALSE)</f>
        <v>15</v>
      </c>
      <c r="N17" s="5">
        <f t="shared" si="0"/>
        <v>0</v>
      </c>
    </row>
    <row r="18" spans="1:14" x14ac:dyDescent="0.3">
      <c r="A18" s="14">
        <v>1682</v>
      </c>
      <c r="B18" s="5" t="str">
        <f>VLOOKUP($A18,tropes!$A$4:$O$2428,2,FALSE)</f>
        <v>Holding Hands</v>
      </c>
      <c r="C18" s="5" t="str">
        <f>VLOOKUP($A18,tropes!$A$4:$O$2428,3,FALSE)</f>
        <v>hugAndKiss</v>
      </c>
      <c r="D18" s="5" t="str">
        <f>VLOOKUP($A18,tropes!$A$4:$O$2428,4,FALSE)</f>
        <v>hold_hands</v>
      </c>
      <c r="E18" s="5" t="str">
        <f>VLOOKUP($A18,tropes!$A$4:$O$2428,5,FALSE)</f>
        <v>McCoy and Yeoman Barrows walk arm in arm, Yeoman Barrows in medieval dress.</v>
      </c>
      <c r="F18" s="5" t="str">
        <f>VLOOKUP($A18,tropes!$A$4:$O$2428,6,FALSE)</f>
        <v>mccoy</v>
      </c>
      <c r="G18" s="5">
        <f>VLOOKUP($A18,tropes!$A$4:$O$2428,7,FALSE)</f>
        <v>0</v>
      </c>
      <c r="H18" s="5">
        <f>VLOOKUP($A18,tropes!$A$4:$O$2428,8,FALSE)</f>
        <v>1</v>
      </c>
      <c r="I18" s="5">
        <f>VLOOKUP($A18,tropes!$A$4:$O$2428,9,FALSE)</f>
        <v>115</v>
      </c>
      <c r="J18" s="5">
        <f>VLOOKUP($A18,tropes!$A$4:$O$2428,10,FALSE)</f>
        <v>16</v>
      </c>
      <c r="K18" s="5" t="str">
        <f>VLOOKUP($A18,tropes!$A$4:$O$2428,11,FALSE)</f>
        <v>Shore Leave</v>
      </c>
      <c r="L18" s="5">
        <f>VLOOKUP($A18,tropes!$A$4:$O$2428,12,FALSE)</f>
        <v>1</v>
      </c>
      <c r="M18" s="5">
        <f>VLOOKUP($A18,tropes!$A$4:$O$2428,13,FALSE)</f>
        <v>15</v>
      </c>
      <c r="N18" s="5">
        <f t="shared" si="0"/>
        <v>1</v>
      </c>
    </row>
    <row r="19" spans="1:14" x14ac:dyDescent="0.3">
      <c r="A19" s="14">
        <v>1191</v>
      </c>
      <c r="B19" s="5" t="str">
        <f>VLOOKUP($A19,tropes!$A$4:$O$2428,2,FALSE)</f>
        <v>Hollywood Kiss</v>
      </c>
      <c r="C19" s="5" t="str">
        <f>VLOOKUP($A19,tropes!$A$4:$O$2428,3,FALSE)</f>
        <v>hugAndKiss</v>
      </c>
      <c r="D19" s="5" t="str">
        <f>VLOOKUP($A19,tropes!$A$4:$O$2428,4,FALSE)</f>
        <v>kiss</v>
      </c>
      <c r="E19" s="5" t="str">
        <f>VLOOKUP($A19,tropes!$A$4:$O$2428,5,FALSE)</f>
        <v>Kirk and Ruth kiss and remember the good times when they were a couple.</v>
      </c>
      <c r="F19" s="5" t="str">
        <f>VLOOKUP($A19,tropes!$A$4:$O$2428,6,FALSE)</f>
        <v>kirk</v>
      </c>
      <c r="G19" s="5">
        <f>VLOOKUP($A19,tropes!$A$4:$O$2428,7,FALSE)</f>
        <v>1</v>
      </c>
      <c r="H19" s="5">
        <f>VLOOKUP($A19,tropes!$A$4:$O$2428,8,FALSE)</f>
        <v>0</v>
      </c>
      <c r="I19" s="5">
        <f>VLOOKUP($A19,tropes!$A$4:$O$2428,9,FALSE)</f>
        <v>115</v>
      </c>
      <c r="J19" s="5">
        <f>VLOOKUP($A19,tropes!$A$4:$O$2428,10,FALSE)</f>
        <v>16</v>
      </c>
      <c r="K19" s="5" t="str">
        <f>VLOOKUP($A19,tropes!$A$4:$O$2428,11,FALSE)</f>
        <v>Shore Leave</v>
      </c>
      <c r="L19" s="5">
        <f>VLOOKUP($A19,tropes!$A$4:$O$2428,12,FALSE)</f>
        <v>1</v>
      </c>
      <c r="M19" s="5">
        <f>VLOOKUP($A19,tropes!$A$4:$O$2428,13,FALSE)</f>
        <v>15</v>
      </c>
      <c r="N19" s="5">
        <f t="shared" si="0"/>
        <v>2</v>
      </c>
    </row>
    <row r="20" spans="1:14" x14ac:dyDescent="0.3">
      <c r="A20" s="14">
        <v>1028</v>
      </c>
      <c r="B20" s="5" t="str">
        <f>VLOOKUP($A20,tropes!$A$4:$O$2428,2,FALSE)</f>
        <v>Cry Into Chest</v>
      </c>
      <c r="C20" s="5" t="str">
        <f>VLOOKUP($A20,tropes!$A$4:$O$2428,3,FALSE)</f>
        <v>hugAndKiss</v>
      </c>
      <c r="D20" s="5" t="str">
        <f>VLOOKUP($A20,tropes!$A$4:$O$2428,4,FALSE)</f>
        <v>hug</v>
      </c>
      <c r="E20" s="5" t="str">
        <f>VLOOKUP($A20,tropes!$A$4:$O$2428,5,FALSE)</f>
        <v>Kirk takes hold of Jamie Finney's shoulders to comfort her.</v>
      </c>
      <c r="F20" s="5" t="str">
        <f>VLOOKUP($A20,tropes!$A$4:$O$2428,6,FALSE)</f>
        <v>kirk</v>
      </c>
      <c r="G20" s="5">
        <f>VLOOKUP($A20,tropes!$A$4:$O$2428,7,FALSE)</f>
        <v>1</v>
      </c>
      <c r="H20" s="5">
        <f>VLOOKUP($A20,tropes!$A$4:$O$2428,8,FALSE)</f>
        <v>0</v>
      </c>
      <c r="I20" s="5">
        <f>VLOOKUP($A20,tropes!$A$4:$O$2428,9,FALSE)</f>
        <v>120</v>
      </c>
      <c r="J20" s="5">
        <f>VLOOKUP($A20,tropes!$A$4:$O$2428,10,FALSE)</f>
        <v>21</v>
      </c>
      <c r="K20" s="5" t="str">
        <f>VLOOKUP($A20,tropes!$A$4:$O$2428,11,FALSE)</f>
        <v>Court Martial</v>
      </c>
      <c r="L20" s="5">
        <f>VLOOKUP($A20,tropes!$A$4:$O$2428,12,FALSE)</f>
        <v>1</v>
      </c>
      <c r="M20" s="5">
        <f>VLOOKUP($A20,tropes!$A$4:$O$2428,13,FALSE)</f>
        <v>20</v>
      </c>
      <c r="N20" s="5">
        <f t="shared" si="0"/>
        <v>0</v>
      </c>
    </row>
    <row r="21" spans="1:14" x14ac:dyDescent="0.3">
      <c r="A21" s="14">
        <v>1207</v>
      </c>
      <c r="B21" s="5" t="str">
        <f>VLOOKUP($A21,tropes!$A$4:$O$2428,2,FALSE)</f>
        <v>Kiss Of Maybe Next Time ***</v>
      </c>
      <c r="C21" s="5" t="str">
        <f>VLOOKUP($A21,tropes!$A$4:$O$2428,3,FALSE)</f>
        <v>hugAndKiss</v>
      </c>
      <c r="D21" s="5" t="str">
        <f>VLOOKUP($A21,tropes!$A$4:$O$2428,4,FALSE)</f>
        <v>kiss</v>
      </c>
      <c r="E21" s="5" t="str">
        <f>VLOOKUP($A21,tropes!$A$4:$O$2428,5,FALSE)</f>
        <v>Kirk and Areel Shaw kiss . Then she tells him she's the prosecutor.</v>
      </c>
      <c r="F21" s="5" t="str">
        <f>VLOOKUP($A21,tropes!$A$4:$O$2428,6,FALSE)</f>
        <v>kirk</v>
      </c>
      <c r="G21" s="5">
        <f>VLOOKUP($A21,tropes!$A$4:$O$2428,7,FALSE)</f>
        <v>1</v>
      </c>
      <c r="H21" s="5">
        <f>VLOOKUP($A21,tropes!$A$4:$O$2428,8,FALSE)</f>
        <v>0</v>
      </c>
      <c r="I21" s="5">
        <f>VLOOKUP($A21,tropes!$A$4:$O$2428,9,FALSE)</f>
        <v>120</v>
      </c>
      <c r="J21" s="5">
        <f>VLOOKUP($A21,tropes!$A$4:$O$2428,10,FALSE)</f>
        <v>21</v>
      </c>
      <c r="K21" s="5" t="str">
        <f>VLOOKUP($A21,tropes!$A$4:$O$2428,11,FALSE)</f>
        <v>Court Martial</v>
      </c>
      <c r="L21" s="5">
        <f>VLOOKUP($A21,tropes!$A$4:$O$2428,12,FALSE)</f>
        <v>1</v>
      </c>
      <c r="M21" s="5">
        <f>VLOOKUP($A21,tropes!$A$4:$O$2428,13,FALSE)</f>
        <v>20</v>
      </c>
      <c r="N21" s="5">
        <f t="shared" si="0"/>
        <v>1</v>
      </c>
    </row>
    <row r="22" spans="1:14" x14ac:dyDescent="0.3">
      <c r="A22" s="14">
        <v>1719</v>
      </c>
      <c r="B22" s="5" t="str">
        <f>VLOOKUP($A22,tropes!$A$4:$O$2428,2,FALSE)</f>
        <v>All Girls Want Bad Boys</v>
      </c>
      <c r="C22" s="5" t="str">
        <f>VLOOKUP($A22,tropes!$A$4:$O$2428,3,FALSE)</f>
        <v>hugAndKiss</v>
      </c>
      <c r="D22" s="5" t="str">
        <f>VLOOKUP($A22,tropes!$A$4:$O$2428,4,FALSE)</f>
        <v>hug</v>
      </c>
      <c r="E22" s="5" t="str">
        <f>VLOOKUP($A22,tropes!$A$4:$O$2428,5,FALSE)</f>
        <v>Khan kisses Lt. McGivers. She hesitates then kisses him back.</v>
      </c>
      <c r="F22" s="5" t="str">
        <f>VLOOKUP($A22,tropes!$A$4:$O$2428,6,FALSE)</f>
        <v>mcgivers</v>
      </c>
      <c r="G22" s="5">
        <f>VLOOKUP($A22,tropes!$A$4:$O$2428,7,FALSE)</f>
        <v>0</v>
      </c>
      <c r="H22" s="5">
        <f>VLOOKUP($A22,tropes!$A$4:$O$2428,8,FALSE)</f>
        <v>0</v>
      </c>
      <c r="I22" s="5">
        <f>VLOOKUP($A22,tropes!$A$4:$O$2428,9,FALSE)</f>
        <v>122</v>
      </c>
      <c r="J22" s="5">
        <f>VLOOKUP($A22,tropes!$A$4:$O$2428,10,FALSE)</f>
        <v>23</v>
      </c>
      <c r="K22" s="5" t="str">
        <f>VLOOKUP($A22,tropes!$A$4:$O$2428,11,FALSE)</f>
        <v>Space Seed</v>
      </c>
      <c r="L22" s="5">
        <f>VLOOKUP($A22,tropes!$A$4:$O$2428,12,FALSE)</f>
        <v>1</v>
      </c>
      <c r="M22" s="5">
        <f>VLOOKUP($A22,tropes!$A$4:$O$2428,13,FALSE)</f>
        <v>22</v>
      </c>
      <c r="N22" s="5">
        <f t="shared" si="0"/>
        <v>0</v>
      </c>
    </row>
    <row r="23" spans="1:14" x14ac:dyDescent="0.3">
      <c r="A23" s="14">
        <v>2359</v>
      </c>
      <c r="B23" s="5" t="str">
        <f>VLOOKUP($A23,tropes!$A$4:$O$2428,2,FALSE)</f>
        <v>Holding Hands</v>
      </c>
      <c r="C23" s="5" t="str">
        <f>VLOOKUP($A23,tropes!$A$4:$O$2428,3,FALSE)</f>
        <v>hugAndKiss</v>
      </c>
      <c r="D23" s="5" t="str">
        <f>VLOOKUP($A23,tropes!$A$4:$O$2428,4,FALSE)</f>
        <v>hold_hands</v>
      </c>
      <c r="E23" s="5" t="str">
        <f>VLOOKUP($A23,tropes!$A$4:$O$2428,5,FALSE)</f>
        <v>Spock and Lella hold hands while walking in the meadow.</v>
      </c>
      <c r="F23" s="5" t="str">
        <f>VLOOKUP($A23,tropes!$A$4:$O$2428,6,FALSE)</f>
        <v>spock</v>
      </c>
      <c r="G23" s="5">
        <f>VLOOKUP($A23,tropes!$A$4:$O$2428,7,FALSE)</f>
        <v>1</v>
      </c>
      <c r="H23" s="5">
        <f>VLOOKUP($A23,tropes!$A$4:$O$2428,8,FALSE)</f>
        <v>0</v>
      </c>
      <c r="I23" s="5">
        <f>VLOOKUP($A23,tropes!$A$4:$O$2428,9,FALSE)</f>
        <v>124</v>
      </c>
      <c r="J23" s="5">
        <f>VLOOKUP($A23,tropes!$A$4:$O$2428,10,FALSE)</f>
        <v>25</v>
      </c>
      <c r="K23" s="5" t="str">
        <f>VLOOKUP($A23,tropes!$A$4:$O$2428,11,FALSE)</f>
        <v>This Side of Paradise</v>
      </c>
      <c r="L23" s="5">
        <f>VLOOKUP($A23,tropes!$A$4:$O$2428,12,FALSE)</f>
        <v>1</v>
      </c>
      <c r="M23" s="5">
        <f>VLOOKUP($A23,tropes!$A$4:$O$2428,13,FALSE)</f>
        <v>24</v>
      </c>
      <c r="N23" s="5">
        <f t="shared" si="0"/>
        <v>0</v>
      </c>
    </row>
    <row r="24" spans="1:14" x14ac:dyDescent="0.3">
      <c r="A24" s="14">
        <v>2355</v>
      </c>
      <c r="B24" s="5" t="str">
        <f>VLOOKUP($A24,tropes!$A$4:$O$2428,2,FALSE)</f>
        <v>Cry Into Chest</v>
      </c>
      <c r="C24" s="5" t="str">
        <f>VLOOKUP($A24,tropes!$A$4:$O$2428,3,FALSE)</f>
        <v>hugAndKiss</v>
      </c>
      <c r="D24" s="5" t="str">
        <f>VLOOKUP($A24,tropes!$A$4:$O$2428,4,FALSE)</f>
        <v>hug</v>
      </c>
      <c r="E24" s="5" t="str">
        <f>VLOOKUP($A24,tropes!$A$4:$O$2428,5,FALSE)</f>
        <v>Lella cries and hugs Spock as she's free of spores and Spock doesn't hug her back.</v>
      </c>
      <c r="F24" s="5" t="str">
        <f>VLOOKUP($A24,tropes!$A$4:$O$2428,6,FALSE)</f>
        <v>spock</v>
      </c>
      <c r="G24" s="5">
        <f>VLOOKUP($A24,tropes!$A$4:$O$2428,7,FALSE)</f>
        <v>1</v>
      </c>
      <c r="H24" s="5">
        <f>VLOOKUP($A24,tropes!$A$4:$O$2428,8,FALSE)</f>
        <v>0</v>
      </c>
      <c r="I24" s="5">
        <f>VLOOKUP($A24,tropes!$A$4:$O$2428,9,FALSE)</f>
        <v>124</v>
      </c>
      <c r="J24" s="5">
        <f>VLOOKUP($A24,tropes!$A$4:$O$2428,10,FALSE)</f>
        <v>25</v>
      </c>
      <c r="K24" s="5" t="str">
        <f>VLOOKUP($A24,tropes!$A$4:$O$2428,11,FALSE)</f>
        <v>This Side of Paradise</v>
      </c>
      <c r="L24" s="5">
        <f>VLOOKUP($A24,tropes!$A$4:$O$2428,12,FALSE)</f>
        <v>1</v>
      </c>
      <c r="M24" s="5">
        <f>VLOOKUP($A24,tropes!$A$4:$O$2428,13,FALSE)</f>
        <v>24</v>
      </c>
      <c r="N24" s="5">
        <f t="shared" si="0"/>
        <v>1</v>
      </c>
    </row>
    <row r="25" spans="1:14" x14ac:dyDescent="0.3">
      <c r="A25" s="14">
        <v>2366</v>
      </c>
      <c r="B25" s="5" t="str">
        <f>VLOOKUP($A25,tropes!$A$4:$O$2428,2,FALSE)</f>
        <v>True Love's Kiss</v>
      </c>
      <c r="C25" s="5" t="str">
        <f>VLOOKUP($A25,tropes!$A$4:$O$2428,3,FALSE)</f>
        <v>hugAndKiss</v>
      </c>
      <c r="D25" s="5" t="str">
        <f>VLOOKUP($A25,tropes!$A$4:$O$2428,4,FALSE)</f>
        <v>kiss</v>
      </c>
      <c r="E25" s="5" t="str">
        <f>VLOOKUP($A25,tropes!$A$4:$O$2428,5,FALSE)</f>
        <v>Spock kisses Lella. (1)</v>
      </c>
      <c r="F25" s="5" t="str">
        <f>VLOOKUP($A25,tropes!$A$4:$O$2428,6,FALSE)</f>
        <v>spock</v>
      </c>
      <c r="G25" s="5">
        <f>VLOOKUP($A25,tropes!$A$4:$O$2428,7,FALSE)</f>
        <v>0</v>
      </c>
      <c r="H25" s="5">
        <f>VLOOKUP($A25,tropes!$A$4:$O$2428,8,FALSE)</f>
        <v>0</v>
      </c>
      <c r="I25" s="5">
        <f>VLOOKUP($A25,tropes!$A$4:$O$2428,9,FALSE)</f>
        <v>124</v>
      </c>
      <c r="J25" s="5">
        <f>VLOOKUP($A25,tropes!$A$4:$O$2428,10,FALSE)</f>
        <v>25</v>
      </c>
      <c r="K25" s="5" t="str">
        <f>VLOOKUP($A25,tropes!$A$4:$O$2428,11,FALSE)</f>
        <v>This Side of Paradise</v>
      </c>
      <c r="L25" s="5">
        <f>VLOOKUP($A25,tropes!$A$4:$O$2428,12,FALSE)</f>
        <v>1</v>
      </c>
      <c r="M25" s="5">
        <f>VLOOKUP($A25,tropes!$A$4:$O$2428,13,FALSE)</f>
        <v>24</v>
      </c>
      <c r="N25" s="5">
        <f t="shared" si="0"/>
        <v>2</v>
      </c>
    </row>
    <row r="26" spans="1:14" x14ac:dyDescent="0.3">
      <c r="A26" s="14">
        <v>2368</v>
      </c>
      <c r="B26" s="5" t="str">
        <f>VLOOKUP($A26,tropes!$A$4:$O$2428,2,FALSE)</f>
        <v>True Love's Kiss</v>
      </c>
      <c r="C26" s="5" t="str">
        <f>VLOOKUP($A26,tropes!$A$4:$O$2428,3,FALSE)</f>
        <v>hugAndKiss</v>
      </c>
      <c r="D26" s="5" t="str">
        <f>VLOOKUP($A26,tropes!$A$4:$O$2428,4,FALSE)</f>
        <v>kiss</v>
      </c>
      <c r="E26" s="5" t="str">
        <f>VLOOKUP($A26,tropes!$A$4:$O$2428,5,FALSE)</f>
        <v>Spock kisses Lella. (2)</v>
      </c>
      <c r="F26" s="5" t="str">
        <f>VLOOKUP($A26,tropes!$A$4:$O$2428,6,FALSE)</f>
        <v>spock</v>
      </c>
      <c r="G26" s="5">
        <f>VLOOKUP($A26,tropes!$A$4:$O$2428,7,FALSE)</f>
        <v>0</v>
      </c>
      <c r="H26" s="5">
        <f>VLOOKUP($A26,tropes!$A$4:$O$2428,8,FALSE)</f>
        <v>0</v>
      </c>
      <c r="I26" s="5">
        <f>VLOOKUP($A26,tropes!$A$4:$O$2428,9,FALSE)</f>
        <v>124</v>
      </c>
      <c r="J26" s="5">
        <f>VLOOKUP($A26,tropes!$A$4:$O$2428,10,FALSE)</f>
        <v>25</v>
      </c>
      <c r="K26" s="5" t="str">
        <f>VLOOKUP($A26,tropes!$A$4:$O$2428,11,FALSE)</f>
        <v>This Side of Paradise</v>
      </c>
      <c r="L26" s="5">
        <f>VLOOKUP($A26,tropes!$A$4:$O$2428,12,FALSE)</f>
        <v>1</v>
      </c>
      <c r="M26" s="5">
        <f>VLOOKUP($A26,tropes!$A$4:$O$2428,13,FALSE)</f>
        <v>24</v>
      </c>
      <c r="N26" s="5">
        <f t="shared" si="0"/>
        <v>3</v>
      </c>
    </row>
    <row r="27" spans="1:14" x14ac:dyDescent="0.3">
      <c r="A27" s="14">
        <v>2370</v>
      </c>
      <c r="B27" s="5" t="str">
        <f>VLOOKUP($A27,tropes!$A$4:$O$2428,2,FALSE)</f>
        <v>True Love's Kiss</v>
      </c>
      <c r="C27" s="5" t="str">
        <f>VLOOKUP($A27,tropes!$A$4:$O$2428,3,FALSE)</f>
        <v>hugAndKiss</v>
      </c>
      <c r="D27" s="5" t="str">
        <f>VLOOKUP($A27,tropes!$A$4:$O$2428,4,FALSE)</f>
        <v>kiss</v>
      </c>
      <c r="E27" s="5" t="str">
        <f>VLOOKUP($A27,tropes!$A$4:$O$2428,5,FALSE)</f>
        <v>Spock kisses Lella. (3)</v>
      </c>
      <c r="F27" s="5" t="str">
        <f>VLOOKUP($A27,tropes!$A$4:$O$2428,6,FALSE)</f>
        <v>spock</v>
      </c>
      <c r="G27" s="5">
        <f>VLOOKUP($A27,tropes!$A$4:$O$2428,7,FALSE)</f>
        <v>0</v>
      </c>
      <c r="H27" s="5">
        <f>VLOOKUP($A27,tropes!$A$4:$O$2428,8,FALSE)</f>
        <v>0</v>
      </c>
      <c r="I27" s="5">
        <f>VLOOKUP($A27,tropes!$A$4:$O$2428,9,FALSE)</f>
        <v>124</v>
      </c>
      <c r="J27" s="5">
        <f>VLOOKUP($A27,tropes!$A$4:$O$2428,10,FALSE)</f>
        <v>25</v>
      </c>
      <c r="K27" s="5" t="str">
        <f>VLOOKUP($A27,tropes!$A$4:$O$2428,11,FALSE)</f>
        <v>This Side of Paradise</v>
      </c>
      <c r="L27" s="5">
        <f>VLOOKUP($A27,tropes!$A$4:$O$2428,12,FALSE)</f>
        <v>1</v>
      </c>
      <c r="M27" s="5">
        <f>VLOOKUP($A27,tropes!$A$4:$O$2428,13,FALSE)</f>
        <v>24</v>
      </c>
      <c r="N27" s="5">
        <f t="shared" si="0"/>
        <v>4</v>
      </c>
    </row>
    <row r="28" spans="1:14" x14ac:dyDescent="0.3">
      <c r="A28" s="14">
        <v>535</v>
      </c>
      <c r="B28" s="5" t="str">
        <f>VLOOKUP($A28,tropes!$A$4:$O$2428,2,FALSE)</f>
        <v>Holding Hands</v>
      </c>
      <c r="C28" s="5" t="str">
        <f>VLOOKUP($A28,tropes!$A$4:$O$2428,3,FALSE)</f>
        <v>hugAndKiss</v>
      </c>
      <c r="D28" s="5" t="str">
        <f>VLOOKUP($A28,tropes!$A$4:$O$2428,4,FALSE)</f>
        <v>hold_hands</v>
      </c>
      <c r="E28" s="5" t="str">
        <f>VLOOKUP($A28,tropes!$A$4:$O$2428,5,FALSE)</f>
        <v>Kirk and Edith Keeler hold hands walking down street.</v>
      </c>
      <c r="F28" s="5" t="str">
        <f>VLOOKUP($A28,tropes!$A$4:$O$2428,6,FALSE)</f>
        <v>kirk</v>
      </c>
      <c r="G28" s="5">
        <f>VLOOKUP($A28,tropes!$A$4:$O$2428,7,FALSE)</f>
        <v>1</v>
      </c>
      <c r="H28" s="5">
        <f>VLOOKUP($A28,tropes!$A$4:$O$2428,8,FALSE)</f>
        <v>0</v>
      </c>
      <c r="I28" s="5">
        <f>VLOOKUP($A28,tropes!$A$4:$O$2428,9,FALSE)</f>
        <v>128</v>
      </c>
      <c r="J28" s="5">
        <f>VLOOKUP($A28,tropes!$A$4:$O$2428,10,FALSE)</f>
        <v>29</v>
      </c>
      <c r="K28" s="5" t="str">
        <f>VLOOKUP($A28,tropes!$A$4:$O$2428,11,FALSE)</f>
        <v>The City on the Edge of Forever</v>
      </c>
      <c r="L28" s="5">
        <f>VLOOKUP($A28,tropes!$A$4:$O$2428,12,FALSE)</f>
        <v>1</v>
      </c>
      <c r="M28" s="5">
        <f>VLOOKUP($A28,tropes!$A$4:$O$2428,13,FALSE)</f>
        <v>28</v>
      </c>
      <c r="N28" s="5">
        <f t="shared" si="0"/>
        <v>0</v>
      </c>
    </row>
    <row r="29" spans="1:14" x14ac:dyDescent="0.3">
      <c r="A29" s="14">
        <v>1006</v>
      </c>
      <c r="B29" s="5" t="str">
        <f>VLOOKUP($A29,tropes!$A$4:$O$2428,2,FALSE)</f>
        <v>Deadly Hug</v>
      </c>
      <c r="C29" s="5" t="str">
        <f>VLOOKUP($A29,tropes!$A$4:$O$2428,3,FALSE)</f>
        <v>hugAndKiss</v>
      </c>
      <c r="D29" s="5" t="str">
        <f>VLOOKUP($A29,tropes!$A$4:$O$2428,4,FALSE)</f>
        <v>hug</v>
      </c>
      <c r="E29" s="5" t="str">
        <f>VLOOKUP($A29,tropes!$A$4:$O$2428,5,FALSE)</f>
        <v>Kirk kills Edith Keeler by hugging not her but McCoy, thus stopping McCoy from pushing Edith Keeler out of the way of a car.</v>
      </c>
      <c r="F29" s="5" t="str">
        <f>VLOOKUP($A29,tropes!$A$4:$O$2428,6,FALSE)</f>
        <v>kirk</v>
      </c>
      <c r="G29" s="5">
        <f>VLOOKUP($A29,tropes!$A$4:$O$2428,7,FALSE)</f>
        <v>1</v>
      </c>
      <c r="H29" s="5">
        <f>VLOOKUP($A29,tropes!$A$4:$O$2428,8,FALSE)</f>
        <v>0</v>
      </c>
      <c r="I29" s="5">
        <f>VLOOKUP($A29,tropes!$A$4:$O$2428,9,FALSE)</f>
        <v>128</v>
      </c>
      <c r="J29" s="5">
        <f>VLOOKUP($A29,tropes!$A$4:$O$2428,10,FALSE)</f>
        <v>29</v>
      </c>
      <c r="K29" s="5" t="str">
        <f>VLOOKUP($A29,tropes!$A$4:$O$2428,11,FALSE)</f>
        <v>The City on the Edge of Forever</v>
      </c>
      <c r="L29" s="5">
        <f>VLOOKUP($A29,tropes!$A$4:$O$2428,12,FALSE)</f>
        <v>1</v>
      </c>
      <c r="M29" s="5">
        <f>VLOOKUP($A29,tropes!$A$4:$O$2428,13,FALSE)</f>
        <v>28</v>
      </c>
      <c r="N29" s="5">
        <f t="shared" si="0"/>
        <v>1</v>
      </c>
    </row>
    <row r="30" spans="1:14" x14ac:dyDescent="0.3">
      <c r="A30" s="14">
        <v>1004</v>
      </c>
      <c r="B30" s="5" t="str">
        <f>VLOOKUP($A30,tropes!$A$4:$O$2428,2,FALSE)</f>
        <v>True Love's Kiss</v>
      </c>
      <c r="C30" s="5" t="str">
        <f>VLOOKUP($A30,tropes!$A$4:$O$2428,3,FALSE)</f>
        <v>hugAndKiss</v>
      </c>
      <c r="D30" s="5" t="str">
        <f>VLOOKUP($A30,tropes!$A$4:$O$2428,4,FALSE)</f>
        <v>kiss</v>
      </c>
      <c r="E30" s="5" t="str">
        <f>VLOOKUP($A30,tropes!$A$4:$O$2428,5,FALSE)</f>
        <v>Edith Keeler kisses Kirk in a passionate manner.</v>
      </c>
      <c r="F30" s="5" t="str">
        <f>VLOOKUP($A30,tropes!$A$4:$O$2428,6,FALSE)</f>
        <v>kirk</v>
      </c>
      <c r="G30" s="5">
        <f>VLOOKUP($A30,tropes!$A$4:$O$2428,7,FALSE)</f>
        <v>1</v>
      </c>
      <c r="H30" s="5">
        <f>VLOOKUP($A30,tropes!$A$4:$O$2428,8,FALSE)</f>
        <v>0</v>
      </c>
      <c r="I30" s="5">
        <f>VLOOKUP($A30,tropes!$A$4:$O$2428,9,FALSE)</f>
        <v>128</v>
      </c>
      <c r="J30" s="5">
        <f>VLOOKUP($A30,tropes!$A$4:$O$2428,10,FALSE)</f>
        <v>29</v>
      </c>
      <c r="K30" s="5" t="str">
        <f>VLOOKUP($A30,tropes!$A$4:$O$2428,11,FALSE)</f>
        <v>The City on the Edge of Forever</v>
      </c>
      <c r="L30" s="5">
        <f>VLOOKUP($A30,tropes!$A$4:$O$2428,12,FALSE)</f>
        <v>1</v>
      </c>
      <c r="M30" s="5">
        <f>VLOOKUP($A30,tropes!$A$4:$O$2428,13,FALSE)</f>
        <v>28</v>
      </c>
      <c r="N30" s="5">
        <f t="shared" si="0"/>
        <v>2</v>
      </c>
    </row>
    <row r="31" spans="1:14" x14ac:dyDescent="0.3">
      <c r="A31" s="14">
        <v>1222</v>
      </c>
      <c r="B31" s="5" t="str">
        <f>VLOOKUP($A31,tropes!$A$4:$O$2428,2,FALSE)</f>
        <v>Accidental Hug</v>
      </c>
      <c r="C31" s="5" t="str">
        <f>VLOOKUP($A31,tropes!$A$4:$O$2428,3,FALSE)</f>
        <v>hugAndKiss</v>
      </c>
      <c r="D31" s="5" t="str">
        <f>VLOOKUP($A31,tropes!$A$4:$O$2428,4,FALSE)</f>
        <v>hug</v>
      </c>
      <c r="E31" s="5" t="str">
        <f>VLOOKUP($A31,tropes!$A$4:$O$2428,5,FALSE)</f>
        <v>Spock hugs Kirk when he realizes he didn't really kill him. Then he regains his composure and puts a straight face back on.</v>
      </c>
      <c r="F31" s="5" t="str">
        <f>VLOOKUP($A31,tropes!$A$4:$O$2428,6,FALSE)</f>
        <v>spock</v>
      </c>
      <c r="G31" s="5">
        <f>VLOOKUP($A31,tropes!$A$4:$O$2428,7,FALSE)</f>
        <v>1</v>
      </c>
      <c r="H31" s="5">
        <f>VLOOKUP($A31,tropes!$A$4:$O$2428,8,FALSE)</f>
        <v>0</v>
      </c>
      <c r="I31" s="5">
        <f>VLOOKUP($A31,tropes!$A$4:$O$2428,9,FALSE)</f>
        <v>201</v>
      </c>
      <c r="J31" s="5">
        <f>VLOOKUP($A31,tropes!$A$4:$O$2428,10,FALSE)</f>
        <v>31</v>
      </c>
      <c r="K31" s="5" t="str">
        <f>VLOOKUP($A31,tropes!$A$4:$O$2428,11,FALSE)</f>
        <v>Amok Time</v>
      </c>
      <c r="L31" s="5">
        <f>VLOOKUP($A31,tropes!$A$4:$O$2428,12,FALSE)</f>
        <v>2</v>
      </c>
      <c r="M31" s="5">
        <f>VLOOKUP($A31,tropes!$A$4:$O$2428,13,FALSE)</f>
        <v>1</v>
      </c>
      <c r="N31" s="5">
        <f t="shared" si="0"/>
        <v>0</v>
      </c>
    </row>
    <row r="32" spans="1:14" x14ac:dyDescent="0.3">
      <c r="A32" s="14">
        <v>2000</v>
      </c>
      <c r="B32" s="5" t="str">
        <f>VLOOKUP($A32,tropes!$A$4:$O$2428,2,FALSE)</f>
        <v>Cry Into Chest</v>
      </c>
      <c r="C32" s="5" t="str">
        <f>VLOOKUP($A32,tropes!$A$4:$O$2428,3,FALSE)</f>
        <v>hugAndKiss</v>
      </c>
      <c r="D32" s="5" t="str">
        <f>VLOOKUP($A32,tropes!$A$4:$O$2428,4,FALSE)</f>
        <v>hug</v>
      </c>
      <c r="E32" s="5" t="str">
        <f>VLOOKUP($A32,tropes!$A$4:$O$2428,5,FALSE)</f>
        <v>Scotty comforts Lt. Carolyn Palamas after Apollo is defeated.</v>
      </c>
      <c r="F32" s="5" t="str">
        <f>VLOOKUP($A32,tropes!$A$4:$O$2428,6,FALSE)</f>
        <v>scotty</v>
      </c>
      <c r="G32" s="5">
        <f>VLOOKUP($A32,tropes!$A$4:$O$2428,7,FALSE)</f>
        <v>0</v>
      </c>
      <c r="H32" s="5">
        <f>VLOOKUP($A32,tropes!$A$4:$O$2428,8,FALSE)</f>
        <v>1</v>
      </c>
      <c r="I32" s="5">
        <f>VLOOKUP($A32,tropes!$A$4:$O$2428,9,FALSE)</f>
        <v>202</v>
      </c>
      <c r="J32" s="5">
        <f>VLOOKUP($A32,tropes!$A$4:$O$2428,10,FALSE)</f>
        <v>32</v>
      </c>
      <c r="K32" s="5" t="str">
        <f>VLOOKUP($A32,tropes!$A$4:$O$2428,11,FALSE)</f>
        <v>Who Mourns for Adonais?</v>
      </c>
      <c r="L32" s="5">
        <f>VLOOKUP($A32,tropes!$A$4:$O$2428,12,FALSE)</f>
        <v>2</v>
      </c>
      <c r="M32" s="5">
        <f>VLOOKUP($A32,tropes!$A$4:$O$2428,13,FALSE)</f>
        <v>2</v>
      </c>
      <c r="N32" s="5">
        <f t="shared" si="0"/>
        <v>0</v>
      </c>
    </row>
    <row r="33" spans="1:14" x14ac:dyDescent="0.3">
      <c r="A33" s="14">
        <v>1814</v>
      </c>
      <c r="B33" s="5" t="str">
        <f>VLOOKUP($A33,tropes!$A$4:$O$2428,2,FALSE)</f>
        <v>True Love's Kiss</v>
      </c>
      <c r="C33" s="5" t="str">
        <f>VLOOKUP($A33,tropes!$A$4:$O$2428,3,FALSE)</f>
        <v>hugAndKiss</v>
      </c>
      <c r="D33" s="5" t="str">
        <f>VLOOKUP($A33,tropes!$A$4:$O$2428,4,FALSE)</f>
        <v>kiss</v>
      </c>
      <c r="E33" s="5" t="str">
        <f>VLOOKUP($A33,tropes!$A$4:$O$2428,5,FALSE)</f>
        <v>Apollo lays a big kiss on Lt. Carolyn Palamas, again.</v>
      </c>
      <c r="F33" s="5" t="str">
        <f>VLOOKUP($A33,tropes!$A$4:$O$2428,6,FALSE)</f>
        <v>palamas</v>
      </c>
      <c r="G33" s="5">
        <f>VLOOKUP($A33,tropes!$A$4:$O$2428,7,FALSE)</f>
        <v>0</v>
      </c>
      <c r="H33" s="5">
        <f>VLOOKUP($A33,tropes!$A$4:$O$2428,8,FALSE)</f>
        <v>0</v>
      </c>
      <c r="I33" s="5">
        <f>VLOOKUP($A33,tropes!$A$4:$O$2428,9,FALSE)</f>
        <v>202</v>
      </c>
      <c r="J33" s="5">
        <f>VLOOKUP($A33,tropes!$A$4:$O$2428,10,FALSE)</f>
        <v>32</v>
      </c>
      <c r="K33" s="5" t="str">
        <f>VLOOKUP($A33,tropes!$A$4:$O$2428,11,FALSE)</f>
        <v>Who Mourns for Adonais?</v>
      </c>
      <c r="L33" s="5">
        <f>VLOOKUP($A33,tropes!$A$4:$O$2428,12,FALSE)</f>
        <v>2</v>
      </c>
      <c r="M33" s="5">
        <f>VLOOKUP($A33,tropes!$A$4:$O$2428,13,FALSE)</f>
        <v>2</v>
      </c>
      <c r="N33" s="5">
        <f t="shared" si="0"/>
        <v>1</v>
      </c>
    </row>
    <row r="34" spans="1:14" x14ac:dyDescent="0.3">
      <c r="A34" s="14">
        <v>1820</v>
      </c>
      <c r="B34" s="5" t="str">
        <f>VLOOKUP($A34,tropes!$A$4:$O$2428,2,FALSE)</f>
        <v>True Love's Kiss</v>
      </c>
      <c r="C34" s="5" t="str">
        <f>VLOOKUP($A34,tropes!$A$4:$O$2428,3,FALSE)</f>
        <v>hugAndKiss</v>
      </c>
      <c r="D34" s="5" t="str">
        <f>VLOOKUP($A34,tropes!$A$4:$O$2428,4,FALSE)</f>
        <v>kiss</v>
      </c>
      <c r="E34" s="5" t="str">
        <f>VLOOKUP($A34,tropes!$A$4:$O$2428,5,FALSE)</f>
        <v>Lt. Carolyn Palamas kisses Apollo in loving fashion.</v>
      </c>
      <c r="F34" s="5" t="str">
        <f>VLOOKUP($A34,tropes!$A$4:$O$2428,6,FALSE)</f>
        <v>palamas</v>
      </c>
      <c r="G34" s="5">
        <f>VLOOKUP($A34,tropes!$A$4:$O$2428,7,FALSE)</f>
        <v>0</v>
      </c>
      <c r="H34" s="5">
        <f>VLOOKUP($A34,tropes!$A$4:$O$2428,8,FALSE)</f>
        <v>0</v>
      </c>
      <c r="I34" s="5">
        <f>VLOOKUP($A34,tropes!$A$4:$O$2428,9,FALSE)</f>
        <v>202</v>
      </c>
      <c r="J34" s="5">
        <f>VLOOKUP($A34,tropes!$A$4:$O$2428,10,FALSE)</f>
        <v>32</v>
      </c>
      <c r="K34" s="5" t="str">
        <f>VLOOKUP($A34,tropes!$A$4:$O$2428,11,FALSE)</f>
        <v>Who Mourns for Adonais?</v>
      </c>
      <c r="L34" s="5">
        <f>VLOOKUP($A34,tropes!$A$4:$O$2428,12,FALSE)</f>
        <v>2</v>
      </c>
      <c r="M34" s="5">
        <f>VLOOKUP($A34,tropes!$A$4:$O$2428,13,FALSE)</f>
        <v>2</v>
      </c>
      <c r="N34" s="5">
        <f t="shared" si="0"/>
        <v>2</v>
      </c>
    </row>
    <row r="35" spans="1:14" x14ac:dyDescent="0.3">
      <c r="A35" s="14">
        <v>1235</v>
      </c>
      <c r="B35" s="5" t="str">
        <f>VLOOKUP($A35,tropes!$A$4:$O$2428,2,FALSE)</f>
        <v>Cooldown Hug</v>
      </c>
      <c r="C35" s="5" t="str">
        <f>VLOOKUP($A35,tropes!$A$4:$O$2428,3,FALSE)</f>
        <v>hugAndKiss</v>
      </c>
      <c r="D35" s="5" t="str">
        <f>VLOOKUP($A35,tropes!$A$4:$O$2428,4,FALSE)</f>
        <v>hug</v>
      </c>
      <c r="E35" s="5" t="str">
        <f>VLOOKUP($A35,tropes!$A$4:$O$2428,5,FALSE)</f>
        <v>Kirk gives Spock a cool down hug after the Spock did a mind meld with a Nomad.</v>
      </c>
      <c r="F35" s="5" t="str">
        <f>VLOOKUP($A35,tropes!$A$4:$O$2428,6,FALSE)</f>
        <v>kirk</v>
      </c>
      <c r="G35" s="5">
        <f>VLOOKUP($A35,tropes!$A$4:$O$2428,7,FALSE)</f>
        <v>1</v>
      </c>
      <c r="H35" s="5">
        <f>VLOOKUP($A35,tropes!$A$4:$O$2428,8,FALSE)</f>
        <v>0</v>
      </c>
      <c r="I35" s="5">
        <f>VLOOKUP($A35,tropes!$A$4:$O$2428,9,FALSE)</f>
        <v>203</v>
      </c>
      <c r="J35" s="5">
        <f>VLOOKUP($A35,tropes!$A$4:$O$2428,10,FALSE)</f>
        <v>33</v>
      </c>
      <c r="K35" s="5" t="str">
        <f>VLOOKUP($A35,tropes!$A$4:$O$2428,11,FALSE)</f>
        <v>The Changeling</v>
      </c>
      <c r="L35" s="5">
        <f>VLOOKUP($A35,tropes!$A$4:$O$2428,12,FALSE)</f>
        <v>2</v>
      </c>
      <c r="M35" s="5">
        <f>VLOOKUP($A35,tropes!$A$4:$O$2428,13,FALSE)</f>
        <v>3</v>
      </c>
      <c r="N35" s="5">
        <f t="shared" si="0"/>
        <v>0</v>
      </c>
    </row>
    <row r="36" spans="1:14" x14ac:dyDescent="0.3">
      <c r="A36" s="14">
        <v>2551</v>
      </c>
      <c r="B36" s="5" t="str">
        <f>VLOOKUP($A36,tropes!$A$4:$O$2428,2,FALSE)</f>
        <v>Friendship Hug***</v>
      </c>
      <c r="C36" s="5" t="str">
        <f>VLOOKUP($A36,tropes!$A$4:$O$2428,3,FALSE)</f>
        <v>hugAndKiss</v>
      </c>
      <c r="D36" s="5" t="str">
        <f>VLOOKUP($A36,tropes!$A$4:$O$2428,4,FALSE)</f>
        <v>hug</v>
      </c>
      <c r="E36" s="5" t="str">
        <f>VLOOKUP($A36,tropes!$A$4:$O$2428,5,FALSE)</f>
        <v>Nurse Chapel teaching Uhura to read. They hug.</v>
      </c>
      <c r="F36" s="5" t="str">
        <f>VLOOKUP($A36,tropes!$A$4:$O$2428,6,FALSE)</f>
        <v>chapel</v>
      </c>
      <c r="G36" s="5">
        <f>VLOOKUP($A36,tropes!$A$4:$O$2428,7,FALSE)</f>
        <v>0</v>
      </c>
      <c r="H36" s="5">
        <f>VLOOKUP($A36,tropes!$A$4:$O$2428,8,FALSE)</f>
        <v>2</v>
      </c>
      <c r="I36" s="5">
        <f>VLOOKUP($A36,tropes!$A$4:$O$2428,9,FALSE)</f>
        <v>203</v>
      </c>
      <c r="J36" s="5">
        <f>VLOOKUP($A36,tropes!$A$4:$O$2428,10,FALSE)</f>
        <v>33</v>
      </c>
      <c r="K36" s="5" t="str">
        <f>VLOOKUP($A36,tropes!$A$4:$O$2428,11,FALSE)</f>
        <v>The Changeling</v>
      </c>
      <c r="L36" s="5">
        <f>VLOOKUP($A36,tropes!$A$4:$O$2428,12,FALSE)</f>
        <v>2</v>
      </c>
      <c r="M36" s="5">
        <f>VLOOKUP($A36,tropes!$A$4:$O$2428,13,FALSE)</f>
        <v>3</v>
      </c>
      <c r="N36" s="5">
        <f t="shared" si="0"/>
        <v>1</v>
      </c>
    </row>
    <row r="37" spans="1:14" x14ac:dyDescent="0.3">
      <c r="A37" s="14">
        <v>1426</v>
      </c>
      <c r="B37" s="5" t="str">
        <f>VLOOKUP($A37,tropes!$A$4:$O$2428,2,FALSE)</f>
        <v>Cooldown Hug</v>
      </c>
      <c r="C37" s="5" t="str">
        <f>VLOOKUP($A37,tropes!$A$4:$O$2428,3,FALSE)</f>
        <v>hugAndKiss</v>
      </c>
      <c r="D37" s="5" t="str">
        <f>VLOOKUP($A37,tropes!$A$4:$O$2428,4,FALSE)</f>
        <v>hug</v>
      </c>
      <c r="E37" s="5" t="str">
        <f>VLOOKUP($A37,tropes!$A$4:$O$2428,5,FALSE)</f>
        <v>Kirk holds Uhura's arms while telling her she's the only one who can  it. (get comms from Starfleet).</v>
      </c>
      <c r="F37" s="5" t="str">
        <f>VLOOKUP($A37,tropes!$A$4:$O$2428,6,FALSE)</f>
        <v>kirk</v>
      </c>
      <c r="G37" s="5">
        <f>VLOOKUP($A37,tropes!$A$4:$O$2428,7,FALSE)</f>
        <v>1</v>
      </c>
      <c r="H37" s="5">
        <f>VLOOKUP($A37,tropes!$A$4:$O$2428,8,FALSE)</f>
        <v>0</v>
      </c>
      <c r="I37" s="5">
        <f>VLOOKUP($A37,tropes!$A$4:$O$2428,9,FALSE)</f>
        <v>204</v>
      </c>
      <c r="J37" s="5">
        <f>VLOOKUP($A37,tropes!$A$4:$O$2428,10,FALSE)</f>
        <v>34</v>
      </c>
      <c r="K37" s="5" t="str">
        <f>VLOOKUP($A37,tropes!$A$4:$O$2428,11,FALSE)</f>
        <v>Mirror, Mirror</v>
      </c>
      <c r="L37" s="5">
        <f>VLOOKUP($A37,tropes!$A$4:$O$2428,12,FALSE)</f>
        <v>2</v>
      </c>
      <c r="M37" s="5">
        <f>VLOOKUP($A37,tropes!$A$4:$O$2428,13,FALSE)</f>
        <v>4</v>
      </c>
      <c r="N37" s="5">
        <f t="shared" si="0"/>
        <v>0</v>
      </c>
    </row>
    <row r="38" spans="1:14" x14ac:dyDescent="0.3">
      <c r="A38" s="14">
        <v>2698</v>
      </c>
      <c r="B38" s="5" t="str">
        <f>VLOOKUP($A38,tropes!$A$4:$O$2428,2,FALSE)</f>
        <v>The Glomp</v>
      </c>
      <c r="C38" s="5" t="str">
        <f>VLOOKUP($A38,tropes!$A$4:$O$2428,3,FALSE)</f>
        <v>hugAndKiss</v>
      </c>
      <c r="D38" s="5" t="str">
        <f>VLOOKUP($A38,tropes!$A$4:$O$2428,4,FALSE)</f>
        <v>hug</v>
      </c>
      <c r="E38" s="5" t="str">
        <f>VLOOKUP($A38,tropes!$A$4:$O$2428,5,FALSE)</f>
        <v>Uhura allows Mirror Sulu to hug her as she distracts him for Scotty to route power to transports.</v>
      </c>
      <c r="F38" s="5" t="str">
        <f>VLOOKUP($A38,tropes!$A$4:$O$2428,6,FALSE)</f>
        <v>uhura</v>
      </c>
      <c r="G38" s="5">
        <f>VLOOKUP($A38,tropes!$A$4:$O$2428,7,FALSE)</f>
        <v>1</v>
      </c>
      <c r="H38" s="5">
        <f>VLOOKUP($A38,tropes!$A$4:$O$2428,8,FALSE)</f>
        <v>0</v>
      </c>
      <c r="I38" s="5">
        <f>VLOOKUP($A38,tropes!$A$4:$O$2428,9,FALSE)</f>
        <v>204</v>
      </c>
      <c r="J38" s="5">
        <f>VLOOKUP($A38,tropes!$A$4:$O$2428,10,FALSE)</f>
        <v>34</v>
      </c>
      <c r="K38" s="5" t="str">
        <f>VLOOKUP($A38,tropes!$A$4:$O$2428,11,FALSE)</f>
        <v>Mirror, Mirror</v>
      </c>
      <c r="L38" s="5">
        <f>VLOOKUP($A38,tropes!$A$4:$O$2428,12,FALSE)</f>
        <v>2</v>
      </c>
      <c r="M38" s="5">
        <f>VLOOKUP($A38,tropes!$A$4:$O$2428,13,FALSE)</f>
        <v>4</v>
      </c>
      <c r="N38" s="5">
        <f t="shared" si="0"/>
        <v>1</v>
      </c>
    </row>
    <row r="39" spans="1:14" x14ac:dyDescent="0.3">
      <c r="A39" s="14">
        <v>1127</v>
      </c>
      <c r="B39" s="5" t="str">
        <f>VLOOKUP($A39,tropes!$A$4:$O$2428,2,FALSE)</f>
        <v>Big Damn Kiss</v>
      </c>
      <c r="C39" s="5" t="str">
        <f>VLOOKUP($A39,tropes!$A$4:$O$2428,3,FALSE)</f>
        <v>hugAndKiss</v>
      </c>
      <c r="D39" s="5" t="str">
        <f>VLOOKUP($A39,tropes!$A$4:$O$2428,4,FALSE)</f>
        <v>kiss</v>
      </c>
      <c r="E39" s="5" t="str">
        <f>VLOOKUP($A39,tropes!$A$4:$O$2428,5,FALSE)</f>
        <v>Kirk and mirror Lt. Marlena Moreau kiss, long and passionate. Marlena: Its been a long time since you've kissed me like that.</v>
      </c>
      <c r="F39" s="5" t="str">
        <f>VLOOKUP($A39,tropes!$A$4:$O$2428,6,FALSE)</f>
        <v>kirk</v>
      </c>
      <c r="G39" s="5">
        <f>VLOOKUP($A39,tropes!$A$4:$O$2428,7,FALSE)</f>
        <v>1</v>
      </c>
      <c r="H39" s="5">
        <f>VLOOKUP($A39,tropes!$A$4:$O$2428,8,FALSE)</f>
        <v>0</v>
      </c>
      <c r="I39" s="5">
        <f>VLOOKUP($A39,tropes!$A$4:$O$2428,9,FALSE)</f>
        <v>204</v>
      </c>
      <c r="J39" s="5">
        <f>VLOOKUP($A39,tropes!$A$4:$O$2428,10,FALSE)</f>
        <v>34</v>
      </c>
      <c r="K39" s="5" t="str">
        <f>VLOOKUP($A39,tropes!$A$4:$O$2428,11,FALSE)</f>
        <v>Mirror, Mirror</v>
      </c>
      <c r="L39" s="5">
        <f>VLOOKUP($A39,tropes!$A$4:$O$2428,12,FALSE)</f>
        <v>2</v>
      </c>
      <c r="M39" s="5">
        <f>VLOOKUP($A39,tropes!$A$4:$O$2428,13,FALSE)</f>
        <v>4</v>
      </c>
      <c r="N39" s="5">
        <f t="shared" si="0"/>
        <v>2</v>
      </c>
    </row>
    <row r="40" spans="1:14" x14ac:dyDescent="0.3">
      <c r="A40" s="14">
        <v>1125</v>
      </c>
      <c r="B40" s="5" t="str">
        <f>VLOOKUP($A40,tropes!$A$4:$O$2428,2,FALSE)</f>
        <v>Instant Seduction</v>
      </c>
      <c r="C40" s="5" t="str">
        <f>VLOOKUP($A40,tropes!$A$4:$O$2428,3,FALSE)</f>
        <v>hugAndKiss</v>
      </c>
      <c r="D40" s="5" t="str">
        <f>VLOOKUP($A40,tropes!$A$4:$O$2428,4,FALSE)</f>
        <v>kiss</v>
      </c>
      <c r="E40" s="5" t="str">
        <f>VLOOKUP($A40,tropes!$A$4:$O$2428,5,FALSE)</f>
        <v>Mirror Lt. Marlena Moreau kisses Kirk while she's coming on and being sexy.</v>
      </c>
      <c r="F40" s="5" t="str">
        <f>VLOOKUP($A40,tropes!$A$4:$O$2428,6,FALSE)</f>
        <v>kirk</v>
      </c>
      <c r="G40" s="5">
        <f>VLOOKUP($A40,tropes!$A$4:$O$2428,7,FALSE)</f>
        <v>1</v>
      </c>
      <c r="H40" s="5">
        <f>VLOOKUP($A40,tropes!$A$4:$O$2428,8,FALSE)</f>
        <v>0</v>
      </c>
      <c r="I40" s="5">
        <f>VLOOKUP($A40,tropes!$A$4:$O$2428,9,FALSE)</f>
        <v>204</v>
      </c>
      <c r="J40" s="5">
        <f>VLOOKUP($A40,tropes!$A$4:$O$2428,10,FALSE)</f>
        <v>34</v>
      </c>
      <c r="K40" s="5" t="str">
        <f>VLOOKUP($A40,tropes!$A$4:$O$2428,11,FALSE)</f>
        <v>Mirror, Mirror</v>
      </c>
      <c r="L40" s="5">
        <f>VLOOKUP($A40,tropes!$A$4:$O$2428,12,FALSE)</f>
        <v>2</v>
      </c>
      <c r="M40" s="5">
        <f>VLOOKUP($A40,tropes!$A$4:$O$2428,13,FALSE)</f>
        <v>4</v>
      </c>
      <c r="N40" s="5">
        <f t="shared" si="0"/>
        <v>3</v>
      </c>
    </row>
    <row r="41" spans="1:14" x14ac:dyDescent="0.3">
      <c r="A41" s="14">
        <v>151</v>
      </c>
      <c r="B41" s="5" t="str">
        <f>VLOOKUP($A41,tropes!$A$4:$O$2428,2,FALSE)</f>
        <v>Cuddle Bug</v>
      </c>
      <c r="C41" s="5" t="str">
        <f>VLOOKUP($A41,tropes!$A$4:$O$2428,3,FALSE)</f>
        <v>hugAndKiss</v>
      </c>
      <c r="D41" s="5" t="str">
        <f>VLOOKUP($A41,tropes!$A$4:$O$2428,4,FALSE)</f>
        <v>hug</v>
      </c>
      <c r="E41" s="5" t="str">
        <f>VLOOKUP($A41,tropes!$A$4:$O$2428,5,FALSE)</f>
        <v>Chekov constantly wants to be in touch with Yeoman Martha Landon.</v>
      </c>
      <c r="F41" s="5" t="str">
        <f>VLOOKUP($A41,tropes!$A$4:$O$2428,6,FALSE)</f>
        <v>chekov</v>
      </c>
      <c r="G41" s="5">
        <f>VLOOKUP($A41,tropes!$A$4:$O$2428,7,FALSE)</f>
        <v>0</v>
      </c>
      <c r="H41" s="5">
        <f>VLOOKUP($A41,tropes!$A$4:$O$2428,8,FALSE)</f>
        <v>2</v>
      </c>
      <c r="I41" s="5">
        <f>VLOOKUP($A41,tropes!$A$4:$O$2428,9,FALSE)</f>
        <v>205</v>
      </c>
      <c r="J41" s="5">
        <f>VLOOKUP($A41,tropes!$A$4:$O$2428,10,FALSE)</f>
        <v>35</v>
      </c>
      <c r="K41" s="5" t="str">
        <f>VLOOKUP($A41,tropes!$A$4:$O$2428,11,FALSE)</f>
        <v>The Apple</v>
      </c>
      <c r="L41" s="5">
        <f>VLOOKUP($A41,tropes!$A$4:$O$2428,12,FALSE)</f>
        <v>2</v>
      </c>
      <c r="M41" s="5">
        <f>VLOOKUP($A41,tropes!$A$4:$O$2428,13,FALSE)</f>
        <v>5</v>
      </c>
      <c r="N41" s="5">
        <f t="shared" si="0"/>
        <v>0</v>
      </c>
    </row>
    <row r="42" spans="1:14" x14ac:dyDescent="0.3">
      <c r="A42" s="14">
        <v>154</v>
      </c>
      <c r="B42" s="5" t="str">
        <f>VLOOKUP($A42,tropes!$A$4:$O$2428,2,FALSE)</f>
        <v>Cuddle Bug</v>
      </c>
      <c r="C42" s="5" t="str">
        <f>VLOOKUP($A42,tropes!$A$4:$O$2428,3,FALSE)</f>
        <v>hugAndKiss</v>
      </c>
      <c r="D42" s="5" t="str">
        <f>VLOOKUP($A42,tropes!$A$4:$O$2428,4,FALSE)</f>
        <v>hug</v>
      </c>
      <c r="E42" s="5" t="str">
        <f>VLOOKUP($A42,tropes!$A$4:$O$2428,5,FALSE)</f>
        <v>Chekov gives Yeoman Martha Landon another comfort hug after Ensign Mallory is killed.</v>
      </c>
      <c r="F42" s="5" t="str">
        <f>VLOOKUP($A42,tropes!$A$4:$O$2428,6,FALSE)</f>
        <v>chekov</v>
      </c>
      <c r="G42" s="5">
        <f>VLOOKUP($A42,tropes!$A$4:$O$2428,7,FALSE)</f>
        <v>0</v>
      </c>
      <c r="H42" s="5">
        <f>VLOOKUP($A42,tropes!$A$4:$O$2428,8,FALSE)</f>
        <v>2</v>
      </c>
      <c r="I42" s="5">
        <f>VLOOKUP($A42,tropes!$A$4:$O$2428,9,FALSE)</f>
        <v>205</v>
      </c>
      <c r="J42" s="5">
        <f>VLOOKUP($A42,tropes!$A$4:$O$2428,10,FALSE)</f>
        <v>35</v>
      </c>
      <c r="K42" s="5" t="str">
        <f>VLOOKUP($A42,tropes!$A$4:$O$2428,11,FALSE)</f>
        <v>The Apple</v>
      </c>
      <c r="L42" s="5">
        <f>VLOOKUP($A42,tropes!$A$4:$O$2428,12,FALSE)</f>
        <v>2</v>
      </c>
      <c r="M42" s="5">
        <f>VLOOKUP($A42,tropes!$A$4:$O$2428,13,FALSE)</f>
        <v>5</v>
      </c>
      <c r="N42" s="5">
        <f t="shared" si="0"/>
        <v>1</v>
      </c>
    </row>
    <row r="43" spans="1:14" x14ac:dyDescent="0.3">
      <c r="A43" s="14">
        <v>152</v>
      </c>
      <c r="B43" s="5" t="str">
        <f>VLOOKUP($A43,tropes!$A$4:$O$2428,2,FALSE)</f>
        <v>Cuddle Bug</v>
      </c>
      <c r="C43" s="5" t="str">
        <f>VLOOKUP($A43,tropes!$A$4:$O$2428,3,FALSE)</f>
        <v>hugAndKiss</v>
      </c>
      <c r="D43" s="5" t="str">
        <f>VLOOKUP($A43,tropes!$A$4:$O$2428,4,FALSE)</f>
        <v>hug</v>
      </c>
      <c r="E43" s="5" t="str">
        <f>VLOOKUP($A43,tropes!$A$4:$O$2428,5,FALSE)</f>
        <v>Chekov hugs Yeoman Martha Landon as she's explaining to Akuta what love is.</v>
      </c>
      <c r="F43" s="5" t="str">
        <f>VLOOKUP($A43,tropes!$A$4:$O$2428,6,FALSE)</f>
        <v>chekov</v>
      </c>
      <c r="G43" s="5">
        <f>VLOOKUP($A43,tropes!$A$4:$O$2428,7,FALSE)</f>
        <v>0</v>
      </c>
      <c r="H43" s="5">
        <f>VLOOKUP($A43,tropes!$A$4:$O$2428,8,FALSE)</f>
        <v>2</v>
      </c>
      <c r="I43" s="5">
        <f>VLOOKUP($A43,tropes!$A$4:$O$2428,9,FALSE)</f>
        <v>205</v>
      </c>
      <c r="J43" s="5">
        <f>VLOOKUP($A43,tropes!$A$4:$O$2428,10,FALSE)</f>
        <v>35</v>
      </c>
      <c r="K43" s="5" t="str">
        <f>VLOOKUP($A43,tropes!$A$4:$O$2428,11,FALSE)</f>
        <v>The Apple</v>
      </c>
      <c r="L43" s="5">
        <f>VLOOKUP($A43,tropes!$A$4:$O$2428,12,FALSE)</f>
        <v>2</v>
      </c>
      <c r="M43" s="5">
        <f>VLOOKUP($A43,tropes!$A$4:$O$2428,13,FALSE)</f>
        <v>5</v>
      </c>
      <c r="N43" s="5">
        <f t="shared" si="0"/>
        <v>2</v>
      </c>
    </row>
    <row r="44" spans="1:14" x14ac:dyDescent="0.3">
      <c r="A44" s="14">
        <v>416</v>
      </c>
      <c r="B44" s="5" t="str">
        <f>VLOOKUP($A44,tropes!$A$4:$O$2428,2,FALSE)</f>
        <v>Cuddle Bug</v>
      </c>
      <c r="C44" s="5" t="str">
        <f>VLOOKUP($A44,tropes!$A$4:$O$2428,3,FALSE)</f>
        <v>hugAndKiss</v>
      </c>
      <c r="D44" s="5" t="str">
        <f>VLOOKUP($A44,tropes!$A$4:$O$2428,4,FALSE)</f>
        <v>hug</v>
      </c>
      <c r="E44" s="5" t="str">
        <f>VLOOKUP($A44,tropes!$A$4:$O$2428,5,FALSE)</f>
        <v>Makora holds Sayana arms (Male and female native).</v>
      </c>
      <c r="F44" s="5" t="str">
        <f>VLOOKUP($A44,tropes!$A$4:$O$2428,6,FALSE)</f>
        <v>humanoid</v>
      </c>
      <c r="G44" s="5">
        <f>VLOOKUP($A44,tropes!$A$4:$O$2428,7,FALSE)</f>
        <v>0</v>
      </c>
      <c r="H44" s="5">
        <f>VLOOKUP($A44,tropes!$A$4:$O$2428,8,FALSE)</f>
        <v>0</v>
      </c>
      <c r="I44" s="5">
        <f>VLOOKUP($A44,tropes!$A$4:$O$2428,9,FALSE)</f>
        <v>205</v>
      </c>
      <c r="J44" s="5">
        <f>VLOOKUP($A44,tropes!$A$4:$O$2428,10,FALSE)</f>
        <v>35</v>
      </c>
      <c r="K44" s="5" t="str">
        <f>VLOOKUP($A44,tropes!$A$4:$O$2428,11,FALSE)</f>
        <v>The Apple</v>
      </c>
      <c r="L44" s="5">
        <f>VLOOKUP($A44,tropes!$A$4:$O$2428,12,FALSE)</f>
        <v>2</v>
      </c>
      <c r="M44" s="5">
        <f>VLOOKUP($A44,tropes!$A$4:$O$2428,13,FALSE)</f>
        <v>5</v>
      </c>
      <c r="N44" s="5">
        <f t="shared" si="0"/>
        <v>3</v>
      </c>
    </row>
    <row r="45" spans="1:14" x14ac:dyDescent="0.3">
      <c r="A45" s="14">
        <v>153</v>
      </c>
      <c r="B45" s="5" t="str">
        <f>VLOOKUP($A45,tropes!$A$4:$O$2428,2,FALSE)</f>
        <v>Cuddle Bug</v>
      </c>
      <c r="C45" s="5" t="str">
        <f>VLOOKUP($A45,tropes!$A$4:$O$2428,3,FALSE)</f>
        <v>hugAndKiss</v>
      </c>
      <c r="D45" s="5" t="str">
        <f>VLOOKUP($A45,tropes!$A$4:$O$2428,4,FALSE)</f>
        <v>hug</v>
      </c>
      <c r="E45" s="5" t="str">
        <f>VLOOKUP($A45,tropes!$A$4:$O$2428,5,FALSE)</f>
        <v>Yeoman Martha Landon is embraced from behind by Chekov as they walk through the forest.</v>
      </c>
      <c r="F45" s="5" t="str">
        <f>VLOOKUP($A45,tropes!$A$4:$O$2428,6,FALSE)</f>
        <v>chekov</v>
      </c>
      <c r="G45" s="5">
        <f>VLOOKUP($A45,tropes!$A$4:$O$2428,7,FALSE)</f>
        <v>0</v>
      </c>
      <c r="H45" s="5">
        <f>VLOOKUP($A45,tropes!$A$4:$O$2428,8,FALSE)</f>
        <v>2</v>
      </c>
      <c r="I45" s="5">
        <f>VLOOKUP($A45,tropes!$A$4:$O$2428,9,FALSE)</f>
        <v>205</v>
      </c>
      <c r="J45" s="5">
        <f>VLOOKUP($A45,tropes!$A$4:$O$2428,10,FALSE)</f>
        <v>35</v>
      </c>
      <c r="K45" s="5" t="str">
        <f>VLOOKUP($A45,tropes!$A$4:$O$2428,11,FALSE)</f>
        <v>The Apple</v>
      </c>
      <c r="L45" s="5">
        <f>VLOOKUP($A45,tropes!$A$4:$O$2428,12,FALSE)</f>
        <v>2</v>
      </c>
      <c r="M45" s="5">
        <f>VLOOKUP($A45,tropes!$A$4:$O$2428,13,FALSE)</f>
        <v>5</v>
      </c>
      <c r="N45" s="5">
        <f t="shared" si="0"/>
        <v>4</v>
      </c>
    </row>
    <row r="46" spans="1:14" x14ac:dyDescent="0.3">
      <c r="A46" s="14">
        <v>150</v>
      </c>
      <c r="B46" s="5" t="str">
        <f>VLOOKUP($A46,tropes!$A$4:$O$2428,2,FALSE)</f>
        <v>Almost Kiss</v>
      </c>
      <c r="C46" s="5" t="str">
        <f>VLOOKUP($A46,tropes!$A$4:$O$2428,3,FALSE)</f>
        <v>hugAndKiss</v>
      </c>
      <c r="D46" s="5" t="str">
        <f>VLOOKUP($A46,tropes!$A$4:$O$2428,4,FALSE)</f>
        <v>kiss</v>
      </c>
      <c r="E46" s="5" t="str">
        <f>VLOOKUP($A46,tropes!$A$4:$O$2428,5,FALSE)</f>
        <v>Averted: Chekov about to kiss Yeoman Landon but interrupted when Kirk returns.</v>
      </c>
      <c r="F46" s="5" t="str">
        <f>VLOOKUP($A46,tropes!$A$4:$O$2428,6,FALSE)</f>
        <v>chekov</v>
      </c>
      <c r="G46" s="5">
        <f>VLOOKUP($A46,tropes!$A$4:$O$2428,7,FALSE)</f>
        <v>0</v>
      </c>
      <c r="H46" s="5">
        <f>VLOOKUP($A46,tropes!$A$4:$O$2428,8,FALSE)</f>
        <v>2</v>
      </c>
      <c r="I46" s="5">
        <f>VLOOKUP($A46,tropes!$A$4:$O$2428,9,FALSE)</f>
        <v>205</v>
      </c>
      <c r="J46" s="5">
        <f>VLOOKUP($A46,tropes!$A$4:$O$2428,10,FALSE)</f>
        <v>35</v>
      </c>
      <c r="K46" s="5" t="str">
        <f>VLOOKUP($A46,tropes!$A$4:$O$2428,11,FALSE)</f>
        <v>The Apple</v>
      </c>
      <c r="L46" s="5">
        <f>VLOOKUP($A46,tropes!$A$4:$O$2428,12,FALSE)</f>
        <v>2</v>
      </c>
      <c r="M46" s="5">
        <f>VLOOKUP($A46,tropes!$A$4:$O$2428,13,FALSE)</f>
        <v>5</v>
      </c>
      <c r="N46" s="5">
        <f t="shared" si="0"/>
        <v>5</v>
      </c>
    </row>
    <row r="47" spans="1:14" x14ac:dyDescent="0.3">
      <c r="A47" s="14">
        <v>142</v>
      </c>
      <c r="B47" s="5" t="str">
        <f>VLOOKUP($A47,tropes!$A$4:$O$2428,2,FALSE)</f>
        <v>Instant Seduction</v>
      </c>
      <c r="C47" s="5" t="str">
        <f>VLOOKUP($A47,tropes!$A$4:$O$2428,3,FALSE)</f>
        <v>hugAndKiss</v>
      </c>
      <c r="D47" s="5" t="str">
        <f>VLOOKUP($A47,tropes!$A$4:$O$2428,4,FALSE)</f>
        <v>kiss</v>
      </c>
      <c r="E47" s="5" t="str">
        <f>VLOOKUP($A47,tropes!$A$4:$O$2428,5,FALSE)</f>
        <v>Chekov kisses Yeoman Martha Landon.</v>
      </c>
      <c r="F47" s="5" t="str">
        <f>VLOOKUP($A47,tropes!$A$4:$O$2428,6,FALSE)</f>
        <v>chekov</v>
      </c>
      <c r="G47" s="5">
        <f>VLOOKUP($A47,tropes!$A$4:$O$2428,7,FALSE)</f>
        <v>0</v>
      </c>
      <c r="H47" s="5">
        <f>VLOOKUP($A47,tropes!$A$4:$O$2428,8,FALSE)</f>
        <v>2</v>
      </c>
      <c r="I47" s="5">
        <f>VLOOKUP($A47,tropes!$A$4:$O$2428,9,FALSE)</f>
        <v>205</v>
      </c>
      <c r="J47" s="5">
        <f>VLOOKUP($A47,tropes!$A$4:$O$2428,10,FALSE)</f>
        <v>35</v>
      </c>
      <c r="K47" s="5" t="str">
        <f>VLOOKUP($A47,tropes!$A$4:$O$2428,11,FALSE)</f>
        <v>The Apple</v>
      </c>
      <c r="L47" s="5">
        <f>VLOOKUP($A47,tropes!$A$4:$O$2428,12,FALSE)</f>
        <v>2</v>
      </c>
      <c r="M47" s="5">
        <f>VLOOKUP($A47,tropes!$A$4:$O$2428,13,FALSE)</f>
        <v>5</v>
      </c>
      <c r="N47" s="5">
        <f t="shared" si="0"/>
        <v>6</v>
      </c>
    </row>
    <row r="48" spans="1:14" x14ac:dyDescent="0.3">
      <c r="A48" s="14">
        <v>156</v>
      </c>
      <c r="B48" s="5" t="str">
        <f>VLOOKUP($A48,tropes!$A$4:$O$2428,2,FALSE)</f>
        <v>Instant Seduction</v>
      </c>
      <c r="C48" s="5" t="str">
        <f>VLOOKUP($A48,tropes!$A$4:$O$2428,3,FALSE)</f>
        <v>hugAndKiss</v>
      </c>
      <c r="D48" s="5" t="str">
        <f>VLOOKUP($A48,tropes!$A$4:$O$2428,4,FALSE)</f>
        <v>kiss</v>
      </c>
      <c r="E48" s="5" t="str">
        <f>VLOOKUP($A48,tropes!$A$4:$O$2428,5,FALSE)</f>
        <v>Chekov kisses Yeoman Martha London's neck.</v>
      </c>
      <c r="F48" s="5" t="str">
        <f>VLOOKUP($A48,tropes!$A$4:$O$2428,6,FALSE)</f>
        <v>chekov</v>
      </c>
      <c r="G48" s="5">
        <f>VLOOKUP($A48,tropes!$A$4:$O$2428,7,FALSE)</f>
        <v>0</v>
      </c>
      <c r="H48" s="5">
        <f>VLOOKUP($A48,tropes!$A$4:$O$2428,8,FALSE)</f>
        <v>2</v>
      </c>
      <c r="I48" s="5">
        <f>VLOOKUP($A48,tropes!$A$4:$O$2428,9,FALSE)</f>
        <v>205</v>
      </c>
      <c r="J48" s="5">
        <f>VLOOKUP($A48,tropes!$A$4:$O$2428,10,FALSE)</f>
        <v>35</v>
      </c>
      <c r="K48" s="5" t="str">
        <f>VLOOKUP($A48,tropes!$A$4:$O$2428,11,FALSE)</f>
        <v>The Apple</v>
      </c>
      <c r="L48" s="5">
        <f>VLOOKUP($A48,tropes!$A$4:$O$2428,12,FALSE)</f>
        <v>2</v>
      </c>
      <c r="M48" s="5">
        <f>VLOOKUP($A48,tropes!$A$4:$O$2428,13,FALSE)</f>
        <v>5</v>
      </c>
      <c r="N48" s="5">
        <f t="shared" si="0"/>
        <v>7</v>
      </c>
    </row>
    <row r="49" spans="1:14" x14ac:dyDescent="0.3">
      <c r="A49" s="14">
        <v>1350</v>
      </c>
      <c r="B49" s="5" t="str">
        <f>VLOOKUP($A49,tropes!$A$4:$O$2428,2,FALSE)</f>
        <v>Blatant Lies</v>
      </c>
      <c r="C49" s="5" t="str">
        <f>VLOOKUP($A49,tropes!$A$4:$O$2428,3,FALSE)</f>
        <v>hugAndKiss</v>
      </c>
      <c r="D49" s="5" t="str">
        <f>VLOOKUP($A49,tropes!$A$4:$O$2428,4,FALSE)</f>
        <v>hug</v>
      </c>
      <c r="E49" s="5" t="str">
        <f>VLOOKUP($A49,tropes!$A$4:$O$2428,5,FALSE)</f>
        <v>Kirk holds Sylvia's arms from behind while caressing her.</v>
      </c>
      <c r="F49" s="5" t="str">
        <f>VLOOKUP($A49,tropes!$A$4:$O$2428,6,FALSE)</f>
        <v>kirk</v>
      </c>
      <c r="G49" s="5">
        <f>VLOOKUP($A49,tropes!$A$4:$O$2428,7,FALSE)</f>
        <v>1</v>
      </c>
      <c r="H49" s="5">
        <f>VLOOKUP($A49,tropes!$A$4:$O$2428,8,FALSE)</f>
        <v>0</v>
      </c>
      <c r="I49" s="5">
        <f>VLOOKUP($A49,tropes!$A$4:$O$2428,9,FALSE)</f>
        <v>207</v>
      </c>
      <c r="J49" s="5">
        <f>VLOOKUP($A49,tropes!$A$4:$O$2428,10,FALSE)</f>
        <v>37</v>
      </c>
      <c r="K49" s="5" t="str">
        <f>VLOOKUP($A49,tropes!$A$4:$O$2428,11,FALSE)</f>
        <v>Catspaw</v>
      </c>
      <c r="L49" s="5">
        <f>VLOOKUP($A49,tropes!$A$4:$O$2428,12,FALSE)</f>
        <v>2</v>
      </c>
      <c r="M49" s="5">
        <f>VLOOKUP($A49,tropes!$A$4:$O$2428,13,FALSE)</f>
        <v>7</v>
      </c>
      <c r="N49" s="5">
        <f t="shared" si="0"/>
        <v>0</v>
      </c>
    </row>
    <row r="50" spans="1:14" x14ac:dyDescent="0.3">
      <c r="A50" s="14">
        <v>1354</v>
      </c>
      <c r="B50" s="5" t="str">
        <f>VLOOKUP($A50,tropes!$A$4:$O$2428,2,FALSE)</f>
        <v>Instant Seduction</v>
      </c>
      <c r="C50" s="5" t="str">
        <f>VLOOKUP($A50,tropes!$A$4:$O$2428,3,FALSE)</f>
        <v>hugAndKiss</v>
      </c>
      <c r="D50" s="5" t="str">
        <f>VLOOKUP($A50,tropes!$A$4:$O$2428,4,FALSE)</f>
        <v>kiss</v>
      </c>
      <c r="E50" s="5" t="str">
        <f>VLOOKUP($A50,tropes!$A$4:$O$2428,5,FALSE)</f>
        <v>Kirk kisses Sylvia passionately and she kisses him back. | Kirk: You're a very beautiful woman.</v>
      </c>
      <c r="F50" s="5" t="str">
        <f>VLOOKUP($A50,tropes!$A$4:$O$2428,6,FALSE)</f>
        <v>kirk</v>
      </c>
      <c r="G50" s="5">
        <f>VLOOKUP($A50,tropes!$A$4:$O$2428,7,FALSE)</f>
        <v>1</v>
      </c>
      <c r="H50" s="5">
        <f>VLOOKUP($A50,tropes!$A$4:$O$2428,8,FALSE)</f>
        <v>0</v>
      </c>
      <c r="I50" s="5">
        <f>VLOOKUP($A50,tropes!$A$4:$O$2428,9,FALSE)</f>
        <v>207</v>
      </c>
      <c r="J50" s="5">
        <f>VLOOKUP($A50,tropes!$A$4:$O$2428,10,FALSE)</f>
        <v>37</v>
      </c>
      <c r="K50" s="5" t="str">
        <f>VLOOKUP($A50,tropes!$A$4:$O$2428,11,FALSE)</f>
        <v>Catspaw</v>
      </c>
      <c r="L50" s="5">
        <f>VLOOKUP($A50,tropes!$A$4:$O$2428,12,FALSE)</f>
        <v>2</v>
      </c>
      <c r="M50" s="5">
        <f>VLOOKUP($A50,tropes!$A$4:$O$2428,13,FALSE)</f>
        <v>7</v>
      </c>
      <c r="N50" s="5">
        <f t="shared" si="0"/>
        <v>1</v>
      </c>
    </row>
    <row r="51" spans="1:14" x14ac:dyDescent="0.3">
      <c r="A51" s="14">
        <v>1436</v>
      </c>
      <c r="B51" s="5" t="str">
        <f>VLOOKUP($A51,tropes!$A$4:$O$2428,2,FALSE)</f>
        <v>hug happy ***</v>
      </c>
      <c r="C51" s="5" t="str">
        <f>VLOOKUP($A51,tropes!$A$4:$O$2428,3,FALSE)</f>
        <v>hugAndKiss</v>
      </c>
      <c r="D51" s="5" t="str">
        <f>VLOOKUP($A51,tropes!$A$4:$O$2428,4,FALSE)</f>
        <v>hug</v>
      </c>
      <c r="E51" s="5" t="str">
        <f>VLOOKUP($A51,tropes!$A$4:$O$2428,5,FALSE)</f>
        <v>Kirk hugs Uhura after her performance with Alice 1</v>
      </c>
      <c r="F51" s="5" t="str">
        <f>VLOOKUP($A51,tropes!$A$4:$O$2428,6,FALSE)</f>
        <v>kirk</v>
      </c>
      <c r="G51" s="5">
        <f>VLOOKUP($A51,tropes!$A$4:$O$2428,7,FALSE)</f>
        <v>1</v>
      </c>
      <c r="H51" s="5">
        <f>VLOOKUP($A51,tropes!$A$4:$O$2428,8,FALSE)</f>
        <v>0</v>
      </c>
      <c r="I51" s="5">
        <f>VLOOKUP($A51,tropes!$A$4:$O$2428,9,FALSE)</f>
        <v>208</v>
      </c>
      <c r="J51" s="5">
        <f>VLOOKUP($A51,tropes!$A$4:$O$2428,10,FALSE)</f>
        <v>38</v>
      </c>
      <c r="K51" s="5" t="str">
        <f>VLOOKUP($A51,tropes!$A$4:$O$2428,11,FALSE)</f>
        <v>I, Mudd</v>
      </c>
      <c r="L51" s="5">
        <f>VLOOKUP($A51,tropes!$A$4:$O$2428,12,FALSE)</f>
        <v>2</v>
      </c>
      <c r="M51" s="5">
        <f>VLOOKUP($A51,tropes!$A$4:$O$2428,13,FALSE)</f>
        <v>8</v>
      </c>
      <c r="N51" s="5">
        <f t="shared" si="0"/>
        <v>0</v>
      </c>
    </row>
    <row r="52" spans="1:14" x14ac:dyDescent="0.3">
      <c r="A52" s="14">
        <v>398</v>
      </c>
      <c r="B52" s="5" t="str">
        <f>VLOOKUP($A52,tropes!$A$4:$O$2428,2,FALSE)</f>
        <v>Holding Hands</v>
      </c>
      <c r="C52" s="5" t="str">
        <f>VLOOKUP($A52,tropes!$A$4:$O$2428,3,FALSE)</f>
        <v>hugAndKiss</v>
      </c>
      <c r="D52" s="5" t="str">
        <f>VLOOKUP($A52,tropes!$A$4:$O$2428,4,FALSE)</f>
        <v>hold_hands</v>
      </c>
      <c r="E52" s="5" t="str">
        <f>VLOOKUP($A52,tropes!$A$4:$O$2428,5,FALSE)</f>
        <v>Zefrem Cochrane and the Nancy Hedford/Companion hold hands and walk away.</v>
      </c>
      <c r="F52" s="5" t="str">
        <f>VLOOKUP($A52,tropes!$A$4:$O$2428,6,FALSE)</f>
        <v>alien</v>
      </c>
      <c r="G52" s="5">
        <f>VLOOKUP($A52,tropes!$A$4:$O$2428,7,FALSE)</f>
        <v>0</v>
      </c>
      <c r="H52" s="5">
        <f>VLOOKUP($A52,tropes!$A$4:$O$2428,8,FALSE)</f>
        <v>0</v>
      </c>
      <c r="I52" s="5">
        <f>VLOOKUP($A52,tropes!$A$4:$O$2428,9,FALSE)</f>
        <v>209</v>
      </c>
      <c r="J52" s="5">
        <f>VLOOKUP($A52,tropes!$A$4:$O$2428,10,FALSE)</f>
        <v>39</v>
      </c>
      <c r="K52" s="5" t="str">
        <f>VLOOKUP($A52,tropes!$A$4:$O$2428,11,FALSE)</f>
        <v>Metamorphosis</v>
      </c>
      <c r="L52" s="5">
        <f>VLOOKUP($A52,tropes!$A$4:$O$2428,12,FALSE)</f>
        <v>2</v>
      </c>
      <c r="M52" s="5">
        <f>VLOOKUP($A52,tropes!$A$4:$O$2428,13,FALSE)</f>
        <v>9</v>
      </c>
      <c r="N52" s="5">
        <f t="shared" si="0"/>
        <v>0</v>
      </c>
    </row>
    <row r="53" spans="1:14" x14ac:dyDescent="0.3">
      <c r="A53" s="14">
        <v>245</v>
      </c>
      <c r="B53" s="5" t="str">
        <f>VLOOKUP($A53,tropes!$A$4:$O$2428,2,FALSE)</f>
        <v>Hollywood kiss</v>
      </c>
      <c r="C53" s="5" t="str">
        <f>VLOOKUP($A53,tropes!$A$4:$O$2428,3,FALSE)</f>
        <v>hugAndKiss</v>
      </c>
      <c r="D53" s="5" t="str">
        <f>VLOOKUP($A53,tropes!$A$4:$O$2428,4,FALSE)</f>
        <v>kiss</v>
      </c>
      <c r="E53" s="5" t="str">
        <f>VLOOKUP($A53,tropes!$A$4:$O$2428,5,FALSE)</f>
        <v>Zefrem Cochrane kisses Nancy Hedford/Companion</v>
      </c>
      <c r="F53" s="5" t="str">
        <f>VLOOKUP($A53,tropes!$A$4:$O$2428,6,FALSE)</f>
        <v>hedford</v>
      </c>
      <c r="G53" s="5">
        <f>VLOOKUP($A53,tropes!$A$4:$O$2428,7,FALSE)</f>
        <v>0</v>
      </c>
      <c r="H53" s="5">
        <f>VLOOKUP($A53,tropes!$A$4:$O$2428,8,FALSE)</f>
        <v>0</v>
      </c>
      <c r="I53" s="5">
        <f>VLOOKUP($A53,tropes!$A$4:$O$2428,9,FALSE)</f>
        <v>209</v>
      </c>
      <c r="J53" s="5">
        <f>VLOOKUP($A53,tropes!$A$4:$O$2428,10,FALSE)</f>
        <v>39</v>
      </c>
      <c r="K53" s="5" t="str">
        <f>VLOOKUP($A53,tropes!$A$4:$O$2428,11,FALSE)</f>
        <v>Metamorphosis</v>
      </c>
      <c r="L53" s="5">
        <f>VLOOKUP($A53,tropes!$A$4:$O$2428,12,FALSE)</f>
        <v>2</v>
      </c>
      <c r="M53" s="5">
        <f>VLOOKUP($A53,tropes!$A$4:$O$2428,13,FALSE)</f>
        <v>9</v>
      </c>
      <c r="N53" s="5">
        <f t="shared" si="0"/>
        <v>1</v>
      </c>
    </row>
    <row r="54" spans="1:14" x14ac:dyDescent="0.3">
      <c r="A54" s="14">
        <v>402</v>
      </c>
      <c r="B54" s="5" t="str">
        <f>VLOOKUP($A54,tropes!$A$4:$O$2428,2,FALSE)</f>
        <v>Holding Hands</v>
      </c>
      <c r="C54" s="5" t="str">
        <f>VLOOKUP($A54,tropes!$A$4:$O$2428,3,FALSE)</f>
        <v>hugAndKiss</v>
      </c>
      <c r="D54" s="5" t="str">
        <f>VLOOKUP($A54,tropes!$A$4:$O$2428,4,FALSE)</f>
        <v>hold_hands</v>
      </c>
      <c r="E54" s="5" t="str">
        <f>VLOOKUP($A54,tropes!$A$4:$O$2428,5,FALSE)</f>
        <v>Sarek and Amanda lock fingers at the reception</v>
      </c>
      <c r="F54" s="5" t="str">
        <f>VLOOKUP($A54,tropes!$A$4:$O$2428,6,FALSE)</f>
        <v>alien</v>
      </c>
      <c r="G54" s="5">
        <f>VLOOKUP($A54,tropes!$A$4:$O$2428,7,FALSE)</f>
        <v>0</v>
      </c>
      <c r="H54" s="5">
        <f>VLOOKUP($A54,tropes!$A$4:$O$2428,8,FALSE)</f>
        <v>0</v>
      </c>
      <c r="I54" s="5">
        <f>VLOOKUP($A54,tropes!$A$4:$O$2428,9,FALSE)</f>
        <v>210</v>
      </c>
      <c r="J54" s="5">
        <f>VLOOKUP($A54,tropes!$A$4:$O$2428,10,FALSE)</f>
        <v>40</v>
      </c>
      <c r="K54" s="5" t="str">
        <f>VLOOKUP($A54,tropes!$A$4:$O$2428,11,FALSE)</f>
        <v>Journey to Babel</v>
      </c>
      <c r="L54" s="5">
        <f>VLOOKUP($A54,tropes!$A$4:$O$2428,12,FALSE)</f>
        <v>2</v>
      </c>
      <c r="M54" s="5">
        <f>VLOOKUP($A54,tropes!$A$4:$O$2428,13,FALSE)</f>
        <v>10</v>
      </c>
      <c r="N54" s="5">
        <f t="shared" si="0"/>
        <v>0</v>
      </c>
    </row>
    <row r="55" spans="1:14" x14ac:dyDescent="0.3">
      <c r="A55" s="14">
        <v>403</v>
      </c>
      <c r="B55" s="5" t="str">
        <f>VLOOKUP($A55,tropes!$A$4:$O$2428,2,FALSE)</f>
        <v>Holding Hands</v>
      </c>
      <c r="C55" s="5" t="str">
        <f>VLOOKUP($A55,tropes!$A$4:$O$2428,3,FALSE)</f>
        <v>hugAndKiss</v>
      </c>
      <c r="D55" s="5" t="str">
        <f>VLOOKUP($A55,tropes!$A$4:$O$2428,4,FALSE)</f>
        <v>hold_hands</v>
      </c>
      <c r="E55" s="5" t="str">
        <f>VLOOKUP($A55,tropes!$A$4:$O$2428,5,FALSE)</f>
        <v>Sarek and Amanda lock fingers in their quarters after discussing Spock.</v>
      </c>
      <c r="F55" s="5" t="str">
        <f>VLOOKUP($A55,tropes!$A$4:$O$2428,6,FALSE)</f>
        <v>alien</v>
      </c>
      <c r="G55" s="5">
        <f>VLOOKUP($A55,tropes!$A$4:$O$2428,7,FALSE)</f>
        <v>0</v>
      </c>
      <c r="H55" s="5">
        <f>VLOOKUP($A55,tropes!$A$4:$O$2428,8,FALSE)</f>
        <v>0</v>
      </c>
      <c r="I55" s="5">
        <f>VLOOKUP($A55,tropes!$A$4:$O$2428,9,FALSE)</f>
        <v>210</v>
      </c>
      <c r="J55" s="5">
        <f>VLOOKUP($A55,tropes!$A$4:$O$2428,10,FALSE)</f>
        <v>40</v>
      </c>
      <c r="K55" s="5" t="str">
        <f>VLOOKUP($A55,tropes!$A$4:$O$2428,11,FALSE)</f>
        <v>Journey to Babel</v>
      </c>
      <c r="L55" s="5">
        <f>VLOOKUP($A55,tropes!$A$4:$O$2428,12,FALSE)</f>
        <v>2</v>
      </c>
      <c r="M55" s="5">
        <f>VLOOKUP($A55,tropes!$A$4:$O$2428,13,FALSE)</f>
        <v>10</v>
      </c>
      <c r="N55" s="5">
        <f t="shared" si="0"/>
        <v>1</v>
      </c>
    </row>
    <row r="56" spans="1:14" x14ac:dyDescent="0.3">
      <c r="A56" s="14">
        <v>404</v>
      </c>
      <c r="B56" s="5" t="str">
        <f>VLOOKUP($A56,tropes!$A$4:$O$2428,2,FALSE)</f>
        <v>Holding Hands</v>
      </c>
      <c r="C56" s="5" t="str">
        <f>VLOOKUP($A56,tropes!$A$4:$O$2428,3,FALSE)</f>
        <v>hugAndKiss</v>
      </c>
      <c r="D56" s="5" t="str">
        <f>VLOOKUP($A56,tropes!$A$4:$O$2428,4,FALSE)</f>
        <v>hold_hands</v>
      </c>
      <c r="E56" s="5" t="str">
        <f>VLOOKUP($A56,tropes!$A$4:$O$2428,5,FALSE)</f>
        <v>Sarek and Amanda lock fingers upon arrival o the Enterprise</v>
      </c>
      <c r="F56" s="5" t="str">
        <f>VLOOKUP($A56,tropes!$A$4:$O$2428,6,FALSE)</f>
        <v>alien</v>
      </c>
      <c r="G56" s="5">
        <f>VLOOKUP($A56,tropes!$A$4:$O$2428,7,FALSE)</f>
        <v>0</v>
      </c>
      <c r="H56" s="5">
        <f>VLOOKUP($A56,tropes!$A$4:$O$2428,8,FALSE)</f>
        <v>0</v>
      </c>
      <c r="I56" s="5">
        <f>VLOOKUP($A56,tropes!$A$4:$O$2428,9,FALSE)</f>
        <v>210</v>
      </c>
      <c r="J56" s="5">
        <f>VLOOKUP($A56,tropes!$A$4:$O$2428,10,FALSE)</f>
        <v>40</v>
      </c>
      <c r="K56" s="5" t="str">
        <f>VLOOKUP($A56,tropes!$A$4:$O$2428,11,FALSE)</f>
        <v>Journey to Babel</v>
      </c>
      <c r="L56" s="5">
        <f>VLOOKUP($A56,tropes!$A$4:$O$2428,12,FALSE)</f>
        <v>2</v>
      </c>
      <c r="M56" s="5">
        <f>VLOOKUP($A56,tropes!$A$4:$O$2428,13,FALSE)</f>
        <v>10</v>
      </c>
      <c r="N56" s="5">
        <f t="shared" si="0"/>
        <v>2</v>
      </c>
    </row>
    <row r="57" spans="1:14" x14ac:dyDescent="0.3">
      <c r="A57" s="14">
        <v>405</v>
      </c>
      <c r="B57" s="5" t="str">
        <f>VLOOKUP($A57,tropes!$A$4:$O$2428,2,FALSE)</f>
        <v>Holding Hands</v>
      </c>
      <c r="C57" s="5" t="str">
        <f>VLOOKUP($A57,tropes!$A$4:$O$2428,3,FALSE)</f>
        <v>hugAndKiss</v>
      </c>
      <c r="D57" s="5" t="str">
        <f>VLOOKUP($A57,tropes!$A$4:$O$2428,4,FALSE)</f>
        <v>hold_hands</v>
      </c>
      <c r="E57" s="5" t="str">
        <f>VLOOKUP($A57,tropes!$A$4:$O$2428,5,FALSE)</f>
        <v>Sarek and Amanda lock fingers while on tour in engineering</v>
      </c>
      <c r="F57" s="5" t="str">
        <f>VLOOKUP($A57,tropes!$A$4:$O$2428,6,FALSE)</f>
        <v>alien</v>
      </c>
      <c r="G57" s="5">
        <f>VLOOKUP($A57,tropes!$A$4:$O$2428,7,FALSE)</f>
        <v>0</v>
      </c>
      <c r="H57" s="5">
        <f>VLOOKUP($A57,tropes!$A$4:$O$2428,8,FALSE)</f>
        <v>0</v>
      </c>
      <c r="I57" s="5">
        <f>VLOOKUP($A57,tropes!$A$4:$O$2428,9,FALSE)</f>
        <v>210</v>
      </c>
      <c r="J57" s="5">
        <f>VLOOKUP($A57,tropes!$A$4:$O$2428,10,FALSE)</f>
        <v>40</v>
      </c>
      <c r="K57" s="5" t="str">
        <f>VLOOKUP($A57,tropes!$A$4:$O$2428,11,FALSE)</f>
        <v>Journey to Babel</v>
      </c>
      <c r="L57" s="5">
        <f>VLOOKUP($A57,tropes!$A$4:$O$2428,12,FALSE)</f>
        <v>2</v>
      </c>
      <c r="M57" s="5">
        <f>VLOOKUP($A57,tropes!$A$4:$O$2428,13,FALSE)</f>
        <v>10</v>
      </c>
      <c r="N57" s="5">
        <f t="shared" si="0"/>
        <v>3</v>
      </c>
    </row>
    <row r="58" spans="1:14" x14ac:dyDescent="0.3">
      <c r="A58" s="14">
        <v>406</v>
      </c>
      <c r="B58" s="5" t="str">
        <f>VLOOKUP($A58,tropes!$A$4:$O$2428,2,FALSE)</f>
        <v>Holding Hands</v>
      </c>
      <c r="C58" s="5" t="str">
        <f>VLOOKUP($A58,tropes!$A$4:$O$2428,3,FALSE)</f>
        <v>hugAndKiss</v>
      </c>
      <c r="D58" s="5" t="str">
        <f>VLOOKUP($A58,tropes!$A$4:$O$2428,4,FALSE)</f>
        <v>hold_hands</v>
      </c>
      <c r="E58" s="5" t="str">
        <f>VLOOKUP($A58,tropes!$A$4:$O$2428,5,FALSE)</f>
        <v>Sarek and Amanda lock fingers while Sarek is in sick bay</v>
      </c>
      <c r="F58" s="5" t="str">
        <f>VLOOKUP($A58,tropes!$A$4:$O$2428,6,FALSE)</f>
        <v>alien</v>
      </c>
      <c r="G58" s="5">
        <f>VLOOKUP($A58,tropes!$A$4:$O$2428,7,FALSE)</f>
        <v>0</v>
      </c>
      <c r="H58" s="5">
        <f>VLOOKUP($A58,tropes!$A$4:$O$2428,8,FALSE)</f>
        <v>0</v>
      </c>
      <c r="I58" s="5">
        <f>VLOOKUP($A58,tropes!$A$4:$O$2428,9,FALSE)</f>
        <v>210</v>
      </c>
      <c r="J58" s="5">
        <f>VLOOKUP($A58,tropes!$A$4:$O$2428,10,FALSE)</f>
        <v>40</v>
      </c>
      <c r="K58" s="5" t="str">
        <f>VLOOKUP($A58,tropes!$A$4:$O$2428,11,FALSE)</f>
        <v>Journey to Babel</v>
      </c>
      <c r="L58" s="5">
        <f>VLOOKUP($A58,tropes!$A$4:$O$2428,12,FALSE)</f>
        <v>2</v>
      </c>
      <c r="M58" s="5">
        <f>VLOOKUP($A58,tropes!$A$4:$O$2428,13,FALSE)</f>
        <v>10</v>
      </c>
      <c r="N58" s="5">
        <f t="shared" si="0"/>
        <v>4</v>
      </c>
    </row>
    <row r="59" spans="1:14" x14ac:dyDescent="0.3">
      <c r="A59" s="14">
        <v>1448</v>
      </c>
      <c r="B59" s="5" t="str">
        <f>VLOOKUP($A59,tropes!$A$4:$O$2428,2,FALSE)</f>
        <v>kissing under the influence</v>
      </c>
      <c r="C59" s="5" t="str">
        <f>VLOOKUP($A59,tropes!$A$4:$O$2428,3,FALSE)</f>
        <v>hugAndKiss</v>
      </c>
      <c r="D59" s="5" t="str">
        <f>VLOOKUP($A59,tropes!$A$4:$O$2428,4,FALSE)</f>
        <v>kiss</v>
      </c>
      <c r="E59" s="5" t="str">
        <f>VLOOKUP($A59,tropes!$A$4:$O$2428,5,FALSE)</f>
        <v>Kirk and Uhura forced to kiss by telekinetic aliens.</v>
      </c>
      <c r="F59" s="5" t="str">
        <f>VLOOKUP($A59,tropes!$A$4:$O$2428,6,FALSE)</f>
        <v>kirk</v>
      </c>
      <c r="G59" s="5">
        <f>VLOOKUP($A59,tropes!$A$4:$O$2428,7,FALSE)</f>
        <v>1</v>
      </c>
      <c r="H59" s="5">
        <f>VLOOKUP($A59,tropes!$A$4:$O$2428,8,FALSE)</f>
        <v>0</v>
      </c>
      <c r="I59" s="5">
        <f>VLOOKUP($A59,tropes!$A$4:$O$2428,9,FALSE)</f>
        <v>310</v>
      </c>
      <c r="J59" s="5">
        <f>VLOOKUP($A59,tropes!$A$4:$O$2428,10,FALSE)</f>
        <v>66</v>
      </c>
      <c r="K59" s="5" t="str">
        <f>VLOOKUP($A59,tropes!$A$4:$O$2428,11,FALSE)</f>
        <v>Plato's Stepchildren</v>
      </c>
      <c r="L59" s="5">
        <f>VLOOKUP($A59,tropes!$A$4:$O$2428,12,FALSE)</f>
        <v>3</v>
      </c>
      <c r="M59" s="5">
        <f>VLOOKUP($A59,tropes!$A$4:$O$2428,13,FALSE)</f>
        <v>10</v>
      </c>
      <c r="N59" s="5">
        <f t="shared" si="0"/>
        <v>0</v>
      </c>
    </row>
    <row r="60" spans="1:14" x14ac:dyDescent="0.3">
      <c r="A60" s="14">
        <v>1450</v>
      </c>
      <c r="B60" s="5" t="str">
        <f>VLOOKUP($A60,tropes!$A$4:$O$2428,2,FALSE)</f>
        <v>kissing under the influence</v>
      </c>
      <c r="C60" s="5" t="str">
        <f>VLOOKUP($A60,tropes!$A$4:$O$2428,3,FALSE)</f>
        <v>hugAndKiss</v>
      </c>
      <c r="D60" s="5" t="str">
        <f>VLOOKUP($A60,tropes!$A$4:$O$2428,4,FALSE)</f>
        <v>kiss</v>
      </c>
      <c r="E60" s="5" t="str">
        <f>VLOOKUP($A60,tropes!$A$4:$O$2428,5,FALSE)</f>
        <v>Spock and Nurse Chapel forced to kiss by telekinetic aliens.</v>
      </c>
      <c r="F60" s="5" t="str">
        <f>VLOOKUP($A60,tropes!$A$4:$O$2428,6,FALSE)</f>
        <v>kirk</v>
      </c>
      <c r="G60" s="5">
        <f>VLOOKUP($A60,tropes!$A$4:$O$2428,7,FALSE)</f>
        <v>1</v>
      </c>
      <c r="H60" s="5">
        <f>VLOOKUP($A60,tropes!$A$4:$O$2428,8,FALSE)</f>
        <v>0</v>
      </c>
      <c r="I60" s="5">
        <f>VLOOKUP($A60,tropes!$A$4:$O$2428,9,FALSE)</f>
        <v>310</v>
      </c>
      <c r="J60" s="5">
        <f>VLOOKUP($A60,tropes!$A$4:$O$2428,10,FALSE)</f>
        <v>66</v>
      </c>
      <c r="K60" s="5" t="str">
        <f>VLOOKUP($A60,tropes!$A$4:$O$2428,11,FALSE)</f>
        <v>Plato's Stepchildren</v>
      </c>
      <c r="L60" s="5">
        <f>VLOOKUP($A60,tropes!$A$4:$O$2428,12,FALSE)</f>
        <v>3</v>
      </c>
      <c r="M60" s="5">
        <f>VLOOKUP($A60,tropes!$A$4:$O$2428,13,FALSE)</f>
        <v>10</v>
      </c>
      <c r="N60" s="5">
        <f t="shared" si="0"/>
        <v>1</v>
      </c>
    </row>
  </sheetData>
  <sortState ref="A2:N60">
    <sortCondition ref="I2:I60"/>
    <sortCondition ref="D2:D60"/>
    <sortCondition ref="E2:E60"/>
  </sortState>
  <conditionalFormatting sqref="B1:C1">
    <cfRule type="expression" dxfId="9" priority="2">
      <formula>O1&gt;0</formula>
    </cfRule>
  </conditionalFormatting>
  <conditionalFormatting sqref="A2:A60">
    <cfRule type="containsBlanks" dxfId="8" priority="1">
      <formula>LEN(TRIM(A2))=0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CC"/>
  </sheetPr>
  <dimension ref="A1:N160"/>
  <sheetViews>
    <sheetView workbookViewId="0"/>
  </sheetViews>
  <sheetFormatPr defaultRowHeight="12" x14ac:dyDescent="0.3"/>
  <cols>
    <col min="1" max="1" width="7.33203125" bestFit="1" customWidth="1"/>
    <col min="2" max="2" width="11.77734375" bestFit="1" customWidth="1"/>
    <col min="3" max="3" width="12" bestFit="1" customWidth="1"/>
    <col min="4" max="4" width="5.77734375" bestFit="1" customWidth="1"/>
    <col min="5" max="5" width="84.33203125" bestFit="1" customWidth="1"/>
    <col min="6" max="6" width="11.109375" bestFit="1" customWidth="1"/>
    <col min="7" max="7" width="7.109375" bestFit="1" customWidth="1"/>
    <col min="8" max="8" width="6.77734375" bestFit="1" customWidth="1"/>
    <col min="9" max="9" width="7.6640625" bestFit="1" customWidth="1"/>
    <col min="10" max="10" width="7.44140625" bestFit="1" customWidth="1"/>
    <col min="11" max="11" width="26.77734375" bestFit="1" customWidth="1"/>
    <col min="12" max="12" width="2.109375" bestFit="1" customWidth="1"/>
    <col min="13" max="13" width="3.109375" bestFit="1" customWidth="1"/>
    <col min="14" max="14" width="15.6640625" bestFit="1" customWidth="1"/>
  </cols>
  <sheetData>
    <row r="1" spans="1:14" x14ac:dyDescent="0.3">
      <c r="A1" s="5" t="s">
        <v>160</v>
      </c>
      <c r="B1" s="1" t="s">
        <v>3</v>
      </c>
      <c r="C1" s="1" t="s">
        <v>2601</v>
      </c>
      <c r="D1" s="1" t="s">
        <v>150</v>
      </c>
      <c r="E1" s="1" t="s">
        <v>164</v>
      </c>
      <c r="F1" s="1" t="s">
        <v>183</v>
      </c>
      <c r="G1" s="14" t="s">
        <v>744</v>
      </c>
      <c r="H1" s="14" t="s">
        <v>758</v>
      </c>
      <c r="I1" s="14" t="s">
        <v>161</v>
      </c>
      <c r="J1" s="15" t="s">
        <v>15</v>
      </c>
      <c r="K1" s="16" t="s">
        <v>16</v>
      </c>
      <c r="L1" s="16" t="s">
        <v>157</v>
      </c>
      <c r="M1" s="16" t="s">
        <v>158</v>
      </c>
      <c r="N1" s="14" t="s">
        <v>182</v>
      </c>
    </row>
    <row r="2" spans="1:14" x14ac:dyDescent="0.3">
      <c r="A2" s="14">
        <v>246</v>
      </c>
      <c r="B2" s="5" t="str">
        <f>VLOOKUP($A2,tropes!$A$4:$O$2428,2,FALSE)</f>
        <v>Landing Party</v>
      </c>
      <c r="C2" s="5" t="str">
        <f>VLOOKUP($A2,tropes!$A$4:$O$2428,3,FALSE)</f>
        <v>landing_party</v>
      </c>
      <c r="D2" s="5">
        <f>VLOOKUP($A2,tropes!$A$4:$O$2428,4,FALSE)</f>
        <v>0</v>
      </c>
      <c r="E2" s="5" t="str">
        <f>VLOOKUP($A2,tropes!$A$4:$O$2428,5,FALSE)</f>
        <v>Crewman (1)</v>
      </c>
      <c r="F2" s="5" t="str">
        <f>VLOOKUP($A2,tropes!$A$4:$O$2428,6,FALSE)</f>
        <v>human</v>
      </c>
      <c r="G2" s="5">
        <f>VLOOKUP($A2,tropes!$A$4:$O$2428,7,FALSE)</f>
        <v>0</v>
      </c>
      <c r="H2" s="5">
        <f>VLOOKUP($A2,tropes!$A$4:$O$2428,8,FALSE)</f>
        <v>0</v>
      </c>
      <c r="I2" s="5">
        <f>VLOOKUP($A2,tropes!$A$4:$O$2428,9,FALSE)</f>
        <v>100</v>
      </c>
      <c r="J2" s="5">
        <f>VLOOKUP($A2,tropes!$A$4:$O$2428,10,FALSE)</f>
        <v>1</v>
      </c>
      <c r="K2" s="5" t="str">
        <f>VLOOKUP($A2,tropes!$A$4:$O$2428,11,FALSE)</f>
        <v>The Cage</v>
      </c>
      <c r="L2" s="5">
        <f>VLOOKUP($A2,tropes!$A$4:$O$2428,12,FALSE)</f>
        <v>1</v>
      </c>
      <c r="M2" s="5">
        <f>VLOOKUP($A2,tropes!$A$4:$O$2428,13,FALSE)</f>
        <v>0</v>
      </c>
      <c r="N2" s="5">
        <v>0</v>
      </c>
    </row>
    <row r="3" spans="1:14" x14ac:dyDescent="0.3">
      <c r="A3" s="14">
        <v>247</v>
      </c>
      <c r="B3" s="5" t="str">
        <f>VLOOKUP($A3,tropes!$A$4:$O$2428,2,FALSE)</f>
        <v>Landing Party</v>
      </c>
      <c r="C3" s="5" t="str">
        <f>VLOOKUP($A3,tropes!$A$4:$O$2428,3,FALSE)</f>
        <v>landing_party</v>
      </c>
      <c r="D3" s="5">
        <f>VLOOKUP($A3,tropes!$A$4:$O$2428,4,FALSE)</f>
        <v>0</v>
      </c>
      <c r="E3" s="5" t="str">
        <f>VLOOKUP($A3,tropes!$A$4:$O$2428,5,FALSE)</f>
        <v>Crewman (2)</v>
      </c>
      <c r="F3" s="5" t="str">
        <f>VLOOKUP($A3,tropes!$A$4:$O$2428,6,FALSE)</f>
        <v>human</v>
      </c>
      <c r="G3" s="5">
        <f>VLOOKUP($A3,tropes!$A$4:$O$2428,7,FALSE)</f>
        <v>0</v>
      </c>
      <c r="H3" s="5">
        <f>VLOOKUP($A3,tropes!$A$4:$O$2428,8,FALSE)</f>
        <v>0</v>
      </c>
      <c r="I3" s="5">
        <f>VLOOKUP($A3,tropes!$A$4:$O$2428,9,FALSE)</f>
        <v>100</v>
      </c>
      <c r="J3" s="5">
        <f>VLOOKUP($A3,tropes!$A$4:$O$2428,10,FALSE)</f>
        <v>1</v>
      </c>
      <c r="K3" s="5" t="str">
        <f>VLOOKUP($A3,tropes!$A$4:$O$2428,11,FALSE)</f>
        <v>The Cage</v>
      </c>
      <c r="L3" s="5">
        <f>VLOOKUP($A3,tropes!$A$4:$O$2428,12,FALSE)</f>
        <v>1</v>
      </c>
      <c r="M3" s="5">
        <f>VLOOKUP($A3,tropes!$A$4:$O$2428,13,FALSE)</f>
        <v>0</v>
      </c>
      <c r="N3" s="5">
        <f>IF(I3&lt;&gt;I2,0,N2+1)</f>
        <v>1</v>
      </c>
    </row>
    <row r="4" spans="1:14" x14ac:dyDescent="0.3">
      <c r="A4" s="14">
        <v>92</v>
      </c>
      <c r="B4" s="5" t="str">
        <f>VLOOKUP($A4,tropes!$A$4:$O$2428,2,FALSE)</f>
        <v>Landing Party</v>
      </c>
      <c r="C4" s="5" t="str">
        <f>VLOOKUP($A4,tropes!$A$4:$O$2428,3,FALSE)</f>
        <v>landing_party</v>
      </c>
      <c r="D4" s="5">
        <f>VLOOKUP($A4,tropes!$A$4:$O$2428,4,FALSE)</f>
        <v>0</v>
      </c>
      <c r="E4" s="5" t="str">
        <f>VLOOKUP($A4,tropes!$A$4:$O$2428,5,FALSE)</f>
        <v>Dr. Boyce</v>
      </c>
      <c r="F4" s="5" t="str">
        <f>VLOOKUP($A4,tropes!$A$4:$O$2428,6,FALSE)</f>
        <v>blueshirt</v>
      </c>
      <c r="G4" s="5">
        <f>VLOOKUP($A4,tropes!$A$4:$O$2428,7,FALSE)</f>
        <v>0</v>
      </c>
      <c r="H4" s="5">
        <f>VLOOKUP($A4,tropes!$A$4:$O$2428,8,FALSE)</f>
        <v>0</v>
      </c>
      <c r="I4" s="5">
        <f>VLOOKUP($A4,tropes!$A$4:$O$2428,9,FALSE)</f>
        <v>100</v>
      </c>
      <c r="J4" s="5">
        <f>VLOOKUP($A4,tropes!$A$4:$O$2428,10,FALSE)</f>
        <v>1</v>
      </c>
      <c r="K4" s="5" t="str">
        <f>VLOOKUP($A4,tropes!$A$4:$O$2428,11,FALSE)</f>
        <v>The Cage</v>
      </c>
      <c r="L4" s="5">
        <f>VLOOKUP($A4,tropes!$A$4:$O$2428,12,FALSE)</f>
        <v>1</v>
      </c>
      <c r="M4" s="5">
        <f>VLOOKUP($A4,tropes!$A$4:$O$2428,13,FALSE)</f>
        <v>0</v>
      </c>
      <c r="N4" s="5">
        <f t="shared" ref="N4:N67" si="0">IF(I4&lt;&gt;I3,0,N3+1)</f>
        <v>2</v>
      </c>
    </row>
    <row r="5" spans="1:14" x14ac:dyDescent="0.3">
      <c r="A5" s="14">
        <v>1796</v>
      </c>
      <c r="B5" s="5" t="str">
        <f>VLOOKUP($A5,tropes!$A$4:$O$2428,2,FALSE)</f>
        <v>Landing Party</v>
      </c>
      <c r="C5" s="5" t="str">
        <f>VLOOKUP($A5,tropes!$A$4:$O$2428,3,FALSE)</f>
        <v>landing_party</v>
      </c>
      <c r="D5" s="5">
        <f>VLOOKUP($A5,tropes!$A$4:$O$2428,4,FALSE)</f>
        <v>0</v>
      </c>
      <c r="E5" s="5" t="str">
        <f>VLOOKUP($A5,tropes!$A$4:$O$2428,5,FALSE)</f>
        <v>Number One</v>
      </c>
      <c r="F5" s="5" t="str">
        <f>VLOOKUP($A5,tropes!$A$4:$O$2428,6,FALSE)</f>
        <v>number_one</v>
      </c>
      <c r="G5" s="5">
        <f>VLOOKUP($A5,tropes!$A$4:$O$2428,7,FALSE)</f>
        <v>0</v>
      </c>
      <c r="H5" s="5">
        <f>VLOOKUP($A5,tropes!$A$4:$O$2428,8,FALSE)</f>
        <v>0</v>
      </c>
      <c r="I5" s="5">
        <f>VLOOKUP($A5,tropes!$A$4:$O$2428,9,FALSE)</f>
        <v>100</v>
      </c>
      <c r="J5" s="5">
        <f>VLOOKUP($A5,tropes!$A$4:$O$2428,10,FALSE)</f>
        <v>1</v>
      </c>
      <c r="K5" s="5" t="str">
        <f>VLOOKUP($A5,tropes!$A$4:$O$2428,11,FALSE)</f>
        <v>The Cage</v>
      </c>
      <c r="L5" s="5">
        <f>VLOOKUP($A5,tropes!$A$4:$O$2428,12,FALSE)</f>
        <v>1</v>
      </c>
      <c r="M5" s="5">
        <f>VLOOKUP($A5,tropes!$A$4:$O$2428,13,FALSE)</f>
        <v>0</v>
      </c>
      <c r="N5" s="5">
        <f t="shared" si="0"/>
        <v>3</v>
      </c>
    </row>
    <row r="6" spans="1:14" x14ac:dyDescent="0.3">
      <c r="A6" s="14">
        <v>1828</v>
      </c>
      <c r="B6" s="5" t="str">
        <f>VLOOKUP($A6,tropes!$A$4:$O$2428,2,FALSE)</f>
        <v>Landing Party</v>
      </c>
      <c r="C6" s="5" t="str">
        <f>VLOOKUP($A6,tropes!$A$4:$O$2428,3,FALSE)</f>
        <v>landing_party</v>
      </c>
      <c r="D6" s="5">
        <f>VLOOKUP($A6,tropes!$A$4:$O$2428,4,FALSE)</f>
        <v>0</v>
      </c>
      <c r="E6" s="5" t="str">
        <f>VLOOKUP($A6,tropes!$A$4:$O$2428,5,FALSE)</f>
        <v>Pike</v>
      </c>
      <c r="F6" s="5" t="str">
        <f>VLOOKUP($A6,tropes!$A$4:$O$2428,6,FALSE)</f>
        <v>pike</v>
      </c>
      <c r="G6" s="5">
        <f>VLOOKUP($A6,tropes!$A$4:$O$2428,7,FALSE)</f>
        <v>0</v>
      </c>
      <c r="H6" s="5">
        <f>VLOOKUP($A6,tropes!$A$4:$O$2428,8,FALSE)</f>
        <v>0</v>
      </c>
      <c r="I6" s="5">
        <f>VLOOKUP($A6,tropes!$A$4:$O$2428,9,FALSE)</f>
        <v>100</v>
      </c>
      <c r="J6" s="5">
        <f>VLOOKUP($A6,tropes!$A$4:$O$2428,10,FALSE)</f>
        <v>1</v>
      </c>
      <c r="K6" s="5" t="str">
        <f>VLOOKUP($A6,tropes!$A$4:$O$2428,11,FALSE)</f>
        <v>The Cage</v>
      </c>
      <c r="L6" s="5">
        <f>VLOOKUP($A6,tropes!$A$4:$O$2428,12,FALSE)</f>
        <v>1</v>
      </c>
      <c r="M6" s="5">
        <f>VLOOKUP($A6,tropes!$A$4:$O$2428,13,FALSE)</f>
        <v>0</v>
      </c>
      <c r="N6" s="5">
        <f t="shared" si="0"/>
        <v>4</v>
      </c>
    </row>
    <row r="7" spans="1:14" x14ac:dyDescent="0.3">
      <c r="A7" s="14">
        <v>2036</v>
      </c>
      <c r="B7" s="5" t="str">
        <f>VLOOKUP($A7,tropes!$A$4:$O$2428,2,FALSE)</f>
        <v>Landing Party</v>
      </c>
      <c r="C7" s="5" t="str">
        <f>VLOOKUP($A7,tropes!$A$4:$O$2428,3,FALSE)</f>
        <v>landing_party</v>
      </c>
      <c r="D7" s="5">
        <f>VLOOKUP($A7,tropes!$A$4:$O$2428,4,FALSE)</f>
        <v>0</v>
      </c>
      <c r="E7" s="5" t="str">
        <f>VLOOKUP($A7,tropes!$A$4:$O$2428,5,FALSE)</f>
        <v>Spock</v>
      </c>
      <c r="F7" s="5" t="str">
        <f>VLOOKUP($A7,tropes!$A$4:$O$2428,6,FALSE)</f>
        <v>spock</v>
      </c>
      <c r="G7" s="5">
        <f>VLOOKUP($A7,tropes!$A$4:$O$2428,7,FALSE)</f>
        <v>1</v>
      </c>
      <c r="H7" s="5">
        <f>VLOOKUP($A7,tropes!$A$4:$O$2428,8,FALSE)</f>
        <v>0</v>
      </c>
      <c r="I7" s="5">
        <f>VLOOKUP($A7,tropes!$A$4:$O$2428,9,FALSE)</f>
        <v>100</v>
      </c>
      <c r="J7" s="5">
        <f>VLOOKUP($A7,tropes!$A$4:$O$2428,10,FALSE)</f>
        <v>1</v>
      </c>
      <c r="K7" s="5" t="str">
        <f>VLOOKUP($A7,tropes!$A$4:$O$2428,11,FALSE)</f>
        <v>The Cage</v>
      </c>
      <c r="L7" s="5">
        <f>VLOOKUP($A7,tropes!$A$4:$O$2428,12,FALSE)</f>
        <v>1</v>
      </c>
      <c r="M7" s="5">
        <f>VLOOKUP($A7,tropes!$A$4:$O$2428,13,FALSE)</f>
        <v>0</v>
      </c>
      <c r="N7" s="5">
        <f t="shared" si="0"/>
        <v>5</v>
      </c>
    </row>
    <row r="8" spans="1:14" x14ac:dyDescent="0.3">
      <c r="A8" s="14">
        <v>207</v>
      </c>
      <c r="B8" s="5" t="str">
        <f>VLOOKUP($A8,tropes!$A$4:$O$2428,2,FALSE)</f>
        <v>Landing Party</v>
      </c>
      <c r="C8" s="5" t="str">
        <f>VLOOKUP($A8,tropes!$A$4:$O$2428,3,FALSE)</f>
        <v>landing_party</v>
      </c>
      <c r="D8" s="5">
        <f>VLOOKUP($A8,tropes!$A$4:$O$2428,4,FALSE)</f>
        <v>0</v>
      </c>
      <c r="E8" s="5" t="str">
        <f>VLOOKUP($A8,tropes!$A$4:$O$2428,5,FALSE)</f>
        <v>Tyler</v>
      </c>
      <c r="F8" s="5" t="str">
        <f>VLOOKUP($A8,tropes!$A$4:$O$2428,6,FALSE)</f>
        <v>goldshirt</v>
      </c>
      <c r="G8" s="5">
        <f>VLOOKUP($A8,tropes!$A$4:$O$2428,7,FALSE)</f>
        <v>0</v>
      </c>
      <c r="H8" s="5">
        <f>VLOOKUP($A8,tropes!$A$4:$O$2428,8,FALSE)</f>
        <v>0</v>
      </c>
      <c r="I8" s="5">
        <f>VLOOKUP($A8,tropes!$A$4:$O$2428,9,FALSE)</f>
        <v>100</v>
      </c>
      <c r="J8" s="5">
        <f>VLOOKUP($A8,tropes!$A$4:$O$2428,10,FALSE)</f>
        <v>1</v>
      </c>
      <c r="K8" s="5" t="str">
        <f>VLOOKUP($A8,tropes!$A$4:$O$2428,11,FALSE)</f>
        <v>The Cage</v>
      </c>
      <c r="L8" s="5">
        <f>VLOOKUP($A8,tropes!$A$4:$O$2428,12,FALSE)</f>
        <v>1</v>
      </c>
      <c r="M8" s="5">
        <f>VLOOKUP($A8,tropes!$A$4:$O$2428,13,FALSE)</f>
        <v>0</v>
      </c>
      <c r="N8" s="5">
        <f t="shared" si="0"/>
        <v>6</v>
      </c>
    </row>
    <row r="9" spans="1:14" x14ac:dyDescent="0.3">
      <c r="A9" s="14">
        <v>164</v>
      </c>
      <c r="B9" s="5" t="str">
        <f>VLOOKUP($A9,tropes!$A$4:$O$2428,2,FALSE)</f>
        <v>Landing Party</v>
      </c>
      <c r="C9" s="5" t="str">
        <f>VLOOKUP($A9,tropes!$A$4:$O$2428,3,FALSE)</f>
        <v>landing_party</v>
      </c>
      <c r="D9" s="5">
        <f>VLOOKUP($A9,tropes!$A$4:$O$2428,4,FALSE)</f>
        <v>0</v>
      </c>
      <c r="E9" s="5" t="str">
        <f>VLOOKUP($A9,tropes!$A$4:$O$2428,5,FALSE)</f>
        <v>Yeoman Colt</v>
      </c>
      <c r="F9" s="5" t="str">
        <f>VLOOKUP($A9,tropes!$A$4:$O$2428,6,FALSE)</f>
        <v>colt</v>
      </c>
      <c r="G9" s="5">
        <f>VLOOKUP($A9,tropes!$A$4:$O$2428,7,FALSE)</f>
        <v>0</v>
      </c>
      <c r="H9" s="5">
        <f>VLOOKUP($A9,tropes!$A$4:$O$2428,8,FALSE)</f>
        <v>0</v>
      </c>
      <c r="I9" s="5">
        <f>VLOOKUP($A9,tropes!$A$4:$O$2428,9,FALSE)</f>
        <v>100</v>
      </c>
      <c r="J9" s="5">
        <f>VLOOKUP($A9,tropes!$A$4:$O$2428,10,FALSE)</f>
        <v>1</v>
      </c>
      <c r="K9" s="5" t="str">
        <f>VLOOKUP($A9,tropes!$A$4:$O$2428,11,FALSE)</f>
        <v>The Cage</v>
      </c>
      <c r="L9" s="5">
        <f>VLOOKUP($A9,tropes!$A$4:$O$2428,12,FALSE)</f>
        <v>1</v>
      </c>
      <c r="M9" s="5">
        <f>VLOOKUP($A9,tropes!$A$4:$O$2428,13,FALSE)</f>
        <v>0</v>
      </c>
      <c r="N9" s="5">
        <f t="shared" si="0"/>
        <v>7</v>
      </c>
    </row>
    <row r="10" spans="1:14" x14ac:dyDescent="0.3">
      <c r="A10" s="14">
        <v>103</v>
      </c>
      <c r="B10" s="5" t="str">
        <f>VLOOKUP($A10,tropes!$A$4:$O$2428,2,FALSE)</f>
        <v>Landing Party</v>
      </c>
      <c r="C10" s="5" t="str">
        <f>VLOOKUP($A10,tropes!$A$4:$O$2428,3,FALSE)</f>
        <v>landing_party</v>
      </c>
      <c r="D10" s="5" t="str">
        <f>VLOOKUP($A10,tropes!$A$4:$O$2428,4,FALSE)</f>
        <v>death</v>
      </c>
      <c r="E10" s="5" t="str">
        <f>VLOOKUP($A10,tropes!$A$4:$O$2428,5,FALSE)</f>
        <v>Darnell (killed by Salt Creature while on M-113.)</v>
      </c>
      <c r="F10" s="5" t="str">
        <f>VLOOKUP($A10,tropes!$A$4:$O$2428,6,FALSE)</f>
        <v>blueshirt</v>
      </c>
      <c r="G10" s="5">
        <f>VLOOKUP($A10,tropes!$A$4:$O$2428,7,FALSE)</f>
        <v>0</v>
      </c>
      <c r="H10" s="5">
        <f>VLOOKUP($A10,tropes!$A$4:$O$2428,8,FALSE)</f>
        <v>0</v>
      </c>
      <c r="I10" s="5">
        <f>VLOOKUP($A10,tropes!$A$4:$O$2428,9,FALSE)</f>
        <v>101</v>
      </c>
      <c r="J10" s="5">
        <f>VLOOKUP($A10,tropes!$A$4:$O$2428,10,FALSE)</f>
        <v>2</v>
      </c>
      <c r="K10" s="5" t="str">
        <f>VLOOKUP($A10,tropes!$A$4:$O$2428,11,FALSE)</f>
        <v>The Man Trap</v>
      </c>
      <c r="L10" s="5">
        <f>VLOOKUP($A10,tropes!$A$4:$O$2428,12,FALSE)</f>
        <v>1</v>
      </c>
      <c r="M10" s="5">
        <f>VLOOKUP($A10,tropes!$A$4:$O$2428,13,FALSE)</f>
        <v>1</v>
      </c>
      <c r="N10" s="5">
        <f t="shared" si="0"/>
        <v>0</v>
      </c>
    </row>
    <row r="11" spans="1:14" x14ac:dyDescent="0.3">
      <c r="A11" s="14">
        <v>209</v>
      </c>
      <c r="B11" s="5" t="str">
        <f>VLOOKUP($A11,tropes!$A$4:$O$2428,2,FALSE)</f>
        <v>Landing Party</v>
      </c>
      <c r="C11" s="5" t="str">
        <f>VLOOKUP($A11,tropes!$A$4:$O$2428,3,FALSE)</f>
        <v>landing_party</v>
      </c>
      <c r="D11" s="5" t="str">
        <f>VLOOKUP($A11,tropes!$A$4:$O$2428,4,FALSE)</f>
        <v>death</v>
      </c>
      <c r="E11" s="5" t="str">
        <f>VLOOKUP($A11,tropes!$A$4:$O$2428,5,FALSE)</f>
        <v>Green (killed by Salt Creature on M-113.)</v>
      </c>
      <c r="F11" s="5" t="str">
        <f>VLOOKUP($A11,tropes!$A$4:$O$2428,6,FALSE)</f>
        <v>goldshirt</v>
      </c>
      <c r="G11" s="5">
        <f>VLOOKUP($A11,tropes!$A$4:$O$2428,7,FALSE)</f>
        <v>0</v>
      </c>
      <c r="H11" s="5">
        <f>VLOOKUP($A11,tropes!$A$4:$O$2428,8,FALSE)</f>
        <v>0</v>
      </c>
      <c r="I11" s="5">
        <f>VLOOKUP($A11,tropes!$A$4:$O$2428,9,FALSE)</f>
        <v>101</v>
      </c>
      <c r="J11" s="5">
        <f>VLOOKUP($A11,tropes!$A$4:$O$2428,10,FALSE)</f>
        <v>2</v>
      </c>
      <c r="K11" s="5" t="str">
        <f>VLOOKUP($A11,tropes!$A$4:$O$2428,11,FALSE)</f>
        <v>The Man Trap</v>
      </c>
      <c r="L11" s="5">
        <f>VLOOKUP($A11,tropes!$A$4:$O$2428,12,FALSE)</f>
        <v>1</v>
      </c>
      <c r="M11" s="5">
        <f>VLOOKUP($A11,tropes!$A$4:$O$2428,13,FALSE)</f>
        <v>1</v>
      </c>
      <c r="N11" s="5">
        <f t="shared" si="0"/>
        <v>1</v>
      </c>
    </row>
    <row r="12" spans="1:14" x14ac:dyDescent="0.3">
      <c r="A12" s="14">
        <v>104</v>
      </c>
      <c r="B12" s="5" t="str">
        <f>VLOOKUP($A12,tropes!$A$4:$O$2428,2,FALSE)</f>
        <v>Landing Party</v>
      </c>
      <c r="C12" s="5" t="str">
        <f>VLOOKUP($A12,tropes!$A$4:$O$2428,3,FALSE)</f>
        <v>landing_party</v>
      </c>
      <c r="D12" s="5" t="str">
        <f>VLOOKUP($A12,tropes!$A$4:$O$2428,4,FALSE)</f>
        <v>death</v>
      </c>
      <c r="E12" s="5" t="str">
        <f>VLOOKUP($A12,tropes!$A$4:$O$2428,5,FALSE)</f>
        <v>Sturgeon (killed by Salt Creature on M-113.)</v>
      </c>
      <c r="F12" s="5" t="str">
        <f>VLOOKUP($A12,tropes!$A$4:$O$2428,6,FALSE)</f>
        <v>blueshirt</v>
      </c>
      <c r="G12" s="5">
        <f>VLOOKUP($A12,tropes!$A$4:$O$2428,7,FALSE)</f>
        <v>0</v>
      </c>
      <c r="H12" s="5">
        <f>VLOOKUP($A12,tropes!$A$4:$O$2428,8,FALSE)</f>
        <v>0</v>
      </c>
      <c r="I12" s="5">
        <f>VLOOKUP($A12,tropes!$A$4:$O$2428,9,FALSE)</f>
        <v>101</v>
      </c>
      <c r="J12" s="5">
        <f>VLOOKUP($A12,tropes!$A$4:$O$2428,10,FALSE)</f>
        <v>2</v>
      </c>
      <c r="K12" s="5" t="str">
        <f>VLOOKUP($A12,tropes!$A$4:$O$2428,11,FALSE)</f>
        <v>The Man Trap</v>
      </c>
      <c r="L12" s="5">
        <f>VLOOKUP($A12,tropes!$A$4:$O$2428,12,FALSE)</f>
        <v>1</v>
      </c>
      <c r="M12" s="5">
        <f>VLOOKUP($A12,tropes!$A$4:$O$2428,13,FALSE)</f>
        <v>1</v>
      </c>
      <c r="N12" s="5">
        <f t="shared" si="0"/>
        <v>2</v>
      </c>
    </row>
    <row r="13" spans="1:14" x14ac:dyDescent="0.3">
      <c r="A13" s="14">
        <v>557</v>
      </c>
      <c r="B13" s="5" t="str">
        <f>VLOOKUP($A13,tropes!$A$4:$O$2428,2,FALSE)</f>
        <v>Landing Party</v>
      </c>
      <c r="C13" s="5" t="str">
        <f>VLOOKUP($A13,tropes!$A$4:$O$2428,3,FALSE)</f>
        <v>landing_party</v>
      </c>
      <c r="D13" s="5">
        <f>VLOOKUP($A13,tropes!$A$4:$O$2428,4,FALSE)</f>
        <v>0</v>
      </c>
      <c r="E13" s="5" t="str">
        <f>VLOOKUP($A13,tropes!$A$4:$O$2428,5,FALSE)</f>
        <v>Kirk</v>
      </c>
      <c r="F13" s="5" t="str">
        <f>VLOOKUP($A13,tropes!$A$4:$O$2428,6,FALSE)</f>
        <v>kirk</v>
      </c>
      <c r="G13" s="5">
        <f>VLOOKUP($A13,tropes!$A$4:$O$2428,7,FALSE)</f>
        <v>1</v>
      </c>
      <c r="H13" s="5">
        <f>VLOOKUP($A13,tropes!$A$4:$O$2428,8,FALSE)</f>
        <v>0</v>
      </c>
      <c r="I13" s="5">
        <f>VLOOKUP($A13,tropes!$A$4:$O$2428,9,FALSE)</f>
        <v>101</v>
      </c>
      <c r="J13" s="5">
        <f>VLOOKUP($A13,tropes!$A$4:$O$2428,10,FALSE)</f>
        <v>2</v>
      </c>
      <c r="K13" s="5" t="str">
        <f>VLOOKUP($A13,tropes!$A$4:$O$2428,11,FALSE)</f>
        <v>The Man Trap</v>
      </c>
      <c r="L13" s="5">
        <f>VLOOKUP($A13,tropes!$A$4:$O$2428,12,FALSE)</f>
        <v>1</v>
      </c>
      <c r="M13" s="5">
        <f>VLOOKUP($A13,tropes!$A$4:$O$2428,13,FALSE)</f>
        <v>1</v>
      </c>
      <c r="N13" s="5">
        <f t="shared" si="0"/>
        <v>3</v>
      </c>
    </row>
    <row r="14" spans="1:14" x14ac:dyDescent="0.3">
      <c r="A14" s="14">
        <v>1524</v>
      </c>
      <c r="B14" s="5" t="str">
        <f>VLOOKUP($A14,tropes!$A$4:$O$2428,2,FALSE)</f>
        <v>Landing Party</v>
      </c>
      <c r="C14" s="5" t="str">
        <f>VLOOKUP($A14,tropes!$A$4:$O$2428,3,FALSE)</f>
        <v>landing_party</v>
      </c>
      <c r="D14" s="5">
        <f>VLOOKUP($A14,tropes!$A$4:$O$2428,4,FALSE)</f>
        <v>0</v>
      </c>
      <c r="E14" s="5" t="str">
        <f>VLOOKUP($A14,tropes!$A$4:$O$2428,5,FALSE)</f>
        <v>McCoy</v>
      </c>
      <c r="F14" s="5" t="str">
        <f>VLOOKUP($A14,tropes!$A$4:$O$2428,6,FALSE)</f>
        <v>mccoy</v>
      </c>
      <c r="G14" s="5">
        <f>VLOOKUP($A14,tropes!$A$4:$O$2428,7,FALSE)</f>
        <v>0</v>
      </c>
      <c r="H14" s="5">
        <f>VLOOKUP($A14,tropes!$A$4:$O$2428,8,FALSE)</f>
        <v>1</v>
      </c>
      <c r="I14" s="5">
        <f>VLOOKUP($A14,tropes!$A$4:$O$2428,9,FALSE)</f>
        <v>101</v>
      </c>
      <c r="J14" s="5">
        <f>VLOOKUP($A14,tropes!$A$4:$O$2428,10,FALSE)</f>
        <v>2</v>
      </c>
      <c r="K14" s="5" t="str">
        <f>VLOOKUP($A14,tropes!$A$4:$O$2428,11,FALSE)</f>
        <v>The Man Trap</v>
      </c>
      <c r="L14" s="5">
        <f>VLOOKUP($A14,tropes!$A$4:$O$2428,12,FALSE)</f>
        <v>1</v>
      </c>
      <c r="M14" s="5">
        <f>VLOOKUP($A14,tropes!$A$4:$O$2428,13,FALSE)</f>
        <v>1</v>
      </c>
      <c r="N14" s="5">
        <f t="shared" si="0"/>
        <v>4</v>
      </c>
    </row>
    <row r="15" spans="1:14" x14ac:dyDescent="0.3">
      <c r="A15" s="14">
        <v>2048</v>
      </c>
      <c r="B15" s="5" t="str">
        <f>VLOOKUP($A15,tropes!$A$4:$O$2428,2,FALSE)</f>
        <v>Landing Party</v>
      </c>
      <c r="C15" s="5" t="str">
        <f>VLOOKUP($A15,tropes!$A$4:$O$2428,3,FALSE)</f>
        <v>landing_party</v>
      </c>
      <c r="D15" s="5">
        <f>VLOOKUP($A15,tropes!$A$4:$O$2428,4,FALSE)</f>
        <v>0</v>
      </c>
      <c r="E15" s="5" t="str">
        <f>VLOOKUP($A15,tropes!$A$4:$O$2428,5,FALSE)</f>
        <v>Spock</v>
      </c>
      <c r="F15" s="5" t="str">
        <f>VLOOKUP($A15,tropes!$A$4:$O$2428,6,FALSE)</f>
        <v>spock</v>
      </c>
      <c r="G15" s="5">
        <f>VLOOKUP($A15,tropes!$A$4:$O$2428,7,FALSE)</f>
        <v>1</v>
      </c>
      <c r="H15" s="5">
        <f>VLOOKUP($A15,tropes!$A$4:$O$2428,8,FALSE)</f>
        <v>0</v>
      </c>
      <c r="I15" s="5">
        <f>VLOOKUP($A15,tropes!$A$4:$O$2428,9,FALSE)</f>
        <v>101</v>
      </c>
      <c r="J15" s="5">
        <f>VLOOKUP($A15,tropes!$A$4:$O$2428,10,FALSE)</f>
        <v>2</v>
      </c>
      <c r="K15" s="5" t="str">
        <f>VLOOKUP($A15,tropes!$A$4:$O$2428,11,FALSE)</f>
        <v>The Man Trap</v>
      </c>
      <c r="L15" s="5">
        <f>VLOOKUP($A15,tropes!$A$4:$O$2428,12,FALSE)</f>
        <v>1</v>
      </c>
      <c r="M15" s="5">
        <f>VLOOKUP($A15,tropes!$A$4:$O$2428,13,FALSE)</f>
        <v>1</v>
      </c>
      <c r="N15" s="5">
        <f t="shared" si="0"/>
        <v>5</v>
      </c>
    </row>
    <row r="16" spans="1:14" x14ac:dyDescent="0.3">
      <c r="A16" s="14">
        <v>1743</v>
      </c>
      <c r="B16" s="5" t="str">
        <f>VLOOKUP($A16,tropes!$A$4:$O$2428,2,FALSE)</f>
        <v>Landing Party</v>
      </c>
      <c r="C16" s="5" t="str">
        <f>VLOOKUP($A16,tropes!$A$4:$O$2428,3,FALSE)</f>
        <v>landing_party</v>
      </c>
      <c r="D16" s="5" t="str">
        <f>VLOOKUP($A16,tropes!$A$4:$O$2428,4,FALSE)</f>
        <v>death</v>
      </c>
      <c r="E16" s="5" t="str">
        <f>VLOOKUP($A16,tropes!$A$4:$O$2428,5,FALSE)</f>
        <v>Lt. Cmdr. Gary Mitchell</v>
      </c>
      <c r="F16" s="5" t="str">
        <f>VLOOKUP($A16,tropes!$A$4:$O$2428,6,FALSE)</f>
        <v>mitchell</v>
      </c>
      <c r="G16" s="5">
        <f>VLOOKUP($A16,tropes!$A$4:$O$2428,7,FALSE)</f>
        <v>0</v>
      </c>
      <c r="H16" s="5">
        <f>VLOOKUP($A16,tropes!$A$4:$O$2428,8,FALSE)</f>
        <v>0</v>
      </c>
      <c r="I16" s="5">
        <f>VLOOKUP($A16,tropes!$A$4:$O$2428,9,FALSE)</f>
        <v>103</v>
      </c>
      <c r="J16" s="5">
        <f>VLOOKUP($A16,tropes!$A$4:$O$2428,10,FALSE)</f>
        <v>4</v>
      </c>
      <c r="K16" s="5" t="str">
        <f>VLOOKUP($A16,tropes!$A$4:$O$2428,11,FALSE)</f>
        <v>Where No Man Has Gone Before</v>
      </c>
      <c r="L16" s="5">
        <f>VLOOKUP($A16,tropes!$A$4:$O$2428,12,FALSE)</f>
        <v>1</v>
      </c>
      <c r="M16" s="5">
        <f>VLOOKUP($A16,tropes!$A$4:$O$2428,13,FALSE)</f>
        <v>3</v>
      </c>
      <c r="N16" s="5">
        <f t="shared" si="0"/>
        <v>0</v>
      </c>
    </row>
    <row r="17" spans="1:14" x14ac:dyDescent="0.3">
      <c r="A17" s="14">
        <v>1755</v>
      </c>
      <c r="B17" s="5" t="str">
        <f>VLOOKUP($A17,tropes!$A$4:$O$2428,2,FALSE)</f>
        <v>Landing Party</v>
      </c>
      <c r="C17" s="5" t="str">
        <f>VLOOKUP($A17,tropes!$A$4:$O$2428,3,FALSE)</f>
        <v>landing_party</v>
      </c>
      <c r="D17" s="5" t="str">
        <f>VLOOKUP($A17,tropes!$A$4:$O$2428,4,FALSE)</f>
        <v>death</v>
      </c>
      <c r="E17" s="5" t="str">
        <f>VLOOKUP($A17,tropes!$A$4:$O$2428,5,FALSE)</f>
        <v>Lt. Kelso (strangled by Lt. Cmdr. Gary Mitchell using his newly acquired telekinetic powers.)</v>
      </c>
      <c r="F17" s="5" t="str">
        <f>VLOOKUP($A17,tropes!$A$4:$O$2428,6,FALSE)</f>
        <v>kelso</v>
      </c>
      <c r="G17" s="5">
        <f>VLOOKUP($A17,tropes!$A$4:$O$2428,7,FALSE)</f>
        <v>0</v>
      </c>
      <c r="H17" s="5">
        <f>VLOOKUP($A17,tropes!$A$4:$O$2428,8,FALSE)</f>
        <v>0</v>
      </c>
      <c r="I17" s="5">
        <f>VLOOKUP($A17,tropes!$A$4:$O$2428,9,FALSE)</f>
        <v>103</v>
      </c>
      <c r="J17" s="5">
        <f>VLOOKUP($A17,tropes!$A$4:$O$2428,10,FALSE)</f>
        <v>4</v>
      </c>
      <c r="K17" s="5" t="str">
        <f>VLOOKUP($A17,tropes!$A$4:$O$2428,11,FALSE)</f>
        <v>Where No Man Has Gone Before</v>
      </c>
      <c r="L17" s="5">
        <f>VLOOKUP($A17,tropes!$A$4:$O$2428,12,FALSE)</f>
        <v>1</v>
      </c>
      <c r="M17" s="5">
        <f>VLOOKUP($A17,tropes!$A$4:$O$2428,13,FALSE)</f>
        <v>3</v>
      </c>
      <c r="N17" s="5">
        <f t="shared" si="0"/>
        <v>1</v>
      </c>
    </row>
    <row r="18" spans="1:14" x14ac:dyDescent="0.3">
      <c r="A18" s="14">
        <v>185</v>
      </c>
      <c r="B18" s="5" t="str">
        <f>VLOOKUP($A18,tropes!$A$4:$O$2428,2,FALSE)</f>
        <v>Landing Party</v>
      </c>
      <c r="C18" s="5" t="str">
        <f>VLOOKUP($A18,tropes!$A$4:$O$2428,3,FALSE)</f>
        <v>landing_party</v>
      </c>
      <c r="D18" s="5">
        <f>VLOOKUP($A18,tropes!$A$4:$O$2428,4,FALSE)</f>
        <v>0</v>
      </c>
      <c r="E18" s="5" t="str">
        <f>VLOOKUP($A18,tropes!$A$4:$O$2428,5,FALSE)</f>
        <v>Dr. Dehner</v>
      </c>
      <c r="F18" s="5" t="str">
        <f>VLOOKUP($A18,tropes!$A$4:$O$2428,6,FALSE)</f>
        <v>dehner</v>
      </c>
      <c r="G18" s="5">
        <f>VLOOKUP($A18,tropes!$A$4:$O$2428,7,FALSE)</f>
        <v>0</v>
      </c>
      <c r="H18" s="5">
        <f>VLOOKUP($A18,tropes!$A$4:$O$2428,8,FALSE)</f>
        <v>0</v>
      </c>
      <c r="I18" s="5">
        <f>VLOOKUP($A18,tropes!$A$4:$O$2428,9,FALSE)</f>
        <v>103</v>
      </c>
      <c r="J18" s="5">
        <f>VLOOKUP($A18,tropes!$A$4:$O$2428,10,FALSE)</f>
        <v>4</v>
      </c>
      <c r="K18" s="5" t="str">
        <f>VLOOKUP($A18,tropes!$A$4:$O$2428,11,FALSE)</f>
        <v>Where No Man Has Gone Before</v>
      </c>
      <c r="L18" s="5">
        <f>VLOOKUP($A18,tropes!$A$4:$O$2428,12,FALSE)</f>
        <v>1</v>
      </c>
      <c r="M18" s="5">
        <f>VLOOKUP($A18,tropes!$A$4:$O$2428,13,FALSE)</f>
        <v>3</v>
      </c>
      <c r="N18" s="5">
        <f t="shared" si="0"/>
        <v>2</v>
      </c>
    </row>
    <row r="19" spans="1:14" x14ac:dyDescent="0.3">
      <c r="A19" s="14">
        <v>95</v>
      </c>
      <c r="B19" s="5" t="str">
        <f>VLOOKUP($A19,tropes!$A$4:$O$2428,2,FALSE)</f>
        <v>Landing Party</v>
      </c>
      <c r="C19" s="5" t="str">
        <f>VLOOKUP($A19,tropes!$A$4:$O$2428,3,FALSE)</f>
        <v>landing_party</v>
      </c>
      <c r="D19" s="5">
        <f>VLOOKUP($A19,tropes!$A$4:$O$2428,4,FALSE)</f>
        <v>0</v>
      </c>
      <c r="E19" s="5" t="str">
        <f>VLOOKUP($A19,tropes!$A$4:$O$2428,5,FALSE)</f>
        <v>Dr. Piper</v>
      </c>
      <c r="F19" s="5" t="str">
        <f>VLOOKUP($A19,tropes!$A$4:$O$2428,6,FALSE)</f>
        <v>blueshirt</v>
      </c>
      <c r="G19" s="5">
        <f>VLOOKUP($A19,tropes!$A$4:$O$2428,7,FALSE)</f>
        <v>0</v>
      </c>
      <c r="H19" s="5">
        <f>VLOOKUP($A19,tropes!$A$4:$O$2428,8,FALSE)</f>
        <v>0</v>
      </c>
      <c r="I19" s="5">
        <f>VLOOKUP($A19,tropes!$A$4:$O$2428,9,FALSE)</f>
        <v>103</v>
      </c>
      <c r="J19" s="5">
        <f>VLOOKUP($A19,tropes!$A$4:$O$2428,10,FALSE)</f>
        <v>4</v>
      </c>
      <c r="K19" s="5" t="str">
        <f>VLOOKUP($A19,tropes!$A$4:$O$2428,11,FALSE)</f>
        <v>Where No Man Has Gone Before</v>
      </c>
      <c r="L19" s="5">
        <f>VLOOKUP($A19,tropes!$A$4:$O$2428,12,FALSE)</f>
        <v>1</v>
      </c>
      <c r="M19" s="5">
        <f>VLOOKUP($A19,tropes!$A$4:$O$2428,13,FALSE)</f>
        <v>3</v>
      </c>
      <c r="N19" s="5">
        <f t="shared" si="0"/>
        <v>3</v>
      </c>
    </row>
    <row r="20" spans="1:14" x14ac:dyDescent="0.3">
      <c r="A20" s="14">
        <v>575</v>
      </c>
      <c r="B20" s="5" t="str">
        <f>VLOOKUP($A20,tropes!$A$4:$O$2428,2,FALSE)</f>
        <v>Landing Party</v>
      </c>
      <c r="C20" s="5" t="str">
        <f>VLOOKUP($A20,tropes!$A$4:$O$2428,3,FALSE)</f>
        <v>landing_party</v>
      </c>
      <c r="D20" s="5">
        <f>VLOOKUP($A20,tropes!$A$4:$O$2428,4,FALSE)</f>
        <v>0</v>
      </c>
      <c r="E20" s="5" t="str">
        <f>VLOOKUP($A20,tropes!$A$4:$O$2428,5,FALSE)</f>
        <v>Kirk</v>
      </c>
      <c r="F20" s="5" t="str">
        <f>VLOOKUP($A20,tropes!$A$4:$O$2428,6,FALSE)</f>
        <v>kirk</v>
      </c>
      <c r="G20" s="5">
        <f>VLOOKUP($A20,tropes!$A$4:$O$2428,7,FALSE)</f>
        <v>1</v>
      </c>
      <c r="H20" s="5">
        <f>VLOOKUP($A20,tropes!$A$4:$O$2428,8,FALSE)</f>
        <v>0</v>
      </c>
      <c r="I20" s="5">
        <f>VLOOKUP($A20,tropes!$A$4:$O$2428,9,FALSE)</f>
        <v>103</v>
      </c>
      <c r="J20" s="5">
        <f>VLOOKUP($A20,tropes!$A$4:$O$2428,10,FALSE)</f>
        <v>4</v>
      </c>
      <c r="K20" s="5" t="str">
        <f>VLOOKUP($A20,tropes!$A$4:$O$2428,11,FALSE)</f>
        <v>Where No Man Has Gone Before</v>
      </c>
      <c r="L20" s="5">
        <f>VLOOKUP($A20,tropes!$A$4:$O$2428,12,FALSE)</f>
        <v>1</v>
      </c>
      <c r="M20" s="5">
        <f>VLOOKUP($A20,tropes!$A$4:$O$2428,13,FALSE)</f>
        <v>3</v>
      </c>
      <c r="N20" s="5">
        <f t="shared" si="0"/>
        <v>4</v>
      </c>
    </row>
    <row r="21" spans="1:14" x14ac:dyDescent="0.3">
      <c r="A21" s="14">
        <v>2052</v>
      </c>
      <c r="B21" s="5" t="str">
        <f>VLOOKUP($A21,tropes!$A$4:$O$2428,2,FALSE)</f>
        <v>Landing Party</v>
      </c>
      <c r="C21" s="5" t="str">
        <f>VLOOKUP($A21,tropes!$A$4:$O$2428,3,FALSE)</f>
        <v>landing_party</v>
      </c>
      <c r="D21" s="5">
        <f>VLOOKUP($A21,tropes!$A$4:$O$2428,4,FALSE)</f>
        <v>0</v>
      </c>
      <c r="E21" s="5" t="str">
        <f>VLOOKUP($A21,tropes!$A$4:$O$2428,5,FALSE)</f>
        <v>Spock</v>
      </c>
      <c r="F21" s="5" t="str">
        <f>VLOOKUP($A21,tropes!$A$4:$O$2428,6,FALSE)</f>
        <v>spock</v>
      </c>
      <c r="G21" s="5">
        <f>VLOOKUP($A21,tropes!$A$4:$O$2428,7,FALSE)</f>
        <v>1</v>
      </c>
      <c r="H21" s="5">
        <f>VLOOKUP($A21,tropes!$A$4:$O$2428,8,FALSE)</f>
        <v>0</v>
      </c>
      <c r="I21" s="5">
        <f>VLOOKUP($A21,tropes!$A$4:$O$2428,9,FALSE)</f>
        <v>103</v>
      </c>
      <c r="J21" s="5">
        <f>VLOOKUP($A21,tropes!$A$4:$O$2428,10,FALSE)</f>
        <v>4</v>
      </c>
      <c r="K21" s="5" t="str">
        <f>VLOOKUP($A21,tropes!$A$4:$O$2428,11,FALSE)</f>
        <v>Where No Man Has Gone Before</v>
      </c>
      <c r="L21" s="5">
        <f>VLOOKUP($A21,tropes!$A$4:$O$2428,12,FALSE)</f>
        <v>1</v>
      </c>
      <c r="M21" s="5">
        <f>VLOOKUP($A21,tropes!$A$4:$O$2428,13,FALSE)</f>
        <v>3</v>
      </c>
      <c r="N21" s="5">
        <f t="shared" si="0"/>
        <v>5</v>
      </c>
    </row>
    <row r="22" spans="1:14" x14ac:dyDescent="0.3">
      <c r="A22" s="14">
        <v>97</v>
      </c>
      <c r="B22" s="5" t="str">
        <f>VLOOKUP($A22,tropes!$A$4:$O$2428,2,FALSE)</f>
        <v>Landing Party</v>
      </c>
      <c r="C22" s="5" t="str">
        <f>VLOOKUP($A22,tropes!$A$4:$O$2428,3,FALSE)</f>
        <v>landing_party</v>
      </c>
      <c r="D22" s="5" t="str">
        <f>VLOOKUP($A22,tropes!$A$4:$O$2428,4,FALSE)</f>
        <v>death</v>
      </c>
      <c r="E22" s="5" t="str">
        <f>VLOOKUP($A22,tropes!$A$4:$O$2428,5,FALSE)</f>
        <v>Lt. Tormolan (loses will to live after returning to Enterprise)</v>
      </c>
      <c r="F22" s="5" t="str">
        <f>VLOOKUP($A22,tropes!$A$4:$O$2428,6,FALSE)</f>
        <v>blueshirt</v>
      </c>
      <c r="G22" s="5">
        <f>VLOOKUP($A22,tropes!$A$4:$O$2428,7,FALSE)</f>
        <v>0</v>
      </c>
      <c r="H22" s="5">
        <f>VLOOKUP($A22,tropes!$A$4:$O$2428,8,FALSE)</f>
        <v>0</v>
      </c>
      <c r="I22" s="5">
        <f>VLOOKUP($A22,tropes!$A$4:$O$2428,9,FALSE)</f>
        <v>104</v>
      </c>
      <c r="J22" s="5">
        <f>VLOOKUP($A22,tropes!$A$4:$O$2428,10,FALSE)</f>
        <v>5</v>
      </c>
      <c r="K22" s="5" t="str">
        <f>VLOOKUP($A22,tropes!$A$4:$O$2428,11,FALSE)</f>
        <v>The Naked Time</v>
      </c>
      <c r="L22" s="5">
        <f>VLOOKUP($A22,tropes!$A$4:$O$2428,12,FALSE)</f>
        <v>1</v>
      </c>
      <c r="M22" s="5">
        <f>VLOOKUP($A22,tropes!$A$4:$O$2428,13,FALSE)</f>
        <v>4</v>
      </c>
      <c r="N22" s="5">
        <f t="shared" si="0"/>
        <v>0</v>
      </c>
    </row>
    <row r="23" spans="1:14" x14ac:dyDescent="0.3">
      <c r="A23" s="14">
        <v>2058</v>
      </c>
      <c r="B23" s="5" t="str">
        <f>VLOOKUP($A23,tropes!$A$4:$O$2428,2,FALSE)</f>
        <v>Landing Party</v>
      </c>
      <c r="C23" s="5" t="str">
        <f>VLOOKUP($A23,tropes!$A$4:$O$2428,3,FALSE)</f>
        <v>landing_party</v>
      </c>
      <c r="D23" s="5">
        <f>VLOOKUP($A23,tropes!$A$4:$O$2428,4,FALSE)</f>
        <v>0</v>
      </c>
      <c r="E23" s="5" t="str">
        <f>VLOOKUP($A23,tropes!$A$4:$O$2428,5,FALSE)</f>
        <v>Spock</v>
      </c>
      <c r="F23" s="5" t="str">
        <f>VLOOKUP($A23,tropes!$A$4:$O$2428,6,FALSE)</f>
        <v>spock</v>
      </c>
      <c r="G23" s="5">
        <f>VLOOKUP($A23,tropes!$A$4:$O$2428,7,FALSE)</f>
        <v>1</v>
      </c>
      <c r="H23" s="5">
        <f>VLOOKUP($A23,tropes!$A$4:$O$2428,8,FALSE)</f>
        <v>0</v>
      </c>
      <c r="I23" s="5">
        <f>VLOOKUP($A23,tropes!$A$4:$O$2428,9,FALSE)</f>
        <v>104</v>
      </c>
      <c r="J23" s="5">
        <f>VLOOKUP($A23,tropes!$A$4:$O$2428,10,FALSE)</f>
        <v>5</v>
      </c>
      <c r="K23" s="5" t="str">
        <f>VLOOKUP($A23,tropes!$A$4:$O$2428,11,FALSE)</f>
        <v>The Naked Time</v>
      </c>
      <c r="L23" s="5">
        <f>VLOOKUP($A23,tropes!$A$4:$O$2428,12,FALSE)</f>
        <v>1</v>
      </c>
      <c r="M23" s="5">
        <f>VLOOKUP($A23,tropes!$A$4:$O$2428,13,FALSE)</f>
        <v>4</v>
      </c>
      <c r="N23" s="5">
        <f t="shared" si="0"/>
        <v>1</v>
      </c>
    </row>
    <row r="24" spans="1:14" x14ac:dyDescent="0.3">
      <c r="A24" s="14">
        <v>594</v>
      </c>
      <c r="B24" s="5" t="str">
        <f>VLOOKUP($A24,tropes!$A$4:$O$2428,2,FALSE)</f>
        <v>Landing Party</v>
      </c>
      <c r="C24" s="5" t="str">
        <f>VLOOKUP($A24,tropes!$A$4:$O$2428,3,FALSE)</f>
        <v>landing_party</v>
      </c>
      <c r="D24" s="5">
        <f>VLOOKUP($A24,tropes!$A$4:$O$2428,4,FALSE)</f>
        <v>0</v>
      </c>
      <c r="E24" s="5" t="str">
        <f>VLOOKUP($A24,tropes!$A$4:$O$2428,5,FALSE)</f>
        <v>Kirk</v>
      </c>
      <c r="F24" s="5" t="str">
        <f>VLOOKUP($A24,tropes!$A$4:$O$2428,6,FALSE)</f>
        <v>kirk</v>
      </c>
      <c r="G24" s="5">
        <f>VLOOKUP($A24,tropes!$A$4:$O$2428,7,FALSE)</f>
        <v>1</v>
      </c>
      <c r="H24" s="5">
        <f>VLOOKUP($A24,tropes!$A$4:$O$2428,8,FALSE)</f>
        <v>0</v>
      </c>
      <c r="I24" s="5">
        <f>VLOOKUP($A24,tropes!$A$4:$O$2428,9,FALSE)</f>
        <v>105</v>
      </c>
      <c r="J24" s="5">
        <f>VLOOKUP($A24,tropes!$A$4:$O$2428,10,FALSE)</f>
        <v>6</v>
      </c>
      <c r="K24" s="5" t="str">
        <f>VLOOKUP($A24,tropes!$A$4:$O$2428,11,FALSE)</f>
        <v>The Enemy Within</v>
      </c>
      <c r="L24" s="5">
        <f>VLOOKUP($A24,tropes!$A$4:$O$2428,12,FALSE)</f>
        <v>1</v>
      </c>
      <c r="M24" s="5">
        <f>VLOOKUP($A24,tropes!$A$4:$O$2428,13,FALSE)</f>
        <v>5</v>
      </c>
      <c r="N24" s="5">
        <f t="shared" si="0"/>
        <v>0</v>
      </c>
    </row>
    <row r="25" spans="1:14" x14ac:dyDescent="0.3">
      <c r="A25" s="14">
        <v>2432</v>
      </c>
      <c r="B25" s="5" t="str">
        <f>VLOOKUP($A25,tropes!$A$4:$O$2428,2,FALSE)</f>
        <v>Landing Party</v>
      </c>
      <c r="C25" s="5" t="str">
        <f>VLOOKUP($A25,tropes!$A$4:$O$2428,3,FALSE)</f>
        <v>landing_party</v>
      </c>
      <c r="D25" s="5">
        <f>VLOOKUP($A25,tropes!$A$4:$O$2428,4,FALSE)</f>
        <v>0</v>
      </c>
      <c r="E25" s="5" t="str">
        <f>VLOOKUP($A25,tropes!$A$4:$O$2428,5,FALSE)</f>
        <v>Sulu</v>
      </c>
      <c r="F25" s="5" t="str">
        <f>VLOOKUP($A25,tropes!$A$4:$O$2428,6,FALSE)</f>
        <v>sulu</v>
      </c>
      <c r="G25" s="5">
        <f>VLOOKUP($A25,tropes!$A$4:$O$2428,7,FALSE)</f>
        <v>0</v>
      </c>
      <c r="H25" s="5">
        <f>VLOOKUP($A25,tropes!$A$4:$O$2428,8,FALSE)</f>
        <v>1</v>
      </c>
      <c r="I25" s="5">
        <f>VLOOKUP($A25,tropes!$A$4:$O$2428,9,FALSE)</f>
        <v>105</v>
      </c>
      <c r="J25" s="5">
        <f>VLOOKUP($A25,tropes!$A$4:$O$2428,10,FALSE)</f>
        <v>6</v>
      </c>
      <c r="K25" s="5" t="str">
        <f>VLOOKUP($A25,tropes!$A$4:$O$2428,11,FALSE)</f>
        <v>The Enemy Within</v>
      </c>
      <c r="L25" s="5">
        <f>VLOOKUP($A25,tropes!$A$4:$O$2428,12,FALSE)</f>
        <v>1</v>
      </c>
      <c r="M25" s="5">
        <f>VLOOKUP($A25,tropes!$A$4:$O$2428,13,FALSE)</f>
        <v>5</v>
      </c>
      <c r="N25" s="5">
        <f t="shared" si="0"/>
        <v>1</v>
      </c>
    </row>
    <row r="26" spans="1:14" x14ac:dyDescent="0.3">
      <c r="A26" s="14">
        <v>252</v>
      </c>
      <c r="B26" s="5" t="str">
        <f>VLOOKUP($A26,tropes!$A$4:$O$2428,2,FALSE)</f>
        <v>Landing Party</v>
      </c>
      <c r="C26" s="5" t="str">
        <f>VLOOKUP($A26,tropes!$A$4:$O$2428,3,FALSE)</f>
        <v>landing_party</v>
      </c>
      <c r="D26" s="5">
        <f>VLOOKUP($A26,tropes!$A$4:$O$2428,4,FALSE)</f>
        <v>0</v>
      </c>
      <c r="E26" s="5" t="str">
        <f>VLOOKUP($A26,tropes!$A$4:$O$2428,5,FALSE)</f>
        <v>Technician (1)</v>
      </c>
      <c r="F26" s="5" t="str">
        <f>VLOOKUP($A26,tropes!$A$4:$O$2428,6,FALSE)</f>
        <v>human</v>
      </c>
      <c r="G26" s="5">
        <f>VLOOKUP($A26,tropes!$A$4:$O$2428,7,FALSE)</f>
        <v>0</v>
      </c>
      <c r="H26" s="5">
        <f>VLOOKUP($A26,tropes!$A$4:$O$2428,8,FALSE)</f>
        <v>0</v>
      </c>
      <c r="I26" s="5">
        <f>VLOOKUP($A26,tropes!$A$4:$O$2428,9,FALSE)</f>
        <v>105</v>
      </c>
      <c r="J26" s="5">
        <f>VLOOKUP($A26,tropes!$A$4:$O$2428,10,FALSE)</f>
        <v>6</v>
      </c>
      <c r="K26" s="5" t="str">
        <f>VLOOKUP($A26,tropes!$A$4:$O$2428,11,FALSE)</f>
        <v>The Enemy Within</v>
      </c>
      <c r="L26" s="5">
        <f>VLOOKUP($A26,tropes!$A$4:$O$2428,12,FALSE)</f>
        <v>1</v>
      </c>
      <c r="M26" s="5">
        <f>VLOOKUP($A26,tropes!$A$4:$O$2428,13,FALSE)</f>
        <v>5</v>
      </c>
      <c r="N26" s="5">
        <f t="shared" si="0"/>
        <v>2</v>
      </c>
    </row>
    <row r="27" spans="1:14" x14ac:dyDescent="0.3">
      <c r="A27" s="14">
        <v>253</v>
      </c>
      <c r="B27" s="5" t="str">
        <f>VLOOKUP($A27,tropes!$A$4:$O$2428,2,FALSE)</f>
        <v>Landing Party</v>
      </c>
      <c r="C27" s="5" t="str">
        <f>VLOOKUP($A27,tropes!$A$4:$O$2428,3,FALSE)</f>
        <v>landing_party</v>
      </c>
      <c r="D27" s="5">
        <f>VLOOKUP($A27,tropes!$A$4:$O$2428,4,FALSE)</f>
        <v>0</v>
      </c>
      <c r="E27" s="5" t="str">
        <f>VLOOKUP($A27,tropes!$A$4:$O$2428,5,FALSE)</f>
        <v>Technician (2)</v>
      </c>
      <c r="F27" s="5" t="str">
        <f>VLOOKUP($A27,tropes!$A$4:$O$2428,6,FALSE)</f>
        <v>human</v>
      </c>
      <c r="G27" s="5">
        <f>VLOOKUP($A27,tropes!$A$4:$O$2428,7,FALSE)</f>
        <v>0</v>
      </c>
      <c r="H27" s="5">
        <f>VLOOKUP($A27,tropes!$A$4:$O$2428,8,FALSE)</f>
        <v>0</v>
      </c>
      <c r="I27" s="5">
        <f>VLOOKUP($A27,tropes!$A$4:$O$2428,9,FALSE)</f>
        <v>105</v>
      </c>
      <c r="J27" s="5">
        <f>VLOOKUP($A27,tropes!$A$4:$O$2428,10,FALSE)</f>
        <v>6</v>
      </c>
      <c r="K27" s="5" t="str">
        <f>VLOOKUP($A27,tropes!$A$4:$O$2428,11,FALSE)</f>
        <v>The Enemy Within</v>
      </c>
      <c r="L27" s="5">
        <f>VLOOKUP($A27,tropes!$A$4:$O$2428,12,FALSE)</f>
        <v>1</v>
      </c>
      <c r="M27" s="5">
        <f>VLOOKUP($A27,tropes!$A$4:$O$2428,13,FALSE)</f>
        <v>5</v>
      </c>
      <c r="N27" s="5">
        <f t="shared" si="0"/>
        <v>3</v>
      </c>
    </row>
    <row r="28" spans="1:14" x14ac:dyDescent="0.3">
      <c r="A28" s="14">
        <v>254</v>
      </c>
      <c r="B28" s="5" t="str">
        <f>VLOOKUP($A28,tropes!$A$4:$O$2428,2,FALSE)</f>
        <v>Landing Party</v>
      </c>
      <c r="C28" s="5" t="str">
        <f>VLOOKUP($A28,tropes!$A$4:$O$2428,3,FALSE)</f>
        <v>landing_party</v>
      </c>
      <c r="D28" s="5">
        <f>VLOOKUP($A28,tropes!$A$4:$O$2428,4,FALSE)</f>
        <v>0</v>
      </c>
      <c r="E28" s="5" t="str">
        <f>VLOOKUP($A28,tropes!$A$4:$O$2428,5,FALSE)</f>
        <v>Technician (3)</v>
      </c>
      <c r="F28" s="5" t="str">
        <f>VLOOKUP($A28,tropes!$A$4:$O$2428,6,FALSE)</f>
        <v>human</v>
      </c>
      <c r="G28" s="5">
        <f>VLOOKUP($A28,tropes!$A$4:$O$2428,7,FALSE)</f>
        <v>0</v>
      </c>
      <c r="H28" s="5">
        <f>VLOOKUP($A28,tropes!$A$4:$O$2428,8,FALSE)</f>
        <v>0</v>
      </c>
      <c r="I28" s="5">
        <f>VLOOKUP($A28,tropes!$A$4:$O$2428,9,FALSE)</f>
        <v>105</v>
      </c>
      <c r="J28" s="5">
        <f>VLOOKUP($A28,tropes!$A$4:$O$2428,10,FALSE)</f>
        <v>6</v>
      </c>
      <c r="K28" s="5" t="str">
        <f>VLOOKUP($A28,tropes!$A$4:$O$2428,11,FALSE)</f>
        <v>The Enemy Within</v>
      </c>
      <c r="L28" s="5">
        <f>VLOOKUP($A28,tropes!$A$4:$O$2428,12,FALSE)</f>
        <v>1</v>
      </c>
      <c r="M28" s="5">
        <f>VLOOKUP($A28,tropes!$A$4:$O$2428,13,FALSE)</f>
        <v>5</v>
      </c>
      <c r="N28" s="5">
        <f t="shared" si="0"/>
        <v>4</v>
      </c>
    </row>
    <row r="29" spans="1:14" x14ac:dyDescent="0.3">
      <c r="A29" s="14">
        <v>255</v>
      </c>
      <c r="B29" s="5" t="str">
        <f>VLOOKUP($A29,tropes!$A$4:$O$2428,2,FALSE)</f>
        <v>Landing Party</v>
      </c>
      <c r="C29" s="5" t="str">
        <f>VLOOKUP($A29,tropes!$A$4:$O$2428,3,FALSE)</f>
        <v>landing_party</v>
      </c>
      <c r="D29" s="5">
        <f>VLOOKUP($A29,tropes!$A$4:$O$2428,4,FALSE)</f>
        <v>0</v>
      </c>
      <c r="E29" s="5" t="str">
        <f>VLOOKUP($A29,tropes!$A$4:$O$2428,5,FALSE)</f>
        <v>Technician Fisher</v>
      </c>
      <c r="F29" s="5" t="str">
        <f>VLOOKUP($A29,tropes!$A$4:$O$2428,6,FALSE)</f>
        <v>human</v>
      </c>
      <c r="G29" s="5">
        <f>VLOOKUP($A29,tropes!$A$4:$O$2428,7,FALSE)</f>
        <v>0</v>
      </c>
      <c r="H29" s="5">
        <f>VLOOKUP($A29,tropes!$A$4:$O$2428,8,FALSE)</f>
        <v>0</v>
      </c>
      <c r="I29" s="5">
        <f>VLOOKUP($A29,tropes!$A$4:$O$2428,9,FALSE)</f>
        <v>105</v>
      </c>
      <c r="J29" s="5">
        <f>VLOOKUP($A29,tropes!$A$4:$O$2428,10,FALSE)</f>
        <v>6</v>
      </c>
      <c r="K29" s="5" t="str">
        <f>VLOOKUP($A29,tropes!$A$4:$O$2428,11,FALSE)</f>
        <v>The Enemy Within</v>
      </c>
      <c r="L29" s="5">
        <f>VLOOKUP($A29,tropes!$A$4:$O$2428,12,FALSE)</f>
        <v>1</v>
      </c>
      <c r="M29" s="5">
        <f>VLOOKUP($A29,tropes!$A$4:$O$2428,13,FALSE)</f>
        <v>5</v>
      </c>
      <c r="N29" s="5">
        <f t="shared" si="0"/>
        <v>5</v>
      </c>
    </row>
    <row r="30" spans="1:14" x14ac:dyDescent="0.3">
      <c r="A30" s="14">
        <v>257</v>
      </c>
      <c r="B30" s="5" t="str">
        <f>VLOOKUP($A30,tropes!$A$4:$O$2428,2,FALSE)</f>
        <v>Landing Party</v>
      </c>
      <c r="C30" s="5" t="str">
        <f>VLOOKUP($A30,tropes!$A$4:$O$2428,3,FALSE)</f>
        <v>landing_party</v>
      </c>
      <c r="D30" s="5">
        <f>VLOOKUP($A30,tropes!$A$4:$O$2428,4,FALSE)</f>
        <v>0</v>
      </c>
      <c r="E30" s="5" t="str">
        <f>VLOOKUP($A30,tropes!$A$4:$O$2428,5,FALSE)</f>
        <v>Crewman</v>
      </c>
      <c r="F30" s="5" t="str">
        <f>VLOOKUP($A30,tropes!$A$4:$O$2428,6,FALSE)</f>
        <v>human</v>
      </c>
      <c r="G30" s="5">
        <f>VLOOKUP($A30,tropes!$A$4:$O$2428,7,FALSE)</f>
        <v>0</v>
      </c>
      <c r="H30" s="5">
        <f>VLOOKUP($A30,tropes!$A$4:$O$2428,8,FALSE)</f>
        <v>0</v>
      </c>
      <c r="I30" s="5">
        <f>VLOOKUP($A30,tropes!$A$4:$O$2428,9,FALSE)</f>
        <v>106</v>
      </c>
      <c r="J30" s="5">
        <f>VLOOKUP($A30,tropes!$A$4:$O$2428,10,FALSE)</f>
        <v>7</v>
      </c>
      <c r="K30" s="5" t="str">
        <f>VLOOKUP($A30,tropes!$A$4:$O$2428,11,FALSE)</f>
        <v>Mudd's Women</v>
      </c>
      <c r="L30" s="5">
        <f>VLOOKUP($A30,tropes!$A$4:$O$2428,12,FALSE)</f>
        <v>1</v>
      </c>
      <c r="M30" s="5">
        <f>VLOOKUP($A30,tropes!$A$4:$O$2428,13,FALSE)</f>
        <v>6</v>
      </c>
      <c r="N30" s="5">
        <f t="shared" si="0"/>
        <v>0</v>
      </c>
    </row>
    <row r="31" spans="1:14" x14ac:dyDescent="0.3">
      <c r="A31" s="14">
        <v>614</v>
      </c>
      <c r="B31" s="5" t="str">
        <f>VLOOKUP($A31,tropes!$A$4:$O$2428,2,FALSE)</f>
        <v>Landing Party</v>
      </c>
      <c r="C31" s="5" t="str">
        <f>VLOOKUP($A31,tropes!$A$4:$O$2428,3,FALSE)</f>
        <v>landing_party</v>
      </c>
      <c r="D31" s="5">
        <f>VLOOKUP($A31,tropes!$A$4:$O$2428,4,FALSE)</f>
        <v>0</v>
      </c>
      <c r="E31" s="5" t="str">
        <f>VLOOKUP($A31,tropes!$A$4:$O$2428,5,FALSE)</f>
        <v>Kirk</v>
      </c>
      <c r="F31" s="5" t="str">
        <f>VLOOKUP($A31,tropes!$A$4:$O$2428,6,FALSE)</f>
        <v>kirk</v>
      </c>
      <c r="G31" s="5">
        <f>VLOOKUP($A31,tropes!$A$4:$O$2428,7,FALSE)</f>
        <v>1</v>
      </c>
      <c r="H31" s="5">
        <f>VLOOKUP($A31,tropes!$A$4:$O$2428,8,FALSE)</f>
        <v>0</v>
      </c>
      <c r="I31" s="5">
        <f>VLOOKUP($A31,tropes!$A$4:$O$2428,9,FALSE)</f>
        <v>106</v>
      </c>
      <c r="J31" s="5">
        <f>VLOOKUP($A31,tropes!$A$4:$O$2428,10,FALSE)</f>
        <v>7</v>
      </c>
      <c r="K31" s="5" t="str">
        <f>VLOOKUP($A31,tropes!$A$4:$O$2428,11,FALSE)</f>
        <v>Mudd's Women</v>
      </c>
      <c r="L31" s="5">
        <f>VLOOKUP($A31,tropes!$A$4:$O$2428,12,FALSE)</f>
        <v>1</v>
      </c>
      <c r="M31" s="5">
        <f>VLOOKUP($A31,tropes!$A$4:$O$2428,13,FALSE)</f>
        <v>6</v>
      </c>
      <c r="N31" s="5">
        <f t="shared" si="0"/>
        <v>1</v>
      </c>
    </row>
    <row r="32" spans="1:14" x14ac:dyDescent="0.3">
      <c r="A32" s="14">
        <v>2066</v>
      </c>
      <c r="B32" s="5" t="str">
        <f>VLOOKUP($A32,tropes!$A$4:$O$2428,2,FALSE)</f>
        <v>Landing Party</v>
      </c>
      <c r="C32" s="5" t="str">
        <f>VLOOKUP($A32,tropes!$A$4:$O$2428,3,FALSE)</f>
        <v>landing_party</v>
      </c>
      <c r="D32" s="5">
        <f>VLOOKUP($A32,tropes!$A$4:$O$2428,4,FALSE)</f>
        <v>0</v>
      </c>
      <c r="E32" s="5" t="str">
        <f>VLOOKUP($A32,tropes!$A$4:$O$2428,5,FALSE)</f>
        <v>Spock</v>
      </c>
      <c r="F32" s="5" t="str">
        <f>VLOOKUP($A32,tropes!$A$4:$O$2428,6,FALSE)</f>
        <v>spock</v>
      </c>
      <c r="G32" s="5">
        <f>VLOOKUP($A32,tropes!$A$4:$O$2428,7,FALSE)</f>
        <v>1</v>
      </c>
      <c r="H32" s="5">
        <f>VLOOKUP($A32,tropes!$A$4:$O$2428,8,FALSE)</f>
        <v>0</v>
      </c>
      <c r="I32" s="5">
        <f>VLOOKUP($A32,tropes!$A$4:$O$2428,9,FALSE)</f>
        <v>106</v>
      </c>
      <c r="J32" s="5">
        <f>VLOOKUP($A32,tropes!$A$4:$O$2428,10,FALSE)</f>
        <v>7</v>
      </c>
      <c r="K32" s="5" t="str">
        <f>VLOOKUP($A32,tropes!$A$4:$O$2428,11,FALSE)</f>
        <v>Mudd's Women</v>
      </c>
      <c r="L32" s="5">
        <f>VLOOKUP($A32,tropes!$A$4:$O$2428,12,FALSE)</f>
        <v>1</v>
      </c>
      <c r="M32" s="5">
        <f>VLOOKUP($A32,tropes!$A$4:$O$2428,13,FALSE)</f>
        <v>6</v>
      </c>
      <c r="N32" s="5">
        <f t="shared" si="0"/>
        <v>2</v>
      </c>
    </row>
    <row r="33" spans="1:14" x14ac:dyDescent="0.3">
      <c r="A33" s="14">
        <v>261</v>
      </c>
      <c r="B33" s="5" t="str">
        <f>VLOOKUP($A33,tropes!$A$4:$O$2428,2,FALSE)</f>
        <v>Landing Party</v>
      </c>
      <c r="C33" s="5" t="str">
        <f>VLOOKUP($A33,tropes!$A$4:$O$2428,3,FALSE)</f>
        <v>landing_party</v>
      </c>
      <c r="D33" s="5" t="str">
        <f>VLOOKUP($A33,tropes!$A$4:$O$2428,4,FALSE)</f>
        <v>death</v>
      </c>
      <c r="E33" s="5" t="str">
        <f>VLOOKUP($A33,tropes!$A$4:$O$2428,5,FALSE)</f>
        <v>Matthews (gets his neck broke by Ruk the android.)</v>
      </c>
      <c r="F33" s="5" t="str">
        <f>VLOOKUP($A33,tropes!$A$4:$O$2428,6,FALSE)</f>
        <v>redshirt</v>
      </c>
      <c r="G33" s="5">
        <f>VLOOKUP($A33,tropes!$A$4:$O$2428,7,FALSE)</f>
        <v>0</v>
      </c>
      <c r="H33" s="5">
        <f>VLOOKUP($A33,tropes!$A$4:$O$2428,8,FALSE)</f>
        <v>0</v>
      </c>
      <c r="I33" s="5">
        <f>VLOOKUP($A33,tropes!$A$4:$O$2428,9,FALSE)</f>
        <v>107</v>
      </c>
      <c r="J33" s="5">
        <f>VLOOKUP($A33,tropes!$A$4:$O$2428,10,FALSE)</f>
        <v>8</v>
      </c>
      <c r="K33" s="5" t="str">
        <f>VLOOKUP($A33,tropes!$A$4:$O$2428,11,FALSE)</f>
        <v>What Are Little Girls Made Of?</v>
      </c>
      <c r="L33" s="5">
        <f>VLOOKUP($A33,tropes!$A$4:$O$2428,12,FALSE)</f>
        <v>1</v>
      </c>
      <c r="M33" s="5">
        <f>VLOOKUP($A33,tropes!$A$4:$O$2428,13,FALSE)</f>
        <v>7</v>
      </c>
      <c r="N33" s="5">
        <f t="shared" si="0"/>
        <v>0</v>
      </c>
    </row>
    <row r="34" spans="1:14" x14ac:dyDescent="0.3">
      <c r="A34" s="14">
        <v>262</v>
      </c>
      <c r="B34" s="5" t="str">
        <f>VLOOKUP($A34,tropes!$A$4:$O$2428,2,FALSE)</f>
        <v>Landing Party</v>
      </c>
      <c r="C34" s="5" t="str">
        <f>VLOOKUP($A34,tropes!$A$4:$O$2428,3,FALSE)</f>
        <v>landing_party</v>
      </c>
      <c r="D34" s="5" t="str">
        <f>VLOOKUP($A34,tropes!$A$4:$O$2428,4,FALSE)</f>
        <v>death</v>
      </c>
      <c r="E34" s="5" t="str">
        <f>VLOOKUP($A34,tropes!$A$4:$O$2428,5,FALSE)</f>
        <v>Rayburn (thrown into chasm by Ruk the android.)</v>
      </c>
      <c r="F34" s="5" t="str">
        <f>VLOOKUP($A34,tropes!$A$4:$O$2428,6,FALSE)</f>
        <v>human</v>
      </c>
      <c r="G34" s="5">
        <f>VLOOKUP($A34,tropes!$A$4:$O$2428,7,FALSE)</f>
        <v>0</v>
      </c>
      <c r="H34" s="5">
        <f>VLOOKUP($A34,tropes!$A$4:$O$2428,8,FALSE)</f>
        <v>0</v>
      </c>
      <c r="I34" s="5">
        <f>VLOOKUP($A34,tropes!$A$4:$O$2428,9,FALSE)</f>
        <v>107</v>
      </c>
      <c r="J34" s="5">
        <f>VLOOKUP($A34,tropes!$A$4:$O$2428,10,FALSE)</f>
        <v>8</v>
      </c>
      <c r="K34" s="5" t="str">
        <f>VLOOKUP($A34,tropes!$A$4:$O$2428,11,FALSE)</f>
        <v>What Are Little Girls Made Of?</v>
      </c>
      <c r="L34" s="5">
        <f>VLOOKUP($A34,tropes!$A$4:$O$2428,12,FALSE)</f>
        <v>1</v>
      </c>
      <c r="M34" s="5">
        <f>VLOOKUP($A34,tropes!$A$4:$O$2428,13,FALSE)</f>
        <v>7</v>
      </c>
      <c r="N34" s="5">
        <f t="shared" si="0"/>
        <v>1</v>
      </c>
    </row>
    <row r="35" spans="1:14" x14ac:dyDescent="0.3">
      <c r="A35" s="14">
        <v>628</v>
      </c>
      <c r="B35" s="5" t="str">
        <f>VLOOKUP($A35,tropes!$A$4:$O$2428,2,FALSE)</f>
        <v>Landing Party</v>
      </c>
      <c r="C35" s="5" t="str">
        <f>VLOOKUP($A35,tropes!$A$4:$O$2428,3,FALSE)</f>
        <v>landing_party</v>
      </c>
      <c r="D35" s="5">
        <f>VLOOKUP($A35,tropes!$A$4:$O$2428,4,FALSE)</f>
        <v>0</v>
      </c>
      <c r="E35" s="5" t="str">
        <f>VLOOKUP($A35,tropes!$A$4:$O$2428,5,FALSE)</f>
        <v>Kirk</v>
      </c>
      <c r="F35" s="5" t="str">
        <f>VLOOKUP($A35,tropes!$A$4:$O$2428,6,FALSE)</f>
        <v>kirk</v>
      </c>
      <c r="G35" s="5">
        <f>VLOOKUP($A35,tropes!$A$4:$O$2428,7,FALSE)</f>
        <v>1</v>
      </c>
      <c r="H35" s="5">
        <f>VLOOKUP($A35,tropes!$A$4:$O$2428,8,FALSE)</f>
        <v>0</v>
      </c>
      <c r="I35" s="5">
        <f>VLOOKUP($A35,tropes!$A$4:$O$2428,9,FALSE)</f>
        <v>107</v>
      </c>
      <c r="J35" s="5">
        <f>VLOOKUP($A35,tropes!$A$4:$O$2428,10,FALSE)</f>
        <v>8</v>
      </c>
      <c r="K35" s="5" t="str">
        <f>VLOOKUP($A35,tropes!$A$4:$O$2428,11,FALSE)</f>
        <v>What Are Little Girls Made Of?</v>
      </c>
      <c r="L35" s="5">
        <f>VLOOKUP($A35,tropes!$A$4:$O$2428,12,FALSE)</f>
        <v>1</v>
      </c>
      <c r="M35" s="5">
        <f>VLOOKUP($A35,tropes!$A$4:$O$2428,13,FALSE)</f>
        <v>7</v>
      </c>
      <c r="N35" s="5">
        <f t="shared" si="0"/>
        <v>2</v>
      </c>
    </row>
    <row r="36" spans="1:14" x14ac:dyDescent="0.3">
      <c r="A36" s="14">
        <v>117</v>
      </c>
      <c r="B36" s="5" t="str">
        <f>VLOOKUP($A36,tropes!$A$4:$O$2428,2,FALSE)</f>
        <v>Landing Party</v>
      </c>
      <c r="C36" s="5" t="str">
        <f>VLOOKUP($A36,tropes!$A$4:$O$2428,3,FALSE)</f>
        <v>landing_party</v>
      </c>
      <c r="D36" s="5">
        <f>VLOOKUP($A36,tropes!$A$4:$O$2428,4,FALSE)</f>
        <v>0</v>
      </c>
      <c r="E36" s="5" t="str">
        <f>VLOOKUP($A36,tropes!$A$4:$O$2428,5,FALSE)</f>
        <v>Nurse Chapel</v>
      </c>
      <c r="F36" s="5" t="str">
        <f>VLOOKUP($A36,tropes!$A$4:$O$2428,6,FALSE)</f>
        <v>chapel</v>
      </c>
      <c r="G36" s="5">
        <f>VLOOKUP($A36,tropes!$A$4:$O$2428,7,FALSE)</f>
        <v>0</v>
      </c>
      <c r="H36" s="5">
        <f>VLOOKUP($A36,tropes!$A$4:$O$2428,8,FALSE)</f>
        <v>2</v>
      </c>
      <c r="I36" s="5">
        <f>VLOOKUP($A36,tropes!$A$4:$O$2428,9,FALSE)</f>
        <v>107</v>
      </c>
      <c r="J36" s="5">
        <f>VLOOKUP($A36,tropes!$A$4:$O$2428,10,FALSE)</f>
        <v>8</v>
      </c>
      <c r="K36" s="5" t="str">
        <f>VLOOKUP($A36,tropes!$A$4:$O$2428,11,FALSE)</f>
        <v>What Are Little Girls Made Of?</v>
      </c>
      <c r="L36" s="5">
        <f>VLOOKUP($A36,tropes!$A$4:$O$2428,12,FALSE)</f>
        <v>1</v>
      </c>
      <c r="M36" s="5">
        <f>VLOOKUP($A36,tropes!$A$4:$O$2428,13,FALSE)</f>
        <v>7</v>
      </c>
      <c r="N36" s="5">
        <f t="shared" si="0"/>
        <v>3</v>
      </c>
    </row>
    <row r="37" spans="1:14" x14ac:dyDescent="0.3">
      <c r="A37" s="14">
        <v>645</v>
      </c>
      <c r="B37" s="5" t="str">
        <f>VLOOKUP($A37,tropes!$A$4:$O$2428,2,FALSE)</f>
        <v>Landing Party</v>
      </c>
      <c r="C37" s="5" t="str">
        <f>VLOOKUP($A37,tropes!$A$4:$O$2428,3,FALSE)</f>
        <v>landing_party</v>
      </c>
      <c r="D37" s="5">
        <f>VLOOKUP($A37,tropes!$A$4:$O$2428,4,FALSE)</f>
        <v>0</v>
      </c>
      <c r="E37" s="5" t="str">
        <f>VLOOKUP($A37,tropes!$A$4:$O$2428,5,FALSE)</f>
        <v>Kirk</v>
      </c>
      <c r="F37" s="5" t="str">
        <f>VLOOKUP($A37,tropes!$A$4:$O$2428,6,FALSE)</f>
        <v>kirk</v>
      </c>
      <c r="G37" s="5">
        <f>VLOOKUP($A37,tropes!$A$4:$O$2428,7,FALSE)</f>
        <v>1</v>
      </c>
      <c r="H37" s="5">
        <f>VLOOKUP($A37,tropes!$A$4:$O$2428,8,FALSE)</f>
        <v>0</v>
      </c>
      <c r="I37" s="5">
        <f>VLOOKUP($A37,tropes!$A$4:$O$2428,9,FALSE)</f>
        <v>108</v>
      </c>
      <c r="J37" s="5">
        <f>VLOOKUP($A37,tropes!$A$4:$O$2428,10,FALSE)</f>
        <v>9</v>
      </c>
      <c r="K37" s="5" t="str">
        <f>VLOOKUP($A37,tropes!$A$4:$O$2428,11,FALSE)</f>
        <v>Miri</v>
      </c>
      <c r="L37" s="5">
        <f>VLOOKUP($A37,tropes!$A$4:$O$2428,12,FALSE)</f>
        <v>1</v>
      </c>
      <c r="M37" s="5">
        <f>VLOOKUP($A37,tropes!$A$4:$O$2428,13,FALSE)</f>
        <v>8</v>
      </c>
      <c r="N37" s="5">
        <f t="shared" si="0"/>
        <v>0</v>
      </c>
    </row>
    <row r="38" spans="1:14" x14ac:dyDescent="0.3">
      <c r="A38" s="14">
        <v>1552</v>
      </c>
      <c r="B38" s="5" t="str">
        <f>VLOOKUP($A38,tropes!$A$4:$O$2428,2,FALSE)</f>
        <v>Landing Party</v>
      </c>
      <c r="C38" s="5" t="str">
        <f>VLOOKUP($A38,tropes!$A$4:$O$2428,3,FALSE)</f>
        <v>landing_party</v>
      </c>
      <c r="D38" s="5">
        <f>VLOOKUP($A38,tropes!$A$4:$O$2428,4,FALSE)</f>
        <v>0</v>
      </c>
      <c r="E38" s="5" t="str">
        <f>VLOOKUP($A38,tropes!$A$4:$O$2428,5,FALSE)</f>
        <v>McCoy</v>
      </c>
      <c r="F38" s="5" t="str">
        <f>VLOOKUP($A38,tropes!$A$4:$O$2428,6,FALSE)</f>
        <v>mccoy</v>
      </c>
      <c r="G38" s="5">
        <f>VLOOKUP($A38,tropes!$A$4:$O$2428,7,FALSE)</f>
        <v>0</v>
      </c>
      <c r="H38" s="5">
        <f>VLOOKUP($A38,tropes!$A$4:$O$2428,8,FALSE)</f>
        <v>1</v>
      </c>
      <c r="I38" s="5">
        <f>VLOOKUP($A38,tropes!$A$4:$O$2428,9,FALSE)</f>
        <v>108</v>
      </c>
      <c r="J38" s="5">
        <f>VLOOKUP($A38,tropes!$A$4:$O$2428,10,FALSE)</f>
        <v>9</v>
      </c>
      <c r="K38" s="5" t="str">
        <f>VLOOKUP($A38,tropes!$A$4:$O$2428,11,FALSE)</f>
        <v>Miri</v>
      </c>
      <c r="L38" s="5">
        <f>VLOOKUP($A38,tropes!$A$4:$O$2428,12,FALSE)</f>
        <v>1</v>
      </c>
      <c r="M38" s="5">
        <f>VLOOKUP($A38,tropes!$A$4:$O$2428,13,FALSE)</f>
        <v>8</v>
      </c>
      <c r="N38" s="5">
        <f t="shared" si="0"/>
        <v>1</v>
      </c>
    </row>
    <row r="39" spans="1:14" x14ac:dyDescent="0.3">
      <c r="A39" s="14">
        <v>266</v>
      </c>
      <c r="B39" s="5" t="str">
        <f>VLOOKUP($A39,tropes!$A$4:$O$2428,2,FALSE)</f>
        <v>Landing Party</v>
      </c>
      <c r="C39" s="5" t="str">
        <f>VLOOKUP($A39,tropes!$A$4:$O$2428,3,FALSE)</f>
        <v>landing_party</v>
      </c>
      <c r="D39" s="5">
        <f>VLOOKUP($A39,tropes!$A$4:$O$2428,4,FALSE)</f>
        <v>0</v>
      </c>
      <c r="E39" s="5" t="str">
        <f>VLOOKUP($A39,tropes!$A$4:$O$2428,5,FALSE)</f>
        <v>Redshirt (1)</v>
      </c>
      <c r="F39" s="5" t="str">
        <f>VLOOKUP($A39,tropes!$A$4:$O$2428,6,FALSE)</f>
        <v>human</v>
      </c>
      <c r="G39" s="5">
        <f>VLOOKUP($A39,tropes!$A$4:$O$2428,7,FALSE)</f>
        <v>0</v>
      </c>
      <c r="H39" s="5">
        <f>VLOOKUP($A39,tropes!$A$4:$O$2428,8,FALSE)</f>
        <v>0</v>
      </c>
      <c r="I39" s="5">
        <f>VLOOKUP($A39,tropes!$A$4:$O$2428,9,FALSE)</f>
        <v>108</v>
      </c>
      <c r="J39" s="5">
        <f>VLOOKUP($A39,tropes!$A$4:$O$2428,10,FALSE)</f>
        <v>9</v>
      </c>
      <c r="K39" s="5" t="str">
        <f>VLOOKUP($A39,tropes!$A$4:$O$2428,11,FALSE)</f>
        <v>Miri</v>
      </c>
      <c r="L39" s="5">
        <f>VLOOKUP($A39,tropes!$A$4:$O$2428,12,FALSE)</f>
        <v>1</v>
      </c>
      <c r="M39" s="5">
        <f>VLOOKUP($A39,tropes!$A$4:$O$2428,13,FALSE)</f>
        <v>8</v>
      </c>
      <c r="N39" s="5">
        <f t="shared" si="0"/>
        <v>2</v>
      </c>
    </row>
    <row r="40" spans="1:14" x14ac:dyDescent="0.3">
      <c r="A40" s="14">
        <v>267</v>
      </c>
      <c r="B40" s="5" t="str">
        <f>VLOOKUP($A40,tropes!$A$4:$O$2428,2,FALSE)</f>
        <v>Landing Party</v>
      </c>
      <c r="C40" s="5" t="str">
        <f>VLOOKUP($A40,tropes!$A$4:$O$2428,3,FALSE)</f>
        <v>landing_party</v>
      </c>
      <c r="D40" s="5">
        <f>VLOOKUP($A40,tropes!$A$4:$O$2428,4,FALSE)</f>
        <v>0</v>
      </c>
      <c r="E40" s="5" t="str">
        <f>VLOOKUP($A40,tropes!$A$4:$O$2428,5,FALSE)</f>
        <v>Redshirt (2)</v>
      </c>
      <c r="F40" s="5" t="str">
        <f>VLOOKUP($A40,tropes!$A$4:$O$2428,6,FALSE)</f>
        <v>human</v>
      </c>
      <c r="G40" s="5">
        <f>VLOOKUP($A40,tropes!$A$4:$O$2428,7,FALSE)</f>
        <v>0</v>
      </c>
      <c r="H40" s="5">
        <f>VLOOKUP($A40,tropes!$A$4:$O$2428,8,FALSE)</f>
        <v>0</v>
      </c>
      <c r="I40" s="5">
        <f>VLOOKUP($A40,tropes!$A$4:$O$2428,9,FALSE)</f>
        <v>108</v>
      </c>
      <c r="J40" s="5">
        <f>VLOOKUP($A40,tropes!$A$4:$O$2428,10,FALSE)</f>
        <v>9</v>
      </c>
      <c r="K40" s="5" t="str">
        <f>VLOOKUP($A40,tropes!$A$4:$O$2428,11,FALSE)</f>
        <v>Miri</v>
      </c>
      <c r="L40" s="5">
        <f>VLOOKUP($A40,tropes!$A$4:$O$2428,12,FALSE)</f>
        <v>1</v>
      </c>
      <c r="M40" s="5">
        <f>VLOOKUP($A40,tropes!$A$4:$O$2428,13,FALSE)</f>
        <v>8</v>
      </c>
      <c r="N40" s="5">
        <f t="shared" si="0"/>
        <v>3</v>
      </c>
    </row>
    <row r="41" spans="1:14" x14ac:dyDescent="0.3">
      <c r="A41" s="14">
        <v>2072</v>
      </c>
      <c r="B41" s="5" t="str">
        <f>VLOOKUP($A41,tropes!$A$4:$O$2428,2,FALSE)</f>
        <v>Landing Party</v>
      </c>
      <c r="C41" s="5" t="str">
        <f>VLOOKUP($A41,tropes!$A$4:$O$2428,3,FALSE)</f>
        <v>landing_party</v>
      </c>
      <c r="D41" s="5">
        <f>VLOOKUP($A41,tropes!$A$4:$O$2428,4,FALSE)</f>
        <v>0</v>
      </c>
      <c r="E41" s="5" t="str">
        <f>VLOOKUP($A41,tropes!$A$4:$O$2428,5,FALSE)</f>
        <v>Spock</v>
      </c>
      <c r="F41" s="5" t="str">
        <f>VLOOKUP($A41,tropes!$A$4:$O$2428,6,FALSE)</f>
        <v>spock</v>
      </c>
      <c r="G41" s="5">
        <f>VLOOKUP($A41,tropes!$A$4:$O$2428,7,FALSE)</f>
        <v>1</v>
      </c>
      <c r="H41" s="5">
        <f>VLOOKUP($A41,tropes!$A$4:$O$2428,8,FALSE)</f>
        <v>0</v>
      </c>
      <c r="I41" s="5">
        <f>VLOOKUP($A41,tropes!$A$4:$O$2428,9,FALSE)</f>
        <v>108</v>
      </c>
      <c r="J41" s="5">
        <f>VLOOKUP($A41,tropes!$A$4:$O$2428,10,FALSE)</f>
        <v>9</v>
      </c>
      <c r="K41" s="5" t="str">
        <f>VLOOKUP($A41,tropes!$A$4:$O$2428,11,FALSE)</f>
        <v>Miri</v>
      </c>
      <c r="L41" s="5">
        <f>VLOOKUP($A41,tropes!$A$4:$O$2428,12,FALSE)</f>
        <v>1</v>
      </c>
      <c r="M41" s="5">
        <f>VLOOKUP($A41,tropes!$A$4:$O$2428,13,FALSE)</f>
        <v>8</v>
      </c>
      <c r="N41" s="5">
        <f t="shared" si="0"/>
        <v>4</v>
      </c>
    </row>
    <row r="42" spans="1:14" x14ac:dyDescent="0.3">
      <c r="A42" s="14">
        <v>1872</v>
      </c>
      <c r="B42" s="5" t="str">
        <f>VLOOKUP($A42,tropes!$A$4:$O$2428,2,FALSE)</f>
        <v>Landing Party</v>
      </c>
      <c r="C42" s="5" t="str">
        <f>VLOOKUP($A42,tropes!$A$4:$O$2428,3,FALSE)</f>
        <v>landing_party</v>
      </c>
      <c r="D42" s="5">
        <f>VLOOKUP($A42,tropes!$A$4:$O$2428,4,FALSE)</f>
        <v>0</v>
      </c>
      <c r="E42" s="5" t="str">
        <f>VLOOKUP($A42,tropes!$A$4:$O$2428,5,FALSE)</f>
        <v>Yeoman Rand</v>
      </c>
      <c r="F42" s="5" t="str">
        <f>VLOOKUP($A42,tropes!$A$4:$O$2428,6,FALSE)</f>
        <v>rand</v>
      </c>
      <c r="G42" s="5">
        <f>VLOOKUP($A42,tropes!$A$4:$O$2428,7,FALSE)</f>
        <v>0</v>
      </c>
      <c r="H42" s="5">
        <f>VLOOKUP($A42,tropes!$A$4:$O$2428,8,FALSE)</f>
        <v>2</v>
      </c>
      <c r="I42" s="5">
        <f>VLOOKUP($A42,tropes!$A$4:$O$2428,9,FALSE)</f>
        <v>108</v>
      </c>
      <c r="J42" s="5">
        <f>VLOOKUP($A42,tropes!$A$4:$O$2428,10,FALSE)</f>
        <v>9</v>
      </c>
      <c r="K42" s="5" t="str">
        <f>VLOOKUP($A42,tropes!$A$4:$O$2428,11,FALSE)</f>
        <v>Miri</v>
      </c>
      <c r="L42" s="5">
        <f>VLOOKUP($A42,tropes!$A$4:$O$2428,12,FALSE)</f>
        <v>1</v>
      </c>
      <c r="M42" s="5">
        <f>VLOOKUP($A42,tropes!$A$4:$O$2428,13,FALSE)</f>
        <v>8</v>
      </c>
      <c r="N42" s="5">
        <f t="shared" si="0"/>
        <v>5</v>
      </c>
    </row>
    <row r="43" spans="1:14" x14ac:dyDescent="0.3">
      <c r="A43" s="14">
        <v>1788</v>
      </c>
      <c r="B43" s="5" t="str">
        <f>VLOOKUP($A43,tropes!$A$4:$O$2428,2,FALSE)</f>
        <v>Landing Party</v>
      </c>
      <c r="C43" s="5" t="str">
        <f>VLOOKUP($A43,tropes!$A$4:$O$2428,3,FALSE)</f>
        <v>landing_party</v>
      </c>
      <c r="D43" s="5">
        <f>VLOOKUP($A43,tropes!$A$4:$O$2428,4,FALSE)</f>
        <v>0</v>
      </c>
      <c r="E43" s="5" t="str">
        <f>VLOOKUP($A43,tropes!$A$4:$O$2428,5,FALSE)</f>
        <v>Dr. Helen Noel</v>
      </c>
      <c r="F43" s="5" t="str">
        <f>VLOOKUP($A43,tropes!$A$4:$O$2428,6,FALSE)</f>
        <v>noel</v>
      </c>
      <c r="G43" s="5">
        <f>VLOOKUP($A43,tropes!$A$4:$O$2428,7,FALSE)</f>
        <v>0</v>
      </c>
      <c r="H43" s="5">
        <f>VLOOKUP($A43,tropes!$A$4:$O$2428,8,FALSE)</f>
        <v>0</v>
      </c>
      <c r="I43" s="5">
        <f>VLOOKUP($A43,tropes!$A$4:$O$2428,9,FALSE)</f>
        <v>109</v>
      </c>
      <c r="J43" s="5">
        <f>VLOOKUP($A43,tropes!$A$4:$O$2428,10,FALSE)</f>
        <v>10</v>
      </c>
      <c r="K43" s="5" t="str">
        <f>VLOOKUP($A43,tropes!$A$4:$O$2428,11,FALSE)</f>
        <v>Dagger of the Mind</v>
      </c>
      <c r="L43" s="5">
        <f>VLOOKUP($A43,tropes!$A$4:$O$2428,12,FALSE)</f>
        <v>1</v>
      </c>
      <c r="M43" s="5">
        <f>VLOOKUP($A43,tropes!$A$4:$O$2428,13,FALSE)</f>
        <v>9</v>
      </c>
      <c r="N43" s="5">
        <f t="shared" si="0"/>
        <v>0</v>
      </c>
    </row>
    <row r="44" spans="1:14" x14ac:dyDescent="0.3">
      <c r="A44" s="14">
        <v>656</v>
      </c>
      <c r="B44" s="5" t="str">
        <f>VLOOKUP($A44,tropes!$A$4:$O$2428,2,FALSE)</f>
        <v>Landing Party</v>
      </c>
      <c r="C44" s="5" t="str">
        <f>VLOOKUP($A44,tropes!$A$4:$O$2428,3,FALSE)</f>
        <v>landing_party</v>
      </c>
      <c r="D44" s="5">
        <f>VLOOKUP($A44,tropes!$A$4:$O$2428,4,FALSE)</f>
        <v>0</v>
      </c>
      <c r="E44" s="5" t="str">
        <f>VLOOKUP($A44,tropes!$A$4:$O$2428,5,FALSE)</f>
        <v>Kirk</v>
      </c>
      <c r="F44" s="5" t="str">
        <f>VLOOKUP($A44,tropes!$A$4:$O$2428,6,FALSE)</f>
        <v>kirk</v>
      </c>
      <c r="G44" s="5">
        <f>VLOOKUP($A44,tropes!$A$4:$O$2428,7,FALSE)</f>
        <v>1</v>
      </c>
      <c r="H44" s="5">
        <f>VLOOKUP($A44,tropes!$A$4:$O$2428,8,FALSE)</f>
        <v>0</v>
      </c>
      <c r="I44" s="5">
        <f>VLOOKUP($A44,tropes!$A$4:$O$2428,9,FALSE)</f>
        <v>109</v>
      </c>
      <c r="J44" s="5">
        <f>VLOOKUP($A44,tropes!$A$4:$O$2428,10,FALSE)</f>
        <v>10</v>
      </c>
      <c r="K44" s="5" t="str">
        <f>VLOOKUP($A44,tropes!$A$4:$O$2428,11,FALSE)</f>
        <v>Dagger of the Mind</v>
      </c>
      <c r="L44" s="5">
        <f>VLOOKUP($A44,tropes!$A$4:$O$2428,12,FALSE)</f>
        <v>1</v>
      </c>
      <c r="M44" s="5">
        <f>VLOOKUP($A44,tropes!$A$4:$O$2428,13,FALSE)</f>
        <v>9</v>
      </c>
      <c r="N44" s="5">
        <f t="shared" si="0"/>
        <v>1</v>
      </c>
    </row>
    <row r="45" spans="1:14" x14ac:dyDescent="0.3">
      <c r="A45" s="14">
        <v>672</v>
      </c>
      <c r="B45" s="5" t="str">
        <f>VLOOKUP($A45,tropes!$A$4:$O$2428,2,FALSE)</f>
        <v>Landing Party</v>
      </c>
      <c r="C45" s="5" t="str">
        <f>VLOOKUP($A45,tropes!$A$4:$O$2428,3,FALSE)</f>
        <v>landing_party</v>
      </c>
      <c r="D45" s="5">
        <f>VLOOKUP($A45,tropes!$A$4:$O$2428,4,FALSE)</f>
        <v>0</v>
      </c>
      <c r="E45" s="5" t="str">
        <f>VLOOKUP($A45,tropes!$A$4:$O$2428,5,FALSE)</f>
        <v>Kirk</v>
      </c>
      <c r="F45" s="5" t="str">
        <f>VLOOKUP($A45,tropes!$A$4:$O$2428,6,FALSE)</f>
        <v>kirk</v>
      </c>
      <c r="G45" s="5">
        <f>VLOOKUP($A45,tropes!$A$4:$O$2428,7,FALSE)</f>
        <v>1</v>
      </c>
      <c r="H45" s="5">
        <f>VLOOKUP($A45,tropes!$A$4:$O$2428,8,FALSE)</f>
        <v>0</v>
      </c>
      <c r="I45" s="5">
        <f>VLOOKUP($A45,tropes!$A$4:$O$2428,9,FALSE)</f>
        <v>110</v>
      </c>
      <c r="J45" s="5">
        <f>VLOOKUP($A45,tropes!$A$4:$O$2428,10,FALSE)</f>
        <v>11</v>
      </c>
      <c r="K45" s="5" t="str">
        <f>VLOOKUP($A45,tropes!$A$4:$O$2428,11,FALSE)</f>
        <v>The Corbomite Maneuver</v>
      </c>
      <c r="L45" s="5">
        <f>VLOOKUP($A45,tropes!$A$4:$O$2428,12,FALSE)</f>
        <v>1</v>
      </c>
      <c r="M45" s="5">
        <f>VLOOKUP($A45,tropes!$A$4:$O$2428,13,FALSE)</f>
        <v>10</v>
      </c>
      <c r="N45" s="5">
        <f t="shared" si="0"/>
        <v>0</v>
      </c>
    </row>
    <row r="46" spans="1:14" x14ac:dyDescent="0.3">
      <c r="A46" s="14">
        <v>270</v>
      </c>
      <c r="B46" s="5" t="str">
        <f>VLOOKUP($A46,tropes!$A$4:$O$2428,2,FALSE)</f>
        <v>Landing Party</v>
      </c>
      <c r="C46" s="5" t="str">
        <f>VLOOKUP($A46,tropes!$A$4:$O$2428,3,FALSE)</f>
        <v>landing_party</v>
      </c>
      <c r="D46" s="5">
        <f>VLOOKUP($A46,tropes!$A$4:$O$2428,4,FALSE)</f>
        <v>0</v>
      </c>
      <c r="E46" s="5" t="str">
        <f>VLOOKUP($A46,tropes!$A$4:$O$2428,5,FALSE)</f>
        <v>Lt. Bailey</v>
      </c>
      <c r="F46" s="5" t="str">
        <f>VLOOKUP($A46,tropes!$A$4:$O$2428,6,FALSE)</f>
        <v>goldshirt</v>
      </c>
      <c r="G46" s="5">
        <f>VLOOKUP($A46,tropes!$A$4:$O$2428,7,FALSE)</f>
        <v>0</v>
      </c>
      <c r="H46" s="5">
        <f>VLOOKUP($A46,tropes!$A$4:$O$2428,8,FALSE)</f>
        <v>0</v>
      </c>
      <c r="I46" s="5">
        <f>VLOOKUP($A46,tropes!$A$4:$O$2428,9,FALSE)</f>
        <v>110</v>
      </c>
      <c r="J46" s="5">
        <f>VLOOKUP($A46,tropes!$A$4:$O$2428,10,FALSE)</f>
        <v>11</v>
      </c>
      <c r="K46" s="5" t="str">
        <f>VLOOKUP($A46,tropes!$A$4:$O$2428,11,FALSE)</f>
        <v>The Corbomite Maneuver</v>
      </c>
      <c r="L46" s="5">
        <f>VLOOKUP($A46,tropes!$A$4:$O$2428,12,FALSE)</f>
        <v>1</v>
      </c>
      <c r="M46" s="5">
        <f>VLOOKUP($A46,tropes!$A$4:$O$2428,13,FALSE)</f>
        <v>10</v>
      </c>
      <c r="N46" s="5">
        <f t="shared" si="0"/>
        <v>1</v>
      </c>
    </row>
    <row r="47" spans="1:14" x14ac:dyDescent="0.3">
      <c r="A47" s="14">
        <v>1559</v>
      </c>
      <c r="B47" s="5" t="str">
        <f>VLOOKUP($A47,tropes!$A$4:$O$2428,2,FALSE)</f>
        <v>Landing Party</v>
      </c>
      <c r="C47" s="5" t="str">
        <f>VLOOKUP($A47,tropes!$A$4:$O$2428,3,FALSE)</f>
        <v>landing_party</v>
      </c>
      <c r="D47" s="5">
        <f>VLOOKUP($A47,tropes!$A$4:$O$2428,4,FALSE)</f>
        <v>0</v>
      </c>
      <c r="E47" s="5" t="str">
        <f>VLOOKUP($A47,tropes!$A$4:$O$2428,5,FALSE)</f>
        <v>McCoy</v>
      </c>
      <c r="F47" s="5" t="str">
        <f>VLOOKUP($A47,tropes!$A$4:$O$2428,6,FALSE)</f>
        <v>mccoy</v>
      </c>
      <c r="G47" s="5">
        <f>VLOOKUP($A47,tropes!$A$4:$O$2428,7,FALSE)</f>
        <v>0</v>
      </c>
      <c r="H47" s="5">
        <f>VLOOKUP($A47,tropes!$A$4:$O$2428,8,FALSE)</f>
        <v>1</v>
      </c>
      <c r="I47" s="5">
        <f>VLOOKUP($A47,tropes!$A$4:$O$2428,9,FALSE)</f>
        <v>110</v>
      </c>
      <c r="J47" s="5">
        <f>VLOOKUP($A47,tropes!$A$4:$O$2428,10,FALSE)</f>
        <v>11</v>
      </c>
      <c r="K47" s="5" t="str">
        <f>VLOOKUP($A47,tropes!$A$4:$O$2428,11,FALSE)</f>
        <v>The Corbomite Maneuver</v>
      </c>
      <c r="L47" s="5">
        <f>VLOOKUP($A47,tropes!$A$4:$O$2428,12,FALSE)</f>
        <v>1</v>
      </c>
      <c r="M47" s="5">
        <f>VLOOKUP($A47,tropes!$A$4:$O$2428,13,FALSE)</f>
        <v>10</v>
      </c>
      <c r="N47" s="5">
        <f t="shared" si="0"/>
        <v>2</v>
      </c>
    </row>
    <row r="48" spans="1:14" x14ac:dyDescent="0.3">
      <c r="A48" s="14">
        <v>277</v>
      </c>
      <c r="B48" s="5" t="str">
        <f>VLOOKUP($A48,tropes!$A$4:$O$2428,2,FALSE)</f>
        <v>Landing Party</v>
      </c>
      <c r="C48" s="5" t="str">
        <f>VLOOKUP($A48,tropes!$A$4:$O$2428,3,FALSE)</f>
        <v>landing_party</v>
      </c>
      <c r="D48" s="5" t="str">
        <f>VLOOKUP($A48,tropes!$A$4:$O$2428,4,FALSE)</f>
        <v>death</v>
      </c>
      <c r="E48" s="5" t="str">
        <f>VLOOKUP($A48,tropes!$A$4:$O$2428,5,FALSE)</f>
        <v>Lt. Angela Martinez (killed by strafing fighter plane. Resurrected by amusement park owners.)</v>
      </c>
      <c r="F48" s="5" t="str">
        <f>VLOOKUP($A48,tropes!$A$4:$O$2428,6,FALSE)</f>
        <v>gold-skirt</v>
      </c>
      <c r="G48" s="5">
        <f>VLOOKUP($A48,tropes!$A$4:$O$2428,7,FALSE)</f>
        <v>0</v>
      </c>
      <c r="H48" s="5">
        <f>VLOOKUP($A48,tropes!$A$4:$O$2428,8,FALSE)</f>
        <v>0</v>
      </c>
      <c r="I48" s="5">
        <f>VLOOKUP($A48,tropes!$A$4:$O$2428,9,FALSE)</f>
        <v>115</v>
      </c>
      <c r="J48" s="5">
        <f>VLOOKUP($A48,tropes!$A$4:$O$2428,10,FALSE)</f>
        <v>16</v>
      </c>
      <c r="K48" s="5" t="str">
        <f>VLOOKUP($A48,tropes!$A$4:$O$2428,11,FALSE)</f>
        <v>Shore Leave</v>
      </c>
      <c r="L48" s="5">
        <f>VLOOKUP($A48,tropes!$A$4:$O$2428,12,FALSE)</f>
        <v>1</v>
      </c>
      <c r="M48" s="5">
        <f>VLOOKUP($A48,tropes!$A$4:$O$2428,13,FALSE)</f>
        <v>15</v>
      </c>
      <c r="N48" s="5">
        <f t="shared" si="0"/>
        <v>0</v>
      </c>
    </row>
    <row r="49" spans="1:14" x14ac:dyDescent="0.3">
      <c r="A49" s="14">
        <v>1662</v>
      </c>
      <c r="B49" s="5" t="str">
        <f>VLOOKUP($A49,tropes!$A$4:$O$2428,2,FALSE)</f>
        <v>Landing Party</v>
      </c>
      <c r="C49" s="5" t="str">
        <f>VLOOKUP($A49,tropes!$A$4:$O$2428,3,FALSE)</f>
        <v>landing_party</v>
      </c>
      <c r="D49" s="5" t="str">
        <f>VLOOKUP($A49,tropes!$A$4:$O$2428,4,FALSE)</f>
        <v>death</v>
      </c>
      <c r="E49" s="5" t="str">
        <f>VLOOKUP($A49,tropes!$A$4:$O$2428,5,FALSE)</f>
        <v>McCoy (skewered by charging knight. But he got better.)</v>
      </c>
      <c r="F49" s="5" t="str">
        <f>VLOOKUP($A49,tropes!$A$4:$O$2428,6,FALSE)</f>
        <v>mccoy</v>
      </c>
      <c r="G49" s="5">
        <f>VLOOKUP($A49,tropes!$A$4:$O$2428,7,FALSE)</f>
        <v>0</v>
      </c>
      <c r="H49" s="5">
        <f>VLOOKUP($A49,tropes!$A$4:$O$2428,8,FALSE)</f>
        <v>1</v>
      </c>
      <c r="I49" s="5">
        <f>VLOOKUP($A49,tropes!$A$4:$O$2428,9,FALSE)</f>
        <v>115</v>
      </c>
      <c r="J49" s="5">
        <f>VLOOKUP($A49,tropes!$A$4:$O$2428,10,FALSE)</f>
        <v>16</v>
      </c>
      <c r="K49" s="5" t="str">
        <f>VLOOKUP($A49,tropes!$A$4:$O$2428,11,FALSE)</f>
        <v>Shore Leave</v>
      </c>
      <c r="L49" s="5">
        <f>VLOOKUP($A49,tropes!$A$4:$O$2428,12,FALSE)</f>
        <v>1</v>
      </c>
      <c r="M49" s="5">
        <f>VLOOKUP($A49,tropes!$A$4:$O$2428,13,FALSE)</f>
        <v>15</v>
      </c>
      <c r="N49" s="5">
        <f t="shared" si="0"/>
        <v>1</v>
      </c>
    </row>
    <row r="50" spans="1:14" x14ac:dyDescent="0.3">
      <c r="A50" s="14">
        <v>719</v>
      </c>
      <c r="B50" s="5" t="str">
        <f>VLOOKUP($A50,tropes!$A$4:$O$2428,2,FALSE)</f>
        <v>Landing Party</v>
      </c>
      <c r="C50" s="5" t="str">
        <f>VLOOKUP($A50,tropes!$A$4:$O$2428,3,FALSE)</f>
        <v>landing_party</v>
      </c>
      <c r="D50" s="5">
        <f>VLOOKUP($A50,tropes!$A$4:$O$2428,4,FALSE)</f>
        <v>0</v>
      </c>
      <c r="E50" s="5" t="str">
        <f>VLOOKUP($A50,tropes!$A$4:$O$2428,5,FALSE)</f>
        <v>Kirk</v>
      </c>
      <c r="F50" s="5" t="str">
        <f>VLOOKUP($A50,tropes!$A$4:$O$2428,6,FALSE)</f>
        <v>kirk</v>
      </c>
      <c r="G50" s="5">
        <f>VLOOKUP($A50,tropes!$A$4:$O$2428,7,FALSE)</f>
        <v>1</v>
      </c>
      <c r="H50" s="5">
        <f>VLOOKUP($A50,tropes!$A$4:$O$2428,8,FALSE)</f>
        <v>0</v>
      </c>
      <c r="I50" s="5">
        <f>VLOOKUP($A50,tropes!$A$4:$O$2428,9,FALSE)</f>
        <v>115</v>
      </c>
      <c r="J50" s="5">
        <f>VLOOKUP($A50,tropes!$A$4:$O$2428,10,FALSE)</f>
        <v>16</v>
      </c>
      <c r="K50" s="5" t="str">
        <f>VLOOKUP($A50,tropes!$A$4:$O$2428,11,FALSE)</f>
        <v>Shore Leave</v>
      </c>
      <c r="L50" s="5">
        <f>VLOOKUP($A50,tropes!$A$4:$O$2428,12,FALSE)</f>
        <v>1</v>
      </c>
      <c r="M50" s="5">
        <f>VLOOKUP($A50,tropes!$A$4:$O$2428,13,FALSE)</f>
        <v>15</v>
      </c>
      <c r="N50" s="5">
        <f t="shared" si="0"/>
        <v>2</v>
      </c>
    </row>
    <row r="51" spans="1:14" x14ac:dyDescent="0.3">
      <c r="A51" s="14">
        <v>278</v>
      </c>
      <c r="B51" s="5" t="str">
        <f>VLOOKUP($A51,tropes!$A$4:$O$2428,2,FALSE)</f>
        <v>Landing Party</v>
      </c>
      <c r="C51" s="5" t="str">
        <f>VLOOKUP($A51,tropes!$A$4:$O$2428,3,FALSE)</f>
        <v>landing_party</v>
      </c>
      <c r="D51" s="5">
        <f>VLOOKUP($A51,tropes!$A$4:$O$2428,4,FALSE)</f>
        <v>0</v>
      </c>
      <c r="E51" s="5" t="str">
        <f>VLOOKUP($A51,tropes!$A$4:$O$2428,5,FALSE)</f>
        <v>Rodriguez</v>
      </c>
      <c r="F51" s="5" t="str">
        <f>VLOOKUP($A51,tropes!$A$4:$O$2428,6,FALSE)</f>
        <v>human</v>
      </c>
      <c r="G51" s="5">
        <f>VLOOKUP($A51,tropes!$A$4:$O$2428,7,FALSE)</f>
        <v>0</v>
      </c>
      <c r="H51" s="5">
        <f>VLOOKUP($A51,tropes!$A$4:$O$2428,8,FALSE)</f>
        <v>0</v>
      </c>
      <c r="I51" s="5">
        <f>VLOOKUP($A51,tropes!$A$4:$O$2428,9,FALSE)</f>
        <v>115</v>
      </c>
      <c r="J51" s="5">
        <f>VLOOKUP($A51,tropes!$A$4:$O$2428,10,FALSE)</f>
        <v>16</v>
      </c>
      <c r="K51" s="5" t="str">
        <f>VLOOKUP($A51,tropes!$A$4:$O$2428,11,FALSE)</f>
        <v>Shore Leave</v>
      </c>
      <c r="L51" s="5">
        <f>VLOOKUP($A51,tropes!$A$4:$O$2428,12,FALSE)</f>
        <v>1</v>
      </c>
      <c r="M51" s="5">
        <f>VLOOKUP($A51,tropes!$A$4:$O$2428,13,FALSE)</f>
        <v>15</v>
      </c>
      <c r="N51" s="5">
        <f t="shared" si="0"/>
        <v>3</v>
      </c>
    </row>
    <row r="52" spans="1:14" x14ac:dyDescent="0.3">
      <c r="A52" s="14">
        <v>2439</v>
      </c>
      <c r="B52" s="5" t="str">
        <f>VLOOKUP($A52,tropes!$A$4:$O$2428,2,FALSE)</f>
        <v>Landing Party</v>
      </c>
      <c r="C52" s="5" t="str">
        <f>VLOOKUP($A52,tropes!$A$4:$O$2428,3,FALSE)</f>
        <v>landing_party</v>
      </c>
      <c r="D52" s="5">
        <f>VLOOKUP($A52,tropes!$A$4:$O$2428,4,FALSE)</f>
        <v>0</v>
      </c>
      <c r="E52" s="5" t="str">
        <f>VLOOKUP($A52,tropes!$A$4:$O$2428,5,FALSE)</f>
        <v>Sulu</v>
      </c>
      <c r="F52" s="5" t="str">
        <f>VLOOKUP($A52,tropes!$A$4:$O$2428,6,FALSE)</f>
        <v>sulu</v>
      </c>
      <c r="G52" s="5">
        <f>VLOOKUP($A52,tropes!$A$4:$O$2428,7,FALSE)</f>
        <v>0</v>
      </c>
      <c r="H52" s="5">
        <f>VLOOKUP($A52,tropes!$A$4:$O$2428,8,FALSE)</f>
        <v>1</v>
      </c>
      <c r="I52" s="5">
        <f>VLOOKUP($A52,tropes!$A$4:$O$2428,9,FALSE)</f>
        <v>115</v>
      </c>
      <c r="J52" s="5">
        <f>VLOOKUP($A52,tropes!$A$4:$O$2428,10,FALSE)</f>
        <v>16</v>
      </c>
      <c r="K52" s="5" t="str">
        <f>VLOOKUP($A52,tropes!$A$4:$O$2428,11,FALSE)</f>
        <v>Shore Leave</v>
      </c>
      <c r="L52" s="5">
        <f>VLOOKUP($A52,tropes!$A$4:$O$2428,12,FALSE)</f>
        <v>1</v>
      </c>
      <c r="M52" s="5">
        <f>VLOOKUP($A52,tropes!$A$4:$O$2428,13,FALSE)</f>
        <v>15</v>
      </c>
      <c r="N52" s="5">
        <f t="shared" si="0"/>
        <v>4</v>
      </c>
    </row>
    <row r="53" spans="1:14" x14ac:dyDescent="0.3">
      <c r="A53" s="14">
        <v>279</v>
      </c>
      <c r="B53" s="5" t="str">
        <f>VLOOKUP($A53,tropes!$A$4:$O$2428,2,FALSE)</f>
        <v>Landing Party</v>
      </c>
      <c r="C53" s="5" t="str">
        <f>VLOOKUP($A53,tropes!$A$4:$O$2428,3,FALSE)</f>
        <v>landing_party</v>
      </c>
      <c r="D53" s="5">
        <f>VLOOKUP($A53,tropes!$A$4:$O$2428,4,FALSE)</f>
        <v>0</v>
      </c>
      <c r="E53" s="5" t="str">
        <f>VLOOKUP($A53,tropes!$A$4:$O$2428,5,FALSE)</f>
        <v>Yeoman Barrows</v>
      </c>
      <c r="F53" s="5" t="str">
        <f>VLOOKUP($A53,tropes!$A$4:$O$2428,6,FALSE)</f>
        <v>barrows</v>
      </c>
      <c r="G53" s="5">
        <f>VLOOKUP($A53,tropes!$A$4:$O$2428,7,FALSE)</f>
        <v>0</v>
      </c>
      <c r="H53" s="5">
        <f>VLOOKUP($A53,tropes!$A$4:$O$2428,8,FALSE)</f>
        <v>0</v>
      </c>
      <c r="I53" s="5">
        <f>VLOOKUP($A53,tropes!$A$4:$O$2428,9,FALSE)</f>
        <v>115</v>
      </c>
      <c r="J53" s="5">
        <f>VLOOKUP($A53,tropes!$A$4:$O$2428,10,FALSE)</f>
        <v>16</v>
      </c>
      <c r="K53" s="5" t="str">
        <f>VLOOKUP($A53,tropes!$A$4:$O$2428,11,FALSE)</f>
        <v>Shore Leave</v>
      </c>
      <c r="L53" s="5">
        <f>VLOOKUP($A53,tropes!$A$4:$O$2428,12,FALSE)</f>
        <v>1</v>
      </c>
      <c r="M53" s="5">
        <f>VLOOKUP($A53,tropes!$A$4:$O$2428,13,FALSE)</f>
        <v>15</v>
      </c>
      <c r="N53" s="5">
        <f t="shared" si="0"/>
        <v>5</v>
      </c>
    </row>
    <row r="54" spans="1:14" x14ac:dyDescent="0.3">
      <c r="A54" s="14">
        <v>384</v>
      </c>
      <c r="B54" s="5" t="str">
        <f>VLOOKUP($A54,tropes!$A$4:$O$2428,2,FALSE)</f>
        <v>Landing Party</v>
      </c>
      <c r="C54" s="5" t="str">
        <f>VLOOKUP($A54,tropes!$A$4:$O$2428,3,FALSE)</f>
        <v>landing_party</v>
      </c>
      <c r="D54" s="5" t="str">
        <f>VLOOKUP($A54,tropes!$A$4:$O$2428,4,FALSE)</f>
        <v>death</v>
      </c>
      <c r="E54" s="5" t="str">
        <f>VLOOKUP($A54,tropes!$A$4:$O$2428,5,FALSE)</f>
        <v>Ensign O'Neill (killed by caveman.)</v>
      </c>
      <c r="F54" s="5" t="str">
        <f>VLOOKUP($A54,tropes!$A$4:$O$2428,6,FALSE)</f>
        <v>human</v>
      </c>
      <c r="G54" s="5">
        <f>VLOOKUP($A54,tropes!$A$4:$O$2428,7,FALSE)</f>
        <v>0</v>
      </c>
      <c r="H54" s="5">
        <f>VLOOKUP($A54,tropes!$A$4:$O$2428,8,FALSE)</f>
        <v>0</v>
      </c>
      <c r="I54" s="5">
        <f>VLOOKUP($A54,tropes!$A$4:$O$2428,9,FALSE)</f>
        <v>116</v>
      </c>
      <c r="J54" s="5">
        <f>VLOOKUP($A54,tropes!$A$4:$O$2428,10,FALSE)</f>
        <v>17</v>
      </c>
      <c r="K54" s="5" t="str">
        <f>VLOOKUP($A54,tropes!$A$4:$O$2428,11,FALSE)</f>
        <v>The Galileo Seven</v>
      </c>
      <c r="L54" s="5">
        <f>VLOOKUP($A54,tropes!$A$4:$O$2428,12,FALSE)</f>
        <v>1</v>
      </c>
      <c r="M54" s="5">
        <f>VLOOKUP($A54,tropes!$A$4:$O$2428,13,FALSE)</f>
        <v>16</v>
      </c>
      <c r="N54" s="5">
        <f t="shared" si="0"/>
        <v>0</v>
      </c>
    </row>
    <row r="55" spans="1:14" x14ac:dyDescent="0.3">
      <c r="A55" s="14">
        <v>283</v>
      </c>
      <c r="B55" s="5" t="str">
        <f>VLOOKUP($A55,tropes!$A$4:$O$2428,2,FALSE)</f>
        <v>Landing Party</v>
      </c>
      <c r="C55" s="5" t="str">
        <f>VLOOKUP($A55,tropes!$A$4:$O$2428,3,FALSE)</f>
        <v>landing_party</v>
      </c>
      <c r="D55" s="5" t="str">
        <f>VLOOKUP($A55,tropes!$A$4:$O$2428,4,FALSE)</f>
        <v>death</v>
      </c>
      <c r="E55" s="5" t="str">
        <f>VLOOKUP($A55,tropes!$A$4:$O$2428,5,FALSE)</f>
        <v>Lt. Gaetano (killed by cavemen.)</v>
      </c>
      <c r="F55" s="5" t="str">
        <f>VLOOKUP($A55,tropes!$A$4:$O$2428,6,FALSE)</f>
        <v>goldshirt</v>
      </c>
      <c r="G55" s="5">
        <f>VLOOKUP($A55,tropes!$A$4:$O$2428,7,FALSE)</f>
        <v>0</v>
      </c>
      <c r="H55" s="5">
        <f>VLOOKUP($A55,tropes!$A$4:$O$2428,8,FALSE)</f>
        <v>0</v>
      </c>
      <c r="I55" s="5">
        <f>VLOOKUP($A55,tropes!$A$4:$O$2428,9,FALSE)</f>
        <v>116</v>
      </c>
      <c r="J55" s="5">
        <f>VLOOKUP($A55,tropes!$A$4:$O$2428,10,FALSE)</f>
        <v>17</v>
      </c>
      <c r="K55" s="5" t="str">
        <f>VLOOKUP($A55,tropes!$A$4:$O$2428,11,FALSE)</f>
        <v>The Galileo Seven</v>
      </c>
      <c r="L55" s="5">
        <f>VLOOKUP($A55,tropes!$A$4:$O$2428,12,FALSE)</f>
        <v>1</v>
      </c>
      <c r="M55" s="5">
        <f>VLOOKUP($A55,tropes!$A$4:$O$2428,13,FALSE)</f>
        <v>16</v>
      </c>
      <c r="N55" s="5">
        <f t="shared" si="0"/>
        <v>1</v>
      </c>
    </row>
    <row r="56" spans="1:14" x14ac:dyDescent="0.3">
      <c r="A56" s="14">
        <v>284</v>
      </c>
      <c r="B56" s="5" t="str">
        <f>VLOOKUP($A56,tropes!$A$4:$O$2428,2,FALSE)</f>
        <v>Landing Party</v>
      </c>
      <c r="C56" s="5" t="str">
        <f>VLOOKUP($A56,tropes!$A$4:$O$2428,3,FALSE)</f>
        <v>landing_party</v>
      </c>
      <c r="D56" s="5" t="str">
        <f>VLOOKUP($A56,tropes!$A$4:$O$2428,4,FALSE)</f>
        <v>death</v>
      </c>
      <c r="E56" s="5" t="str">
        <f>VLOOKUP($A56,tropes!$A$4:$O$2428,5,FALSE)</f>
        <v>Lt. Latimer (killed by cavemen.)</v>
      </c>
      <c r="F56" s="5" t="str">
        <f>VLOOKUP($A56,tropes!$A$4:$O$2428,6,FALSE)</f>
        <v>goldshirt</v>
      </c>
      <c r="G56" s="5">
        <f>VLOOKUP($A56,tropes!$A$4:$O$2428,7,FALSE)</f>
        <v>0</v>
      </c>
      <c r="H56" s="5">
        <f>VLOOKUP($A56,tropes!$A$4:$O$2428,8,FALSE)</f>
        <v>0</v>
      </c>
      <c r="I56" s="5">
        <f>VLOOKUP($A56,tropes!$A$4:$O$2428,9,FALSE)</f>
        <v>116</v>
      </c>
      <c r="J56" s="5">
        <f>VLOOKUP($A56,tropes!$A$4:$O$2428,10,FALSE)</f>
        <v>17</v>
      </c>
      <c r="K56" s="5" t="str">
        <f>VLOOKUP($A56,tropes!$A$4:$O$2428,11,FALSE)</f>
        <v>The Galileo Seven</v>
      </c>
      <c r="L56" s="5">
        <f>VLOOKUP($A56,tropes!$A$4:$O$2428,12,FALSE)</f>
        <v>1</v>
      </c>
      <c r="M56" s="5">
        <f>VLOOKUP($A56,tropes!$A$4:$O$2428,13,FALSE)</f>
        <v>16</v>
      </c>
      <c r="N56" s="5">
        <f t="shared" si="0"/>
        <v>2</v>
      </c>
    </row>
    <row r="57" spans="1:14" x14ac:dyDescent="0.3">
      <c r="A57" s="14">
        <v>282</v>
      </c>
      <c r="B57" s="5" t="str">
        <f>VLOOKUP($A57,tropes!$A$4:$O$2428,2,FALSE)</f>
        <v>Landing Party</v>
      </c>
      <c r="C57" s="5" t="str">
        <f>VLOOKUP($A57,tropes!$A$4:$O$2428,3,FALSE)</f>
        <v>landing_party</v>
      </c>
      <c r="D57" s="5">
        <f>VLOOKUP($A57,tropes!$A$4:$O$2428,4,FALSE)</f>
        <v>0</v>
      </c>
      <c r="E57" s="5" t="str">
        <f>VLOOKUP($A57,tropes!$A$4:$O$2428,5,FALSE)</f>
        <v>Lt. Bowman</v>
      </c>
      <c r="F57" s="5" t="str">
        <f>VLOOKUP($A57,tropes!$A$4:$O$2428,6,FALSE)</f>
        <v>blueshirt</v>
      </c>
      <c r="G57" s="5">
        <f>VLOOKUP($A57,tropes!$A$4:$O$2428,7,FALSE)</f>
        <v>0</v>
      </c>
      <c r="H57" s="5">
        <f>VLOOKUP($A57,tropes!$A$4:$O$2428,8,FALSE)</f>
        <v>0</v>
      </c>
      <c r="I57" s="5">
        <f>VLOOKUP($A57,tropes!$A$4:$O$2428,9,FALSE)</f>
        <v>116</v>
      </c>
      <c r="J57" s="5">
        <f>VLOOKUP($A57,tropes!$A$4:$O$2428,10,FALSE)</f>
        <v>17</v>
      </c>
      <c r="K57" s="5" t="str">
        <f>VLOOKUP($A57,tropes!$A$4:$O$2428,11,FALSE)</f>
        <v>The Galileo Seven</v>
      </c>
      <c r="L57" s="5">
        <f>VLOOKUP($A57,tropes!$A$4:$O$2428,12,FALSE)</f>
        <v>1</v>
      </c>
      <c r="M57" s="5">
        <f>VLOOKUP($A57,tropes!$A$4:$O$2428,13,FALSE)</f>
        <v>16</v>
      </c>
      <c r="N57" s="5">
        <f t="shared" si="0"/>
        <v>3</v>
      </c>
    </row>
    <row r="58" spans="1:14" x14ac:dyDescent="0.3">
      <c r="A58" s="14">
        <v>1573</v>
      </c>
      <c r="B58" s="5" t="str">
        <f>VLOOKUP($A58,tropes!$A$4:$O$2428,2,FALSE)</f>
        <v>Landing Party</v>
      </c>
      <c r="C58" s="5" t="str">
        <f>VLOOKUP($A58,tropes!$A$4:$O$2428,3,FALSE)</f>
        <v>landing_party</v>
      </c>
      <c r="D58" s="5">
        <f>VLOOKUP($A58,tropes!$A$4:$O$2428,4,FALSE)</f>
        <v>0</v>
      </c>
      <c r="E58" s="5" t="str">
        <f>VLOOKUP($A58,tropes!$A$4:$O$2428,5,FALSE)</f>
        <v>McCoy</v>
      </c>
      <c r="F58" s="5" t="str">
        <f>VLOOKUP($A58,tropes!$A$4:$O$2428,6,FALSE)</f>
        <v>mccoy</v>
      </c>
      <c r="G58" s="5">
        <f>VLOOKUP($A58,tropes!$A$4:$O$2428,7,FALSE)</f>
        <v>0</v>
      </c>
      <c r="H58" s="5">
        <f>VLOOKUP($A58,tropes!$A$4:$O$2428,8,FALSE)</f>
        <v>1</v>
      </c>
      <c r="I58" s="5">
        <f>VLOOKUP($A58,tropes!$A$4:$O$2428,9,FALSE)</f>
        <v>116</v>
      </c>
      <c r="J58" s="5">
        <f>VLOOKUP($A58,tropes!$A$4:$O$2428,10,FALSE)</f>
        <v>17</v>
      </c>
      <c r="K58" s="5" t="str">
        <f>VLOOKUP($A58,tropes!$A$4:$O$2428,11,FALSE)</f>
        <v>The Galileo Seven</v>
      </c>
      <c r="L58" s="5">
        <f>VLOOKUP($A58,tropes!$A$4:$O$2428,12,FALSE)</f>
        <v>1</v>
      </c>
      <c r="M58" s="5">
        <f>VLOOKUP($A58,tropes!$A$4:$O$2428,13,FALSE)</f>
        <v>16</v>
      </c>
      <c r="N58" s="5">
        <f t="shared" si="0"/>
        <v>4</v>
      </c>
    </row>
    <row r="59" spans="1:14" x14ac:dyDescent="0.3">
      <c r="A59" s="14">
        <v>1956</v>
      </c>
      <c r="B59" s="5" t="str">
        <f>VLOOKUP($A59,tropes!$A$4:$O$2428,2,FALSE)</f>
        <v>Landing Party</v>
      </c>
      <c r="C59" s="5" t="str">
        <f>VLOOKUP($A59,tropes!$A$4:$O$2428,3,FALSE)</f>
        <v>landing_party</v>
      </c>
      <c r="D59" s="5">
        <f>VLOOKUP($A59,tropes!$A$4:$O$2428,4,FALSE)</f>
        <v>0</v>
      </c>
      <c r="E59" s="5" t="str">
        <f>VLOOKUP($A59,tropes!$A$4:$O$2428,5,FALSE)</f>
        <v>Scotty</v>
      </c>
      <c r="F59" s="5" t="str">
        <f>VLOOKUP($A59,tropes!$A$4:$O$2428,6,FALSE)</f>
        <v>scotty</v>
      </c>
      <c r="G59" s="5">
        <f>VLOOKUP($A59,tropes!$A$4:$O$2428,7,FALSE)</f>
        <v>0</v>
      </c>
      <c r="H59" s="5">
        <f>VLOOKUP($A59,tropes!$A$4:$O$2428,8,FALSE)</f>
        <v>1</v>
      </c>
      <c r="I59" s="5">
        <f>VLOOKUP($A59,tropes!$A$4:$O$2428,9,FALSE)</f>
        <v>116</v>
      </c>
      <c r="J59" s="5">
        <f>VLOOKUP($A59,tropes!$A$4:$O$2428,10,FALSE)</f>
        <v>17</v>
      </c>
      <c r="K59" s="5" t="str">
        <f>VLOOKUP($A59,tropes!$A$4:$O$2428,11,FALSE)</f>
        <v>The Galileo Seven</v>
      </c>
      <c r="L59" s="5">
        <f>VLOOKUP($A59,tropes!$A$4:$O$2428,12,FALSE)</f>
        <v>1</v>
      </c>
      <c r="M59" s="5">
        <f>VLOOKUP($A59,tropes!$A$4:$O$2428,13,FALSE)</f>
        <v>16</v>
      </c>
      <c r="N59" s="5">
        <f t="shared" si="0"/>
        <v>5</v>
      </c>
    </row>
    <row r="60" spans="1:14" x14ac:dyDescent="0.3">
      <c r="A60" s="14">
        <v>2096</v>
      </c>
      <c r="B60" s="5" t="str">
        <f>VLOOKUP($A60,tropes!$A$4:$O$2428,2,FALSE)</f>
        <v>Landing Party</v>
      </c>
      <c r="C60" s="5" t="str">
        <f>VLOOKUP($A60,tropes!$A$4:$O$2428,3,FALSE)</f>
        <v>landing_party</v>
      </c>
      <c r="D60" s="5">
        <f>VLOOKUP($A60,tropes!$A$4:$O$2428,4,FALSE)</f>
        <v>0</v>
      </c>
      <c r="E60" s="5" t="str">
        <f>VLOOKUP($A60,tropes!$A$4:$O$2428,5,FALSE)</f>
        <v>Spock</v>
      </c>
      <c r="F60" s="5" t="str">
        <f>VLOOKUP($A60,tropes!$A$4:$O$2428,6,FALSE)</f>
        <v>spock</v>
      </c>
      <c r="G60" s="5">
        <f>VLOOKUP($A60,tropes!$A$4:$O$2428,7,FALSE)</f>
        <v>1</v>
      </c>
      <c r="H60" s="5">
        <f>VLOOKUP($A60,tropes!$A$4:$O$2428,8,FALSE)</f>
        <v>0</v>
      </c>
      <c r="I60" s="5">
        <f>VLOOKUP($A60,tropes!$A$4:$O$2428,9,FALSE)</f>
        <v>116</v>
      </c>
      <c r="J60" s="5">
        <f>VLOOKUP($A60,tropes!$A$4:$O$2428,10,FALSE)</f>
        <v>17</v>
      </c>
      <c r="K60" s="5" t="str">
        <f>VLOOKUP($A60,tropes!$A$4:$O$2428,11,FALSE)</f>
        <v>The Galileo Seven</v>
      </c>
      <c r="L60" s="5">
        <f>VLOOKUP($A60,tropes!$A$4:$O$2428,12,FALSE)</f>
        <v>1</v>
      </c>
      <c r="M60" s="5">
        <f>VLOOKUP($A60,tropes!$A$4:$O$2428,13,FALSE)</f>
        <v>16</v>
      </c>
      <c r="N60" s="5">
        <f t="shared" si="0"/>
        <v>6</v>
      </c>
    </row>
    <row r="61" spans="1:14" x14ac:dyDescent="0.3">
      <c r="A61" s="14">
        <v>285</v>
      </c>
      <c r="B61" s="5" t="str">
        <f>VLOOKUP($A61,tropes!$A$4:$O$2428,2,FALSE)</f>
        <v>Landing Party</v>
      </c>
      <c r="C61" s="5" t="str">
        <f>VLOOKUP($A61,tropes!$A$4:$O$2428,3,FALSE)</f>
        <v>landing_party</v>
      </c>
      <c r="D61" s="5">
        <f>VLOOKUP($A61,tropes!$A$4:$O$2428,4,FALSE)</f>
        <v>0</v>
      </c>
      <c r="E61" s="5" t="str">
        <f>VLOOKUP($A61,tropes!$A$4:$O$2428,5,FALSE)</f>
        <v>Yeoman Mears</v>
      </c>
      <c r="F61" s="5" t="str">
        <f>VLOOKUP($A61,tropes!$A$4:$O$2428,6,FALSE)</f>
        <v>mears</v>
      </c>
      <c r="G61" s="5">
        <f>VLOOKUP($A61,tropes!$A$4:$O$2428,7,FALSE)</f>
        <v>0</v>
      </c>
      <c r="H61" s="5">
        <f>VLOOKUP($A61,tropes!$A$4:$O$2428,8,FALSE)</f>
        <v>0</v>
      </c>
      <c r="I61" s="5">
        <f>VLOOKUP($A61,tropes!$A$4:$O$2428,9,FALSE)</f>
        <v>116</v>
      </c>
      <c r="J61" s="5">
        <f>VLOOKUP($A61,tropes!$A$4:$O$2428,10,FALSE)</f>
        <v>17</v>
      </c>
      <c r="K61" s="5" t="str">
        <f>VLOOKUP($A61,tropes!$A$4:$O$2428,11,FALSE)</f>
        <v>The Galileo Seven</v>
      </c>
      <c r="L61" s="5">
        <f>VLOOKUP($A61,tropes!$A$4:$O$2428,12,FALSE)</f>
        <v>1</v>
      </c>
      <c r="M61" s="5">
        <f>VLOOKUP($A61,tropes!$A$4:$O$2428,13,FALSE)</f>
        <v>16</v>
      </c>
      <c r="N61" s="5">
        <f t="shared" si="0"/>
        <v>7</v>
      </c>
    </row>
    <row r="62" spans="1:14" x14ac:dyDescent="0.3">
      <c r="A62" s="14">
        <v>291</v>
      </c>
      <c r="B62" s="5" t="str">
        <f>VLOOKUP($A62,tropes!$A$4:$O$2428,2,FALSE)</f>
        <v>Landing Party</v>
      </c>
      <c r="C62" s="5" t="str">
        <f>VLOOKUP($A62,tropes!$A$4:$O$2428,3,FALSE)</f>
        <v>landing_party</v>
      </c>
      <c r="D62" s="5" t="str">
        <f>VLOOKUP($A62,tropes!$A$4:$O$2428,4,FALSE)</f>
        <v>death</v>
      </c>
      <c r="E62" s="5" t="str">
        <f>VLOOKUP($A62,tropes!$A$4:$O$2428,5,FALSE)</f>
        <v>Lt. Lang (killed by Gorn disrupter fire.)</v>
      </c>
      <c r="F62" s="5" t="str">
        <f>VLOOKUP($A62,tropes!$A$4:$O$2428,6,FALSE)</f>
        <v>goldshirt</v>
      </c>
      <c r="G62" s="5">
        <f>VLOOKUP($A62,tropes!$A$4:$O$2428,7,FALSE)</f>
        <v>0</v>
      </c>
      <c r="H62" s="5">
        <f>VLOOKUP($A62,tropes!$A$4:$O$2428,8,FALSE)</f>
        <v>0</v>
      </c>
      <c r="I62" s="5">
        <f>VLOOKUP($A62,tropes!$A$4:$O$2428,9,FALSE)</f>
        <v>118</v>
      </c>
      <c r="J62" s="5">
        <f>VLOOKUP($A62,tropes!$A$4:$O$2428,10,FALSE)</f>
        <v>19</v>
      </c>
      <c r="K62" s="5" t="str">
        <f>VLOOKUP($A62,tropes!$A$4:$O$2428,11,FALSE)</f>
        <v>Arena</v>
      </c>
      <c r="L62" s="5">
        <f>VLOOKUP($A62,tropes!$A$4:$O$2428,12,FALSE)</f>
        <v>1</v>
      </c>
      <c r="M62" s="5">
        <f>VLOOKUP($A62,tropes!$A$4:$O$2428,13,FALSE)</f>
        <v>18</v>
      </c>
      <c r="N62" s="5">
        <f t="shared" si="0"/>
        <v>0</v>
      </c>
    </row>
    <row r="63" spans="1:14" x14ac:dyDescent="0.3">
      <c r="A63" s="14">
        <v>292</v>
      </c>
      <c r="B63" s="5" t="str">
        <f>VLOOKUP($A63,tropes!$A$4:$O$2428,2,FALSE)</f>
        <v>Landing Party</v>
      </c>
      <c r="C63" s="5" t="str">
        <f>VLOOKUP($A63,tropes!$A$4:$O$2428,3,FALSE)</f>
        <v>landing_party</v>
      </c>
      <c r="D63" s="5" t="str">
        <f>VLOOKUP($A63,tropes!$A$4:$O$2428,4,FALSE)</f>
        <v>death</v>
      </c>
      <c r="E63" s="5" t="str">
        <f>VLOOKUP($A63,tropes!$A$4:$O$2428,5,FALSE)</f>
        <v>Lt. O'Herlihy (killed by Gorn disrupter fire.)</v>
      </c>
      <c r="F63" s="5" t="str">
        <f>VLOOKUP($A63,tropes!$A$4:$O$2428,6,FALSE)</f>
        <v>redshirt</v>
      </c>
      <c r="G63" s="5">
        <f>VLOOKUP($A63,tropes!$A$4:$O$2428,7,FALSE)</f>
        <v>0</v>
      </c>
      <c r="H63" s="5">
        <f>VLOOKUP($A63,tropes!$A$4:$O$2428,8,FALSE)</f>
        <v>0</v>
      </c>
      <c r="I63" s="5">
        <f>VLOOKUP($A63,tropes!$A$4:$O$2428,9,FALSE)</f>
        <v>118</v>
      </c>
      <c r="J63" s="5">
        <f>VLOOKUP($A63,tropes!$A$4:$O$2428,10,FALSE)</f>
        <v>19</v>
      </c>
      <c r="K63" s="5" t="str">
        <f>VLOOKUP($A63,tropes!$A$4:$O$2428,11,FALSE)</f>
        <v>Arena</v>
      </c>
      <c r="L63" s="5">
        <f>VLOOKUP($A63,tropes!$A$4:$O$2428,12,FALSE)</f>
        <v>1</v>
      </c>
      <c r="M63" s="5">
        <f>VLOOKUP($A63,tropes!$A$4:$O$2428,13,FALSE)</f>
        <v>18</v>
      </c>
      <c r="N63" s="5">
        <f t="shared" si="0"/>
        <v>1</v>
      </c>
    </row>
    <row r="64" spans="1:14" x14ac:dyDescent="0.3">
      <c r="A64" s="14">
        <v>754</v>
      </c>
      <c r="B64" s="5" t="str">
        <f>VLOOKUP($A64,tropes!$A$4:$O$2428,2,FALSE)</f>
        <v>Landing Party</v>
      </c>
      <c r="C64" s="5" t="str">
        <f>VLOOKUP($A64,tropes!$A$4:$O$2428,3,FALSE)</f>
        <v>landing_party</v>
      </c>
      <c r="D64" s="5">
        <f>VLOOKUP($A64,tropes!$A$4:$O$2428,4,FALSE)</f>
        <v>0</v>
      </c>
      <c r="E64" s="5" t="str">
        <f>VLOOKUP($A64,tropes!$A$4:$O$2428,5,FALSE)</f>
        <v>Kirk</v>
      </c>
      <c r="F64" s="5" t="str">
        <f>VLOOKUP($A64,tropes!$A$4:$O$2428,6,FALSE)</f>
        <v>kirk</v>
      </c>
      <c r="G64" s="5">
        <f>VLOOKUP($A64,tropes!$A$4:$O$2428,7,FALSE)</f>
        <v>1</v>
      </c>
      <c r="H64" s="5">
        <f>VLOOKUP($A64,tropes!$A$4:$O$2428,8,FALSE)</f>
        <v>0</v>
      </c>
      <c r="I64" s="5">
        <f>VLOOKUP($A64,tropes!$A$4:$O$2428,9,FALSE)</f>
        <v>118</v>
      </c>
      <c r="J64" s="5">
        <f>VLOOKUP($A64,tropes!$A$4:$O$2428,10,FALSE)</f>
        <v>19</v>
      </c>
      <c r="K64" s="5" t="str">
        <f>VLOOKUP($A64,tropes!$A$4:$O$2428,11,FALSE)</f>
        <v>Arena</v>
      </c>
      <c r="L64" s="5">
        <f>VLOOKUP($A64,tropes!$A$4:$O$2428,12,FALSE)</f>
        <v>1</v>
      </c>
      <c r="M64" s="5">
        <f>VLOOKUP($A64,tropes!$A$4:$O$2428,13,FALSE)</f>
        <v>18</v>
      </c>
      <c r="N64" s="5">
        <f t="shared" si="0"/>
        <v>2</v>
      </c>
    </row>
    <row r="65" spans="1:14" x14ac:dyDescent="0.3">
      <c r="A65" s="14">
        <v>290</v>
      </c>
      <c r="B65" s="5" t="str">
        <f>VLOOKUP($A65,tropes!$A$4:$O$2428,2,FALSE)</f>
        <v>Landing Party</v>
      </c>
      <c r="C65" s="5" t="str">
        <f>VLOOKUP($A65,tropes!$A$4:$O$2428,3,FALSE)</f>
        <v>landing_party</v>
      </c>
      <c r="D65" s="5">
        <f>VLOOKUP($A65,tropes!$A$4:$O$2428,4,FALSE)</f>
        <v>0</v>
      </c>
      <c r="E65" s="5" t="str">
        <f>VLOOKUP($A65,tropes!$A$4:$O$2428,5,FALSE)</f>
        <v>Lt. Kelowitz</v>
      </c>
      <c r="F65" s="5" t="str">
        <f>VLOOKUP($A65,tropes!$A$4:$O$2428,6,FALSE)</f>
        <v>blueshirt</v>
      </c>
      <c r="G65" s="5">
        <f>VLOOKUP($A65,tropes!$A$4:$O$2428,7,FALSE)</f>
        <v>0</v>
      </c>
      <c r="H65" s="5">
        <f>VLOOKUP($A65,tropes!$A$4:$O$2428,8,FALSE)</f>
        <v>0</v>
      </c>
      <c r="I65" s="5">
        <f>VLOOKUP($A65,tropes!$A$4:$O$2428,9,FALSE)</f>
        <v>118</v>
      </c>
      <c r="J65" s="5">
        <f>VLOOKUP($A65,tropes!$A$4:$O$2428,10,FALSE)</f>
        <v>19</v>
      </c>
      <c r="K65" s="5" t="str">
        <f>VLOOKUP($A65,tropes!$A$4:$O$2428,11,FALSE)</f>
        <v>Arena</v>
      </c>
      <c r="L65" s="5">
        <f>VLOOKUP($A65,tropes!$A$4:$O$2428,12,FALSE)</f>
        <v>1</v>
      </c>
      <c r="M65" s="5">
        <f>VLOOKUP($A65,tropes!$A$4:$O$2428,13,FALSE)</f>
        <v>18</v>
      </c>
      <c r="N65" s="5">
        <f t="shared" si="0"/>
        <v>3</v>
      </c>
    </row>
    <row r="66" spans="1:14" x14ac:dyDescent="0.3">
      <c r="A66" s="14">
        <v>2110</v>
      </c>
      <c r="B66" s="5" t="str">
        <f>VLOOKUP($A66,tropes!$A$4:$O$2428,2,FALSE)</f>
        <v>Landing Party</v>
      </c>
      <c r="C66" s="5" t="str">
        <f>VLOOKUP($A66,tropes!$A$4:$O$2428,3,FALSE)</f>
        <v>landing_party</v>
      </c>
      <c r="D66" s="5">
        <f>VLOOKUP($A66,tropes!$A$4:$O$2428,4,FALSE)</f>
        <v>0</v>
      </c>
      <c r="E66" s="5" t="str">
        <f>VLOOKUP($A66,tropes!$A$4:$O$2428,5,FALSE)</f>
        <v>Spock</v>
      </c>
      <c r="F66" s="5" t="str">
        <f>VLOOKUP($A66,tropes!$A$4:$O$2428,6,FALSE)</f>
        <v>spock</v>
      </c>
      <c r="G66" s="5">
        <f>VLOOKUP($A66,tropes!$A$4:$O$2428,7,FALSE)</f>
        <v>1</v>
      </c>
      <c r="H66" s="5">
        <f>VLOOKUP($A66,tropes!$A$4:$O$2428,8,FALSE)</f>
        <v>0</v>
      </c>
      <c r="I66" s="5">
        <f>VLOOKUP($A66,tropes!$A$4:$O$2428,9,FALSE)</f>
        <v>118</v>
      </c>
      <c r="J66" s="5">
        <f>VLOOKUP($A66,tropes!$A$4:$O$2428,10,FALSE)</f>
        <v>19</v>
      </c>
      <c r="K66" s="5" t="str">
        <f>VLOOKUP($A66,tropes!$A$4:$O$2428,11,FALSE)</f>
        <v>Arena</v>
      </c>
      <c r="L66" s="5">
        <f>VLOOKUP($A66,tropes!$A$4:$O$2428,12,FALSE)</f>
        <v>1</v>
      </c>
      <c r="M66" s="5">
        <f>VLOOKUP($A66,tropes!$A$4:$O$2428,13,FALSE)</f>
        <v>18</v>
      </c>
      <c r="N66" s="5">
        <f t="shared" si="0"/>
        <v>4</v>
      </c>
    </row>
    <row r="67" spans="1:14" x14ac:dyDescent="0.3">
      <c r="A67" s="14">
        <v>769</v>
      </c>
      <c r="B67" s="5" t="str">
        <f>VLOOKUP($A67,tropes!$A$4:$O$2428,2,FALSE)</f>
        <v>Landing Party</v>
      </c>
      <c r="C67" s="5" t="str">
        <f>VLOOKUP($A67,tropes!$A$4:$O$2428,3,FALSE)</f>
        <v>landing_party</v>
      </c>
      <c r="D67" s="5">
        <f>VLOOKUP($A67,tropes!$A$4:$O$2428,4,FALSE)</f>
        <v>0</v>
      </c>
      <c r="E67" s="5" t="str">
        <f>VLOOKUP($A67,tropes!$A$4:$O$2428,5,FALSE)</f>
        <v>Kirk</v>
      </c>
      <c r="F67" s="5" t="str">
        <f>VLOOKUP($A67,tropes!$A$4:$O$2428,6,FALSE)</f>
        <v>kirk</v>
      </c>
      <c r="G67" s="5">
        <f>VLOOKUP($A67,tropes!$A$4:$O$2428,7,FALSE)</f>
        <v>1</v>
      </c>
      <c r="H67" s="5">
        <f>VLOOKUP($A67,tropes!$A$4:$O$2428,8,FALSE)</f>
        <v>0</v>
      </c>
      <c r="I67" s="5">
        <f>VLOOKUP($A67,tropes!$A$4:$O$2428,9,FALSE)</f>
        <v>119</v>
      </c>
      <c r="J67" s="5">
        <f>VLOOKUP($A67,tropes!$A$4:$O$2428,10,FALSE)</f>
        <v>20</v>
      </c>
      <c r="K67" s="5" t="str">
        <f>VLOOKUP($A67,tropes!$A$4:$O$2428,11,FALSE)</f>
        <v>Tomorrow Is Yesterday</v>
      </c>
      <c r="L67" s="5">
        <f>VLOOKUP($A67,tropes!$A$4:$O$2428,12,FALSE)</f>
        <v>1</v>
      </c>
      <c r="M67" s="5">
        <f>VLOOKUP($A67,tropes!$A$4:$O$2428,13,FALSE)</f>
        <v>19</v>
      </c>
      <c r="N67" s="5">
        <f t="shared" si="0"/>
        <v>0</v>
      </c>
    </row>
    <row r="68" spans="1:14" x14ac:dyDescent="0.3">
      <c r="A68" s="14">
        <v>2448</v>
      </c>
      <c r="B68" s="5" t="str">
        <f>VLOOKUP($A68,tropes!$A$4:$O$2428,2,FALSE)</f>
        <v>Landing Party</v>
      </c>
      <c r="C68" s="5" t="str">
        <f>VLOOKUP($A68,tropes!$A$4:$O$2428,3,FALSE)</f>
        <v>landing_party</v>
      </c>
      <c r="D68" s="5">
        <f>VLOOKUP($A68,tropes!$A$4:$O$2428,4,FALSE)</f>
        <v>0</v>
      </c>
      <c r="E68" s="5" t="str">
        <f>VLOOKUP($A68,tropes!$A$4:$O$2428,5,FALSE)</f>
        <v>Sulu</v>
      </c>
      <c r="F68" s="5" t="str">
        <f>VLOOKUP($A68,tropes!$A$4:$O$2428,6,FALSE)</f>
        <v>sulu</v>
      </c>
      <c r="G68" s="5">
        <f>VLOOKUP($A68,tropes!$A$4:$O$2428,7,FALSE)</f>
        <v>0</v>
      </c>
      <c r="H68" s="5">
        <f>VLOOKUP($A68,tropes!$A$4:$O$2428,8,FALSE)</f>
        <v>1</v>
      </c>
      <c r="I68" s="5">
        <f>VLOOKUP($A68,tropes!$A$4:$O$2428,9,FALSE)</f>
        <v>119</v>
      </c>
      <c r="J68" s="5">
        <f>VLOOKUP($A68,tropes!$A$4:$O$2428,10,FALSE)</f>
        <v>20</v>
      </c>
      <c r="K68" s="5" t="str">
        <f>VLOOKUP($A68,tropes!$A$4:$O$2428,11,FALSE)</f>
        <v>Tomorrow Is Yesterday</v>
      </c>
      <c r="L68" s="5">
        <f>VLOOKUP($A68,tropes!$A$4:$O$2428,12,FALSE)</f>
        <v>1</v>
      </c>
      <c r="M68" s="5">
        <f>VLOOKUP($A68,tropes!$A$4:$O$2428,13,FALSE)</f>
        <v>19</v>
      </c>
      <c r="N68" s="5">
        <f t="shared" ref="N68:N131" si="1">IF(I68&lt;&gt;I67,0,N67+1)</f>
        <v>1</v>
      </c>
    </row>
    <row r="69" spans="1:14" x14ac:dyDescent="0.3">
      <c r="A69" s="14">
        <v>299</v>
      </c>
      <c r="B69" s="5" t="str">
        <f>VLOOKUP($A69,tropes!$A$4:$O$2428,2,FALSE)</f>
        <v>Landing Party</v>
      </c>
      <c r="C69" s="5" t="str">
        <f>VLOOKUP($A69,tropes!$A$4:$O$2428,3,FALSE)</f>
        <v>landing_party</v>
      </c>
      <c r="D69" s="5">
        <f>VLOOKUP($A69,tropes!$A$4:$O$2428,4,FALSE)</f>
        <v>0</v>
      </c>
      <c r="E69" s="5" t="str">
        <f>VLOOKUP($A69,tropes!$A$4:$O$2428,5,FALSE)</f>
        <v>crewman (1)</v>
      </c>
      <c r="F69" s="5" t="str">
        <f>VLOOKUP($A69,tropes!$A$4:$O$2428,6,FALSE)</f>
        <v>human</v>
      </c>
      <c r="G69" s="5">
        <f>VLOOKUP($A69,tropes!$A$4:$O$2428,7,FALSE)</f>
        <v>0</v>
      </c>
      <c r="H69" s="5">
        <f>VLOOKUP($A69,tropes!$A$4:$O$2428,8,FALSE)</f>
        <v>0</v>
      </c>
      <c r="I69" s="5">
        <f>VLOOKUP($A69,tropes!$A$4:$O$2428,9,FALSE)</f>
        <v>121</v>
      </c>
      <c r="J69" s="5">
        <f>VLOOKUP($A69,tropes!$A$4:$O$2428,10,FALSE)</f>
        <v>22</v>
      </c>
      <c r="K69" s="5" t="str">
        <f>VLOOKUP($A69,tropes!$A$4:$O$2428,11,FALSE)</f>
        <v>The Return of the Archons</v>
      </c>
      <c r="L69" s="5">
        <f>VLOOKUP($A69,tropes!$A$4:$O$2428,12,FALSE)</f>
        <v>1</v>
      </c>
      <c r="M69" s="5">
        <f>VLOOKUP($A69,tropes!$A$4:$O$2428,13,FALSE)</f>
        <v>21</v>
      </c>
      <c r="N69" s="5">
        <f t="shared" si="1"/>
        <v>0</v>
      </c>
    </row>
    <row r="70" spans="1:14" x14ac:dyDescent="0.3">
      <c r="A70" s="14">
        <v>300</v>
      </c>
      <c r="B70" s="5" t="str">
        <f>VLOOKUP($A70,tropes!$A$4:$O$2428,2,FALSE)</f>
        <v>Landing Party</v>
      </c>
      <c r="C70" s="5" t="str">
        <f>VLOOKUP($A70,tropes!$A$4:$O$2428,3,FALSE)</f>
        <v>landing_party</v>
      </c>
      <c r="D70" s="5">
        <f>VLOOKUP($A70,tropes!$A$4:$O$2428,4,FALSE)</f>
        <v>0</v>
      </c>
      <c r="E70" s="5" t="str">
        <f>VLOOKUP($A70,tropes!$A$4:$O$2428,5,FALSE)</f>
        <v>crewman (2)</v>
      </c>
      <c r="F70" s="5" t="str">
        <f>VLOOKUP($A70,tropes!$A$4:$O$2428,6,FALSE)</f>
        <v>human</v>
      </c>
      <c r="G70" s="5">
        <f>VLOOKUP($A70,tropes!$A$4:$O$2428,7,FALSE)</f>
        <v>0</v>
      </c>
      <c r="H70" s="5">
        <f>VLOOKUP($A70,tropes!$A$4:$O$2428,8,FALSE)</f>
        <v>0</v>
      </c>
      <c r="I70" s="5">
        <f>VLOOKUP($A70,tropes!$A$4:$O$2428,9,FALSE)</f>
        <v>121</v>
      </c>
      <c r="J70" s="5">
        <f>VLOOKUP($A70,tropes!$A$4:$O$2428,10,FALSE)</f>
        <v>22</v>
      </c>
      <c r="K70" s="5" t="str">
        <f>VLOOKUP($A70,tropes!$A$4:$O$2428,11,FALSE)</f>
        <v>The Return of the Archons</v>
      </c>
      <c r="L70" s="5">
        <f>VLOOKUP($A70,tropes!$A$4:$O$2428,12,FALSE)</f>
        <v>1</v>
      </c>
      <c r="M70" s="5">
        <f>VLOOKUP($A70,tropes!$A$4:$O$2428,13,FALSE)</f>
        <v>21</v>
      </c>
      <c r="N70" s="5">
        <f t="shared" si="1"/>
        <v>1</v>
      </c>
    </row>
    <row r="71" spans="1:14" x14ac:dyDescent="0.3">
      <c r="A71" s="14">
        <v>301</v>
      </c>
      <c r="B71" s="5" t="str">
        <f>VLOOKUP($A71,tropes!$A$4:$O$2428,2,FALSE)</f>
        <v>Landing Party</v>
      </c>
      <c r="C71" s="5" t="str">
        <f>VLOOKUP($A71,tropes!$A$4:$O$2428,3,FALSE)</f>
        <v>landing_party</v>
      </c>
      <c r="D71" s="5">
        <f>VLOOKUP($A71,tropes!$A$4:$O$2428,4,FALSE)</f>
        <v>0</v>
      </c>
      <c r="E71" s="5" t="str">
        <f>VLOOKUP($A71,tropes!$A$4:$O$2428,5,FALSE)</f>
        <v>crewman (3)</v>
      </c>
      <c r="F71" s="5" t="str">
        <f>VLOOKUP($A71,tropes!$A$4:$O$2428,6,FALSE)</f>
        <v>human</v>
      </c>
      <c r="G71" s="5">
        <f>VLOOKUP($A71,tropes!$A$4:$O$2428,7,FALSE)</f>
        <v>0</v>
      </c>
      <c r="H71" s="5">
        <f>VLOOKUP($A71,tropes!$A$4:$O$2428,8,FALSE)</f>
        <v>0</v>
      </c>
      <c r="I71" s="5">
        <f>VLOOKUP($A71,tropes!$A$4:$O$2428,9,FALSE)</f>
        <v>121</v>
      </c>
      <c r="J71" s="5">
        <f>VLOOKUP($A71,tropes!$A$4:$O$2428,10,FALSE)</f>
        <v>22</v>
      </c>
      <c r="K71" s="5" t="str">
        <f>VLOOKUP($A71,tropes!$A$4:$O$2428,11,FALSE)</f>
        <v>The Return of the Archons</v>
      </c>
      <c r="L71" s="5">
        <f>VLOOKUP($A71,tropes!$A$4:$O$2428,12,FALSE)</f>
        <v>1</v>
      </c>
      <c r="M71" s="5">
        <f>VLOOKUP($A71,tropes!$A$4:$O$2428,13,FALSE)</f>
        <v>21</v>
      </c>
      <c r="N71" s="5">
        <f t="shared" si="1"/>
        <v>2</v>
      </c>
    </row>
    <row r="72" spans="1:14" x14ac:dyDescent="0.3">
      <c r="A72" s="14">
        <v>302</v>
      </c>
      <c r="B72" s="5" t="str">
        <f>VLOOKUP($A72,tropes!$A$4:$O$2428,2,FALSE)</f>
        <v>Landing Party</v>
      </c>
      <c r="C72" s="5" t="str">
        <f>VLOOKUP($A72,tropes!$A$4:$O$2428,3,FALSE)</f>
        <v>landing_party</v>
      </c>
      <c r="D72" s="5">
        <f>VLOOKUP($A72,tropes!$A$4:$O$2428,4,FALSE)</f>
        <v>0</v>
      </c>
      <c r="E72" s="5" t="str">
        <f>VLOOKUP($A72,tropes!$A$4:$O$2428,5,FALSE)</f>
        <v>crewman (4)</v>
      </c>
      <c r="F72" s="5" t="str">
        <f>VLOOKUP($A72,tropes!$A$4:$O$2428,6,FALSE)</f>
        <v>human</v>
      </c>
      <c r="G72" s="5">
        <f>VLOOKUP($A72,tropes!$A$4:$O$2428,7,FALSE)</f>
        <v>0</v>
      </c>
      <c r="H72" s="5">
        <f>VLOOKUP($A72,tropes!$A$4:$O$2428,8,FALSE)</f>
        <v>0</v>
      </c>
      <c r="I72" s="5">
        <f>VLOOKUP($A72,tropes!$A$4:$O$2428,9,FALSE)</f>
        <v>121</v>
      </c>
      <c r="J72" s="5">
        <f>VLOOKUP($A72,tropes!$A$4:$O$2428,10,FALSE)</f>
        <v>22</v>
      </c>
      <c r="K72" s="5" t="str">
        <f>VLOOKUP($A72,tropes!$A$4:$O$2428,11,FALSE)</f>
        <v>The Return of the Archons</v>
      </c>
      <c r="L72" s="5">
        <f>VLOOKUP($A72,tropes!$A$4:$O$2428,12,FALSE)</f>
        <v>1</v>
      </c>
      <c r="M72" s="5">
        <f>VLOOKUP($A72,tropes!$A$4:$O$2428,13,FALSE)</f>
        <v>21</v>
      </c>
      <c r="N72" s="5">
        <f t="shared" si="1"/>
        <v>3</v>
      </c>
    </row>
    <row r="73" spans="1:14" x14ac:dyDescent="0.3">
      <c r="A73" s="14">
        <v>788</v>
      </c>
      <c r="B73" s="5" t="str">
        <f>VLOOKUP($A73,tropes!$A$4:$O$2428,2,FALSE)</f>
        <v>Landing Party</v>
      </c>
      <c r="C73" s="5" t="str">
        <f>VLOOKUP($A73,tropes!$A$4:$O$2428,3,FALSE)</f>
        <v>landing_party</v>
      </c>
      <c r="D73" s="5">
        <f>VLOOKUP($A73,tropes!$A$4:$O$2428,4,FALSE)</f>
        <v>0</v>
      </c>
      <c r="E73" s="5" t="str">
        <f>VLOOKUP($A73,tropes!$A$4:$O$2428,5,FALSE)</f>
        <v>Kirk</v>
      </c>
      <c r="F73" s="5" t="str">
        <f>VLOOKUP($A73,tropes!$A$4:$O$2428,6,FALSE)</f>
        <v>kirk</v>
      </c>
      <c r="G73" s="5">
        <f>VLOOKUP($A73,tropes!$A$4:$O$2428,7,FALSE)</f>
        <v>1</v>
      </c>
      <c r="H73" s="5">
        <f>VLOOKUP($A73,tropes!$A$4:$O$2428,8,FALSE)</f>
        <v>0</v>
      </c>
      <c r="I73" s="5">
        <f>VLOOKUP($A73,tropes!$A$4:$O$2428,9,FALSE)</f>
        <v>121</v>
      </c>
      <c r="J73" s="5">
        <f>VLOOKUP($A73,tropes!$A$4:$O$2428,10,FALSE)</f>
        <v>22</v>
      </c>
      <c r="K73" s="5" t="str">
        <f>VLOOKUP($A73,tropes!$A$4:$O$2428,11,FALSE)</f>
        <v>The Return of the Archons</v>
      </c>
      <c r="L73" s="5">
        <f>VLOOKUP($A73,tropes!$A$4:$O$2428,12,FALSE)</f>
        <v>1</v>
      </c>
      <c r="M73" s="5">
        <f>VLOOKUP($A73,tropes!$A$4:$O$2428,13,FALSE)</f>
        <v>21</v>
      </c>
      <c r="N73" s="5">
        <f t="shared" si="1"/>
        <v>4</v>
      </c>
    </row>
    <row r="74" spans="1:14" x14ac:dyDescent="0.3">
      <c r="A74" s="14">
        <v>1584</v>
      </c>
      <c r="B74" s="5" t="str">
        <f>VLOOKUP($A74,tropes!$A$4:$O$2428,2,FALSE)</f>
        <v>Landing Party</v>
      </c>
      <c r="C74" s="5" t="str">
        <f>VLOOKUP($A74,tropes!$A$4:$O$2428,3,FALSE)</f>
        <v>landing_party</v>
      </c>
      <c r="D74" s="5">
        <f>VLOOKUP($A74,tropes!$A$4:$O$2428,4,FALSE)</f>
        <v>0</v>
      </c>
      <c r="E74" s="5" t="str">
        <f>VLOOKUP($A74,tropes!$A$4:$O$2428,5,FALSE)</f>
        <v>McCoy</v>
      </c>
      <c r="F74" s="5" t="str">
        <f>VLOOKUP($A74,tropes!$A$4:$O$2428,6,FALSE)</f>
        <v>mccoy</v>
      </c>
      <c r="G74" s="5">
        <f>VLOOKUP($A74,tropes!$A$4:$O$2428,7,FALSE)</f>
        <v>0</v>
      </c>
      <c r="H74" s="5">
        <f>VLOOKUP($A74,tropes!$A$4:$O$2428,8,FALSE)</f>
        <v>1</v>
      </c>
      <c r="I74" s="5">
        <f>VLOOKUP($A74,tropes!$A$4:$O$2428,9,FALSE)</f>
        <v>121</v>
      </c>
      <c r="J74" s="5">
        <f>VLOOKUP($A74,tropes!$A$4:$O$2428,10,FALSE)</f>
        <v>22</v>
      </c>
      <c r="K74" s="5" t="str">
        <f>VLOOKUP($A74,tropes!$A$4:$O$2428,11,FALSE)</f>
        <v>The Return of the Archons</v>
      </c>
      <c r="L74" s="5">
        <f>VLOOKUP($A74,tropes!$A$4:$O$2428,12,FALSE)</f>
        <v>1</v>
      </c>
      <c r="M74" s="5">
        <f>VLOOKUP($A74,tropes!$A$4:$O$2428,13,FALSE)</f>
        <v>21</v>
      </c>
      <c r="N74" s="5">
        <f t="shared" si="1"/>
        <v>5</v>
      </c>
    </row>
    <row r="75" spans="1:14" x14ac:dyDescent="0.3">
      <c r="A75" s="14">
        <v>2126</v>
      </c>
      <c r="B75" s="5" t="str">
        <f>VLOOKUP($A75,tropes!$A$4:$O$2428,2,FALSE)</f>
        <v>Landing Party</v>
      </c>
      <c r="C75" s="5" t="str">
        <f>VLOOKUP($A75,tropes!$A$4:$O$2428,3,FALSE)</f>
        <v>landing_party</v>
      </c>
      <c r="D75" s="5">
        <f>VLOOKUP($A75,tropes!$A$4:$O$2428,4,FALSE)</f>
        <v>0</v>
      </c>
      <c r="E75" s="5" t="str">
        <f>VLOOKUP($A75,tropes!$A$4:$O$2428,5,FALSE)</f>
        <v>Spock</v>
      </c>
      <c r="F75" s="5" t="str">
        <f>VLOOKUP($A75,tropes!$A$4:$O$2428,6,FALSE)</f>
        <v>spock</v>
      </c>
      <c r="G75" s="5">
        <f>VLOOKUP($A75,tropes!$A$4:$O$2428,7,FALSE)</f>
        <v>1</v>
      </c>
      <c r="H75" s="5">
        <f>VLOOKUP($A75,tropes!$A$4:$O$2428,8,FALSE)</f>
        <v>0</v>
      </c>
      <c r="I75" s="5">
        <f>VLOOKUP($A75,tropes!$A$4:$O$2428,9,FALSE)</f>
        <v>121</v>
      </c>
      <c r="J75" s="5">
        <f>VLOOKUP($A75,tropes!$A$4:$O$2428,10,FALSE)</f>
        <v>22</v>
      </c>
      <c r="K75" s="5" t="str">
        <f>VLOOKUP($A75,tropes!$A$4:$O$2428,11,FALSE)</f>
        <v>The Return of the Archons</v>
      </c>
      <c r="L75" s="5">
        <f>VLOOKUP($A75,tropes!$A$4:$O$2428,12,FALSE)</f>
        <v>1</v>
      </c>
      <c r="M75" s="5">
        <f>VLOOKUP($A75,tropes!$A$4:$O$2428,13,FALSE)</f>
        <v>21</v>
      </c>
      <c r="N75" s="5">
        <f t="shared" si="1"/>
        <v>6</v>
      </c>
    </row>
    <row r="76" spans="1:14" x14ac:dyDescent="0.3">
      <c r="A76" s="14">
        <v>2450</v>
      </c>
      <c r="B76" s="5" t="str">
        <f>VLOOKUP($A76,tropes!$A$4:$O$2428,2,FALSE)</f>
        <v>Landing Party</v>
      </c>
      <c r="C76" s="5" t="str">
        <f>VLOOKUP($A76,tropes!$A$4:$O$2428,3,FALSE)</f>
        <v>landing_party</v>
      </c>
      <c r="D76" s="5">
        <f>VLOOKUP($A76,tropes!$A$4:$O$2428,4,FALSE)</f>
        <v>0</v>
      </c>
      <c r="E76" s="5" t="str">
        <f>VLOOKUP($A76,tropes!$A$4:$O$2428,5,FALSE)</f>
        <v>Sulu</v>
      </c>
      <c r="F76" s="5" t="str">
        <f>VLOOKUP($A76,tropes!$A$4:$O$2428,6,FALSE)</f>
        <v>sulu</v>
      </c>
      <c r="G76" s="5">
        <f>VLOOKUP($A76,tropes!$A$4:$O$2428,7,FALSE)</f>
        <v>0</v>
      </c>
      <c r="H76" s="5">
        <f>VLOOKUP($A76,tropes!$A$4:$O$2428,8,FALSE)</f>
        <v>1</v>
      </c>
      <c r="I76" s="5">
        <f>VLOOKUP($A76,tropes!$A$4:$O$2428,9,FALSE)</f>
        <v>121</v>
      </c>
      <c r="J76" s="5">
        <f>VLOOKUP($A76,tropes!$A$4:$O$2428,10,FALSE)</f>
        <v>22</v>
      </c>
      <c r="K76" s="5" t="str">
        <f>VLOOKUP($A76,tropes!$A$4:$O$2428,11,FALSE)</f>
        <v>The Return of the Archons</v>
      </c>
      <c r="L76" s="5">
        <f>VLOOKUP($A76,tropes!$A$4:$O$2428,12,FALSE)</f>
        <v>1</v>
      </c>
      <c r="M76" s="5">
        <f>VLOOKUP($A76,tropes!$A$4:$O$2428,13,FALSE)</f>
        <v>21</v>
      </c>
      <c r="N76" s="5">
        <f t="shared" si="1"/>
        <v>7</v>
      </c>
    </row>
    <row r="77" spans="1:14" x14ac:dyDescent="0.3">
      <c r="A77" s="14">
        <v>310</v>
      </c>
      <c r="B77" s="5" t="str">
        <f>VLOOKUP($A77,tropes!$A$4:$O$2428,2,FALSE)</f>
        <v>Landing Party</v>
      </c>
      <c r="C77" s="5" t="str">
        <f>VLOOKUP($A77,tropes!$A$4:$O$2428,3,FALSE)</f>
        <v>landing_party</v>
      </c>
      <c r="D77" s="5" t="str">
        <f>VLOOKUP($A77,tropes!$A$4:$O$2428,4,FALSE)</f>
        <v>death</v>
      </c>
      <c r="E77" s="5" t="str">
        <f>VLOOKUP($A77,tropes!$A$4:$O$2428,5,FALSE)</f>
        <v>Assistant to Ambassador Fox (killed by Eminians)</v>
      </c>
      <c r="F77" s="5" t="str">
        <f>VLOOKUP($A77,tropes!$A$4:$O$2428,6,FALSE)</f>
        <v>human</v>
      </c>
      <c r="G77" s="5">
        <f>VLOOKUP($A77,tropes!$A$4:$O$2428,7,FALSE)</f>
        <v>0</v>
      </c>
      <c r="H77" s="5">
        <f>VLOOKUP($A77,tropes!$A$4:$O$2428,8,FALSE)</f>
        <v>0</v>
      </c>
      <c r="I77" s="5">
        <f>VLOOKUP($A77,tropes!$A$4:$O$2428,9,FALSE)</f>
        <v>123</v>
      </c>
      <c r="J77" s="5">
        <f>VLOOKUP($A77,tropes!$A$4:$O$2428,10,FALSE)</f>
        <v>24</v>
      </c>
      <c r="K77" s="5" t="str">
        <f>VLOOKUP($A77,tropes!$A$4:$O$2428,11,FALSE)</f>
        <v>A Taste of Armageddon</v>
      </c>
      <c r="L77" s="5">
        <f>VLOOKUP($A77,tropes!$A$4:$O$2428,12,FALSE)</f>
        <v>1</v>
      </c>
      <c r="M77" s="5">
        <f>VLOOKUP($A77,tropes!$A$4:$O$2428,13,FALSE)</f>
        <v>23</v>
      </c>
      <c r="N77" s="5">
        <f t="shared" si="1"/>
        <v>0</v>
      </c>
    </row>
    <row r="78" spans="1:14" x14ac:dyDescent="0.3">
      <c r="A78" s="14">
        <v>309</v>
      </c>
      <c r="B78" s="5" t="str">
        <f>VLOOKUP($A78,tropes!$A$4:$O$2428,2,FALSE)</f>
        <v>Landing Party</v>
      </c>
      <c r="C78" s="5" t="str">
        <f>VLOOKUP($A78,tropes!$A$4:$O$2428,3,FALSE)</f>
        <v>landing_party</v>
      </c>
      <c r="D78" s="5">
        <f>VLOOKUP($A78,tropes!$A$4:$O$2428,4,FALSE)</f>
        <v>0</v>
      </c>
      <c r="E78" s="5" t="str">
        <f>VLOOKUP($A78,tropes!$A$4:$O$2428,5,FALSE)</f>
        <v>Ambassador Fox.</v>
      </c>
      <c r="F78" s="5" t="str">
        <f>VLOOKUP($A78,tropes!$A$4:$O$2428,6,FALSE)</f>
        <v>human</v>
      </c>
      <c r="G78" s="5">
        <f>VLOOKUP($A78,tropes!$A$4:$O$2428,7,FALSE)</f>
        <v>0</v>
      </c>
      <c r="H78" s="5">
        <f>VLOOKUP($A78,tropes!$A$4:$O$2428,8,FALSE)</f>
        <v>0</v>
      </c>
      <c r="I78" s="5">
        <f>VLOOKUP($A78,tropes!$A$4:$O$2428,9,FALSE)</f>
        <v>123</v>
      </c>
      <c r="J78" s="5">
        <f>VLOOKUP($A78,tropes!$A$4:$O$2428,10,FALSE)</f>
        <v>24</v>
      </c>
      <c r="K78" s="5" t="str">
        <f>VLOOKUP($A78,tropes!$A$4:$O$2428,11,FALSE)</f>
        <v>A Taste of Armageddon</v>
      </c>
      <c r="L78" s="5">
        <f>VLOOKUP($A78,tropes!$A$4:$O$2428,12,FALSE)</f>
        <v>1</v>
      </c>
      <c r="M78" s="5">
        <f>VLOOKUP($A78,tropes!$A$4:$O$2428,13,FALSE)</f>
        <v>23</v>
      </c>
      <c r="N78" s="5">
        <f t="shared" si="1"/>
        <v>1</v>
      </c>
    </row>
    <row r="79" spans="1:14" x14ac:dyDescent="0.3">
      <c r="A79" s="14">
        <v>815</v>
      </c>
      <c r="B79" s="5" t="str">
        <f>VLOOKUP($A79,tropes!$A$4:$O$2428,2,FALSE)</f>
        <v>Landing Party</v>
      </c>
      <c r="C79" s="5" t="str">
        <f>VLOOKUP($A79,tropes!$A$4:$O$2428,3,FALSE)</f>
        <v>landing_party</v>
      </c>
      <c r="D79" s="5">
        <f>VLOOKUP($A79,tropes!$A$4:$O$2428,4,FALSE)</f>
        <v>0</v>
      </c>
      <c r="E79" s="5" t="str">
        <f>VLOOKUP($A79,tropes!$A$4:$O$2428,5,FALSE)</f>
        <v>Kirk</v>
      </c>
      <c r="F79" s="5" t="str">
        <f>VLOOKUP($A79,tropes!$A$4:$O$2428,6,FALSE)</f>
        <v>kirk</v>
      </c>
      <c r="G79" s="5">
        <f>VLOOKUP($A79,tropes!$A$4:$O$2428,7,FALSE)</f>
        <v>1</v>
      </c>
      <c r="H79" s="5">
        <f>VLOOKUP($A79,tropes!$A$4:$O$2428,8,FALSE)</f>
        <v>0</v>
      </c>
      <c r="I79" s="5">
        <f>VLOOKUP($A79,tropes!$A$4:$O$2428,9,FALSE)</f>
        <v>123</v>
      </c>
      <c r="J79" s="5">
        <f>VLOOKUP($A79,tropes!$A$4:$O$2428,10,FALSE)</f>
        <v>24</v>
      </c>
      <c r="K79" s="5" t="str">
        <f>VLOOKUP($A79,tropes!$A$4:$O$2428,11,FALSE)</f>
        <v>A Taste of Armageddon</v>
      </c>
      <c r="L79" s="5">
        <f>VLOOKUP($A79,tropes!$A$4:$O$2428,12,FALSE)</f>
        <v>1</v>
      </c>
      <c r="M79" s="5">
        <f>VLOOKUP($A79,tropes!$A$4:$O$2428,13,FALSE)</f>
        <v>23</v>
      </c>
      <c r="N79" s="5">
        <f t="shared" si="1"/>
        <v>2</v>
      </c>
    </row>
    <row r="80" spans="1:14" x14ac:dyDescent="0.3">
      <c r="A80" s="14">
        <v>311</v>
      </c>
      <c r="B80" s="5" t="str">
        <f>VLOOKUP($A80,tropes!$A$4:$O$2428,2,FALSE)</f>
        <v>Landing Party</v>
      </c>
      <c r="C80" s="5" t="str">
        <f>VLOOKUP($A80,tropes!$A$4:$O$2428,3,FALSE)</f>
        <v>landing_party</v>
      </c>
      <c r="D80" s="5">
        <f>VLOOKUP($A80,tropes!$A$4:$O$2428,4,FALSE)</f>
        <v>0</v>
      </c>
      <c r="E80" s="5" t="str">
        <f>VLOOKUP($A80,tropes!$A$4:$O$2428,5,FALSE)</f>
        <v>Lt. DePaul</v>
      </c>
      <c r="F80" s="5" t="str">
        <f>VLOOKUP($A80,tropes!$A$4:$O$2428,6,FALSE)</f>
        <v>goldshirt</v>
      </c>
      <c r="G80" s="5">
        <f>VLOOKUP($A80,tropes!$A$4:$O$2428,7,FALSE)</f>
        <v>0</v>
      </c>
      <c r="H80" s="5">
        <f>VLOOKUP($A80,tropes!$A$4:$O$2428,8,FALSE)</f>
        <v>0</v>
      </c>
      <c r="I80" s="5">
        <f>VLOOKUP($A80,tropes!$A$4:$O$2428,9,FALSE)</f>
        <v>123</v>
      </c>
      <c r="J80" s="5">
        <f>VLOOKUP($A80,tropes!$A$4:$O$2428,10,FALSE)</f>
        <v>24</v>
      </c>
      <c r="K80" s="5" t="str">
        <f>VLOOKUP($A80,tropes!$A$4:$O$2428,11,FALSE)</f>
        <v>A Taste of Armageddon</v>
      </c>
      <c r="L80" s="5">
        <f>VLOOKUP($A80,tropes!$A$4:$O$2428,12,FALSE)</f>
        <v>1</v>
      </c>
      <c r="M80" s="5">
        <f>VLOOKUP($A80,tropes!$A$4:$O$2428,13,FALSE)</f>
        <v>23</v>
      </c>
      <c r="N80" s="5">
        <f t="shared" si="1"/>
        <v>3</v>
      </c>
    </row>
    <row r="81" spans="1:14" x14ac:dyDescent="0.3">
      <c r="A81" s="14">
        <v>312</v>
      </c>
      <c r="B81" s="5" t="str">
        <f>VLOOKUP($A81,tropes!$A$4:$O$2428,2,FALSE)</f>
        <v>Landing Party</v>
      </c>
      <c r="C81" s="5" t="str">
        <f>VLOOKUP($A81,tropes!$A$4:$O$2428,3,FALSE)</f>
        <v>landing_party</v>
      </c>
      <c r="D81" s="5">
        <f>VLOOKUP($A81,tropes!$A$4:$O$2428,4,FALSE)</f>
        <v>0</v>
      </c>
      <c r="E81" s="5" t="str">
        <f>VLOOKUP($A81,tropes!$A$4:$O$2428,5,FALSE)</f>
        <v>Lt. Galloway</v>
      </c>
      <c r="F81" s="5" t="str">
        <f>VLOOKUP($A81,tropes!$A$4:$O$2428,6,FALSE)</f>
        <v>redshirt</v>
      </c>
      <c r="G81" s="5">
        <f>VLOOKUP($A81,tropes!$A$4:$O$2428,7,FALSE)</f>
        <v>0</v>
      </c>
      <c r="H81" s="5">
        <f>VLOOKUP($A81,tropes!$A$4:$O$2428,8,FALSE)</f>
        <v>0</v>
      </c>
      <c r="I81" s="5">
        <f>VLOOKUP($A81,tropes!$A$4:$O$2428,9,FALSE)</f>
        <v>123</v>
      </c>
      <c r="J81" s="5">
        <f>VLOOKUP($A81,tropes!$A$4:$O$2428,10,FALSE)</f>
        <v>24</v>
      </c>
      <c r="K81" s="5" t="str">
        <f>VLOOKUP($A81,tropes!$A$4:$O$2428,11,FALSE)</f>
        <v>A Taste of Armageddon</v>
      </c>
      <c r="L81" s="5">
        <f>VLOOKUP($A81,tropes!$A$4:$O$2428,12,FALSE)</f>
        <v>1</v>
      </c>
      <c r="M81" s="5">
        <f>VLOOKUP($A81,tropes!$A$4:$O$2428,13,FALSE)</f>
        <v>23</v>
      </c>
      <c r="N81" s="5">
        <f t="shared" si="1"/>
        <v>4</v>
      </c>
    </row>
    <row r="82" spans="1:14" x14ac:dyDescent="0.3">
      <c r="A82" s="14">
        <v>2138</v>
      </c>
      <c r="B82" s="5" t="str">
        <f>VLOOKUP($A82,tropes!$A$4:$O$2428,2,FALSE)</f>
        <v>Landing Party</v>
      </c>
      <c r="C82" s="5" t="str">
        <f>VLOOKUP($A82,tropes!$A$4:$O$2428,3,FALSE)</f>
        <v>landing_party</v>
      </c>
      <c r="D82" s="5">
        <f>VLOOKUP($A82,tropes!$A$4:$O$2428,4,FALSE)</f>
        <v>0</v>
      </c>
      <c r="E82" s="5" t="str">
        <f>VLOOKUP($A82,tropes!$A$4:$O$2428,5,FALSE)</f>
        <v>Spock</v>
      </c>
      <c r="F82" s="5" t="str">
        <f>VLOOKUP($A82,tropes!$A$4:$O$2428,6,FALSE)</f>
        <v>spock</v>
      </c>
      <c r="G82" s="5">
        <f>VLOOKUP($A82,tropes!$A$4:$O$2428,7,FALSE)</f>
        <v>1</v>
      </c>
      <c r="H82" s="5">
        <f>VLOOKUP($A82,tropes!$A$4:$O$2428,8,FALSE)</f>
        <v>0</v>
      </c>
      <c r="I82" s="5">
        <f>VLOOKUP($A82,tropes!$A$4:$O$2428,9,FALSE)</f>
        <v>123</v>
      </c>
      <c r="J82" s="5">
        <f>VLOOKUP($A82,tropes!$A$4:$O$2428,10,FALSE)</f>
        <v>24</v>
      </c>
      <c r="K82" s="5" t="str">
        <f>VLOOKUP($A82,tropes!$A$4:$O$2428,11,FALSE)</f>
        <v>A Taste of Armageddon</v>
      </c>
      <c r="L82" s="5">
        <f>VLOOKUP($A82,tropes!$A$4:$O$2428,12,FALSE)</f>
        <v>1</v>
      </c>
      <c r="M82" s="5">
        <f>VLOOKUP($A82,tropes!$A$4:$O$2428,13,FALSE)</f>
        <v>23</v>
      </c>
      <c r="N82" s="5">
        <f t="shared" si="1"/>
        <v>5</v>
      </c>
    </row>
    <row r="83" spans="1:14" x14ac:dyDescent="0.3">
      <c r="A83" s="14">
        <v>313</v>
      </c>
      <c r="B83" s="5" t="str">
        <f>VLOOKUP($A83,tropes!$A$4:$O$2428,2,FALSE)</f>
        <v>Landing Party</v>
      </c>
      <c r="C83" s="5" t="str">
        <f>VLOOKUP($A83,tropes!$A$4:$O$2428,3,FALSE)</f>
        <v>landing_party</v>
      </c>
      <c r="D83" s="5">
        <f>VLOOKUP($A83,tropes!$A$4:$O$2428,4,FALSE)</f>
        <v>0</v>
      </c>
      <c r="E83" s="5" t="str">
        <f>VLOOKUP($A83,tropes!$A$4:$O$2428,5,FALSE)</f>
        <v>Yeoman Tamura</v>
      </c>
      <c r="F83" s="5" t="str">
        <f>VLOOKUP($A83,tropes!$A$4:$O$2428,6,FALSE)</f>
        <v>tamura</v>
      </c>
      <c r="G83" s="5">
        <f>VLOOKUP($A83,tropes!$A$4:$O$2428,7,FALSE)</f>
        <v>0</v>
      </c>
      <c r="H83" s="5">
        <f>VLOOKUP($A83,tropes!$A$4:$O$2428,8,FALSE)</f>
        <v>0</v>
      </c>
      <c r="I83" s="5">
        <f>VLOOKUP($A83,tropes!$A$4:$O$2428,9,FALSE)</f>
        <v>123</v>
      </c>
      <c r="J83" s="5">
        <f>VLOOKUP($A83,tropes!$A$4:$O$2428,10,FALSE)</f>
        <v>24</v>
      </c>
      <c r="K83" s="5" t="str">
        <f>VLOOKUP($A83,tropes!$A$4:$O$2428,11,FALSE)</f>
        <v>A Taste of Armageddon</v>
      </c>
      <c r="L83" s="5">
        <f>VLOOKUP($A83,tropes!$A$4:$O$2428,12,FALSE)</f>
        <v>1</v>
      </c>
      <c r="M83" s="5">
        <f>VLOOKUP($A83,tropes!$A$4:$O$2428,13,FALSE)</f>
        <v>23</v>
      </c>
      <c r="N83" s="5">
        <f t="shared" si="1"/>
        <v>6</v>
      </c>
    </row>
    <row r="84" spans="1:14" x14ac:dyDescent="0.3">
      <c r="A84" s="14">
        <v>832</v>
      </c>
      <c r="B84" s="5" t="str">
        <f>VLOOKUP($A84,tropes!$A$4:$O$2428,2,FALSE)</f>
        <v>Landing Party</v>
      </c>
      <c r="C84" s="5" t="str">
        <f>VLOOKUP($A84,tropes!$A$4:$O$2428,3,FALSE)</f>
        <v>landing_party</v>
      </c>
      <c r="D84" s="5">
        <f>VLOOKUP($A84,tropes!$A$4:$O$2428,4,FALSE)</f>
        <v>0</v>
      </c>
      <c r="E84" s="5" t="str">
        <f>VLOOKUP($A84,tropes!$A$4:$O$2428,5,FALSE)</f>
        <v>Kirk</v>
      </c>
      <c r="F84" s="5" t="str">
        <f>VLOOKUP($A84,tropes!$A$4:$O$2428,6,FALSE)</f>
        <v>kirk</v>
      </c>
      <c r="G84" s="5">
        <f>VLOOKUP($A84,tropes!$A$4:$O$2428,7,FALSE)</f>
        <v>1</v>
      </c>
      <c r="H84" s="5">
        <f>VLOOKUP($A84,tropes!$A$4:$O$2428,8,FALSE)</f>
        <v>0</v>
      </c>
      <c r="I84" s="5">
        <f>VLOOKUP($A84,tropes!$A$4:$O$2428,9,FALSE)</f>
        <v>124</v>
      </c>
      <c r="J84" s="5">
        <f>VLOOKUP($A84,tropes!$A$4:$O$2428,10,FALSE)</f>
        <v>25</v>
      </c>
      <c r="K84" s="5" t="str">
        <f>VLOOKUP($A84,tropes!$A$4:$O$2428,11,FALSE)</f>
        <v>This Side of Paradise</v>
      </c>
      <c r="L84" s="5">
        <f>VLOOKUP($A84,tropes!$A$4:$O$2428,12,FALSE)</f>
        <v>1</v>
      </c>
      <c r="M84" s="5">
        <f>VLOOKUP($A84,tropes!$A$4:$O$2428,13,FALSE)</f>
        <v>24</v>
      </c>
      <c r="N84" s="5">
        <f t="shared" si="1"/>
        <v>0</v>
      </c>
    </row>
    <row r="85" spans="1:14" x14ac:dyDescent="0.3">
      <c r="A85" s="14">
        <v>320</v>
      </c>
      <c r="B85" s="5" t="str">
        <f>VLOOKUP($A85,tropes!$A$4:$O$2428,2,FALSE)</f>
        <v>Landing Party</v>
      </c>
      <c r="C85" s="5" t="str">
        <f>VLOOKUP($A85,tropes!$A$4:$O$2428,3,FALSE)</f>
        <v>landing_party</v>
      </c>
      <c r="D85" s="5">
        <f>VLOOKUP($A85,tropes!$A$4:$O$2428,4,FALSE)</f>
        <v>0</v>
      </c>
      <c r="E85" s="5" t="str">
        <f>VLOOKUP($A85,tropes!$A$4:$O$2428,5,FALSE)</f>
        <v>Lt. DeSalle</v>
      </c>
      <c r="F85" s="5" t="str">
        <f>VLOOKUP($A85,tropes!$A$4:$O$2428,6,FALSE)</f>
        <v>goldshirt</v>
      </c>
      <c r="G85" s="5">
        <f>VLOOKUP($A85,tropes!$A$4:$O$2428,7,FALSE)</f>
        <v>0</v>
      </c>
      <c r="H85" s="5">
        <f>VLOOKUP($A85,tropes!$A$4:$O$2428,8,FALSE)</f>
        <v>0</v>
      </c>
      <c r="I85" s="5">
        <f>VLOOKUP($A85,tropes!$A$4:$O$2428,9,FALSE)</f>
        <v>124</v>
      </c>
      <c r="J85" s="5">
        <f>VLOOKUP($A85,tropes!$A$4:$O$2428,10,FALSE)</f>
        <v>25</v>
      </c>
      <c r="K85" s="5" t="str">
        <f>VLOOKUP($A85,tropes!$A$4:$O$2428,11,FALSE)</f>
        <v>This Side of Paradise</v>
      </c>
      <c r="L85" s="5">
        <f>VLOOKUP($A85,tropes!$A$4:$O$2428,12,FALSE)</f>
        <v>1</v>
      </c>
      <c r="M85" s="5">
        <f>VLOOKUP($A85,tropes!$A$4:$O$2428,13,FALSE)</f>
        <v>24</v>
      </c>
      <c r="N85" s="5">
        <f t="shared" si="1"/>
        <v>1</v>
      </c>
    </row>
    <row r="86" spans="1:14" x14ac:dyDescent="0.3">
      <c r="A86" s="14">
        <v>321</v>
      </c>
      <c r="B86" s="5" t="str">
        <f>VLOOKUP($A86,tropes!$A$4:$O$2428,2,FALSE)</f>
        <v>Landing Party</v>
      </c>
      <c r="C86" s="5" t="str">
        <f>VLOOKUP($A86,tropes!$A$4:$O$2428,3,FALSE)</f>
        <v>landing_party</v>
      </c>
      <c r="D86" s="5">
        <f>VLOOKUP($A86,tropes!$A$4:$O$2428,4,FALSE)</f>
        <v>0</v>
      </c>
      <c r="E86" s="5" t="str">
        <f>VLOOKUP($A86,tropes!$A$4:$O$2428,5,FALSE)</f>
        <v>Lt. Kelowitz</v>
      </c>
      <c r="F86" s="5" t="str">
        <f>VLOOKUP($A86,tropes!$A$4:$O$2428,6,FALSE)</f>
        <v>blueshirt</v>
      </c>
      <c r="G86" s="5">
        <f>VLOOKUP($A86,tropes!$A$4:$O$2428,7,FALSE)</f>
        <v>0</v>
      </c>
      <c r="H86" s="5">
        <f>VLOOKUP($A86,tropes!$A$4:$O$2428,8,FALSE)</f>
        <v>0</v>
      </c>
      <c r="I86" s="5">
        <f>VLOOKUP($A86,tropes!$A$4:$O$2428,9,FALSE)</f>
        <v>124</v>
      </c>
      <c r="J86" s="5">
        <f>VLOOKUP($A86,tropes!$A$4:$O$2428,10,FALSE)</f>
        <v>25</v>
      </c>
      <c r="K86" s="5" t="str">
        <f>VLOOKUP($A86,tropes!$A$4:$O$2428,11,FALSE)</f>
        <v>This Side of Paradise</v>
      </c>
      <c r="L86" s="5">
        <f>VLOOKUP($A86,tropes!$A$4:$O$2428,12,FALSE)</f>
        <v>1</v>
      </c>
      <c r="M86" s="5">
        <f>VLOOKUP($A86,tropes!$A$4:$O$2428,13,FALSE)</f>
        <v>24</v>
      </c>
      <c r="N86" s="5">
        <f t="shared" si="1"/>
        <v>2</v>
      </c>
    </row>
    <row r="87" spans="1:14" x14ac:dyDescent="0.3">
      <c r="A87" s="14">
        <v>1603</v>
      </c>
      <c r="B87" s="5" t="str">
        <f>VLOOKUP($A87,tropes!$A$4:$O$2428,2,FALSE)</f>
        <v>Landing Party</v>
      </c>
      <c r="C87" s="5" t="str">
        <f>VLOOKUP($A87,tropes!$A$4:$O$2428,3,FALSE)</f>
        <v>landing_party</v>
      </c>
      <c r="D87" s="5">
        <f>VLOOKUP($A87,tropes!$A$4:$O$2428,4,FALSE)</f>
        <v>0</v>
      </c>
      <c r="E87" s="5" t="str">
        <f>VLOOKUP($A87,tropes!$A$4:$O$2428,5,FALSE)</f>
        <v>McCoy</v>
      </c>
      <c r="F87" s="5" t="str">
        <f>VLOOKUP($A87,tropes!$A$4:$O$2428,6,FALSE)</f>
        <v>mccoy</v>
      </c>
      <c r="G87" s="5">
        <f>VLOOKUP($A87,tropes!$A$4:$O$2428,7,FALSE)</f>
        <v>0</v>
      </c>
      <c r="H87" s="5">
        <f>VLOOKUP($A87,tropes!$A$4:$O$2428,8,FALSE)</f>
        <v>1</v>
      </c>
      <c r="I87" s="5">
        <f>VLOOKUP($A87,tropes!$A$4:$O$2428,9,FALSE)</f>
        <v>124</v>
      </c>
      <c r="J87" s="5">
        <f>VLOOKUP($A87,tropes!$A$4:$O$2428,10,FALSE)</f>
        <v>25</v>
      </c>
      <c r="K87" s="5" t="str">
        <f>VLOOKUP($A87,tropes!$A$4:$O$2428,11,FALSE)</f>
        <v>This Side of Paradise</v>
      </c>
      <c r="L87" s="5">
        <f>VLOOKUP($A87,tropes!$A$4:$O$2428,12,FALSE)</f>
        <v>1</v>
      </c>
      <c r="M87" s="5">
        <f>VLOOKUP($A87,tropes!$A$4:$O$2428,13,FALSE)</f>
        <v>24</v>
      </c>
      <c r="N87" s="5">
        <f t="shared" si="1"/>
        <v>3</v>
      </c>
    </row>
    <row r="88" spans="1:14" x14ac:dyDescent="0.3">
      <c r="A88" s="14">
        <v>2149</v>
      </c>
      <c r="B88" s="5" t="str">
        <f>VLOOKUP($A88,tropes!$A$4:$O$2428,2,FALSE)</f>
        <v>Landing Party</v>
      </c>
      <c r="C88" s="5" t="str">
        <f>VLOOKUP($A88,tropes!$A$4:$O$2428,3,FALSE)</f>
        <v>landing_party</v>
      </c>
      <c r="D88" s="5">
        <f>VLOOKUP($A88,tropes!$A$4:$O$2428,4,FALSE)</f>
        <v>0</v>
      </c>
      <c r="E88" s="5" t="str">
        <f>VLOOKUP($A88,tropes!$A$4:$O$2428,5,FALSE)</f>
        <v>Spock</v>
      </c>
      <c r="F88" s="5" t="str">
        <f>VLOOKUP($A88,tropes!$A$4:$O$2428,6,FALSE)</f>
        <v>spock</v>
      </c>
      <c r="G88" s="5">
        <f>VLOOKUP($A88,tropes!$A$4:$O$2428,7,FALSE)</f>
        <v>1</v>
      </c>
      <c r="H88" s="5">
        <f>VLOOKUP($A88,tropes!$A$4:$O$2428,8,FALSE)</f>
        <v>0</v>
      </c>
      <c r="I88" s="5">
        <f>VLOOKUP($A88,tropes!$A$4:$O$2428,9,FALSE)</f>
        <v>124</v>
      </c>
      <c r="J88" s="5">
        <f>VLOOKUP($A88,tropes!$A$4:$O$2428,10,FALSE)</f>
        <v>25</v>
      </c>
      <c r="K88" s="5" t="str">
        <f>VLOOKUP($A88,tropes!$A$4:$O$2428,11,FALSE)</f>
        <v>This Side of Paradise</v>
      </c>
      <c r="L88" s="5">
        <f>VLOOKUP($A88,tropes!$A$4:$O$2428,12,FALSE)</f>
        <v>1</v>
      </c>
      <c r="M88" s="5">
        <f>VLOOKUP($A88,tropes!$A$4:$O$2428,13,FALSE)</f>
        <v>24</v>
      </c>
      <c r="N88" s="5">
        <f t="shared" si="1"/>
        <v>4</v>
      </c>
    </row>
    <row r="89" spans="1:14" x14ac:dyDescent="0.3">
      <c r="A89" s="14">
        <v>2452</v>
      </c>
      <c r="B89" s="5" t="str">
        <f>VLOOKUP($A89,tropes!$A$4:$O$2428,2,FALSE)</f>
        <v>Landing Party</v>
      </c>
      <c r="C89" s="5" t="str">
        <f>VLOOKUP($A89,tropes!$A$4:$O$2428,3,FALSE)</f>
        <v>landing_party</v>
      </c>
      <c r="D89" s="5">
        <f>VLOOKUP($A89,tropes!$A$4:$O$2428,4,FALSE)</f>
        <v>0</v>
      </c>
      <c r="E89" s="5" t="str">
        <f>VLOOKUP($A89,tropes!$A$4:$O$2428,5,FALSE)</f>
        <v>Sulu</v>
      </c>
      <c r="F89" s="5" t="str">
        <f>VLOOKUP($A89,tropes!$A$4:$O$2428,6,FALSE)</f>
        <v>sulu</v>
      </c>
      <c r="G89" s="5">
        <f>VLOOKUP($A89,tropes!$A$4:$O$2428,7,FALSE)</f>
        <v>0</v>
      </c>
      <c r="H89" s="5">
        <f>VLOOKUP($A89,tropes!$A$4:$O$2428,8,FALSE)</f>
        <v>1</v>
      </c>
      <c r="I89" s="5">
        <f>VLOOKUP($A89,tropes!$A$4:$O$2428,9,FALSE)</f>
        <v>124</v>
      </c>
      <c r="J89" s="5">
        <f>VLOOKUP($A89,tropes!$A$4:$O$2428,10,FALSE)</f>
        <v>25</v>
      </c>
      <c r="K89" s="5" t="str">
        <f>VLOOKUP($A89,tropes!$A$4:$O$2428,11,FALSE)</f>
        <v>This Side of Paradise</v>
      </c>
      <c r="L89" s="5">
        <f>VLOOKUP($A89,tropes!$A$4:$O$2428,12,FALSE)</f>
        <v>1</v>
      </c>
      <c r="M89" s="5">
        <f>VLOOKUP($A89,tropes!$A$4:$O$2428,13,FALSE)</f>
        <v>24</v>
      </c>
      <c r="N89" s="5">
        <f t="shared" si="1"/>
        <v>5</v>
      </c>
    </row>
    <row r="90" spans="1:14" x14ac:dyDescent="0.3">
      <c r="A90" s="14">
        <v>323</v>
      </c>
      <c r="B90" s="5" t="str">
        <f>VLOOKUP($A90,tropes!$A$4:$O$2428,2,FALSE)</f>
        <v>Landing Party</v>
      </c>
      <c r="C90" s="5" t="str">
        <f>VLOOKUP($A90,tropes!$A$4:$O$2428,3,FALSE)</f>
        <v>landing_party</v>
      </c>
      <c r="D90" s="5" t="str">
        <f>VLOOKUP($A90,tropes!$A$4:$O$2428,4,FALSE)</f>
        <v>death</v>
      </c>
      <c r="E90" s="5" t="str">
        <f>VLOOKUP($A90,tropes!$A$4:$O$2428,5,FALSE)</f>
        <v>Security Officer (dissolved by acid emitted by Horta.)</v>
      </c>
      <c r="F90" s="5" t="str">
        <f>VLOOKUP($A90,tropes!$A$4:$O$2428,6,FALSE)</f>
        <v>human</v>
      </c>
      <c r="G90" s="5">
        <f>VLOOKUP($A90,tropes!$A$4:$O$2428,7,FALSE)</f>
        <v>0</v>
      </c>
      <c r="H90" s="5">
        <f>VLOOKUP($A90,tropes!$A$4:$O$2428,8,FALSE)</f>
        <v>0</v>
      </c>
      <c r="I90" s="5">
        <f>VLOOKUP($A90,tropes!$A$4:$O$2428,9,FALSE)</f>
        <v>125</v>
      </c>
      <c r="J90" s="5">
        <f>VLOOKUP($A90,tropes!$A$4:$O$2428,10,FALSE)</f>
        <v>26</v>
      </c>
      <c r="K90" s="5" t="str">
        <f>VLOOKUP($A90,tropes!$A$4:$O$2428,11,FALSE)</f>
        <v>The Devil in the Dark</v>
      </c>
      <c r="L90" s="5">
        <f>VLOOKUP($A90,tropes!$A$4:$O$2428,12,FALSE)</f>
        <v>1</v>
      </c>
      <c r="M90" s="5">
        <f>VLOOKUP($A90,tropes!$A$4:$O$2428,13,FALSE)</f>
        <v>25</v>
      </c>
      <c r="N90" s="5">
        <f t="shared" si="1"/>
        <v>0</v>
      </c>
    </row>
    <row r="91" spans="1:14" x14ac:dyDescent="0.3">
      <c r="A91" s="14">
        <v>845</v>
      </c>
      <c r="B91" s="5" t="str">
        <f>VLOOKUP($A91,tropes!$A$4:$O$2428,2,FALSE)</f>
        <v>Landing Party</v>
      </c>
      <c r="C91" s="5" t="str">
        <f>VLOOKUP($A91,tropes!$A$4:$O$2428,3,FALSE)</f>
        <v>landing_party</v>
      </c>
      <c r="D91" s="5">
        <f>VLOOKUP($A91,tropes!$A$4:$O$2428,4,FALSE)</f>
        <v>0</v>
      </c>
      <c r="E91" s="5" t="str">
        <f>VLOOKUP($A91,tropes!$A$4:$O$2428,5,FALSE)</f>
        <v>Kirk</v>
      </c>
      <c r="F91" s="5" t="str">
        <f>VLOOKUP($A91,tropes!$A$4:$O$2428,6,FALSE)</f>
        <v>kirk</v>
      </c>
      <c r="G91" s="5">
        <f>VLOOKUP($A91,tropes!$A$4:$O$2428,7,FALSE)</f>
        <v>1</v>
      </c>
      <c r="H91" s="5">
        <f>VLOOKUP($A91,tropes!$A$4:$O$2428,8,FALSE)</f>
        <v>0</v>
      </c>
      <c r="I91" s="5">
        <f>VLOOKUP($A91,tropes!$A$4:$O$2428,9,FALSE)</f>
        <v>125</v>
      </c>
      <c r="J91" s="5">
        <f>VLOOKUP($A91,tropes!$A$4:$O$2428,10,FALSE)</f>
        <v>26</v>
      </c>
      <c r="K91" s="5" t="str">
        <f>VLOOKUP($A91,tropes!$A$4:$O$2428,11,FALSE)</f>
        <v>The Devil in the Dark</v>
      </c>
      <c r="L91" s="5">
        <f>VLOOKUP($A91,tropes!$A$4:$O$2428,12,FALSE)</f>
        <v>1</v>
      </c>
      <c r="M91" s="5">
        <f>VLOOKUP($A91,tropes!$A$4:$O$2428,13,FALSE)</f>
        <v>25</v>
      </c>
      <c r="N91" s="5">
        <f t="shared" si="1"/>
        <v>1</v>
      </c>
    </row>
    <row r="92" spans="1:14" x14ac:dyDescent="0.3">
      <c r="A92" s="14">
        <v>1608</v>
      </c>
      <c r="B92" s="5" t="str">
        <f>VLOOKUP($A92,tropes!$A$4:$O$2428,2,FALSE)</f>
        <v>Landing Party</v>
      </c>
      <c r="C92" s="5" t="str">
        <f>VLOOKUP($A92,tropes!$A$4:$O$2428,3,FALSE)</f>
        <v>landing_party</v>
      </c>
      <c r="D92" s="5">
        <f>VLOOKUP($A92,tropes!$A$4:$O$2428,4,FALSE)</f>
        <v>0</v>
      </c>
      <c r="E92" s="5" t="str">
        <f>VLOOKUP($A92,tropes!$A$4:$O$2428,5,FALSE)</f>
        <v>McCoy</v>
      </c>
      <c r="F92" s="5" t="str">
        <f>VLOOKUP($A92,tropes!$A$4:$O$2428,6,FALSE)</f>
        <v>mccoy</v>
      </c>
      <c r="G92" s="5">
        <f>VLOOKUP($A92,tropes!$A$4:$O$2428,7,FALSE)</f>
        <v>0</v>
      </c>
      <c r="H92" s="5">
        <f>VLOOKUP($A92,tropes!$A$4:$O$2428,8,FALSE)</f>
        <v>1</v>
      </c>
      <c r="I92" s="5">
        <f>VLOOKUP($A92,tropes!$A$4:$O$2428,9,FALSE)</f>
        <v>125</v>
      </c>
      <c r="J92" s="5">
        <f>VLOOKUP($A92,tropes!$A$4:$O$2428,10,FALSE)</f>
        <v>26</v>
      </c>
      <c r="K92" s="5" t="str">
        <f>VLOOKUP($A92,tropes!$A$4:$O$2428,11,FALSE)</f>
        <v>The Devil in the Dark</v>
      </c>
      <c r="L92" s="5">
        <f>VLOOKUP($A92,tropes!$A$4:$O$2428,12,FALSE)</f>
        <v>1</v>
      </c>
      <c r="M92" s="5">
        <f>VLOOKUP($A92,tropes!$A$4:$O$2428,13,FALSE)</f>
        <v>25</v>
      </c>
      <c r="N92" s="5">
        <f t="shared" si="1"/>
        <v>2</v>
      </c>
    </row>
    <row r="93" spans="1:14" x14ac:dyDescent="0.3">
      <c r="A93" s="14">
        <v>2161</v>
      </c>
      <c r="B93" s="5" t="str">
        <f>VLOOKUP($A93,tropes!$A$4:$O$2428,2,FALSE)</f>
        <v>Landing Party</v>
      </c>
      <c r="C93" s="5" t="str">
        <f>VLOOKUP($A93,tropes!$A$4:$O$2428,3,FALSE)</f>
        <v>landing_party</v>
      </c>
      <c r="D93" s="5">
        <f>VLOOKUP($A93,tropes!$A$4:$O$2428,4,FALSE)</f>
        <v>0</v>
      </c>
      <c r="E93" s="5" t="str">
        <f>VLOOKUP($A93,tropes!$A$4:$O$2428,5,FALSE)</f>
        <v>Spock</v>
      </c>
      <c r="F93" s="5" t="str">
        <f>VLOOKUP($A93,tropes!$A$4:$O$2428,6,FALSE)</f>
        <v>spock</v>
      </c>
      <c r="G93" s="5">
        <f>VLOOKUP($A93,tropes!$A$4:$O$2428,7,FALSE)</f>
        <v>1</v>
      </c>
      <c r="H93" s="5">
        <f>VLOOKUP($A93,tropes!$A$4:$O$2428,8,FALSE)</f>
        <v>0</v>
      </c>
      <c r="I93" s="5">
        <f>VLOOKUP($A93,tropes!$A$4:$O$2428,9,FALSE)</f>
        <v>125</v>
      </c>
      <c r="J93" s="5">
        <f>VLOOKUP($A93,tropes!$A$4:$O$2428,10,FALSE)</f>
        <v>26</v>
      </c>
      <c r="K93" s="5" t="str">
        <f>VLOOKUP($A93,tropes!$A$4:$O$2428,11,FALSE)</f>
        <v>The Devil in the Dark</v>
      </c>
      <c r="L93" s="5">
        <f>VLOOKUP($A93,tropes!$A$4:$O$2428,12,FALSE)</f>
        <v>1</v>
      </c>
      <c r="M93" s="5">
        <f>VLOOKUP($A93,tropes!$A$4:$O$2428,13,FALSE)</f>
        <v>25</v>
      </c>
      <c r="N93" s="5">
        <f t="shared" si="1"/>
        <v>3</v>
      </c>
    </row>
    <row r="94" spans="1:14" x14ac:dyDescent="0.3">
      <c r="A94" s="14">
        <v>857</v>
      </c>
      <c r="B94" s="5" t="str">
        <f>VLOOKUP($A94,tropes!$A$4:$O$2428,2,FALSE)</f>
        <v>Landing Party</v>
      </c>
      <c r="C94" s="5" t="str">
        <f>VLOOKUP($A94,tropes!$A$4:$O$2428,3,FALSE)</f>
        <v>landing_party</v>
      </c>
      <c r="D94" s="5">
        <f>VLOOKUP($A94,tropes!$A$4:$O$2428,4,FALSE)</f>
        <v>0</v>
      </c>
      <c r="E94" s="5" t="str">
        <f>VLOOKUP($A94,tropes!$A$4:$O$2428,5,FALSE)</f>
        <v>Kirk</v>
      </c>
      <c r="F94" s="5" t="str">
        <f>VLOOKUP($A94,tropes!$A$4:$O$2428,6,FALSE)</f>
        <v>kirk</v>
      </c>
      <c r="G94" s="5">
        <f>VLOOKUP($A94,tropes!$A$4:$O$2428,7,FALSE)</f>
        <v>1</v>
      </c>
      <c r="H94" s="5">
        <f>VLOOKUP($A94,tropes!$A$4:$O$2428,8,FALSE)</f>
        <v>0</v>
      </c>
      <c r="I94" s="5">
        <f>VLOOKUP($A94,tropes!$A$4:$O$2428,9,FALSE)</f>
        <v>126</v>
      </c>
      <c r="J94" s="5">
        <f>VLOOKUP($A94,tropes!$A$4:$O$2428,10,FALSE)</f>
        <v>27</v>
      </c>
      <c r="K94" s="5" t="str">
        <f>VLOOKUP($A94,tropes!$A$4:$O$2428,11,FALSE)</f>
        <v>Errand of Mercy</v>
      </c>
      <c r="L94" s="5">
        <f>VLOOKUP($A94,tropes!$A$4:$O$2428,12,FALSE)</f>
        <v>1</v>
      </c>
      <c r="M94" s="5">
        <f>VLOOKUP($A94,tropes!$A$4:$O$2428,13,FALSE)</f>
        <v>26</v>
      </c>
      <c r="N94" s="5">
        <f t="shared" si="1"/>
        <v>0</v>
      </c>
    </row>
    <row r="95" spans="1:14" x14ac:dyDescent="0.3">
      <c r="A95" s="14">
        <v>2171</v>
      </c>
      <c r="B95" s="5" t="str">
        <f>VLOOKUP($A95,tropes!$A$4:$O$2428,2,FALSE)</f>
        <v>Landing Party</v>
      </c>
      <c r="C95" s="5" t="str">
        <f>VLOOKUP($A95,tropes!$A$4:$O$2428,3,FALSE)</f>
        <v>landing_party</v>
      </c>
      <c r="D95" s="5">
        <f>VLOOKUP($A95,tropes!$A$4:$O$2428,4,FALSE)</f>
        <v>0</v>
      </c>
      <c r="E95" s="5" t="str">
        <f>VLOOKUP($A95,tropes!$A$4:$O$2428,5,FALSE)</f>
        <v>Spock</v>
      </c>
      <c r="F95" s="5" t="str">
        <f>VLOOKUP($A95,tropes!$A$4:$O$2428,6,FALSE)</f>
        <v>spock</v>
      </c>
      <c r="G95" s="5">
        <f>VLOOKUP($A95,tropes!$A$4:$O$2428,7,FALSE)</f>
        <v>1</v>
      </c>
      <c r="H95" s="5">
        <f>VLOOKUP($A95,tropes!$A$4:$O$2428,8,FALSE)</f>
        <v>0</v>
      </c>
      <c r="I95" s="5">
        <f>VLOOKUP($A95,tropes!$A$4:$O$2428,9,FALSE)</f>
        <v>126</v>
      </c>
      <c r="J95" s="5">
        <f>VLOOKUP($A95,tropes!$A$4:$O$2428,10,FALSE)</f>
        <v>27</v>
      </c>
      <c r="K95" s="5" t="str">
        <f>VLOOKUP($A95,tropes!$A$4:$O$2428,11,FALSE)</f>
        <v>Errand of Mercy</v>
      </c>
      <c r="L95" s="5">
        <f>VLOOKUP($A95,tropes!$A$4:$O$2428,12,FALSE)</f>
        <v>1</v>
      </c>
      <c r="M95" s="5">
        <f>VLOOKUP($A95,tropes!$A$4:$O$2428,13,FALSE)</f>
        <v>26</v>
      </c>
      <c r="N95" s="5">
        <f t="shared" si="1"/>
        <v>1</v>
      </c>
    </row>
    <row r="96" spans="1:14" x14ac:dyDescent="0.3">
      <c r="A96" s="14">
        <v>868</v>
      </c>
      <c r="B96" s="5" t="str">
        <f>VLOOKUP($A96,tropes!$A$4:$O$2428,2,FALSE)</f>
        <v>Landing Party</v>
      </c>
      <c r="C96" s="5" t="str">
        <f>VLOOKUP($A96,tropes!$A$4:$O$2428,3,FALSE)</f>
        <v>landing_party</v>
      </c>
      <c r="D96" s="5">
        <f>VLOOKUP($A96,tropes!$A$4:$O$2428,4,FALSE)</f>
        <v>0</v>
      </c>
      <c r="E96" s="5" t="str">
        <f>VLOOKUP($A96,tropes!$A$4:$O$2428,5,FALSE)</f>
        <v>Kirk</v>
      </c>
      <c r="F96" s="5" t="str">
        <f>VLOOKUP($A96,tropes!$A$4:$O$2428,6,FALSE)</f>
        <v>kirk</v>
      </c>
      <c r="G96" s="5">
        <f>VLOOKUP($A96,tropes!$A$4:$O$2428,7,FALSE)</f>
        <v>1</v>
      </c>
      <c r="H96" s="5">
        <f>VLOOKUP($A96,tropes!$A$4:$O$2428,8,FALSE)</f>
        <v>0</v>
      </c>
      <c r="I96" s="5">
        <f>VLOOKUP($A96,tropes!$A$4:$O$2428,9,FALSE)</f>
        <v>127</v>
      </c>
      <c r="J96" s="5">
        <f>VLOOKUP($A96,tropes!$A$4:$O$2428,10,FALSE)</f>
        <v>28</v>
      </c>
      <c r="K96" s="5" t="str">
        <f>VLOOKUP($A96,tropes!$A$4:$O$2428,11,FALSE)</f>
        <v>The Alternative Factor</v>
      </c>
      <c r="L96" s="5">
        <f>VLOOKUP($A96,tropes!$A$4:$O$2428,12,FALSE)</f>
        <v>1</v>
      </c>
      <c r="M96" s="5">
        <f>VLOOKUP($A96,tropes!$A$4:$O$2428,13,FALSE)</f>
        <v>27</v>
      </c>
      <c r="N96" s="5">
        <f t="shared" si="1"/>
        <v>0</v>
      </c>
    </row>
    <row r="97" spans="1:14" x14ac:dyDescent="0.3">
      <c r="A97" s="14">
        <v>332</v>
      </c>
      <c r="B97" s="5" t="str">
        <f>VLOOKUP($A97,tropes!$A$4:$O$2428,2,FALSE)</f>
        <v>Landing Party</v>
      </c>
      <c r="C97" s="5" t="str">
        <f>VLOOKUP($A97,tropes!$A$4:$O$2428,3,FALSE)</f>
        <v>landing_party</v>
      </c>
      <c r="D97" s="5">
        <f>VLOOKUP($A97,tropes!$A$4:$O$2428,4,FALSE)</f>
        <v>0</v>
      </c>
      <c r="E97" s="5" t="str">
        <f>VLOOKUP($A97,tropes!$A$4:$O$2428,5,FALSE)</f>
        <v>Redshirt (1)</v>
      </c>
      <c r="F97" s="5" t="str">
        <f>VLOOKUP($A97,tropes!$A$4:$O$2428,6,FALSE)</f>
        <v>human</v>
      </c>
      <c r="G97" s="5">
        <f>VLOOKUP($A97,tropes!$A$4:$O$2428,7,FALSE)</f>
        <v>0</v>
      </c>
      <c r="H97" s="5">
        <f>VLOOKUP($A97,tropes!$A$4:$O$2428,8,FALSE)</f>
        <v>0</v>
      </c>
      <c r="I97" s="5">
        <f>VLOOKUP($A97,tropes!$A$4:$O$2428,9,FALSE)</f>
        <v>127</v>
      </c>
      <c r="J97" s="5">
        <f>VLOOKUP($A97,tropes!$A$4:$O$2428,10,FALSE)</f>
        <v>28</v>
      </c>
      <c r="K97" s="5" t="str">
        <f>VLOOKUP($A97,tropes!$A$4:$O$2428,11,FALSE)</f>
        <v>The Alternative Factor</v>
      </c>
      <c r="L97" s="5">
        <f>VLOOKUP($A97,tropes!$A$4:$O$2428,12,FALSE)</f>
        <v>1</v>
      </c>
      <c r="M97" s="5">
        <f>VLOOKUP($A97,tropes!$A$4:$O$2428,13,FALSE)</f>
        <v>27</v>
      </c>
      <c r="N97" s="5">
        <f t="shared" si="1"/>
        <v>1</v>
      </c>
    </row>
    <row r="98" spans="1:14" x14ac:dyDescent="0.3">
      <c r="A98" s="14">
        <v>333</v>
      </c>
      <c r="B98" s="5" t="str">
        <f>VLOOKUP($A98,tropes!$A$4:$O$2428,2,FALSE)</f>
        <v>Landing Party</v>
      </c>
      <c r="C98" s="5" t="str">
        <f>VLOOKUP($A98,tropes!$A$4:$O$2428,3,FALSE)</f>
        <v>landing_party</v>
      </c>
      <c r="D98" s="5">
        <f>VLOOKUP($A98,tropes!$A$4:$O$2428,4,FALSE)</f>
        <v>0</v>
      </c>
      <c r="E98" s="5" t="str">
        <f>VLOOKUP($A98,tropes!$A$4:$O$2428,5,FALSE)</f>
        <v>Redshirt (2)</v>
      </c>
      <c r="F98" s="5" t="str">
        <f>VLOOKUP($A98,tropes!$A$4:$O$2428,6,FALSE)</f>
        <v>human</v>
      </c>
      <c r="G98" s="5">
        <f>VLOOKUP($A98,tropes!$A$4:$O$2428,7,FALSE)</f>
        <v>0</v>
      </c>
      <c r="H98" s="5">
        <f>VLOOKUP($A98,tropes!$A$4:$O$2428,8,FALSE)</f>
        <v>0</v>
      </c>
      <c r="I98" s="5">
        <f>VLOOKUP($A98,tropes!$A$4:$O$2428,9,FALSE)</f>
        <v>127</v>
      </c>
      <c r="J98" s="5">
        <f>VLOOKUP($A98,tropes!$A$4:$O$2428,10,FALSE)</f>
        <v>28</v>
      </c>
      <c r="K98" s="5" t="str">
        <f>VLOOKUP($A98,tropes!$A$4:$O$2428,11,FALSE)</f>
        <v>The Alternative Factor</v>
      </c>
      <c r="L98" s="5">
        <f>VLOOKUP($A98,tropes!$A$4:$O$2428,12,FALSE)</f>
        <v>1</v>
      </c>
      <c r="M98" s="5">
        <f>VLOOKUP($A98,tropes!$A$4:$O$2428,13,FALSE)</f>
        <v>27</v>
      </c>
      <c r="N98" s="5">
        <f t="shared" si="1"/>
        <v>2</v>
      </c>
    </row>
    <row r="99" spans="1:14" x14ac:dyDescent="0.3">
      <c r="A99" s="14">
        <v>334</v>
      </c>
      <c r="B99" s="5" t="str">
        <f>VLOOKUP($A99,tropes!$A$4:$O$2428,2,FALSE)</f>
        <v>Landing Party</v>
      </c>
      <c r="C99" s="5" t="str">
        <f>VLOOKUP($A99,tropes!$A$4:$O$2428,3,FALSE)</f>
        <v>landing_party</v>
      </c>
      <c r="D99" s="5">
        <f>VLOOKUP($A99,tropes!$A$4:$O$2428,4,FALSE)</f>
        <v>0</v>
      </c>
      <c r="E99" s="5" t="str">
        <f>VLOOKUP($A99,tropes!$A$4:$O$2428,5,FALSE)</f>
        <v>Redshirt (3)</v>
      </c>
      <c r="F99" s="5" t="str">
        <f>VLOOKUP($A99,tropes!$A$4:$O$2428,6,FALSE)</f>
        <v>human</v>
      </c>
      <c r="G99" s="5">
        <f>VLOOKUP($A99,tropes!$A$4:$O$2428,7,FALSE)</f>
        <v>0</v>
      </c>
      <c r="H99" s="5">
        <f>VLOOKUP($A99,tropes!$A$4:$O$2428,8,FALSE)</f>
        <v>0</v>
      </c>
      <c r="I99" s="5">
        <f>VLOOKUP($A99,tropes!$A$4:$O$2428,9,FALSE)</f>
        <v>127</v>
      </c>
      <c r="J99" s="5">
        <f>VLOOKUP($A99,tropes!$A$4:$O$2428,10,FALSE)</f>
        <v>28</v>
      </c>
      <c r="K99" s="5" t="str">
        <f>VLOOKUP($A99,tropes!$A$4:$O$2428,11,FALSE)</f>
        <v>The Alternative Factor</v>
      </c>
      <c r="L99" s="5">
        <f>VLOOKUP($A99,tropes!$A$4:$O$2428,12,FALSE)</f>
        <v>1</v>
      </c>
      <c r="M99" s="5">
        <f>VLOOKUP($A99,tropes!$A$4:$O$2428,13,FALSE)</f>
        <v>27</v>
      </c>
      <c r="N99" s="5">
        <f t="shared" si="1"/>
        <v>3</v>
      </c>
    </row>
    <row r="100" spans="1:14" x14ac:dyDescent="0.3">
      <c r="A100" s="14">
        <v>335</v>
      </c>
      <c r="B100" s="5" t="str">
        <f>VLOOKUP($A100,tropes!$A$4:$O$2428,2,FALSE)</f>
        <v>Landing Party</v>
      </c>
      <c r="C100" s="5" t="str">
        <f>VLOOKUP($A100,tropes!$A$4:$O$2428,3,FALSE)</f>
        <v>landing_party</v>
      </c>
      <c r="D100" s="5">
        <f>VLOOKUP($A100,tropes!$A$4:$O$2428,4,FALSE)</f>
        <v>0</v>
      </c>
      <c r="E100" s="5" t="str">
        <f>VLOOKUP($A100,tropes!$A$4:$O$2428,5,FALSE)</f>
        <v>Redshirt (4)</v>
      </c>
      <c r="F100" s="5" t="str">
        <f>VLOOKUP($A100,tropes!$A$4:$O$2428,6,FALSE)</f>
        <v>human</v>
      </c>
      <c r="G100" s="5">
        <f>VLOOKUP($A100,tropes!$A$4:$O$2428,7,FALSE)</f>
        <v>0</v>
      </c>
      <c r="H100" s="5">
        <f>VLOOKUP($A100,tropes!$A$4:$O$2428,8,FALSE)</f>
        <v>0</v>
      </c>
      <c r="I100" s="5">
        <f>VLOOKUP($A100,tropes!$A$4:$O$2428,9,FALSE)</f>
        <v>127</v>
      </c>
      <c r="J100" s="5">
        <f>VLOOKUP($A100,tropes!$A$4:$O$2428,10,FALSE)</f>
        <v>28</v>
      </c>
      <c r="K100" s="5" t="str">
        <f>VLOOKUP($A100,tropes!$A$4:$O$2428,11,FALSE)</f>
        <v>The Alternative Factor</v>
      </c>
      <c r="L100" s="5">
        <f>VLOOKUP($A100,tropes!$A$4:$O$2428,12,FALSE)</f>
        <v>1</v>
      </c>
      <c r="M100" s="5">
        <f>VLOOKUP($A100,tropes!$A$4:$O$2428,13,FALSE)</f>
        <v>27</v>
      </c>
      <c r="N100" s="5">
        <f t="shared" si="1"/>
        <v>4</v>
      </c>
    </row>
    <row r="101" spans="1:14" x14ac:dyDescent="0.3">
      <c r="A101" s="14">
        <v>2180</v>
      </c>
      <c r="B101" s="5" t="str">
        <f>VLOOKUP($A101,tropes!$A$4:$O$2428,2,FALSE)</f>
        <v>Landing Party</v>
      </c>
      <c r="C101" s="5" t="str">
        <f>VLOOKUP($A101,tropes!$A$4:$O$2428,3,FALSE)</f>
        <v>landing_party</v>
      </c>
      <c r="D101" s="5">
        <f>VLOOKUP($A101,tropes!$A$4:$O$2428,4,FALSE)</f>
        <v>0</v>
      </c>
      <c r="E101" s="5" t="str">
        <f>VLOOKUP($A101,tropes!$A$4:$O$2428,5,FALSE)</f>
        <v>Spock</v>
      </c>
      <c r="F101" s="5" t="str">
        <f>VLOOKUP($A101,tropes!$A$4:$O$2428,6,FALSE)</f>
        <v>spock</v>
      </c>
      <c r="G101" s="5">
        <f>VLOOKUP($A101,tropes!$A$4:$O$2428,7,FALSE)</f>
        <v>1</v>
      </c>
      <c r="H101" s="5">
        <f>VLOOKUP($A101,tropes!$A$4:$O$2428,8,FALSE)</f>
        <v>0</v>
      </c>
      <c r="I101" s="5">
        <f>VLOOKUP($A101,tropes!$A$4:$O$2428,9,FALSE)</f>
        <v>127</v>
      </c>
      <c r="J101" s="5">
        <f>VLOOKUP($A101,tropes!$A$4:$O$2428,10,FALSE)</f>
        <v>28</v>
      </c>
      <c r="K101" s="5" t="str">
        <f>VLOOKUP($A101,tropes!$A$4:$O$2428,11,FALSE)</f>
        <v>The Alternative Factor</v>
      </c>
      <c r="L101" s="5">
        <f>VLOOKUP($A101,tropes!$A$4:$O$2428,12,FALSE)</f>
        <v>1</v>
      </c>
      <c r="M101" s="5">
        <f>VLOOKUP($A101,tropes!$A$4:$O$2428,13,FALSE)</f>
        <v>27</v>
      </c>
      <c r="N101" s="5">
        <f t="shared" si="1"/>
        <v>5</v>
      </c>
    </row>
    <row r="102" spans="1:14" x14ac:dyDescent="0.3">
      <c r="A102" s="14">
        <v>874</v>
      </c>
      <c r="B102" s="5" t="str">
        <f>VLOOKUP($A102,tropes!$A$4:$O$2428,2,FALSE)</f>
        <v>Landing Party</v>
      </c>
      <c r="C102" s="5" t="str">
        <f>VLOOKUP($A102,tropes!$A$4:$O$2428,3,FALSE)</f>
        <v>landing_party</v>
      </c>
      <c r="D102" s="5">
        <f>VLOOKUP($A102,tropes!$A$4:$O$2428,4,FALSE)</f>
        <v>0</v>
      </c>
      <c r="E102" s="5" t="str">
        <f>VLOOKUP($A102,tropes!$A$4:$O$2428,5,FALSE)</f>
        <v>Kirk</v>
      </c>
      <c r="F102" s="5" t="str">
        <f>VLOOKUP($A102,tropes!$A$4:$O$2428,6,FALSE)</f>
        <v>kirk</v>
      </c>
      <c r="G102" s="5">
        <f>VLOOKUP($A102,tropes!$A$4:$O$2428,7,FALSE)</f>
        <v>1</v>
      </c>
      <c r="H102" s="5">
        <f>VLOOKUP($A102,tropes!$A$4:$O$2428,8,FALSE)</f>
        <v>0</v>
      </c>
      <c r="I102" s="5">
        <f>VLOOKUP($A102,tropes!$A$4:$O$2428,9,FALSE)</f>
        <v>128</v>
      </c>
      <c r="J102" s="5">
        <f>VLOOKUP($A102,tropes!$A$4:$O$2428,10,FALSE)</f>
        <v>29</v>
      </c>
      <c r="K102" s="5" t="str">
        <f>VLOOKUP($A102,tropes!$A$4:$O$2428,11,FALSE)</f>
        <v>The City on the Edge of Forever</v>
      </c>
      <c r="L102" s="5">
        <f>VLOOKUP($A102,tropes!$A$4:$O$2428,12,FALSE)</f>
        <v>1</v>
      </c>
      <c r="M102" s="5">
        <f>VLOOKUP($A102,tropes!$A$4:$O$2428,13,FALSE)</f>
        <v>28</v>
      </c>
      <c r="N102" s="5">
        <f t="shared" si="1"/>
        <v>0</v>
      </c>
    </row>
    <row r="103" spans="1:14" x14ac:dyDescent="0.3">
      <c r="A103" s="14">
        <v>342</v>
      </c>
      <c r="B103" s="5" t="str">
        <f>VLOOKUP($A103,tropes!$A$4:$O$2428,2,FALSE)</f>
        <v>Landing Party</v>
      </c>
      <c r="C103" s="5" t="str">
        <f>VLOOKUP($A103,tropes!$A$4:$O$2428,3,FALSE)</f>
        <v>landing_party</v>
      </c>
      <c r="D103" s="5">
        <f>VLOOKUP($A103,tropes!$A$4:$O$2428,4,FALSE)</f>
        <v>0</v>
      </c>
      <c r="E103" s="5" t="str">
        <f>VLOOKUP($A103,tropes!$A$4:$O$2428,5,FALSE)</f>
        <v>Redshirt (1)</v>
      </c>
      <c r="F103" s="5" t="str">
        <f>VLOOKUP($A103,tropes!$A$4:$O$2428,6,FALSE)</f>
        <v>human</v>
      </c>
      <c r="G103" s="5">
        <f>VLOOKUP($A103,tropes!$A$4:$O$2428,7,FALSE)</f>
        <v>0</v>
      </c>
      <c r="H103" s="5">
        <f>VLOOKUP($A103,tropes!$A$4:$O$2428,8,FALSE)</f>
        <v>0</v>
      </c>
      <c r="I103" s="5">
        <f>VLOOKUP($A103,tropes!$A$4:$O$2428,9,FALSE)</f>
        <v>128</v>
      </c>
      <c r="J103" s="5">
        <f>VLOOKUP($A103,tropes!$A$4:$O$2428,10,FALSE)</f>
        <v>29</v>
      </c>
      <c r="K103" s="5" t="str">
        <f>VLOOKUP($A103,tropes!$A$4:$O$2428,11,FALSE)</f>
        <v>The City on the Edge of Forever</v>
      </c>
      <c r="L103" s="5">
        <f>VLOOKUP($A103,tropes!$A$4:$O$2428,12,FALSE)</f>
        <v>1</v>
      </c>
      <c r="M103" s="5">
        <f>VLOOKUP($A103,tropes!$A$4:$O$2428,13,FALSE)</f>
        <v>28</v>
      </c>
      <c r="N103" s="5">
        <f t="shared" si="1"/>
        <v>1</v>
      </c>
    </row>
    <row r="104" spans="1:14" x14ac:dyDescent="0.3">
      <c r="A104" s="14">
        <v>343</v>
      </c>
      <c r="B104" s="5" t="str">
        <f>VLOOKUP($A104,tropes!$A$4:$O$2428,2,FALSE)</f>
        <v>Landing Party</v>
      </c>
      <c r="C104" s="5" t="str">
        <f>VLOOKUP($A104,tropes!$A$4:$O$2428,3,FALSE)</f>
        <v>landing_party</v>
      </c>
      <c r="D104" s="5">
        <f>VLOOKUP($A104,tropes!$A$4:$O$2428,4,FALSE)</f>
        <v>0</v>
      </c>
      <c r="E104" s="5" t="str">
        <f>VLOOKUP($A104,tropes!$A$4:$O$2428,5,FALSE)</f>
        <v>Redshirt (2)</v>
      </c>
      <c r="F104" s="5" t="str">
        <f>VLOOKUP($A104,tropes!$A$4:$O$2428,6,FALSE)</f>
        <v>human</v>
      </c>
      <c r="G104" s="5">
        <f>VLOOKUP($A104,tropes!$A$4:$O$2428,7,FALSE)</f>
        <v>0</v>
      </c>
      <c r="H104" s="5">
        <f>VLOOKUP($A104,tropes!$A$4:$O$2428,8,FALSE)</f>
        <v>0</v>
      </c>
      <c r="I104" s="5">
        <f>VLOOKUP($A104,tropes!$A$4:$O$2428,9,FALSE)</f>
        <v>128</v>
      </c>
      <c r="J104" s="5">
        <f>VLOOKUP($A104,tropes!$A$4:$O$2428,10,FALSE)</f>
        <v>29</v>
      </c>
      <c r="K104" s="5" t="str">
        <f>VLOOKUP($A104,tropes!$A$4:$O$2428,11,FALSE)</f>
        <v>The City on the Edge of Forever</v>
      </c>
      <c r="L104" s="5">
        <f>VLOOKUP($A104,tropes!$A$4:$O$2428,12,FALSE)</f>
        <v>1</v>
      </c>
      <c r="M104" s="5">
        <f>VLOOKUP($A104,tropes!$A$4:$O$2428,13,FALSE)</f>
        <v>28</v>
      </c>
      <c r="N104" s="5">
        <f t="shared" si="1"/>
        <v>2</v>
      </c>
    </row>
    <row r="105" spans="1:14" x14ac:dyDescent="0.3">
      <c r="A105" s="14">
        <v>1974</v>
      </c>
      <c r="B105" s="5" t="str">
        <f>VLOOKUP($A105,tropes!$A$4:$O$2428,2,FALSE)</f>
        <v>Landing Party</v>
      </c>
      <c r="C105" s="5" t="str">
        <f>VLOOKUP($A105,tropes!$A$4:$O$2428,3,FALSE)</f>
        <v>landing_party</v>
      </c>
      <c r="D105" s="5">
        <f>VLOOKUP($A105,tropes!$A$4:$O$2428,4,FALSE)</f>
        <v>0</v>
      </c>
      <c r="E105" s="5" t="str">
        <f>VLOOKUP($A105,tropes!$A$4:$O$2428,5,FALSE)</f>
        <v>Scotty</v>
      </c>
      <c r="F105" s="5" t="str">
        <f>VLOOKUP($A105,tropes!$A$4:$O$2428,6,FALSE)</f>
        <v>scotty</v>
      </c>
      <c r="G105" s="5">
        <f>VLOOKUP($A105,tropes!$A$4:$O$2428,7,FALSE)</f>
        <v>0</v>
      </c>
      <c r="H105" s="5">
        <f>VLOOKUP($A105,tropes!$A$4:$O$2428,8,FALSE)</f>
        <v>1</v>
      </c>
      <c r="I105" s="5">
        <f>VLOOKUP($A105,tropes!$A$4:$O$2428,9,FALSE)</f>
        <v>128</v>
      </c>
      <c r="J105" s="5">
        <f>VLOOKUP($A105,tropes!$A$4:$O$2428,10,FALSE)</f>
        <v>29</v>
      </c>
      <c r="K105" s="5" t="str">
        <f>VLOOKUP($A105,tropes!$A$4:$O$2428,11,FALSE)</f>
        <v>The City on the Edge of Forever</v>
      </c>
      <c r="L105" s="5">
        <f>VLOOKUP($A105,tropes!$A$4:$O$2428,12,FALSE)</f>
        <v>1</v>
      </c>
      <c r="M105" s="5">
        <f>VLOOKUP($A105,tropes!$A$4:$O$2428,13,FALSE)</f>
        <v>28</v>
      </c>
      <c r="N105" s="5">
        <f t="shared" si="1"/>
        <v>3</v>
      </c>
    </row>
    <row r="106" spans="1:14" x14ac:dyDescent="0.3">
      <c r="A106" s="14">
        <v>2193</v>
      </c>
      <c r="B106" s="5" t="str">
        <f>VLOOKUP($A106,tropes!$A$4:$O$2428,2,FALSE)</f>
        <v>Landing Party</v>
      </c>
      <c r="C106" s="5" t="str">
        <f>VLOOKUP($A106,tropes!$A$4:$O$2428,3,FALSE)</f>
        <v>landing_party</v>
      </c>
      <c r="D106" s="5">
        <f>VLOOKUP($A106,tropes!$A$4:$O$2428,4,FALSE)</f>
        <v>0</v>
      </c>
      <c r="E106" s="5" t="str">
        <f>VLOOKUP($A106,tropes!$A$4:$O$2428,5,FALSE)</f>
        <v>Spock</v>
      </c>
      <c r="F106" s="5" t="str">
        <f>VLOOKUP($A106,tropes!$A$4:$O$2428,6,FALSE)</f>
        <v>spock</v>
      </c>
      <c r="G106" s="5">
        <f>VLOOKUP($A106,tropes!$A$4:$O$2428,7,FALSE)</f>
        <v>1</v>
      </c>
      <c r="H106" s="5">
        <f>VLOOKUP($A106,tropes!$A$4:$O$2428,8,FALSE)</f>
        <v>0</v>
      </c>
      <c r="I106" s="5">
        <f>VLOOKUP($A106,tropes!$A$4:$O$2428,9,FALSE)</f>
        <v>128</v>
      </c>
      <c r="J106" s="5">
        <f>VLOOKUP($A106,tropes!$A$4:$O$2428,10,FALSE)</f>
        <v>29</v>
      </c>
      <c r="K106" s="5" t="str">
        <f>VLOOKUP($A106,tropes!$A$4:$O$2428,11,FALSE)</f>
        <v>The City on the Edge of Forever</v>
      </c>
      <c r="L106" s="5">
        <f>VLOOKUP($A106,tropes!$A$4:$O$2428,12,FALSE)</f>
        <v>1</v>
      </c>
      <c r="M106" s="5">
        <f>VLOOKUP($A106,tropes!$A$4:$O$2428,13,FALSE)</f>
        <v>28</v>
      </c>
      <c r="N106" s="5">
        <f t="shared" si="1"/>
        <v>4</v>
      </c>
    </row>
    <row r="107" spans="1:14" x14ac:dyDescent="0.3">
      <c r="A107" s="14">
        <v>2525</v>
      </c>
      <c r="B107" s="5" t="str">
        <f>VLOOKUP($A107,tropes!$A$4:$O$2428,2,FALSE)</f>
        <v>Landing Party</v>
      </c>
      <c r="C107" s="5" t="str">
        <f>VLOOKUP($A107,tropes!$A$4:$O$2428,3,FALSE)</f>
        <v>landing_party</v>
      </c>
      <c r="D107" s="5">
        <f>VLOOKUP($A107,tropes!$A$4:$O$2428,4,FALSE)</f>
        <v>0</v>
      </c>
      <c r="E107" s="5" t="str">
        <f>VLOOKUP($A107,tropes!$A$4:$O$2428,5,FALSE)</f>
        <v>Uhura</v>
      </c>
      <c r="F107" s="5" t="str">
        <f>VLOOKUP($A107,tropes!$A$4:$O$2428,6,FALSE)</f>
        <v>uhura</v>
      </c>
      <c r="G107" s="5">
        <f>VLOOKUP($A107,tropes!$A$4:$O$2428,7,FALSE)</f>
        <v>1</v>
      </c>
      <c r="H107" s="5">
        <f>VLOOKUP($A107,tropes!$A$4:$O$2428,8,FALSE)</f>
        <v>0</v>
      </c>
      <c r="I107" s="5">
        <f>VLOOKUP($A107,tropes!$A$4:$O$2428,9,FALSE)</f>
        <v>128</v>
      </c>
      <c r="J107" s="5">
        <f>VLOOKUP($A107,tropes!$A$4:$O$2428,10,FALSE)</f>
        <v>29</v>
      </c>
      <c r="K107" s="5" t="str">
        <f>VLOOKUP($A107,tropes!$A$4:$O$2428,11,FALSE)</f>
        <v>The City on the Edge of Forever</v>
      </c>
      <c r="L107" s="5">
        <f>VLOOKUP($A107,tropes!$A$4:$O$2428,12,FALSE)</f>
        <v>1</v>
      </c>
      <c r="M107" s="5">
        <f>VLOOKUP($A107,tropes!$A$4:$O$2428,13,FALSE)</f>
        <v>28</v>
      </c>
      <c r="N107" s="5">
        <f t="shared" si="1"/>
        <v>5</v>
      </c>
    </row>
    <row r="108" spans="1:14" x14ac:dyDescent="0.3">
      <c r="A108" s="14">
        <v>881</v>
      </c>
      <c r="B108" s="5" t="str">
        <f>VLOOKUP($A108,tropes!$A$4:$O$2428,2,FALSE)</f>
        <v>Landing Party</v>
      </c>
      <c r="C108" s="5" t="str">
        <f>VLOOKUP($A108,tropes!$A$4:$O$2428,3,FALSE)</f>
        <v>landing_party</v>
      </c>
      <c r="D108" s="5">
        <f>VLOOKUP($A108,tropes!$A$4:$O$2428,4,FALSE)</f>
        <v>0</v>
      </c>
      <c r="E108" s="5" t="str">
        <f>VLOOKUP($A108,tropes!$A$4:$O$2428,5,FALSE)</f>
        <v>Kirk</v>
      </c>
      <c r="F108" s="5" t="str">
        <f>VLOOKUP($A108,tropes!$A$4:$O$2428,6,FALSE)</f>
        <v>kirk</v>
      </c>
      <c r="G108" s="5">
        <f>VLOOKUP($A108,tropes!$A$4:$O$2428,7,FALSE)</f>
        <v>1</v>
      </c>
      <c r="H108" s="5">
        <f>VLOOKUP($A108,tropes!$A$4:$O$2428,8,FALSE)</f>
        <v>0</v>
      </c>
      <c r="I108" s="5">
        <f>VLOOKUP($A108,tropes!$A$4:$O$2428,9,FALSE)</f>
        <v>129</v>
      </c>
      <c r="J108" s="5">
        <f>VLOOKUP($A108,tropes!$A$4:$O$2428,10,FALSE)</f>
        <v>30</v>
      </c>
      <c r="K108" s="5" t="str">
        <f>VLOOKUP($A108,tropes!$A$4:$O$2428,11,FALSE)</f>
        <v>Operation: Annihilate!</v>
      </c>
      <c r="L108" s="5">
        <f>VLOOKUP($A108,tropes!$A$4:$O$2428,12,FALSE)</f>
        <v>1</v>
      </c>
      <c r="M108" s="5">
        <f>VLOOKUP($A108,tropes!$A$4:$O$2428,13,FALSE)</f>
        <v>29</v>
      </c>
      <c r="N108" s="5">
        <f t="shared" si="1"/>
        <v>0</v>
      </c>
    </row>
    <row r="109" spans="1:14" x14ac:dyDescent="0.3">
      <c r="A109" s="14">
        <v>1622</v>
      </c>
      <c r="B109" s="5" t="str">
        <f>VLOOKUP($A109,tropes!$A$4:$O$2428,2,FALSE)</f>
        <v>Landing Party</v>
      </c>
      <c r="C109" s="5" t="str">
        <f>VLOOKUP($A109,tropes!$A$4:$O$2428,3,FALSE)</f>
        <v>landing_party</v>
      </c>
      <c r="D109" s="5">
        <f>VLOOKUP($A109,tropes!$A$4:$O$2428,4,FALSE)</f>
        <v>0</v>
      </c>
      <c r="E109" s="5" t="str">
        <f>VLOOKUP($A109,tropes!$A$4:$O$2428,5,FALSE)</f>
        <v>McCoy</v>
      </c>
      <c r="F109" s="5" t="str">
        <f>VLOOKUP($A109,tropes!$A$4:$O$2428,6,FALSE)</f>
        <v>mccoy</v>
      </c>
      <c r="G109" s="5">
        <f>VLOOKUP($A109,tropes!$A$4:$O$2428,7,FALSE)</f>
        <v>0</v>
      </c>
      <c r="H109" s="5">
        <f>VLOOKUP($A109,tropes!$A$4:$O$2428,8,FALSE)</f>
        <v>1</v>
      </c>
      <c r="I109" s="5">
        <f>VLOOKUP($A109,tropes!$A$4:$O$2428,9,FALSE)</f>
        <v>129</v>
      </c>
      <c r="J109" s="5">
        <f>VLOOKUP($A109,tropes!$A$4:$O$2428,10,FALSE)</f>
        <v>30</v>
      </c>
      <c r="K109" s="5" t="str">
        <f>VLOOKUP($A109,tropes!$A$4:$O$2428,11,FALSE)</f>
        <v>Operation: Annihilate!</v>
      </c>
      <c r="L109" s="5">
        <f>VLOOKUP($A109,tropes!$A$4:$O$2428,12,FALSE)</f>
        <v>1</v>
      </c>
      <c r="M109" s="5">
        <f>VLOOKUP($A109,tropes!$A$4:$O$2428,13,FALSE)</f>
        <v>29</v>
      </c>
      <c r="N109" s="5">
        <f t="shared" si="1"/>
        <v>1</v>
      </c>
    </row>
    <row r="110" spans="1:14" x14ac:dyDescent="0.3">
      <c r="A110" s="14">
        <v>347</v>
      </c>
      <c r="B110" s="5" t="str">
        <f>VLOOKUP($A110,tropes!$A$4:$O$2428,2,FALSE)</f>
        <v>Landing Party</v>
      </c>
      <c r="C110" s="5" t="str">
        <f>VLOOKUP($A110,tropes!$A$4:$O$2428,3,FALSE)</f>
        <v>landing_party</v>
      </c>
      <c r="D110" s="5">
        <f>VLOOKUP($A110,tropes!$A$4:$O$2428,4,FALSE)</f>
        <v>0</v>
      </c>
      <c r="E110" s="5" t="str">
        <f>VLOOKUP($A110,tropes!$A$4:$O$2428,5,FALSE)</f>
        <v>Redshirt</v>
      </c>
      <c r="F110" s="5" t="str">
        <f>VLOOKUP($A110,tropes!$A$4:$O$2428,6,FALSE)</f>
        <v>human</v>
      </c>
      <c r="G110" s="5">
        <f>VLOOKUP($A110,tropes!$A$4:$O$2428,7,FALSE)</f>
        <v>0</v>
      </c>
      <c r="H110" s="5">
        <f>VLOOKUP($A110,tropes!$A$4:$O$2428,8,FALSE)</f>
        <v>0</v>
      </c>
      <c r="I110" s="5">
        <f>VLOOKUP($A110,tropes!$A$4:$O$2428,9,FALSE)</f>
        <v>129</v>
      </c>
      <c r="J110" s="5">
        <f>VLOOKUP($A110,tropes!$A$4:$O$2428,10,FALSE)</f>
        <v>30</v>
      </c>
      <c r="K110" s="5" t="str">
        <f>VLOOKUP($A110,tropes!$A$4:$O$2428,11,FALSE)</f>
        <v>Operation: Annihilate!</v>
      </c>
      <c r="L110" s="5">
        <f>VLOOKUP($A110,tropes!$A$4:$O$2428,12,FALSE)</f>
        <v>1</v>
      </c>
      <c r="M110" s="5">
        <f>VLOOKUP($A110,tropes!$A$4:$O$2428,13,FALSE)</f>
        <v>29</v>
      </c>
      <c r="N110" s="5">
        <f t="shared" si="1"/>
        <v>2</v>
      </c>
    </row>
    <row r="111" spans="1:14" x14ac:dyDescent="0.3">
      <c r="A111" s="14">
        <v>1976</v>
      </c>
      <c r="B111" s="5" t="str">
        <f>VLOOKUP($A111,tropes!$A$4:$O$2428,2,FALSE)</f>
        <v>Landing Party</v>
      </c>
      <c r="C111" s="5" t="str">
        <f>VLOOKUP($A111,tropes!$A$4:$O$2428,3,FALSE)</f>
        <v>landing_party</v>
      </c>
      <c r="D111" s="5">
        <f>VLOOKUP($A111,tropes!$A$4:$O$2428,4,FALSE)</f>
        <v>0</v>
      </c>
      <c r="E111" s="5" t="str">
        <f>VLOOKUP($A111,tropes!$A$4:$O$2428,5,FALSE)</f>
        <v>Scotty</v>
      </c>
      <c r="F111" s="5" t="str">
        <f>VLOOKUP($A111,tropes!$A$4:$O$2428,6,FALSE)</f>
        <v>scotty</v>
      </c>
      <c r="G111" s="5">
        <f>VLOOKUP($A111,tropes!$A$4:$O$2428,7,FALSE)</f>
        <v>0</v>
      </c>
      <c r="H111" s="5">
        <f>VLOOKUP($A111,tropes!$A$4:$O$2428,8,FALSE)</f>
        <v>1</v>
      </c>
      <c r="I111" s="5">
        <f>VLOOKUP($A111,tropes!$A$4:$O$2428,9,FALSE)</f>
        <v>129</v>
      </c>
      <c r="J111" s="5">
        <f>VLOOKUP($A111,tropes!$A$4:$O$2428,10,FALSE)</f>
        <v>30</v>
      </c>
      <c r="K111" s="5" t="str">
        <f>VLOOKUP($A111,tropes!$A$4:$O$2428,11,FALSE)</f>
        <v>Operation: Annihilate!</v>
      </c>
      <c r="L111" s="5">
        <f>VLOOKUP($A111,tropes!$A$4:$O$2428,12,FALSE)</f>
        <v>1</v>
      </c>
      <c r="M111" s="5">
        <f>VLOOKUP($A111,tropes!$A$4:$O$2428,13,FALSE)</f>
        <v>29</v>
      </c>
      <c r="N111" s="5">
        <f t="shared" si="1"/>
        <v>3</v>
      </c>
    </row>
    <row r="112" spans="1:14" x14ac:dyDescent="0.3">
      <c r="A112" s="14">
        <v>2207</v>
      </c>
      <c r="B112" s="5" t="str">
        <f>VLOOKUP($A112,tropes!$A$4:$O$2428,2,FALSE)</f>
        <v>Landing Party</v>
      </c>
      <c r="C112" s="5" t="str">
        <f>VLOOKUP($A112,tropes!$A$4:$O$2428,3,FALSE)</f>
        <v>landing_party</v>
      </c>
      <c r="D112" s="5">
        <f>VLOOKUP($A112,tropes!$A$4:$O$2428,4,FALSE)</f>
        <v>0</v>
      </c>
      <c r="E112" s="5" t="str">
        <f>VLOOKUP($A112,tropes!$A$4:$O$2428,5,FALSE)</f>
        <v>Spock</v>
      </c>
      <c r="F112" s="5" t="str">
        <f>VLOOKUP($A112,tropes!$A$4:$O$2428,6,FALSE)</f>
        <v>spock</v>
      </c>
      <c r="G112" s="5">
        <f>VLOOKUP($A112,tropes!$A$4:$O$2428,7,FALSE)</f>
        <v>1</v>
      </c>
      <c r="H112" s="5">
        <f>VLOOKUP($A112,tropes!$A$4:$O$2428,8,FALSE)</f>
        <v>0</v>
      </c>
      <c r="I112" s="5">
        <f>VLOOKUP($A112,tropes!$A$4:$O$2428,9,FALSE)</f>
        <v>129</v>
      </c>
      <c r="J112" s="5">
        <f>VLOOKUP($A112,tropes!$A$4:$O$2428,10,FALSE)</f>
        <v>30</v>
      </c>
      <c r="K112" s="5" t="str">
        <f>VLOOKUP($A112,tropes!$A$4:$O$2428,11,FALSE)</f>
        <v>Operation: Annihilate!</v>
      </c>
      <c r="L112" s="5">
        <f>VLOOKUP($A112,tropes!$A$4:$O$2428,12,FALSE)</f>
        <v>1</v>
      </c>
      <c r="M112" s="5">
        <f>VLOOKUP($A112,tropes!$A$4:$O$2428,13,FALSE)</f>
        <v>29</v>
      </c>
      <c r="N112" s="5">
        <f t="shared" si="1"/>
        <v>4</v>
      </c>
    </row>
    <row r="113" spans="1:14" x14ac:dyDescent="0.3">
      <c r="A113" s="14">
        <v>348</v>
      </c>
      <c r="B113" s="5" t="str">
        <f>VLOOKUP($A113,tropes!$A$4:$O$2428,2,FALSE)</f>
        <v>Landing Party</v>
      </c>
      <c r="C113" s="5" t="str">
        <f>VLOOKUP($A113,tropes!$A$4:$O$2428,3,FALSE)</f>
        <v>landing_party</v>
      </c>
      <c r="D113" s="5">
        <f>VLOOKUP($A113,tropes!$A$4:$O$2428,4,FALSE)</f>
        <v>0</v>
      </c>
      <c r="E113" s="5" t="str">
        <f>VLOOKUP($A113,tropes!$A$4:$O$2428,5,FALSE)</f>
        <v>Yeoman Zahra</v>
      </c>
      <c r="F113" s="5" t="str">
        <f>VLOOKUP($A113,tropes!$A$4:$O$2428,6,FALSE)</f>
        <v>zahra</v>
      </c>
      <c r="G113" s="5">
        <f>VLOOKUP($A113,tropes!$A$4:$O$2428,7,FALSE)</f>
        <v>0</v>
      </c>
      <c r="H113" s="5">
        <f>VLOOKUP($A113,tropes!$A$4:$O$2428,8,FALSE)</f>
        <v>0</v>
      </c>
      <c r="I113" s="5">
        <f>VLOOKUP($A113,tropes!$A$4:$O$2428,9,FALSE)</f>
        <v>129</v>
      </c>
      <c r="J113" s="5">
        <f>VLOOKUP($A113,tropes!$A$4:$O$2428,10,FALSE)</f>
        <v>30</v>
      </c>
      <c r="K113" s="5" t="str">
        <f>VLOOKUP($A113,tropes!$A$4:$O$2428,11,FALSE)</f>
        <v>Operation: Annihilate!</v>
      </c>
      <c r="L113" s="5">
        <f>VLOOKUP($A113,tropes!$A$4:$O$2428,12,FALSE)</f>
        <v>1</v>
      </c>
      <c r="M113" s="5">
        <f>VLOOKUP($A113,tropes!$A$4:$O$2428,13,FALSE)</f>
        <v>29</v>
      </c>
      <c r="N113" s="5">
        <f t="shared" si="1"/>
        <v>5</v>
      </c>
    </row>
    <row r="114" spans="1:14" x14ac:dyDescent="0.3">
      <c r="A114" s="14">
        <v>892</v>
      </c>
      <c r="B114" s="5" t="str">
        <f>VLOOKUP($A114,tropes!$A$4:$O$2428,2,FALSE)</f>
        <v>Landing Party</v>
      </c>
      <c r="C114" s="5" t="str">
        <f>VLOOKUP($A114,tropes!$A$4:$O$2428,3,FALSE)</f>
        <v>landing_party</v>
      </c>
      <c r="D114" s="5" t="str">
        <f>VLOOKUP($A114,tropes!$A$4:$O$2428,4,FALSE)</f>
        <v>death</v>
      </c>
      <c r="E114" s="5" t="str">
        <f>VLOOKUP($A114,tropes!$A$4:$O$2428,5,FALSE)</f>
        <v>Kirk killed (supposedly) in fight with Spock on Vulcan.</v>
      </c>
      <c r="F114" s="5" t="str">
        <f>VLOOKUP($A114,tropes!$A$4:$O$2428,6,FALSE)</f>
        <v>kirk</v>
      </c>
      <c r="G114" s="5">
        <f>VLOOKUP($A114,tropes!$A$4:$O$2428,7,FALSE)</f>
        <v>1</v>
      </c>
      <c r="H114" s="5">
        <f>VLOOKUP($A114,tropes!$A$4:$O$2428,8,FALSE)</f>
        <v>0</v>
      </c>
      <c r="I114" s="5">
        <f>VLOOKUP($A114,tropes!$A$4:$O$2428,9,FALSE)</f>
        <v>201</v>
      </c>
      <c r="J114" s="5">
        <f>VLOOKUP($A114,tropes!$A$4:$O$2428,10,FALSE)</f>
        <v>31</v>
      </c>
      <c r="K114" s="5" t="str">
        <f>VLOOKUP($A114,tropes!$A$4:$O$2428,11,FALSE)</f>
        <v>Amok Time</v>
      </c>
      <c r="L114" s="5">
        <f>VLOOKUP($A114,tropes!$A$4:$O$2428,12,FALSE)</f>
        <v>2</v>
      </c>
      <c r="M114" s="5">
        <f>VLOOKUP($A114,tropes!$A$4:$O$2428,13,FALSE)</f>
        <v>1</v>
      </c>
      <c r="N114" s="5">
        <f t="shared" si="1"/>
        <v>0</v>
      </c>
    </row>
    <row r="115" spans="1:14" x14ac:dyDescent="0.3">
      <c r="A115" s="14">
        <v>1632</v>
      </c>
      <c r="B115" s="5" t="str">
        <f>VLOOKUP($A115,tropes!$A$4:$O$2428,2,FALSE)</f>
        <v>Landing Party</v>
      </c>
      <c r="C115" s="5" t="str">
        <f>VLOOKUP($A115,tropes!$A$4:$O$2428,3,FALSE)</f>
        <v>landing_party</v>
      </c>
      <c r="D115" s="5">
        <f>VLOOKUP($A115,tropes!$A$4:$O$2428,4,FALSE)</f>
        <v>0</v>
      </c>
      <c r="E115" s="5" t="str">
        <f>VLOOKUP($A115,tropes!$A$4:$O$2428,5,FALSE)</f>
        <v>McCoy</v>
      </c>
      <c r="F115" s="5" t="str">
        <f>VLOOKUP($A115,tropes!$A$4:$O$2428,6,FALSE)</f>
        <v>mccoy</v>
      </c>
      <c r="G115" s="5">
        <f>VLOOKUP($A115,tropes!$A$4:$O$2428,7,FALSE)</f>
        <v>0</v>
      </c>
      <c r="H115" s="5">
        <f>VLOOKUP($A115,tropes!$A$4:$O$2428,8,FALSE)</f>
        <v>1</v>
      </c>
      <c r="I115" s="5">
        <f>VLOOKUP($A115,tropes!$A$4:$O$2428,9,FALSE)</f>
        <v>201</v>
      </c>
      <c r="J115" s="5">
        <f>VLOOKUP($A115,tropes!$A$4:$O$2428,10,FALSE)</f>
        <v>31</v>
      </c>
      <c r="K115" s="5" t="str">
        <f>VLOOKUP($A115,tropes!$A$4:$O$2428,11,FALSE)</f>
        <v>Amok Time</v>
      </c>
      <c r="L115" s="5">
        <f>VLOOKUP($A115,tropes!$A$4:$O$2428,12,FALSE)</f>
        <v>2</v>
      </c>
      <c r="M115" s="5">
        <f>VLOOKUP($A115,tropes!$A$4:$O$2428,13,FALSE)</f>
        <v>1</v>
      </c>
      <c r="N115" s="5">
        <f t="shared" si="1"/>
        <v>1</v>
      </c>
    </row>
    <row r="116" spans="1:14" x14ac:dyDescent="0.3">
      <c r="A116" s="14">
        <v>2225</v>
      </c>
      <c r="B116" s="5" t="str">
        <f>VLOOKUP($A116,tropes!$A$4:$O$2428,2,FALSE)</f>
        <v>Landing Party</v>
      </c>
      <c r="C116" s="5" t="str">
        <f>VLOOKUP($A116,tropes!$A$4:$O$2428,3,FALSE)</f>
        <v>landing_party</v>
      </c>
      <c r="D116" s="5">
        <f>VLOOKUP($A116,tropes!$A$4:$O$2428,4,FALSE)</f>
        <v>0</v>
      </c>
      <c r="E116" s="5" t="str">
        <f>VLOOKUP($A116,tropes!$A$4:$O$2428,5,FALSE)</f>
        <v>Spock</v>
      </c>
      <c r="F116" s="5" t="str">
        <f>VLOOKUP($A116,tropes!$A$4:$O$2428,6,FALSE)</f>
        <v>spock</v>
      </c>
      <c r="G116" s="5">
        <f>VLOOKUP($A116,tropes!$A$4:$O$2428,7,FALSE)</f>
        <v>1</v>
      </c>
      <c r="H116" s="5">
        <f>VLOOKUP($A116,tropes!$A$4:$O$2428,8,FALSE)</f>
        <v>0</v>
      </c>
      <c r="I116" s="5">
        <f>VLOOKUP($A116,tropes!$A$4:$O$2428,9,FALSE)</f>
        <v>201</v>
      </c>
      <c r="J116" s="5">
        <f>VLOOKUP($A116,tropes!$A$4:$O$2428,10,FALSE)</f>
        <v>31</v>
      </c>
      <c r="K116" s="5" t="str">
        <f>VLOOKUP($A116,tropes!$A$4:$O$2428,11,FALSE)</f>
        <v>Amok Time</v>
      </c>
      <c r="L116" s="5">
        <f>VLOOKUP($A116,tropes!$A$4:$O$2428,12,FALSE)</f>
        <v>2</v>
      </c>
      <c r="M116" s="5">
        <f>VLOOKUP($A116,tropes!$A$4:$O$2428,13,FALSE)</f>
        <v>1</v>
      </c>
      <c r="N116" s="5">
        <f t="shared" si="1"/>
        <v>2</v>
      </c>
    </row>
    <row r="117" spans="1:14" x14ac:dyDescent="0.3">
      <c r="A117" s="14">
        <v>899</v>
      </c>
      <c r="B117" s="5" t="str">
        <f>VLOOKUP($A117,tropes!$A$4:$O$2428,2,FALSE)</f>
        <v>Landing Party</v>
      </c>
      <c r="C117" s="5" t="str">
        <f>VLOOKUP($A117,tropes!$A$4:$O$2428,3,FALSE)</f>
        <v>landing_party</v>
      </c>
      <c r="D117" s="5">
        <f>VLOOKUP($A117,tropes!$A$4:$O$2428,4,FALSE)</f>
        <v>0</v>
      </c>
      <c r="E117" s="5" t="str">
        <f>VLOOKUP($A117,tropes!$A$4:$O$2428,5,FALSE)</f>
        <v>Kirk</v>
      </c>
      <c r="F117" s="5" t="str">
        <f>VLOOKUP($A117,tropes!$A$4:$O$2428,6,FALSE)</f>
        <v>kirk</v>
      </c>
      <c r="G117" s="5">
        <f>VLOOKUP($A117,tropes!$A$4:$O$2428,7,FALSE)</f>
        <v>1</v>
      </c>
      <c r="H117" s="5">
        <f>VLOOKUP($A117,tropes!$A$4:$O$2428,8,FALSE)</f>
        <v>0</v>
      </c>
      <c r="I117" s="5">
        <f>VLOOKUP($A117,tropes!$A$4:$O$2428,9,FALSE)</f>
        <v>202</v>
      </c>
      <c r="J117" s="5">
        <f>VLOOKUP($A117,tropes!$A$4:$O$2428,10,FALSE)</f>
        <v>32</v>
      </c>
      <c r="K117" s="5" t="str">
        <f>VLOOKUP($A117,tropes!$A$4:$O$2428,11,FALSE)</f>
        <v>Who Mourns for Adonais?</v>
      </c>
      <c r="L117" s="5">
        <f>VLOOKUP($A117,tropes!$A$4:$O$2428,12,FALSE)</f>
        <v>2</v>
      </c>
      <c r="M117" s="5">
        <f>VLOOKUP($A117,tropes!$A$4:$O$2428,13,FALSE)</f>
        <v>2</v>
      </c>
      <c r="N117" s="5">
        <f t="shared" si="1"/>
        <v>0</v>
      </c>
    </row>
    <row r="118" spans="1:14" x14ac:dyDescent="0.3">
      <c r="A118" s="14">
        <v>1812</v>
      </c>
      <c r="B118" s="5" t="str">
        <f>VLOOKUP($A118,tropes!$A$4:$O$2428,2,FALSE)</f>
        <v>Landing Party</v>
      </c>
      <c r="C118" s="5" t="str">
        <f>VLOOKUP($A118,tropes!$A$4:$O$2428,3,FALSE)</f>
        <v>landing_party</v>
      </c>
      <c r="D118" s="5">
        <f>VLOOKUP($A118,tropes!$A$4:$O$2428,4,FALSE)</f>
        <v>0</v>
      </c>
      <c r="E118" s="5" t="str">
        <f>VLOOKUP($A118,tropes!$A$4:$O$2428,5,FALSE)</f>
        <v>Lt. Carolyn Palamas.</v>
      </c>
      <c r="F118" s="5" t="str">
        <f>VLOOKUP($A118,tropes!$A$4:$O$2428,6,FALSE)</f>
        <v>palamas</v>
      </c>
      <c r="G118" s="5">
        <f>VLOOKUP($A118,tropes!$A$4:$O$2428,7,FALSE)</f>
        <v>0</v>
      </c>
      <c r="H118" s="5">
        <f>VLOOKUP($A118,tropes!$A$4:$O$2428,8,FALSE)</f>
        <v>0</v>
      </c>
      <c r="I118" s="5">
        <f>VLOOKUP($A118,tropes!$A$4:$O$2428,9,FALSE)</f>
        <v>202</v>
      </c>
      <c r="J118" s="5">
        <f>VLOOKUP($A118,tropes!$A$4:$O$2428,10,FALSE)</f>
        <v>32</v>
      </c>
      <c r="K118" s="5" t="str">
        <f>VLOOKUP($A118,tropes!$A$4:$O$2428,11,FALSE)</f>
        <v>Who Mourns for Adonais?</v>
      </c>
      <c r="L118" s="5">
        <f>VLOOKUP($A118,tropes!$A$4:$O$2428,12,FALSE)</f>
        <v>2</v>
      </c>
      <c r="M118" s="5">
        <f>VLOOKUP($A118,tropes!$A$4:$O$2428,13,FALSE)</f>
        <v>2</v>
      </c>
      <c r="N118" s="5">
        <f t="shared" si="1"/>
        <v>1</v>
      </c>
    </row>
    <row r="119" spans="1:14" x14ac:dyDescent="0.3">
      <c r="A119" s="14">
        <v>1638</v>
      </c>
      <c r="B119" s="5" t="str">
        <f>VLOOKUP($A119,tropes!$A$4:$O$2428,2,FALSE)</f>
        <v>Landing Party</v>
      </c>
      <c r="C119" s="5" t="str">
        <f>VLOOKUP($A119,tropes!$A$4:$O$2428,3,FALSE)</f>
        <v>landing_party</v>
      </c>
      <c r="D119" s="5">
        <f>VLOOKUP($A119,tropes!$A$4:$O$2428,4,FALSE)</f>
        <v>0</v>
      </c>
      <c r="E119" s="5" t="str">
        <f>VLOOKUP($A119,tropes!$A$4:$O$2428,5,FALSE)</f>
        <v>McCoy</v>
      </c>
      <c r="F119" s="5" t="str">
        <f>VLOOKUP($A119,tropes!$A$4:$O$2428,6,FALSE)</f>
        <v>mccoy</v>
      </c>
      <c r="G119" s="5">
        <f>VLOOKUP($A119,tropes!$A$4:$O$2428,7,FALSE)</f>
        <v>0</v>
      </c>
      <c r="H119" s="5">
        <f>VLOOKUP($A119,tropes!$A$4:$O$2428,8,FALSE)</f>
        <v>1</v>
      </c>
      <c r="I119" s="5">
        <f>VLOOKUP($A119,tropes!$A$4:$O$2428,9,FALSE)</f>
        <v>202</v>
      </c>
      <c r="J119" s="5">
        <f>VLOOKUP($A119,tropes!$A$4:$O$2428,10,FALSE)</f>
        <v>32</v>
      </c>
      <c r="K119" s="5" t="str">
        <f>VLOOKUP($A119,tropes!$A$4:$O$2428,11,FALSE)</f>
        <v>Who Mourns for Adonais?</v>
      </c>
      <c r="L119" s="5">
        <f>VLOOKUP($A119,tropes!$A$4:$O$2428,12,FALSE)</f>
        <v>2</v>
      </c>
      <c r="M119" s="5">
        <f>VLOOKUP($A119,tropes!$A$4:$O$2428,13,FALSE)</f>
        <v>2</v>
      </c>
      <c r="N119" s="5">
        <f t="shared" si="1"/>
        <v>2</v>
      </c>
    </row>
    <row r="120" spans="1:14" x14ac:dyDescent="0.3">
      <c r="A120" s="14">
        <v>1982</v>
      </c>
      <c r="B120" s="5" t="str">
        <f>VLOOKUP($A120,tropes!$A$4:$O$2428,2,FALSE)</f>
        <v>Landing Party</v>
      </c>
      <c r="C120" s="5" t="str">
        <f>VLOOKUP($A120,tropes!$A$4:$O$2428,3,FALSE)</f>
        <v>landing_party</v>
      </c>
      <c r="D120" s="5">
        <f>VLOOKUP($A120,tropes!$A$4:$O$2428,4,FALSE)</f>
        <v>0</v>
      </c>
      <c r="E120" s="5" t="str">
        <f>VLOOKUP($A120,tropes!$A$4:$O$2428,5,FALSE)</f>
        <v>Scotty</v>
      </c>
      <c r="F120" s="5" t="str">
        <f>VLOOKUP($A120,tropes!$A$4:$O$2428,6,FALSE)</f>
        <v>scotty</v>
      </c>
      <c r="G120" s="5">
        <f>VLOOKUP($A120,tropes!$A$4:$O$2428,7,FALSE)</f>
        <v>0</v>
      </c>
      <c r="H120" s="5">
        <f>VLOOKUP($A120,tropes!$A$4:$O$2428,8,FALSE)</f>
        <v>1</v>
      </c>
      <c r="I120" s="5">
        <f>VLOOKUP($A120,tropes!$A$4:$O$2428,9,FALSE)</f>
        <v>202</v>
      </c>
      <c r="J120" s="5">
        <f>VLOOKUP($A120,tropes!$A$4:$O$2428,10,FALSE)</f>
        <v>32</v>
      </c>
      <c r="K120" s="5" t="str">
        <f>VLOOKUP($A120,tropes!$A$4:$O$2428,11,FALSE)</f>
        <v>Who Mourns for Adonais?</v>
      </c>
      <c r="L120" s="5">
        <f>VLOOKUP($A120,tropes!$A$4:$O$2428,12,FALSE)</f>
        <v>2</v>
      </c>
      <c r="M120" s="5">
        <f>VLOOKUP($A120,tropes!$A$4:$O$2428,13,FALSE)</f>
        <v>2</v>
      </c>
      <c r="N120" s="5">
        <f t="shared" si="1"/>
        <v>3</v>
      </c>
    </row>
    <row r="121" spans="1:14" x14ac:dyDescent="0.3">
      <c r="A121" s="14">
        <v>911</v>
      </c>
      <c r="B121" s="5" t="str">
        <f>VLOOKUP($A121,tropes!$A$4:$O$2428,2,FALSE)</f>
        <v>Landing Party</v>
      </c>
      <c r="C121" s="5" t="str">
        <f>VLOOKUP($A121,tropes!$A$4:$O$2428,3,FALSE)</f>
        <v>landing_party</v>
      </c>
      <c r="D121" s="5">
        <f>VLOOKUP($A121,tropes!$A$4:$O$2428,4,FALSE)</f>
        <v>0</v>
      </c>
      <c r="E121" s="5" t="str">
        <f>VLOOKUP($A121,tropes!$A$4:$O$2428,5,FALSE)</f>
        <v>Kirk</v>
      </c>
      <c r="F121" s="5" t="str">
        <f>VLOOKUP($A121,tropes!$A$4:$O$2428,6,FALSE)</f>
        <v>kirk</v>
      </c>
      <c r="G121" s="5">
        <f>VLOOKUP($A121,tropes!$A$4:$O$2428,7,FALSE)</f>
        <v>1</v>
      </c>
      <c r="H121" s="5">
        <f>VLOOKUP($A121,tropes!$A$4:$O$2428,8,FALSE)</f>
        <v>0</v>
      </c>
      <c r="I121" s="5">
        <f>VLOOKUP($A121,tropes!$A$4:$O$2428,9,FALSE)</f>
        <v>204</v>
      </c>
      <c r="J121" s="5">
        <f>VLOOKUP($A121,tropes!$A$4:$O$2428,10,FALSE)</f>
        <v>34</v>
      </c>
      <c r="K121" s="5" t="str">
        <f>VLOOKUP($A121,tropes!$A$4:$O$2428,11,FALSE)</f>
        <v>Mirror, Mirror</v>
      </c>
      <c r="L121" s="5">
        <f>VLOOKUP($A121,tropes!$A$4:$O$2428,12,FALSE)</f>
        <v>2</v>
      </c>
      <c r="M121" s="5">
        <f>VLOOKUP($A121,tropes!$A$4:$O$2428,13,FALSE)</f>
        <v>4</v>
      </c>
      <c r="N121" s="5">
        <f t="shared" si="1"/>
        <v>0</v>
      </c>
    </row>
    <row r="122" spans="1:14" x14ac:dyDescent="0.3">
      <c r="A122" s="14">
        <v>1643</v>
      </c>
      <c r="B122" s="5" t="str">
        <f>VLOOKUP($A122,tropes!$A$4:$O$2428,2,FALSE)</f>
        <v>Landing Party</v>
      </c>
      <c r="C122" s="5" t="str">
        <f>VLOOKUP($A122,tropes!$A$4:$O$2428,3,FALSE)</f>
        <v>landing_party</v>
      </c>
      <c r="D122" s="5">
        <f>VLOOKUP($A122,tropes!$A$4:$O$2428,4,FALSE)</f>
        <v>0</v>
      </c>
      <c r="E122" s="5" t="str">
        <f>VLOOKUP($A122,tropes!$A$4:$O$2428,5,FALSE)</f>
        <v>McCoy</v>
      </c>
      <c r="F122" s="5" t="str">
        <f>VLOOKUP($A122,tropes!$A$4:$O$2428,6,FALSE)</f>
        <v>mccoy</v>
      </c>
      <c r="G122" s="5">
        <f>VLOOKUP($A122,tropes!$A$4:$O$2428,7,FALSE)</f>
        <v>0</v>
      </c>
      <c r="H122" s="5">
        <f>VLOOKUP($A122,tropes!$A$4:$O$2428,8,FALSE)</f>
        <v>1</v>
      </c>
      <c r="I122" s="5">
        <f>VLOOKUP($A122,tropes!$A$4:$O$2428,9,FALSE)</f>
        <v>204</v>
      </c>
      <c r="J122" s="5">
        <f>VLOOKUP($A122,tropes!$A$4:$O$2428,10,FALSE)</f>
        <v>34</v>
      </c>
      <c r="K122" s="5" t="str">
        <f>VLOOKUP($A122,tropes!$A$4:$O$2428,11,FALSE)</f>
        <v>Mirror, Mirror</v>
      </c>
      <c r="L122" s="5">
        <f>VLOOKUP($A122,tropes!$A$4:$O$2428,12,FALSE)</f>
        <v>2</v>
      </c>
      <c r="M122" s="5">
        <f>VLOOKUP($A122,tropes!$A$4:$O$2428,13,FALSE)</f>
        <v>4</v>
      </c>
      <c r="N122" s="5">
        <f t="shared" si="1"/>
        <v>1</v>
      </c>
    </row>
    <row r="123" spans="1:14" x14ac:dyDescent="0.3">
      <c r="A123" s="14">
        <v>1987</v>
      </c>
      <c r="B123" s="5" t="str">
        <f>VLOOKUP($A123,tropes!$A$4:$O$2428,2,FALSE)</f>
        <v>Landing Party</v>
      </c>
      <c r="C123" s="5" t="str">
        <f>VLOOKUP($A123,tropes!$A$4:$O$2428,3,FALSE)</f>
        <v>landing_party</v>
      </c>
      <c r="D123" s="5">
        <f>VLOOKUP($A123,tropes!$A$4:$O$2428,4,FALSE)</f>
        <v>0</v>
      </c>
      <c r="E123" s="5" t="str">
        <f>VLOOKUP($A123,tropes!$A$4:$O$2428,5,FALSE)</f>
        <v>Scotty</v>
      </c>
      <c r="F123" s="5" t="str">
        <f>VLOOKUP($A123,tropes!$A$4:$O$2428,6,FALSE)</f>
        <v>scotty</v>
      </c>
      <c r="G123" s="5">
        <f>VLOOKUP($A123,tropes!$A$4:$O$2428,7,FALSE)</f>
        <v>0</v>
      </c>
      <c r="H123" s="5">
        <f>VLOOKUP($A123,tropes!$A$4:$O$2428,8,FALSE)</f>
        <v>1</v>
      </c>
      <c r="I123" s="5">
        <f>VLOOKUP($A123,tropes!$A$4:$O$2428,9,FALSE)</f>
        <v>204</v>
      </c>
      <c r="J123" s="5">
        <f>VLOOKUP($A123,tropes!$A$4:$O$2428,10,FALSE)</f>
        <v>34</v>
      </c>
      <c r="K123" s="5" t="str">
        <f>VLOOKUP($A123,tropes!$A$4:$O$2428,11,FALSE)</f>
        <v>Mirror, Mirror</v>
      </c>
      <c r="L123" s="5">
        <f>VLOOKUP($A123,tropes!$A$4:$O$2428,12,FALSE)</f>
        <v>2</v>
      </c>
      <c r="M123" s="5">
        <f>VLOOKUP($A123,tropes!$A$4:$O$2428,13,FALSE)</f>
        <v>4</v>
      </c>
      <c r="N123" s="5">
        <f t="shared" si="1"/>
        <v>2</v>
      </c>
    </row>
    <row r="124" spans="1:14" x14ac:dyDescent="0.3">
      <c r="A124" s="14">
        <v>2538</v>
      </c>
      <c r="B124" s="5" t="str">
        <f>VLOOKUP($A124,tropes!$A$4:$O$2428,2,FALSE)</f>
        <v>Landing Party</v>
      </c>
      <c r="C124" s="5" t="str">
        <f>VLOOKUP($A124,tropes!$A$4:$O$2428,3,FALSE)</f>
        <v>landing_party</v>
      </c>
      <c r="D124" s="5">
        <f>VLOOKUP($A124,tropes!$A$4:$O$2428,4,FALSE)</f>
        <v>0</v>
      </c>
      <c r="E124" s="5" t="str">
        <f>VLOOKUP($A124,tropes!$A$4:$O$2428,5,FALSE)</f>
        <v>Uhura</v>
      </c>
      <c r="F124" s="5" t="str">
        <f>VLOOKUP($A124,tropes!$A$4:$O$2428,6,FALSE)</f>
        <v>uhura</v>
      </c>
      <c r="G124" s="5">
        <f>VLOOKUP($A124,tropes!$A$4:$O$2428,7,FALSE)</f>
        <v>1</v>
      </c>
      <c r="H124" s="5">
        <f>VLOOKUP($A124,tropes!$A$4:$O$2428,8,FALSE)</f>
        <v>0</v>
      </c>
      <c r="I124" s="5">
        <f>VLOOKUP($A124,tropes!$A$4:$O$2428,9,FALSE)</f>
        <v>204</v>
      </c>
      <c r="J124" s="5">
        <f>VLOOKUP($A124,tropes!$A$4:$O$2428,10,FALSE)</f>
        <v>34</v>
      </c>
      <c r="K124" s="5" t="str">
        <f>VLOOKUP($A124,tropes!$A$4:$O$2428,11,FALSE)</f>
        <v>Mirror, Mirror</v>
      </c>
      <c r="L124" s="5">
        <f>VLOOKUP($A124,tropes!$A$4:$O$2428,12,FALSE)</f>
        <v>2</v>
      </c>
      <c r="M124" s="5">
        <f>VLOOKUP($A124,tropes!$A$4:$O$2428,13,FALSE)</f>
        <v>4</v>
      </c>
      <c r="N124" s="5">
        <f t="shared" si="1"/>
        <v>3</v>
      </c>
    </row>
    <row r="125" spans="1:14" x14ac:dyDescent="0.3">
      <c r="A125" s="14">
        <v>360</v>
      </c>
      <c r="B125" s="5" t="str">
        <f>VLOOKUP($A125,tropes!$A$4:$O$2428,2,FALSE)</f>
        <v>Landing Party</v>
      </c>
      <c r="C125" s="5" t="str">
        <f>VLOOKUP($A125,tropes!$A$4:$O$2428,3,FALSE)</f>
        <v>landing_party</v>
      </c>
      <c r="D125" s="5" t="str">
        <f>VLOOKUP($A125,tropes!$A$4:$O$2428,4,FALSE)</f>
        <v>death</v>
      </c>
      <c r="E125" s="5" t="str">
        <f>VLOOKUP($A125,tropes!$A$4:$O$2428,5,FALSE)</f>
        <v>Ensign Marple (killed by villagers who were taught to bash intruders in the head with a bone.)</v>
      </c>
      <c r="F125" s="5" t="str">
        <f>VLOOKUP($A125,tropes!$A$4:$O$2428,6,FALSE)</f>
        <v>human</v>
      </c>
      <c r="G125" s="5">
        <f>VLOOKUP($A125,tropes!$A$4:$O$2428,7,FALSE)</f>
        <v>0</v>
      </c>
      <c r="H125" s="5">
        <f>VLOOKUP($A125,tropes!$A$4:$O$2428,8,FALSE)</f>
        <v>0</v>
      </c>
      <c r="I125" s="5">
        <f>VLOOKUP($A125,tropes!$A$4:$O$2428,9,FALSE)</f>
        <v>205</v>
      </c>
      <c r="J125" s="5">
        <f>VLOOKUP($A125,tropes!$A$4:$O$2428,10,FALSE)</f>
        <v>35</v>
      </c>
      <c r="K125" s="5" t="str">
        <f>VLOOKUP($A125,tropes!$A$4:$O$2428,11,FALSE)</f>
        <v>The Apple</v>
      </c>
      <c r="L125" s="5">
        <f>VLOOKUP($A125,tropes!$A$4:$O$2428,12,FALSE)</f>
        <v>2</v>
      </c>
      <c r="M125" s="5">
        <f>VLOOKUP($A125,tropes!$A$4:$O$2428,13,FALSE)</f>
        <v>5</v>
      </c>
      <c r="N125" s="5">
        <f t="shared" si="1"/>
        <v>0</v>
      </c>
    </row>
    <row r="126" spans="1:14" x14ac:dyDescent="0.3">
      <c r="A126" s="14">
        <v>361</v>
      </c>
      <c r="B126" s="5" t="str">
        <f>VLOOKUP($A126,tropes!$A$4:$O$2428,2,FALSE)</f>
        <v>Landing Party</v>
      </c>
      <c r="C126" s="5" t="str">
        <f>VLOOKUP($A126,tropes!$A$4:$O$2428,3,FALSE)</f>
        <v>landing_party</v>
      </c>
      <c r="D126" s="5" t="str">
        <f>VLOOKUP($A126,tropes!$A$4:$O$2428,4,FALSE)</f>
        <v>death</v>
      </c>
      <c r="E126" s="5" t="str">
        <f>VLOOKUP($A126,tropes!$A$4:$O$2428,5,FALSE)</f>
        <v>Lt. Hendorf (killed by thorns of deadly plant.)</v>
      </c>
      <c r="F126" s="5" t="str">
        <f>VLOOKUP($A126,tropes!$A$4:$O$2428,6,FALSE)</f>
        <v>redshirt</v>
      </c>
      <c r="G126" s="5">
        <f>VLOOKUP($A126,tropes!$A$4:$O$2428,7,FALSE)</f>
        <v>0</v>
      </c>
      <c r="H126" s="5">
        <f>VLOOKUP($A126,tropes!$A$4:$O$2428,8,FALSE)</f>
        <v>0</v>
      </c>
      <c r="I126" s="5">
        <f>VLOOKUP($A126,tropes!$A$4:$O$2428,9,FALSE)</f>
        <v>205</v>
      </c>
      <c r="J126" s="5">
        <f>VLOOKUP($A126,tropes!$A$4:$O$2428,10,FALSE)</f>
        <v>35</v>
      </c>
      <c r="K126" s="5" t="str">
        <f>VLOOKUP($A126,tropes!$A$4:$O$2428,11,FALSE)</f>
        <v>The Apple</v>
      </c>
      <c r="L126" s="5">
        <f>VLOOKUP($A126,tropes!$A$4:$O$2428,12,FALSE)</f>
        <v>2</v>
      </c>
      <c r="M126" s="5">
        <f>VLOOKUP($A126,tropes!$A$4:$O$2428,13,FALSE)</f>
        <v>5</v>
      </c>
      <c r="N126" s="5">
        <f t="shared" si="1"/>
        <v>1</v>
      </c>
    </row>
    <row r="127" spans="1:14" x14ac:dyDescent="0.3">
      <c r="A127" s="14">
        <v>362</v>
      </c>
      <c r="B127" s="5" t="str">
        <f>VLOOKUP($A127,tropes!$A$4:$O$2428,2,FALSE)</f>
        <v>Landing Party</v>
      </c>
      <c r="C127" s="5" t="str">
        <f>VLOOKUP($A127,tropes!$A$4:$O$2428,3,FALSE)</f>
        <v>landing_party</v>
      </c>
      <c r="D127" s="5" t="str">
        <f>VLOOKUP($A127,tropes!$A$4:$O$2428,4,FALSE)</f>
        <v>death</v>
      </c>
      <c r="E127" s="5" t="str">
        <f>VLOOKUP($A127,tropes!$A$4:$O$2428,5,FALSE)</f>
        <v>Lt. Kaplan (killed by lightning bolt created by Vaal.)</v>
      </c>
      <c r="F127" s="5" t="str">
        <f>VLOOKUP($A127,tropes!$A$4:$O$2428,6,FALSE)</f>
        <v>redshirt</v>
      </c>
      <c r="G127" s="5">
        <f>VLOOKUP($A127,tropes!$A$4:$O$2428,7,FALSE)</f>
        <v>0</v>
      </c>
      <c r="H127" s="5">
        <f>VLOOKUP($A127,tropes!$A$4:$O$2428,8,FALSE)</f>
        <v>0</v>
      </c>
      <c r="I127" s="5">
        <f>VLOOKUP($A127,tropes!$A$4:$O$2428,9,FALSE)</f>
        <v>205</v>
      </c>
      <c r="J127" s="5">
        <f>VLOOKUP($A127,tropes!$A$4:$O$2428,10,FALSE)</f>
        <v>35</v>
      </c>
      <c r="K127" s="5" t="str">
        <f>VLOOKUP($A127,tropes!$A$4:$O$2428,11,FALSE)</f>
        <v>The Apple</v>
      </c>
      <c r="L127" s="5">
        <f>VLOOKUP($A127,tropes!$A$4:$O$2428,12,FALSE)</f>
        <v>2</v>
      </c>
      <c r="M127" s="5">
        <f>VLOOKUP($A127,tropes!$A$4:$O$2428,13,FALSE)</f>
        <v>5</v>
      </c>
      <c r="N127" s="5">
        <f t="shared" si="1"/>
        <v>2</v>
      </c>
    </row>
    <row r="128" spans="1:14" x14ac:dyDescent="0.3">
      <c r="A128" s="14">
        <v>363</v>
      </c>
      <c r="B128" s="5" t="str">
        <f>VLOOKUP($A128,tropes!$A$4:$O$2428,2,FALSE)</f>
        <v>Landing Party</v>
      </c>
      <c r="C128" s="5" t="str">
        <f>VLOOKUP($A128,tropes!$A$4:$O$2428,3,FALSE)</f>
        <v>landing_party</v>
      </c>
      <c r="D128" s="5" t="str">
        <f>VLOOKUP($A128,tropes!$A$4:$O$2428,4,FALSE)</f>
        <v>death</v>
      </c>
      <c r="E128" s="5" t="str">
        <f>VLOOKUP($A128,tropes!$A$4:$O$2428,5,FALSE)</f>
        <v>Lt. Mallory (stepped on rock which exploded and killed him.)</v>
      </c>
      <c r="F128" s="5" t="str">
        <f>VLOOKUP($A128,tropes!$A$4:$O$2428,6,FALSE)</f>
        <v>redshirt</v>
      </c>
      <c r="G128" s="5">
        <f>VLOOKUP($A128,tropes!$A$4:$O$2428,7,FALSE)</f>
        <v>0</v>
      </c>
      <c r="H128" s="5">
        <f>VLOOKUP($A128,tropes!$A$4:$O$2428,8,FALSE)</f>
        <v>0</v>
      </c>
      <c r="I128" s="5">
        <f>VLOOKUP($A128,tropes!$A$4:$O$2428,9,FALSE)</f>
        <v>205</v>
      </c>
      <c r="J128" s="5">
        <f>VLOOKUP($A128,tropes!$A$4:$O$2428,10,FALSE)</f>
        <v>35</v>
      </c>
      <c r="K128" s="5" t="str">
        <f>VLOOKUP($A128,tropes!$A$4:$O$2428,11,FALSE)</f>
        <v>The Apple</v>
      </c>
      <c r="L128" s="5">
        <f>VLOOKUP($A128,tropes!$A$4:$O$2428,12,FALSE)</f>
        <v>2</v>
      </c>
      <c r="M128" s="5">
        <f>VLOOKUP($A128,tropes!$A$4:$O$2428,13,FALSE)</f>
        <v>5</v>
      </c>
      <c r="N128" s="5">
        <f t="shared" si="1"/>
        <v>3</v>
      </c>
    </row>
    <row r="129" spans="1:14" x14ac:dyDescent="0.3">
      <c r="A129" s="14">
        <v>143</v>
      </c>
      <c r="B129" s="5" t="str">
        <f>VLOOKUP($A129,tropes!$A$4:$O$2428,2,FALSE)</f>
        <v>Landing Party</v>
      </c>
      <c r="C129" s="5" t="str">
        <f>VLOOKUP($A129,tropes!$A$4:$O$2428,3,FALSE)</f>
        <v>landing_party</v>
      </c>
      <c r="D129" s="5">
        <f>VLOOKUP($A129,tropes!$A$4:$O$2428,4,FALSE)</f>
        <v>0</v>
      </c>
      <c r="E129" s="5" t="str">
        <f>VLOOKUP($A129,tropes!$A$4:$O$2428,5,FALSE)</f>
        <v>Chekov</v>
      </c>
      <c r="F129" s="5" t="str">
        <f>VLOOKUP($A129,tropes!$A$4:$O$2428,6,FALSE)</f>
        <v>chekov</v>
      </c>
      <c r="G129" s="5">
        <f>VLOOKUP($A129,tropes!$A$4:$O$2428,7,FALSE)</f>
        <v>0</v>
      </c>
      <c r="H129" s="5">
        <f>VLOOKUP($A129,tropes!$A$4:$O$2428,8,FALSE)</f>
        <v>2</v>
      </c>
      <c r="I129" s="5">
        <f>VLOOKUP($A129,tropes!$A$4:$O$2428,9,FALSE)</f>
        <v>205</v>
      </c>
      <c r="J129" s="5">
        <f>VLOOKUP($A129,tropes!$A$4:$O$2428,10,FALSE)</f>
        <v>35</v>
      </c>
      <c r="K129" s="5" t="str">
        <f>VLOOKUP($A129,tropes!$A$4:$O$2428,11,FALSE)</f>
        <v>The Apple</v>
      </c>
      <c r="L129" s="5">
        <f>VLOOKUP($A129,tropes!$A$4:$O$2428,12,FALSE)</f>
        <v>2</v>
      </c>
      <c r="M129" s="5">
        <f>VLOOKUP($A129,tropes!$A$4:$O$2428,13,FALSE)</f>
        <v>5</v>
      </c>
      <c r="N129" s="5">
        <f t="shared" si="1"/>
        <v>4</v>
      </c>
    </row>
    <row r="130" spans="1:14" x14ac:dyDescent="0.3">
      <c r="A130" s="14">
        <v>929</v>
      </c>
      <c r="B130" s="5" t="str">
        <f>VLOOKUP($A130,tropes!$A$4:$O$2428,2,FALSE)</f>
        <v>Landing Party</v>
      </c>
      <c r="C130" s="5" t="str">
        <f>VLOOKUP($A130,tropes!$A$4:$O$2428,3,FALSE)</f>
        <v>landing_party</v>
      </c>
      <c r="D130" s="5">
        <f>VLOOKUP($A130,tropes!$A$4:$O$2428,4,FALSE)</f>
        <v>0</v>
      </c>
      <c r="E130" s="5" t="str">
        <f>VLOOKUP($A130,tropes!$A$4:$O$2428,5,FALSE)</f>
        <v>Kirk</v>
      </c>
      <c r="F130" s="5" t="str">
        <f>VLOOKUP($A130,tropes!$A$4:$O$2428,6,FALSE)</f>
        <v>kirk</v>
      </c>
      <c r="G130" s="5">
        <f>VLOOKUP($A130,tropes!$A$4:$O$2428,7,FALSE)</f>
        <v>1</v>
      </c>
      <c r="H130" s="5">
        <f>VLOOKUP($A130,tropes!$A$4:$O$2428,8,FALSE)</f>
        <v>0</v>
      </c>
      <c r="I130" s="5">
        <f>VLOOKUP($A130,tropes!$A$4:$O$2428,9,FALSE)</f>
        <v>205</v>
      </c>
      <c r="J130" s="5">
        <f>VLOOKUP($A130,tropes!$A$4:$O$2428,10,FALSE)</f>
        <v>35</v>
      </c>
      <c r="K130" s="5" t="str">
        <f>VLOOKUP($A130,tropes!$A$4:$O$2428,11,FALSE)</f>
        <v>The Apple</v>
      </c>
      <c r="L130" s="5">
        <f>VLOOKUP($A130,tropes!$A$4:$O$2428,12,FALSE)</f>
        <v>2</v>
      </c>
      <c r="M130" s="5">
        <f>VLOOKUP($A130,tropes!$A$4:$O$2428,13,FALSE)</f>
        <v>5</v>
      </c>
      <c r="N130" s="5">
        <f t="shared" si="1"/>
        <v>5</v>
      </c>
    </row>
    <row r="131" spans="1:14" x14ac:dyDescent="0.3">
      <c r="A131" s="14">
        <v>1647</v>
      </c>
      <c r="B131" s="5" t="str">
        <f>VLOOKUP($A131,tropes!$A$4:$O$2428,2,FALSE)</f>
        <v>Landing Party</v>
      </c>
      <c r="C131" s="5" t="str">
        <f>VLOOKUP($A131,tropes!$A$4:$O$2428,3,FALSE)</f>
        <v>landing_party</v>
      </c>
      <c r="D131" s="5">
        <f>VLOOKUP($A131,tropes!$A$4:$O$2428,4,FALSE)</f>
        <v>0</v>
      </c>
      <c r="E131" s="5" t="str">
        <f>VLOOKUP($A131,tropes!$A$4:$O$2428,5,FALSE)</f>
        <v>McCoy</v>
      </c>
      <c r="F131" s="5" t="str">
        <f>VLOOKUP($A131,tropes!$A$4:$O$2428,6,FALSE)</f>
        <v>mccoy</v>
      </c>
      <c r="G131" s="5">
        <f>VLOOKUP($A131,tropes!$A$4:$O$2428,7,FALSE)</f>
        <v>0</v>
      </c>
      <c r="H131" s="5">
        <f>VLOOKUP($A131,tropes!$A$4:$O$2428,8,FALSE)</f>
        <v>1</v>
      </c>
      <c r="I131" s="5">
        <f>VLOOKUP($A131,tropes!$A$4:$O$2428,9,FALSE)</f>
        <v>205</v>
      </c>
      <c r="J131" s="5">
        <f>VLOOKUP($A131,tropes!$A$4:$O$2428,10,FALSE)</f>
        <v>35</v>
      </c>
      <c r="K131" s="5" t="str">
        <f>VLOOKUP($A131,tropes!$A$4:$O$2428,11,FALSE)</f>
        <v>The Apple</v>
      </c>
      <c r="L131" s="5">
        <f>VLOOKUP($A131,tropes!$A$4:$O$2428,12,FALSE)</f>
        <v>2</v>
      </c>
      <c r="M131" s="5">
        <f>VLOOKUP($A131,tropes!$A$4:$O$2428,13,FALSE)</f>
        <v>5</v>
      </c>
      <c r="N131" s="5">
        <f t="shared" si="1"/>
        <v>6</v>
      </c>
    </row>
    <row r="132" spans="1:14" x14ac:dyDescent="0.3">
      <c r="A132" s="14">
        <v>2253</v>
      </c>
      <c r="B132" s="5" t="str">
        <f>VLOOKUP($A132,tropes!$A$4:$O$2428,2,FALSE)</f>
        <v>Landing Party</v>
      </c>
      <c r="C132" s="5" t="str">
        <f>VLOOKUP($A132,tropes!$A$4:$O$2428,3,FALSE)</f>
        <v>landing_party</v>
      </c>
      <c r="D132" s="5">
        <f>VLOOKUP($A132,tropes!$A$4:$O$2428,4,FALSE)</f>
        <v>0</v>
      </c>
      <c r="E132" s="5" t="str">
        <f>VLOOKUP($A132,tropes!$A$4:$O$2428,5,FALSE)</f>
        <v>Spock</v>
      </c>
      <c r="F132" s="5" t="str">
        <f>VLOOKUP($A132,tropes!$A$4:$O$2428,6,FALSE)</f>
        <v>spock</v>
      </c>
      <c r="G132" s="5">
        <f>VLOOKUP($A132,tropes!$A$4:$O$2428,7,FALSE)</f>
        <v>1</v>
      </c>
      <c r="H132" s="5">
        <f>VLOOKUP($A132,tropes!$A$4:$O$2428,8,FALSE)</f>
        <v>0</v>
      </c>
      <c r="I132" s="5">
        <f>VLOOKUP($A132,tropes!$A$4:$O$2428,9,FALSE)</f>
        <v>205</v>
      </c>
      <c r="J132" s="5">
        <f>VLOOKUP($A132,tropes!$A$4:$O$2428,10,FALSE)</f>
        <v>35</v>
      </c>
      <c r="K132" s="5" t="str">
        <f>VLOOKUP($A132,tropes!$A$4:$O$2428,11,FALSE)</f>
        <v>The Apple</v>
      </c>
      <c r="L132" s="5">
        <f>VLOOKUP($A132,tropes!$A$4:$O$2428,12,FALSE)</f>
        <v>2</v>
      </c>
      <c r="M132" s="5">
        <f>VLOOKUP($A132,tropes!$A$4:$O$2428,13,FALSE)</f>
        <v>5</v>
      </c>
      <c r="N132" s="5">
        <f t="shared" ref="N132:N160" si="2">IF(I132&lt;&gt;I131,0,N131+1)</f>
        <v>7</v>
      </c>
    </row>
    <row r="133" spans="1:14" x14ac:dyDescent="0.3">
      <c r="A133" s="14">
        <v>183</v>
      </c>
      <c r="B133" s="5" t="str">
        <f>VLOOKUP($A133,tropes!$A$4:$O$2428,2,FALSE)</f>
        <v>Landing Party</v>
      </c>
      <c r="C133" s="5" t="str">
        <f>VLOOKUP($A133,tropes!$A$4:$O$2428,3,FALSE)</f>
        <v>landing_party</v>
      </c>
      <c r="D133" s="5" t="str">
        <f>VLOOKUP($A133,tropes!$A$4:$O$2428,4,FALSE)</f>
        <v>death</v>
      </c>
      <c r="E133" s="5" t="str">
        <f>VLOOKUP($A133,tropes!$A$4:$O$2428,5,FALSE)</f>
        <v>Entire crew of Constellation transported to third planet that was destroyed by the Doomsday Machine.</v>
      </c>
      <c r="F133" s="5" t="str">
        <f>VLOOKUP($A133,tropes!$A$4:$O$2428,6,FALSE)</f>
        <v>crew</v>
      </c>
      <c r="G133" s="5">
        <f>VLOOKUP($A133,tropes!$A$4:$O$2428,7,FALSE)</f>
        <v>0</v>
      </c>
      <c r="H133" s="5">
        <f>VLOOKUP($A133,tropes!$A$4:$O$2428,8,FALSE)</f>
        <v>0</v>
      </c>
      <c r="I133" s="5">
        <f>VLOOKUP($A133,tropes!$A$4:$O$2428,9,FALSE)</f>
        <v>206</v>
      </c>
      <c r="J133" s="5">
        <f>VLOOKUP($A133,tropes!$A$4:$O$2428,10,FALSE)</f>
        <v>36</v>
      </c>
      <c r="K133" s="5" t="str">
        <f>VLOOKUP($A133,tropes!$A$4:$O$2428,11,FALSE)</f>
        <v>The Doomsday Machine</v>
      </c>
      <c r="L133" s="5">
        <f>VLOOKUP($A133,tropes!$A$4:$O$2428,12,FALSE)</f>
        <v>2</v>
      </c>
      <c r="M133" s="5">
        <f>VLOOKUP($A133,tropes!$A$4:$O$2428,13,FALSE)</f>
        <v>6</v>
      </c>
      <c r="N133" s="5">
        <f t="shared" si="2"/>
        <v>0</v>
      </c>
    </row>
    <row r="134" spans="1:14" x14ac:dyDescent="0.3">
      <c r="A134" s="14">
        <v>368</v>
      </c>
      <c r="B134" s="5" t="str">
        <f>VLOOKUP($A134,tropes!$A$4:$O$2428,2,FALSE)</f>
        <v>Landing Party</v>
      </c>
      <c r="C134" s="5" t="str">
        <f>VLOOKUP($A134,tropes!$A$4:$O$2428,3,FALSE)</f>
        <v>landing_party</v>
      </c>
      <c r="D134" s="5">
        <f>VLOOKUP($A134,tropes!$A$4:$O$2428,4,FALSE)</f>
        <v>0</v>
      </c>
      <c r="E134" s="5" t="str">
        <f>VLOOKUP($A134,tropes!$A$4:$O$2428,5,FALSE)</f>
        <v>Goldshirt</v>
      </c>
      <c r="F134" s="5" t="str">
        <f>VLOOKUP($A134,tropes!$A$4:$O$2428,6,FALSE)</f>
        <v>human</v>
      </c>
      <c r="G134" s="5">
        <f>VLOOKUP($A134,tropes!$A$4:$O$2428,7,FALSE)</f>
        <v>0</v>
      </c>
      <c r="H134" s="5">
        <f>VLOOKUP($A134,tropes!$A$4:$O$2428,8,FALSE)</f>
        <v>0</v>
      </c>
      <c r="I134" s="5">
        <f>VLOOKUP($A134,tropes!$A$4:$O$2428,9,FALSE)</f>
        <v>206</v>
      </c>
      <c r="J134" s="5">
        <f>VLOOKUP($A134,tropes!$A$4:$O$2428,10,FALSE)</f>
        <v>36</v>
      </c>
      <c r="K134" s="5" t="str">
        <f>VLOOKUP($A134,tropes!$A$4:$O$2428,11,FALSE)</f>
        <v>The Doomsday Machine</v>
      </c>
      <c r="L134" s="5">
        <f>VLOOKUP($A134,tropes!$A$4:$O$2428,12,FALSE)</f>
        <v>2</v>
      </c>
      <c r="M134" s="5">
        <f>VLOOKUP($A134,tropes!$A$4:$O$2428,13,FALSE)</f>
        <v>6</v>
      </c>
      <c r="N134" s="5">
        <f t="shared" si="2"/>
        <v>1</v>
      </c>
    </row>
    <row r="135" spans="1:14" x14ac:dyDescent="0.3">
      <c r="A135" s="14">
        <v>369</v>
      </c>
      <c r="B135" s="5" t="str">
        <f>VLOOKUP($A135,tropes!$A$4:$O$2428,2,FALSE)</f>
        <v>Landing Party</v>
      </c>
      <c r="C135" s="5" t="str">
        <f>VLOOKUP($A135,tropes!$A$4:$O$2428,3,FALSE)</f>
        <v>landing_party</v>
      </c>
      <c r="D135" s="5">
        <f>VLOOKUP($A135,tropes!$A$4:$O$2428,4,FALSE)</f>
        <v>0</v>
      </c>
      <c r="E135" s="5" t="str">
        <f>VLOOKUP($A135,tropes!$A$4:$O$2428,5,FALSE)</f>
        <v>Goldshirt.</v>
      </c>
      <c r="F135" s="5" t="str">
        <f>VLOOKUP($A135,tropes!$A$4:$O$2428,6,FALSE)</f>
        <v>human</v>
      </c>
      <c r="G135" s="5">
        <f>VLOOKUP($A135,tropes!$A$4:$O$2428,7,FALSE)</f>
        <v>0</v>
      </c>
      <c r="H135" s="5">
        <f>VLOOKUP($A135,tropes!$A$4:$O$2428,8,FALSE)</f>
        <v>0</v>
      </c>
      <c r="I135" s="5">
        <f>VLOOKUP($A135,tropes!$A$4:$O$2428,9,FALSE)</f>
        <v>206</v>
      </c>
      <c r="J135" s="5">
        <f>VLOOKUP($A135,tropes!$A$4:$O$2428,10,FALSE)</f>
        <v>36</v>
      </c>
      <c r="K135" s="5" t="str">
        <f>VLOOKUP($A135,tropes!$A$4:$O$2428,11,FALSE)</f>
        <v>The Doomsday Machine</v>
      </c>
      <c r="L135" s="5">
        <f>VLOOKUP($A135,tropes!$A$4:$O$2428,12,FALSE)</f>
        <v>2</v>
      </c>
      <c r="M135" s="5">
        <f>VLOOKUP($A135,tropes!$A$4:$O$2428,13,FALSE)</f>
        <v>6</v>
      </c>
      <c r="N135" s="5">
        <f t="shared" si="2"/>
        <v>2</v>
      </c>
    </row>
    <row r="136" spans="1:14" x14ac:dyDescent="0.3">
      <c r="A136" s="14">
        <v>950</v>
      </c>
      <c r="B136" s="5" t="str">
        <f>VLOOKUP($A136,tropes!$A$4:$O$2428,2,FALSE)</f>
        <v>Landing Party</v>
      </c>
      <c r="C136" s="5" t="str">
        <f>VLOOKUP($A136,tropes!$A$4:$O$2428,3,FALSE)</f>
        <v>landing_party</v>
      </c>
      <c r="D136" s="5">
        <f>VLOOKUP($A136,tropes!$A$4:$O$2428,4,FALSE)</f>
        <v>0</v>
      </c>
      <c r="E136" s="5" t="str">
        <f>VLOOKUP($A136,tropes!$A$4:$O$2428,5,FALSE)</f>
        <v>Kirk</v>
      </c>
      <c r="F136" s="5" t="str">
        <f>VLOOKUP($A136,tropes!$A$4:$O$2428,6,FALSE)</f>
        <v>kirk</v>
      </c>
      <c r="G136" s="5">
        <f>VLOOKUP($A136,tropes!$A$4:$O$2428,7,FALSE)</f>
        <v>1</v>
      </c>
      <c r="H136" s="5">
        <f>VLOOKUP($A136,tropes!$A$4:$O$2428,8,FALSE)</f>
        <v>0</v>
      </c>
      <c r="I136" s="5">
        <f>VLOOKUP($A136,tropes!$A$4:$O$2428,9,FALSE)</f>
        <v>206</v>
      </c>
      <c r="J136" s="5">
        <f>VLOOKUP($A136,tropes!$A$4:$O$2428,10,FALSE)</f>
        <v>36</v>
      </c>
      <c r="K136" s="5" t="str">
        <f>VLOOKUP($A136,tropes!$A$4:$O$2428,11,FALSE)</f>
        <v>The Doomsday Machine</v>
      </c>
      <c r="L136" s="5">
        <f>VLOOKUP($A136,tropes!$A$4:$O$2428,12,FALSE)</f>
        <v>2</v>
      </c>
      <c r="M136" s="5">
        <f>VLOOKUP($A136,tropes!$A$4:$O$2428,13,FALSE)</f>
        <v>6</v>
      </c>
      <c r="N136" s="5">
        <f t="shared" si="2"/>
        <v>3</v>
      </c>
    </row>
    <row r="137" spans="1:14" x14ac:dyDescent="0.3">
      <c r="A137" s="14">
        <v>370</v>
      </c>
      <c r="B137" s="5" t="str">
        <f>VLOOKUP($A137,tropes!$A$4:$O$2428,2,FALSE)</f>
        <v>Landing Party</v>
      </c>
      <c r="C137" s="5" t="str">
        <f>VLOOKUP($A137,tropes!$A$4:$O$2428,3,FALSE)</f>
        <v>landing_party</v>
      </c>
      <c r="D137" s="5">
        <f>VLOOKUP($A137,tropes!$A$4:$O$2428,4,FALSE)</f>
        <v>0</v>
      </c>
      <c r="E137" s="5" t="str">
        <f>VLOOKUP($A137,tropes!$A$4:$O$2428,5,FALSE)</f>
        <v>Lt. Washburn</v>
      </c>
      <c r="F137" s="5" t="str">
        <f>VLOOKUP($A137,tropes!$A$4:$O$2428,6,FALSE)</f>
        <v>blueshirt</v>
      </c>
      <c r="G137" s="5">
        <f>VLOOKUP($A137,tropes!$A$4:$O$2428,7,FALSE)</f>
        <v>0</v>
      </c>
      <c r="H137" s="5">
        <f>VLOOKUP($A137,tropes!$A$4:$O$2428,8,FALSE)</f>
        <v>0</v>
      </c>
      <c r="I137" s="5">
        <f>VLOOKUP($A137,tropes!$A$4:$O$2428,9,FALSE)</f>
        <v>206</v>
      </c>
      <c r="J137" s="5">
        <f>VLOOKUP($A137,tropes!$A$4:$O$2428,10,FALSE)</f>
        <v>36</v>
      </c>
      <c r="K137" s="5" t="str">
        <f>VLOOKUP($A137,tropes!$A$4:$O$2428,11,FALSE)</f>
        <v>The Doomsday Machine</v>
      </c>
      <c r="L137" s="5">
        <f>VLOOKUP($A137,tropes!$A$4:$O$2428,12,FALSE)</f>
        <v>2</v>
      </c>
      <c r="M137" s="5">
        <f>VLOOKUP($A137,tropes!$A$4:$O$2428,13,FALSE)</f>
        <v>6</v>
      </c>
      <c r="N137" s="5">
        <f t="shared" si="2"/>
        <v>4</v>
      </c>
    </row>
    <row r="138" spans="1:14" x14ac:dyDescent="0.3">
      <c r="A138" s="14">
        <v>1650</v>
      </c>
      <c r="B138" s="5" t="str">
        <f>VLOOKUP($A138,tropes!$A$4:$O$2428,2,FALSE)</f>
        <v>Landing Party</v>
      </c>
      <c r="C138" s="5" t="str">
        <f>VLOOKUP($A138,tropes!$A$4:$O$2428,3,FALSE)</f>
        <v>landing_party</v>
      </c>
      <c r="D138" s="5">
        <f>VLOOKUP($A138,tropes!$A$4:$O$2428,4,FALSE)</f>
        <v>0</v>
      </c>
      <c r="E138" s="5" t="str">
        <f>VLOOKUP($A138,tropes!$A$4:$O$2428,5,FALSE)</f>
        <v>McCoy</v>
      </c>
      <c r="F138" s="5" t="str">
        <f>VLOOKUP($A138,tropes!$A$4:$O$2428,6,FALSE)</f>
        <v>mccoy</v>
      </c>
      <c r="G138" s="5">
        <f>VLOOKUP($A138,tropes!$A$4:$O$2428,7,FALSE)</f>
        <v>0</v>
      </c>
      <c r="H138" s="5">
        <f>VLOOKUP($A138,tropes!$A$4:$O$2428,8,FALSE)</f>
        <v>1</v>
      </c>
      <c r="I138" s="5">
        <f>VLOOKUP($A138,tropes!$A$4:$O$2428,9,FALSE)</f>
        <v>206</v>
      </c>
      <c r="J138" s="5">
        <f>VLOOKUP($A138,tropes!$A$4:$O$2428,10,FALSE)</f>
        <v>36</v>
      </c>
      <c r="K138" s="5" t="str">
        <f>VLOOKUP($A138,tropes!$A$4:$O$2428,11,FALSE)</f>
        <v>The Doomsday Machine</v>
      </c>
      <c r="L138" s="5">
        <f>VLOOKUP($A138,tropes!$A$4:$O$2428,12,FALSE)</f>
        <v>2</v>
      </c>
      <c r="M138" s="5">
        <f>VLOOKUP($A138,tropes!$A$4:$O$2428,13,FALSE)</f>
        <v>6</v>
      </c>
      <c r="N138" s="5">
        <f t="shared" si="2"/>
        <v>5</v>
      </c>
    </row>
    <row r="139" spans="1:14" x14ac:dyDescent="0.3">
      <c r="A139" s="14">
        <v>1994</v>
      </c>
      <c r="B139" s="5" t="str">
        <f>VLOOKUP($A139,tropes!$A$4:$O$2428,2,FALSE)</f>
        <v>Landing Party</v>
      </c>
      <c r="C139" s="5" t="str">
        <f>VLOOKUP($A139,tropes!$A$4:$O$2428,3,FALSE)</f>
        <v>landing_party</v>
      </c>
      <c r="D139" s="5">
        <f>VLOOKUP($A139,tropes!$A$4:$O$2428,4,FALSE)</f>
        <v>0</v>
      </c>
      <c r="E139" s="5" t="str">
        <f>VLOOKUP($A139,tropes!$A$4:$O$2428,5,FALSE)</f>
        <v>Scotty</v>
      </c>
      <c r="F139" s="5" t="str">
        <f>VLOOKUP($A139,tropes!$A$4:$O$2428,6,FALSE)</f>
        <v>scotty</v>
      </c>
      <c r="G139" s="5">
        <f>VLOOKUP($A139,tropes!$A$4:$O$2428,7,FALSE)</f>
        <v>0</v>
      </c>
      <c r="H139" s="5">
        <f>VLOOKUP($A139,tropes!$A$4:$O$2428,8,FALSE)</f>
        <v>1</v>
      </c>
      <c r="I139" s="5">
        <f>VLOOKUP($A139,tropes!$A$4:$O$2428,9,FALSE)</f>
        <v>206</v>
      </c>
      <c r="J139" s="5">
        <f>VLOOKUP($A139,tropes!$A$4:$O$2428,10,FALSE)</f>
        <v>36</v>
      </c>
      <c r="K139" s="5" t="str">
        <f>VLOOKUP($A139,tropes!$A$4:$O$2428,11,FALSE)</f>
        <v>The Doomsday Machine</v>
      </c>
      <c r="L139" s="5">
        <f>VLOOKUP($A139,tropes!$A$4:$O$2428,12,FALSE)</f>
        <v>2</v>
      </c>
      <c r="M139" s="5">
        <f>VLOOKUP($A139,tropes!$A$4:$O$2428,13,FALSE)</f>
        <v>6</v>
      </c>
      <c r="N139" s="5">
        <f t="shared" si="2"/>
        <v>6</v>
      </c>
    </row>
    <row r="140" spans="1:14" x14ac:dyDescent="0.3">
      <c r="A140" s="14">
        <v>234</v>
      </c>
      <c r="B140" s="5" t="str">
        <f>VLOOKUP($A140,tropes!$A$4:$O$2428,2,FALSE)</f>
        <v>Landing Party</v>
      </c>
      <c r="C140" s="5" t="str">
        <f>VLOOKUP($A140,tropes!$A$4:$O$2428,3,FALSE)</f>
        <v>landing_party</v>
      </c>
      <c r="D140" s="5" t="str">
        <f>VLOOKUP($A140,tropes!$A$4:$O$2428,4,FALSE)</f>
        <v>death</v>
      </c>
      <c r="E140" s="5" t="str">
        <f>VLOOKUP($A140,tropes!$A$4:$O$2428,5,FALSE)</f>
        <v>Jackson falls over dead after beaming up</v>
      </c>
      <c r="F140" s="5" t="str">
        <f>VLOOKUP($A140,tropes!$A$4:$O$2428,6,FALSE)</f>
        <v>goldshirt</v>
      </c>
      <c r="G140" s="5">
        <f>VLOOKUP($A140,tropes!$A$4:$O$2428,7,FALSE)</f>
        <v>0</v>
      </c>
      <c r="H140" s="5">
        <f>VLOOKUP($A140,tropes!$A$4:$O$2428,8,FALSE)</f>
        <v>0</v>
      </c>
      <c r="I140" s="5">
        <f>VLOOKUP($A140,tropes!$A$4:$O$2428,9,FALSE)</f>
        <v>207</v>
      </c>
      <c r="J140" s="5">
        <f>VLOOKUP($A140,tropes!$A$4:$O$2428,10,FALSE)</f>
        <v>37</v>
      </c>
      <c r="K140" s="5" t="str">
        <f>VLOOKUP($A140,tropes!$A$4:$O$2428,11,FALSE)</f>
        <v>Catspaw</v>
      </c>
      <c r="L140" s="5">
        <f>VLOOKUP($A140,tropes!$A$4:$O$2428,12,FALSE)</f>
        <v>2</v>
      </c>
      <c r="M140" s="5">
        <f>VLOOKUP($A140,tropes!$A$4:$O$2428,13,FALSE)</f>
        <v>7</v>
      </c>
      <c r="N140" s="5">
        <f t="shared" si="2"/>
        <v>0</v>
      </c>
    </row>
    <row r="141" spans="1:14" x14ac:dyDescent="0.3">
      <c r="A141" s="14">
        <v>959</v>
      </c>
      <c r="B141" s="5" t="str">
        <f>VLOOKUP($A141,tropes!$A$4:$O$2428,2,FALSE)</f>
        <v>Landing Party</v>
      </c>
      <c r="C141" s="5" t="str">
        <f>VLOOKUP($A141,tropes!$A$4:$O$2428,3,FALSE)</f>
        <v>landing_party</v>
      </c>
      <c r="D141" s="5">
        <f>VLOOKUP($A141,tropes!$A$4:$O$2428,4,FALSE)</f>
        <v>0</v>
      </c>
      <c r="E141" s="5" t="str">
        <f>VLOOKUP($A141,tropes!$A$4:$O$2428,5,FALSE)</f>
        <v>Kirk</v>
      </c>
      <c r="F141" s="5" t="str">
        <f>VLOOKUP($A141,tropes!$A$4:$O$2428,6,FALSE)</f>
        <v>kirk</v>
      </c>
      <c r="G141" s="5">
        <f>VLOOKUP($A141,tropes!$A$4:$O$2428,7,FALSE)</f>
        <v>1</v>
      </c>
      <c r="H141" s="5">
        <f>VLOOKUP($A141,tropes!$A$4:$O$2428,8,FALSE)</f>
        <v>0</v>
      </c>
      <c r="I141" s="5">
        <f>VLOOKUP($A141,tropes!$A$4:$O$2428,9,FALSE)</f>
        <v>207</v>
      </c>
      <c r="J141" s="5">
        <f>VLOOKUP($A141,tropes!$A$4:$O$2428,10,FALSE)</f>
        <v>37</v>
      </c>
      <c r="K141" s="5" t="str">
        <f>VLOOKUP($A141,tropes!$A$4:$O$2428,11,FALSE)</f>
        <v>Catspaw</v>
      </c>
      <c r="L141" s="5">
        <f>VLOOKUP($A141,tropes!$A$4:$O$2428,12,FALSE)</f>
        <v>2</v>
      </c>
      <c r="M141" s="5">
        <f>VLOOKUP($A141,tropes!$A$4:$O$2428,13,FALSE)</f>
        <v>7</v>
      </c>
      <c r="N141" s="5">
        <f t="shared" si="2"/>
        <v>1</v>
      </c>
    </row>
    <row r="142" spans="1:14" x14ac:dyDescent="0.3">
      <c r="A142" s="14">
        <v>1653</v>
      </c>
      <c r="B142" s="5" t="str">
        <f>VLOOKUP($A142,tropes!$A$4:$O$2428,2,FALSE)</f>
        <v>Landing Party</v>
      </c>
      <c r="C142" s="5" t="str">
        <f>VLOOKUP($A142,tropes!$A$4:$O$2428,3,FALSE)</f>
        <v>landing_party</v>
      </c>
      <c r="D142" s="5">
        <f>VLOOKUP($A142,tropes!$A$4:$O$2428,4,FALSE)</f>
        <v>0</v>
      </c>
      <c r="E142" s="5" t="str">
        <f>VLOOKUP($A142,tropes!$A$4:$O$2428,5,FALSE)</f>
        <v>McCoy</v>
      </c>
      <c r="F142" s="5" t="str">
        <f>VLOOKUP($A142,tropes!$A$4:$O$2428,6,FALSE)</f>
        <v>mccoy</v>
      </c>
      <c r="G142" s="5">
        <f>VLOOKUP($A142,tropes!$A$4:$O$2428,7,FALSE)</f>
        <v>0</v>
      </c>
      <c r="H142" s="5">
        <f>VLOOKUP($A142,tropes!$A$4:$O$2428,8,FALSE)</f>
        <v>1</v>
      </c>
      <c r="I142" s="5">
        <f>VLOOKUP($A142,tropes!$A$4:$O$2428,9,FALSE)</f>
        <v>207</v>
      </c>
      <c r="J142" s="5">
        <f>VLOOKUP($A142,tropes!$A$4:$O$2428,10,FALSE)</f>
        <v>37</v>
      </c>
      <c r="K142" s="5" t="str">
        <f>VLOOKUP($A142,tropes!$A$4:$O$2428,11,FALSE)</f>
        <v>Catspaw</v>
      </c>
      <c r="L142" s="5">
        <f>VLOOKUP($A142,tropes!$A$4:$O$2428,12,FALSE)</f>
        <v>2</v>
      </c>
      <c r="M142" s="5">
        <f>VLOOKUP($A142,tropes!$A$4:$O$2428,13,FALSE)</f>
        <v>7</v>
      </c>
      <c r="N142" s="5">
        <f t="shared" si="2"/>
        <v>2</v>
      </c>
    </row>
    <row r="143" spans="1:14" x14ac:dyDescent="0.3">
      <c r="A143" s="14">
        <v>1996</v>
      </c>
      <c r="B143" s="5" t="str">
        <f>VLOOKUP($A143,tropes!$A$4:$O$2428,2,FALSE)</f>
        <v>Landing Party</v>
      </c>
      <c r="C143" s="5" t="str">
        <f>VLOOKUP($A143,tropes!$A$4:$O$2428,3,FALSE)</f>
        <v>landing_party</v>
      </c>
      <c r="D143" s="5">
        <f>VLOOKUP($A143,tropes!$A$4:$O$2428,4,FALSE)</f>
        <v>0</v>
      </c>
      <c r="E143" s="5" t="str">
        <f>VLOOKUP($A143,tropes!$A$4:$O$2428,5,FALSE)</f>
        <v>Scotty</v>
      </c>
      <c r="F143" s="5" t="str">
        <f>VLOOKUP($A143,tropes!$A$4:$O$2428,6,FALSE)</f>
        <v>scotty</v>
      </c>
      <c r="G143" s="5">
        <f>VLOOKUP($A143,tropes!$A$4:$O$2428,7,FALSE)</f>
        <v>0</v>
      </c>
      <c r="H143" s="5">
        <f>VLOOKUP($A143,tropes!$A$4:$O$2428,8,FALSE)</f>
        <v>1</v>
      </c>
      <c r="I143" s="5">
        <f>VLOOKUP($A143,tropes!$A$4:$O$2428,9,FALSE)</f>
        <v>207</v>
      </c>
      <c r="J143" s="5">
        <f>VLOOKUP($A143,tropes!$A$4:$O$2428,10,FALSE)</f>
        <v>37</v>
      </c>
      <c r="K143" s="5" t="str">
        <f>VLOOKUP($A143,tropes!$A$4:$O$2428,11,FALSE)</f>
        <v>Catspaw</v>
      </c>
      <c r="L143" s="5">
        <f>VLOOKUP($A143,tropes!$A$4:$O$2428,12,FALSE)</f>
        <v>2</v>
      </c>
      <c r="M143" s="5">
        <f>VLOOKUP($A143,tropes!$A$4:$O$2428,13,FALSE)</f>
        <v>7</v>
      </c>
      <c r="N143" s="5">
        <f t="shared" si="2"/>
        <v>3</v>
      </c>
    </row>
    <row r="144" spans="1:14" x14ac:dyDescent="0.3">
      <c r="A144" s="14">
        <v>2264</v>
      </c>
      <c r="B144" s="5" t="str">
        <f>VLOOKUP($A144,tropes!$A$4:$O$2428,2,FALSE)</f>
        <v>Landing Party</v>
      </c>
      <c r="C144" s="5" t="str">
        <f>VLOOKUP($A144,tropes!$A$4:$O$2428,3,FALSE)</f>
        <v>landing_party</v>
      </c>
      <c r="D144" s="5">
        <f>VLOOKUP($A144,tropes!$A$4:$O$2428,4,FALSE)</f>
        <v>0</v>
      </c>
      <c r="E144" s="5" t="str">
        <f>VLOOKUP($A144,tropes!$A$4:$O$2428,5,FALSE)</f>
        <v>Spock</v>
      </c>
      <c r="F144" s="5" t="str">
        <f>VLOOKUP($A144,tropes!$A$4:$O$2428,6,FALSE)</f>
        <v>spock</v>
      </c>
      <c r="G144" s="5">
        <f>VLOOKUP($A144,tropes!$A$4:$O$2428,7,FALSE)</f>
        <v>1</v>
      </c>
      <c r="H144" s="5">
        <f>VLOOKUP($A144,tropes!$A$4:$O$2428,8,FALSE)</f>
        <v>0</v>
      </c>
      <c r="I144" s="5">
        <f>VLOOKUP($A144,tropes!$A$4:$O$2428,9,FALSE)</f>
        <v>207</v>
      </c>
      <c r="J144" s="5">
        <f>VLOOKUP($A144,tropes!$A$4:$O$2428,10,FALSE)</f>
        <v>37</v>
      </c>
      <c r="K144" s="5" t="str">
        <f>VLOOKUP($A144,tropes!$A$4:$O$2428,11,FALSE)</f>
        <v>Catspaw</v>
      </c>
      <c r="L144" s="5">
        <f>VLOOKUP($A144,tropes!$A$4:$O$2428,12,FALSE)</f>
        <v>2</v>
      </c>
      <c r="M144" s="5">
        <f>VLOOKUP($A144,tropes!$A$4:$O$2428,13,FALSE)</f>
        <v>7</v>
      </c>
      <c r="N144" s="5">
        <f t="shared" si="2"/>
        <v>4</v>
      </c>
    </row>
    <row r="145" spans="1:14" x14ac:dyDescent="0.3">
      <c r="A145" s="14">
        <v>2457</v>
      </c>
      <c r="B145" s="5" t="str">
        <f>VLOOKUP($A145,tropes!$A$4:$O$2428,2,FALSE)</f>
        <v>Landing Party</v>
      </c>
      <c r="C145" s="5" t="str">
        <f>VLOOKUP($A145,tropes!$A$4:$O$2428,3,FALSE)</f>
        <v>landing_party</v>
      </c>
      <c r="D145" s="5">
        <f>VLOOKUP($A145,tropes!$A$4:$O$2428,4,FALSE)</f>
        <v>0</v>
      </c>
      <c r="E145" s="5" t="str">
        <f>VLOOKUP($A145,tropes!$A$4:$O$2428,5,FALSE)</f>
        <v>Sulu</v>
      </c>
      <c r="F145" s="5" t="str">
        <f>VLOOKUP($A145,tropes!$A$4:$O$2428,6,FALSE)</f>
        <v>sulu</v>
      </c>
      <c r="G145" s="5">
        <f>VLOOKUP($A145,tropes!$A$4:$O$2428,7,FALSE)</f>
        <v>0</v>
      </c>
      <c r="H145" s="5">
        <f>VLOOKUP($A145,tropes!$A$4:$O$2428,8,FALSE)</f>
        <v>1</v>
      </c>
      <c r="I145" s="5">
        <f>VLOOKUP($A145,tropes!$A$4:$O$2428,9,FALSE)</f>
        <v>207</v>
      </c>
      <c r="J145" s="5">
        <f>VLOOKUP($A145,tropes!$A$4:$O$2428,10,FALSE)</f>
        <v>37</v>
      </c>
      <c r="K145" s="5" t="str">
        <f>VLOOKUP($A145,tropes!$A$4:$O$2428,11,FALSE)</f>
        <v>Catspaw</v>
      </c>
      <c r="L145" s="5">
        <f>VLOOKUP($A145,tropes!$A$4:$O$2428,12,FALSE)</f>
        <v>2</v>
      </c>
      <c r="M145" s="5">
        <f>VLOOKUP($A145,tropes!$A$4:$O$2428,13,FALSE)</f>
        <v>7</v>
      </c>
      <c r="N145" s="5">
        <f t="shared" si="2"/>
        <v>5</v>
      </c>
    </row>
    <row r="146" spans="1:14" x14ac:dyDescent="0.3">
      <c r="A146" s="14">
        <v>1937</v>
      </c>
      <c r="B146" s="5" t="str">
        <f>VLOOKUP($A146,tropes!$A$4:$O$2428,2,FALSE)</f>
        <v>Landing Party</v>
      </c>
      <c r="C146" s="5" t="str">
        <f>VLOOKUP($A146,tropes!$A$4:$O$2428,3,FALSE)</f>
        <v>landing_party</v>
      </c>
      <c r="D146" s="5" t="str">
        <f>VLOOKUP($A146,tropes!$A$4:$O$2428,4,FALSE)</f>
        <v>robot</v>
      </c>
      <c r="E146" s="5" t="str">
        <f>VLOOKUP($A146,tropes!$A$4:$O$2428,5,FALSE)</f>
        <v>Norman the android</v>
      </c>
      <c r="F146" s="5" t="str">
        <f>VLOOKUP($A146,tropes!$A$4:$O$2428,6,FALSE)</f>
        <v>robot</v>
      </c>
      <c r="G146" s="5">
        <f>VLOOKUP($A146,tropes!$A$4:$O$2428,7,FALSE)</f>
        <v>0</v>
      </c>
      <c r="H146" s="5">
        <f>VLOOKUP($A146,tropes!$A$4:$O$2428,8,FALSE)</f>
        <v>0</v>
      </c>
      <c r="I146" s="5">
        <f>VLOOKUP($A146,tropes!$A$4:$O$2428,9,FALSE)</f>
        <v>208</v>
      </c>
      <c r="J146" s="5">
        <f>VLOOKUP($A146,tropes!$A$4:$O$2428,10,FALSE)</f>
        <v>38</v>
      </c>
      <c r="K146" s="5" t="str">
        <f>VLOOKUP($A146,tropes!$A$4:$O$2428,11,FALSE)</f>
        <v>I, Mudd</v>
      </c>
      <c r="L146" s="5">
        <f>VLOOKUP($A146,tropes!$A$4:$O$2428,12,FALSE)</f>
        <v>2</v>
      </c>
      <c r="M146" s="5">
        <f>VLOOKUP($A146,tropes!$A$4:$O$2428,13,FALSE)</f>
        <v>8</v>
      </c>
      <c r="N146" s="5">
        <f t="shared" si="2"/>
        <v>0</v>
      </c>
    </row>
    <row r="147" spans="1:14" x14ac:dyDescent="0.3">
      <c r="A147" s="14">
        <v>144</v>
      </c>
      <c r="B147" s="5" t="str">
        <f>VLOOKUP($A147,tropes!$A$4:$O$2428,2,FALSE)</f>
        <v>Landing Party</v>
      </c>
      <c r="C147" s="5" t="str">
        <f>VLOOKUP($A147,tropes!$A$4:$O$2428,3,FALSE)</f>
        <v>landing_party</v>
      </c>
      <c r="D147" s="5">
        <f>VLOOKUP($A147,tropes!$A$4:$O$2428,4,FALSE)</f>
        <v>0</v>
      </c>
      <c r="E147" s="5" t="str">
        <f>VLOOKUP($A147,tropes!$A$4:$O$2428,5,FALSE)</f>
        <v>Chekov</v>
      </c>
      <c r="F147" s="5" t="str">
        <f>VLOOKUP($A147,tropes!$A$4:$O$2428,6,FALSE)</f>
        <v>chekov</v>
      </c>
      <c r="G147" s="5">
        <f>VLOOKUP($A147,tropes!$A$4:$O$2428,7,FALSE)</f>
        <v>0</v>
      </c>
      <c r="H147" s="5">
        <f>VLOOKUP($A147,tropes!$A$4:$O$2428,8,FALSE)</f>
        <v>2</v>
      </c>
      <c r="I147" s="5">
        <f>VLOOKUP($A147,tropes!$A$4:$O$2428,9,FALSE)</f>
        <v>208</v>
      </c>
      <c r="J147" s="5">
        <f>VLOOKUP($A147,tropes!$A$4:$O$2428,10,FALSE)</f>
        <v>38</v>
      </c>
      <c r="K147" s="5" t="str">
        <f>VLOOKUP($A147,tropes!$A$4:$O$2428,11,FALSE)</f>
        <v>I, Mudd</v>
      </c>
      <c r="L147" s="5">
        <f>VLOOKUP($A147,tropes!$A$4:$O$2428,12,FALSE)</f>
        <v>2</v>
      </c>
      <c r="M147" s="5">
        <f>VLOOKUP($A147,tropes!$A$4:$O$2428,13,FALSE)</f>
        <v>8</v>
      </c>
      <c r="N147" s="5">
        <f t="shared" si="2"/>
        <v>1</v>
      </c>
    </row>
    <row r="148" spans="1:14" x14ac:dyDescent="0.3">
      <c r="A148" s="14">
        <v>962</v>
      </c>
      <c r="B148" s="5" t="str">
        <f>VLOOKUP($A148,tropes!$A$4:$O$2428,2,FALSE)</f>
        <v>Landing Party</v>
      </c>
      <c r="C148" s="5" t="str">
        <f>VLOOKUP($A148,tropes!$A$4:$O$2428,3,FALSE)</f>
        <v>landing_party</v>
      </c>
      <c r="D148" s="5">
        <f>VLOOKUP($A148,tropes!$A$4:$O$2428,4,FALSE)</f>
        <v>0</v>
      </c>
      <c r="E148" s="5" t="str">
        <f>VLOOKUP($A148,tropes!$A$4:$O$2428,5,FALSE)</f>
        <v>Kirk</v>
      </c>
      <c r="F148" s="5" t="str">
        <f>VLOOKUP($A148,tropes!$A$4:$O$2428,6,FALSE)</f>
        <v>kirk</v>
      </c>
      <c r="G148" s="5">
        <f>VLOOKUP($A148,tropes!$A$4:$O$2428,7,FALSE)</f>
        <v>1</v>
      </c>
      <c r="H148" s="5">
        <f>VLOOKUP($A148,tropes!$A$4:$O$2428,8,FALSE)</f>
        <v>0</v>
      </c>
      <c r="I148" s="5">
        <f>VLOOKUP($A148,tropes!$A$4:$O$2428,9,FALSE)</f>
        <v>208</v>
      </c>
      <c r="J148" s="5">
        <f>VLOOKUP($A148,tropes!$A$4:$O$2428,10,FALSE)</f>
        <v>38</v>
      </c>
      <c r="K148" s="5" t="str">
        <f>VLOOKUP($A148,tropes!$A$4:$O$2428,11,FALSE)</f>
        <v>I, Mudd</v>
      </c>
      <c r="L148" s="5">
        <f>VLOOKUP($A148,tropes!$A$4:$O$2428,12,FALSE)</f>
        <v>2</v>
      </c>
      <c r="M148" s="5">
        <f>VLOOKUP($A148,tropes!$A$4:$O$2428,13,FALSE)</f>
        <v>8</v>
      </c>
      <c r="N148" s="5">
        <f t="shared" si="2"/>
        <v>2</v>
      </c>
    </row>
    <row r="149" spans="1:14" x14ac:dyDescent="0.3">
      <c r="A149" s="14">
        <v>1655</v>
      </c>
      <c r="B149" s="5" t="str">
        <f>VLOOKUP($A149,tropes!$A$4:$O$2428,2,FALSE)</f>
        <v>Landing Party</v>
      </c>
      <c r="C149" s="5" t="str">
        <f>VLOOKUP($A149,tropes!$A$4:$O$2428,3,FALSE)</f>
        <v>landing_party</v>
      </c>
      <c r="D149" s="5">
        <f>VLOOKUP($A149,tropes!$A$4:$O$2428,4,FALSE)</f>
        <v>0</v>
      </c>
      <c r="E149" s="5" t="str">
        <f>VLOOKUP($A149,tropes!$A$4:$O$2428,5,FALSE)</f>
        <v>McCoy</v>
      </c>
      <c r="F149" s="5" t="str">
        <f>VLOOKUP($A149,tropes!$A$4:$O$2428,6,FALSE)</f>
        <v>mccoy</v>
      </c>
      <c r="G149" s="5">
        <f>VLOOKUP($A149,tropes!$A$4:$O$2428,7,FALSE)</f>
        <v>0</v>
      </c>
      <c r="H149" s="5">
        <f>VLOOKUP($A149,tropes!$A$4:$O$2428,8,FALSE)</f>
        <v>1</v>
      </c>
      <c r="I149" s="5">
        <f>VLOOKUP($A149,tropes!$A$4:$O$2428,9,FALSE)</f>
        <v>208</v>
      </c>
      <c r="J149" s="5">
        <f>VLOOKUP($A149,tropes!$A$4:$O$2428,10,FALSE)</f>
        <v>38</v>
      </c>
      <c r="K149" s="5" t="str">
        <f>VLOOKUP($A149,tropes!$A$4:$O$2428,11,FALSE)</f>
        <v>I, Mudd</v>
      </c>
      <c r="L149" s="5">
        <f>VLOOKUP($A149,tropes!$A$4:$O$2428,12,FALSE)</f>
        <v>2</v>
      </c>
      <c r="M149" s="5">
        <f>VLOOKUP($A149,tropes!$A$4:$O$2428,13,FALSE)</f>
        <v>8</v>
      </c>
      <c r="N149" s="5">
        <f t="shared" si="2"/>
        <v>3</v>
      </c>
    </row>
    <row r="150" spans="1:14" x14ac:dyDescent="0.3">
      <c r="A150" s="14">
        <v>2269</v>
      </c>
      <c r="B150" s="5" t="str">
        <f>VLOOKUP($A150,tropes!$A$4:$O$2428,2,FALSE)</f>
        <v>Landing Party</v>
      </c>
      <c r="C150" s="5" t="str">
        <f>VLOOKUP($A150,tropes!$A$4:$O$2428,3,FALSE)</f>
        <v>landing_party</v>
      </c>
      <c r="D150" s="5">
        <f>VLOOKUP($A150,tropes!$A$4:$O$2428,4,FALSE)</f>
        <v>0</v>
      </c>
      <c r="E150" s="5" t="str">
        <f>VLOOKUP($A150,tropes!$A$4:$O$2428,5,FALSE)</f>
        <v>Spock</v>
      </c>
      <c r="F150" s="5" t="str">
        <f>VLOOKUP($A150,tropes!$A$4:$O$2428,6,FALSE)</f>
        <v>spock</v>
      </c>
      <c r="G150" s="5">
        <f>VLOOKUP($A150,tropes!$A$4:$O$2428,7,FALSE)</f>
        <v>1</v>
      </c>
      <c r="H150" s="5">
        <f>VLOOKUP($A150,tropes!$A$4:$O$2428,8,FALSE)</f>
        <v>0</v>
      </c>
      <c r="I150" s="5">
        <f>VLOOKUP($A150,tropes!$A$4:$O$2428,9,FALSE)</f>
        <v>208</v>
      </c>
      <c r="J150" s="5">
        <f>VLOOKUP($A150,tropes!$A$4:$O$2428,10,FALSE)</f>
        <v>38</v>
      </c>
      <c r="K150" s="5" t="str">
        <f>VLOOKUP($A150,tropes!$A$4:$O$2428,11,FALSE)</f>
        <v>I, Mudd</v>
      </c>
      <c r="L150" s="5">
        <f>VLOOKUP($A150,tropes!$A$4:$O$2428,12,FALSE)</f>
        <v>2</v>
      </c>
      <c r="M150" s="5">
        <f>VLOOKUP($A150,tropes!$A$4:$O$2428,13,FALSE)</f>
        <v>8</v>
      </c>
      <c r="N150" s="5">
        <f t="shared" si="2"/>
        <v>4</v>
      </c>
    </row>
    <row r="151" spans="1:14" x14ac:dyDescent="0.3">
      <c r="A151" s="14">
        <v>2540</v>
      </c>
      <c r="B151" s="5" t="str">
        <f>VLOOKUP($A151,tropes!$A$4:$O$2428,2,FALSE)</f>
        <v>Landing Party</v>
      </c>
      <c r="C151" s="5" t="str">
        <f>VLOOKUP($A151,tropes!$A$4:$O$2428,3,FALSE)</f>
        <v>landing_party</v>
      </c>
      <c r="D151" s="5">
        <f>VLOOKUP($A151,tropes!$A$4:$O$2428,4,FALSE)</f>
        <v>0</v>
      </c>
      <c r="E151" s="5" t="str">
        <f>VLOOKUP($A151,tropes!$A$4:$O$2428,5,FALSE)</f>
        <v>Uhura</v>
      </c>
      <c r="F151" s="5" t="str">
        <f>VLOOKUP($A151,tropes!$A$4:$O$2428,6,FALSE)</f>
        <v>uhura</v>
      </c>
      <c r="G151" s="5">
        <f>VLOOKUP($A151,tropes!$A$4:$O$2428,7,FALSE)</f>
        <v>1</v>
      </c>
      <c r="H151" s="5">
        <f>VLOOKUP($A151,tropes!$A$4:$O$2428,8,FALSE)</f>
        <v>0</v>
      </c>
      <c r="I151" s="5">
        <f>VLOOKUP($A151,tropes!$A$4:$O$2428,9,FALSE)</f>
        <v>208</v>
      </c>
      <c r="J151" s="5">
        <f>VLOOKUP($A151,tropes!$A$4:$O$2428,10,FALSE)</f>
        <v>38</v>
      </c>
      <c r="K151" s="5" t="str">
        <f>VLOOKUP($A151,tropes!$A$4:$O$2428,11,FALSE)</f>
        <v>I, Mudd</v>
      </c>
      <c r="L151" s="5">
        <f>VLOOKUP($A151,tropes!$A$4:$O$2428,12,FALSE)</f>
        <v>2</v>
      </c>
      <c r="M151" s="5">
        <f>VLOOKUP($A151,tropes!$A$4:$O$2428,13,FALSE)</f>
        <v>8</v>
      </c>
      <c r="N151" s="5">
        <f t="shared" si="2"/>
        <v>5</v>
      </c>
    </row>
    <row r="152" spans="1:14" x14ac:dyDescent="0.3">
      <c r="A152" s="14">
        <v>2935</v>
      </c>
      <c r="B152" s="5" t="str">
        <f>VLOOKUP($A152,tropes!$A$4:$O$2428,2,FALSE)</f>
        <v>Landing Party</v>
      </c>
      <c r="C152" s="5" t="str">
        <f>VLOOKUP($A152,tropes!$A$4:$O$2428,3,FALSE)</f>
        <v>landing_party</v>
      </c>
      <c r="D152" s="5">
        <f>VLOOKUP($A152,tropes!$A$4:$O$2428,4,FALSE)</f>
        <v>0</v>
      </c>
      <c r="E152" s="5" t="str">
        <f>VLOOKUP($A152,tropes!$A$4:$O$2428,5,FALSE)</f>
        <v>kirk</v>
      </c>
      <c r="F152" s="5" t="str">
        <f>VLOOKUP($A152,tropes!$A$4:$O$2428,6,FALSE)</f>
        <v>kirk</v>
      </c>
      <c r="G152" s="5">
        <f>VLOOKUP($A152,tropes!$A$4:$O$2428,7,FALSE)</f>
        <v>1</v>
      </c>
      <c r="H152" s="5">
        <f>VLOOKUP($A152,tropes!$A$4:$O$2428,8,FALSE)</f>
        <v>0</v>
      </c>
      <c r="I152" s="5">
        <f>VLOOKUP($A152,tropes!$A$4:$O$2428,9,FALSE)</f>
        <v>211</v>
      </c>
      <c r="J152" s="5">
        <f>VLOOKUP($A152,tropes!$A$4:$O$2428,10,FALSE)</f>
        <v>41</v>
      </c>
      <c r="K152" s="5" t="str">
        <f>VLOOKUP($A152,tropes!$A$4:$O$2428,11,FALSE)</f>
        <v>Friday's Child</v>
      </c>
      <c r="L152" s="5">
        <f>VLOOKUP($A152,tropes!$A$4:$O$2428,12,FALSE)</f>
        <v>2</v>
      </c>
      <c r="M152" s="5">
        <f>VLOOKUP($A152,tropes!$A$4:$O$2428,13,FALSE)</f>
        <v>11</v>
      </c>
      <c r="N152" s="5">
        <f t="shared" si="2"/>
        <v>0</v>
      </c>
    </row>
    <row r="153" spans="1:14" x14ac:dyDescent="0.3">
      <c r="A153" s="14">
        <v>2936</v>
      </c>
      <c r="B153" s="5" t="str">
        <f>VLOOKUP($A153,tropes!$A$4:$O$2428,2,FALSE)</f>
        <v>Landing Party</v>
      </c>
      <c r="C153" s="5" t="str">
        <f>VLOOKUP($A153,tropes!$A$4:$O$2428,3,FALSE)</f>
        <v>landing_party</v>
      </c>
      <c r="D153" s="5">
        <f>VLOOKUP($A153,tropes!$A$4:$O$2428,4,FALSE)</f>
        <v>0</v>
      </c>
      <c r="E153" s="5" t="str">
        <f>VLOOKUP($A153,tropes!$A$4:$O$2428,5,FALSE)</f>
        <v>mccoy</v>
      </c>
      <c r="F153" s="5" t="str">
        <f>VLOOKUP($A153,tropes!$A$4:$O$2428,6,FALSE)</f>
        <v>mccoy</v>
      </c>
      <c r="G153" s="5">
        <f>VLOOKUP($A153,tropes!$A$4:$O$2428,7,FALSE)</f>
        <v>0</v>
      </c>
      <c r="H153" s="5">
        <f>VLOOKUP($A153,tropes!$A$4:$O$2428,8,FALSE)</f>
        <v>1</v>
      </c>
      <c r="I153" s="5">
        <f>VLOOKUP($A153,tropes!$A$4:$O$2428,9,FALSE)</f>
        <v>211</v>
      </c>
      <c r="J153" s="5">
        <f>VLOOKUP($A153,tropes!$A$4:$O$2428,10,FALSE)</f>
        <v>41</v>
      </c>
      <c r="K153" s="5" t="str">
        <f>VLOOKUP($A153,tropes!$A$4:$O$2428,11,FALSE)</f>
        <v>Friday's Child</v>
      </c>
      <c r="L153" s="5">
        <f>VLOOKUP($A153,tropes!$A$4:$O$2428,12,FALSE)</f>
        <v>2</v>
      </c>
      <c r="M153" s="5">
        <f>VLOOKUP($A153,tropes!$A$4:$O$2428,13,FALSE)</f>
        <v>11</v>
      </c>
      <c r="N153" s="5">
        <f t="shared" si="2"/>
        <v>1</v>
      </c>
    </row>
    <row r="154" spans="1:14" x14ac:dyDescent="0.3">
      <c r="A154" s="14">
        <v>2938</v>
      </c>
      <c r="B154" s="5" t="str">
        <f>VLOOKUP($A154,tropes!$A$4:$O$2428,2,FALSE)</f>
        <v>Landing Party</v>
      </c>
      <c r="C154" s="5" t="str">
        <f>VLOOKUP($A154,tropes!$A$4:$O$2428,3,FALSE)</f>
        <v>landing_party</v>
      </c>
      <c r="D154" s="5">
        <f>VLOOKUP($A154,tropes!$A$4:$O$2428,4,FALSE)</f>
        <v>0</v>
      </c>
      <c r="E154" s="5" t="str">
        <f>VLOOKUP($A154,tropes!$A$4:$O$2428,5,FALSE)</f>
        <v>redshirt (killed by native with thrown weapon, the kligat)</v>
      </c>
      <c r="F154" s="5" t="str">
        <f>VLOOKUP($A154,tropes!$A$4:$O$2428,6,FALSE)</f>
        <v>redshirt</v>
      </c>
      <c r="G154" s="5">
        <f>VLOOKUP($A154,tropes!$A$4:$O$2428,7,FALSE)</f>
        <v>0</v>
      </c>
      <c r="H154" s="5">
        <f>VLOOKUP($A154,tropes!$A$4:$O$2428,8,FALSE)</f>
        <v>0</v>
      </c>
      <c r="I154" s="5">
        <f>VLOOKUP($A154,tropes!$A$4:$O$2428,9,FALSE)</f>
        <v>211</v>
      </c>
      <c r="J154" s="5">
        <f>VLOOKUP($A154,tropes!$A$4:$O$2428,10,FALSE)</f>
        <v>41</v>
      </c>
      <c r="K154" s="5" t="str">
        <f>VLOOKUP($A154,tropes!$A$4:$O$2428,11,FALSE)</f>
        <v>Friday's Child</v>
      </c>
      <c r="L154" s="5">
        <f>VLOOKUP($A154,tropes!$A$4:$O$2428,12,FALSE)</f>
        <v>2</v>
      </c>
      <c r="M154" s="5">
        <f>VLOOKUP($A154,tropes!$A$4:$O$2428,13,FALSE)</f>
        <v>11</v>
      </c>
      <c r="N154" s="5">
        <f t="shared" si="2"/>
        <v>2</v>
      </c>
    </row>
    <row r="155" spans="1:14" x14ac:dyDescent="0.3">
      <c r="A155" s="14">
        <v>3006</v>
      </c>
      <c r="B155" s="5" t="str">
        <f>VLOOKUP($A155,tropes!$A$4:$O$2428,2,FALSE)</f>
        <v>Landing Party</v>
      </c>
      <c r="C155" s="5" t="str">
        <f>VLOOKUP($A155,tropes!$A$4:$O$2428,3,FALSE)</f>
        <v>landing_party</v>
      </c>
      <c r="D155" s="5">
        <f>VLOOKUP($A155,tropes!$A$4:$O$2428,4,FALSE)</f>
        <v>0</v>
      </c>
      <c r="E155" s="5" t="str">
        <f>VLOOKUP($A155,tropes!$A$4:$O$2428,5,FALSE)</f>
        <v>Scotty and four redshirts arrive just like the cavalry</v>
      </c>
      <c r="F155" s="5" t="str">
        <f>VLOOKUP($A155,tropes!$A$4:$O$2428,6,FALSE)</f>
        <v>scotty</v>
      </c>
      <c r="G155" s="5">
        <f>VLOOKUP($A155,tropes!$A$4:$O$2428,7,FALSE)</f>
        <v>0</v>
      </c>
      <c r="H155" s="5">
        <f>VLOOKUP($A155,tropes!$A$4:$O$2428,8,FALSE)</f>
        <v>1</v>
      </c>
      <c r="I155" s="5">
        <f>VLOOKUP($A155,tropes!$A$4:$O$2428,9,FALSE)</f>
        <v>211</v>
      </c>
      <c r="J155" s="5">
        <f>VLOOKUP($A155,tropes!$A$4:$O$2428,10,FALSE)</f>
        <v>41</v>
      </c>
      <c r="K155" s="5" t="str">
        <f>VLOOKUP($A155,tropes!$A$4:$O$2428,11,FALSE)</f>
        <v>Friday's Child</v>
      </c>
      <c r="L155" s="5">
        <f>VLOOKUP($A155,tropes!$A$4:$O$2428,12,FALSE)</f>
        <v>2</v>
      </c>
      <c r="M155" s="5">
        <f>VLOOKUP($A155,tropes!$A$4:$O$2428,13,FALSE)</f>
        <v>11</v>
      </c>
      <c r="N155" s="5">
        <f t="shared" si="2"/>
        <v>3</v>
      </c>
    </row>
    <row r="156" spans="1:14" x14ac:dyDescent="0.3">
      <c r="A156" s="14">
        <v>3007</v>
      </c>
      <c r="B156" s="5" t="str">
        <f>VLOOKUP($A156,tropes!$A$4:$O$2428,2,FALSE)</f>
        <v>Landing Party</v>
      </c>
      <c r="C156" s="5" t="str">
        <f>VLOOKUP($A156,tropes!$A$4:$O$2428,3,FALSE)</f>
        <v>landing_party</v>
      </c>
      <c r="D156" s="5">
        <f>VLOOKUP($A156,tropes!$A$4:$O$2428,4,FALSE)</f>
        <v>0</v>
      </c>
      <c r="E156" s="5" t="str">
        <f>VLOOKUP($A156,tropes!$A$4:$O$2428,5,FALSE)</f>
        <v>Scotty and four redshirts arrive just like the cavalry</v>
      </c>
      <c r="F156" s="5" t="str">
        <f>VLOOKUP($A156,tropes!$A$4:$O$2428,6,FALSE)</f>
        <v>redshirt</v>
      </c>
      <c r="G156" s="5">
        <f>VLOOKUP($A156,tropes!$A$4:$O$2428,7,FALSE)</f>
        <v>0</v>
      </c>
      <c r="H156" s="5">
        <f>VLOOKUP($A156,tropes!$A$4:$O$2428,8,FALSE)</f>
        <v>0</v>
      </c>
      <c r="I156" s="5">
        <f>VLOOKUP($A156,tropes!$A$4:$O$2428,9,FALSE)</f>
        <v>211</v>
      </c>
      <c r="J156" s="5">
        <f>VLOOKUP($A156,tropes!$A$4:$O$2428,10,FALSE)</f>
        <v>41</v>
      </c>
      <c r="K156" s="5" t="str">
        <f>VLOOKUP($A156,tropes!$A$4:$O$2428,11,FALSE)</f>
        <v>Friday's Child</v>
      </c>
      <c r="L156" s="5">
        <f>VLOOKUP($A156,tropes!$A$4:$O$2428,12,FALSE)</f>
        <v>2</v>
      </c>
      <c r="M156" s="5">
        <f>VLOOKUP($A156,tropes!$A$4:$O$2428,13,FALSE)</f>
        <v>11</v>
      </c>
      <c r="N156" s="5">
        <f t="shared" si="2"/>
        <v>4</v>
      </c>
    </row>
    <row r="157" spans="1:14" x14ac:dyDescent="0.3">
      <c r="A157" s="14">
        <v>3008</v>
      </c>
      <c r="B157" s="5" t="str">
        <f>VLOOKUP($A157,tropes!$A$4:$O$2428,2,FALSE)</f>
        <v>Landing Party</v>
      </c>
      <c r="C157" s="5" t="str">
        <f>VLOOKUP($A157,tropes!$A$4:$O$2428,3,FALSE)</f>
        <v>landing_party</v>
      </c>
      <c r="D157" s="5">
        <f>VLOOKUP($A157,tropes!$A$4:$O$2428,4,FALSE)</f>
        <v>0</v>
      </c>
      <c r="E157" s="5" t="str">
        <f>VLOOKUP($A157,tropes!$A$4:$O$2428,5,FALSE)</f>
        <v>Scotty and four redshirts arrive just like the cavalry</v>
      </c>
      <c r="F157" s="5" t="str">
        <f>VLOOKUP($A157,tropes!$A$4:$O$2428,6,FALSE)</f>
        <v>redshirt</v>
      </c>
      <c r="G157" s="5">
        <f>VLOOKUP($A157,tropes!$A$4:$O$2428,7,FALSE)</f>
        <v>0</v>
      </c>
      <c r="H157" s="5">
        <f>VLOOKUP($A157,tropes!$A$4:$O$2428,8,FALSE)</f>
        <v>0</v>
      </c>
      <c r="I157" s="5">
        <f>VLOOKUP($A157,tropes!$A$4:$O$2428,9,FALSE)</f>
        <v>211</v>
      </c>
      <c r="J157" s="5">
        <f>VLOOKUP($A157,tropes!$A$4:$O$2428,10,FALSE)</f>
        <v>41</v>
      </c>
      <c r="K157" s="5" t="str">
        <f>VLOOKUP($A157,tropes!$A$4:$O$2428,11,FALSE)</f>
        <v>Friday's Child</v>
      </c>
      <c r="L157" s="5">
        <f>VLOOKUP($A157,tropes!$A$4:$O$2428,12,FALSE)</f>
        <v>2</v>
      </c>
      <c r="M157" s="5">
        <f>VLOOKUP($A157,tropes!$A$4:$O$2428,13,FALSE)</f>
        <v>11</v>
      </c>
      <c r="N157" s="5">
        <f t="shared" si="2"/>
        <v>5</v>
      </c>
    </row>
    <row r="158" spans="1:14" x14ac:dyDescent="0.3">
      <c r="A158" s="14">
        <v>3009</v>
      </c>
      <c r="B158" s="5" t="str">
        <f>VLOOKUP($A158,tropes!$A$4:$O$2428,2,FALSE)</f>
        <v>Landing Party</v>
      </c>
      <c r="C158" s="5" t="str">
        <f>VLOOKUP($A158,tropes!$A$4:$O$2428,3,FALSE)</f>
        <v>landing_party</v>
      </c>
      <c r="D158" s="5">
        <f>VLOOKUP($A158,tropes!$A$4:$O$2428,4,FALSE)</f>
        <v>0</v>
      </c>
      <c r="E158" s="5" t="str">
        <f>VLOOKUP($A158,tropes!$A$4:$O$2428,5,FALSE)</f>
        <v>Scotty and four redshirts arrive just like the cavalry</v>
      </c>
      <c r="F158" s="5" t="str">
        <f>VLOOKUP($A158,tropes!$A$4:$O$2428,6,FALSE)</f>
        <v>redshirt</v>
      </c>
      <c r="G158" s="5">
        <f>VLOOKUP($A158,tropes!$A$4:$O$2428,7,FALSE)</f>
        <v>0</v>
      </c>
      <c r="H158" s="5">
        <f>VLOOKUP($A158,tropes!$A$4:$O$2428,8,FALSE)</f>
        <v>0</v>
      </c>
      <c r="I158" s="5">
        <f>VLOOKUP($A158,tropes!$A$4:$O$2428,9,FALSE)</f>
        <v>211</v>
      </c>
      <c r="J158" s="5">
        <f>VLOOKUP($A158,tropes!$A$4:$O$2428,10,FALSE)</f>
        <v>41</v>
      </c>
      <c r="K158" s="5" t="str">
        <f>VLOOKUP($A158,tropes!$A$4:$O$2428,11,FALSE)</f>
        <v>Friday's Child</v>
      </c>
      <c r="L158" s="5">
        <f>VLOOKUP($A158,tropes!$A$4:$O$2428,12,FALSE)</f>
        <v>2</v>
      </c>
      <c r="M158" s="5">
        <f>VLOOKUP($A158,tropes!$A$4:$O$2428,13,FALSE)</f>
        <v>11</v>
      </c>
      <c r="N158" s="5">
        <f t="shared" si="2"/>
        <v>6</v>
      </c>
    </row>
    <row r="159" spans="1:14" x14ac:dyDescent="0.3">
      <c r="A159" s="14">
        <v>3010</v>
      </c>
      <c r="B159" s="5" t="str">
        <f>VLOOKUP($A159,tropes!$A$4:$O$2428,2,FALSE)</f>
        <v>Landing Party</v>
      </c>
      <c r="C159" s="5" t="str">
        <f>VLOOKUP($A159,tropes!$A$4:$O$2428,3,FALSE)</f>
        <v>landing_party</v>
      </c>
      <c r="D159" s="5">
        <f>VLOOKUP($A159,tropes!$A$4:$O$2428,4,FALSE)</f>
        <v>0</v>
      </c>
      <c r="E159" s="5" t="str">
        <f>VLOOKUP($A159,tropes!$A$4:$O$2428,5,FALSE)</f>
        <v>Scotty and four redshirts arrive just like the cavalry</v>
      </c>
      <c r="F159" s="5" t="str">
        <f>VLOOKUP($A159,tropes!$A$4:$O$2428,6,FALSE)</f>
        <v>redshirt</v>
      </c>
      <c r="G159" s="5">
        <f>VLOOKUP($A159,tropes!$A$4:$O$2428,7,FALSE)</f>
        <v>0</v>
      </c>
      <c r="H159" s="5">
        <f>VLOOKUP($A159,tropes!$A$4:$O$2428,8,FALSE)</f>
        <v>0</v>
      </c>
      <c r="I159" s="5">
        <f>VLOOKUP($A159,tropes!$A$4:$O$2428,9,FALSE)</f>
        <v>211</v>
      </c>
      <c r="J159" s="5">
        <f>VLOOKUP($A159,tropes!$A$4:$O$2428,10,FALSE)</f>
        <v>41</v>
      </c>
      <c r="K159" s="5" t="str">
        <f>VLOOKUP($A159,tropes!$A$4:$O$2428,11,FALSE)</f>
        <v>Friday's Child</v>
      </c>
      <c r="L159" s="5">
        <f>VLOOKUP($A159,tropes!$A$4:$O$2428,12,FALSE)</f>
        <v>2</v>
      </c>
      <c r="M159" s="5">
        <f>VLOOKUP($A159,tropes!$A$4:$O$2428,13,FALSE)</f>
        <v>11</v>
      </c>
      <c r="N159" s="5">
        <f t="shared" si="2"/>
        <v>7</v>
      </c>
    </row>
    <row r="160" spans="1:14" x14ac:dyDescent="0.3">
      <c r="A160" s="14">
        <v>2937</v>
      </c>
      <c r="B160" s="5" t="str">
        <f>VLOOKUP($A160,tropes!$A$4:$O$2428,2,FALSE)</f>
        <v>Landing Party</v>
      </c>
      <c r="C160" s="5" t="str">
        <f>VLOOKUP($A160,tropes!$A$4:$O$2428,3,FALSE)</f>
        <v>landing_party</v>
      </c>
      <c r="D160" s="5">
        <f>VLOOKUP($A160,tropes!$A$4:$O$2428,4,FALSE)</f>
        <v>0</v>
      </c>
      <c r="E160" s="5" t="str">
        <f>VLOOKUP($A160,tropes!$A$4:$O$2428,5,FALSE)</f>
        <v>spock</v>
      </c>
      <c r="F160" s="5" t="str">
        <f>VLOOKUP($A160,tropes!$A$4:$O$2428,6,FALSE)</f>
        <v>spock</v>
      </c>
      <c r="G160" s="5">
        <f>VLOOKUP($A160,tropes!$A$4:$O$2428,7,FALSE)</f>
        <v>1</v>
      </c>
      <c r="H160" s="5">
        <f>VLOOKUP($A160,tropes!$A$4:$O$2428,8,FALSE)</f>
        <v>0</v>
      </c>
      <c r="I160" s="5">
        <f>VLOOKUP($A160,tropes!$A$4:$O$2428,9,FALSE)</f>
        <v>211</v>
      </c>
      <c r="J160" s="5">
        <f>VLOOKUP($A160,tropes!$A$4:$O$2428,10,FALSE)</f>
        <v>41</v>
      </c>
      <c r="K160" s="5" t="str">
        <f>VLOOKUP($A160,tropes!$A$4:$O$2428,11,FALSE)</f>
        <v>Friday's Child</v>
      </c>
      <c r="L160" s="5">
        <f>VLOOKUP($A160,tropes!$A$4:$O$2428,12,FALSE)</f>
        <v>2</v>
      </c>
      <c r="M160" s="5">
        <f>VLOOKUP($A160,tropes!$A$4:$O$2428,13,FALSE)</f>
        <v>11</v>
      </c>
      <c r="N160" s="5">
        <f t="shared" si="2"/>
        <v>8</v>
      </c>
    </row>
  </sheetData>
  <sortState ref="A2:N160">
    <sortCondition ref="I2:I160"/>
    <sortCondition ref="B2:B160"/>
  </sortState>
  <conditionalFormatting sqref="B1:C1">
    <cfRule type="expression" dxfId="4" priority="2">
      <formula>O1&gt;0</formula>
    </cfRule>
  </conditionalFormatting>
  <conditionalFormatting sqref="A2:A160">
    <cfRule type="containsBlanks" dxfId="3" priority="1">
      <formula>LEN(TRIM(A2))=0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85"/>
  <sheetViews>
    <sheetView tabSelected="1" workbookViewId="0"/>
  </sheetViews>
  <sheetFormatPr defaultRowHeight="12" x14ac:dyDescent="0.3"/>
  <sheetData>
    <row r="1" spans="1:14" x14ac:dyDescent="0.3">
      <c r="A1" s="5" t="s">
        <v>160</v>
      </c>
      <c r="B1" s="1" t="s">
        <v>3</v>
      </c>
      <c r="C1" s="1" t="s">
        <v>2601</v>
      </c>
      <c r="D1" s="1" t="s">
        <v>150</v>
      </c>
      <c r="E1" s="1" t="s">
        <v>164</v>
      </c>
      <c r="F1" s="1" t="s">
        <v>183</v>
      </c>
      <c r="G1" s="14" t="s">
        <v>744</v>
      </c>
      <c r="H1" s="14" t="s">
        <v>758</v>
      </c>
      <c r="I1" s="14" t="s">
        <v>161</v>
      </c>
      <c r="J1" s="15" t="s">
        <v>15</v>
      </c>
      <c r="K1" s="16" t="s">
        <v>16</v>
      </c>
      <c r="L1" s="16" t="s">
        <v>157</v>
      </c>
      <c r="M1" s="16" t="s">
        <v>158</v>
      </c>
      <c r="N1" s="14" t="s">
        <v>182</v>
      </c>
    </row>
    <row r="2" spans="1:14" x14ac:dyDescent="0.3">
      <c r="A2" s="14">
        <v>1851</v>
      </c>
      <c r="B2" s="5" t="str">
        <f>VLOOKUP($A2,tropes!$A$4:$O$2428,2,FALSE)</f>
        <v>Girl Of The Week</v>
      </c>
      <c r="C2" s="5" t="str">
        <f>VLOOKUP($A2,tropes!$A$4:$O$2428,3,FALSE)</f>
        <v>love</v>
      </c>
      <c r="D2" s="5" t="str">
        <f>VLOOKUP($A2,tropes!$A$4:$O$2428,4,FALSE)</f>
        <v>girl_of_the_week</v>
      </c>
      <c r="E2" s="5" t="str">
        <f>VLOOKUP($A2,tropes!$A$4:$O$2428,5,FALSE)</f>
        <v>Pike imprisoned with Vina. The Talosians want them to be happy so they're give them pleasant memories.</v>
      </c>
      <c r="F2" s="5" t="str">
        <f>VLOOKUP($A2,tropes!$A$4:$O$2428,6,FALSE)</f>
        <v>pike</v>
      </c>
      <c r="G2" s="5">
        <f>VLOOKUP($A2,tropes!$A$4:$O$2428,7,FALSE)</f>
        <v>0</v>
      </c>
      <c r="H2" s="5">
        <f>VLOOKUP($A2,tropes!$A$4:$O$2428,8,FALSE)</f>
        <v>0</v>
      </c>
      <c r="I2" s="5">
        <f>VLOOKUP($A2,tropes!$A$4:$O$2428,9,FALSE)</f>
        <v>100</v>
      </c>
      <c r="J2" s="5">
        <f>VLOOKUP($A2,tropes!$A$4:$O$2428,10,FALSE)</f>
        <v>1</v>
      </c>
      <c r="K2" s="5" t="str">
        <f>VLOOKUP($A2,tropes!$A$4:$O$2428,11,FALSE)</f>
        <v>The Cage</v>
      </c>
      <c r="L2" s="5">
        <f>VLOOKUP($A2,tropes!$A$4:$O$2428,12,FALSE)</f>
        <v>1</v>
      </c>
      <c r="M2" s="5">
        <f>VLOOKUP($A2,tropes!$A$4:$O$2428,13,FALSE)</f>
        <v>0</v>
      </c>
      <c r="N2" s="5">
        <v>0</v>
      </c>
    </row>
    <row r="3" spans="1:14" x14ac:dyDescent="0.3">
      <c r="A3" s="14">
        <v>1704</v>
      </c>
      <c r="B3" s="5" t="str">
        <f>VLOOKUP($A3,tropes!$A$4:$O$2428,2,FALSE)</f>
        <v>Girl Of The Week</v>
      </c>
      <c r="C3" s="5" t="str">
        <f>VLOOKUP($A3,tropes!$A$4:$O$2428,3,FALSE)</f>
        <v>love</v>
      </c>
      <c r="D3" s="5" t="str">
        <f>VLOOKUP($A3,tropes!$A$4:$O$2428,4,FALSE)</f>
        <v>girl_of_the_week</v>
      </c>
      <c r="E3" s="5" t="str">
        <f>VLOOKUP($A3,tropes!$A$4:$O$2428,5,FALSE)</f>
        <v>McCoy's old girlfriend, Nancy Crater. Likes to call him Plum.</v>
      </c>
      <c r="F3" s="5" t="str">
        <f>VLOOKUP($A3,tropes!$A$4:$O$2428,6,FALSE)</f>
        <v>mccoy</v>
      </c>
      <c r="G3" s="5">
        <f>VLOOKUP($A3,tropes!$A$4:$O$2428,7,FALSE)</f>
        <v>0</v>
      </c>
      <c r="H3" s="5">
        <f>VLOOKUP($A3,tropes!$A$4:$O$2428,8,FALSE)</f>
        <v>0</v>
      </c>
      <c r="I3" s="5">
        <f>VLOOKUP($A3,tropes!$A$4:$O$2428,9,FALSE)</f>
        <v>101</v>
      </c>
      <c r="J3" s="5">
        <f>VLOOKUP($A3,tropes!$A$4:$O$2428,10,FALSE)</f>
        <v>2</v>
      </c>
      <c r="K3" s="5" t="str">
        <f>VLOOKUP($A3,tropes!$A$4:$O$2428,11,FALSE)</f>
        <v>The Man Trap</v>
      </c>
      <c r="L3" s="5">
        <f>VLOOKUP($A3,tropes!$A$4:$O$2428,12,FALSE)</f>
        <v>1</v>
      </c>
      <c r="M3" s="5">
        <f>VLOOKUP($A3,tropes!$A$4:$O$2428,13,FALSE)</f>
        <v>1</v>
      </c>
      <c r="N3" s="5">
        <f>IF(I3&lt;&gt;I2,0,N2+1)</f>
        <v>0</v>
      </c>
    </row>
    <row r="4" spans="1:14" x14ac:dyDescent="0.3">
      <c r="A4" s="14">
        <v>1705</v>
      </c>
      <c r="B4" s="5" t="str">
        <f>VLOOKUP($A4,tropes!$A$4:$O$2428,2,FALSE)</f>
        <v>New Old Flame</v>
      </c>
      <c r="C4" s="5" t="str">
        <f>VLOOKUP($A4,tropes!$A$4:$O$2428,3,FALSE)</f>
        <v>love</v>
      </c>
      <c r="D4" s="5" t="str">
        <f>VLOOKUP($A4,tropes!$A$4:$O$2428,4,FALSE)</f>
        <v>old_flame</v>
      </c>
      <c r="E4" s="5" t="str">
        <f>VLOOKUP($A4,tropes!$A$4:$O$2428,5,FALSE)</f>
        <v>McCoy's old flame, Nancy Crater.</v>
      </c>
      <c r="F4" s="5" t="str">
        <f>VLOOKUP($A4,tropes!$A$4:$O$2428,6,FALSE)</f>
        <v>mccoy</v>
      </c>
      <c r="G4" s="5">
        <f>VLOOKUP($A4,tropes!$A$4:$O$2428,7,FALSE)</f>
        <v>0</v>
      </c>
      <c r="H4" s="5">
        <f>VLOOKUP($A4,tropes!$A$4:$O$2428,8,FALSE)</f>
        <v>1</v>
      </c>
      <c r="I4" s="5">
        <f>VLOOKUP($A4,tropes!$A$4:$O$2428,9,FALSE)</f>
        <v>101</v>
      </c>
      <c r="J4" s="5">
        <f>VLOOKUP($A4,tropes!$A$4:$O$2428,10,FALSE)</f>
        <v>2</v>
      </c>
      <c r="K4" s="5" t="str">
        <f>VLOOKUP($A4,tropes!$A$4:$O$2428,11,FALSE)</f>
        <v>The Man Trap</v>
      </c>
      <c r="L4" s="5">
        <f>VLOOKUP($A4,tropes!$A$4:$O$2428,12,FALSE)</f>
        <v>1</v>
      </c>
      <c r="M4" s="5">
        <f>VLOOKUP($A4,tropes!$A$4:$O$2428,13,FALSE)</f>
        <v>1</v>
      </c>
      <c r="N4" s="5">
        <f t="shared" ref="N4:N67" si="0">IF(I4&lt;&gt;I3,0,N3+1)</f>
        <v>1</v>
      </c>
    </row>
    <row r="5" spans="1:14" x14ac:dyDescent="0.3">
      <c r="A5" s="14">
        <v>4</v>
      </c>
      <c r="B5" s="5" t="str">
        <f>VLOOKUP($A5,tropes!$A$4:$O$2428,2,FALSE)</f>
        <v>Non-Human Lover Revealed</v>
      </c>
      <c r="C5" s="5" t="str">
        <f>VLOOKUP($A5,tropes!$A$4:$O$2428,3,FALSE)</f>
        <v>love</v>
      </c>
      <c r="D5" s="5" t="str">
        <f>VLOOKUP($A5,tropes!$A$4:$O$2428,4,FALSE)</f>
        <v>non_human</v>
      </c>
      <c r="E5" s="5" t="str">
        <f>VLOOKUP($A5,tropes!$A$4:$O$2428,5,FALSE)</f>
        <v>Nancy Crater is revealed to be the Salt Creature that killed the original Nancy Crater years ago.</v>
      </c>
      <c r="F5" s="5" t="str">
        <f>VLOOKUP($A5,tropes!$A$4:$O$2428,6,FALSE)</f>
        <v>alien</v>
      </c>
      <c r="G5" s="5">
        <f>VLOOKUP($A5,tropes!$A$4:$O$2428,7,FALSE)</f>
        <v>0</v>
      </c>
      <c r="H5" s="5">
        <f>VLOOKUP($A5,tropes!$A$4:$O$2428,8,FALSE)</f>
        <v>0</v>
      </c>
      <c r="I5" s="5">
        <f>VLOOKUP($A5,tropes!$A$4:$O$2428,9,FALSE)</f>
        <v>101</v>
      </c>
      <c r="J5" s="5">
        <f>VLOOKUP($A5,tropes!$A$4:$O$2428,10,FALSE)</f>
        <v>2</v>
      </c>
      <c r="K5" s="5" t="str">
        <f>VLOOKUP($A5,tropes!$A$4:$O$2428,11,FALSE)</f>
        <v>The Man Trap</v>
      </c>
      <c r="L5" s="5">
        <f>VLOOKUP($A5,tropes!$A$4:$O$2428,12,FALSE)</f>
        <v>1</v>
      </c>
      <c r="M5" s="5">
        <f>VLOOKUP($A5,tropes!$A$4:$O$2428,13,FALSE)</f>
        <v>1</v>
      </c>
      <c r="N5" s="5">
        <f t="shared" si="0"/>
        <v>2</v>
      </c>
    </row>
    <row r="6" spans="1:14" x14ac:dyDescent="0.3">
      <c r="A6" s="14">
        <v>2918</v>
      </c>
      <c r="B6" s="5" t="str">
        <f>VLOOKUP($A6,tropes!$A$4:$O$2428,2,FALSE)</f>
        <v>The Odd Couple</v>
      </c>
      <c r="C6" s="5" t="str">
        <f>VLOOKUP($A6,tropes!$A$4:$O$2428,3,FALSE)</f>
        <v>love</v>
      </c>
      <c r="D6" s="5" t="str">
        <f>VLOOKUP($A6,tropes!$A$4:$O$2428,4,FALSE)</f>
        <v>true</v>
      </c>
      <c r="E6" s="5" t="str">
        <f>VLOOKUP($A6,tropes!$A$4:$O$2428,5,FALSE)</f>
        <v>Dr. Crater's an archeologist. Nancy's a salt sucking vampire. What a crazy pair.</v>
      </c>
      <c r="F6" s="5" t="str">
        <f>VLOOKUP($A6,tropes!$A$4:$O$2428,6,FALSE)</f>
        <v>nancy</v>
      </c>
      <c r="G6" s="5">
        <f>VLOOKUP($A6,tropes!$A$4:$O$2428,7,FALSE)</f>
        <v>0</v>
      </c>
      <c r="H6" s="5">
        <f>VLOOKUP($A6,tropes!$A$4:$O$2428,8,FALSE)</f>
        <v>0</v>
      </c>
      <c r="I6" s="5">
        <f>VLOOKUP($A6,tropes!$A$4:$O$2428,9,FALSE)</f>
        <v>101</v>
      </c>
      <c r="J6" s="5">
        <f>VLOOKUP($A6,tropes!$A$4:$O$2428,10,FALSE)</f>
        <v>2</v>
      </c>
      <c r="K6" s="5" t="str">
        <f>VLOOKUP($A6,tropes!$A$4:$O$2428,11,FALSE)</f>
        <v>The Man Trap</v>
      </c>
      <c r="L6" s="5">
        <f>VLOOKUP($A6,tropes!$A$4:$O$2428,12,FALSE)</f>
        <v>1</v>
      </c>
      <c r="M6" s="5">
        <f>VLOOKUP($A6,tropes!$A$4:$O$2428,13,FALSE)</f>
        <v>1</v>
      </c>
      <c r="N6" s="5">
        <f t="shared" si="0"/>
        <v>3</v>
      </c>
    </row>
    <row r="7" spans="1:14" x14ac:dyDescent="0.3">
      <c r="A7" s="14">
        <v>1879</v>
      </c>
      <c r="B7" s="5" t="str">
        <f>VLOOKUP($A7,tropes!$A$4:$O$2428,2,FALSE)</f>
        <v>Attempted Rape</v>
      </c>
      <c r="C7" s="5" t="str">
        <f>VLOOKUP($A7,tropes!$A$4:$O$2428,3,FALSE)</f>
        <v>love</v>
      </c>
      <c r="D7" s="5" t="str">
        <f>VLOOKUP($A7,tropes!$A$4:$O$2428,4,FALSE)</f>
        <v>rape</v>
      </c>
      <c r="E7" s="5" t="str">
        <f>VLOOKUP($A7,tropes!$A$4:$O$2428,5,FALSE)</f>
        <v>Charlie enters Yeoman Rand's room uninvited and decides he's have whatever he wants, including her.</v>
      </c>
      <c r="F7" s="5" t="str">
        <f>VLOOKUP($A7,tropes!$A$4:$O$2428,6,FALSE)</f>
        <v>rand</v>
      </c>
      <c r="G7" s="5">
        <f>VLOOKUP($A7,tropes!$A$4:$O$2428,7,FALSE)</f>
        <v>0</v>
      </c>
      <c r="H7" s="5">
        <f>VLOOKUP($A7,tropes!$A$4:$O$2428,8,FALSE)</f>
        <v>2</v>
      </c>
      <c r="I7" s="5">
        <f>VLOOKUP($A7,tropes!$A$4:$O$2428,9,FALSE)</f>
        <v>102</v>
      </c>
      <c r="J7" s="5">
        <f>VLOOKUP($A7,tropes!$A$4:$O$2428,10,FALSE)</f>
        <v>3</v>
      </c>
      <c r="K7" s="5" t="str">
        <f>VLOOKUP($A7,tropes!$A$4:$O$2428,11,FALSE)</f>
        <v>Charlie X</v>
      </c>
      <c r="L7" s="5">
        <f>VLOOKUP($A7,tropes!$A$4:$O$2428,12,FALSE)</f>
        <v>1</v>
      </c>
      <c r="M7" s="5">
        <f>VLOOKUP($A7,tropes!$A$4:$O$2428,13,FALSE)</f>
        <v>2</v>
      </c>
      <c r="N7" s="5">
        <f t="shared" si="0"/>
        <v>0</v>
      </c>
    </row>
    <row r="8" spans="1:14" x14ac:dyDescent="0.3">
      <c r="A8" s="14">
        <v>1014</v>
      </c>
      <c r="B8" s="5" t="str">
        <f>VLOOKUP($A8,tropes!$A$4:$O$2428,2,FALSE)</f>
        <v>Unresolved Sexual Tension</v>
      </c>
      <c r="C8" s="5" t="str">
        <f>VLOOKUP($A8,tropes!$A$4:$O$2428,3,FALSE)</f>
        <v>love</v>
      </c>
      <c r="D8" s="5" t="str">
        <f>VLOOKUP($A8,tropes!$A$4:$O$2428,4,FALSE)</f>
        <v>unrequited</v>
      </c>
      <c r="E8" s="5" t="str">
        <f>VLOOKUP($A8,tropes!$A$4:$O$2428,5,FALSE)</f>
        <v>Kirk loves his ship more than anything and wants Charlie to give it back.</v>
      </c>
      <c r="F8" s="5" t="str">
        <f>VLOOKUP($A8,tropes!$A$4:$O$2428,6,FALSE)</f>
        <v>kirk</v>
      </c>
      <c r="G8" s="5">
        <f>VLOOKUP($A8,tropes!$A$4:$O$2428,7,FALSE)</f>
        <v>1</v>
      </c>
      <c r="H8" s="5">
        <f>VLOOKUP($A8,tropes!$A$4:$O$2428,8,FALSE)</f>
        <v>0</v>
      </c>
      <c r="I8" s="5">
        <f>VLOOKUP($A8,tropes!$A$4:$O$2428,9,FALSE)</f>
        <v>102</v>
      </c>
      <c r="J8" s="5">
        <f>VLOOKUP($A8,tropes!$A$4:$O$2428,10,FALSE)</f>
        <v>3</v>
      </c>
      <c r="K8" s="5" t="str">
        <f>VLOOKUP($A8,tropes!$A$4:$O$2428,11,FALSE)</f>
        <v>Charlie X</v>
      </c>
      <c r="L8" s="5">
        <f>VLOOKUP($A8,tropes!$A$4:$O$2428,12,FALSE)</f>
        <v>1</v>
      </c>
      <c r="M8" s="5">
        <f>VLOOKUP($A8,tropes!$A$4:$O$2428,13,FALSE)</f>
        <v>2</v>
      </c>
      <c r="N8" s="5">
        <f t="shared" si="0"/>
        <v>1</v>
      </c>
    </row>
    <row r="9" spans="1:14" x14ac:dyDescent="0.3">
      <c r="A9" s="14">
        <v>1749</v>
      </c>
      <c r="B9" s="5" t="str">
        <f>VLOOKUP($A9,tropes!$A$4:$O$2428,2,FALSE)</f>
        <v>Girl Of The Week</v>
      </c>
      <c r="C9" s="5" t="str">
        <f>VLOOKUP($A9,tropes!$A$4:$O$2428,3,FALSE)</f>
        <v>love</v>
      </c>
      <c r="D9" s="5" t="str">
        <f>VLOOKUP($A9,tropes!$A$4:$O$2428,4,FALSE)</f>
        <v>girl_of_the_week</v>
      </c>
      <c r="E9" s="5" t="str">
        <f>VLOOKUP($A9,tropes!$A$4:$O$2428,5,FALSE)</f>
        <v>Dr. Dehner gets off on wrong foot with just about everyone, especially Lt. Cmdr. Gary Mitchell.</v>
      </c>
      <c r="F9" s="5" t="str">
        <f>VLOOKUP($A9,tropes!$A$4:$O$2428,6,FALSE)</f>
        <v>mitchell</v>
      </c>
      <c r="G9" s="5">
        <f>VLOOKUP($A9,tropes!$A$4:$O$2428,7,FALSE)</f>
        <v>0</v>
      </c>
      <c r="H9" s="5">
        <f>VLOOKUP($A9,tropes!$A$4:$O$2428,8,FALSE)</f>
        <v>0</v>
      </c>
      <c r="I9" s="5">
        <f>VLOOKUP($A9,tropes!$A$4:$O$2428,9,FALSE)</f>
        <v>103</v>
      </c>
      <c r="J9" s="5">
        <f>VLOOKUP($A9,tropes!$A$4:$O$2428,10,FALSE)</f>
        <v>4</v>
      </c>
      <c r="K9" s="5" t="str">
        <f>VLOOKUP($A9,tropes!$A$4:$O$2428,11,FALSE)</f>
        <v>Where No Man Has Gone Before</v>
      </c>
      <c r="L9" s="5">
        <f>VLOOKUP($A9,tropes!$A$4:$O$2428,12,FALSE)</f>
        <v>1</v>
      </c>
      <c r="M9" s="5">
        <f>VLOOKUP($A9,tropes!$A$4:$O$2428,13,FALSE)</f>
        <v>3</v>
      </c>
      <c r="N9" s="5">
        <f t="shared" si="0"/>
        <v>0</v>
      </c>
    </row>
    <row r="10" spans="1:14" x14ac:dyDescent="0.3">
      <c r="A10" s="14">
        <v>2330</v>
      </c>
      <c r="B10" s="5" t="str">
        <f>VLOOKUP($A10,tropes!$A$4:$O$2428,2,FALSE)</f>
        <v>Anguished Declaration Of Love</v>
      </c>
      <c r="C10" s="5" t="str">
        <f>VLOOKUP($A10,tropes!$A$4:$O$2428,3,FALSE)</f>
        <v>love</v>
      </c>
      <c r="D10" s="5" t="str">
        <f>VLOOKUP($A10,tropes!$A$4:$O$2428,4,FALSE)</f>
        <v>true</v>
      </c>
      <c r="E10" s="5" t="str">
        <f>VLOOKUP($A10,tropes!$A$4:$O$2428,5,FALSE)</f>
        <v>Nurse Chapel kisses Spock cause she's always had a crush on him and the virus caused her to let her feelings known.</v>
      </c>
      <c r="F10" s="5" t="str">
        <f>VLOOKUP($A10,tropes!$A$4:$O$2428,6,FALSE)</f>
        <v>chapel</v>
      </c>
      <c r="G10" s="5">
        <f>VLOOKUP($A10,tropes!$A$4:$O$2428,7,FALSE)</f>
        <v>0</v>
      </c>
      <c r="H10" s="5">
        <f>VLOOKUP($A10,tropes!$A$4:$O$2428,8,FALSE)</f>
        <v>2</v>
      </c>
      <c r="I10" s="5">
        <f>VLOOKUP($A10,tropes!$A$4:$O$2428,9,FALSE)</f>
        <v>104</v>
      </c>
      <c r="J10" s="5">
        <f>VLOOKUP($A10,tropes!$A$4:$O$2428,10,FALSE)</f>
        <v>5</v>
      </c>
      <c r="K10" s="5" t="str">
        <f>VLOOKUP($A10,tropes!$A$4:$O$2428,11,FALSE)</f>
        <v>The Naked Time</v>
      </c>
      <c r="L10" s="5">
        <f>VLOOKUP($A10,tropes!$A$4:$O$2428,12,FALSE)</f>
        <v>1</v>
      </c>
      <c r="M10" s="5">
        <f>VLOOKUP($A10,tropes!$A$4:$O$2428,13,FALSE)</f>
        <v>4</v>
      </c>
      <c r="N10" s="5">
        <f t="shared" si="0"/>
        <v>0</v>
      </c>
    </row>
    <row r="11" spans="1:14" x14ac:dyDescent="0.3">
      <c r="A11" s="14">
        <v>2329</v>
      </c>
      <c r="B11" s="5" t="str">
        <f>VLOOKUP($A11,tropes!$A$4:$O$2428,2,FALSE)</f>
        <v>Anguished Declaration Of Love</v>
      </c>
      <c r="C11" s="5" t="str">
        <f>VLOOKUP($A11,tropes!$A$4:$O$2428,3,FALSE)</f>
        <v>love</v>
      </c>
      <c r="D11" s="5" t="str">
        <f>VLOOKUP($A11,tropes!$A$4:$O$2428,4,FALSE)</f>
        <v>true</v>
      </c>
      <c r="E11" s="5" t="str">
        <f>VLOOKUP($A11,tropes!$A$4:$O$2428,5,FALSE)</f>
        <v>Spock kissed by Nurse Chapel and is infected with the Psi 2000 virus</v>
      </c>
      <c r="F11" s="5" t="str">
        <f>VLOOKUP($A11,tropes!$A$4:$O$2428,6,FALSE)</f>
        <v>spock</v>
      </c>
      <c r="G11" s="5">
        <f>VLOOKUP($A11,tropes!$A$4:$O$2428,7,FALSE)</f>
        <v>1</v>
      </c>
      <c r="H11" s="5">
        <f>VLOOKUP($A11,tropes!$A$4:$O$2428,8,FALSE)</f>
        <v>0</v>
      </c>
      <c r="I11" s="5">
        <f>VLOOKUP($A11,tropes!$A$4:$O$2428,9,FALSE)</f>
        <v>104</v>
      </c>
      <c r="J11" s="5">
        <f>VLOOKUP($A11,tropes!$A$4:$O$2428,10,FALSE)</f>
        <v>5</v>
      </c>
      <c r="K11" s="5" t="str">
        <f>VLOOKUP($A11,tropes!$A$4:$O$2428,11,FALSE)</f>
        <v>The Naked Time</v>
      </c>
      <c r="L11" s="5">
        <f>VLOOKUP($A11,tropes!$A$4:$O$2428,12,FALSE)</f>
        <v>1</v>
      </c>
      <c r="M11" s="5">
        <f>VLOOKUP($A11,tropes!$A$4:$O$2428,13,FALSE)</f>
        <v>4</v>
      </c>
      <c r="N11" s="5">
        <f t="shared" si="0"/>
        <v>1</v>
      </c>
    </row>
    <row r="12" spans="1:14" x14ac:dyDescent="0.3">
      <c r="A12" s="14">
        <v>2461</v>
      </c>
      <c r="B12" s="5" t="str">
        <f>VLOOKUP($A12,tropes!$A$4:$O$2428,2,FALSE)</f>
        <v>Love Is In The Air</v>
      </c>
      <c r="C12" s="5" t="str">
        <f>VLOOKUP($A12,tropes!$A$4:$O$2428,3,FALSE)</f>
        <v>love</v>
      </c>
      <c r="D12" s="5" t="str">
        <f>VLOOKUP($A12,tropes!$A$4:$O$2428,4,FALSE)</f>
        <v>harassment</v>
      </c>
      <c r="E12" s="5" t="str">
        <f>VLOOKUP($A12,tropes!$A$4:$O$2428,5,FALSE)</f>
        <v>Sulu gets amorous for Uhura but she's not interested in him.</v>
      </c>
      <c r="F12" s="5" t="str">
        <f>VLOOKUP($A12,tropes!$A$4:$O$2428,6,FALSE)</f>
        <v>sulu</v>
      </c>
      <c r="G12" s="5">
        <f>VLOOKUP($A12,tropes!$A$4:$O$2428,7,FALSE)</f>
        <v>0</v>
      </c>
      <c r="H12" s="5">
        <f>VLOOKUP($A12,tropes!$A$4:$O$2428,8,FALSE)</f>
        <v>1</v>
      </c>
      <c r="I12" s="5">
        <f>VLOOKUP($A12,tropes!$A$4:$O$2428,9,FALSE)</f>
        <v>104</v>
      </c>
      <c r="J12" s="5">
        <f>VLOOKUP($A12,tropes!$A$4:$O$2428,10,FALSE)</f>
        <v>5</v>
      </c>
      <c r="K12" s="5" t="str">
        <f>VLOOKUP($A12,tropes!$A$4:$O$2428,11,FALSE)</f>
        <v>The Naked Time</v>
      </c>
      <c r="L12" s="5">
        <f>VLOOKUP($A12,tropes!$A$4:$O$2428,12,FALSE)</f>
        <v>1</v>
      </c>
      <c r="M12" s="5">
        <f>VLOOKUP($A12,tropes!$A$4:$O$2428,13,FALSE)</f>
        <v>4</v>
      </c>
      <c r="N12" s="5">
        <f t="shared" si="0"/>
        <v>2</v>
      </c>
    </row>
    <row r="13" spans="1:14" x14ac:dyDescent="0.3">
      <c r="A13" s="14">
        <v>1015</v>
      </c>
      <c r="B13" s="5" t="str">
        <f>VLOOKUP($A13,tropes!$A$4:$O$2428,2,FALSE)</f>
        <v>Unresolved Sexual Tension</v>
      </c>
      <c r="C13" s="5" t="str">
        <f>VLOOKUP($A13,tropes!$A$4:$O$2428,3,FALSE)</f>
        <v>love</v>
      </c>
      <c r="D13" s="5" t="str">
        <f>VLOOKUP($A13,tropes!$A$4:$O$2428,4,FALSE)</f>
        <v>unrequited</v>
      </c>
      <c r="E13" s="5" t="str">
        <f>VLOOKUP($A13,tropes!$A$4:$O$2428,5,FALSE)</f>
        <v>Kirk: I've got it, the disease. Love. You're better off without it, and I'm better off without mine. This vessel, I give, she takes. She won't permit me my life. I've got to live hers.</v>
      </c>
      <c r="F13" s="5" t="str">
        <f>VLOOKUP($A13,tropes!$A$4:$O$2428,6,FALSE)</f>
        <v>kirk</v>
      </c>
      <c r="G13" s="5">
        <f>VLOOKUP($A13,tropes!$A$4:$O$2428,7,FALSE)</f>
        <v>1</v>
      </c>
      <c r="H13" s="5">
        <f>VLOOKUP($A13,tropes!$A$4:$O$2428,8,FALSE)</f>
        <v>0</v>
      </c>
      <c r="I13" s="5">
        <f>VLOOKUP($A13,tropes!$A$4:$O$2428,9,FALSE)</f>
        <v>104</v>
      </c>
      <c r="J13" s="5">
        <f>VLOOKUP($A13,tropes!$A$4:$O$2428,10,FALSE)</f>
        <v>5</v>
      </c>
      <c r="K13" s="5" t="str">
        <f>VLOOKUP($A13,tropes!$A$4:$O$2428,11,FALSE)</f>
        <v>The Naked Time</v>
      </c>
      <c r="L13" s="5">
        <f>VLOOKUP($A13,tropes!$A$4:$O$2428,12,FALSE)</f>
        <v>1</v>
      </c>
      <c r="M13" s="5">
        <f>VLOOKUP($A13,tropes!$A$4:$O$2428,13,FALSE)</f>
        <v>4</v>
      </c>
      <c r="N13" s="5">
        <f t="shared" si="0"/>
        <v>3</v>
      </c>
    </row>
    <row r="14" spans="1:14" x14ac:dyDescent="0.3">
      <c r="A14" s="14">
        <v>1882</v>
      </c>
      <c r="B14" s="5" t="str">
        <f>VLOOKUP($A14,tropes!$A$4:$O$2428,2,FALSE)</f>
        <v>Attempted Rape</v>
      </c>
      <c r="C14" s="5" t="str">
        <f>VLOOKUP($A14,tropes!$A$4:$O$2428,3,FALSE)</f>
        <v>love</v>
      </c>
      <c r="D14" s="5" t="str">
        <f>VLOOKUP($A14,tropes!$A$4:$O$2428,4,FALSE)</f>
        <v>rape</v>
      </c>
      <c r="E14" s="5" t="str">
        <f>VLOOKUP($A14,tropes!$A$4:$O$2428,5,FALSE)</f>
        <v>Evil-Kirk attempts to rape Yeoman Rand.</v>
      </c>
      <c r="F14" s="5" t="str">
        <f>VLOOKUP($A14,tropes!$A$4:$O$2428,6,FALSE)</f>
        <v>evil_kirk</v>
      </c>
      <c r="G14" s="5">
        <f>VLOOKUP($A14,tropes!$A$4:$O$2428,7,FALSE)</f>
        <v>0</v>
      </c>
      <c r="H14" s="5">
        <f>VLOOKUP($A14,tropes!$A$4:$O$2428,8,FALSE)</f>
        <v>0</v>
      </c>
      <c r="I14" s="5">
        <f>VLOOKUP($A14,tropes!$A$4:$O$2428,9,FALSE)</f>
        <v>105</v>
      </c>
      <c r="J14" s="5">
        <f>VLOOKUP($A14,tropes!$A$4:$O$2428,10,FALSE)</f>
        <v>6</v>
      </c>
      <c r="K14" s="5" t="str">
        <f>VLOOKUP($A14,tropes!$A$4:$O$2428,11,FALSE)</f>
        <v>The Enemy Within</v>
      </c>
      <c r="L14" s="5">
        <f>VLOOKUP($A14,tropes!$A$4:$O$2428,12,FALSE)</f>
        <v>1</v>
      </c>
      <c r="M14" s="5">
        <f>VLOOKUP($A14,tropes!$A$4:$O$2428,13,FALSE)</f>
        <v>5</v>
      </c>
      <c r="N14" s="5">
        <f t="shared" si="0"/>
        <v>0</v>
      </c>
    </row>
    <row r="15" spans="1:14" x14ac:dyDescent="0.3">
      <c r="A15" s="14">
        <v>1694</v>
      </c>
      <c r="B15" s="5" t="str">
        <f>VLOOKUP($A15,tropes!$A$4:$O$2428,2,FALSE)</f>
        <v>Girl Of The Week</v>
      </c>
      <c r="C15" s="5" t="str">
        <f>VLOOKUP($A15,tropes!$A$4:$O$2428,3,FALSE)</f>
        <v>love</v>
      </c>
      <c r="D15" s="5" t="str">
        <f>VLOOKUP($A15,tropes!$A$4:$O$2428,4,FALSE)</f>
        <v>girl_of_the_week</v>
      </c>
      <c r="E15" s="5" t="str">
        <f>VLOOKUP($A15,tropes!$A$4:$O$2428,5,FALSE)</f>
        <v>Eve McHuron</v>
      </c>
      <c r="F15" s="5" t="str">
        <f>VLOOKUP($A15,tropes!$A$4:$O$2428,6,FALSE)</f>
        <v>kirk</v>
      </c>
      <c r="G15" s="5">
        <f>VLOOKUP($A15,tropes!$A$4:$O$2428,7,FALSE)</f>
        <v>0</v>
      </c>
      <c r="H15" s="5">
        <f>VLOOKUP($A15,tropes!$A$4:$O$2428,8,FALSE)</f>
        <v>0</v>
      </c>
      <c r="I15" s="5">
        <f>VLOOKUP($A15,tropes!$A$4:$O$2428,9,FALSE)</f>
        <v>106</v>
      </c>
      <c r="J15" s="5">
        <f>VLOOKUP($A15,tropes!$A$4:$O$2428,10,FALSE)</f>
        <v>7</v>
      </c>
      <c r="K15" s="5" t="str">
        <f>VLOOKUP($A15,tropes!$A$4:$O$2428,11,FALSE)</f>
        <v>Mudd's Women</v>
      </c>
      <c r="L15" s="5">
        <f>VLOOKUP($A15,tropes!$A$4:$O$2428,12,FALSE)</f>
        <v>1</v>
      </c>
      <c r="M15" s="5">
        <f>VLOOKUP($A15,tropes!$A$4:$O$2428,13,FALSE)</f>
        <v>6</v>
      </c>
      <c r="N15" s="5">
        <f t="shared" si="0"/>
        <v>0</v>
      </c>
    </row>
    <row r="16" spans="1:14" x14ac:dyDescent="0.3">
      <c r="A16" s="14">
        <v>1782</v>
      </c>
      <c r="B16" s="5" t="str">
        <f>VLOOKUP($A16,tropes!$A$4:$O$2428,2,FALSE)</f>
        <v>Girl Of The Week</v>
      </c>
      <c r="C16" s="5" t="str">
        <f>VLOOKUP($A16,tropes!$A$4:$O$2428,3,FALSE)</f>
        <v>love</v>
      </c>
      <c r="D16" s="5" t="str">
        <f>VLOOKUP($A16,tropes!$A$4:$O$2428,4,FALSE)</f>
        <v>girl_of_the_week</v>
      </c>
      <c r="E16" s="5" t="str">
        <f>VLOOKUP($A16,tropes!$A$4:$O$2428,5,FALSE)</f>
        <v>Magda Kovac</v>
      </c>
      <c r="F16" s="5" t="str">
        <f>VLOOKUP($A16,tropes!$A$4:$O$2428,6,FALSE)</f>
        <v>xxx</v>
      </c>
      <c r="G16" s="5">
        <f>VLOOKUP($A16,tropes!$A$4:$O$2428,7,FALSE)</f>
        <v>0</v>
      </c>
      <c r="H16" s="5">
        <f>VLOOKUP($A16,tropes!$A$4:$O$2428,8,FALSE)</f>
        <v>0</v>
      </c>
      <c r="I16" s="5">
        <f>VLOOKUP($A16,tropes!$A$4:$O$2428,9,FALSE)</f>
        <v>106</v>
      </c>
      <c r="J16" s="5">
        <f>VLOOKUP($A16,tropes!$A$4:$O$2428,10,FALSE)</f>
        <v>7</v>
      </c>
      <c r="K16" s="5" t="str">
        <f>VLOOKUP($A16,tropes!$A$4:$O$2428,11,FALSE)</f>
        <v>Mudd's Women</v>
      </c>
      <c r="L16" s="5">
        <f>VLOOKUP($A16,tropes!$A$4:$O$2428,12,FALSE)</f>
        <v>1</v>
      </c>
      <c r="M16" s="5">
        <f>VLOOKUP($A16,tropes!$A$4:$O$2428,13,FALSE)</f>
        <v>6</v>
      </c>
      <c r="N16" s="5">
        <f t="shared" si="0"/>
        <v>1</v>
      </c>
    </row>
    <row r="17" spans="1:14" x14ac:dyDescent="0.3">
      <c r="A17" s="14">
        <v>3020</v>
      </c>
      <c r="B17" s="5" t="str">
        <f>VLOOKUP($A17,tropes!$A$4:$O$2428,2,FALSE)</f>
        <v>Girl Of The Week</v>
      </c>
      <c r="C17" s="5" t="str">
        <f>VLOOKUP($A17,tropes!$A$4:$O$2428,3,FALSE)</f>
        <v>love</v>
      </c>
      <c r="D17" s="5" t="str">
        <f>VLOOKUP($A17,tropes!$A$4:$O$2428,4,FALSE)</f>
        <v>girl_of_the_week</v>
      </c>
      <c r="E17" s="5" t="str">
        <f>VLOOKUP($A17,tropes!$A$4:$O$2428,5,FALSE)</f>
        <v>Ruth Bonavure</v>
      </c>
      <c r="F17" s="5" t="str">
        <f>VLOOKUP($A17,tropes!$A$4:$O$2428,6,FALSE)</f>
        <v>kirk</v>
      </c>
      <c r="G17" s="5">
        <f>VLOOKUP($A17,tropes!$A$4:$O$2428,7,FALSE)</f>
        <v>0</v>
      </c>
      <c r="H17" s="5">
        <f>VLOOKUP($A17,tropes!$A$4:$O$2428,8,FALSE)</f>
        <v>0</v>
      </c>
      <c r="I17" s="5">
        <f>VLOOKUP($A17,tropes!$A$4:$O$2428,9,FALSE)</f>
        <v>106</v>
      </c>
      <c r="J17" s="5">
        <f>VLOOKUP($A17,tropes!$A$4:$O$2428,10,FALSE)</f>
        <v>7</v>
      </c>
      <c r="K17" s="5" t="str">
        <f>VLOOKUP($A17,tropes!$A$4:$O$2428,11,FALSE)</f>
        <v>Mudd's Women</v>
      </c>
      <c r="L17" s="5">
        <f>VLOOKUP($A17,tropes!$A$4:$O$2428,12,FALSE)</f>
        <v>1</v>
      </c>
      <c r="M17" s="5">
        <f>VLOOKUP($A17,tropes!$A$4:$O$2428,13,FALSE)</f>
        <v>6</v>
      </c>
      <c r="N17" s="5">
        <f t="shared" si="0"/>
        <v>2</v>
      </c>
    </row>
    <row r="18" spans="1:14" x14ac:dyDescent="0.3">
      <c r="A18" s="14">
        <v>1767</v>
      </c>
      <c r="B18" s="5" t="str">
        <f>VLOOKUP($A18,tropes!$A$4:$O$2428,2,FALSE)</f>
        <v>Love Potion</v>
      </c>
      <c r="C18" s="5" t="str">
        <f>VLOOKUP($A18,tropes!$A$4:$O$2428,3,FALSE)</f>
        <v>love</v>
      </c>
      <c r="D18" s="5" t="str">
        <f>VLOOKUP($A18,tropes!$A$4:$O$2428,4,FALSE)</f>
        <v>additives</v>
      </c>
      <c r="E18" s="5" t="str">
        <f>VLOOKUP($A18,tropes!$A$4:$O$2428,5,FALSE)</f>
        <v>Venus Drug given to women by Harry Mudd. Makes all the males on board desire them.</v>
      </c>
      <c r="F18" s="5" t="str">
        <f>VLOOKUP($A18,tropes!$A$4:$O$2428,6,FALSE)</f>
        <v>mudd</v>
      </c>
      <c r="G18" s="5">
        <f>VLOOKUP($A18,tropes!$A$4:$O$2428,7,FALSE)</f>
        <v>0</v>
      </c>
      <c r="H18" s="5">
        <f>VLOOKUP($A18,tropes!$A$4:$O$2428,8,FALSE)</f>
        <v>0</v>
      </c>
      <c r="I18" s="5">
        <f>VLOOKUP($A18,tropes!$A$4:$O$2428,9,FALSE)</f>
        <v>106</v>
      </c>
      <c r="J18" s="5">
        <f>VLOOKUP($A18,tropes!$A$4:$O$2428,10,FALSE)</f>
        <v>7</v>
      </c>
      <c r="K18" s="5" t="str">
        <f>VLOOKUP($A18,tropes!$A$4:$O$2428,11,FALSE)</f>
        <v>Mudd's Women</v>
      </c>
      <c r="L18" s="5">
        <f>VLOOKUP($A18,tropes!$A$4:$O$2428,12,FALSE)</f>
        <v>1</v>
      </c>
      <c r="M18" s="5">
        <f>VLOOKUP($A18,tropes!$A$4:$O$2428,13,FALSE)</f>
        <v>6</v>
      </c>
      <c r="N18" s="5">
        <f t="shared" si="0"/>
        <v>3</v>
      </c>
    </row>
    <row r="19" spans="1:14" x14ac:dyDescent="0.3">
      <c r="A19" s="14">
        <v>1016</v>
      </c>
      <c r="B19" s="5" t="str">
        <f>VLOOKUP($A19,tropes!$A$4:$O$2428,2,FALSE)</f>
        <v>Unresolved Sexual Tension</v>
      </c>
      <c r="C19" s="5" t="str">
        <f>VLOOKUP($A19,tropes!$A$4:$O$2428,3,FALSE)</f>
        <v>love</v>
      </c>
      <c r="D19" s="5" t="str">
        <f>VLOOKUP($A19,tropes!$A$4:$O$2428,4,FALSE)</f>
        <v>unrequited</v>
      </c>
      <c r="E19" s="5" t="str">
        <f>VLOOKUP($A19,tropes!$A$4:$O$2428,5,FALSE)</f>
        <v>Kirk is in love with his ship. He'll do anything to save her.</v>
      </c>
      <c r="F19" s="5" t="str">
        <f>VLOOKUP($A19,tropes!$A$4:$O$2428,6,FALSE)</f>
        <v>kirk</v>
      </c>
      <c r="G19" s="5">
        <f>VLOOKUP($A19,tropes!$A$4:$O$2428,7,FALSE)</f>
        <v>1</v>
      </c>
      <c r="H19" s="5">
        <f>VLOOKUP($A19,tropes!$A$4:$O$2428,8,FALSE)</f>
        <v>0</v>
      </c>
      <c r="I19" s="5">
        <f>VLOOKUP($A19,tropes!$A$4:$O$2428,9,FALSE)</f>
        <v>106</v>
      </c>
      <c r="J19" s="5">
        <f>VLOOKUP($A19,tropes!$A$4:$O$2428,10,FALSE)</f>
        <v>7</v>
      </c>
      <c r="K19" s="5" t="str">
        <f>VLOOKUP($A19,tropes!$A$4:$O$2428,11,FALSE)</f>
        <v>Mudd's Women</v>
      </c>
      <c r="L19" s="5">
        <f>VLOOKUP($A19,tropes!$A$4:$O$2428,12,FALSE)</f>
        <v>1</v>
      </c>
      <c r="M19" s="5">
        <f>VLOOKUP($A19,tropes!$A$4:$O$2428,13,FALSE)</f>
        <v>6</v>
      </c>
      <c r="N19" s="5">
        <f t="shared" si="0"/>
        <v>4</v>
      </c>
    </row>
    <row r="20" spans="1:14" x14ac:dyDescent="0.3">
      <c r="A20" s="14">
        <v>2902</v>
      </c>
      <c r="B20" s="5" t="str">
        <f>VLOOKUP($A20,tropes!$A$4:$O$2428,2,FALSE)</f>
        <v>Girl Of The Week</v>
      </c>
      <c r="C20" s="5" t="str">
        <f>VLOOKUP($A20,tropes!$A$4:$O$2428,3,FALSE)</f>
        <v>love</v>
      </c>
      <c r="D20" s="5" t="str">
        <f>VLOOKUP($A20,tropes!$A$4:$O$2428,4,FALSE)</f>
        <v>girl_of_the_week</v>
      </c>
      <c r="E20" s="5" t="str">
        <f>VLOOKUP($A20,tropes!$A$4:$O$2428,5,FALSE)</f>
        <v>Andrea, the beautiful android whom Kirk's magic charms makes into a real girl.</v>
      </c>
      <c r="F20" s="5" t="str">
        <f>VLOOKUP($A20,tropes!$A$4:$O$2428,6,FALSE)</f>
        <v>kirk</v>
      </c>
      <c r="G20" s="5">
        <f>VLOOKUP($A20,tropes!$A$4:$O$2428,7,FALSE)</f>
        <v>0</v>
      </c>
      <c r="H20" s="5">
        <f>VLOOKUP($A20,tropes!$A$4:$O$2428,8,FALSE)</f>
        <v>0</v>
      </c>
      <c r="I20" s="5">
        <f>VLOOKUP($A20,tropes!$A$4:$O$2428,9,FALSE)</f>
        <v>107</v>
      </c>
      <c r="J20" s="5">
        <f>VLOOKUP($A20,tropes!$A$4:$O$2428,10,FALSE)</f>
        <v>8</v>
      </c>
      <c r="K20" s="5" t="str">
        <f>VLOOKUP($A20,tropes!$A$4:$O$2428,11,FALSE)</f>
        <v>What Are Little Girls Made Of?</v>
      </c>
      <c r="L20" s="5">
        <f>VLOOKUP($A20,tropes!$A$4:$O$2428,12,FALSE)</f>
        <v>1</v>
      </c>
      <c r="M20" s="5">
        <f>VLOOKUP($A20,tropes!$A$4:$O$2428,13,FALSE)</f>
        <v>7</v>
      </c>
      <c r="N20" s="5">
        <f t="shared" si="0"/>
        <v>0</v>
      </c>
    </row>
    <row r="21" spans="1:14" x14ac:dyDescent="0.3">
      <c r="A21" s="14">
        <v>83</v>
      </c>
      <c r="B21" s="5" t="str">
        <f>VLOOKUP($A21,tropes!$A$4:$O$2428,2,FALSE)</f>
        <v>Non-Human Lover Revealed</v>
      </c>
      <c r="C21" s="5" t="str">
        <f>VLOOKUP($A21,tropes!$A$4:$O$2428,3,FALSE)</f>
        <v>love</v>
      </c>
      <c r="D21" s="5" t="str">
        <f>VLOOKUP($A21,tropes!$A$4:$O$2428,4,FALSE)</f>
        <v>non_human</v>
      </c>
      <c r="E21" s="5" t="str">
        <f>VLOOKUP($A21,tropes!$A$4:$O$2428,5,FALSE)</f>
        <v>Andrea is revealed to be an android.</v>
      </c>
      <c r="F21" s="5" t="str">
        <f>VLOOKUP($A21,tropes!$A$4:$O$2428,6,FALSE)</f>
        <v>andreaRobot</v>
      </c>
      <c r="G21" s="5">
        <f>VLOOKUP($A21,tropes!$A$4:$O$2428,7,FALSE)</f>
        <v>0</v>
      </c>
      <c r="H21" s="5">
        <f>VLOOKUP($A21,tropes!$A$4:$O$2428,8,FALSE)</f>
        <v>0</v>
      </c>
      <c r="I21" s="5">
        <f>VLOOKUP($A21,tropes!$A$4:$O$2428,9,FALSE)</f>
        <v>107</v>
      </c>
      <c r="J21" s="5">
        <f>VLOOKUP($A21,tropes!$A$4:$O$2428,10,FALSE)</f>
        <v>8</v>
      </c>
      <c r="K21" s="5" t="str">
        <f>VLOOKUP($A21,tropes!$A$4:$O$2428,11,FALSE)</f>
        <v>What Are Little Girls Made Of?</v>
      </c>
      <c r="L21" s="5">
        <f>VLOOKUP($A21,tropes!$A$4:$O$2428,12,FALSE)</f>
        <v>1</v>
      </c>
      <c r="M21" s="5">
        <f>VLOOKUP($A21,tropes!$A$4:$O$2428,13,FALSE)</f>
        <v>7</v>
      </c>
      <c r="N21" s="5">
        <f t="shared" si="0"/>
        <v>1</v>
      </c>
    </row>
    <row r="22" spans="1:14" x14ac:dyDescent="0.3">
      <c r="A22" s="14">
        <v>127</v>
      </c>
      <c r="B22" s="5" t="str">
        <f>VLOOKUP($A22,tropes!$A$4:$O$2428,2,FALSE)</f>
        <v>Non-Human Lover Revealed</v>
      </c>
      <c r="C22" s="5" t="str">
        <f>VLOOKUP($A22,tropes!$A$4:$O$2428,3,FALSE)</f>
        <v>love</v>
      </c>
      <c r="D22" s="5" t="str">
        <f>VLOOKUP($A22,tropes!$A$4:$O$2428,4,FALSE)</f>
        <v>non_human</v>
      </c>
      <c r="E22" s="5" t="str">
        <f>VLOOKUP($A22,tropes!$A$4:$O$2428,5,FALSE)</f>
        <v>Dr. Korby is revealed to Nurse Chapel to be an android.</v>
      </c>
      <c r="F22" s="5" t="str">
        <f>VLOOKUP($A22,tropes!$A$4:$O$2428,6,FALSE)</f>
        <v>chapel</v>
      </c>
      <c r="G22" s="5">
        <f>VLOOKUP($A22,tropes!$A$4:$O$2428,7,FALSE)</f>
        <v>0</v>
      </c>
      <c r="H22" s="5">
        <f>VLOOKUP($A22,tropes!$A$4:$O$2428,8,FALSE)</f>
        <v>0</v>
      </c>
      <c r="I22" s="5">
        <f>VLOOKUP($A22,tropes!$A$4:$O$2428,9,FALSE)</f>
        <v>107</v>
      </c>
      <c r="J22" s="5">
        <f>VLOOKUP($A22,tropes!$A$4:$O$2428,10,FALSE)</f>
        <v>8</v>
      </c>
      <c r="K22" s="5" t="str">
        <f>VLOOKUP($A22,tropes!$A$4:$O$2428,11,FALSE)</f>
        <v>What Are Little Girls Made Of?</v>
      </c>
      <c r="L22" s="5">
        <f>VLOOKUP($A22,tropes!$A$4:$O$2428,12,FALSE)</f>
        <v>1</v>
      </c>
      <c r="M22" s="5">
        <f>VLOOKUP($A22,tropes!$A$4:$O$2428,13,FALSE)</f>
        <v>7</v>
      </c>
      <c r="N22" s="5">
        <f t="shared" si="0"/>
        <v>2</v>
      </c>
    </row>
    <row r="23" spans="1:14" x14ac:dyDescent="0.3">
      <c r="A23" s="14">
        <v>1921</v>
      </c>
      <c r="B23" s="5" t="str">
        <f>VLOOKUP($A23,tropes!$A$4:$O$2428,2,FALSE)</f>
        <v>Robosexual</v>
      </c>
      <c r="C23" s="5" t="str">
        <f>VLOOKUP($A23,tropes!$A$4:$O$2428,3,FALSE)</f>
        <v>love</v>
      </c>
      <c r="D23" s="5" t="str">
        <f>VLOOKUP($A23,tropes!$A$4:$O$2428,4,FALSE)</f>
        <v>non_human</v>
      </c>
      <c r="E23" s="5" t="str">
        <f>VLOOKUP($A23,tropes!$A$4:$O$2428,5,FALSE)</f>
        <v>Was Dr. Korby having sex with Andrea the android or not?</v>
      </c>
      <c r="F23" s="5" t="str">
        <f>VLOOKUP($A23,tropes!$A$4:$O$2428,6,FALSE)</f>
        <v>robot</v>
      </c>
      <c r="G23" s="5">
        <f>VLOOKUP($A23,tropes!$A$4:$O$2428,7,FALSE)</f>
        <v>0</v>
      </c>
      <c r="H23" s="5">
        <f>VLOOKUP($A23,tropes!$A$4:$O$2428,8,FALSE)</f>
        <v>0</v>
      </c>
      <c r="I23" s="5">
        <f>VLOOKUP($A23,tropes!$A$4:$O$2428,9,FALSE)</f>
        <v>107</v>
      </c>
      <c r="J23" s="5">
        <f>VLOOKUP($A23,tropes!$A$4:$O$2428,10,FALSE)</f>
        <v>8</v>
      </c>
      <c r="K23" s="5" t="str">
        <f>VLOOKUP($A23,tropes!$A$4:$O$2428,11,FALSE)</f>
        <v>What Are Little Girls Made Of?</v>
      </c>
      <c r="L23" s="5">
        <f>VLOOKUP($A23,tropes!$A$4:$O$2428,12,FALSE)</f>
        <v>1</v>
      </c>
      <c r="M23" s="5">
        <f>VLOOKUP($A23,tropes!$A$4:$O$2428,13,FALSE)</f>
        <v>7</v>
      </c>
      <c r="N23" s="5">
        <f t="shared" si="0"/>
        <v>3</v>
      </c>
    </row>
    <row r="24" spans="1:14" x14ac:dyDescent="0.3">
      <c r="A24" s="14">
        <v>1106</v>
      </c>
      <c r="B24" s="5" t="str">
        <f>VLOOKUP($A24,tropes!$A$4:$O$2428,2,FALSE)</f>
        <v>Girl Of The Week</v>
      </c>
      <c r="C24" s="5" t="str">
        <f>VLOOKUP($A24,tropes!$A$4:$O$2428,3,FALSE)</f>
        <v>love</v>
      </c>
      <c r="D24" s="5" t="str">
        <f>VLOOKUP($A24,tropes!$A$4:$O$2428,4,FALSE)</f>
        <v>girl_of_the_week</v>
      </c>
      <c r="E24" s="5" t="str">
        <f>VLOOKUP($A24,tropes!$A$4:$O$2428,5,FALSE)</f>
        <v>Miri whom Kirk has grown to care about.</v>
      </c>
      <c r="F24" s="5" t="str">
        <f>VLOOKUP($A24,tropes!$A$4:$O$2428,6,FALSE)</f>
        <v>kirk</v>
      </c>
      <c r="G24" s="5">
        <f>VLOOKUP($A24,tropes!$A$4:$O$2428,7,FALSE)</f>
        <v>0</v>
      </c>
      <c r="H24" s="5">
        <f>VLOOKUP($A24,tropes!$A$4:$O$2428,8,FALSE)</f>
        <v>0</v>
      </c>
      <c r="I24" s="5">
        <f>VLOOKUP($A24,tropes!$A$4:$O$2428,9,FALSE)</f>
        <v>108</v>
      </c>
      <c r="J24" s="5">
        <f>VLOOKUP($A24,tropes!$A$4:$O$2428,10,FALSE)</f>
        <v>9</v>
      </c>
      <c r="K24" s="5" t="str">
        <f>VLOOKUP($A24,tropes!$A$4:$O$2428,11,FALSE)</f>
        <v>Miri</v>
      </c>
      <c r="L24" s="5">
        <f>VLOOKUP($A24,tropes!$A$4:$O$2428,12,FALSE)</f>
        <v>1</v>
      </c>
      <c r="M24" s="5">
        <f>VLOOKUP($A24,tropes!$A$4:$O$2428,13,FALSE)</f>
        <v>8</v>
      </c>
      <c r="N24" s="5">
        <f t="shared" si="0"/>
        <v>0</v>
      </c>
    </row>
    <row r="25" spans="1:14" x14ac:dyDescent="0.3">
      <c r="A25" s="14">
        <v>1161</v>
      </c>
      <c r="B25" s="5" t="str">
        <f>VLOOKUP($A25,tropes!$A$4:$O$2428,2,FALSE)</f>
        <v>Unresolved Sexual Tension</v>
      </c>
      <c r="C25" s="5" t="str">
        <f>VLOOKUP($A25,tropes!$A$4:$O$2428,3,FALSE)</f>
        <v>love</v>
      </c>
      <c r="D25" s="5" t="str">
        <f>VLOOKUP($A25,tropes!$A$4:$O$2428,4,FALSE)</f>
        <v>unrequited</v>
      </c>
      <c r="E25" s="5" t="str">
        <f>VLOOKUP($A25,tropes!$A$4:$O$2428,5,FALSE)</f>
        <v>Yeoman Rand declares her love for him, but Kirk just can't quite do the same with her and she's gone after the next episode.</v>
      </c>
      <c r="F25" s="5" t="str">
        <f>VLOOKUP($A25,tropes!$A$4:$O$2428,6,FALSE)</f>
        <v>kirk</v>
      </c>
      <c r="G25" s="5">
        <f>VLOOKUP($A25,tropes!$A$4:$O$2428,7,FALSE)</f>
        <v>1</v>
      </c>
      <c r="H25" s="5">
        <f>VLOOKUP($A25,tropes!$A$4:$O$2428,8,FALSE)</f>
        <v>0</v>
      </c>
      <c r="I25" s="5">
        <f>VLOOKUP($A25,tropes!$A$4:$O$2428,9,FALSE)</f>
        <v>108</v>
      </c>
      <c r="J25" s="5">
        <f>VLOOKUP($A25,tropes!$A$4:$O$2428,10,FALSE)</f>
        <v>9</v>
      </c>
      <c r="K25" s="5" t="str">
        <f>VLOOKUP($A25,tropes!$A$4:$O$2428,11,FALSE)</f>
        <v>Miri</v>
      </c>
      <c r="L25" s="5">
        <f>VLOOKUP($A25,tropes!$A$4:$O$2428,12,FALSE)</f>
        <v>1</v>
      </c>
      <c r="M25" s="5">
        <f>VLOOKUP($A25,tropes!$A$4:$O$2428,13,FALSE)</f>
        <v>8</v>
      </c>
      <c r="N25" s="5">
        <f t="shared" si="0"/>
        <v>1</v>
      </c>
    </row>
    <row r="26" spans="1:14" x14ac:dyDescent="0.3">
      <c r="A26" s="14">
        <v>1786</v>
      </c>
      <c r="B26" s="5" t="str">
        <f>VLOOKUP($A26,tropes!$A$4:$O$2428,2,FALSE)</f>
        <v>Fake Love***</v>
      </c>
      <c r="C26" s="5" t="str">
        <f>VLOOKUP($A26,tropes!$A$4:$O$2428,3,FALSE)</f>
        <v>love</v>
      </c>
      <c r="D26" s="5" t="str">
        <f>VLOOKUP($A26,tropes!$A$4:$O$2428,4,FALSE)</f>
        <v>lecherous</v>
      </c>
      <c r="E26" s="5" t="str">
        <f>VLOOKUP($A26,tropes!$A$4:$O$2428,5,FALSE)</f>
        <v>Dr. Helen Noel plants fake memory of kiss in Kirks mind with the Neural Neutralizer.</v>
      </c>
      <c r="F26" s="5" t="str">
        <f>VLOOKUP($A26,tropes!$A$4:$O$2428,6,FALSE)</f>
        <v>noel</v>
      </c>
      <c r="G26" s="5">
        <f>VLOOKUP($A26,tropes!$A$4:$O$2428,7,FALSE)</f>
        <v>0</v>
      </c>
      <c r="H26" s="5">
        <f>VLOOKUP($A26,tropes!$A$4:$O$2428,8,FALSE)</f>
        <v>0</v>
      </c>
      <c r="I26" s="5">
        <f>VLOOKUP($A26,tropes!$A$4:$O$2428,9,FALSE)</f>
        <v>109</v>
      </c>
      <c r="J26" s="5">
        <f>VLOOKUP($A26,tropes!$A$4:$O$2428,10,FALSE)</f>
        <v>10</v>
      </c>
      <c r="K26" s="5" t="str">
        <f>VLOOKUP($A26,tropes!$A$4:$O$2428,11,FALSE)</f>
        <v>Dagger of the Mind</v>
      </c>
      <c r="L26" s="5">
        <f>VLOOKUP($A26,tropes!$A$4:$O$2428,12,FALSE)</f>
        <v>1</v>
      </c>
      <c r="M26" s="5">
        <f>VLOOKUP($A26,tropes!$A$4:$O$2428,13,FALSE)</f>
        <v>9</v>
      </c>
      <c r="N26" s="5">
        <f t="shared" si="0"/>
        <v>0</v>
      </c>
    </row>
    <row r="27" spans="1:14" x14ac:dyDescent="0.3">
      <c r="A27" s="14">
        <v>1146</v>
      </c>
      <c r="B27" s="5" t="str">
        <f>VLOOKUP($A27,tropes!$A$4:$O$2428,2,FALSE)</f>
        <v>Girl Of The Week</v>
      </c>
      <c r="C27" s="5" t="str">
        <f>VLOOKUP($A27,tropes!$A$4:$O$2428,3,FALSE)</f>
        <v>love</v>
      </c>
      <c r="D27" s="5" t="str">
        <f>VLOOKUP($A27,tropes!$A$4:$O$2428,4,FALSE)</f>
        <v>girl_of_the_week</v>
      </c>
      <c r="E27" s="5" t="str">
        <f>VLOOKUP($A27,tropes!$A$4:$O$2428,5,FALSE)</f>
        <v>Dr. Helen Noel, a psychiatrist whom Kirk had a one-night stand with at a Christmas party.</v>
      </c>
      <c r="F27" s="5" t="str">
        <f>VLOOKUP($A27,tropes!$A$4:$O$2428,6,FALSE)</f>
        <v>kirk</v>
      </c>
      <c r="G27" s="5">
        <f>VLOOKUP($A27,tropes!$A$4:$O$2428,7,FALSE)</f>
        <v>0</v>
      </c>
      <c r="H27" s="5">
        <f>VLOOKUP($A27,tropes!$A$4:$O$2428,8,FALSE)</f>
        <v>0</v>
      </c>
      <c r="I27" s="5">
        <f>VLOOKUP($A27,tropes!$A$4:$O$2428,9,FALSE)</f>
        <v>109</v>
      </c>
      <c r="J27" s="5">
        <f>VLOOKUP($A27,tropes!$A$4:$O$2428,10,FALSE)</f>
        <v>10</v>
      </c>
      <c r="K27" s="5" t="str">
        <f>VLOOKUP($A27,tropes!$A$4:$O$2428,11,FALSE)</f>
        <v>Dagger of the Mind</v>
      </c>
      <c r="L27" s="5">
        <f>VLOOKUP($A27,tropes!$A$4:$O$2428,12,FALSE)</f>
        <v>1</v>
      </c>
      <c r="M27" s="5">
        <f>VLOOKUP($A27,tropes!$A$4:$O$2428,13,FALSE)</f>
        <v>9</v>
      </c>
      <c r="N27" s="5">
        <f t="shared" si="0"/>
        <v>1</v>
      </c>
    </row>
    <row r="28" spans="1:14" x14ac:dyDescent="0.3">
      <c r="A28" s="14">
        <v>1140</v>
      </c>
      <c r="B28" s="5" t="str">
        <f>VLOOKUP($A28,tropes!$A$4:$O$2428,2,FALSE)</f>
        <v>Stalker With A Crush</v>
      </c>
      <c r="C28" s="5" t="str">
        <f>VLOOKUP($A28,tropes!$A$4:$O$2428,3,FALSE)</f>
        <v>love</v>
      </c>
      <c r="D28" s="5" t="str">
        <f>VLOOKUP($A28,tropes!$A$4:$O$2428,4,FALSE)</f>
        <v>unrequited</v>
      </c>
      <c r="E28" s="5" t="str">
        <f>VLOOKUP($A28,tropes!$A$4:$O$2428,5,FALSE)</f>
        <v>Dr. Helen Noel has the hots for Kirk and wants to get more familiar.</v>
      </c>
      <c r="F28" s="5" t="str">
        <f>VLOOKUP($A28,tropes!$A$4:$O$2428,6,FALSE)</f>
        <v>noel</v>
      </c>
      <c r="G28" s="5">
        <f>VLOOKUP($A28,tropes!$A$4:$O$2428,7,FALSE)</f>
        <v>0</v>
      </c>
      <c r="H28" s="5">
        <f>VLOOKUP($A28,tropes!$A$4:$O$2428,8,FALSE)</f>
        <v>0</v>
      </c>
      <c r="I28" s="5">
        <f>VLOOKUP($A28,tropes!$A$4:$O$2428,9,FALSE)</f>
        <v>109</v>
      </c>
      <c r="J28" s="5">
        <f>VLOOKUP($A28,tropes!$A$4:$O$2428,10,FALSE)</f>
        <v>10</v>
      </c>
      <c r="K28" s="5" t="str">
        <f>VLOOKUP($A28,tropes!$A$4:$O$2428,11,FALSE)</f>
        <v>Dagger of the Mind</v>
      </c>
      <c r="L28" s="5">
        <f>VLOOKUP($A28,tropes!$A$4:$O$2428,12,FALSE)</f>
        <v>1</v>
      </c>
      <c r="M28" s="5">
        <f>VLOOKUP($A28,tropes!$A$4:$O$2428,13,FALSE)</f>
        <v>9</v>
      </c>
      <c r="N28" s="5">
        <f t="shared" si="0"/>
        <v>2</v>
      </c>
    </row>
    <row r="29" spans="1:14" x14ac:dyDescent="0.3">
      <c r="A29" s="14">
        <v>1139</v>
      </c>
      <c r="B29" s="5" t="str">
        <f>VLOOKUP($A29,tropes!$A$4:$O$2428,2,FALSE)</f>
        <v>The Casanova</v>
      </c>
      <c r="C29" s="5" t="str">
        <f>VLOOKUP($A29,tropes!$A$4:$O$2428,3,FALSE)</f>
        <v>love</v>
      </c>
      <c r="D29" s="5" t="str">
        <f>VLOOKUP($A29,tropes!$A$4:$O$2428,4,FALSE)</f>
        <v>unrequited</v>
      </c>
      <c r="E29" s="5" t="str">
        <f>VLOOKUP($A29,tropes!$A$4:$O$2428,5,FALSE)</f>
        <v>Kirk is trying to forget that encounter with Dr. Helen Noel but must work wither her on a professional level.</v>
      </c>
      <c r="F29" s="5" t="str">
        <f>VLOOKUP($A29,tropes!$A$4:$O$2428,6,FALSE)</f>
        <v>kirk</v>
      </c>
      <c r="G29" s="5">
        <f>VLOOKUP($A29,tropes!$A$4:$O$2428,7,FALSE)</f>
        <v>1</v>
      </c>
      <c r="H29" s="5">
        <f>VLOOKUP($A29,tropes!$A$4:$O$2428,8,FALSE)</f>
        <v>0</v>
      </c>
      <c r="I29" s="5">
        <f>VLOOKUP($A29,tropes!$A$4:$O$2428,9,FALSE)</f>
        <v>109</v>
      </c>
      <c r="J29" s="5">
        <f>VLOOKUP($A29,tropes!$A$4:$O$2428,10,FALSE)</f>
        <v>10</v>
      </c>
      <c r="K29" s="5" t="str">
        <f>VLOOKUP($A29,tropes!$A$4:$O$2428,11,FALSE)</f>
        <v>Dagger of the Mind</v>
      </c>
      <c r="L29" s="5">
        <f>VLOOKUP($A29,tropes!$A$4:$O$2428,12,FALSE)</f>
        <v>1</v>
      </c>
      <c r="M29" s="5">
        <f>VLOOKUP($A29,tropes!$A$4:$O$2428,13,FALSE)</f>
        <v>9</v>
      </c>
      <c r="N29" s="5">
        <f t="shared" si="0"/>
        <v>3</v>
      </c>
    </row>
    <row r="30" spans="1:14" x14ac:dyDescent="0.3">
      <c r="A30" s="14">
        <v>1017</v>
      </c>
      <c r="B30" s="5" t="str">
        <f>VLOOKUP($A30,tropes!$A$4:$O$2428,2,FALSE)</f>
        <v>Unresolved Sexual Tension</v>
      </c>
      <c r="C30" s="5" t="str">
        <f>VLOOKUP($A30,tropes!$A$4:$O$2428,3,FALSE)</f>
        <v>love</v>
      </c>
      <c r="D30" s="5" t="str">
        <f>VLOOKUP($A30,tropes!$A$4:$O$2428,4,FALSE)</f>
        <v>unrequited</v>
      </c>
      <c r="E30" s="5" t="str">
        <f>VLOOKUP($A30,tropes!$A$4:$O$2428,5,FALSE)</f>
        <v>Kirk is in love with his ship.</v>
      </c>
      <c r="F30" s="5" t="str">
        <f>VLOOKUP($A30,tropes!$A$4:$O$2428,6,FALSE)</f>
        <v>kirk</v>
      </c>
      <c r="G30" s="5">
        <f>VLOOKUP($A30,tropes!$A$4:$O$2428,7,FALSE)</f>
        <v>1</v>
      </c>
      <c r="H30" s="5">
        <f>VLOOKUP($A30,tropes!$A$4:$O$2428,8,FALSE)</f>
        <v>0</v>
      </c>
      <c r="I30" s="5">
        <f>VLOOKUP($A30,tropes!$A$4:$O$2428,9,FALSE)</f>
        <v>110</v>
      </c>
      <c r="J30" s="5">
        <f>VLOOKUP($A30,tropes!$A$4:$O$2428,10,FALSE)</f>
        <v>11</v>
      </c>
      <c r="K30" s="5" t="str">
        <f>VLOOKUP($A30,tropes!$A$4:$O$2428,11,FALSE)</f>
        <v>The Corbomite Maneuver</v>
      </c>
      <c r="L30" s="5">
        <f>VLOOKUP($A30,tropes!$A$4:$O$2428,12,FALSE)</f>
        <v>1</v>
      </c>
      <c r="M30" s="5">
        <f>VLOOKUP($A30,tropes!$A$4:$O$2428,13,FALSE)</f>
        <v>10</v>
      </c>
      <c r="N30" s="5">
        <f t="shared" si="0"/>
        <v>0</v>
      </c>
    </row>
    <row r="31" spans="1:14" x14ac:dyDescent="0.3">
      <c r="A31" s="14">
        <v>1043</v>
      </c>
      <c r="B31" s="5" t="str">
        <f>VLOOKUP($A31,tropes!$A$4:$O$2428,2,FALSE)</f>
        <v>Girl Of The Week</v>
      </c>
      <c r="C31" s="5" t="str">
        <f>VLOOKUP($A31,tropes!$A$4:$O$2428,3,FALSE)</f>
        <v>love</v>
      </c>
      <c r="D31" s="5" t="str">
        <f>VLOOKUP($A31,tropes!$A$4:$O$2428,4,FALSE)</f>
        <v>girl_of_the_week</v>
      </c>
      <c r="E31" s="5" t="str">
        <f>VLOOKUP($A31,tropes!$A$4:$O$2428,5,FALSE)</f>
        <v>Lenore, Kodos daughter. Kirk flirts with Lenore to get information about her father.</v>
      </c>
      <c r="F31" s="5" t="str">
        <f>VLOOKUP($A31,tropes!$A$4:$O$2428,6,FALSE)</f>
        <v>kirk</v>
      </c>
      <c r="G31" s="5">
        <f>VLOOKUP($A31,tropes!$A$4:$O$2428,7,FALSE)</f>
        <v>0</v>
      </c>
      <c r="H31" s="5">
        <f>VLOOKUP($A31,tropes!$A$4:$O$2428,8,FALSE)</f>
        <v>0</v>
      </c>
      <c r="I31" s="5">
        <f>VLOOKUP($A31,tropes!$A$4:$O$2428,9,FALSE)</f>
        <v>113</v>
      </c>
      <c r="J31" s="5">
        <f>VLOOKUP($A31,tropes!$A$4:$O$2428,10,FALSE)</f>
        <v>14</v>
      </c>
      <c r="K31" s="5" t="str">
        <f>VLOOKUP($A31,tropes!$A$4:$O$2428,11,FALSE)</f>
        <v>The Conscience of the King</v>
      </c>
      <c r="L31" s="5">
        <f>VLOOKUP($A31,tropes!$A$4:$O$2428,12,FALSE)</f>
        <v>1</v>
      </c>
      <c r="M31" s="5">
        <f>VLOOKUP($A31,tropes!$A$4:$O$2428,13,FALSE)</f>
        <v>13</v>
      </c>
      <c r="N31" s="5">
        <f t="shared" si="0"/>
        <v>0</v>
      </c>
    </row>
    <row r="32" spans="1:14" x14ac:dyDescent="0.3">
      <c r="A32" s="14">
        <v>1474</v>
      </c>
      <c r="B32" s="5" t="str">
        <f>VLOOKUP($A32,tropes!$A$4:$O$2428,2,FALSE)</f>
        <v>Retroirony</v>
      </c>
      <c r="C32" s="5" t="str">
        <f>VLOOKUP($A32,tropes!$A$4:$O$2428,3,FALSE)</f>
        <v>love</v>
      </c>
      <c r="D32" s="5" t="str">
        <f>VLOOKUP($A32,tropes!$A$4:$O$2428,4,FALSE)</f>
        <v>lost</v>
      </c>
      <c r="E32" s="5" t="str">
        <f>VLOOKUP($A32,tropes!$A$4:$O$2428,5,FALSE)</f>
        <v>Lt. Angela Martinez wedding is interrupted in the intro. Her to-be husband dies before the episode ends.</v>
      </c>
      <c r="F32" s="5" t="str">
        <f>VLOOKUP($A32,tropes!$A$4:$O$2428,6,FALSE)</f>
        <v>martinez</v>
      </c>
      <c r="G32" s="5">
        <f>VLOOKUP($A32,tropes!$A$4:$O$2428,7,FALSE)</f>
        <v>0</v>
      </c>
      <c r="H32" s="5">
        <f>VLOOKUP($A32,tropes!$A$4:$O$2428,8,FALSE)</f>
        <v>0</v>
      </c>
      <c r="I32" s="5">
        <f>VLOOKUP($A32,tropes!$A$4:$O$2428,9,FALSE)</f>
        <v>114</v>
      </c>
      <c r="J32" s="5">
        <f>VLOOKUP($A32,tropes!$A$4:$O$2428,10,FALSE)</f>
        <v>15</v>
      </c>
      <c r="K32" s="5" t="str">
        <f>VLOOKUP($A32,tropes!$A$4:$O$2428,11,FALSE)</f>
        <v>Balance of Terror</v>
      </c>
      <c r="L32" s="5">
        <f>VLOOKUP($A32,tropes!$A$4:$O$2428,12,FALSE)</f>
        <v>1</v>
      </c>
      <c r="M32" s="5">
        <f>VLOOKUP($A32,tropes!$A$4:$O$2428,13,FALSE)</f>
        <v>14</v>
      </c>
      <c r="N32" s="5">
        <f t="shared" si="0"/>
        <v>0</v>
      </c>
    </row>
    <row r="33" spans="1:14" x14ac:dyDescent="0.3">
      <c r="A33" s="14">
        <v>1673</v>
      </c>
      <c r="B33" s="5" t="str">
        <f>VLOOKUP($A33,tropes!$A$4:$O$2428,2,FALSE)</f>
        <v>Casanova Wannabe</v>
      </c>
      <c r="C33" s="5" t="str">
        <f>VLOOKUP($A33,tropes!$A$4:$O$2428,3,FALSE)</f>
        <v>love</v>
      </c>
      <c r="D33" s="5" t="str">
        <f>VLOOKUP($A33,tropes!$A$4:$O$2428,4,FALSE)</f>
        <v>flirt</v>
      </c>
      <c r="E33" s="5" t="str">
        <f>VLOOKUP($A33,tropes!$A$4:$O$2428,5,FALSE)</f>
        <v>McCoy flirts with Yeoman Barrows the entire episode. She's never seen again after this episode.</v>
      </c>
      <c r="F33" s="5" t="str">
        <f>VLOOKUP($A33,tropes!$A$4:$O$2428,6,FALSE)</f>
        <v>mccoy</v>
      </c>
      <c r="G33" s="5">
        <f>VLOOKUP($A33,tropes!$A$4:$O$2428,7,FALSE)</f>
        <v>0</v>
      </c>
      <c r="H33" s="5">
        <f>VLOOKUP($A33,tropes!$A$4:$O$2428,8,FALSE)</f>
        <v>1</v>
      </c>
      <c r="I33" s="5">
        <f>VLOOKUP($A33,tropes!$A$4:$O$2428,9,FALSE)</f>
        <v>115</v>
      </c>
      <c r="J33" s="5">
        <f>VLOOKUP($A33,tropes!$A$4:$O$2428,10,FALSE)</f>
        <v>16</v>
      </c>
      <c r="K33" s="5" t="str">
        <f>VLOOKUP($A33,tropes!$A$4:$O$2428,11,FALSE)</f>
        <v>Shore Leave</v>
      </c>
      <c r="L33" s="5">
        <f>VLOOKUP($A33,tropes!$A$4:$O$2428,12,FALSE)</f>
        <v>1</v>
      </c>
      <c r="M33" s="5">
        <f>VLOOKUP($A33,tropes!$A$4:$O$2428,13,FALSE)</f>
        <v>15</v>
      </c>
      <c r="N33" s="5">
        <f t="shared" si="0"/>
        <v>0</v>
      </c>
    </row>
    <row r="34" spans="1:14" x14ac:dyDescent="0.3">
      <c r="A34" s="14">
        <v>1677</v>
      </c>
      <c r="B34" s="5" t="str">
        <f>VLOOKUP($A34,tropes!$A$4:$O$2428,2,FALSE)</f>
        <v>Girl Of The Week</v>
      </c>
      <c r="C34" s="5" t="str">
        <f>VLOOKUP($A34,tropes!$A$4:$O$2428,3,FALSE)</f>
        <v>love</v>
      </c>
      <c r="D34" s="5" t="str">
        <f>VLOOKUP($A34,tropes!$A$4:$O$2428,4,FALSE)</f>
        <v>girl_of_the_week</v>
      </c>
      <c r="E34" s="5" t="str">
        <f>VLOOKUP($A34,tropes!$A$4:$O$2428,5,FALSE)</f>
        <v>McCoy and Yeoman Barrows are an inseparable couple for the episode.</v>
      </c>
      <c r="F34" s="5" t="str">
        <f>VLOOKUP($A34,tropes!$A$4:$O$2428,6,FALSE)</f>
        <v>mccoy</v>
      </c>
      <c r="G34" s="5">
        <f>VLOOKUP($A34,tropes!$A$4:$O$2428,7,FALSE)</f>
        <v>0</v>
      </c>
      <c r="H34" s="5">
        <f>VLOOKUP($A34,tropes!$A$4:$O$2428,8,FALSE)</f>
        <v>0</v>
      </c>
      <c r="I34" s="5">
        <f>VLOOKUP($A34,tropes!$A$4:$O$2428,9,FALSE)</f>
        <v>115</v>
      </c>
      <c r="J34" s="5">
        <f>VLOOKUP($A34,tropes!$A$4:$O$2428,10,FALSE)</f>
        <v>16</v>
      </c>
      <c r="K34" s="5" t="str">
        <f>VLOOKUP($A34,tropes!$A$4:$O$2428,11,FALSE)</f>
        <v>Shore Leave</v>
      </c>
      <c r="L34" s="5">
        <f>VLOOKUP($A34,tropes!$A$4:$O$2428,12,FALSE)</f>
        <v>1</v>
      </c>
      <c r="M34" s="5">
        <f>VLOOKUP($A34,tropes!$A$4:$O$2428,13,FALSE)</f>
        <v>15</v>
      </c>
      <c r="N34" s="5">
        <f t="shared" si="0"/>
        <v>1</v>
      </c>
    </row>
    <row r="35" spans="1:14" x14ac:dyDescent="0.3">
      <c r="A35" s="14">
        <v>1190</v>
      </c>
      <c r="B35" s="5" t="str">
        <f>VLOOKUP($A35,tropes!$A$4:$O$2428,2,FALSE)</f>
        <v>Girl Of The Week</v>
      </c>
      <c r="C35" s="5" t="str">
        <f>VLOOKUP($A35,tropes!$A$4:$O$2428,3,FALSE)</f>
        <v>love</v>
      </c>
      <c r="D35" s="5" t="str">
        <f>VLOOKUP($A35,tropes!$A$4:$O$2428,4,FALSE)</f>
        <v>girl_of_the_week</v>
      </c>
      <c r="E35" s="5" t="str">
        <f>VLOOKUP($A35,tropes!$A$4:$O$2428,5,FALSE)</f>
        <v>Ruth, an old flame, is a facsimile on the shore leave planet.</v>
      </c>
      <c r="F35" s="5" t="str">
        <f>VLOOKUP($A35,tropes!$A$4:$O$2428,6,FALSE)</f>
        <v>kirk</v>
      </c>
      <c r="G35" s="5">
        <f>VLOOKUP($A35,tropes!$A$4:$O$2428,7,FALSE)</f>
        <v>0</v>
      </c>
      <c r="H35" s="5">
        <f>VLOOKUP($A35,tropes!$A$4:$O$2428,8,FALSE)</f>
        <v>0</v>
      </c>
      <c r="I35" s="5">
        <f>VLOOKUP($A35,tropes!$A$4:$O$2428,9,FALSE)</f>
        <v>115</v>
      </c>
      <c r="J35" s="5">
        <f>VLOOKUP($A35,tropes!$A$4:$O$2428,10,FALSE)</f>
        <v>16</v>
      </c>
      <c r="K35" s="5" t="str">
        <f>VLOOKUP($A35,tropes!$A$4:$O$2428,11,FALSE)</f>
        <v>Shore Leave</v>
      </c>
      <c r="L35" s="5">
        <f>VLOOKUP($A35,tropes!$A$4:$O$2428,12,FALSE)</f>
        <v>1</v>
      </c>
      <c r="M35" s="5">
        <f>VLOOKUP($A35,tropes!$A$4:$O$2428,13,FALSE)</f>
        <v>15</v>
      </c>
      <c r="N35" s="5">
        <f t="shared" si="0"/>
        <v>2</v>
      </c>
    </row>
    <row r="36" spans="1:14" x14ac:dyDescent="0.3">
      <c r="A36" s="14">
        <v>1678</v>
      </c>
      <c r="B36" s="5" t="str">
        <f>VLOOKUP($A36,tropes!$A$4:$O$2428,2,FALSE)</f>
        <v>Grand Romantic Gesture</v>
      </c>
      <c r="C36" s="5" t="str">
        <f>VLOOKUP($A36,tropes!$A$4:$O$2428,3,FALSE)</f>
        <v>love</v>
      </c>
      <c r="D36" s="5" t="str">
        <f>VLOOKUP($A36,tropes!$A$4:$O$2428,4,FALSE)</f>
        <v>gesture</v>
      </c>
      <c r="E36" s="5" t="str">
        <f>VLOOKUP($A36,tropes!$A$4:$O$2428,5,FALSE)</f>
        <v>McCoy defends Yeoman Barrows from the charging knight, and ends up dying in the process.</v>
      </c>
      <c r="F36" s="5" t="str">
        <f>VLOOKUP($A36,tropes!$A$4:$O$2428,6,FALSE)</f>
        <v>mccoy</v>
      </c>
      <c r="G36" s="5">
        <f>VLOOKUP($A36,tropes!$A$4:$O$2428,7,FALSE)</f>
        <v>0</v>
      </c>
      <c r="H36" s="5">
        <f>VLOOKUP($A36,tropes!$A$4:$O$2428,8,FALSE)</f>
        <v>1</v>
      </c>
      <c r="I36" s="5">
        <f>VLOOKUP($A36,tropes!$A$4:$O$2428,9,FALSE)</f>
        <v>115</v>
      </c>
      <c r="J36" s="5">
        <f>VLOOKUP($A36,tropes!$A$4:$O$2428,10,FALSE)</f>
        <v>16</v>
      </c>
      <c r="K36" s="5" t="str">
        <f>VLOOKUP($A36,tropes!$A$4:$O$2428,11,FALSE)</f>
        <v>Shore Leave</v>
      </c>
      <c r="L36" s="5">
        <f>VLOOKUP($A36,tropes!$A$4:$O$2428,12,FALSE)</f>
        <v>1</v>
      </c>
      <c r="M36" s="5">
        <f>VLOOKUP($A36,tropes!$A$4:$O$2428,13,FALSE)</f>
        <v>15</v>
      </c>
      <c r="N36" s="5">
        <f t="shared" si="0"/>
        <v>3</v>
      </c>
    </row>
    <row r="37" spans="1:14" x14ac:dyDescent="0.3">
      <c r="A37" s="14">
        <v>1193</v>
      </c>
      <c r="B37" s="5" t="str">
        <f>VLOOKUP($A37,tropes!$A$4:$O$2428,2,FALSE)</f>
        <v>Love Is In The Air</v>
      </c>
      <c r="C37" s="5" t="str">
        <f>VLOOKUP($A37,tropes!$A$4:$O$2428,3,FALSE)</f>
        <v>love</v>
      </c>
      <c r="D37" s="5" t="str">
        <f>VLOOKUP($A37,tropes!$A$4:$O$2428,4,FALSE)</f>
        <v>old_flame</v>
      </c>
      <c r="E37" s="5" t="str">
        <f>VLOOKUP($A37,tropes!$A$4:$O$2428,5,FALSE)</f>
        <v>Kirk goes off with the facsimile of Ruth, his old flame.</v>
      </c>
      <c r="F37" s="5" t="str">
        <f>VLOOKUP($A37,tropes!$A$4:$O$2428,6,FALSE)</f>
        <v>kirk</v>
      </c>
      <c r="G37" s="5">
        <f>VLOOKUP($A37,tropes!$A$4:$O$2428,7,FALSE)</f>
        <v>1</v>
      </c>
      <c r="H37" s="5">
        <f>VLOOKUP($A37,tropes!$A$4:$O$2428,8,FALSE)</f>
        <v>0</v>
      </c>
      <c r="I37" s="5">
        <f>VLOOKUP($A37,tropes!$A$4:$O$2428,9,FALSE)</f>
        <v>115</v>
      </c>
      <c r="J37" s="5">
        <f>VLOOKUP($A37,tropes!$A$4:$O$2428,10,FALSE)</f>
        <v>16</v>
      </c>
      <c r="K37" s="5" t="str">
        <f>VLOOKUP($A37,tropes!$A$4:$O$2428,11,FALSE)</f>
        <v>Shore Leave</v>
      </c>
      <c r="L37" s="5">
        <f>VLOOKUP($A37,tropes!$A$4:$O$2428,12,FALSE)</f>
        <v>1</v>
      </c>
      <c r="M37" s="5">
        <f>VLOOKUP($A37,tropes!$A$4:$O$2428,13,FALSE)</f>
        <v>15</v>
      </c>
      <c r="N37" s="5">
        <f t="shared" si="0"/>
        <v>4</v>
      </c>
    </row>
    <row r="38" spans="1:14" x14ac:dyDescent="0.3">
      <c r="A38" s="14">
        <v>1195</v>
      </c>
      <c r="B38" s="5" t="str">
        <f>VLOOKUP($A38,tropes!$A$4:$O$2428,2,FALSE)</f>
        <v>New Old Flame</v>
      </c>
      <c r="C38" s="5" t="str">
        <f>VLOOKUP($A38,tropes!$A$4:$O$2428,3,FALSE)</f>
        <v>love</v>
      </c>
      <c r="D38" s="5" t="str">
        <f>VLOOKUP($A38,tropes!$A$4:$O$2428,4,FALSE)</f>
        <v>old_flame</v>
      </c>
      <c r="E38" s="5" t="str">
        <f>VLOOKUP($A38,tropes!$A$4:$O$2428,5,FALSE)</f>
        <v>Ruth is a very special lady from Kirk's past. She's never spoke of again.</v>
      </c>
      <c r="F38" s="5" t="str">
        <f>VLOOKUP($A38,tropes!$A$4:$O$2428,6,FALSE)</f>
        <v>kirk</v>
      </c>
      <c r="G38" s="5">
        <f>VLOOKUP($A38,tropes!$A$4:$O$2428,7,FALSE)</f>
        <v>1</v>
      </c>
      <c r="H38" s="5">
        <f>VLOOKUP($A38,tropes!$A$4:$O$2428,8,FALSE)</f>
        <v>0</v>
      </c>
      <c r="I38" s="5">
        <f>VLOOKUP($A38,tropes!$A$4:$O$2428,9,FALSE)</f>
        <v>115</v>
      </c>
      <c r="J38" s="5">
        <f>VLOOKUP($A38,tropes!$A$4:$O$2428,10,FALSE)</f>
        <v>16</v>
      </c>
      <c r="K38" s="5" t="str">
        <f>VLOOKUP($A38,tropes!$A$4:$O$2428,11,FALSE)</f>
        <v>Shore Leave</v>
      </c>
      <c r="L38" s="5">
        <f>VLOOKUP($A38,tropes!$A$4:$O$2428,12,FALSE)</f>
        <v>1</v>
      </c>
      <c r="M38" s="5">
        <f>VLOOKUP($A38,tropes!$A$4:$O$2428,13,FALSE)</f>
        <v>15</v>
      </c>
      <c r="N38" s="5">
        <f t="shared" si="0"/>
        <v>5</v>
      </c>
    </row>
    <row r="39" spans="1:14" x14ac:dyDescent="0.3">
      <c r="A39" s="14">
        <v>2903</v>
      </c>
      <c r="B39" s="5" t="str">
        <f>VLOOKUP($A39,tropes!$A$4:$O$2428,2,FALSE)</f>
        <v>Girl Of The Week</v>
      </c>
      <c r="C39" s="5" t="str">
        <f>VLOOKUP($A39,tropes!$A$4:$O$2428,3,FALSE)</f>
        <v>love</v>
      </c>
      <c r="D39" s="5" t="str">
        <f>VLOOKUP($A39,tropes!$A$4:$O$2428,4,FALSE)</f>
        <v>girl_of_the_week</v>
      </c>
      <c r="E39" s="5" t="str">
        <f>VLOOKUP($A39,tropes!$A$4:$O$2428,5,FALSE)</f>
        <v>Yeoman Ross, another in a line of indistinguishable yeomans.</v>
      </c>
      <c r="F39" s="5" t="str">
        <f>VLOOKUP($A39,tropes!$A$4:$O$2428,6,FALSE)</f>
        <v>xxx</v>
      </c>
      <c r="G39" s="5">
        <f>VLOOKUP($A39,tropes!$A$4:$O$2428,7,FALSE)</f>
        <v>0</v>
      </c>
      <c r="H39" s="5">
        <f>VLOOKUP($A39,tropes!$A$4:$O$2428,8,FALSE)</f>
        <v>0</v>
      </c>
      <c r="I39" s="5">
        <f>VLOOKUP($A39,tropes!$A$4:$O$2428,9,FALSE)</f>
        <v>117</v>
      </c>
      <c r="J39" s="5">
        <f>VLOOKUP($A39,tropes!$A$4:$O$2428,10,FALSE)</f>
        <v>18</v>
      </c>
      <c r="K39" s="5" t="str">
        <f>VLOOKUP($A39,tropes!$A$4:$O$2428,11,FALSE)</f>
        <v>The Squire of Gothos</v>
      </c>
      <c r="L39" s="5">
        <f>VLOOKUP($A39,tropes!$A$4:$O$2428,12,FALSE)</f>
        <v>1</v>
      </c>
      <c r="M39" s="5">
        <f>VLOOKUP($A39,tropes!$A$4:$O$2428,13,FALSE)</f>
        <v>17</v>
      </c>
      <c r="N39" s="5">
        <f t="shared" si="0"/>
        <v>0</v>
      </c>
    </row>
    <row r="40" spans="1:14" x14ac:dyDescent="0.3">
      <c r="A40" s="14">
        <v>993</v>
      </c>
      <c r="B40" s="5" t="str">
        <f>VLOOKUP($A40,tropes!$A$4:$O$2428,2,FALSE)</f>
        <v>Girl Of The Week</v>
      </c>
      <c r="C40" s="5" t="str">
        <f>VLOOKUP($A40,tropes!$A$4:$O$2428,3,FALSE)</f>
        <v>love</v>
      </c>
      <c r="D40" s="5" t="str">
        <f>VLOOKUP($A40,tropes!$A$4:$O$2428,4,FALSE)</f>
        <v>girl_of_the_week</v>
      </c>
      <c r="E40" s="5" t="str">
        <f>VLOOKUP($A40,tropes!$A$4:$O$2428,5,FALSE)</f>
        <v>Enterprise computer keeps calling Kirk dear after being repaired on Sigma 14.</v>
      </c>
      <c r="F40" s="5" t="str">
        <f>VLOOKUP($A40,tropes!$A$4:$O$2428,6,FALSE)</f>
        <v>kirk</v>
      </c>
      <c r="G40" s="5">
        <f>VLOOKUP($A40,tropes!$A$4:$O$2428,7,FALSE)</f>
        <v>0</v>
      </c>
      <c r="H40" s="5">
        <f>VLOOKUP($A40,tropes!$A$4:$O$2428,8,FALSE)</f>
        <v>0</v>
      </c>
      <c r="I40" s="5">
        <f>VLOOKUP($A40,tropes!$A$4:$O$2428,9,FALSE)</f>
        <v>119</v>
      </c>
      <c r="J40" s="5">
        <f>VLOOKUP($A40,tropes!$A$4:$O$2428,10,FALSE)</f>
        <v>20</v>
      </c>
      <c r="K40" s="5" t="str">
        <f>VLOOKUP($A40,tropes!$A$4:$O$2428,11,FALSE)</f>
        <v>Tomorrow Is Yesterday</v>
      </c>
      <c r="L40" s="5">
        <f>VLOOKUP($A40,tropes!$A$4:$O$2428,12,FALSE)</f>
        <v>1</v>
      </c>
      <c r="M40" s="5">
        <f>VLOOKUP($A40,tropes!$A$4:$O$2428,13,FALSE)</f>
        <v>19</v>
      </c>
      <c r="N40" s="5">
        <f t="shared" si="0"/>
        <v>0</v>
      </c>
    </row>
    <row r="41" spans="1:14" x14ac:dyDescent="0.3">
      <c r="A41" s="14">
        <v>1206</v>
      </c>
      <c r="B41" s="5" t="str">
        <f>VLOOKUP($A41,tropes!$A$4:$O$2428,2,FALSE)</f>
        <v>Girl Of The Week</v>
      </c>
      <c r="C41" s="5" t="str">
        <f>VLOOKUP($A41,tropes!$A$4:$O$2428,3,FALSE)</f>
        <v>love</v>
      </c>
      <c r="D41" s="5" t="str">
        <f>VLOOKUP($A41,tropes!$A$4:$O$2428,4,FALSE)</f>
        <v>girl_of_the_week</v>
      </c>
      <c r="E41" s="5" t="str">
        <f>VLOOKUP($A41,tropes!$A$4:$O$2428,5,FALSE)</f>
        <v>Areel Shaw, Kirks old flame, is the prosecuting attorney.</v>
      </c>
      <c r="F41" s="5" t="str">
        <f>VLOOKUP($A41,tropes!$A$4:$O$2428,6,FALSE)</f>
        <v>kirk</v>
      </c>
      <c r="G41" s="5">
        <f>VLOOKUP($A41,tropes!$A$4:$O$2428,7,FALSE)</f>
        <v>0</v>
      </c>
      <c r="H41" s="5">
        <f>VLOOKUP($A41,tropes!$A$4:$O$2428,8,FALSE)</f>
        <v>0</v>
      </c>
      <c r="I41" s="5">
        <f>VLOOKUP($A41,tropes!$A$4:$O$2428,9,FALSE)</f>
        <v>120</v>
      </c>
      <c r="J41" s="5">
        <f>VLOOKUP($A41,tropes!$A$4:$O$2428,10,FALSE)</f>
        <v>21</v>
      </c>
      <c r="K41" s="5" t="str">
        <f>VLOOKUP($A41,tropes!$A$4:$O$2428,11,FALSE)</f>
        <v>Court Martial</v>
      </c>
      <c r="L41" s="5">
        <f>VLOOKUP($A41,tropes!$A$4:$O$2428,12,FALSE)</f>
        <v>1</v>
      </c>
      <c r="M41" s="5">
        <f>VLOOKUP($A41,tropes!$A$4:$O$2428,13,FALSE)</f>
        <v>20</v>
      </c>
      <c r="N41" s="5">
        <f t="shared" si="0"/>
        <v>0</v>
      </c>
    </row>
    <row r="42" spans="1:14" x14ac:dyDescent="0.3">
      <c r="A42" s="14">
        <v>2901</v>
      </c>
      <c r="B42" s="5" t="str">
        <f>VLOOKUP($A42,tropes!$A$4:$O$2428,2,FALSE)</f>
        <v>Girl Of The Week</v>
      </c>
      <c r="C42" s="5" t="str">
        <f>VLOOKUP($A42,tropes!$A$4:$O$2428,3,FALSE)</f>
        <v>love</v>
      </c>
      <c r="D42" s="5" t="str">
        <f>VLOOKUP($A42,tropes!$A$4:$O$2428,4,FALSE)</f>
        <v>girl_of_the_week</v>
      </c>
      <c r="E42" s="5" t="str">
        <f>VLOOKUP($A42,tropes!$A$4:$O$2428,5,FALSE)</f>
        <v>Jamie Finney, Ben Finney's daughter</v>
      </c>
      <c r="F42" s="5" t="str">
        <f>VLOOKUP($A42,tropes!$A$4:$O$2428,6,FALSE)</f>
        <v>kirk</v>
      </c>
      <c r="G42" s="5">
        <f>VLOOKUP($A42,tropes!$A$4:$O$2428,7,FALSE)</f>
        <v>0</v>
      </c>
      <c r="H42" s="5">
        <f>VLOOKUP($A42,tropes!$A$4:$O$2428,8,FALSE)</f>
        <v>0</v>
      </c>
      <c r="I42" s="5">
        <f>VLOOKUP($A42,tropes!$A$4:$O$2428,9,FALSE)</f>
        <v>120</v>
      </c>
      <c r="J42" s="5">
        <f>VLOOKUP($A42,tropes!$A$4:$O$2428,10,FALSE)</f>
        <v>21</v>
      </c>
      <c r="K42" s="5" t="str">
        <f>VLOOKUP($A42,tropes!$A$4:$O$2428,11,FALSE)</f>
        <v>Court Martial</v>
      </c>
      <c r="L42" s="5">
        <f>VLOOKUP($A42,tropes!$A$4:$O$2428,12,FALSE)</f>
        <v>1</v>
      </c>
      <c r="M42" s="5">
        <f>VLOOKUP($A42,tropes!$A$4:$O$2428,13,FALSE)</f>
        <v>20</v>
      </c>
      <c r="N42" s="5">
        <f t="shared" si="0"/>
        <v>1</v>
      </c>
    </row>
    <row r="43" spans="1:14" x14ac:dyDescent="0.3">
      <c r="A43" s="14">
        <v>1209</v>
      </c>
      <c r="B43" s="5" t="str">
        <f>VLOOKUP($A43,tropes!$A$4:$O$2428,2,FALSE)</f>
        <v>New Old Flame</v>
      </c>
      <c r="C43" s="5" t="str">
        <f>VLOOKUP($A43,tropes!$A$4:$O$2428,3,FALSE)</f>
        <v>love</v>
      </c>
      <c r="D43" s="5" t="str">
        <f>VLOOKUP($A43,tropes!$A$4:$O$2428,4,FALSE)</f>
        <v>old_flame</v>
      </c>
      <c r="E43" s="5" t="str">
        <f>VLOOKUP($A43,tropes!$A$4:$O$2428,5,FALSE)</f>
        <v>Areel Shaw is a special woman from Kirk's past never to be heard of again.</v>
      </c>
      <c r="F43" s="5" t="str">
        <f>VLOOKUP($A43,tropes!$A$4:$O$2428,6,FALSE)</f>
        <v>kirk</v>
      </c>
      <c r="G43" s="5">
        <f>VLOOKUP($A43,tropes!$A$4:$O$2428,7,FALSE)</f>
        <v>1</v>
      </c>
      <c r="H43" s="5">
        <f>VLOOKUP($A43,tropes!$A$4:$O$2428,8,FALSE)</f>
        <v>0</v>
      </c>
      <c r="I43" s="5">
        <f>VLOOKUP($A43,tropes!$A$4:$O$2428,9,FALSE)</f>
        <v>120</v>
      </c>
      <c r="J43" s="5">
        <f>VLOOKUP($A43,tropes!$A$4:$O$2428,10,FALSE)</f>
        <v>21</v>
      </c>
      <c r="K43" s="5" t="str">
        <f>VLOOKUP($A43,tropes!$A$4:$O$2428,11,FALSE)</f>
        <v>Court Martial</v>
      </c>
      <c r="L43" s="5">
        <f>VLOOKUP($A43,tropes!$A$4:$O$2428,12,FALSE)</f>
        <v>1</v>
      </c>
      <c r="M43" s="5">
        <f>VLOOKUP($A43,tropes!$A$4:$O$2428,13,FALSE)</f>
        <v>20</v>
      </c>
      <c r="N43" s="5">
        <f t="shared" si="0"/>
        <v>2</v>
      </c>
    </row>
    <row r="44" spans="1:14" x14ac:dyDescent="0.3">
      <c r="A44" s="14">
        <v>1018</v>
      </c>
      <c r="B44" s="5" t="str">
        <f>VLOOKUP($A44,tropes!$A$4:$O$2428,2,FALSE)</f>
        <v>Unresolved Sexual Tension</v>
      </c>
      <c r="C44" s="5" t="str">
        <f>VLOOKUP($A44,tropes!$A$4:$O$2428,3,FALSE)</f>
        <v>love</v>
      </c>
      <c r="D44" s="5" t="str">
        <f>VLOOKUP($A44,tropes!$A$4:$O$2428,4,FALSE)</f>
        <v>unrequited</v>
      </c>
      <c r="E44" s="5" t="str">
        <f>VLOOKUP($A44,tropes!$A$4:$O$2428,5,FALSE)</f>
        <v>Kirk is in love with his ship.</v>
      </c>
      <c r="F44" s="5" t="str">
        <f>VLOOKUP($A44,tropes!$A$4:$O$2428,6,FALSE)</f>
        <v>kirk</v>
      </c>
      <c r="G44" s="5">
        <f>VLOOKUP($A44,tropes!$A$4:$O$2428,7,FALSE)</f>
        <v>1</v>
      </c>
      <c r="H44" s="5">
        <f>VLOOKUP($A44,tropes!$A$4:$O$2428,8,FALSE)</f>
        <v>0</v>
      </c>
      <c r="I44" s="5">
        <f>VLOOKUP($A44,tropes!$A$4:$O$2428,9,FALSE)</f>
        <v>120</v>
      </c>
      <c r="J44" s="5">
        <f>VLOOKUP($A44,tropes!$A$4:$O$2428,10,FALSE)</f>
        <v>21</v>
      </c>
      <c r="K44" s="5" t="str">
        <f>VLOOKUP($A44,tropes!$A$4:$O$2428,11,FALSE)</f>
        <v>Court Martial</v>
      </c>
      <c r="L44" s="5">
        <f>VLOOKUP($A44,tropes!$A$4:$O$2428,12,FALSE)</f>
        <v>1</v>
      </c>
      <c r="M44" s="5">
        <f>VLOOKUP($A44,tropes!$A$4:$O$2428,13,FALSE)</f>
        <v>20</v>
      </c>
      <c r="N44" s="5">
        <f t="shared" si="0"/>
        <v>3</v>
      </c>
    </row>
    <row r="45" spans="1:14" x14ac:dyDescent="0.3">
      <c r="A45" s="14">
        <v>1722</v>
      </c>
      <c r="B45" s="5" t="str">
        <f>VLOOKUP($A45,tropes!$A$4:$O$2428,2,FALSE)</f>
        <v>Girl Of The Week</v>
      </c>
      <c r="C45" s="5" t="str">
        <f>VLOOKUP($A45,tropes!$A$4:$O$2428,3,FALSE)</f>
        <v>love</v>
      </c>
      <c r="D45" s="5" t="str">
        <f>VLOOKUP($A45,tropes!$A$4:$O$2428,4,FALSE)</f>
        <v>girl_of_the_week</v>
      </c>
      <c r="E45" s="5" t="str">
        <f>VLOOKUP($A45,tropes!$A$4:$O$2428,5,FALSE)</f>
        <v>Lt. McGivers falls in love with Khan. she's a normal, non-special woman who betrays her captain and shipmates in a heartbeat all for love.</v>
      </c>
      <c r="F45" s="5" t="str">
        <f>VLOOKUP($A45,tropes!$A$4:$O$2428,6,FALSE)</f>
        <v>xxx</v>
      </c>
      <c r="G45" s="5">
        <f>VLOOKUP($A45,tropes!$A$4:$O$2428,7,FALSE)</f>
        <v>0</v>
      </c>
      <c r="H45" s="5">
        <f>VLOOKUP($A45,tropes!$A$4:$O$2428,8,FALSE)</f>
        <v>0</v>
      </c>
      <c r="I45" s="5">
        <f>VLOOKUP($A45,tropes!$A$4:$O$2428,9,FALSE)</f>
        <v>122</v>
      </c>
      <c r="J45" s="5">
        <f>VLOOKUP($A45,tropes!$A$4:$O$2428,10,FALSE)</f>
        <v>23</v>
      </c>
      <c r="K45" s="5" t="str">
        <f>VLOOKUP($A45,tropes!$A$4:$O$2428,11,FALSE)</f>
        <v>Space Seed</v>
      </c>
      <c r="L45" s="5">
        <f>VLOOKUP($A45,tropes!$A$4:$O$2428,12,FALSE)</f>
        <v>1</v>
      </c>
      <c r="M45" s="5">
        <f>VLOOKUP($A45,tropes!$A$4:$O$2428,13,FALSE)</f>
        <v>22</v>
      </c>
      <c r="N45" s="5">
        <f t="shared" si="0"/>
        <v>0</v>
      </c>
    </row>
    <row r="46" spans="1:14" x14ac:dyDescent="0.3">
      <c r="A46" s="14">
        <v>1102</v>
      </c>
      <c r="B46" s="5" t="str">
        <f>VLOOKUP($A46,tropes!$A$4:$O$2428,2,FALSE)</f>
        <v>Girl Of The Week</v>
      </c>
      <c r="C46" s="5" t="str">
        <f>VLOOKUP($A46,tropes!$A$4:$O$2428,3,FALSE)</f>
        <v>love</v>
      </c>
      <c r="D46" s="5" t="str">
        <f>VLOOKUP($A46,tropes!$A$4:$O$2428,4,FALSE)</f>
        <v>girl_of_the_week</v>
      </c>
      <c r="E46" s="5" t="str">
        <f>VLOOKUP($A46,tropes!$A$4:$O$2428,5,FALSE)</f>
        <v>Mea3, a woman Kirk gives only a passing glance.</v>
      </c>
      <c r="F46" s="5" t="str">
        <f>VLOOKUP($A46,tropes!$A$4:$O$2428,6,FALSE)</f>
        <v>kirk</v>
      </c>
      <c r="G46" s="5">
        <f>VLOOKUP($A46,tropes!$A$4:$O$2428,7,FALSE)</f>
        <v>0</v>
      </c>
      <c r="H46" s="5">
        <f>VLOOKUP($A46,tropes!$A$4:$O$2428,8,FALSE)</f>
        <v>0</v>
      </c>
      <c r="I46" s="5">
        <f>VLOOKUP($A46,tropes!$A$4:$O$2428,9,FALSE)</f>
        <v>123</v>
      </c>
      <c r="J46" s="5">
        <f>VLOOKUP($A46,tropes!$A$4:$O$2428,10,FALSE)</f>
        <v>24</v>
      </c>
      <c r="K46" s="5" t="str">
        <f>VLOOKUP($A46,tropes!$A$4:$O$2428,11,FALSE)</f>
        <v>A Taste of Armageddon</v>
      </c>
      <c r="L46" s="5">
        <f>VLOOKUP($A46,tropes!$A$4:$O$2428,12,FALSE)</f>
        <v>1</v>
      </c>
      <c r="M46" s="5">
        <f>VLOOKUP($A46,tropes!$A$4:$O$2428,13,FALSE)</f>
        <v>23</v>
      </c>
      <c r="N46" s="5">
        <f t="shared" si="0"/>
        <v>0</v>
      </c>
    </row>
    <row r="47" spans="1:14" x14ac:dyDescent="0.3">
      <c r="A47" s="14">
        <v>1005</v>
      </c>
      <c r="B47" s="5" t="str">
        <f>VLOOKUP($A47,tropes!$A$4:$O$2428,2,FALSE)</f>
        <v>Girl Of The Week</v>
      </c>
      <c r="C47" s="5" t="str">
        <f>VLOOKUP($A47,tropes!$A$4:$O$2428,3,FALSE)</f>
        <v>love</v>
      </c>
      <c r="D47" s="5" t="str">
        <f>VLOOKUP($A47,tropes!$A$4:$O$2428,4,FALSE)</f>
        <v>girl_of_the_week</v>
      </c>
      <c r="E47" s="5" t="str">
        <f>VLOOKUP($A47,tropes!$A$4:$O$2428,5,FALSE)</f>
        <v>Edith Keeler</v>
      </c>
      <c r="F47" s="5" t="str">
        <f>VLOOKUP($A47,tropes!$A$4:$O$2428,6,FALSE)</f>
        <v>kirk</v>
      </c>
      <c r="G47" s="5">
        <f>VLOOKUP($A47,tropes!$A$4:$O$2428,7,FALSE)</f>
        <v>0</v>
      </c>
      <c r="H47" s="5">
        <f>VLOOKUP($A47,tropes!$A$4:$O$2428,8,FALSE)</f>
        <v>0</v>
      </c>
      <c r="I47" s="5">
        <f>VLOOKUP($A47,tropes!$A$4:$O$2428,9,FALSE)</f>
        <v>124</v>
      </c>
      <c r="J47" s="5">
        <f>VLOOKUP($A47,tropes!$A$4:$O$2428,10,FALSE)</f>
        <v>25</v>
      </c>
      <c r="K47" s="5" t="str">
        <f>VLOOKUP($A47,tropes!$A$4:$O$2428,11,FALSE)</f>
        <v>This Side of Paradise</v>
      </c>
      <c r="L47" s="5">
        <f>VLOOKUP($A47,tropes!$A$4:$O$2428,12,FALSE)</f>
        <v>1</v>
      </c>
      <c r="M47" s="5">
        <f>VLOOKUP($A47,tropes!$A$4:$O$2428,13,FALSE)</f>
        <v>24</v>
      </c>
      <c r="N47" s="5">
        <f t="shared" si="0"/>
        <v>0</v>
      </c>
    </row>
    <row r="48" spans="1:14" x14ac:dyDescent="0.3">
      <c r="A48" s="14">
        <v>2358</v>
      </c>
      <c r="B48" s="5" t="str">
        <f>VLOOKUP($A48,tropes!$A$4:$O$2428,2,FALSE)</f>
        <v>Girl Of The Week</v>
      </c>
      <c r="C48" s="5" t="str">
        <f>VLOOKUP($A48,tropes!$A$4:$O$2428,3,FALSE)</f>
        <v>love</v>
      </c>
      <c r="D48" s="5" t="str">
        <f>VLOOKUP($A48,tropes!$A$4:$O$2428,4,FALSE)</f>
        <v>girl_of_the_week</v>
      </c>
      <c r="E48" s="5" t="str">
        <f>VLOOKUP($A48,tropes!$A$4:$O$2428,5,FALSE)</f>
        <v>Lella, an old flame of Spock, wants to get Spock conditioned with the spores and stay with her forever.</v>
      </c>
      <c r="F48" s="5" t="str">
        <f>VLOOKUP($A48,tropes!$A$4:$O$2428,6,FALSE)</f>
        <v>spock</v>
      </c>
      <c r="G48" s="5">
        <f>VLOOKUP($A48,tropes!$A$4:$O$2428,7,FALSE)</f>
        <v>0</v>
      </c>
      <c r="H48" s="5">
        <f>VLOOKUP($A48,tropes!$A$4:$O$2428,8,FALSE)</f>
        <v>0</v>
      </c>
      <c r="I48" s="5">
        <f>VLOOKUP($A48,tropes!$A$4:$O$2428,9,FALSE)</f>
        <v>124</v>
      </c>
      <c r="J48" s="5">
        <f>VLOOKUP($A48,tropes!$A$4:$O$2428,10,FALSE)</f>
        <v>25</v>
      </c>
      <c r="K48" s="5" t="str">
        <f>VLOOKUP($A48,tropes!$A$4:$O$2428,11,FALSE)</f>
        <v>This Side of Paradise</v>
      </c>
      <c r="L48" s="5">
        <f>VLOOKUP($A48,tropes!$A$4:$O$2428,12,FALSE)</f>
        <v>1</v>
      </c>
      <c r="M48" s="5">
        <f>VLOOKUP($A48,tropes!$A$4:$O$2428,13,FALSE)</f>
        <v>24</v>
      </c>
      <c r="N48" s="5">
        <f t="shared" si="0"/>
        <v>1</v>
      </c>
    </row>
    <row r="49" spans="1:14" x14ac:dyDescent="0.3">
      <c r="A49" s="14">
        <v>2353</v>
      </c>
      <c r="B49" s="5" t="str">
        <f>VLOOKUP($A49,tropes!$A$4:$O$2428,2,FALSE)</f>
        <v>New Old Flame</v>
      </c>
      <c r="C49" s="5" t="str">
        <f>VLOOKUP($A49,tropes!$A$4:$O$2428,3,FALSE)</f>
        <v>love</v>
      </c>
      <c r="D49" s="5" t="str">
        <f>VLOOKUP($A49,tropes!$A$4:$O$2428,4,FALSE)</f>
        <v>old_flame</v>
      </c>
      <c r="E49" s="5" t="str">
        <f>VLOOKUP($A49,tropes!$A$4:$O$2428,5,FALSE)</f>
        <v>Lella is an old flame of Spock.</v>
      </c>
      <c r="F49" s="5" t="str">
        <f>VLOOKUP($A49,tropes!$A$4:$O$2428,6,FALSE)</f>
        <v>spock</v>
      </c>
      <c r="G49" s="5">
        <f>VLOOKUP($A49,tropes!$A$4:$O$2428,7,FALSE)</f>
        <v>1</v>
      </c>
      <c r="H49" s="5">
        <f>VLOOKUP($A49,tropes!$A$4:$O$2428,8,FALSE)</f>
        <v>0</v>
      </c>
      <c r="I49" s="5">
        <f>VLOOKUP($A49,tropes!$A$4:$O$2428,9,FALSE)</f>
        <v>124</v>
      </c>
      <c r="J49" s="5">
        <f>VLOOKUP($A49,tropes!$A$4:$O$2428,10,FALSE)</f>
        <v>25</v>
      </c>
      <c r="K49" s="5" t="str">
        <f>VLOOKUP($A49,tropes!$A$4:$O$2428,11,FALSE)</f>
        <v>This Side of Paradise</v>
      </c>
      <c r="L49" s="5">
        <f>VLOOKUP($A49,tropes!$A$4:$O$2428,12,FALSE)</f>
        <v>1</v>
      </c>
      <c r="M49" s="5">
        <f>VLOOKUP($A49,tropes!$A$4:$O$2428,13,FALSE)</f>
        <v>24</v>
      </c>
      <c r="N49" s="5">
        <f t="shared" si="0"/>
        <v>2</v>
      </c>
    </row>
    <row r="50" spans="1:14" x14ac:dyDescent="0.3">
      <c r="A50" s="14">
        <v>2362</v>
      </c>
      <c r="B50" s="5" t="str">
        <f>VLOOKUP($A50,tropes!$A$4:$O$2428,2,FALSE)</f>
        <v>Tears Of Remorse</v>
      </c>
      <c r="C50" s="5" t="str">
        <f>VLOOKUP($A50,tropes!$A$4:$O$2428,3,FALSE)</f>
        <v>love</v>
      </c>
      <c r="D50" s="5" t="str">
        <f>VLOOKUP($A50,tropes!$A$4:$O$2428,4,FALSE)</f>
        <v>lost</v>
      </c>
      <c r="E50" s="5" t="str">
        <f>VLOOKUP($A50,tropes!$A$4:$O$2428,5,FALSE)</f>
        <v>Lella cries when she realizes Spock is no longer affected by the spores.</v>
      </c>
      <c r="F50" s="5" t="str">
        <f>VLOOKUP($A50,tropes!$A$4:$O$2428,6,FALSE)</f>
        <v>lella</v>
      </c>
      <c r="G50" s="5">
        <f>VLOOKUP($A50,tropes!$A$4:$O$2428,7,FALSE)</f>
        <v>0</v>
      </c>
      <c r="H50" s="5">
        <f>VLOOKUP($A50,tropes!$A$4:$O$2428,8,FALSE)</f>
        <v>0</v>
      </c>
      <c r="I50" s="5">
        <f>VLOOKUP($A50,tropes!$A$4:$O$2428,9,FALSE)</f>
        <v>124</v>
      </c>
      <c r="J50" s="5">
        <f>VLOOKUP($A50,tropes!$A$4:$O$2428,10,FALSE)</f>
        <v>25</v>
      </c>
      <c r="K50" s="5" t="str">
        <f>VLOOKUP($A50,tropes!$A$4:$O$2428,11,FALSE)</f>
        <v>This Side of Paradise</v>
      </c>
      <c r="L50" s="5">
        <f>VLOOKUP($A50,tropes!$A$4:$O$2428,12,FALSE)</f>
        <v>1</v>
      </c>
      <c r="M50" s="5">
        <f>VLOOKUP($A50,tropes!$A$4:$O$2428,13,FALSE)</f>
        <v>24</v>
      </c>
      <c r="N50" s="5">
        <f t="shared" si="0"/>
        <v>3</v>
      </c>
    </row>
    <row r="51" spans="1:14" x14ac:dyDescent="0.3">
      <c r="A51" s="14">
        <v>1013</v>
      </c>
      <c r="B51" s="5" t="str">
        <f>VLOOKUP($A51,tropes!$A$4:$O$2428,2,FALSE)</f>
        <v>Unresolved Sexual Tension</v>
      </c>
      <c r="C51" s="5" t="str">
        <f>VLOOKUP($A51,tropes!$A$4:$O$2428,3,FALSE)</f>
        <v>love</v>
      </c>
      <c r="D51" s="5" t="str">
        <f>VLOOKUP($A51,tropes!$A$4:$O$2428,4,FALSE)</f>
        <v>unrequited</v>
      </c>
      <c r="E51" s="5" t="str">
        <f>VLOOKUP($A51,tropes!$A$4:$O$2428,5,FALSE)</f>
        <v>Violent emotions about leaving his ship breaks spores hold on Kirk.</v>
      </c>
      <c r="F51" s="5" t="str">
        <f>VLOOKUP($A51,tropes!$A$4:$O$2428,6,FALSE)</f>
        <v>kirk</v>
      </c>
      <c r="G51" s="5">
        <f>VLOOKUP($A51,tropes!$A$4:$O$2428,7,FALSE)</f>
        <v>1</v>
      </c>
      <c r="H51" s="5">
        <f>VLOOKUP($A51,tropes!$A$4:$O$2428,8,FALSE)</f>
        <v>0</v>
      </c>
      <c r="I51" s="5">
        <f>VLOOKUP($A51,tropes!$A$4:$O$2428,9,FALSE)</f>
        <v>124</v>
      </c>
      <c r="J51" s="5">
        <f>VLOOKUP($A51,tropes!$A$4:$O$2428,10,FALSE)</f>
        <v>25</v>
      </c>
      <c r="K51" s="5" t="str">
        <f>VLOOKUP($A51,tropes!$A$4:$O$2428,11,FALSE)</f>
        <v>This Side of Paradise</v>
      </c>
      <c r="L51" s="5">
        <f>VLOOKUP($A51,tropes!$A$4:$O$2428,12,FALSE)</f>
        <v>1</v>
      </c>
      <c r="M51" s="5">
        <f>VLOOKUP($A51,tropes!$A$4:$O$2428,13,FALSE)</f>
        <v>24</v>
      </c>
      <c r="N51" s="5">
        <f t="shared" si="0"/>
        <v>4</v>
      </c>
    </row>
    <row r="52" spans="1:14" x14ac:dyDescent="0.3">
      <c r="A52" s="14">
        <v>2363</v>
      </c>
      <c r="B52" s="5" t="str">
        <f>VLOOKUP($A52,tropes!$A$4:$O$2428,2,FALSE)</f>
        <v>Wham Line</v>
      </c>
      <c r="C52" s="5" t="str">
        <f>VLOOKUP($A52,tropes!$A$4:$O$2428,3,FALSE)</f>
        <v>love</v>
      </c>
      <c r="D52" s="5" t="str">
        <f>VLOOKUP($A52,tropes!$A$4:$O$2428,4,FALSE)</f>
        <v>true</v>
      </c>
      <c r="E52" s="5" t="str">
        <f>VLOOKUP($A52,tropes!$A$4:$O$2428,5,FALSE)</f>
        <v>Spock (to Lella): I love you.</v>
      </c>
      <c r="F52" s="5" t="str">
        <f>VLOOKUP($A52,tropes!$A$4:$O$2428,6,FALSE)</f>
        <v>spock</v>
      </c>
      <c r="G52" s="5">
        <f>VLOOKUP($A52,tropes!$A$4:$O$2428,7,FALSE)</f>
        <v>1</v>
      </c>
      <c r="H52" s="5">
        <f>VLOOKUP($A52,tropes!$A$4:$O$2428,8,FALSE)</f>
        <v>0</v>
      </c>
      <c r="I52" s="5">
        <f>VLOOKUP($A52,tropes!$A$4:$O$2428,9,FALSE)</f>
        <v>124</v>
      </c>
      <c r="J52" s="5">
        <f>VLOOKUP($A52,tropes!$A$4:$O$2428,10,FALSE)</f>
        <v>25</v>
      </c>
      <c r="K52" s="5" t="str">
        <f>VLOOKUP($A52,tropes!$A$4:$O$2428,11,FALSE)</f>
        <v>This Side of Paradise</v>
      </c>
      <c r="L52" s="5">
        <f>VLOOKUP($A52,tropes!$A$4:$O$2428,12,FALSE)</f>
        <v>1</v>
      </c>
      <c r="M52" s="5">
        <f>VLOOKUP($A52,tropes!$A$4:$O$2428,13,FALSE)</f>
        <v>24</v>
      </c>
      <c r="N52" s="5">
        <f t="shared" si="0"/>
        <v>5</v>
      </c>
    </row>
    <row r="53" spans="1:14" x14ac:dyDescent="0.3">
      <c r="A53" s="14">
        <v>1002</v>
      </c>
      <c r="B53" s="5" t="str">
        <f>VLOOKUP($A53,tropes!$A$4:$O$2428,2,FALSE)</f>
        <v>The Casanova</v>
      </c>
      <c r="C53" s="5" t="str">
        <f>VLOOKUP($A53,tropes!$A$4:$O$2428,3,FALSE)</f>
        <v>love</v>
      </c>
      <c r="D53" s="5" t="str">
        <f>VLOOKUP($A53,tropes!$A$4:$O$2428,4,FALSE)</f>
        <v>true</v>
      </c>
      <c r="E53" s="5" t="str">
        <f>VLOOKUP($A53,tropes!$A$4:$O$2428,5,FALSE)</f>
        <v>Edith Keeler falls in love with Kirk.</v>
      </c>
      <c r="F53" s="5" t="str">
        <f>VLOOKUP($A53,tropes!$A$4:$O$2428,6,FALSE)</f>
        <v>kirk</v>
      </c>
      <c r="G53" s="5">
        <f>VLOOKUP($A53,tropes!$A$4:$O$2428,7,FALSE)</f>
        <v>1</v>
      </c>
      <c r="H53" s="5">
        <f>VLOOKUP($A53,tropes!$A$4:$O$2428,8,FALSE)</f>
        <v>0</v>
      </c>
      <c r="I53" s="5">
        <f>VLOOKUP($A53,tropes!$A$4:$O$2428,9,FALSE)</f>
        <v>128</v>
      </c>
      <c r="J53" s="5">
        <f>VLOOKUP($A53,tropes!$A$4:$O$2428,10,FALSE)</f>
        <v>29</v>
      </c>
      <c r="K53" s="5" t="str">
        <f>VLOOKUP($A53,tropes!$A$4:$O$2428,11,FALSE)</f>
        <v>The City on the Edge of Forever</v>
      </c>
      <c r="L53" s="5">
        <f>VLOOKUP($A53,tropes!$A$4:$O$2428,12,FALSE)</f>
        <v>1</v>
      </c>
      <c r="M53" s="5">
        <f>VLOOKUP($A53,tropes!$A$4:$O$2428,13,FALSE)</f>
        <v>28</v>
      </c>
      <c r="N53" s="5">
        <f t="shared" si="0"/>
        <v>0</v>
      </c>
    </row>
    <row r="54" spans="1:14" x14ac:dyDescent="0.3">
      <c r="A54" s="14">
        <v>1003</v>
      </c>
      <c r="B54" s="5" t="str">
        <f>VLOOKUP($A54,tropes!$A$4:$O$2428,2,FALSE)</f>
        <v>True Love Is Exceptional</v>
      </c>
      <c r="C54" s="5" t="str">
        <f>VLOOKUP($A54,tropes!$A$4:$O$2428,3,FALSE)</f>
        <v>love</v>
      </c>
      <c r="D54" s="5" t="str">
        <f>VLOOKUP($A54,tropes!$A$4:$O$2428,4,FALSE)</f>
        <v>true</v>
      </c>
      <c r="E54" s="5" t="str">
        <f>VLOOKUP($A54,tropes!$A$4:$O$2428,5,FALSE)</f>
        <v>Kirk tells Spock He's in love with Edith Keeler.</v>
      </c>
      <c r="F54" s="5" t="str">
        <f>VLOOKUP($A54,tropes!$A$4:$O$2428,6,FALSE)</f>
        <v>kirk</v>
      </c>
      <c r="G54" s="5">
        <f>VLOOKUP($A54,tropes!$A$4:$O$2428,7,FALSE)</f>
        <v>1</v>
      </c>
      <c r="H54" s="5">
        <f>VLOOKUP($A54,tropes!$A$4:$O$2428,8,FALSE)</f>
        <v>0</v>
      </c>
      <c r="I54" s="5">
        <f>VLOOKUP($A54,tropes!$A$4:$O$2428,9,FALSE)</f>
        <v>128</v>
      </c>
      <c r="J54" s="5">
        <f>VLOOKUP($A54,tropes!$A$4:$O$2428,10,FALSE)</f>
        <v>29</v>
      </c>
      <c r="K54" s="5" t="str">
        <f>VLOOKUP($A54,tropes!$A$4:$O$2428,11,FALSE)</f>
        <v>The City on the Edge of Forever</v>
      </c>
      <c r="L54" s="5">
        <f>VLOOKUP($A54,tropes!$A$4:$O$2428,12,FALSE)</f>
        <v>1</v>
      </c>
      <c r="M54" s="5">
        <f>VLOOKUP($A54,tropes!$A$4:$O$2428,13,FALSE)</f>
        <v>28</v>
      </c>
      <c r="N54" s="5">
        <f t="shared" si="0"/>
        <v>1</v>
      </c>
    </row>
    <row r="55" spans="1:14" x14ac:dyDescent="0.3">
      <c r="A55" s="14">
        <v>2406</v>
      </c>
      <c r="B55" s="5" t="str">
        <f>VLOOKUP($A55,tropes!$A$4:$O$2428,2,FALSE)</f>
        <v>Girl Of The Week</v>
      </c>
      <c r="C55" s="5" t="str">
        <f>VLOOKUP($A55,tropes!$A$4:$O$2428,3,FALSE)</f>
        <v>love</v>
      </c>
      <c r="D55" s="5" t="str">
        <f>VLOOKUP($A55,tropes!$A$4:$O$2428,4,FALSE)</f>
        <v>girl_of_the_week</v>
      </c>
      <c r="E55" s="5" t="str">
        <f>VLOOKUP($A55,tropes!$A$4:$O$2428,5,FALSE)</f>
        <v>T'Pring, Spock's betrothed from his childhood.</v>
      </c>
      <c r="F55" s="5" t="str">
        <f>VLOOKUP($A55,tropes!$A$4:$O$2428,6,FALSE)</f>
        <v>spock</v>
      </c>
      <c r="G55" s="5">
        <f>VLOOKUP($A55,tropes!$A$4:$O$2428,7,FALSE)</f>
        <v>0</v>
      </c>
      <c r="H55" s="5">
        <f>VLOOKUP($A55,tropes!$A$4:$O$2428,8,FALSE)</f>
        <v>0</v>
      </c>
      <c r="I55" s="5">
        <f>VLOOKUP($A55,tropes!$A$4:$O$2428,9,FALSE)</f>
        <v>201</v>
      </c>
      <c r="J55" s="5">
        <f>VLOOKUP($A55,tropes!$A$4:$O$2428,10,FALSE)</f>
        <v>31</v>
      </c>
      <c r="K55" s="5" t="str">
        <f>VLOOKUP($A55,tropes!$A$4:$O$2428,11,FALSE)</f>
        <v>Amok Time</v>
      </c>
      <c r="L55" s="5">
        <f>VLOOKUP($A55,tropes!$A$4:$O$2428,12,FALSE)</f>
        <v>2</v>
      </c>
      <c r="M55" s="5">
        <f>VLOOKUP($A55,tropes!$A$4:$O$2428,13,FALSE)</f>
        <v>1</v>
      </c>
      <c r="N55" s="5">
        <f t="shared" si="0"/>
        <v>0</v>
      </c>
    </row>
    <row r="56" spans="1:14" x14ac:dyDescent="0.3">
      <c r="A56" s="14">
        <v>2335</v>
      </c>
      <c r="B56" s="5" t="str">
        <f>VLOOKUP($A56,tropes!$A$4:$O$2428,2,FALSE)</f>
        <v>Stalker With A Crush</v>
      </c>
      <c r="C56" s="5" t="str">
        <f>VLOOKUP($A56,tropes!$A$4:$O$2428,3,FALSE)</f>
        <v>love</v>
      </c>
      <c r="D56" s="5" t="str">
        <f>VLOOKUP($A56,tropes!$A$4:$O$2428,4,FALSE)</f>
        <v>true</v>
      </c>
      <c r="E56" s="5" t="str">
        <f>VLOOKUP($A56,tropes!$A$4:$O$2428,5,FALSE)</f>
        <v>Nurse Chapel had a deep crush on Spock but the execs didn't want it.</v>
      </c>
      <c r="F56" s="5" t="str">
        <f>VLOOKUP($A56,tropes!$A$4:$O$2428,6,FALSE)</f>
        <v>spock</v>
      </c>
      <c r="G56" s="5">
        <f>VLOOKUP($A56,tropes!$A$4:$O$2428,7,FALSE)</f>
        <v>1</v>
      </c>
      <c r="H56" s="5">
        <f>VLOOKUP($A56,tropes!$A$4:$O$2428,8,FALSE)</f>
        <v>0</v>
      </c>
      <c r="I56" s="5">
        <f>VLOOKUP($A56,tropes!$A$4:$O$2428,9,FALSE)</f>
        <v>201</v>
      </c>
      <c r="J56" s="5">
        <f>VLOOKUP($A56,tropes!$A$4:$O$2428,10,FALSE)</f>
        <v>31</v>
      </c>
      <c r="K56" s="5" t="str">
        <f>VLOOKUP($A56,tropes!$A$4:$O$2428,11,FALSE)</f>
        <v>Amok Time</v>
      </c>
      <c r="L56" s="5">
        <f>VLOOKUP($A56,tropes!$A$4:$O$2428,12,FALSE)</f>
        <v>2</v>
      </c>
      <c r="M56" s="5">
        <f>VLOOKUP($A56,tropes!$A$4:$O$2428,13,FALSE)</f>
        <v>1</v>
      </c>
      <c r="N56" s="5">
        <f t="shared" si="0"/>
        <v>1</v>
      </c>
    </row>
    <row r="57" spans="1:14" x14ac:dyDescent="0.3">
      <c r="A57" s="14">
        <v>1808</v>
      </c>
      <c r="B57" s="5" t="str">
        <f>VLOOKUP($A57,tropes!$A$4:$O$2428,2,FALSE)</f>
        <v>Career Versus Man</v>
      </c>
      <c r="C57" s="5" t="str">
        <f>VLOOKUP($A57,tropes!$A$4:$O$2428,3,FALSE)</f>
        <v>love</v>
      </c>
      <c r="D57" s="5" t="str">
        <f>VLOOKUP($A57,tropes!$A$4:$O$2428,4,FALSE)</f>
        <v>modern_woman</v>
      </c>
      <c r="E57" s="5" t="str">
        <f>VLOOKUP($A57,tropes!$A$4:$O$2428,5,FALSE)</f>
        <v>Lt. Carolyn Palamas must choose between Apollo and her duty. Early on, Bones even discussed the trope.</v>
      </c>
      <c r="F57" s="5" t="str">
        <f>VLOOKUP($A57,tropes!$A$4:$O$2428,6,FALSE)</f>
        <v>palamas</v>
      </c>
      <c r="G57" s="5">
        <f>VLOOKUP($A57,tropes!$A$4:$O$2428,7,FALSE)</f>
        <v>0</v>
      </c>
      <c r="H57" s="5">
        <f>VLOOKUP($A57,tropes!$A$4:$O$2428,8,FALSE)</f>
        <v>0</v>
      </c>
      <c r="I57" s="5">
        <f>VLOOKUP($A57,tropes!$A$4:$O$2428,9,FALSE)</f>
        <v>202</v>
      </c>
      <c r="J57" s="5">
        <f>VLOOKUP($A57,tropes!$A$4:$O$2428,10,FALSE)</f>
        <v>32</v>
      </c>
      <c r="K57" s="5" t="str">
        <f>VLOOKUP($A57,tropes!$A$4:$O$2428,11,FALSE)</f>
        <v>Who Mourns for Adonais?</v>
      </c>
      <c r="L57" s="5">
        <f>VLOOKUP($A57,tropes!$A$4:$O$2428,12,FALSE)</f>
        <v>2</v>
      </c>
      <c r="M57" s="5">
        <f>VLOOKUP($A57,tropes!$A$4:$O$2428,13,FALSE)</f>
        <v>2</v>
      </c>
      <c r="N57" s="5">
        <f t="shared" si="0"/>
        <v>0</v>
      </c>
    </row>
    <row r="58" spans="1:14" x14ac:dyDescent="0.3">
      <c r="A58" s="14">
        <v>1809</v>
      </c>
      <c r="B58" s="5" t="str">
        <f>VLOOKUP($A58,tropes!$A$4:$O$2428,2,FALSE)</f>
        <v>Did You Just Romance Cthulhu?</v>
      </c>
      <c r="C58" s="5" t="str">
        <f>VLOOKUP($A58,tropes!$A$4:$O$2428,3,FALSE)</f>
        <v>love</v>
      </c>
      <c r="D58" s="5" t="str">
        <f>VLOOKUP($A58,tropes!$A$4:$O$2428,4,FALSE)</f>
        <v>cthulhu alien</v>
      </c>
      <c r="E58" s="5" t="str">
        <f>VLOOKUP($A58,tropes!$A$4:$O$2428,5,FALSE)</f>
        <v>Lt. Carolyn Palamas falls in love with a crazy god.</v>
      </c>
      <c r="F58" s="5" t="str">
        <f>VLOOKUP($A58,tropes!$A$4:$O$2428,6,FALSE)</f>
        <v>palamas</v>
      </c>
      <c r="G58" s="5">
        <f>VLOOKUP($A58,tropes!$A$4:$O$2428,7,FALSE)</f>
        <v>0</v>
      </c>
      <c r="H58" s="5">
        <f>VLOOKUP($A58,tropes!$A$4:$O$2428,8,FALSE)</f>
        <v>0</v>
      </c>
      <c r="I58" s="5">
        <f>VLOOKUP($A58,tropes!$A$4:$O$2428,9,FALSE)</f>
        <v>202</v>
      </c>
      <c r="J58" s="5">
        <f>VLOOKUP($A58,tropes!$A$4:$O$2428,10,FALSE)</f>
        <v>32</v>
      </c>
      <c r="K58" s="5" t="str">
        <f>VLOOKUP($A58,tropes!$A$4:$O$2428,11,FALSE)</f>
        <v>Who Mourns for Adonais?</v>
      </c>
      <c r="L58" s="5">
        <f>VLOOKUP($A58,tropes!$A$4:$O$2428,12,FALSE)</f>
        <v>2</v>
      </c>
      <c r="M58" s="5">
        <f>VLOOKUP($A58,tropes!$A$4:$O$2428,13,FALSE)</f>
        <v>2</v>
      </c>
      <c r="N58" s="5">
        <f t="shared" si="0"/>
        <v>1</v>
      </c>
    </row>
    <row r="59" spans="1:14" x14ac:dyDescent="0.3">
      <c r="A59" s="14">
        <v>2005</v>
      </c>
      <c r="B59" s="5" t="str">
        <f>VLOOKUP($A59,tropes!$A$4:$O$2428,2,FALSE)</f>
        <v>Girl Of The Week</v>
      </c>
      <c r="C59" s="5" t="str">
        <f>VLOOKUP($A59,tropes!$A$4:$O$2428,3,FALSE)</f>
        <v>love</v>
      </c>
      <c r="D59" s="5" t="str">
        <f>VLOOKUP($A59,tropes!$A$4:$O$2428,4,FALSE)</f>
        <v>girl_of_the_week</v>
      </c>
      <c r="E59" s="5" t="str">
        <f>VLOOKUP($A59,tropes!$A$4:$O$2428,5,FALSE)</f>
        <v>Lt. Carolyn Palamas is Scotty muse this week but Lt. Carolyn Palamas falls in love with Apollo.</v>
      </c>
      <c r="F59" s="5" t="str">
        <f>VLOOKUP($A59,tropes!$A$4:$O$2428,6,FALSE)</f>
        <v>scotty</v>
      </c>
      <c r="G59" s="5">
        <f>VLOOKUP($A59,tropes!$A$4:$O$2428,7,FALSE)</f>
        <v>0</v>
      </c>
      <c r="H59" s="5">
        <f>VLOOKUP($A59,tropes!$A$4:$O$2428,8,FALSE)</f>
        <v>0</v>
      </c>
      <c r="I59" s="5">
        <f>VLOOKUP($A59,tropes!$A$4:$O$2428,9,FALSE)</f>
        <v>202</v>
      </c>
      <c r="J59" s="5">
        <f>VLOOKUP($A59,tropes!$A$4:$O$2428,10,FALSE)</f>
        <v>32</v>
      </c>
      <c r="K59" s="5" t="str">
        <f>VLOOKUP($A59,tropes!$A$4:$O$2428,11,FALSE)</f>
        <v>Who Mourns for Adonais?</v>
      </c>
      <c r="L59" s="5">
        <f>VLOOKUP($A59,tropes!$A$4:$O$2428,12,FALSE)</f>
        <v>2</v>
      </c>
      <c r="M59" s="5">
        <f>VLOOKUP($A59,tropes!$A$4:$O$2428,13,FALSE)</f>
        <v>2</v>
      </c>
      <c r="N59" s="5">
        <f t="shared" si="0"/>
        <v>2</v>
      </c>
    </row>
    <row r="60" spans="1:14" x14ac:dyDescent="0.3">
      <c r="A60" s="14">
        <v>2006</v>
      </c>
      <c r="B60" s="5" t="str">
        <f>VLOOKUP($A60,tropes!$A$4:$O$2428,2,FALSE)</f>
        <v>Grand Romantic Gesture</v>
      </c>
      <c r="C60" s="5" t="str">
        <f>VLOOKUP($A60,tropes!$A$4:$O$2428,3,FALSE)</f>
        <v>love</v>
      </c>
      <c r="D60" s="5" t="str">
        <f>VLOOKUP($A60,tropes!$A$4:$O$2428,4,FALSE)</f>
        <v>gesture</v>
      </c>
      <c r="E60" s="5" t="str">
        <f>VLOOKUP($A60,tropes!$A$4:$O$2428,5,FALSE)</f>
        <v>Scotty gently courts Lt. Carolyn Palamas then attempts to defend her honor.</v>
      </c>
      <c r="F60" s="5" t="str">
        <f>VLOOKUP($A60,tropes!$A$4:$O$2428,6,FALSE)</f>
        <v>scotty</v>
      </c>
      <c r="G60" s="5">
        <f>VLOOKUP($A60,tropes!$A$4:$O$2428,7,FALSE)</f>
        <v>0</v>
      </c>
      <c r="H60" s="5">
        <f>VLOOKUP($A60,tropes!$A$4:$O$2428,8,FALSE)</f>
        <v>1</v>
      </c>
      <c r="I60" s="5">
        <f>VLOOKUP($A60,tropes!$A$4:$O$2428,9,FALSE)</f>
        <v>202</v>
      </c>
      <c r="J60" s="5">
        <f>VLOOKUP($A60,tropes!$A$4:$O$2428,10,FALSE)</f>
        <v>32</v>
      </c>
      <c r="K60" s="5" t="str">
        <f>VLOOKUP($A60,tropes!$A$4:$O$2428,11,FALSE)</f>
        <v>Who Mourns for Adonais?</v>
      </c>
      <c r="L60" s="5">
        <f>VLOOKUP($A60,tropes!$A$4:$O$2428,12,FALSE)</f>
        <v>2</v>
      </c>
      <c r="M60" s="5">
        <f>VLOOKUP($A60,tropes!$A$4:$O$2428,13,FALSE)</f>
        <v>2</v>
      </c>
      <c r="N60" s="5">
        <f t="shared" si="0"/>
        <v>3</v>
      </c>
    </row>
    <row r="61" spans="1:14" x14ac:dyDescent="0.3">
      <c r="A61" s="14">
        <v>1816</v>
      </c>
      <c r="B61" s="5" t="str">
        <f>VLOOKUP($A61,tropes!$A$4:$O$2428,2,FALSE)</f>
        <v>The Odd Couple</v>
      </c>
      <c r="C61" s="5" t="str">
        <f>VLOOKUP($A61,tropes!$A$4:$O$2428,3,FALSE)</f>
        <v>love</v>
      </c>
      <c r="D61" s="5" t="str">
        <f>VLOOKUP($A61,tropes!$A$4:$O$2428,4,FALSE)</f>
        <v>true</v>
      </c>
      <c r="E61" s="5" t="str">
        <f>VLOOKUP($A61,tropes!$A$4:$O$2428,5,FALSE)</f>
        <v>Lt. Carolyn Palamas loves Apollo.</v>
      </c>
      <c r="F61" s="5" t="str">
        <f>VLOOKUP($A61,tropes!$A$4:$O$2428,6,FALSE)</f>
        <v>palamas</v>
      </c>
      <c r="G61" s="5">
        <f>VLOOKUP($A61,tropes!$A$4:$O$2428,7,FALSE)</f>
        <v>0</v>
      </c>
      <c r="H61" s="5">
        <f>VLOOKUP($A61,tropes!$A$4:$O$2428,8,FALSE)</f>
        <v>0</v>
      </c>
      <c r="I61" s="5">
        <f>VLOOKUP($A61,tropes!$A$4:$O$2428,9,FALSE)</f>
        <v>202</v>
      </c>
      <c r="J61" s="5">
        <f>VLOOKUP($A61,tropes!$A$4:$O$2428,10,FALSE)</f>
        <v>32</v>
      </c>
      <c r="K61" s="5" t="str">
        <f>VLOOKUP($A61,tropes!$A$4:$O$2428,11,FALSE)</f>
        <v>Who Mourns for Adonais?</v>
      </c>
      <c r="L61" s="5">
        <f>VLOOKUP($A61,tropes!$A$4:$O$2428,12,FALSE)</f>
        <v>2</v>
      </c>
      <c r="M61" s="5">
        <f>VLOOKUP($A61,tropes!$A$4:$O$2428,13,FALSE)</f>
        <v>2</v>
      </c>
      <c r="N61" s="5">
        <f t="shared" si="0"/>
        <v>4</v>
      </c>
    </row>
    <row r="62" spans="1:14" x14ac:dyDescent="0.3">
      <c r="A62" s="14">
        <v>2700</v>
      </c>
      <c r="B62" s="5" t="str">
        <f>VLOOKUP($A62,tropes!$A$4:$O$2428,2,FALSE)</f>
        <v>Chasity Dagger</v>
      </c>
      <c r="C62" s="5" t="str">
        <f>VLOOKUP($A62,tropes!$A$4:$O$2428,3,FALSE)</f>
        <v>love</v>
      </c>
      <c r="D62" s="5">
        <f>VLOOKUP($A62,tropes!$A$4:$O$2428,4,FALSE)</f>
        <v>0</v>
      </c>
      <c r="E62" s="5" t="str">
        <f>VLOOKUP($A62,tropes!$A$4:$O$2428,5,FALSE)</f>
        <v>Uhura in uses one to fend off Mirror Sulu's lecherous advances on her at one point</v>
      </c>
      <c r="F62" s="5" t="str">
        <f>VLOOKUP($A62,tropes!$A$4:$O$2428,6,FALSE)</f>
        <v>uhura</v>
      </c>
      <c r="G62" s="5">
        <f>VLOOKUP($A62,tropes!$A$4:$O$2428,7,FALSE)</f>
        <v>1</v>
      </c>
      <c r="H62" s="5">
        <f>VLOOKUP($A62,tropes!$A$4:$O$2428,8,FALSE)</f>
        <v>0</v>
      </c>
      <c r="I62" s="5">
        <f>VLOOKUP($A62,tropes!$A$4:$O$2428,9,FALSE)</f>
        <v>204</v>
      </c>
      <c r="J62" s="5">
        <f>VLOOKUP($A62,tropes!$A$4:$O$2428,10,FALSE)</f>
        <v>34</v>
      </c>
      <c r="K62" s="5" t="str">
        <f>VLOOKUP($A62,tropes!$A$4:$O$2428,11,FALSE)</f>
        <v>Mirror, Mirror</v>
      </c>
      <c r="L62" s="5">
        <f>VLOOKUP($A62,tropes!$A$4:$O$2428,12,FALSE)</f>
        <v>2</v>
      </c>
      <c r="M62" s="5">
        <f>VLOOKUP($A62,tropes!$A$4:$O$2428,13,FALSE)</f>
        <v>4</v>
      </c>
      <c r="N62" s="5">
        <f t="shared" si="0"/>
        <v>0</v>
      </c>
    </row>
    <row r="63" spans="1:14" x14ac:dyDescent="0.3">
      <c r="A63" s="14">
        <v>1129</v>
      </c>
      <c r="B63" s="5" t="str">
        <f>VLOOKUP($A63,tropes!$A$4:$O$2428,2,FALSE)</f>
        <v>Gentle Touch***</v>
      </c>
      <c r="C63" s="5" t="str">
        <f>VLOOKUP($A63,tropes!$A$4:$O$2428,3,FALSE)</f>
        <v>love</v>
      </c>
      <c r="D63" s="5" t="str">
        <f>VLOOKUP($A63,tropes!$A$4:$O$2428,4,FALSE)</f>
        <v xml:space="preserve">touch </v>
      </c>
      <c r="E63" s="5" t="str">
        <f>VLOOKUP($A63,tropes!$A$4:$O$2428,5,FALSE)</f>
        <v>Kirk lays his hand on Mirror Lt. Moreau's hands to comfort her.</v>
      </c>
      <c r="F63" s="5" t="str">
        <f>VLOOKUP($A63,tropes!$A$4:$O$2428,6,FALSE)</f>
        <v>kirk</v>
      </c>
      <c r="G63" s="5">
        <f>VLOOKUP($A63,tropes!$A$4:$O$2428,7,FALSE)</f>
        <v>1</v>
      </c>
      <c r="H63" s="5">
        <f>VLOOKUP($A63,tropes!$A$4:$O$2428,8,FALSE)</f>
        <v>0</v>
      </c>
      <c r="I63" s="5">
        <f>VLOOKUP($A63,tropes!$A$4:$O$2428,9,FALSE)</f>
        <v>204</v>
      </c>
      <c r="J63" s="5">
        <f>VLOOKUP($A63,tropes!$A$4:$O$2428,10,FALSE)</f>
        <v>34</v>
      </c>
      <c r="K63" s="5" t="str">
        <f>VLOOKUP($A63,tropes!$A$4:$O$2428,11,FALSE)</f>
        <v>Mirror, Mirror</v>
      </c>
      <c r="L63" s="5">
        <f>VLOOKUP($A63,tropes!$A$4:$O$2428,12,FALSE)</f>
        <v>2</v>
      </c>
      <c r="M63" s="5">
        <f>VLOOKUP($A63,tropes!$A$4:$O$2428,13,FALSE)</f>
        <v>4</v>
      </c>
      <c r="N63" s="5">
        <f t="shared" si="0"/>
        <v>1</v>
      </c>
    </row>
    <row r="64" spans="1:14" x14ac:dyDescent="0.3">
      <c r="A64" s="14">
        <v>1132</v>
      </c>
      <c r="B64" s="5" t="str">
        <f>VLOOKUP($A64,tropes!$A$4:$O$2428,2,FALSE)</f>
        <v>Girl Of The Week</v>
      </c>
      <c r="C64" s="5" t="str">
        <f>VLOOKUP($A64,tropes!$A$4:$O$2428,3,FALSE)</f>
        <v>love</v>
      </c>
      <c r="D64" s="5" t="str">
        <f>VLOOKUP($A64,tropes!$A$4:$O$2428,4,FALSE)</f>
        <v>girl_of_the_week</v>
      </c>
      <c r="E64" s="5" t="str">
        <f>VLOOKUP($A64,tropes!$A$4:$O$2428,5,FALSE)</f>
        <v>Lt. Marlena Moreau, the Captains Woman in the mirror universe.</v>
      </c>
      <c r="F64" s="5" t="str">
        <f>VLOOKUP($A64,tropes!$A$4:$O$2428,6,FALSE)</f>
        <v>kirk</v>
      </c>
      <c r="G64" s="5">
        <f>VLOOKUP($A64,tropes!$A$4:$O$2428,7,FALSE)</f>
        <v>0</v>
      </c>
      <c r="H64" s="5">
        <f>VLOOKUP($A64,tropes!$A$4:$O$2428,8,FALSE)</f>
        <v>0</v>
      </c>
      <c r="I64" s="5">
        <f>VLOOKUP($A64,tropes!$A$4:$O$2428,9,FALSE)</f>
        <v>204</v>
      </c>
      <c r="J64" s="5">
        <f>VLOOKUP($A64,tropes!$A$4:$O$2428,10,FALSE)</f>
        <v>34</v>
      </c>
      <c r="K64" s="5" t="str">
        <f>VLOOKUP($A64,tropes!$A$4:$O$2428,11,FALSE)</f>
        <v>Mirror, Mirror</v>
      </c>
      <c r="L64" s="5">
        <f>VLOOKUP($A64,tropes!$A$4:$O$2428,12,FALSE)</f>
        <v>2</v>
      </c>
      <c r="M64" s="5">
        <f>VLOOKUP($A64,tropes!$A$4:$O$2428,13,FALSE)</f>
        <v>4</v>
      </c>
      <c r="N64" s="5">
        <f t="shared" si="0"/>
        <v>2</v>
      </c>
    </row>
    <row r="65" spans="1:14" x14ac:dyDescent="0.3">
      <c r="A65" s="14">
        <v>2463</v>
      </c>
      <c r="B65" s="5" t="str">
        <f>VLOOKUP($A65,tropes!$A$4:$O$2428,2,FALSE)</f>
        <v>Unwanted Affection***</v>
      </c>
      <c r="C65" s="5" t="str">
        <f>VLOOKUP($A65,tropes!$A$4:$O$2428,3,FALSE)</f>
        <v>love</v>
      </c>
      <c r="D65" s="5" t="str">
        <f>VLOOKUP($A65,tropes!$A$4:$O$2428,4,FALSE)</f>
        <v>unwanted</v>
      </c>
      <c r="E65" s="5" t="str">
        <f>VLOOKUP($A65,tropes!$A$4:$O$2428,5,FALSE)</f>
        <v>Mirror Sulu coming on to Uhura.</v>
      </c>
      <c r="F65" s="5" t="str">
        <f>VLOOKUP($A65,tropes!$A$4:$O$2428,6,FALSE)</f>
        <v>sulu</v>
      </c>
      <c r="G65" s="5">
        <f>VLOOKUP($A65,tropes!$A$4:$O$2428,7,FALSE)</f>
        <v>0</v>
      </c>
      <c r="H65" s="5">
        <f>VLOOKUP($A65,tropes!$A$4:$O$2428,8,FALSE)</f>
        <v>1</v>
      </c>
      <c r="I65" s="5">
        <f>VLOOKUP($A65,tropes!$A$4:$O$2428,9,FALSE)</f>
        <v>204</v>
      </c>
      <c r="J65" s="5">
        <f>VLOOKUP($A65,tropes!$A$4:$O$2428,10,FALSE)</f>
        <v>34</v>
      </c>
      <c r="K65" s="5" t="str">
        <f>VLOOKUP($A65,tropes!$A$4:$O$2428,11,FALSE)</f>
        <v>Mirror, Mirror</v>
      </c>
      <c r="L65" s="5">
        <f>VLOOKUP($A65,tropes!$A$4:$O$2428,12,FALSE)</f>
        <v>2</v>
      </c>
      <c r="M65" s="5">
        <f>VLOOKUP($A65,tropes!$A$4:$O$2428,13,FALSE)</f>
        <v>4</v>
      </c>
      <c r="N65" s="5">
        <f t="shared" si="0"/>
        <v>3</v>
      </c>
    </row>
    <row r="66" spans="1:14" x14ac:dyDescent="0.3">
      <c r="A66" s="14">
        <v>419</v>
      </c>
      <c r="B66" s="5" t="str">
        <f>VLOOKUP($A66,tropes!$A$4:$O$2428,2,FALSE)</f>
        <v>Girl Of The Week</v>
      </c>
      <c r="C66" s="5" t="str">
        <f>VLOOKUP($A66,tropes!$A$4:$O$2428,3,FALSE)</f>
        <v>love</v>
      </c>
      <c r="D66" s="5" t="str">
        <f>VLOOKUP($A66,tropes!$A$4:$O$2428,4,FALSE)</f>
        <v>girl_of_the_week</v>
      </c>
      <c r="E66" s="5" t="str">
        <f>VLOOKUP($A66,tropes!$A$4:$O$2428,5,FALSE)</f>
        <v>Sayana, the native young woman.</v>
      </c>
      <c r="F66" s="5" t="str">
        <f>VLOOKUP($A66,tropes!$A$4:$O$2428,6,FALSE)</f>
        <v>xxx</v>
      </c>
      <c r="G66" s="5">
        <f>VLOOKUP($A66,tropes!$A$4:$O$2428,7,FALSE)</f>
        <v>0</v>
      </c>
      <c r="H66" s="5">
        <f>VLOOKUP($A66,tropes!$A$4:$O$2428,8,FALSE)</f>
        <v>0</v>
      </c>
      <c r="I66" s="5">
        <f>VLOOKUP($A66,tropes!$A$4:$O$2428,9,FALSE)</f>
        <v>205</v>
      </c>
      <c r="J66" s="5">
        <f>VLOOKUP($A66,tropes!$A$4:$O$2428,10,FALSE)</f>
        <v>35</v>
      </c>
      <c r="K66" s="5" t="str">
        <f>VLOOKUP($A66,tropes!$A$4:$O$2428,11,FALSE)</f>
        <v>The Apple</v>
      </c>
      <c r="L66" s="5">
        <f>VLOOKUP($A66,tropes!$A$4:$O$2428,12,FALSE)</f>
        <v>2</v>
      </c>
      <c r="M66" s="5">
        <f>VLOOKUP($A66,tropes!$A$4:$O$2428,13,FALSE)</f>
        <v>5</v>
      </c>
      <c r="N66" s="5">
        <f t="shared" si="0"/>
        <v>0</v>
      </c>
    </row>
    <row r="67" spans="1:14" x14ac:dyDescent="0.3">
      <c r="A67" s="14">
        <v>162</v>
      </c>
      <c r="B67" s="5" t="str">
        <f>VLOOKUP($A67,tropes!$A$4:$O$2428,2,FALSE)</f>
        <v>Girl Of The Week</v>
      </c>
      <c r="C67" s="5" t="str">
        <f>VLOOKUP($A67,tropes!$A$4:$O$2428,3,FALSE)</f>
        <v>love</v>
      </c>
      <c r="D67" s="5" t="str">
        <f>VLOOKUP($A67,tropes!$A$4:$O$2428,4,FALSE)</f>
        <v>girl_of_the_week</v>
      </c>
      <c r="E67" s="5" t="str">
        <f>VLOOKUP($A67,tropes!$A$4:$O$2428,5,FALSE)</f>
        <v>Yeoman Martha Landon is Chekov's current squeeze.</v>
      </c>
      <c r="F67" s="5" t="str">
        <f>VLOOKUP($A67,tropes!$A$4:$O$2428,6,FALSE)</f>
        <v>chekov</v>
      </c>
      <c r="G67" s="5">
        <f>VLOOKUP($A67,tropes!$A$4:$O$2428,7,FALSE)</f>
        <v>0</v>
      </c>
      <c r="H67" s="5">
        <f>VLOOKUP($A67,tropes!$A$4:$O$2428,8,FALSE)</f>
        <v>0</v>
      </c>
      <c r="I67" s="5">
        <f>VLOOKUP($A67,tropes!$A$4:$O$2428,9,FALSE)</f>
        <v>205</v>
      </c>
      <c r="J67" s="5">
        <f>VLOOKUP($A67,tropes!$A$4:$O$2428,10,FALSE)</f>
        <v>35</v>
      </c>
      <c r="K67" s="5" t="str">
        <f>VLOOKUP($A67,tropes!$A$4:$O$2428,11,FALSE)</f>
        <v>The Apple</v>
      </c>
      <c r="L67" s="5">
        <f>VLOOKUP($A67,tropes!$A$4:$O$2428,12,FALSE)</f>
        <v>2</v>
      </c>
      <c r="M67" s="5">
        <f>VLOOKUP($A67,tropes!$A$4:$O$2428,13,FALSE)</f>
        <v>5</v>
      </c>
      <c r="N67" s="5">
        <f t="shared" si="0"/>
        <v>1</v>
      </c>
    </row>
    <row r="68" spans="1:14" x14ac:dyDescent="0.3">
      <c r="A68" s="14">
        <v>420</v>
      </c>
      <c r="B68" s="5" t="str">
        <f>VLOOKUP($A68,tropes!$A$4:$O$2428,2,FALSE)</f>
        <v>What Is This Thing You Call Love</v>
      </c>
      <c r="C68" s="5" t="str">
        <f>VLOOKUP($A68,tropes!$A$4:$O$2428,3,FALSE)</f>
        <v>love</v>
      </c>
      <c r="D68" s="5" t="str">
        <f>VLOOKUP($A68,tropes!$A$4:$O$2428,4,FALSE)</f>
        <v>what is it</v>
      </c>
      <c r="E68" s="5" t="str">
        <f>VLOOKUP($A68,tropes!$A$4:$O$2428,5,FALSE)</f>
        <v>The crew find an idyllic paradise, except that nobody ever dies, so there is no need for replacements and the natives are ignorant of reproduction, and the emotions which lead to it. The line What is love? is used again verbatim.</v>
      </c>
      <c r="F68" s="5" t="str">
        <f>VLOOKUP($A68,tropes!$A$4:$O$2428,6,FALSE)</f>
        <v>humanoid</v>
      </c>
      <c r="G68" s="5">
        <f>VLOOKUP($A68,tropes!$A$4:$O$2428,7,FALSE)</f>
        <v>0</v>
      </c>
      <c r="H68" s="5">
        <f>VLOOKUP($A68,tropes!$A$4:$O$2428,8,FALSE)</f>
        <v>0</v>
      </c>
      <c r="I68" s="5">
        <f>VLOOKUP($A68,tropes!$A$4:$O$2428,9,FALSE)</f>
        <v>205</v>
      </c>
      <c r="J68" s="5">
        <f>VLOOKUP($A68,tropes!$A$4:$O$2428,10,FALSE)</f>
        <v>35</v>
      </c>
      <c r="K68" s="5" t="str">
        <f>VLOOKUP($A68,tropes!$A$4:$O$2428,11,FALSE)</f>
        <v>The Apple</v>
      </c>
      <c r="L68" s="5">
        <f>VLOOKUP($A68,tropes!$A$4:$O$2428,12,FALSE)</f>
        <v>2</v>
      </c>
      <c r="M68" s="5">
        <f>VLOOKUP($A68,tropes!$A$4:$O$2428,13,FALSE)</f>
        <v>5</v>
      </c>
      <c r="N68" s="5">
        <f t="shared" ref="N68:N85" si="1">IF(I68&lt;&gt;I67,0,N67+1)</f>
        <v>2</v>
      </c>
    </row>
    <row r="69" spans="1:14" x14ac:dyDescent="0.3">
      <c r="A69" s="14">
        <v>1462</v>
      </c>
      <c r="B69" s="5" t="str">
        <f>VLOOKUP($A69,tropes!$A$4:$O$2428,2,FALSE)</f>
        <v>What Is This Thing You Call Love</v>
      </c>
      <c r="C69" s="5" t="str">
        <f>VLOOKUP($A69,tropes!$A$4:$O$2428,3,FALSE)</f>
        <v>love</v>
      </c>
      <c r="D69" s="5" t="str">
        <f>VLOOKUP($A69,tropes!$A$4:$O$2428,4,FALSE)</f>
        <v>what is it</v>
      </c>
      <c r="E69" s="5" t="str">
        <f>VLOOKUP($A69,tropes!$A$4:$O$2428,5,FALSE)</f>
        <v>Yeoman Martha Landon: When a man and woman fall in love. | Akuta: Love? Strange words. Children… Love… What is love?.</v>
      </c>
      <c r="F69" s="5" t="str">
        <f>VLOOKUP($A69,tropes!$A$4:$O$2428,6,FALSE)</f>
        <v>landon</v>
      </c>
      <c r="G69" s="5">
        <f>VLOOKUP($A69,tropes!$A$4:$O$2428,7,FALSE)</f>
        <v>0</v>
      </c>
      <c r="H69" s="5">
        <f>VLOOKUP($A69,tropes!$A$4:$O$2428,8,FALSE)</f>
        <v>0</v>
      </c>
      <c r="I69" s="5">
        <f>VLOOKUP($A69,tropes!$A$4:$O$2428,9,FALSE)</f>
        <v>205</v>
      </c>
      <c r="J69" s="5">
        <f>VLOOKUP($A69,tropes!$A$4:$O$2428,10,FALSE)</f>
        <v>35</v>
      </c>
      <c r="K69" s="5" t="str">
        <f>VLOOKUP($A69,tropes!$A$4:$O$2428,11,FALSE)</f>
        <v>The Apple</v>
      </c>
      <c r="L69" s="5">
        <f>VLOOKUP($A69,tropes!$A$4:$O$2428,12,FALSE)</f>
        <v>2</v>
      </c>
      <c r="M69" s="5">
        <f>VLOOKUP($A69,tropes!$A$4:$O$2428,13,FALSE)</f>
        <v>5</v>
      </c>
      <c r="N69" s="5">
        <f t="shared" si="1"/>
        <v>3</v>
      </c>
    </row>
    <row r="70" spans="1:14" x14ac:dyDescent="0.3">
      <c r="A70" s="14">
        <v>2472</v>
      </c>
      <c r="B70" s="5" t="str">
        <f>VLOOKUP($A70,tropes!$A$4:$O$2428,2,FALSE)</f>
        <v>Girl Of The Week</v>
      </c>
      <c r="C70" s="5" t="str">
        <f>VLOOKUP($A70,tropes!$A$4:$O$2428,3,FALSE)</f>
        <v>love</v>
      </c>
      <c r="D70" s="5" t="str">
        <f>VLOOKUP($A70,tropes!$A$4:$O$2428,4,FALSE)</f>
        <v>girl_of_the_week</v>
      </c>
      <c r="E70" s="5" t="str">
        <f>VLOOKUP($A70,tropes!$A$4:$O$2428,5,FALSE)</f>
        <v>Sylvia, The female magician. First time she's ever had a human form.</v>
      </c>
      <c r="F70" s="5" t="str">
        <f>VLOOKUP($A70,tropes!$A$4:$O$2428,6,FALSE)</f>
        <v>kirk</v>
      </c>
      <c r="G70" s="5">
        <f>VLOOKUP($A70,tropes!$A$4:$O$2428,7,FALSE)</f>
        <v>0</v>
      </c>
      <c r="H70" s="5">
        <f>VLOOKUP($A70,tropes!$A$4:$O$2428,8,FALSE)</f>
        <v>0</v>
      </c>
      <c r="I70" s="5">
        <f>VLOOKUP($A70,tropes!$A$4:$O$2428,9,FALSE)</f>
        <v>207</v>
      </c>
      <c r="J70" s="5">
        <f>VLOOKUP($A70,tropes!$A$4:$O$2428,10,FALSE)</f>
        <v>37</v>
      </c>
      <c r="K70" s="5" t="str">
        <f>VLOOKUP($A70,tropes!$A$4:$O$2428,11,FALSE)</f>
        <v>Catspaw</v>
      </c>
      <c r="L70" s="5">
        <f>VLOOKUP($A70,tropes!$A$4:$O$2428,12,FALSE)</f>
        <v>2</v>
      </c>
      <c r="M70" s="5">
        <f>VLOOKUP($A70,tropes!$A$4:$O$2428,13,FALSE)</f>
        <v>7</v>
      </c>
      <c r="N70" s="5">
        <f t="shared" si="1"/>
        <v>0</v>
      </c>
    </row>
    <row r="71" spans="1:14" x14ac:dyDescent="0.3">
      <c r="A71" s="14">
        <v>1019</v>
      </c>
      <c r="B71" s="5" t="str">
        <f>VLOOKUP($A71,tropes!$A$4:$O$2428,2,FALSE)</f>
        <v>Unresolved Sexual Tension</v>
      </c>
      <c r="C71" s="5" t="str">
        <f>VLOOKUP($A71,tropes!$A$4:$O$2428,3,FALSE)</f>
        <v>love</v>
      </c>
      <c r="D71" s="5" t="str">
        <f>VLOOKUP($A71,tropes!$A$4:$O$2428,4,FALSE)</f>
        <v>unrequited</v>
      </c>
      <c r="E71" s="5" t="str">
        <f>VLOOKUP($A71,tropes!$A$4:$O$2428,5,FALSE)</f>
        <v>Kirk extremely worried as the Enterprise is heating up in space.</v>
      </c>
      <c r="F71" s="5" t="str">
        <f>VLOOKUP($A71,tropes!$A$4:$O$2428,6,FALSE)</f>
        <v>kirk</v>
      </c>
      <c r="G71" s="5">
        <f>VLOOKUP($A71,tropes!$A$4:$O$2428,7,FALSE)</f>
        <v>1</v>
      </c>
      <c r="H71" s="5">
        <f>VLOOKUP($A71,tropes!$A$4:$O$2428,8,FALSE)</f>
        <v>0</v>
      </c>
      <c r="I71" s="5">
        <f>VLOOKUP($A71,tropes!$A$4:$O$2428,9,FALSE)</f>
        <v>207</v>
      </c>
      <c r="J71" s="5">
        <f>VLOOKUP($A71,tropes!$A$4:$O$2428,10,FALSE)</f>
        <v>37</v>
      </c>
      <c r="K71" s="5" t="str">
        <f>VLOOKUP($A71,tropes!$A$4:$O$2428,11,FALSE)</f>
        <v>Catspaw</v>
      </c>
      <c r="L71" s="5">
        <f>VLOOKUP($A71,tropes!$A$4:$O$2428,12,FALSE)</f>
        <v>2</v>
      </c>
      <c r="M71" s="5">
        <f>VLOOKUP($A71,tropes!$A$4:$O$2428,13,FALSE)</f>
        <v>7</v>
      </c>
      <c r="N71" s="5">
        <f t="shared" si="1"/>
        <v>1</v>
      </c>
    </row>
    <row r="72" spans="1:14" x14ac:dyDescent="0.3">
      <c r="A72" s="14">
        <v>1936</v>
      </c>
      <c r="B72" s="5" t="str">
        <f>VLOOKUP($A72,tropes!$A$4:$O$2428,2,FALSE)</f>
        <v>Girl Of The Week</v>
      </c>
      <c r="C72" s="5" t="str">
        <f>VLOOKUP($A72,tropes!$A$4:$O$2428,3,FALSE)</f>
        <v>love</v>
      </c>
      <c r="D72" s="5" t="str">
        <f>VLOOKUP($A72,tropes!$A$4:$O$2428,4,FALSE)</f>
        <v>girl_of_the_week</v>
      </c>
      <c r="E72" s="5" t="str">
        <f>VLOOKUP($A72,tropes!$A$4:$O$2428,5,FALSE)</f>
        <v>The Alice series androids</v>
      </c>
      <c r="F72" s="5" t="str">
        <f>VLOOKUP($A72,tropes!$A$4:$O$2428,6,FALSE)</f>
        <v>chekov</v>
      </c>
      <c r="G72" s="5">
        <f>VLOOKUP($A72,tropes!$A$4:$O$2428,7,FALSE)</f>
        <v>0</v>
      </c>
      <c r="H72" s="5">
        <f>VLOOKUP($A72,tropes!$A$4:$O$2428,8,FALSE)</f>
        <v>0</v>
      </c>
      <c r="I72" s="5">
        <f>VLOOKUP($A72,tropes!$A$4:$O$2428,9,FALSE)</f>
        <v>208</v>
      </c>
      <c r="J72" s="5">
        <f>VLOOKUP($A72,tropes!$A$4:$O$2428,10,FALSE)</f>
        <v>38</v>
      </c>
      <c r="K72" s="5" t="str">
        <f>VLOOKUP($A72,tropes!$A$4:$O$2428,11,FALSE)</f>
        <v>I, Mudd</v>
      </c>
      <c r="L72" s="5">
        <f>VLOOKUP($A72,tropes!$A$4:$O$2428,12,FALSE)</f>
        <v>2</v>
      </c>
      <c r="M72" s="5">
        <f>VLOOKUP($A72,tropes!$A$4:$O$2428,13,FALSE)</f>
        <v>8</v>
      </c>
      <c r="N72" s="5">
        <f t="shared" si="1"/>
        <v>0</v>
      </c>
    </row>
    <row r="73" spans="1:14" x14ac:dyDescent="0.3">
      <c r="A73" s="14">
        <v>1020</v>
      </c>
      <c r="B73" s="5" t="str">
        <f>VLOOKUP($A73,tropes!$A$4:$O$2428,2,FALSE)</f>
        <v>Unresolved Sexual Tension</v>
      </c>
      <c r="C73" s="5" t="str">
        <f>VLOOKUP($A73,tropes!$A$4:$O$2428,3,FALSE)</f>
        <v>love</v>
      </c>
      <c r="D73" s="5" t="str">
        <f>VLOOKUP($A73,tropes!$A$4:$O$2428,4,FALSE)</f>
        <v>unrequited</v>
      </c>
      <c r="E73" s="5" t="str">
        <f>VLOOKUP($A73,tropes!$A$4:$O$2428,5,FALSE)</f>
        <v>Kirk: Harry. I want control of my ship returned immediately. We have no intension of staying as your guests</v>
      </c>
      <c r="F73" s="5" t="str">
        <f>VLOOKUP($A73,tropes!$A$4:$O$2428,6,FALSE)</f>
        <v>kirk</v>
      </c>
      <c r="G73" s="5">
        <f>VLOOKUP($A73,tropes!$A$4:$O$2428,7,FALSE)</f>
        <v>1</v>
      </c>
      <c r="H73" s="5">
        <f>VLOOKUP($A73,tropes!$A$4:$O$2428,8,FALSE)</f>
        <v>0</v>
      </c>
      <c r="I73" s="5">
        <f>VLOOKUP($A73,tropes!$A$4:$O$2428,9,FALSE)</f>
        <v>208</v>
      </c>
      <c r="J73" s="5">
        <f>VLOOKUP($A73,tropes!$A$4:$O$2428,10,FALSE)</f>
        <v>38</v>
      </c>
      <c r="K73" s="5" t="str">
        <f>VLOOKUP($A73,tropes!$A$4:$O$2428,11,FALSE)</f>
        <v>I, Mudd</v>
      </c>
      <c r="L73" s="5">
        <f>VLOOKUP($A73,tropes!$A$4:$O$2428,12,FALSE)</f>
        <v>2</v>
      </c>
      <c r="M73" s="5">
        <f>VLOOKUP($A73,tropes!$A$4:$O$2428,13,FALSE)</f>
        <v>8</v>
      </c>
      <c r="N73" s="5">
        <f t="shared" si="1"/>
        <v>1</v>
      </c>
    </row>
    <row r="74" spans="1:14" x14ac:dyDescent="0.3">
      <c r="A74" s="14">
        <v>244</v>
      </c>
      <c r="B74" s="5" t="str">
        <f>VLOOKUP($A74,tropes!$A$4:$O$2428,2,FALSE)</f>
        <v>Girl Of The Week</v>
      </c>
      <c r="C74" s="5" t="str">
        <f>VLOOKUP($A74,tropes!$A$4:$O$2428,3,FALSE)</f>
        <v>love</v>
      </c>
      <c r="D74" s="5" t="str">
        <f>VLOOKUP($A74,tropes!$A$4:$O$2428,4,FALSE)</f>
        <v>girl_of_the_week</v>
      </c>
      <c r="E74" s="5" t="str">
        <f>VLOOKUP($A74,tropes!$A$4:$O$2428,5,FALSE)</f>
        <v xml:space="preserve">Commissioner Nancy Hedford is dying from disease and needs to get to Enterprise.  </v>
      </c>
      <c r="F74" s="5" t="str">
        <f>VLOOKUP($A74,tropes!$A$4:$O$2428,6,FALSE)</f>
        <v>xxx</v>
      </c>
      <c r="G74" s="5">
        <f>VLOOKUP($A74,tropes!$A$4:$O$2428,7,FALSE)</f>
        <v>0</v>
      </c>
      <c r="H74" s="5">
        <f>VLOOKUP($A74,tropes!$A$4:$O$2428,8,FALSE)</f>
        <v>0</v>
      </c>
      <c r="I74" s="5">
        <f>VLOOKUP($A74,tropes!$A$4:$O$2428,9,FALSE)</f>
        <v>209</v>
      </c>
      <c r="J74" s="5">
        <f>VLOOKUP($A74,tropes!$A$4:$O$2428,10,FALSE)</f>
        <v>39</v>
      </c>
      <c r="K74" s="5" t="str">
        <f>VLOOKUP($A74,tropes!$A$4:$O$2428,11,FALSE)</f>
        <v>Metamorphosis</v>
      </c>
      <c r="L74" s="5">
        <f>VLOOKUP($A74,tropes!$A$4:$O$2428,12,FALSE)</f>
        <v>2</v>
      </c>
      <c r="M74" s="5">
        <f>VLOOKUP($A74,tropes!$A$4:$O$2428,13,FALSE)</f>
        <v>9</v>
      </c>
      <c r="N74" s="5">
        <f t="shared" si="1"/>
        <v>0</v>
      </c>
    </row>
    <row r="75" spans="1:14" x14ac:dyDescent="0.3">
      <c r="A75" s="14">
        <v>397</v>
      </c>
      <c r="B75" s="5" t="str">
        <f>VLOOKUP($A75,tropes!$A$4:$O$2428,2,FALSE)</f>
        <v>Girl Of The Week</v>
      </c>
      <c r="C75" s="5" t="str">
        <f>VLOOKUP($A75,tropes!$A$4:$O$2428,3,FALSE)</f>
        <v>love</v>
      </c>
      <c r="D75" s="5" t="str">
        <f>VLOOKUP($A75,tropes!$A$4:$O$2428,4,FALSE)</f>
        <v>girl_of_the_week</v>
      </c>
      <c r="E75" s="5" t="str">
        <f>VLOOKUP($A75,tropes!$A$4:$O$2428,5,FALSE)</f>
        <v>The Companions is a collection of gases, energy, and electrical impulse.</v>
      </c>
      <c r="F75" s="5" t="str">
        <f>VLOOKUP($A75,tropes!$A$4:$O$2428,6,FALSE)</f>
        <v>xxx</v>
      </c>
      <c r="G75" s="5">
        <f>VLOOKUP($A75,tropes!$A$4:$O$2428,7,FALSE)</f>
        <v>0</v>
      </c>
      <c r="H75" s="5">
        <f>VLOOKUP($A75,tropes!$A$4:$O$2428,8,FALSE)</f>
        <v>0</v>
      </c>
      <c r="I75" s="5">
        <f>VLOOKUP($A75,tropes!$A$4:$O$2428,9,FALSE)</f>
        <v>209</v>
      </c>
      <c r="J75" s="5">
        <f>VLOOKUP($A75,tropes!$A$4:$O$2428,10,FALSE)</f>
        <v>39</v>
      </c>
      <c r="K75" s="5" t="str">
        <f>VLOOKUP($A75,tropes!$A$4:$O$2428,11,FALSE)</f>
        <v>Metamorphosis</v>
      </c>
      <c r="L75" s="5">
        <f>VLOOKUP($A75,tropes!$A$4:$O$2428,12,FALSE)</f>
        <v>2</v>
      </c>
      <c r="M75" s="5">
        <f>VLOOKUP($A75,tropes!$A$4:$O$2428,13,FALSE)</f>
        <v>9</v>
      </c>
      <c r="N75" s="5">
        <f t="shared" si="1"/>
        <v>1</v>
      </c>
    </row>
    <row r="76" spans="1:14" x14ac:dyDescent="0.3">
      <c r="A76" s="14">
        <v>389</v>
      </c>
      <c r="B76" s="5" t="str">
        <f>VLOOKUP($A76,tropes!$A$4:$O$2428,2,FALSE)</f>
        <v>love</v>
      </c>
      <c r="C76" s="5" t="str">
        <f>VLOOKUP($A76,tropes!$A$4:$O$2428,3,FALSE)</f>
        <v>love</v>
      </c>
      <c r="D76" s="5" t="str">
        <f>VLOOKUP($A76,tropes!$A$4:$O$2428,4,FALSE)</f>
        <v>non_human</v>
      </c>
      <c r="E76" s="5" t="str">
        <f>VLOOKUP($A76,tropes!$A$4:$O$2428,5,FALSE)</f>
        <v>Zefrem Cochrane is unaware the Companion loves him.</v>
      </c>
      <c r="F76" s="5" t="str">
        <f>VLOOKUP($A76,tropes!$A$4:$O$2428,6,FALSE)</f>
        <v>human</v>
      </c>
      <c r="G76" s="5">
        <f>VLOOKUP($A76,tropes!$A$4:$O$2428,7,FALSE)</f>
        <v>0</v>
      </c>
      <c r="H76" s="5">
        <f>VLOOKUP($A76,tropes!$A$4:$O$2428,8,FALSE)</f>
        <v>0</v>
      </c>
      <c r="I76" s="5">
        <f>VLOOKUP($A76,tropes!$A$4:$O$2428,9,FALSE)</f>
        <v>209</v>
      </c>
      <c r="J76" s="5">
        <f>VLOOKUP($A76,tropes!$A$4:$O$2428,10,FALSE)</f>
        <v>39</v>
      </c>
      <c r="K76" s="5" t="str">
        <f>VLOOKUP($A76,tropes!$A$4:$O$2428,11,FALSE)</f>
        <v>Metamorphosis</v>
      </c>
      <c r="L76" s="5">
        <f>VLOOKUP($A76,tropes!$A$4:$O$2428,12,FALSE)</f>
        <v>2</v>
      </c>
      <c r="M76" s="5">
        <f>VLOOKUP($A76,tropes!$A$4:$O$2428,13,FALSE)</f>
        <v>9</v>
      </c>
      <c r="N76" s="5">
        <f t="shared" si="1"/>
        <v>2</v>
      </c>
    </row>
    <row r="77" spans="1:14" x14ac:dyDescent="0.3">
      <c r="A77" s="14">
        <v>399</v>
      </c>
      <c r="B77" s="5" t="str">
        <f>VLOOKUP($A77,tropes!$A$4:$O$2428,2,FALSE)</f>
        <v>The Odd Couple</v>
      </c>
      <c r="C77" s="5" t="str">
        <f>VLOOKUP($A77,tropes!$A$4:$O$2428,3,FALSE)</f>
        <v>love</v>
      </c>
      <c r="D77" s="5" t="str">
        <f>VLOOKUP($A77,tropes!$A$4:$O$2428,4,FALSE)</f>
        <v>true</v>
      </c>
      <c r="E77" s="5" t="str">
        <f>VLOOKUP($A77,tropes!$A$4:$O$2428,5,FALSE)</f>
        <v>Companion loves Zefrem Cochrane so much it gives up its immortality to experience love.</v>
      </c>
      <c r="F77" s="5" t="str">
        <f>VLOOKUP($A77,tropes!$A$4:$O$2428,6,FALSE)</f>
        <v>companion</v>
      </c>
      <c r="G77" s="5">
        <f>VLOOKUP($A77,tropes!$A$4:$O$2428,7,FALSE)</f>
        <v>0</v>
      </c>
      <c r="H77" s="5">
        <f>VLOOKUP($A77,tropes!$A$4:$O$2428,8,FALSE)</f>
        <v>0</v>
      </c>
      <c r="I77" s="5">
        <f>VLOOKUP($A77,tropes!$A$4:$O$2428,9,FALSE)</f>
        <v>209</v>
      </c>
      <c r="J77" s="5">
        <f>VLOOKUP($A77,tropes!$A$4:$O$2428,10,FALSE)</f>
        <v>39</v>
      </c>
      <c r="K77" s="5" t="str">
        <f>VLOOKUP($A77,tropes!$A$4:$O$2428,11,FALSE)</f>
        <v>Metamorphosis</v>
      </c>
      <c r="L77" s="5">
        <f>VLOOKUP($A77,tropes!$A$4:$O$2428,12,FALSE)</f>
        <v>2</v>
      </c>
      <c r="M77" s="5">
        <f>VLOOKUP($A77,tropes!$A$4:$O$2428,13,FALSE)</f>
        <v>9</v>
      </c>
      <c r="N77" s="5">
        <f t="shared" si="1"/>
        <v>3</v>
      </c>
    </row>
    <row r="78" spans="1:14" x14ac:dyDescent="0.3">
      <c r="A78" s="14">
        <v>52</v>
      </c>
      <c r="B78" s="5" t="str">
        <f>VLOOKUP($A78,tropes!$A$4:$O$2428,2,FALSE)</f>
        <v>Mayfly-December Romance</v>
      </c>
      <c r="C78" s="5" t="str">
        <f>VLOOKUP($A78,tropes!$A$4:$O$2428,3,FALSE)</f>
        <v>love</v>
      </c>
      <c r="D78" s="5" t="str">
        <f>VLOOKUP($A78,tropes!$A$4:$O$2428,4,FALSE)</f>
        <v>true</v>
      </c>
      <c r="E78" s="5" t="str">
        <f>VLOOKUP($A78,tropes!$A$4:$O$2428,5,FALSE)</f>
        <v>Sarek (Vulcan) and Amanda (human). Vulcans live much longer than humans.</v>
      </c>
      <c r="F78" s="5" t="str">
        <f>VLOOKUP($A78,tropes!$A$4:$O$2428,6,FALSE)</f>
        <v>alien</v>
      </c>
      <c r="G78" s="5">
        <f>VLOOKUP($A78,tropes!$A$4:$O$2428,7,FALSE)</f>
        <v>0</v>
      </c>
      <c r="H78" s="5">
        <f>VLOOKUP($A78,tropes!$A$4:$O$2428,8,FALSE)</f>
        <v>0</v>
      </c>
      <c r="I78" s="5">
        <f>VLOOKUP($A78,tropes!$A$4:$O$2428,9,FALSE)</f>
        <v>210</v>
      </c>
      <c r="J78" s="5">
        <f>VLOOKUP($A78,tropes!$A$4:$O$2428,10,FALSE)</f>
        <v>40</v>
      </c>
      <c r="K78" s="5" t="str">
        <f>VLOOKUP($A78,tropes!$A$4:$O$2428,11,FALSE)</f>
        <v>Journey to Babel</v>
      </c>
      <c r="L78" s="5">
        <f>VLOOKUP($A78,tropes!$A$4:$O$2428,12,FALSE)</f>
        <v>2</v>
      </c>
      <c r="M78" s="5">
        <f>VLOOKUP($A78,tropes!$A$4:$O$2428,13,FALSE)</f>
        <v>10</v>
      </c>
      <c r="N78" s="5">
        <f t="shared" si="1"/>
        <v>0</v>
      </c>
    </row>
    <row r="79" spans="1:14" x14ac:dyDescent="0.3">
      <c r="A79" s="14">
        <v>2988</v>
      </c>
      <c r="B79" s="5" t="str">
        <f>VLOOKUP($A79,tropes!$A$4:$O$2428,2,FALSE)</f>
        <v>Girl Of The Week</v>
      </c>
      <c r="C79" s="5" t="str">
        <f>VLOOKUP($A79,tropes!$A$4:$O$2428,3,FALSE)</f>
        <v>love</v>
      </c>
      <c r="D79" s="5" t="str">
        <f>VLOOKUP($A79,tropes!$A$4:$O$2428,4,FALSE)</f>
        <v>girl_of_the_week</v>
      </c>
      <c r="E79" s="5" t="str">
        <f>VLOOKUP($A79,tropes!$A$4:$O$2428,5,FALSE)</f>
        <v>Eleen, widow of the Teer, Akaar</v>
      </c>
      <c r="F79" s="5" t="str">
        <f>VLOOKUP($A79,tropes!$A$4:$O$2428,6,FALSE)</f>
        <v>eleen</v>
      </c>
      <c r="G79" s="5">
        <f>VLOOKUP($A79,tropes!$A$4:$O$2428,7,FALSE)</f>
        <v>0</v>
      </c>
      <c r="H79" s="5">
        <f>VLOOKUP($A79,tropes!$A$4:$O$2428,8,FALSE)</f>
        <v>0</v>
      </c>
      <c r="I79" s="5">
        <f>VLOOKUP($A79,tropes!$A$4:$O$2428,9,FALSE)</f>
        <v>211</v>
      </c>
      <c r="J79" s="5">
        <f>VLOOKUP($A79,tropes!$A$4:$O$2428,10,FALSE)</f>
        <v>41</v>
      </c>
      <c r="K79" s="5" t="str">
        <f>VLOOKUP($A79,tropes!$A$4:$O$2428,11,FALSE)</f>
        <v>Friday's Child</v>
      </c>
      <c r="L79" s="5">
        <f>VLOOKUP($A79,tropes!$A$4:$O$2428,12,FALSE)</f>
        <v>2</v>
      </c>
      <c r="M79" s="5">
        <f>VLOOKUP($A79,tropes!$A$4:$O$2428,13,FALSE)</f>
        <v>11</v>
      </c>
      <c r="N79" s="5">
        <f t="shared" si="1"/>
        <v>0</v>
      </c>
    </row>
    <row r="80" spans="1:14" x14ac:dyDescent="0.3">
      <c r="A80" s="14">
        <v>1201</v>
      </c>
      <c r="B80" s="5" t="str">
        <f>VLOOKUP($A80,tropes!$A$4:$O$2428,2,FALSE)</f>
        <v>Best Her to Bed Her</v>
      </c>
      <c r="C80" s="5" t="str">
        <f>VLOOKUP($A80,tropes!$A$4:$O$2428,3,FALSE)</f>
        <v>love</v>
      </c>
      <c r="D80" s="5">
        <f>VLOOKUP($A80,tropes!$A$4:$O$2428,4,FALSE)</f>
        <v>0</v>
      </c>
      <c r="E80" s="5" t="str">
        <f>VLOOKUP($A80,tropes!$A$4:$O$2428,5,FALSE)</f>
        <v>If Kirk could best Shahna then maybe the Gamesters would pick them as a pair.</v>
      </c>
      <c r="F80" s="5" t="str">
        <f>VLOOKUP($A80,tropes!$A$4:$O$2428,6,FALSE)</f>
        <v>kirk</v>
      </c>
      <c r="G80" s="5">
        <f>VLOOKUP($A80,tropes!$A$4:$O$2428,7,FALSE)</f>
        <v>1</v>
      </c>
      <c r="H80" s="5">
        <f>VLOOKUP($A80,tropes!$A$4:$O$2428,8,FALSE)</f>
        <v>0</v>
      </c>
      <c r="I80" s="5">
        <f>VLOOKUP($A80,tropes!$A$4:$O$2428,9,FALSE)</f>
        <v>216</v>
      </c>
      <c r="J80" s="5">
        <f>VLOOKUP($A80,tropes!$A$4:$O$2428,10,FALSE)</f>
        <v>46</v>
      </c>
      <c r="K80" s="5" t="str">
        <f>VLOOKUP($A80,tropes!$A$4:$O$2428,11,FALSE)</f>
        <v>The Gamesters of Triskelion</v>
      </c>
      <c r="L80" s="5">
        <f>VLOOKUP($A80,tropes!$A$4:$O$2428,12,FALSE)</f>
        <v>2</v>
      </c>
      <c r="M80" s="5">
        <f>VLOOKUP($A80,tropes!$A$4:$O$2428,13,FALSE)</f>
        <v>16</v>
      </c>
      <c r="N80" s="5">
        <f t="shared" si="1"/>
        <v>0</v>
      </c>
    </row>
    <row r="81" spans="1:14" x14ac:dyDescent="0.3">
      <c r="A81" s="14">
        <v>1203</v>
      </c>
      <c r="B81" s="5" t="str">
        <f>VLOOKUP($A81,tropes!$A$4:$O$2428,2,FALSE)</f>
        <v>What Is This Thing You Call Love</v>
      </c>
      <c r="C81" s="5" t="str">
        <f>VLOOKUP($A81,tropes!$A$4:$O$2428,3,FALSE)</f>
        <v>love</v>
      </c>
      <c r="D81" s="5" t="str">
        <f>VLOOKUP($A81,tropes!$A$4:$O$2428,4,FALSE)</f>
        <v>what is it</v>
      </c>
      <c r="E81" s="5" t="str">
        <f>VLOOKUP($A81,tropes!$A$4:$O$2428,5,FALSE)</f>
        <v>Kirks assigned gladiatorial trainer has lived her whole life as a slave and is ignorant of normal culture. She asks him, What is love? Kirk proceeds to show her.</v>
      </c>
      <c r="F81" s="5" t="str">
        <f>VLOOKUP($A81,tropes!$A$4:$O$2428,6,FALSE)</f>
        <v>kirk</v>
      </c>
      <c r="G81" s="5">
        <f>VLOOKUP($A81,tropes!$A$4:$O$2428,7,FALSE)</f>
        <v>1</v>
      </c>
      <c r="H81" s="5">
        <f>VLOOKUP($A81,tropes!$A$4:$O$2428,8,FALSE)</f>
        <v>0</v>
      </c>
      <c r="I81" s="5">
        <f>VLOOKUP($A81,tropes!$A$4:$O$2428,9,FALSE)</f>
        <v>216</v>
      </c>
      <c r="J81" s="5">
        <f>VLOOKUP($A81,tropes!$A$4:$O$2428,10,FALSE)</f>
        <v>46</v>
      </c>
      <c r="K81" s="5" t="str">
        <f>VLOOKUP($A81,tropes!$A$4:$O$2428,11,FALSE)</f>
        <v>The Gamesters of Triskelion</v>
      </c>
      <c r="L81" s="5">
        <f>VLOOKUP($A81,tropes!$A$4:$O$2428,12,FALSE)</f>
        <v>2</v>
      </c>
      <c r="M81" s="5">
        <f>VLOOKUP($A81,tropes!$A$4:$O$2428,13,FALSE)</f>
        <v>16</v>
      </c>
      <c r="N81" s="5">
        <f t="shared" si="1"/>
        <v>1</v>
      </c>
    </row>
    <row r="82" spans="1:14" x14ac:dyDescent="0.3">
      <c r="A82" s="14">
        <v>1029</v>
      </c>
      <c r="B82" s="5" t="str">
        <f>VLOOKUP($A82,tropes!$A$4:$O$2428,2,FALSE)</f>
        <v>What Is This Thing You Call Love</v>
      </c>
      <c r="C82" s="5" t="str">
        <f>VLOOKUP($A82,tropes!$A$4:$O$2428,3,FALSE)</f>
        <v>love</v>
      </c>
      <c r="D82" s="5" t="str">
        <f>VLOOKUP($A82,tropes!$A$4:$O$2428,4,FALSE)</f>
        <v>what is it</v>
      </c>
      <c r="E82" s="5" t="str">
        <f>VLOOKUP($A82,tropes!$A$4:$O$2428,5,FALSE)</f>
        <v>Kirk attempts to seduce Kelinda, the female one, and while she initially realizes that's what He's attempting to do, she eventually starts to enjoy the new feeling, actually finding herself drawn to him. .</v>
      </c>
      <c r="F82" s="5" t="str">
        <f>VLOOKUP($A82,tropes!$A$4:$O$2428,6,FALSE)</f>
        <v>kirk</v>
      </c>
      <c r="G82" s="5">
        <f>VLOOKUP($A82,tropes!$A$4:$O$2428,7,FALSE)</f>
        <v>1</v>
      </c>
      <c r="H82" s="5">
        <f>VLOOKUP($A82,tropes!$A$4:$O$2428,8,FALSE)</f>
        <v>0</v>
      </c>
      <c r="I82" s="5">
        <f>VLOOKUP($A82,tropes!$A$4:$O$2428,9,FALSE)</f>
        <v>222</v>
      </c>
      <c r="J82" s="5">
        <f>VLOOKUP($A82,tropes!$A$4:$O$2428,10,FALSE)</f>
        <v>52</v>
      </c>
      <c r="K82" s="5" t="str">
        <f>VLOOKUP($A82,tropes!$A$4:$O$2428,11,FALSE)</f>
        <v>By Any Other Name</v>
      </c>
      <c r="L82" s="5">
        <f>VLOOKUP($A82,tropes!$A$4:$O$2428,12,FALSE)</f>
        <v>2</v>
      </c>
      <c r="M82" s="5">
        <f>VLOOKUP($A82,tropes!$A$4:$O$2428,13,FALSE)</f>
        <v>22</v>
      </c>
      <c r="N82" s="5">
        <f t="shared" si="1"/>
        <v>0</v>
      </c>
    </row>
    <row r="83" spans="1:14" x14ac:dyDescent="0.3">
      <c r="A83" s="14">
        <v>409</v>
      </c>
      <c r="B83" s="5" t="str">
        <f>VLOOKUP($A83,tropes!$A$4:$O$2428,2,FALSE)</f>
        <v>Fake Memories***</v>
      </c>
      <c r="C83" s="5" t="str">
        <f>VLOOKUP($A83,tropes!$A$4:$O$2428,3,FALSE)</f>
        <v>love</v>
      </c>
      <c r="D83" s="5" t="str">
        <f>VLOOKUP($A83,tropes!$A$4:$O$2428,4,FALSE)</f>
        <v>unrequited</v>
      </c>
      <c r="E83" s="5" t="str">
        <f>VLOOKUP($A83,tropes!$A$4:$O$2428,5,FALSE)</f>
        <v>Entity plants fake memories in humans and Klingons.</v>
      </c>
      <c r="F83" s="5" t="str">
        <f>VLOOKUP($A83,tropes!$A$4:$O$2428,6,FALSE)</f>
        <v>xxx</v>
      </c>
      <c r="G83" s="5">
        <f>VLOOKUP($A83,tropes!$A$4:$O$2428,7,FALSE)</f>
        <v>0</v>
      </c>
      <c r="H83" s="5">
        <f>VLOOKUP($A83,tropes!$A$4:$O$2428,8,FALSE)</f>
        <v>0</v>
      </c>
      <c r="I83" s="5">
        <f>VLOOKUP($A83,tropes!$A$4:$O$2428,9,FALSE)</f>
        <v>307</v>
      </c>
      <c r="J83" s="5">
        <f>VLOOKUP($A83,tropes!$A$4:$O$2428,10,FALSE)</f>
        <v>63</v>
      </c>
      <c r="K83" s="5" t="str">
        <f>VLOOKUP($A83,tropes!$A$4:$O$2428,11,FALSE)</f>
        <v>Day of the Dove</v>
      </c>
      <c r="L83" s="5">
        <f>VLOOKUP($A83,tropes!$A$4:$O$2428,12,FALSE)</f>
        <v>3</v>
      </c>
      <c r="M83" s="5">
        <f>VLOOKUP($A83,tropes!$A$4:$O$2428,13,FALSE)</f>
        <v>7</v>
      </c>
      <c r="N83" s="5">
        <f t="shared" si="1"/>
        <v>0</v>
      </c>
    </row>
    <row r="84" spans="1:14" x14ac:dyDescent="0.3">
      <c r="A84" s="14">
        <v>380</v>
      </c>
      <c r="B84" s="5" t="str">
        <f>VLOOKUP($A84,tropes!$A$4:$O$2428,2,FALSE)</f>
        <v>Mayfly-December Romance</v>
      </c>
      <c r="C84" s="5" t="str">
        <f>VLOOKUP($A84,tropes!$A$4:$O$2428,3,FALSE)</f>
        <v>love</v>
      </c>
      <c r="D84" s="5" t="str">
        <f>VLOOKUP($A84,tropes!$A$4:$O$2428,4,FALSE)</f>
        <v>non_human</v>
      </c>
      <c r="E84" s="5" t="str">
        <f>VLOOKUP($A84,tropes!$A$4:$O$2428,5,FALSE)</f>
        <v>Flint creates a robot mate to live with him forever.</v>
      </c>
      <c r="F84" s="5" t="str">
        <f>VLOOKUP($A84,tropes!$A$4:$O$2428,6,FALSE)</f>
        <v>human</v>
      </c>
      <c r="G84" s="5">
        <f>VLOOKUP($A84,tropes!$A$4:$O$2428,7,FALSE)</f>
        <v>0</v>
      </c>
      <c r="H84" s="5">
        <f>VLOOKUP($A84,tropes!$A$4:$O$2428,8,FALSE)</f>
        <v>0</v>
      </c>
      <c r="I84" s="5">
        <f>VLOOKUP($A84,tropes!$A$4:$O$2428,9,FALSE)</f>
        <v>319</v>
      </c>
      <c r="J84" s="5">
        <f>VLOOKUP($A84,tropes!$A$4:$O$2428,10,FALSE)</f>
        <v>75</v>
      </c>
      <c r="K84" s="5" t="str">
        <f>VLOOKUP($A84,tropes!$A$4:$O$2428,11,FALSE)</f>
        <v>Requiem for Methuselah</v>
      </c>
      <c r="L84" s="5">
        <f>VLOOKUP($A84,tropes!$A$4:$O$2428,12,FALSE)</f>
        <v>3</v>
      </c>
      <c r="M84" s="5">
        <f>VLOOKUP($A84,tropes!$A$4:$O$2428,13,FALSE)</f>
        <v>19</v>
      </c>
      <c r="N84" s="5">
        <f t="shared" si="1"/>
        <v>0</v>
      </c>
    </row>
    <row r="85" spans="1:14" x14ac:dyDescent="0.3">
      <c r="A85" s="14">
        <v>974</v>
      </c>
      <c r="B85" s="5" t="str">
        <f>VLOOKUP($A85,tropes!$A$4:$O$2428,2,FALSE)</f>
        <v>the dulcinea effect</v>
      </c>
      <c r="C85" s="5" t="str">
        <f>VLOOKUP($A85,tropes!$A$4:$O$2428,3,FALSE)</f>
        <v>love</v>
      </c>
      <c r="D85" s="5" t="str">
        <f>VLOOKUP($A85,tropes!$A$4:$O$2428,4,FALSE)</f>
        <v>true</v>
      </c>
      <c r="E85" s="5" t="str">
        <f>VLOOKUP($A85,tropes!$A$4:$O$2428,5,FALSE)</f>
        <v>Kirk falls madly in love with Rayna.</v>
      </c>
      <c r="F85" s="5" t="str">
        <f>VLOOKUP($A85,tropes!$A$4:$O$2428,6,FALSE)</f>
        <v>kirk</v>
      </c>
      <c r="G85" s="5">
        <f>VLOOKUP($A85,tropes!$A$4:$O$2428,7,FALSE)</f>
        <v>1</v>
      </c>
      <c r="H85" s="5">
        <f>VLOOKUP($A85,tropes!$A$4:$O$2428,8,FALSE)</f>
        <v>0</v>
      </c>
      <c r="I85" s="5">
        <f>VLOOKUP($A85,tropes!$A$4:$O$2428,9,FALSE)</f>
        <v>319</v>
      </c>
      <c r="J85" s="5">
        <f>VLOOKUP($A85,tropes!$A$4:$O$2428,10,FALSE)</f>
        <v>75</v>
      </c>
      <c r="K85" s="5" t="str">
        <f>VLOOKUP($A85,tropes!$A$4:$O$2428,11,FALSE)</f>
        <v>Requiem for Methuselah</v>
      </c>
      <c r="L85" s="5">
        <f>VLOOKUP($A85,tropes!$A$4:$O$2428,12,FALSE)</f>
        <v>3</v>
      </c>
      <c r="M85" s="5">
        <f>VLOOKUP($A85,tropes!$A$4:$O$2428,13,FALSE)</f>
        <v>19</v>
      </c>
      <c r="N85" s="5">
        <f t="shared" si="1"/>
        <v>1</v>
      </c>
    </row>
  </sheetData>
  <sortState ref="A2:N85">
    <sortCondition ref="I2:I85"/>
    <sortCondition ref="B2:B85"/>
  </sortState>
  <conditionalFormatting sqref="B1:C1">
    <cfRule type="expression" dxfId="1" priority="2">
      <formula>O1&gt;0</formula>
    </cfRule>
  </conditionalFormatting>
  <conditionalFormatting sqref="A2:A85">
    <cfRule type="containsBlanks" dxfId="0" priority="1">
      <formula>LEN(TRIM(A2))=0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 x14ac:dyDescent="0.3"/>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 x14ac:dyDescent="0.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 x14ac:dyDescent="0.3"/>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 x14ac:dyDescent="0.3"/>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 x14ac:dyDescent="0.3"/>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 x14ac:dyDescent="0.3"/>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 x14ac:dyDescent="0.3"/>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 x14ac:dyDescent="0.3"/>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84"/>
  <sheetViews>
    <sheetView zoomScaleNormal="100" workbookViewId="0">
      <pane ySplit="1" topLeftCell="A2" activePane="bottomLeft" state="frozen"/>
      <selection activeCell="G20" sqref="G20"/>
      <selection pane="bottomLeft" activeCell="B3" sqref="B3"/>
    </sheetView>
  </sheetViews>
  <sheetFormatPr defaultColWidth="9.33203125" defaultRowHeight="10.5" x14ac:dyDescent="0.25"/>
  <cols>
    <col min="1" max="1" width="7.33203125" style="5" bestFit="1" customWidth="1"/>
    <col min="2" max="2" width="7.44140625" style="2" bestFit="1" customWidth="1"/>
    <col min="3" max="3" width="41.77734375" style="5" bestFit="1" customWidth="1"/>
    <col min="4" max="4" width="2.109375" style="3" bestFit="1" customWidth="1"/>
    <col min="5" max="5" width="3.109375" style="2" bestFit="1" customWidth="1"/>
    <col min="6" max="6" width="8.6640625" style="2" bestFit="1" customWidth="1"/>
    <col min="7" max="16384" width="9.33203125" style="5"/>
  </cols>
  <sheetData>
    <row r="1" spans="1:6" x14ac:dyDescent="0.25">
      <c r="A1" s="5" t="s">
        <v>160</v>
      </c>
      <c r="B1" s="7" t="s">
        <v>15</v>
      </c>
      <c r="C1" s="6" t="s">
        <v>16</v>
      </c>
      <c r="D1" s="4" t="s">
        <v>157</v>
      </c>
      <c r="E1" s="7" t="s">
        <v>158</v>
      </c>
      <c r="F1" s="2" t="s">
        <v>159</v>
      </c>
    </row>
    <row r="2" spans="1:6" x14ac:dyDescent="0.25">
      <c r="A2" s="5">
        <v>1</v>
      </c>
      <c r="B2" s="7">
        <v>100</v>
      </c>
      <c r="C2" s="6" t="s">
        <v>55</v>
      </c>
      <c r="D2" s="4">
        <v>1</v>
      </c>
      <c r="E2" s="7">
        <v>0</v>
      </c>
      <c r="F2" s="2">
        <v>1</v>
      </c>
    </row>
    <row r="3" spans="1:6" x14ac:dyDescent="0.25">
      <c r="A3" s="5">
        <v>2</v>
      </c>
      <c r="B3" s="7">
        <v>101</v>
      </c>
      <c r="C3" s="6" t="s">
        <v>14</v>
      </c>
      <c r="D3" s="4">
        <v>1</v>
      </c>
      <c r="E3" s="7">
        <v>1</v>
      </c>
      <c r="F3" s="2">
        <v>2</v>
      </c>
    </row>
    <row r="4" spans="1:6" x14ac:dyDescent="0.25">
      <c r="A4" s="5">
        <v>3</v>
      </c>
      <c r="B4" s="7">
        <v>102</v>
      </c>
      <c r="C4" s="6" t="s">
        <v>11</v>
      </c>
      <c r="D4" s="4">
        <v>1</v>
      </c>
      <c r="E4" s="7">
        <v>2</v>
      </c>
      <c r="F4" s="2">
        <v>3</v>
      </c>
    </row>
    <row r="5" spans="1:6" x14ac:dyDescent="0.25">
      <c r="A5" s="5">
        <v>4</v>
      </c>
      <c r="B5" s="7">
        <v>103</v>
      </c>
      <c r="C5" s="6" t="s">
        <v>9</v>
      </c>
      <c r="D5" s="4">
        <v>1</v>
      </c>
      <c r="E5" s="7">
        <v>3</v>
      </c>
      <c r="F5" s="2">
        <v>4</v>
      </c>
    </row>
    <row r="6" spans="1:6" x14ac:dyDescent="0.25">
      <c r="A6" s="5">
        <v>5</v>
      </c>
      <c r="B6" s="7">
        <v>104</v>
      </c>
      <c r="C6" s="6" t="s">
        <v>19</v>
      </c>
      <c r="D6" s="4">
        <v>1</v>
      </c>
      <c r="E6" s="7">
        <v>4</v>
      </c>
      <c r="F6" s="2">
        <v>5</v>
      </c>
    </row>
    <row r="7" spans="1:6" x14ac:dyDescent="0.25">
      <c r="A7" s="5">
        <v>6</v>
      </c>
      <c r="B7" s="7">
        <v>105</v>
      </c>
      <c r="C7" s="6" t="s">
        <v>38</v>
      </c>
      <c r="D7" s="4">
        <v>1</v>
      </c>
      <c r="E7" s="7">
        <v>5</v>
      </c>
      <c r="F7" s="2">
        <v>6</v>
      </c>
    </row>
    <row r="8" spans="1:6" x14ac:dyDescent="0.25">
      <c r="A8" s="5">
        <v>7</v>
      </c>
      <c r="B8" s="7">
        <v>106</v>
      </c>
      <c r="C8" s="6" t="s">
        <v>20</v>
      </c>
      <c r="D8" s="4">
        <v>1</v>
      </c>
      <c r="E8" s="7">
        <v>6</v>
      </c>
      <c r="F8" s="2">
        <v>7</v>
      </c>
    </row>
    <row r="9" spans="1:6" x14ac:dyDescent="0.25">
      <c r="A9" s="5">
        <v>8</v>
      </c>
      <c r="B9" s="7">
        <v>107</v>
      </c>
      <c r="C9" s="6" t="s">
        <v>17</v>
      </c>
      <c r="D9" s="4">
        <v>1</v>
      </c>
      <c r="E9" s="7">
        <v>7</v>
      </c>
      <c r="F9" s="2">
        <v>8</v>
      </c>
    </row>
    <row r="10" spans="1:6" x14ac:dyDescent="0.25">
      <c r="A10" s="5">
        <v>9</v>
      </c>
      <c r="B10" s="7">
        <v>108</v>
      </c>
      <c r="C10" s="6" t="s">
        <v>39</v>
      </c>
      <c r="D10" s="4">
        <v>1</v>
      </c>
      <c r="E10" s="7">
        <v>8</v>
      </c>
      <c r="F10" s="2">
        <v>9</v>
      </c>
    </row>
    <row r="11" spans="1:6" x14ac:dyDescent="0.25">
      <c r="A11" s="5">
        <v>10</v>
      </c>
      <c r="B11" s="7">
        <v>109</v>
      </c>
      <c r="C11" s="6" t="s">
        <v>82</v>
      </c>
      <c r="D11" s="4">
        <v>1</v>
      </c>
      <c r="E11" s="7">
        <v>9</v>
      </c>
      <c r="F11" s="2">
        <v>10</v>
      </c>
    </row>
    <row r="12" spans="1:6" x14ac:dyDescent="0.25">
      <c r="A12" s="5">
        <v>11</v>
      </c>
      <c r="B12" s="7">
        <v>110</v>
      </c>
      <c r="C12" s="6" t="s">
        <v>10</v>
      </c>
      <c r="D12" s="4">
        <v>1</v>
      </c>
      <c r="E12" s="7">
        <v>10</v>
      </c>
      <c r="F12" s="2">
        <v>11</v>
      </c>
    </row>
    <row r="13" spans="1:6" x14ac:dyDescent="0.25">
      <c r="A13" s="5">
        <v>12</v>
      </c>
      <c r="B13" s="7">
        <v>111</v>
      </c>
      <c r="C13" s="6" t="s">
        <v>85</v>
      </c>
      <c r="D13" s="4">
        <v>1</v>
      </c>
      <c r="E13" s="7">
        <v>11</v>
      </c>
      <c r="F13" s="2">
        <v>12</v>
      </c>
    </row>
    <row r="14" spans="1:6" x14ac:dyDescent="0.25">
      <c r="A14" s="5">
        <v>13</v>
      </c>
      <c r="B14" s="7">
        <v>112</v>
      </c>
      <c r="C14" s="6" t="s">
        <v>87</v>
      </c>
      <c r="D14" s="4">
        <v>1</v>
      </c>
      <c r="E14" s="7">
        <v>12</v>
      </c>
      <c r="F14" s="2">
        <v>13</v>
      </c>
    </row>
    <row r="15" spans="1:6" x14ac:dyDescent="0.25">
      <c r="A15" s="5">
        <v>14</v>
      </c>
      <c r="B15" s="7">
        <v>113</v>
      </c>
      <c r="C15" s="6" t="s">
        <v>47</v>
      </c>
      <c r="D15" s="4">
        <v>1</v>
      </c>
      <c r="E15" s="7">
        <v>13</v>
      </c>
      <c r="F15" s="2">
        <v>14</v>
      </c>
    </row>
    <row r="16" spans="1:6" x14ac:dyDescent="0.25">
      <c r="A16" s="5">
        <v>15</v>
      </c>
      <c r="B16" s="7">
        <v>114</v>
      </c>
      <c r="C16" s="6" t="s">
        <v>52</v>
      </c>
      <c r="D16" s="4">
        <v>1</v>
      </c>
      <c r="E16" s="7">
        <v>14</v>
      </c>
      <c r="F16" s="2">
        <v>15</v>
      </c>
    </row>
    <row r="17" spans="1:6" x14ac:dyDescent="0.25">
      <c r="A17" s="5">
        <v>16</v>
      </c>
      <c r="B17" s="7">
        <v>115</v>
      </c>
      <c r="C17" s="6" t="s">
        <v>21</v>
      </c>
      <c r="D17" s="4">
        <v>1</v>
      </c>
      <c r="E17" s="7">
        <v>15</v>
      </c>
      <c r="F17" s="2">
        <v>16</v>
      </c>
    </row>
    <row r="18" spans="1:6" x14ac:dyDescent="0.25">
      <c r="A18" s="5">
        <v>17</v>
      </c>
      <c r="B18" s="7">
        <v>116</v>
      </c>
      <c r="C18" s="6" t="s">
        <v>40</v>
      </c>
      <c r="D18" s="4">
        <v>1</v>
      </c>
      <c r="E18" s="7">
        <v>16</v>
      </c>
      <c r="F18" s="2">
        <v>17</v>
      </c>
    </row>
    <row r="19" spans="1:6" x14ac:dyDescent="0.25">
      <c r="A19" s="5">
        <v>18</v>
      </c>
      <c r="B19" s="7">
        <v>117</v>
      </c>
      <c r="C19" s="6" t="s">
        <v>48</v>
      </c>
      <c r="D19" s="4">
        <v>1</v>
      </c>
      <c r="E19" s="7">
        <v>17</v>
      </c>
      <c r="F19" s="2">
        <v>18</v>
      </c>
    </row>
    <row r="20" spans="1:6" x14ac:dyDescent="0.25">
      <c r="A20" s="5">
        <v>19</v>
      </c>
      <c r="B20" s="7">
        <v>118</v>
      </c>
      <c r="C20" s="6" t="s">
        <v>22</v>
      </c>
      <c r="D20" s="4">
        <v>1</v>
      </c>
      <c r="E20" s="7">
        <v>18</v>
      </c>
      <c r="F20" s="2">
        <v>19</v>
      </c>
    </row>
    <row r="21" spans="1:6" x14ac:dyDescent="0.25">
      <c r="A21" s="5">
        <v>20</v>
      </c>
      <c r="B21" s="7">
        <v>119</v>
      </c>
      <c r="C21" s="6" t="s">
        <v>95</v>
      </c>
      <c r="D21" s="4">
        <v>1</v>
      </c>
      <c r="E21" s="7">
        <v>19</v>
      </c>
      <c r="F21" s="2">
        <v>20</v>
      </c>
    </row>
    <row r="22" spans="1:6" x14ac:dyDescent="0.25">
      <c r="A22" s="5">
        <v>21</v>
      </c>
      <c r="B22" s="7">
        <v>120</v>
      </c>
      <c r="C22" s="6" t="s">
        <v>12</v>
      </c>
      <c r="D22" s="4">
        <v>1</v>
      </c>
      <c r="E22" s="7">
        <v>20</v>
      </c>
      <c r="F22" s="2">
        <v>21</v>
      </c>
    </row>
    <row r="23" spans="1:6" x14ac:dyDescent="0.25">
      <c r="A23" s="5">
        <v>22</v>
      </c>
      <c r="B23" s="7">
        <v>121</v>
      </c>
      <c r="C23" s="6" t="s">
        <v>57</v>
      </c>
      <c r="D23" s="4">
        <v>1</v>
      </c>
      <c r="E23" s="7">
        <v>21</v>
      </c>
      <c r="F23" s="2">
        <v>22</v>
      </c>
    </row>
    <row r="24" spans="1:6" x14ac:dyDescent="0.25">
      <c r="A24" s="5">
        <v>23</v>
      </c>
      <c r="B24" s="7">
        <v>122</v>
      </c>
      <c r="C24" s="6" t="s">
        <v>36</v>
      </c>
      <c r="D24" s="4">
        <v>1</v>
      </c>
      <c r="E24" s="7">
        <v>22</v>
      </c>
      <c r="F24" s="2">
        <v>23</v>
      </c>
    </row>
    <row r="25" spans="1:6" x14ac:dyDescent="0.25">
      <c r="A25" s="5">
        <v>24</v>
      </c>
      <c r="B25" s="7">
        <v>123</v>
      </c>
      <c r="C25" s="6" t="s">
        <v>53</v>
      </c>
      <c r="D25" s="4">
        <v>1</v>
      </c>
      <c r="E25" s="7">
        <v>23</v>
      </c>
      <c r="F25" s="2">
        <v>24</v>
      </c>
    </row>
    <row r="26" spans="1:6" x14ac:dyDescent="0.25">
      <c r="A26" s="5">
        <v>25</v>
      </c>
      <c r="B26" s="7">
        <v>124</v>
      </c>
      <c r="C26" s="6" t="s">
        <v>54</v>
      </c>
      <c r="D26" s="4">
        <v>1</v>
      </c>
      <c r="E26" s="7">
        <v>24</v>
      </c>
      <c r="F26" s="2">
        <v>25</v>
      </c>
    </row>
    <row r="27" spans="1:6" x14ac:dyDescent="0.25">
      <c r="A27" s="5">
        <v>26</v>
      </c>
      <c r="B27" s="7">
        <v>125</v>
      </c>
      <c r="C27" s="6" t="s">
        <v>59</v>
      </c>
      <c r="D27" s="4">
        <v>1</v>
      </c>
      <c r="E27" s="7">
        <v>25</v>
      </c>
      <c r="F27" s="2">
        <v>26</v>
      </c>
    </row>
    <row r="28" spans="1:6" x14ac:dyDescent="0.25">
      <c r="A28" s="5">
        <v>27</v>
      </c>
      <c r="B28" s="7">
        <v>126</v>
      </c>
      <c r="C28" s="6" t="s">
        <v>51</v>
      </c>
      <c r="D28" s="4">
        <v>1</v>
      </c>
      <c r="E28" s="7">
        <v>26</v>
      </c>
      <c r="F28" s="2">
        <v>27</v>
      </c>
    </row>
    <row r="29" spans="1:6" x14ac:dyDescent="0.25">
      <c r="A29" s="5">
        <v>28</v>
      </c>
      <c r="B29" s="7">
        <v>127</v>
      </c>
      <c r="C29" s="6" t="s">
        <v>37</v>
      </c>
      <c r="D29" s="4">
        <v>1</v>
      </c>
      <c r="E29" s="7">
        <v>27</v>
      </c>
      <c r="F29" s="2">
        <v>28</v>
      </c>
    </row>
    <row r="30" spans="1:6" x14ac:dyDescent="0.25">
      <c r="A30" s="5">
        <v>29</v>
      </c>
      <c r="B30" s="7">
        <v>128</v>
      </c>
      <c r="C30" s="6" t="s">
        <v>49</v>
      </c>
      <c r="D30" s="4">
        <v>1</v>
      </c>
      <c r="E30" s="7">
        <v>28</v>
      </c>
      <c r="F30" s="2">
        <v>29</v>
      </c>
    </row>
    <row r="31" spans="1:6" x14ac:dyDescent="0.25">
      <c r="A31" s="5">
        <v>30</v>
      </c>
      <c r="B31" s="7">
        <v>129</v>
      </c>
      <c r="C31" s="6" t="s">
        <v>107</v>
      </c>
      <c r="D31" s="4">
        <v>1</v>
      </c>
      <c r="E31" s="7">
        <v>29</v>
      </c>
      <c r="F31" s="2">
        <v>30</v>
      </c>
    </row>
    <row r="32" spans="1:6" x14ac:dyDescent="0.25">
      <c r="A32" s="5">
        <v>31</v>
      </c>
      <c r="B32" s="7">
        <v>201</v>
      </c>
      <c r="C32" s="6" t="s">
        <v>34</v>
      </c>
      <c r="D32" s="4">
        <v>2</v>
      </c>
      <c r="E32" s="7">
        <v>1</v>
      </c>
      <c r="F32" s="2">
        <v>31</v>
      </c>
    </row>
    <row r="33" spans="1:6" x14ac:dyDescent="0.25">
      <c r="A33" s="5">
        <v>32</v>
      </c>
      <c r="B33" s="7">
        <v>202</v>
      </c>
      <c r="C33" s="6" t="s">
        <v>110</v>
      </c>
      <c r="D33" s="4">
        <v>2</v>
      </c>
      <c r="E33" s="7">
        <v>2</v>
      </c>
      <c r="F33" s="2">
        <v>32</v>
      </c>
    </row>
    <row r="34" spans="1:6" x14ac:dyDescent="0.25">
      <c r="A34" s="5">
        <v>33</v>
      </c>
      <c r="B34" s="7">
        <v>203</v>
      </c>
      <c r="C34" s="6" t="s">
        <v>23</v>
      </c>
      <c r="D34" s="4">
        <v>2</v>
      </c>
      <c r="E34" s="7">
        <v>3</v>
      </c>
      <c r="F34" s="2">
        <v>33</v>
      </c>
    </row>
    <row r="35" spans="1:6" x14ac:dyDescent="0.25">
      <c r="A35" s="5">
        <v>34</v>
      </c>
      <c r="B35" s="7">
        <v>204</v>
      </c>
      <c r="C35" s="6" t="s">
        <v>24</v>
      </c>
      <c r="D35" s="4">
        <v>2</v>
      </c>
      <c r="E35" s="7">
        <v>4</v>
      </c>
      <c r="F35" s="2">
        <v>34</v>
      </c>
    </row>
    <row r="36" spans="1:6" x14ac:dyDescent="0.25">
      <c r="A36" s="5">
        <v>35</v>
      </c>
      <c r="B36" s="7">
        <v>205</v>
      </c>
      <c r="C36" s="6" t="s">
        <v>25</v>
      </c>
      <c r="D36" s="4">
        <v>2</v>
      </c>
      <c r="E36" s="7">
        <v>5</v>
      </c>
      <c r="F36" s="2">
        <v>35</v>
      </c>
    </row>
    <row r="37" spans="1:6" x14ac:dyDescent="0.25">
      <c r="A37" s="5">
        <v>36</v>
      </c>
      <c r="B37" s="7">
        <v>206</v>
      </c>
      <c r="C37" s="6" t="s">
        <v>32</v>
      </c>
      <c r="D37" s="4">
        <v>2</v>
      </c>
      <c r="E37" s="7">
        <v>6</v>
      </c>
      <c r="F37" s="2">
        <v>36</v>
      </c>
    </row>
    <row r="38" spans="1:6" x14ac:dyDescent="0.25">
      <c r="A38" s="5">
        <v>37</v>
      </c>
      <c r="B38" s="7">
        <v>207</v>
      </c>
      <c r="C38" s="6" t="s">
        <v>26</v>
      </c>
      <c r="D38" s="4">
        <v>2</v>
      </c>
      <c r="E38" s="7">
        <v>7</v>
      </c>
      <c r="F38" s="2">
        <v>37</v>
      </c>
    </row>
    <row r="39" spans="1:6" x14ac:dyDescent="0.25">
      <c r="A39" s="5">
        <v>38</v>
      </c>
      <c r="B39" s="7">
        <v>208</v>
      </c>
      <c r="C39" s="6" t="s">
        <v>27</v>
      </c>
      <c r="D39" s="4">
        <v>2</v>
      </c>
      <c r="E39" s="7">
        <v>8</v>
      </c>
      <c r="F39" s="2">
        <v>38</v>
      </c>
    </row>
    <row r="40" spans="1:6" x14ac:dyDescent="0.25">
      <c r="A40" s="5">
        <v>39</v>
      </c>
      <c r="B40" s="7">
        <v>209</v>
      </c>
      <c r="C40" s="6" t="s">
        <v>28</v>
      </c>
      <c r="D40" s="4">
        <v>2</v>
      </c>
      <c r="E40" s="7">
        <v>9</v>
      </c>
      <c r="F40" s="2">
        <v>39</v>
      </c>
    </row>
    <row r="41" spans="1:6" x14ac:dyDescent="0.25">
      <c r="A41" s="5">
        <v>40</v>
      </c>
      <c r="B41" s="7">
        <v>210</v>
      </c>
      <c r="C41" s="6" t="s">
        <v>50</v>
      </c>
      <c r="D41" s="4">
        <v>2</v>
      </c>
      <c r="E41" s="7">
        <v>10</v>
      </c>
      <c r="F41" s="2">
        <v>40</v>
      </c>
    </row>
    <row r="42" spans="1:6" x14ac:dyDescent="0.25">
      <c r="A42" s="5">
        <v>41</v>
      </c>
      <c r="B42" s="7">
        <v>211</v>
      </c>
      <c r="C42" s="6" t="s">
        <v>137</v>
      </c>
      <c r="D42" s="4">
        <v>2</v>
      </c>
      <c r="E42" s="7">
        <v>11</v>
      </c>
      <c r="F42" s="2">
        <v>41</v>
      </c>
    </row>
    <row r="43" spans="1:6" x14ac:dyDescent="0.25">
      <c r="A43" s="5">
        <v>42</v>
      </c>
      <c r="B43" s="7">
        <v>212</v>
      </c>
      <c r="C43" s="6" t="s">
        <v>33</v>
      </c>
      <c r="D43" s="4">
        <v>2</v>
      </c>
      <c r="E43" s="7">
        <v>12</v>
      </c>
      <c r="F43" s="2">
        <v>42</v>
      </c>
    </row>
    <row r="44" spans="1:6" x14ac:dyDescent="0.25">
      <c r="A44" s="5">
        <v>43</v>
      </c>
      <c r="B44" s="7">
        <v>213</v>
      </c>
      <c r="C44" s="6" t="s">
        <v>371</v>
      </c>
      <c r="D44" s="4">
        <v>2</v>
      </c>
      <c r="E44" s="7">
        <v>13</v>
      </c>
      <c r="F44" s="2">
        <v>43</v>
      </c>
    </row>
    <row r="45" spans="1:6" x14ac:dyDescent="0.25">
      <c r="A45" s="5">
        <v>44</v>
      </c>
      <c r="B45" s="7">
        <v>214</v>
      </c>
      <c r="C45" s="6" t="s">
        <v>124</v>
      </c>
      <c r="D45" s="4">
        <v>2</v>
      </c>
      <c r="E45" s="7">
        <v>14</v>
      </c>
      <c r="F45" s="2">
        <v>44</v>
      </c>
    </row>
    <row r="46" spans="1:6" x14ac:dyDescent="0.25">
      <c r="A46" s="5">
        <v>45</v>
      </c>
      <c r="B46" s="7">
        <v>215</v>
      </c>
      <c r="C46" s="6" t="s">
        <v>126</v>
      </c>
      <c r="D46" s="4">
        <v>2</v>
      </c>
      <c r="E46" s="7">
        <v>15</v>
      </c>
      <c r="F46" s="2">
        <v>45</v>
      </c>
    </row>
    <row r="47" spans="1:6" x14ac:dyDescent="0.25">
      <c r="A47" s="5">
        <v>46</v>
      </c>
      <c r="B47" s="7">
        <v>216</v>
      </c>
      <c r="C47" s="6" t="s">
        <v>64</v>
      </c>
      <c r="D47" s="4">
        <v>2</v>
      </c>
      <c r="E47" s="7">
        <v>16</v>
      </c>
      <c r="F47" s="2">
        <v>46</v>
      </c>
    </row>
    <row r="48" spans="1:6" x14ac:dyDescent="0.25">
      <c r="A48" s="5">
        <v>47</v>
      </c>
      <c r="B48" s="7">
        <v>217</v>
      </c>
      <c r="C48" s="6" t="s">
        <v>129</v>
      </c>
      <c r="D48" s="4">
        <v>2</v>
      </c>
      <c r="E48" s="7">
        <v>17</v>
      </c>
      <c r="F48" s="2">
        <v>47</v>
      </c>
    </row>
    <row r="49" spans="1:9" x14ac:dyDescent="0.25">
      <c r="A49" s="5">
        <v>48</v>
      </c>
      <c r="B49" s="7">
        <v>218</v>
      </c>
      <c r="C49" s="6" t="s">
        <v>29</v>
      </c>
      <c r="D49" s="4">
        <v>2</v>
      </c>
      <c r="E49" s="7">
        <v>18</v>
      </c>
      <c r="F49" s="2">
        <v>48</v>
      </c>
    </row>
    <row r="50" spans="1:9" x14ac:dyDescent="0.25">
      <c r="A50" s="5">
        <v>49</v>
      </c>
      <c r="B50" s="7">
        <v>219</v>
      </c>
      <c r="C50" s="6" t="s">
        <v>35</v>
      </c>
      <c r="D50" s="4">
        <v>2</v>
      </c>
      <c r="E50" s="7">
        <v>19</v>
      </c>
      <c r="F50" s="2">
        <v>49</v>
      </c>
    </row>
    <row r="51" spans="1:9" x14ac:dyDescent="0.25">
      <c r="A51" s="5">
        <v>50</v>
      </c>
      <c r="B51" s="7">
        <v>220</v>
      </c>
      <c r="C51" s="6" t="s">
        <v>372</v>
      </c>
      <c r="D51" s="4">
        <v>2</v>
      </c>
      <c r="E51" s="7">
        <v>20</v>
      </c>
      <c r="F51" s="2">
        <v>50</v>
      </c>
    </row>
    <row r="52" spans="1:9" x14ac:dyDescent="0.25">
      <c r="A52" s="5">
        <v>51</v>
      </c>
      <c r="B52" s="7">
        <v>221</v>
      </c>
      <c r="C52" s="6" t="s">
        <v>58</v>
      </c>
      <c r="D52" s="4">
        <v>2</v>
      </c>
      <c r="E52" s="7">
        <v>21</v>
      </c>
      <c r="F52" s="2">
        <v>51</v>
      </c>
    </row>
    <row r="53" spans="1:9" x14ac:dyDescent="0.25">
      <c r="A53" s="5">
        <v>52</v>
      </c>
      <c r="B53" s="7">
        <v>222</v>
      </c>
      <c r="C53" s="6" t="s">
        <v>13</v>
      </c>
      <c r="D53" s="4">
        <v>2</v>
      </c>
      <c r="E53" s="7">
        <v>22</v>
      </c>
      <c r="F53" s="2">
        <v>52</v>
      </c>
    </row>
    <row r="54" spans="1:9" x14ac:dyDescent="0.25">
      <c r="A54" s="5">
        <v>53</v>
      </c>
      <c r="B54" s="7">
        <v>223</v>
      </c>
      <c r="C54" s="6" t="s">
        <v>30</v>
      </c>
      <c r="D54" s="4">
        <v>2</v>
      </c>
      <c r="E54" s="7">
        <v>23</v>
      </c>
      <c r="F54" s="2">
        <v>53</v>
      </c>
    </row>
    <row r="55" spans="1:9" x14ac:dyDescent="0.25">
      <c r="A55" s="5">
        <v>54</v>
      </c>
      <c r="B55" s="7">
        <v>224</v>
      </c>
      <c r="C55" s="6" t="s">
        <v>18</v>
      </c>
      <c r="D55" s="4">
        <v>2</v>
      </c>
      <c r="E55" s="7">
        <v>24</v>
      </c>
      <c r="F55" s="2">
        <v>54</v>
      </c>
    </row>
    <row r="56" spans="1:9" x14ac:dyDescent="0.25">
      <c r="A56" s="5">
        <v>55</v>
      </c>
      <c r="B56" s="7">
        <v>225</v>
      </c>
      <c r="C56" s="6" t="s">
        <v>185</v>
      </c>
      <c r="D56" s="7">
        <v>2</v>
      </c>
      <c r="E56" s="7">
        <v>25</v>
      </c>
      <c r="F56" s="2">
        <v>55</v>
      </c>
      <c r="G56" s="8"/>
      <c r="H56" s="6"/>
      <c r="I56" s="6"/>
    </row>
    <row r="57" spans="1:9" x14ac:dyDescent="0.25">
      <c r="A57" s="5">
        <v>56</v>
      </c>
      <c r="B57" s="7">
        <v>226</v>
      </c>
      <c r="C57" s="6" t="s">
        <v>187</v>
      </c>
      <c r="D57" s="7">
        <v>2</v>
      </c>
      <c r="E57" s="7">
        <v>26</v>
      </c>
      <c r="F57" s="2">
        <v>56</v>
      </c>
      <c r="G57" s="8"/>
      <c r="H57" s="6"/>
      <c r="I57" s="6"/>
    </row>
    <row r="58" spans="1:9" x14ac:dyDescent="0.25">
      <c r="A58" s="5">
        <v>57</v>
      </c>
      <c r="B58" s="7">
        <v>301</v>
      </c>
      <c r="C58" s="6" t="s">
        <v>189</v>
      </c>
      <c r="D58" s="4">
        <v>3</v>
      </c>
      <c r="E58" s="7">
        <v>1</v>
      </c>
      <c r="F58" s="2">
        <v>57</v>
      </c>
    </row>
    <row r="59" spans="1:9" x14ac:dyDescent="0.25">
      <c r="A59" s="5">
        <v>58</v>
      </c>
      <c r="B59" s="7">
        <v>302</v>
      </c>
      <c r="C59" s="6" t="s">
        <v>191</v>
      </c>
      <c r="D59" s="4">
        <v>3</v>
      </c>
      <c r="E59" s="7">
        <v>2</v>
      </c>
      <c r="F59" s="2">
        <v>58</v>
      </c>
    </row>
    <row r="60" spans="1:9" x14ac:dyDescent="0.25">
      <c r="A60" s="5">
        <v>59</v>
      </c>
      <c r="B60" s="7">
        <v>303</v>
      </c>
      <c r="C60" s="6" t="s">
        <v>193</v>
      </c>
      <c r="D60" s="4">
        <v>3</v>
      </c>
      <c r="E60" s="7">
        <v>3</v>
      </c>
      <c r="F60" s="2">
        <v>59</v>
      </c>
    </row>
    <row r="61" spans="1:9" x14ac:dyDescent="0.25">
      <c r="A61" s="5">
        <v>60</v>
      </c>
      <c r="B61" s="7">
        <v>304</v>
      </c>
      <c r="C61" s="6" t="s">
        <v>195</v>
      </c>
      <c r="D61" s="4">
        <v>3</v>
      </c>
      <c r="E61" s="7">
        <v>4</v>
      </c>
      <c r="F61" s="2">
        <v>60</v>
      </c>
    </row>
    <row r="62" spans="1:9" x14ac:dyDescent="0.25">
      <c r="A62" s="5">
        <v>61</v>
      </c>
      <c r="B62" s="7">
        <v>305</v>
      </c>
      <c r="C62" s="6" t="s">
        <v>197</v>
      </c>
      <c r="D62" s="4">
        <v>3</v>
      </c>
      <c r="E62" s="7">
        <v>5</v>
      </c>
      <c r="F62" s="2">
        <v>61</v>
      </c>
    </row>
    <row r="63" spans="1:9" x14ac:dyDescent="0.25">
      <c r="A63" s="5">
        <v>62</v>
      </c>
      <c r="B63" s="7">
        <v>306</v>
      </c>
      <c r="C63" s="6" t="s">
        <v>199</v>
      </c>
      <c r="D63" s="4">
        <v>3</v>
      </c>
      <c r="E63" s="7">
        <v>6</v>
      </c>
      <c r="F63" s="2">
        <v>62</v>
      </c>
    </row>
    <row r="64" spans="1:9" x14ac:dyDescent="0.25">
      <c r="A64" s="5">
        <v>63</v>
      </c>
      <c r="B64" s="7">
        <v>307</v>
      </c>
      <c r="C64" s="6" t="s">
        <v>201</v>
      </c>
      <c r="D64" s="4">
        <v>3</v>
      </c>
      <c r="E64" s="7">
        <v>7</v>
      </c>
      <c r="F64" s="2">
        <v>63</v>
      </c>
    </row>
    <row r="65" spans="1:6" x14ac:dyDescent="0.25">
      <c r="A65" s="5">
        <v>64</v>
      </c>
      <c r="B65" s="7">
        <v>308</v>
      </c>
      <c r="C65" s="6" t="s">
        <v>137</v>
      </c>
      <c r="D65" s="4">
        <v>3</v>
      </c>
      <c r="E65" s="7">
        <v>8</v>
      </c>
      <c r="F65" s="2">
        <v>64</v>
      </c>
    </row>
    <row r="66" spans="1:6" x14ac:dyDescent="0.25">
      <c r="A66" s="5">
        <v>65</v>
      </c>
      <c r="B66" s="7">
        <v>309</v>
      </c>
      <c r="C66" s="6" t="s">
        <v>204</v>
      </c>
      <c r="D66" s="4">
        <v>3</v>
      </c>
      <c r="E66" s="7">
        <v>9</v>
      </c>
      <c r="F66" s="2">
        <v>65</v>
      </c>
    </row>
    <row r="67" spans="1:6" x14ac:dyDescent="0.25">
      <c r="A67" s="5">
        <v>66</v>
      </c>
      <c r="B67" s="7">
        <v>310</v>
      </c>
      <c r="C67" s="6" t="s">
        <v>206</v>
      </c>
      <c r="D67" s="4">
        <v>3</v>
      </c>
      <c r="E67" s="7">
        <v>10</v>
      </c>
      <c r="F67" s="2">
        <v>66</v>
      </c>
    </row>
    <row r="68" spans="1:6" x14ac:dyDescent="0.25">
      <c r="A68" s="5">
        <v>67</v>
      </c>
      <c r="B68" s="7">
        <v>311</v>
      </c>
      <c r="C68" s="6" t="s">
        <v>208</v>
      </c>
      <c r="D68" s="4">
        <v>3</v>
      </c>
      <c r="E68" s="7">
        <v>11</v>
      </c>
      <c r="F68" s="2">
        <v>67</v>
      </c>
    </row>
    <row r="69" spans="1:6" x14ac:dyDescent="0.25">
      <c r="A69" s="5">
        <v>68</v>
      </c>
      <c r="B69" s="7">
        <v>312</v>
      </c>
      <c r="C69" s="6" t="s">
        <v>210</v>
      </c>
      <c r="D69" s="4">
        <v>3</v>
      </c>
      <c r="E69" s="7">
        <v>12</v>
      </c>
      <c r="F69" s="2">
        <v>68</v>
      </c>
    </row>
    <row r="70" spans="1:6" x14ac:dyDescent="0.25">
      <c r="A70" s="5">
        <v>69</v>
      </c>
      <c r="B70" s="7">
        <v>313</v>
      </c>
      <c r="C70" s="6" t="s">
        <v>212</v>
      </c>
      <c r="D70" s="4">
        <v>3</v>
      </c>
      <c r="E70" s="7">
        <v>13</v>
      </c>
      <c r="F70" s="2">
        <v>69</v>
      </c>
    </row>
    <row r="71" spans="1:6" x14ac:dyDescent="0.25">
      <c r="A71" s="5">
        <v>70</v>
      </c>
      <c r="B71" s="7">
        <v>314</v>
      </c>
      <c r="C71" s="6" t="s">
        <v>214</v>
      </c>
      <c r="D71" s="4">
        <v>3</v>
      </c>
      <c r="E71" s="7">
        <v>14</v>
      </c>
      <c r="F71" s="2">
        <v>70</v>
      </c>
    </row>
    <row r="72" spans="1:6" x14ac:dyDescent="0.25">
      <c r="A72" s="5">
        <v>71</v>
      </c>
      <c r="B72" s="7">
        <v>315</v>
      </c>
      <c r="C72" s="6" t="s">
        <v>216</v>
      </c>
      <c r="D72" s="4">
        <v>3</v>
      </c>
      <c r="E72" s="7">
        <v>15</v>
      </c>
      <c r="F72" s="2">
        <v>71</v>
      </c>
    </row>
    <row r="73" spans="1:6" x14ac:dyDescent="0.25">
      <c r="A73" s="5">
        <v>72</v>
      </c>
      <c r="B73" s="7">
        <v>316</v>
      </c>
      <c r="C73" s="6" t="s">
        <v>218</v>
      </c>
      <c r="D73" s="4">
        <v>3</v>
      </c>
      <c r="E73" s="7">
        <v>16</v>
      </c>
      <c r="F73" s="2">
        <v>72</v>
      </c>
    </row>
    <row r="74" spans="1:6" x14ac:dyDescent="0.25">
      <c r="A74" s="5">
        <v>73</v>
      </c>
      <c r="B74" s="7">
        <v>317</v>
      </c>
      <c r="C74" s="6" t="s">
        <v>220</v>
      </c>
      <c r="D74" s="4">
        <v>3</v>
      </c>
      <c r="E74" s="7">
        <v>17</v>
      </c>
      <c r="F74" s="2">
        <v>73</v>
      </c>
    </row>
    <row r="75" spans="1:6" x14ac:dyDescent="0.25">
      <c r="A75" s="5">
        <v>74</v>
      </c>
      <c r="B75" s="7">
        <v>318</v>
      </c>
      <c r="C75" s="6" t="s">
        <v>222</v>
      </c>
      <c r="D75" s="4">
        <v>3</v>
      </c>
      <c r="E75" s="7">
        <v>18</v>
      </c>
      <c r="F75" s="2">
        <v>74</v>
      </c>
    </row>
    <row r="76" spans="1:6" x14ac:dyDescent="0.25">
      <c r="A76" s="5">
        <v>75</v>
      </c>
      <c r="B76" s="7">
        <v>319</v>
      </c>
      <c r="C76" s="6" t="s">
        <v>138</v>
      </c>
      <c r="D76" s="4">
        <v>3</v>
      </c>
      <c r="E76" s="7">
        <v>19</v>
      </c>
      <c r="F76" s="2">
        <v>75</v>
      </c>
    </row>
    <row r="77" spans="1:6" x14ac:dyDescent="0.25">
      <c r="A77" s="5">
        <v>76</v>
      </c>
      <c r="B77" s="7">
        <v>320</v>
      </c>
      <c r="C77" s="6" t="s">
        <v>225</v>
      </c>
      <c r="D77" s="4">
        <v>3</v>
      </c>
      <c r="E77" s="7">
        <v>20</v>
      </c>
      <c r="F77" s="2">
        <v>76</v>
      </c>
    </row>
    <row r="78" spans="1:6" x14ac:dyDescent="0.25">
      <c r="A78" s="5">
        <v>77</v>
      </c>
      <c r="B78" s="7">
        <v>321</v>
      </c>
      <c r="C78" s="6" t="s">
        <v>227</v>
      </c>
      <c r="D78" s="4">
        <v>3</v>
      </c>
      <c r="E78" s="7">
        <v>21</v>
      </c>
      <c r="F78" s="2">
        <v>77</v>
      </c>
    </row>
    <row r="79" spans="1:6" x14ac:dyDescent="0.25">
      <c r="A79" s="5">
        <v>78</v>
      </c>
      <c r="B79" s="7">
        <v>322</v>
      </c>
      <c r="C79" s="6" t="s">
        <v>229</v>
      </c>
      <c r="D79" s="4">
        <v>3</v>
      </c>
      <c r="E79" s="7">
        <v>22</v>
      </c>
      <c r="F79" s="2">
        <v>78</v>
      </c>
    </row>
    <row r="80" spans="1:6" x14ac:dyDescent="0.25">
      <c r="A80" s="5">
        <v>79</v>
      </c>
      <c r="B80" s="7">
        <v>323</v>
      </c>
      <c r="C80" s="6" t="s">
        <v>31</v>
      </c>
      <c r="D80" s="4">
        <v>3</v>
      </c>
      <c r="E80" s="7">
        <v>23</v>
      </c>
      <c r="F80" s="2">
        <v>79</v>
      </c>
    </row>
    <row r="81" spans="1:6" x14ac:dyDescent="0.25">
      <c r="A81" s="5">
        <v>80</v>
      </c>
      <c r="B81" s="7">
        <v>324</v>
      </c>
      <c r="C81" s="6" t="s">
        <v>232</v>
      </c>
      <c r="D81" s="4">
        <v>3</v>
      </c>
      <c r="E81" s="7">
        <v>24</v>
      </c>
      <c r="F81" s="2">
        <v>80</v>
      </c>
    </row>
    <row r="82" spans="1:6" x14ac:dyDescent="0.25">
      <c r="B82" s="7"/>
      <c r="C82" s="6"/>
      <c r="D82" s="4"/>
      <c r="E82" s="7"/>
    </row>
    <row r="83" spans="1:6" x14ac:dyDescent="0.25">
      <c r="B83" s="7"/>
      <c r="C83" s="6"/>
      <c r="D83" s="4"/>
      <c r="E83" s="7"/>
    </row>
    <row r="84" spans="1:6" x14ac:dyDescent="0.25">
      <c r="B84" s="7"/>
      <c r="C84" s="6"/>
      <c r="D84" s="4"/>
      <c r="E84" s="7"/>
    </row>
  </sheetData>
  <sortState ref="A2:F54">
    <sortCondition ref="B2:B5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tropes</vt:lpstr>
      <vt:lpstr>Sheet3</vt:lpstr>
      <vt:lpstr>pullout</vt:lpstr>
      <vt:lpstr>episodes</vt:lpstr>
      <vt:lpstr>aliens</vt:lpstr>
      <vt:lpstr>catchphrase</vt:lpstr>
      <vt:lpstr>death</vt:lpstr>
      <vt:lpstr>exposition</vt:lpstr>
      <vt:lpstr>fight</vt:lpstr>
      <vt:lpstr>flipComm</vt:lpstr>
      <vt:lpstr>hugAndKiss</vt:lpstr>
      <vt:lpstr>landingParty</vt:lpstr>
      <vt:lpstr>love</vt:lpstr>
      <vt:lpstr>medicine</vt:lpstr>
      <vt:lpstr>padd</vt:lpstr>
      <vt:lpstr>phlebotinum</vt:lpstr>
      <vt:lpstr>setPiece</vt:lpstr>
      <vt:lpstr>sexism</vt:lpstr>
      <vt:lpstr>space</vt:lpstr>
      <vt:lpstr>shake</vt:lpstr>
      <vt:lpstr>telephone</vt:lpstr>
      <vt:lpstr>transporter</vt:lpstr>
      <vt:lpstr>tricorder</vt:lpstr>
      <vt:lpstr>warp</vt:lpstr>
      <vt:lpstr>weapon</vt:lpstr>
      <vt:lpstr>spokePos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greenpear</dc:creator>
  <cp:lastModifiedBy>Windows User</cp:lastModifiedBy>
  <dcterms:created xsi:type="dcterms:W3CDTF">2015-06-26T01:57:59Z</dcterms:created>
  <dcterms:modified xsi:type="dcterms:W3CDTF">2015-09-05T02:22:10Z</dcterms:modified>
</cp:coreProperties>
</file>